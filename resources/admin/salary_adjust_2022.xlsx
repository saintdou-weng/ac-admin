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nt\Desktop\"/>
    </mc:Choice>
  </mc:AlternateContent>
  <bookViews>
    <workbookView xWindow="0" yWindow="0" windowWidth="28800" windowHeight="12435" tabRatio="781" firstSheet="1" activeTab="9"/>
  </bookViews>
  <sheets>
    <sheet name="All" sheetId="199" state="hidden" r:id="rId1"/>
    <sheet name="Office" sheetId="193" r:id="rId2"/>
    <sheet name="WH F&amp;L" sheetId="187" r:id="rId3"/>
    <sheet name="WH Trims" sheetId="188" r:id="rId4"/>
    <sheet name="Cutting" sheetId="185" r:id="rId5"/>
    <sheet name="Machine on line" sheetId="196" r:id="rId6"/>
    <sheet name="Leader&amp; Supervisor" sheetId="189" r:id="rId7"/>
    <sheet name="Production" sheetId="192" r:id="rId8"/>
    <sheet name="All staff" sheetId="191" state="hidden" r:id="rId9"/>
    <sheet name="general" sheetId="198" r:id="rId10"/>
  </sheets>
  <definedNames>
    <definedName name="_xlnm._FilterDatabase" localSheetId="0" hidden="1">All!$B$1:$B$986</definedName>
    <definedName name="_xlnm._FilterDatabase" localSheetId="8" hidden="1">'All staff'!$C$1:$C$1078</definedName>
    <definedName name="_xlnm._FilterDatabase" localSheetId="6" hidden="1">'Leader&amp; Supervisor'!$B$1:$B$97</definedName>
    <definedName name="_xlnm._FilterDatabase" localSheetId="1" hidden="1">Office!$B$1:$B$10</definedName>
    <definedName name="_xlnm._FilterDatabase" localSheetId="7" hidden="1">Production!$Z$1:$Z$488</definedName>
    <definedName name="_xlnm.Print_Area" localSheetId="4">Cutting!$A$1:$AG$30</definedName>
    <definedName name="_xlnm.Print_Area" localSheetId="3">'WH Trims'!$A$1:$AG$17</definedName>
    <definedName name="_xlnm.Print_Titles" localSheetId="6">'Leader&amp; Supervisor'!$3:$4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5" i="189" l="1"/>
  <c r="AF55" i="189" l="1"/>
  <c r="AE55" i="189"/>
  <c r="AD55" i="189"/>
  <c r="AC55" i="189"/>
  <c r="Z55" i="189"/>
  <c r="Q55" i="189"/>
  <c r="P55" i="189"/>
  <c r="O55" i="189"/>
  <c r="AB55" i="189" s="1"/>
  <c r="AA55" i="189"/>
  <c r="AG55" i="189" s="1"/>
  <c r="I55" i="189"/>
  <c r="H55" i="189"/>
  <c r="G55" i="189"/>
  <c r="F55" i="189"/>
  <c r="E55" i="189"/>
  <c r="A55" i="189"/>
  <c r="A56" i="189" s="1"/>
  <c r="A57" i="189" s="1"/>
  <c r="T55" i="189" l="1"/>
  <c r="AC8" i="189"/>
  <c r="AB8" i="189"/>
  <c r="AC5" i="193"/>
  <c r="AC6" i="193"/>
  <c r="AC7" i="193"/>
  <c r="AC8" i="193"/>
  <c r="AC9" i="193"/>
  <c r="AC10" i="193"/>
  <c r="AC11" i="193"/>
  <c r="AC12" i="193"/>
  <c r="AB12" i="193"/>
  <c r="AB11" i="193"/>
  <c r="AB10" i="193"/>
  <c r="AB9" i="193"/>
  <c r="AB8" i="193"/>
  <c r="AB7" i="193"/>
  <c r="AB6" i="193"/>
  <c r="AB5" i="193"/>
  <c r="AB4" i="193"/>
  <c r="AC4" i="193"/>
  <c r="A5" i="189" l="1"/>
  <c r="L8" i="193"/>
  <c r="V15" i="198"/>
  <c r="V18" i="198" s="1"/>
  <c r="U15" i="198"/>
  <c r="U18" i="198" s="1"/>
  <c r="R15" i="198"/>
  <c r="R18" i="198" s="1"/>
  <c r="Q15" i="198"/>
  <c r="Q18" i="198" s="1"/>
  <c r="P15" i="198"/>
  <c r="M10" i="198"/>
  <c r="V16" i="198" l="1"/>
  <c r="R16" i="198"/>
  <c r="V19" i="198"/>
  <c r="P18" i="198"/>
  <c r="R19" i="198" s="1"/>
  <c r="W14" i="198" l="1"/>
  <c r="W17" i="198"/>
  <c r="U58" i="189" l="1"/>
  <c r="F10" i="198" s="1"/>
  <c r="U14" i="193"/>
  <c r="F11" i="198" s="1"/>
  <c r="T469" i="192"/>
  <c r="C11" i="198"/>
  <c r="C6" i="198" l="1"/>
  <c r="C5" i="198"/>
  <c r="C8" i="198"/>
  <c r="L467" i="192"/>
  <c r="AU31" i="199"/>
  <c r="AT31" i="199"/>
  <c r="AU30" i="199"/>
  <c r="AT30" i="199"/>
  <c r="AU29" i="199"/>
  <c r="AT29" i="199"/>
  <c r="AU28" i="199"/>
  <c r="AT28" i="199"/>
  <c r="AU27" i="199"/>
  <c r="AT27" i="199"/>
  <c r="AU26" i="199"/>
  <c r="AT26" i="199"/>
  <c r="AU25" i="199"/>
  <c r="AT25" i="199"/>
  <c r="AU24" i="199"/>
  <c r="AT24" i="199"/>
  <c r="AU23" i="199"/>
  <c r="AT23" i="199"/>
  <c r="AF467" i="192" l="1"/>
  <c r="AN467" i="192" s="1"/>
  <c r="AE467" i="192"/>
  <c r="AM467" i="192" s="1"/>
  <c r="Q467" i="192"/>
  <c r="AD467" i="192" s="1"/>
  <c r="AL467" i="192" s="1"/>
  <c r="P467" i="192"/>
  <c r="AC467" i="192" s="1"/>
  <c r="AK467" i="192" s="1"/>
  <c r="O467" i="192"/>
  <c r="AB467" i="192" s="1"/>
  <c r="AJ467" i="192" s="1"/>
  <c r="M467" i="192"/>
  <c r="Z467" i="192" s="1"/>
  <c r="AH467" i="192" s="1"/>
  <c r="I467" i="192"/>
  <c r="H467" i="192"/>
  <c r="G467" i="192"/>
  <c r="F467" i="192"/>
  <c r="E467" i="192"/>
  <c r="D467" i="192"/>
  <c r="C467" i="192"/>
  <c r="AF39" i="189" l="1"/>
  <c r="AN39" i="189" s="1"/>
  <c r="AE39" i="189"/>
  <c r="AM39" i="189" s="1"/>
  <c r="Q39" i="189"/>
  <c r="AD39" i="189" s="1"/>
  <c r="AL39" i="189" s="1"/>
  <c r="P39" i="189"/>
  <c r="AC39" i="189" s="1"/>
  <c r="O39" i="189"/>
  <c r="AB39" i="189" s="1"/>
  <c r="M39" i="189"/>
  <c r="I39" i="189"/>
  <c r="H39" i="189"/>
  <c r="G39" i="189"/>
  <c r="F39" i="189"/>
  <c r="E39" i="189"/>
  <c r="D39" i="189"/>
  <c r="C39" i="189"/>
  <c r="AK39" i="189" l="1"/>
  <c r="AJ39" i="189"/>
  <c r="Z39" i="189"/>
  <c r="AH39" i="189" l="1"/>
  <c r="AF57" i="189" l="1"/>
  <c r="AN57" i="189" s="1"/>
  <c r="AE57" i="189"/>
  <c r="AM57" i="189" s="1"/>
  <c r="Q57" i="189"/>
  <c r="AD57" i="189" s="1"/>
  <c r="AL57" i="189" s="1"/>
  <c r="P57" i="189"/>
  <c r="AC57" i="189" s="1"/>
  <c r="O57" i="189"/>
  <c r="AB57" i="189" s="1"/>
  <c r="M57" i="189"/>
  <c r="I57" i="189"/>
  <c r="H57" i="189"/>
  <c r="G57" i="189"/>
  <c r="F57" i="189"/>
  <c r="E57" i="189"/>
  <c r="D57" i="189"/>
  <c r="C57" i="189"/>
  <c r="AF56" i="189"/>
  <c r="AN56" i="189" s="1"/>
  <c r="AE56" i="189"/>
  <c r="AM56" i="189" s="1"/>
  <c r="Q56" i="189"/>
  <c r="AD56" i="189" s="1"/>
  <c r="AL56" i="189" s="1"/>
  <c r="P56" i="189"/>
  <c r="AC56" i="189" s="1"/>
  <c r="O56" i="189"/>
  <c r="AB56" i="189" s="1"/>
  <c r="M56" i="189"/>
  <c r="I56" i="189"/>
  <c r="H56" i="189"/>
  <c r="G56" i="189"/>
  <c r="F56" i="189"/>
  <c r="E56" i="189"/>
  <c r="D56" i="189"/>
  <c r="C56" i="189"/>
  <c r="AF54" i="189"/>
  <c r="AN54" i="189" s="1"/>
  <c r="AE54" i="189"/>
  <c r="AM54" i="189" s="1"/>
  <c r="Q54" i="189"/>
  <c r="AD54" i="189" s="1"/>
  <c r="AL54" i="189" s="1"/>
  <c r="P54" i="189"/>
  <c r="AC54" i="189" s="1"/>
  <c r="O54" i="189"/>
  <c r="AB54" i="189" s="1"/>
  <c r="M54" i="189"/>
  <c r="I54" i="189"/>
  <c r="H54" i="189"/>
  <c r="G54" i="189"/>
  <c r="F54" i="189"/>
  <c r="E54" i="189"/>
  <c r="D54" i="189"/>
  <c r="C54" i="189"/>
  <c r="AF53" i="189"/>
  <c r="AN53" i="189" s="1"/>
  <c r="AE53" i="189"/>
  <c r="AM53" i="189" s="1"/>
  <c r="Q53" i="189"/>
  <c r="AD53" i="189" s="1"/>
  <c r="AL53" i="189" s="1"/>
  <c r="P53" i="189"/>
  <c r="AC53" i="189" s="1"/>
  <c r="O53" i="189"/>
  <c r="AB53" i="189" s="1"/>
  <c r="M53" i="189"/>
  <c r="Z53" i="189" s="1"/>
  <c r="AH53" i="189" s="1"/>
  <c r="I53" i="189"/>
  <c r="H53" i="189"/>
  <c r="G53" i="189"/>
  <c r="F53" i="189"/>
  <c r="E53" i="189"/>
  <c r="D53" i="189"/>
  <c r="C53" i="189"/>
  <c r="AF52" i="189"/>
  <c r="AN52" i="189" s="1"/>
  <c r="AE52" i="189"/>
  <c r="AM52" i="189" s="1"/>
  <c r="Q52" i="189"/>
  <c r="AD52" i="189" s="1"/>
  <c r="AL52" i="189" s="1"/>
  <c r="P52" i="189"/>
  <c r="AC52" i="189" s="1"/>
  <c r="O52" i="189"/>
  <c r="AB52" i="189" s="1"/>
  <c r="M52" i="189"/>
  <c r="I52" i="189"/>
  <c r="H52" i="189"/>
  <c r="G52" i="189"/>
  <c r="F52" i="189"/>
  <c r="E52" i="189"/>
  <c r="D52" i="189"/>
  <c r="C52" i="189"/>
  <c r="AF51" i="189"/>
  <c r="AN51" i="189" s="1"/>
  <c r="AE51" i="189"/>
  <c r="AM51" i="189" s="1"/>
  <c r="Q51" i="189"/>
  <c r="AD51" i="189" s="1"/>
  <c r="AL51" i="189" s="1"/>
  <c r="P51" i="189"/>
  <c r="AC51" i="189" s="1"/>
  <c r="O51" i="189"/>
  <c r="AB51" i="189" s="1"/>
  <c r="M51" i="189"/>
  <c r="Z51" i="189" s="1"/>
  <c r="I51" i="189"/>
  <c r="H51" i="189"/>
  <c r="G51" i="189"/>
  <c r="F51" i="189"/>
  <c r="E51" i="189"/>
  <c r="D51" i="189"/>
  <c r="C51" i="189"/>
  <c r="AF50" i="189"/>
  <c r="AN50" i="189" s="1"/>
  <c r="AE50" i="189"/>
  <c r="AM50" i="189" s="1"/>
  <c r="Q50" i="189"/>
  <c r="AD50" i="189" s="1"/>
  <c r="AL50" i="189" s="1"/>
  <c r="P50" i="189"/>
  <c r="AC50" i="189" s="1"/>
  <c r="O50" i="189"/>
  <c r="AB50" i="189" s="1"/>
  <c r="M50" i="189"/>
  <c r="I50" i="189"/>
  <c r="H50" i="189"/>
  <c r="G50" i="189"/>
  <c r="F50" i="189"/>
  <c r="E50" i="189"/>
  <c r="D50" i="189"/>
  <c r="C50" i="189"/>
  <c r="AF49" i="189"/>
  <c r="AN49" i="189" s="1"/>
  <c r="AE49" i="189"/>
  <c r="AM49" i="189" s="1"/>
  <c r="Q49" i="189"/>
  <c r="AD49" i="189" s="1"/>
  <c r="AL49" i="189" s="1"/>
  <c r="P49" i="189"/>
  <c r="AC49" i="189" s="1"/>
  <c r="O49" i="189"/>
  <c r="AB49" i="189" s="1"/>
  <c r="M49" i="189"/>
  <c r="Z49" i="189" s="1"/>
  <c r="AH49" i="189" s="1"/>
  <c r="I49" i="189"/>
  <c r="H49" i="189"/>
  <c r="G49" i="189"/>
  <c r="F49" i="189"/>
  <c r="E49" i="189"/>
  <c r="D49" i="189"/>
  <c r="C49" i="189"/>
  <c r="AF48" i="189"/>
  <c r="AN48" i="189" s="1"/>
  <c r="AE48" i="189"/>
  <c r="AM48" i="189" s="1"/>
  <c r="Q48" i="189"/>
  <c r="AD48" i="189" s="1"/>
  <c r="AL48" i="189" s="1"/>
  <c r="P48" i="189"/>
  <c r="AC48" i="189" s="1"/>
  <c r="O48" i="189"/>
  <c r="AB48" i="189" s="1"/>
  <c r="M48" i="189"/>
  <c r="I48" i="189"/>
  <c r="H48" i="189"/>
  <c r="G48" i="189"/>
  <c r="F48" i="189"/>
  <c r="E48" i="189"/>
  <c r="D48" i="189"/>
  <c r="C48" i="189"/>
  <c r="AF47" i="189"/>
  <c r="AN47" i="189" s="1"/>
  <c r="AE47" i="189"/>
  <c r="AM47" i="189" s="1"/>
  <c r="Q47" i="189"/>
  <c r="AD47" i="189" s="1"/>
  <c r="AL47" i="189" s="1"/>
  <c r="P47" i="189"/>
  <c r="AC47" i="189" s="1"/>
  <c r="O47" i="189"/>
  <c r="AB47" i="189" s="1"/>
  <c r="M47" i="189"/>
  <c r="Z47" i="189" s="1"/>
  <c r="I47" i="189"/>
  <c r="H47" i="189"/>
  <c r="G47" i="189"/>
  <c r="F47" i="189"/>
  <c r="E47" i="189"/>
  <c r="D47" i="189"/>
  <c r="C47" i="189"/>
  <c r="AF46" i="189"/>
  <c r="AN46" i="189" s="1"/>
  <c r="AE46" i="189"/>
  <c r="AM46" i="189" s="1"/>
  <c r="Q46" i="189"/>
  <c r="AD46" i="189" s="1"/>
  <c r="AL46" i="189" s="1"/>
  <c r="P46" i="189"/>
  <c r="AC46" i="189" s="1"/>
  <c r="O46" i="189"/>
  <c r="AB46" i="189" s="1"/>
  <c r="M46" i="189"/>
  <c r="Z46" i="189" s="1"/>
  <c r="AH46" i="189" s="1"/>
  <c r="I46" i="189"/>
  <c r="H46" i="189"/>
  <c r="G46" i="189"/>
  <c r="F46" i="189"/>
  <c r="E46" i="189"/>
  <c r="D46" i="189"/>
  <c r="C46" i="189"/>
  <c r="AF45" i="189"/>
  <c r="AN45" i="189" s="1"/>
  <c r="AE45" i="189"/>
  <c r="AM45" i="189" s="1"/>
  <c r="Q45" i="189"/>
  <c r="AD45" i="189" s="1"/>
  <c r="AL45" i="189" s="1"/>
  <c r="P45" i="189"/>
  <c r="AC45" i="189" s="1"/>
  <c r="O45" i="189"/>
  <c r="AB45" i="189" s="1"/>
  <c r="M45" i="189"/>
  <c r="I45" i="189"/>
  <c r="H45" i="189"/>
  <c r="G45" i="189"/>
  <c r="F45" i="189"/>
  <c r="E45" i="189"/>
  <c r="D45" i="189"/>
  <c r="C45" i="189"/>
  <c r="AF44" i="189"/>
  <c r="AN44" i="189" s="1"/>
  <c r="AE44" i="189"/>
  <c r="AM44" i="189" s="1"/>
  <c r="Q44" i="189"/>
  <c r="AD44" i="189" s="1"/>
  <c r="AL44" i="189" s="1"/>
  <c r="P44" i="189"/>
  <c r="AC44" i="189" s="1"/>
  <c r="O44" i="189"/>
  <c r="AB44" i="189" s="1"/>
  <c r="M44" i="189"/>
  <c r="Z44" i="189" s="1"/>
  <c r="I44" i="189"/>
  <c r="H44" i="189"/>
  <c r="G44" i="189"/>
  <c r="F44" i="189"/>
  <c r="E44" i="189"/>
  <c r="D44" i="189"/>
  <c r="C44" i="189"/>
  <c r="AF43" i="189"/>
  <c r="AN43" i="189" s="1"/>
  <c r="AE43" i="189"/>
  <c r="AM43" i="189" s="1"/>
  <c r="Q43" i="189"/>
  <c r="AD43" i="189" s="1"/>
  <c r="AL43" i="189" s="1"/>
  <c r="P43" i="189"/>
  <c r="AC43" i="189" s="1"/>
  <c r="O43" i="189"/>
  <c r="AB43" i="189" s="1"/>
  <c r="M43" i="189"/>
  <c r="I43" i="189"/>
  <c r="H43" i="189"/>
  <c r="G43" i="189"/>
  <c r="F43" i="189"/>
  <c r="E43" i="189"/>
  <c r="D43" i="189"/>
  <c r="C43" i="189"/>
  <c r="AF42" i="189"/>
  <c r="AN42" i="189" s="1"/>
  <c r="AE42" i="189"/>
  <c r="AM42" i="189" s="1"/>
  <c r="Q42" i="189"/>
  <c r="AD42" i="189" s="1"/>
  <c r="AL42" i="189" s="1"/>
  <c r="P42" i="189"/>
  <c r="AC42" i="189" s="1"/>
  <c r="O42" i="189"/>
  <c r="AB42" i="189" s="1"/>
  <c r="M42" i="189"/>
  <c r="Z42" i="189" s="1"/>
  <c r="AH42" i="189" s="1"/>
  <c r="I42" i="189"/>
  <c r="H42" i="189"/>
  <c r="G42" i="189"/>
  <c r="F42" i="189"/>
  <c r="E42" i="189"/>
  <c r="D42" i="189"/>
  <c r="C42" i="189"/>
  <c r="AF41" i="189"/>
  <c r="AN41" i="189" s="1"/>
  <c r="AE41" i="189"/>
  <c r="AM41" i="189" s="1"/>
  <c r="Q41" i="189"/>
  <c r="AD41" i="189" s="1"/>
  <c r="AL41" i="189" s="1"/>
  <c r="P41" i="189"/>
  <c r="AC41" i="189" s="1"/>
  <c r="O41" i="189"/>
  <c r="AB41" i="189" s="1"/>
  <c r="M41" i="189"/>
  <c r="I41" i="189"/>
  <c r="H41" i="189"/>
  <c r="G41" i="189"/>
  <c r="F41" i="189"/>
  <c r="E41" i="189"/>
  <c r="D41" i="189"/>
  <c r="C41" i="189"/>
  <c r="AF40" i="189"/>
  <c r="AN40" i="189" s="1"/>
  <c r="AE40" i="189"/>
  <c r="AM40" i="189" s="1"/>
  <c r="Q40" i="189"/>
  <c r="AD40" i="189" s="1"/>
  <c r="AL40" i="189" s="1"/>
  <c r="P40" i="189"/>
  <c r="AC40" i="189" s="1"/>
  <c r="O40" i="189"/>
  <c r="AB40" i="189" s="1"/>
  <c r="M40" i="189"/>
  <c r="Z40" i="189" s="1"/>
  <c r="AH40" i="189" s="1"/>
  <c r="I40" i="189"/>
  <c r="H40" i="189"/>
  <c r="G40" i="189"/>
  <c r="F40" i="189"/>
  <c r="E40" i="189"/>
  <c r="D40" i="189"/>
  <c r="C40" i="189"/>
  <c r="AK49" i="189" l="1"/>
  <c r="Z56" i="189"/>
  <c r="AH56" i="189" s="1"/>
  <c r="AK43" i="189"/>
  <c r="AK50" i="189"/>
  <c r="AK54" i="189"/>
  <c r="AK46" i="189"/>
  <c r="AK53" i="189"/>
  <c r="AK44" i="189"/>
  <c r="AK47" i="189"/>
  <c r="AK51" i="189"/>
  <c r="AK56" i="189"/>
  <c r="AK45" i="189"/>
  <c r="AK48" i="189"/>
  <c r="AK52" i="189"/>
  <c r="AK57" i="189"/>
  <c r="AK40" i="189"/>
  <c r="AK41" i="189"/>
  <c r="AK42" i="189"/>
  <c r="AJ45" i="189"/>
  <c r="AJ48" i="189"/>
  <c r="AJ53" i="189"/>
  <c r="AJ46" i="189"/>
  <c r="AJ51" i="189"/>
  <c r="AJ54" i="189"/>
  <c r="AJ44" i="189"/>
  <c r="AJ49" i="189"/>
  <c r="AJ52" i="189"/>
  <c r="AJ56" i="189"/>
  <c r="AJ47" i="189"/>
  <c r="AJ50" i="189"/>
  <c r="AJ57" i="189"/>
  <c r="AJ41" i="189"/>
  <c r="AJ42" i="189"/>
  <c r="AJ43" i="189"/>
  <c r="AJ40" i="189"/>
  <c r="Z54" i="189"/>
  <c r="AH54" i="189" s="1"/>
  <c r="Z57" i="189"/>
  <c r="Z41" i="189"/>
  <c r="AH44" i="189"/>
  <c r="AH47" i="189"/>
  <c r="AH51" i="189"/>
  <c r="Z43" i="189"/>
  <c r="Z45" i="189"/>
  <c r="Z48" i="189"/>
  <c r="Z50" i="189"/>
  <c r="Z52" i="189"/>
  <c r="AH57" i="189" l="1"/>
  <c r="AH50" i="189"/>
  <c r="AH43" i="189"/>
  <c r="AH48" i="189"/>
  <c r="AH41" i="189"/>
  <c r="AH52" i="189"/>
  <c r="AH45" i="189"/>
  <c r="A4" i="187"/>
  <c r="A4" i="196"/>
  <c r="AI11" i="196" l="1"/>
  <c r="AH11" i="196"/>
  <c r="A4" i="193" l="1"/>
  <c r="A5" i="193" s="1"/>
  <c r="A6" i="193" s="1"/>
  <c r="A7" i="193" s="1"/>
  <c r="A8" i="193" s="1"/>
  <c r="A9" i="193" s="1"/>
  <c r="A10" i="193" s="1"/>
  <c r="A11" i="193" s="1"/>
  <c r="A12" i="193" s="1"/>
  <c r="AF27" i="185"/>
  <c r="AE27" i="185"/>
  <c r="Q27" i="185"/>
  <c r="AD27" i="185" s="1"/>
  <c r="P27" i="185"/>
  <c r="AC27" i="185" s="1"/>
  <c r="O27" i="185"/>
  <c r="AB27" i="185" s="1"/>
  <c r="N27" i="185"/>
  <c r="AA27" i="185" s="1"/>
  <c r="M27" i="185"/>
  <c r="Z27" i="185" s="1"/>
  <c r="L27" i="185"/>
  <c r="K27" i="185"/>
  <c r="J27" i="185"/>
  <c r="I27" i="185"/>
  <c r="H27" i="185"/>
  <c r="G27" i="185"/>
  <c r="F27" i="185"/>
  <c r="E27" i="185"/>
  <c r="D27" i="185"/>
  <c r="C27" i="185"/>
  <c r="AF26" i="185"/>
  <c r="AE26" i="185"/>
  <c r="Q26" i="185"/>
  <c r="AD26" i="185" s="1"/>
  <c r="P26" i="185"/>
  <c r="AC26" i="185" s="1"/>
  <c r="O26" i="185"/>
  <c r="AB26" i="185" s="1"/>
  <c r="N26" i="185"/>
  <c r="AA26" i="185" s="1"/>
  <c r="M26" i="185"/>
  <c r="Z26" i="185" s="1"/>
  <c r="L26" i="185"/>
  <c r="K26" i="185"/>
  <c r="J26" i="185"/>
  <c r="I26" i="185"/>
  <c r="H26" i="185"/>
  <c r="G26" i="185"/>
  <c r="F26" i="185"/>
  <c r="E26" i="185"/>
  <c r="D26" i="185"/>
  <c r="C26" i="185"/>
  <c r="AF25" i="185"/>
  <c r="AE25" i="185"/>
  <c r="Q25" i="185"/>
  <c r="AD25" i="185" s="1"/>
  <c r="P25" i="185"/>
  <c r="AC25" i="185" s="1"/>
  <c r="O25" i="185"/>
  <c r="AB25" i="185" s="1"/>
  <c r="N25" i="185"/>
  <c r="AA25" i="185" s="1"/>
  <c r="M25" i="185"/>
  <c r="Z25" i="185" s="1"/>
  <c r="L25" i="185"/>
  <c r="K25" i="185"/>
  <c r="J25" i="185"/>
  <c r="I25" i="185"/>
  <c r="H25" i="185"/>
  <c r="G25" i="185"/>
  <c r="F25" i="185"/>
  <c r="E25" i="185"/>
  <c r="D25" i="185"/>
  <c r="C25" i="185"/>
  <c r="AF24" i="185"/>
  <c r="AE24" i="185"/>
  <c r="Q24" i="185"/>
  <c r="AD24" i="185" s="1"/>
  <c r="P24" i="185"/>
  <c r="AC24" i="185" s="1"/>
  <c r="O24" i="185"/>
  <c r="AB24" i="185" s="1"/>
  <c r="N24" i="185"/>
  <c r="AA24" i="185" s="1"/>
  <c r="M24" i="185"/>
  <c r="Z24" i="185" s="1"/>
  <c r="L24" i="185"/>
  <c r="K24" i="185"/>
  <c r="J24" i="185"/>
  <c r="I24" i="185"/>
  <c r="H24" i="185"/>
  <c r="G24" i="185"/>
  <c r="F24" i="185"/>
  <c r="E24" i="185"/>
  <c r="D24" i="185"/>
  <c r="C24" i="185"/>
  <c r="AF23" i="185"/>
  <c r="AE23" i="185"/>
  <c r="Q23" i="185"/>
  <c r="AD23" i="185" s="1"/>
  <c r="P23" i="185"/>
  <c r="AC23" i="185" s="1"/>
  <c r="O23" i="185"/>
  <c r="AB23" i="185" s="1"/>
  <c r="N23" i="185"/>
  <c r="AA23" i="185" s="1"/>
  <c r="M23" i="185"/>
  <c r="Z23" i="185" s="1"/>
  <c r="L23" i="185"/>
  <c r="K23" i="185"/>
  <c r="J23" i="185"/>
  <c r="I23" i="185"/>
  <c r="H23" i="185"/>
  <c r="G23" i="185"/>
  <c r="F23" i="185"/>
  <c r="E23" i="185"/>
  <c r="D23" i="185"/>
  <c r="C23" i="185"/>
  <c r="AF14" i="187"/>
  <c r="AE14" i="187"/>
  <c r="Q14" i="187"/>
  <c r="AD14" i="187" s="1"/>
  <c r="P14" i="187"/>
  <c r="AC14" i="187" s="1"/>
  <c r="O14" i="187"/>
  <c r="AB14" i="187" s="1"/>
  <c r="N14" i="187"/>
  <c r="AA14" i="187" s="1"/>
  <c r="M14" i="187"/>
  <c r="Z14" i="187" s="1"/>
  <c r="L14" i="187"/>
  <c r="K14" i="187"/>
  <c r="J14" i="187"/>
  <c r="I14" i="187"/>
  <c r="H14" i="187"/>
  <c r="G14" i="187"/>
  <c r="F14" i="187"/>
  <c r="E14" i="187"/>
  <c r="D14" i="187"/>
  <c r="C14" i="187"/>
  <c r="AF13" i="187"/>
  <c r="AE13" i="187"/>
  <c r="Q13" i="187"/>
  <c r="AD13" i="187" s="1"/>
  <c r="P13" i="187"/>
  <c r="AC13" i="187" s="1"/>
  <c r="O13" i="187"/>
  <c r="AB13" i="187" s="1"/>
  <c r="N13" i="187"/>
  <c r="AA13" i="187" s="1"/>
  <c r="M13" i="187"/>
  <c r="Z13" i="187" s="1"/>
  <c r="L13" i="187"/>
  <c r="K13" i="187"/>
  <c r="J13" i="187"/>
  <c r="I13" i="187"/>
  <c r="H13" i="187"/>
  <c r="G13" i="187"/>
  <c r="F13" i="187"/>
  <c r="E13" i="187"/>
  <c r="D13" i="187"/>
  <c r="C13" i="187"/>
  <c r="AF12" i="188"/>
  <c r="AE12" i="188"/>
  <c r="Q12" i="188"/>
  <c r="AD12" i="188" s="1"/>
  <c r="P12" i="188"/>
  <c r="AC12" i="188" s="1"/>
  <c r="O12" i="188"/>
  <c r="AB12" i="188" s="1"/>
  <c r="N12" i="188"/>
  <c r="AA12" i="188" s="1"/>
  <c r="M12" i="188"/>
  <c r="Z12" i="188" s="1"/>
  <c r="L12" i="188"/>
  <c r="K12" i="188"/>
  <c r="J12" i="188"/>
  <c r="I12" i="188"/>
  <c r="H12" i="188"/>
  <c r="G12" i="188"/>
  <c r="F12" i="188"/>
  <c r="E12" i="188"/>
  <c r="D12" i="188"/>
  <c r="C12" i="188"/>
  <c r="AF11" i="188"/>
  <c r="AE11" i="188"/>
  <c r="Q11" i="188"/>
  <c r="AD11" i="188" s="1"/>
  <c r="P11" i="188"/>
  <c r="AC11" i="188" s="1"/>
  <c r="O11" i="188"/>
  <c r="AB11" i="188" s="1"/>
  <c r="N11" i="188"/>
  <c r="AA11" i="188" s="1"/>
  <c r="M11" i="188"/>
  <c r="Z11" i="188" s="1"/>
  <c r="L11" i="188"/>
  <c r="K11" i="188"/>
  <c r="J11" i="188"/>
  <c r="I11" i="188"/>
  <c r="H11" i="188"/>
  <c r="G11" i="188"/>
  <c r="F11" i="188"/>
  <c r="E11" i="188"/>
  <c r="D11" i="188"/>
  <c r="C11" i="188"/>
  <c r="C10" i="198"/>
  <c r="A4" i="192"/>
  <c r="A5" i="192" s="1"/>
  <c r="A6" i="192" s="1"/>
  <c r="A7" i="192" s="1"/>
  <c r="A8" i="192" s="1"/>
  <c r="A9" i="192" s="1"/>
  <c r="A10" i="192" s="1"/>
  <c r="A11" i="192" s="1"/>
  <c r="A12" i="192" s="1"/>
  <c r="A13" i="192" s="1"/>
  <c r="A14" i="192" s="1"/>
  <c r="A15" i="192" s="1"/>
  <c r="A16" i="192" s="1"/>
  <c r="A17" i="192" s="1"/>
  <c r="A18" i="192" s="1"/>
  <c r="A19" i="192" s="1"/>
  <c r="A20" i="192" s="1"/>
  <c r="A21" i="192" s="1"/>
  <c r="A22" i="192" s="1"/>
  <c r="A23" i="192" s="1"/>
  <c r="A24" i="192" s="1"/>
  <c r="A25" i="192" s="1"/>
  <c r="A26" i="192" s="1"/>
  <c r="A27" i="192" s="1"/>
  <c r="A28" i="192" s="1"/>
  <c r="A29" i="192" s="1"/>
  <c r="A30" i="192" s="1"/>
  <c r="A31" i="192" s="1"/>
  <c r="A32" i="192" s="1"/>
  <c r="A33" i="192" s="1"/>
  <c r="A34" i="192" s="1"/>
  <c r="A35" i="192" s="1"/>
  <c r="A36" i="192" s="1"/>
  <c r="A37" i="192" s="1"/>
  <c r="A38" i="192" s="1"/>
  <c r="A39" i="192" s="1"/>
  <c r="A40" i="192" s="1"/>
  <c r="A41" i="192" s="1"/>
  <c r="A42" i="192" s="1"/>
  <c r="A43" i="192" s="1"/>
  <c r="A44" i="192" s="1"/>
  <c r="A45" i="192" s="1"/>
  <c r="A46" i="192" s="1"/>
  <c r="A47" i="192" s="1"/>
  <c r="A48" i="192" s="1"/>
  <c r="A49" i="192" s="1"/>
  <c r="A50" i="192" s="1"/>
  <c r="A51" i="192" s="1"/>
  <c r="A52" i="192" s="1"/>
  <c r="A53" i="192" s="1"/>
  <c r="A54" i="192" s="1"/>
  <c r="A55" i="192" s="1"/>
  <c r="A56" i="192" s="1"/>
  <c r="A57" i="192" s="1"/>
  <c r="A58" i="192" s="1"/>
  <c r="A59" i="192" s="1"/>
  <c r="A60" i="192" s="1"/>
  <c r="A61" i="192" s="1"/>
  <c r="A62" i="192" s="1"/>
  <c r="A63" i="192" s="1"/>
  <c r="A64" i="192" s="1"/>
  <c r="A65" i="192" s="1"/>
  <c r="A66" i="192" s="1"/>
  <c r="A67" i="192" s="1"/>
  <c r="A68" i="192" s="1"/>
  <c r="A69" i="192" s="1"/>
  <c r="A70" i="192" s="1"/>
  <c r="A71" i="192" s="1"/>
  <c r="A72" i="192" s="1"/>
  <c r="A73" i="192" s="1"/>
  <c r="A74" i="192" s="1"/>
  <c r="A75" i="192" s="1"/>
  <c r="A76" i="192" s="1"/>
  <c r="A77" i="192" s="1"/>
  <c r="A78" i="192" s="1"/>
  <c r="A79" i="192" s="1"/>
  <c r="A80" i="192" s="1"/>
  <c r="A81" i="192" s="1"/>
  <c r="A82" i="192" s="1"/>
  <c r="A83" i="192" s="1"/>
  <c r="A84" i="192" s="1"/>
  <c r="A85" i="192" s="1"/>
  <c r="A86" i="192" s="1"/>
  <c r="A87" i="192" s="1"/>
  <c r="A88" i="192" s="1"/>
  <c r="A89" i="192" s="1"/>
  <c r="A90" i="192" s="1"/>
  <c r="A91" i="192" s="1"/>
  <c r="A92" i="192" s="1"/>
  <c r="A93" i="192" s="1"/>
  <c r="A94" i="192" s="1"/>
  <c r="A95" i="192" s="1"/>
  <c r="A96" i="192" s="1"/>
  <c r="A97" i="192" s="1"/>
  <c r="A98" i="192" s="1"/>
  <c r="A99" i="192" s="1"/>
  <c r="A100" i="192" s="1"/>
  <c r="A101" i="192" s="1"/>
  <c r="A102" i="192" s="1"/>
  <c r="A103" i="192" s="1"/>
  <c r="A104" i="192" s="1"/>
  <c r="A105" i="192" s="1"/>
  <c r="A106" i="192" s="1"/>
  <c r="A107" i="192" s="1"/>
  <c r="A108" i="192" s="1"/>
  <c r="A109" i="192" s="1"/>
  <c r="A110" i="192" s="1"/>
  <c r="A111" i="192" s="1"/>
  <c r="A112" i="192" s="1"/>
  <c r="A113" i="192" s="1"/>
  <c r="A114" i="192" s="1"/>
  <c r="A115" i="192" s="1"/>
  <c r="A116" i="192" s="1"/>
  <c r="A117" i="192" s="1"/>
  <c r="A118" i="192" s="1"/>
  <c r="A119" i="192" s="1"/>
  <c r="A120" i="192" s="1"/>
  <c r="A121" i="192" s="1"/>
  <c r="A122" i="192" s="1"/>
  <c r="A123" i="192" s="1"/>
  <c r="A124" i="192" s="1"/>
  <c r="A125" i="192" s="1"/>
  <c r="A126" i="192" s="1"/>
  <c r="A127" i="192" s="1"/>
  <c r="A128" i="192" s="1"/>
  <c r="A129" i="192" s="1"/>
  <c r="A130" i="192" s="1"/>
  <c r="A131" i="192" s="1"/>
  <c r="A132" i="192" s="1"/>
  <c r="A133" i="192" s="1"/>
  <c r="A134" i="192" s="1"/>
  <c r="A135" i="192" s="1"/>
  <c r="A136" i="192" s="1"/>
  <c r="A137" i="192" s="1"/>
  <c r="A138" i="192" s="1"/>
  <c r="A139" i="192" s="1"/>
  <c r="A140" i="192" s="1"/>
  <c r="A141" i="192" s="1"/>
  <c r="A142" i="192" s="1"/>
  <c r="A143" i="192" s="1"/>
  <c r="A144" i="192" s="1"/>
  <c r="A145" i="192" s="1"/>
  <c r="A146" i="192" s="1"/>
  <c r="A147" i="192" s="1"/>
  <c r="A148" i="192" s="1"/>
  <c r="A149" i="192" s="1"/>
  <c r="A150" i="192" s="1"/>
  <c r="A151" i="192" s="1"/>
  <c r="A152" i="192" s="1"/>
  <c r="A153" i="192" s="1"/>
  <c r="A154" i="192" s="1"/>
  <c r="A155" i="192" s="1"/>
  <c r="A156" i="192" s="1"/>
  <c r="A157" i="192" s="1"/>
  <c r="A158" i="192" s="1"/>
  <c r="A159" i="192" s="1"/>
  <c r="A160" i="192" s="1"/>
  <c r="A161" i="192" s="1"/>
  <c r="A162" i="192" s="1"/>
  <c r="A163" i="192" s="1"/>
  <c r="A164" i="192" s="1"/>
  <c r="A165" i="192" s="1"/>
  <c r="A166" i="192" s="1"/>
  <c r="A167" i="192" s="1"/>
  <c r="A168" i="192" s="1"/>
  <c r="A169" i="192" s="1"/>
  <c r="A170" i="192" s="1"/>
  <c r="A171" i="192" s="1"/>
  <c r="A172" i="192" s="1"/>
  <c r="A173" i="192" s="1"/>
  <c r="A174" i="192" s="1"/>
  <c r="A175" i="192" s="1"/>
  <c r="A176" i="192" s="1"/>
  <c r="A177" i="192" s="1"/>
  <c r="A178" i="192" s="1"/>
  <c r="A179" i="192" s="1"/>
  <c r="A180" i="192" s="1"/>
  <c r="A181" i="192" s="1"/>
  <c r="A182" i="192" s="1"/>
  <c r="A183" i="192" s="1"/>
  <c r="A184" i="192" s="1"/>
  <c r="A185" i="192" s="1"/>
  <c r="A186" i="192" s="1"/>
  <c r="A187" i="192" s="1"/>
  <c r="A188" i="192" s="1"/>
  <c r="A189" i="192" s="1"/>
  <c r="A190" i="192" s="1"/>
  <c r="A191" i="192" s="1"/>
  <c r="A192" i="192" s="1"/>
  <c r="A193" i="192" s="1"/>
  <c r="A194" i="192" s="1"/>
  <c r="A195" i="192" s="1"/>
  <c r="A196" i="192" s="1"/>
  <c r="A197" i="192" s="1"/>
  <c r="A198" i="192" s="1"/>
  <c r="A199" i="192" s="1"/>
  <c r="A200" i="192" s="1"/>
  <c r="A201" i="192" s="1"/>
  <c r="A202" i="192" s="1"/>
  <c r="A203" i="192" s="1"/>
  <c r="A204" i="192" s="1"/>
  <c r="A205" i="192" s="1"/>
  <c r="A206" i="192" s="1"/>
  <c r="A207" i="192" s="1"/>
  <c r="A208" i="192" s="1"/>
  <c r="A209" i="192" s="1"/>
  <c r="A210" i="192" s="1"/>
  <c r="A211" i="192" s="1"/>
  <c r="A212" i="192" s="1"/>
  <c r="A213" i="192" s="1"/>
  <c r="A214" i="192" s="1"/>
  <c r="A215" i="192" s="1"/>
  <c r="A216" i="192" s="1"/>
  <c r="A217" i="192" s="1"/>
  <c r="A218" i="192" s="1"/>
  <c r="A219" i="192" s="1"/>
  <c r="A220" i="192" s="1"/>
  <c r="A221" i="192" s="1"/>
  <c r="A222" i="192" s="1"/>
  <c r="A223" i="192" s="1"/>
  <c r="A224" i="192" s="1"/>
  <c r="A225" i="192" s="1"/>
  <c r="A226" i="192" s="1"/>
  <c r="A227" i="192" s="1"/>
  <c r="A228" i="192" s="1"/>
  <c r="A229" i="192" s="1"/>
  <c r="A230" i="192" s="1"/>
  <c r="A231" i="192" s="1"/>
  <c r="A232" i="192" s="1"/>
  <c r="A233" i="192" s="1"/>
  <c r="A234" i="192" s="1"/>
  <c r="A235" i="192" s="1"/>
  <c r="A236" i="192" s="1"/>
  <c r="A237" i="192" s="1"/>
  <c r="A238" i="192" s="1"/>
  <c r="A239" i="192" s="1"/>
  <c r="A240" i="192" s="1"/>
  <c r="A241" i="192" s="1"/>
  <c r="A242" i="192" s="1"/>
  <c r="A243" i="192" s="1"/>
  <c r="A244" i="192" s="1"/>
  <c r="A245" i="192" s="1"/>
  <c r="A246" i="192" s="1"/>
  <c r="A247" i="192" s="1"/>
  <c r="A248" i="192" s="1"/>
  <c r="A249" i="192" s="1"/>
  <c r="A250" i="192" s="1"/>
  <c r="A251" i="192" s="1"/>
  <c r="A252" i="192" s="1"/>
  <c r="A253" i="192" s="1"/>
  <c r="A254" i="192" s="1"/>
  <c r="A255" i="192" s="1"/>
  <c r="A256" i="192" s="1"/>
  <c r="A257" i="192" s="1"/>
  <c r="A258" i="192" s="1"/>
  <c r="A259" i="192" s="1"/>
  <c r="A260" i="192" s="1"/>
  <c r="A261" i="192" s="1"/>
  <c r="A262" i="192" s="1"/>
  <c r="A263" i="192" s="1"/>
  <c r="A264" i="192" s="1"/>
  <c r="A265" i="192" s="1"/>
  <c r="A266" i="192" s="1"/>
  <c r="A267" i="192" s="1"/>
  <c r="A268" i="192" s="1"/>
  <c r="A269" i="192" s="1"/>
  <c r="A270" i="192" s="1"/>
  <c r="A271" i="192" s="1"/>
  <c r="A272" i="192" s="1"/>
  <c r="A273" i="192" s="1"/>
  <c r="A274" i="192" s="1"/>
  <c r="A275" i="192" s="1"/>
  <c r="A276" i="192" s="1"/>
  <c r="A277" i="192" s="1"/>
  <c r="A278" i="192" s="1"/>
  <c r="A279" i="192" s="1"/>
  <c r="A280" i="192" s="1"/>
  <c r="A281" i="192" s="1"/>
  <c r="A282" i="192" s="1"/>
  <c r="A283" i="192" s="1"/>
  <c r="A284" i="192" s="1"/>
  <c r="A285" i="192" s="1"/>
  <c r="A286" i="192" s="1"/>
  <c r="A287" i="192" s="1"/>
  <c r="A288" i="192" s="1"/>
  <c r="A289" i="192" s="1"/>
  <c r="A290" i="192" s="1"/>
  <c r="A291" i="192" s="1"/>
  <c r="A292" i="192" s="1"/>
  <c r="A293" i="192" s="1"/>
  <c r="A294" i="192" s="1"/>
  <c r="A295" i="192" s="1"/>
  <c r="A296" i="192" s="1"/>
  <c r="A297" i="192" s="1"/>
  <c r="A298" i="192" s="1"/>
  <c r="A299" i="192" s="1"/>
  <c r="A300" i="192" s="1"/>
  <c r="A301" i="192" s="1"/>
  <c r="A302" i="192" s="1"/>
  <c r="A303" i="192" s="1"/>
  <c r="A304" i="192" s="1"/>
  <c r="A305" i="192" s="1"/>
  <c r="A306" i="192" s="1"/>
  <c r="A307" i="192" s="1"/>
  <c r="A308" i="192" s="1"/>
  <c r="A309" i="192" s="1"/>
  <c r="A310" i="192" s="1"/>
  <c r="A311" i="192" s="1"/>
  <c r="A312" i="192" s="1"/>
  <c r="A313" i="192" s="1"/>
  <c r="A314" i="192" s="1"/>
  <c r="A315" i="192" s="1"/>
  <c r="A316" i="192" s="1"/>
  <c r="A317" i="192" s="1"/>
  <c r="A318" i="192" s="1"/>
  <c r="A319" i="192" s="1"/>
  <c r="A320" i="192" s="1"/>
  <c r="A321" i="192" s="1"/>
  <c r="A322" i="192" s="1"/>
  <c r="A323" i="192" s="1"/>
  <c r="A324" i="192" s="1"/>
  <c r="A325" i="192" s="1"/>
  <c r="A326" i="192" s="1"/>
  <c r="A327" i="192" s="1"/>
  <c r="A328" i="192" s="1"/>
  <c r="A329" i="192" s="1"/>
  <c r="A330" i="192" s="1"/>
  <c r="A331" i="192" s="1"/>
  <c r="A332" i="192" s="1"/>
  <c r="A333" i="192" s="1"/>
  <c r="A334" i="192" s="1"/>
  <c r="A335" i="192" s="1"/>
  <c r="A336" i="192" s="1"/>
  <c r="A337" i="192" s="1"/>
  <c r="A338" i="192" s="1"/>
  <c r="A339" i="192" s="1"/>
  <c r="A340" i="192" s="1"/>
  <c r="A341" i="192" s="1"/>
  <c r="A342" i="192" s="1"/>
  <c r="A343" i="192" s="1"/>
  <c r="A344" i="192" s="1"/>
  <c r="A345" i="192" s="1"/>
  <c r="A346" i="192" s="1"/>
  <c r="A347" i="192" s="1"/>
  <c r="A348" i="192" s="1"/>
  <c r="A349" i="192" s="1"/>
  <c r="A350" i="192" s="1"/>
  <c r="A351" i="192" s="1"/>
  <c r="A352" i="192" s="1"/>
  <c r="A353" i="192" s="1"/>
  <c r="A354" i="192" s="1"/>
  <c r="A355" i="192" s="1"/>
  <c r="A356" i="192" s="1"/>
  <c r="A357" i="192" s="1"/>
  <c r="A358" i="192" s="1"/>
  <c r="A359" i="192" s="1"/>
  <c r="A360" i="192" s="1"/>
  <c r="A361" i="192" s="1"/>
  <c r="A362" i="192" s="1"/>
  <c r="A363" i="192" s="1"/>
  <c r="A364" i="192" s="1"/>
  <c r="A365" i="192" s="1"/>
  <c r="A366" i="192" s="1"/>
  <c r="A367" i="192" s="1"/>
  <c r="A368" i="192" s="1"/>
  <c r="A369" i="192" s="1"/>
  <c r="A370" i="192" s="1"/>
  <c r="A371" i="192" s="1"/>
  <c r="A372" i="192" s="1"/>
  <c r="A373" i="192" s="1"/>
  <c r="A374" i="192" s="1"/>
  <c r="A375" i="192" s="1"/>
  <c r="A376" i="192" s="1"/>
  <c r="A377" i="192" s="1"/>
  <c r="A378" i="192" s="1"/>
  <c r="A379" i="192" s="1"/>
  <c r="A380" i="192" s="1"/>
  <c r="A381" i="192" s="1"/>
  <c r="A382" i="192" s="1"/>
  <c r="A383" i="192" s="1"/>
  <c r="A384" i="192" s="1"/>
  <c r="A385" i="192" s="1"/>
  <c r="A386" i="192" s="1"/>
  <c r="A387" i="192" s="1"/>
  <c r="A388" i="192" s="1"/>
  <c r="A389" i="192" s="1"/>
  <c r="A390" i="192" s="1"/>
  <c r="A391" i="192" s="1"/>
  <c r="A392" i="192" s="1"/>
  <c r="A393" i="192" s="1"/>
  <c r="A394" i="192" s="1"/>
  <c r="A395" i="192" s="1"/>
  <c r="A396" i="192" s="1"/>
  <c r="A397" i="192" s="1"/>
  <c r="A398" i="192" s="1"/>
  <c r="A399" i="192" s="1"/>
  <c r="A400" i="192" s="1"/>
  <c r="A401" i="192" s="1"/>
  <c r="A402" i="192" s="1"/>
  <c r="A403" i="192" s="1"/>
  <c r="A404" i="192" s="1"/>
  <c r="A405" i="192" s="1"/>
  <c r="A406" i="192" s="1"/>
  <c r="A407" i="192" s="1"/>
  <c r="A408" i="192" s="1"/>
  <c r="A409" i="192" s="1"/>
  <c r="A410" i="192" s="1"/>
  <c r="A411" i="192" s="1"/>
  <c r="A412" i="192" s="1"/>
  <c r="A413" i="192" s="1"/>
  <c r="A414" i="192" s="1"/>
  <c r="A415" i="192" s="1"/>
  <c r="A416" i="192" s="1"/>
  <c r="A417" i="192" s="1"/>
  <c r="A418" i="192" s="1"/>
  <c r="A419" i="192" s="1"/>
  <c r="A420" i="192" s="1"/>
  <c r="A421" i="192" s="1"/>
  <c r="A422" i="192" s="1"/>
  <c r="A423" i="192" s="1"/>
  <c r="A424" i="192" s="1"/>
  <c r="A425" i="192" s="1"/>
  <c r="A426" i="192" s="1"/>
  <c r="A427" i="192" s="1"/>
  <c r="A428" i="192" s="1"/>
  <c r="A429" i="192" s="1"/>
  <c r="A430" i="192" s="1"/>
  <c r="A431" i="192" s="1"/>
  <c r="A432" i="192" s="1"/>
  <c r="A433" i="192" s="1"/>
  <c r="A434" i="192" s="1"/>
  <c r="A435" i="192" s="1"/>
  <c r="A436" i="192" s="1"/>
  <c r="A437" i="192" s="1"/>
  <c r="A438" i="192" s="1"/>
  <c r="A439" i="192" s="1"/>
  <c r="A440" i="192" s="1"/>
  <c r="A441" i="192" s="1"/>
  <c r="A442" i="192" s="1"/>
  <c r="A443" i="192" s="1"/>
  <c r="AF466" i="192"/>
  <c r="AE466" i="192"/>
  <c r="Q466" i="192"/>
  <c r="AD466" i="192" s="1"/>
  <c r="P466" i="192"/>
  <c r="AC466" i="192" s="1"/>
  <c r="O466" i="192"/>
  <c r="AB466" i="192" s="1"/>
  <c r="N466" i="192"/>
  <c r="AA466" i="192" s="1"/>
  <c r="M466" i="192"/>
  <c r="Z466" i="192" s="1"/>
  <c r="L466" i="192"/>
  <c r="K466" i="192"/>
  <c r="J466" i="192"/>
  <c r="I466" i="192"/>
  <c r="H466" i="192"/>
  <c r="G466" i="192"/>
  <c r="F466" i="192"/>
  <c r="E466" i="192"/>
  <c r="D466" i="192"/>
  <c r="C466" i="192"/>
  <c r="AF465" i="192"/>
  <c r="AE465" i="192"/>
  <c r="Q465" i="192"/>
  <c r="AD465" i="192" s="1"/>
  <c r="P465" i="192"/>
  <c r="AC465" i="192" s="1"/>
  <c r="O465" i="192"/>
  <c r="AB465" i="192" s="1"/>
  <c r="N465" i="192"/>
  <c r="AA465" i="192" s="1"/>
  <c r="M465" i="192"/>
  <c r="Z465" i="192" s="1"/>
  <c r="L465" i="192"/>
  <c r="K465" i="192"/>
  <c r="J465" i="192"/>
  <c r="I465" i="192"/>
  <c r="H465" i="192"/>
  <c r="G465" i="192"/>
  <c r="F465" i="192"/>
  <c r="E465" i="192"/>
  <c r="D465" i="192"/>
  <c r="C465" i="192"/>
  <c r="AF464" i="192"/>
  <c r="AE464" i="192"/>
  <c r="Q464" i="192"/>
  <c r="AD464" i="192" s="1"/>
  <c r="P464" i="192"/>
  <c r="AC464" i="192" s="1"/>
  <c r="O464" i="192"/>
  <c r="AB464" i="192" s="1"/>
  <c r="N464" i="192"/>
  <c r="AA464" i="192" s="1"/>
  <c r="M464" i="192"/>
  <c r="Z464" i="192" s="1"/>
  <c r="L464" i="192"/>
  <c r="K464" i="192"/>
  <c r="J464" i="192"/>
  <c r="I464" i="192"/>
  <c r="H464" i="192"/>
  <c r="G464" i="192"/>
  <c r="F464" i="192"/>
  <c r="E464" i="192"/>
  <c r="D464" i="192"/>
  <c r="C464" i="192"/>
  <c r="AF463" i="192"/>
  <c r="AE463" i="192"/>
  <c r="Q463" i="192"/>
  <c r="AD463" i="192" s="1"/>
  <c r="P463" i="192"/>
  <c r="AC463" i="192" s="1"/>
  <c r="O463" i="192"/>
  <c r="AB463" i="192" s="1"/>
  <c r="N463" i="192"/>
  <c r="AA463" i="192" s="1"/>
  <c r="M463" i="192"/>
  <c r="Z463" i="192" s="1"/>
  <c r="L463" i="192"/>
  <c r="K463" i="192"/>
  <c r="J463" i="192"/>
  <c r="I463" i="192"/>
  <c r="H463" i="192"/>
  <c r="G463" i="192"/>
  <c r="F463" i="192"/>
  <c r="E463" i="192"/>
  <c r="D463" i="192"/>
  <c r="C463" i="192"/>
  <c r="AF462" i="192"/>
  <c r="AE462" i="192"/>
  <c r="Q462" i="192"/>
  <c r="AD462" i="192" s="1"/>
  <c r="P462" i="192"/>
  <c r="AC462" i="192" s="1"/>
  <c r="O462" i="192"/>
  <c r="AB462" i="192" s="1"/>
  <c r="N462" i="192"/>
  <c r="AA462" i="192" s="1"/>
  <c r="M462" i="192"/>
  <c r="Z462" i="192" s="1"/>
  <c r="L462" i="192"/>
  <c r="K462" i="192"/>
  <c r="J462" i="192"/>
  <c r="I462" i="192"/>
  <c r="H462" i="192"/>
  <c r="G462" i="192"/>
  <c r="F462" i="192"/>
  <c r="E462" i="192"/>
  <c r="D462" i="192"/>
  <c r="C462" i="192"/>
  <c r="AF461" i="192"/>
  <c r="AE461" i="192"/>
  <c r="Q461" i="192"/>
  <c r="AD461" i="192" s="1"/>
  <c r="P461" i="192"/>
  <c r="AC461" i="192" s="1"/>
  <c r="O461" i="192"/>
  <c r="AB461" i="192" s="1"/>
  <c r="N461" i="192"/>
  <c r="AA461" i="192" s="1"/>
  <c r="M461" i="192"/>
  <c r="Z461" i="192" s="1"/>
  <c r="L461" i="192"/>
  <c r="K461" i="192"/>
  <c r="J461" i="192"/>
  <c r="I461" i="192"/>
  <c r="H461" i="192"/>
  <c r="G461" i="192"/>
  <c r="F461" i="192"/>
  <c r="E461" i="192"/>
  <c r="D461" i="192"/>
  <c r="C461" i="192"/>
  <c r="AF460" i="192"/>
  <c r="AE460" i="192"/>
  <c r="Q460" i="192"/>
  <c r="AD460" i="192" s="1"/>
  <c r="P460" i="192"/>
  <c r="AC460" i="192" s="1"/>
  <c r="O460" i="192"/>
  <c r="AB460" i="192" s="1"/>
  <c r="N460" i="192"/>
  <c r="AA460" i="192" s="1"/>
  <c r="M460" i="192"/>
  <c r="Z460" i="192" s="1"/>
  <c r="L460" i="192"/>
  <c r="K460" i="192"/>
  <c r="J460" i="192"/>
  <c r="I460" i="192"/>
  <c r="H460" i="192"/>
  <c r="G460" i="192"/>
  <c r="F460" i="192"/>
  <c r="E460" i="192"/>
  <c r="D460" i="192"/>
  <c r="C460" i="192"/>
  <c r="AF459" i="192"/>
  <c r="AE459" i="192"/>
  <c r="Q459" i="192"/>
  <c r="AD459" i="192" s="1"/>
  <c r="P459" i="192"/>
  <c r="AC459" i="192" s="1"/>
  <c r="O459" i="192"/>
  <c r="AB459" i="192" s="1"/>
  <c r="N459" i="192"/>
  <c r="AA459" i="192" s="1"/>
  <c r="M459" i="192"/>
  <c r="Z459" i="192" s="1"/>
  <c r="L459" i="192"/>
  <c r="K459" i="192"/>
  <c r="J459" i="192"/>
  <c r="I459" i="192"/>
  <c r="H459" i="192"/>
  <c r="G459" i="192"/>
  <c r="F459" i="192"/>
  <c r="E459" i="192"/>
  <c r="D459" i="192"/>
  <c r="C459" i="192"/>
  <c r="AF458" i="192"/>
  <c r="AE458" i="192"/>
  <c r="Q458" i="192"/>
  <c r="AD458" i="192" s="1"/>
  <c r="P458" i="192"/>
  <c r="AC458" i="192" s="1"/>
  <c r="O458" i="192"/>
  <c r="AB458" i="192" s="1"/>
  <c r="N458" i="192"/>
  <c r="AA458" i="192" s="1"/>
  <c r="M458" i="192"/>
  <c r="Z458" i="192" s="1"/>
  <c r="L458" i="192"/>
  <c r="K458" i="192"/>
  <c r="J458" i="192"/>
  <c r="I458" i="192"/>
  <c r="H458" i="192"/>
  <c r="G458" i="192"/>
  <c r="F458" i="192"/>
  <c r="E458" i="192"/>
  <c r="D458" i="192"/>
  <c r="C458" i="192"/>
  <c r="AF457" i="192"/>
  <c r="AE457" i="192"/>
  <c r="Q457" i="192"/>
  <c r="AD457" i="192" s="1"/>
  <c r="P457" i="192"/>
  <c r="AC457" i="192" s="1"/>
  <c r="O457" i="192"/>
  <c r="AB457" i="192" s="1"/>
  <c r="N457" i="192"/>
  <c r="AA457" i="192" s="1"/>
  <c r="M457" i="192"/>
  <c r="Z457" i="192" s="1"/>
  <c r="L457" i="192"/>
  <c r="K457" i="192"/>
  <c r="J457" i="192"/>
  <c r="I457" i="192"/>
  <c r="H457" i="192"/>
  <c r="G457" i="192"/>
  <c r="F457" i="192"/>
  <c r="E457" i="192"/>
  <c r="D457" i="192"/>
  <c r="C457" i="192"/>
  <c r="AF456" i="192"/>
  <c r="AE456" i="192"/>
  <c r="Q456" i="192"/>
  <c r="AD456" i="192" s="1"/>
  <c r="P456" i="192"/>
  <c r="AC456" i="192" s="1"/>
  <c r="O456" i="192"/>
  <c r="AB456" i="192" s="1"/>
  <c r="N456" i="192"/>
  <c r="AA456" i="192" s="1"/>
  <c r="M456" i="192"/>
  <c r="Z456" i="192" s="1"/>
  <c r="L456" i="192"/>
  <c r="K456" i="192"/>
  <c r="J456" i="192"/>
  <c r="I456" i="192"/>
  <c r="H456" i="192"/>
  <c r="G456" i="192"/>
  <c r="F456" i="192"/>
  <c r="E456" i="192"/>
  <c r="D456" i="192"/>
  <c r="C456" i="192"/>
  <c r="AF455" i="192"/>
  <c r="AE455" i="192"/>
  <c r="Q455" i="192"/>
  <c r="AD455" i="192" s="1"/>
  <c r="P455" i="192"/>
  <c r="AC455" i="192" s="1"/>
  <c r="O455" i="192"/>
  <c r="AB455" i="192" s="1"/>
  <c r="N455" i="192"/>
  <c r="AA455" i="192" s="1"/>
  <c r="M455" i="192"/>
  <c r="Z455" i="192" s="1"/>
  <c r="L455" i="192"/>
  <c r="K455" i="192"/>
  <c r="J455" i="192"/>
  <c r="I455" i="192"/>
  <c r="H455" i="192"/>
  <c r="G455" i="192"/>
  <c r="F455" i="192"/>
  <c r="E455" i="192"/>
  <c r="D455" i="192"/>
  <c r="C455" i="192"/>
  <c r="AF454" i="192"/>
  <c r="AE454" i="192"/>
  <c r="Q454" i="192"/>
  <c r="AD454" i="192" s="1"/>
  <c r="P454" i="192"/>
  <c r="AC454" i="192" s="1"/>
  <c r="O454" i="192"/>
  <c r="AB454" i="192" s="1"/>
  <c r="N454" i="192"/>
  <c r="AA454" i="192" s="1"/>
  <c r="M454" i="192"/>
  <c r="Z454" i="192" s="1"/>
  <c r="L454" i="192"/>
  <c r="K454" i="192"/>
  <c r="J454" i="192"/>
  <c r="I454" i="192"/>
  <c r="H454" i="192"/>
  <c r="G454" i="192"/>
  <c r="F454" i="192"/>
  <c r="E454" i="192"/>
  <c r="D454" i="192"/>
  <c r="C454" i="192"/>
  <c r="AF453" i="192"/>
  <c r="AE453" i="192"/>
  <c r="Q453" i="192"/>
  <c r="AD453" i="192" s="1"/>
  <c r="P453" i="192"/>
  <c r="AC453" i="192" s="1"/>
  <c r="O453" i="192"/>
  <c r="AB453" i="192" s="1"/>
  <c r="N453" i="192"/>
  <c r="AA453" i="192" s="1"/>
  <c r="M453" i="192"/>
  <c r="Z453" i="192" s="1"/>
  <c r="L453" i="192"/>
  <c r="K453" i="192"/>
  <c r="J453" i="192"/>
  <c r="I453" i="192"/>
  <c r="H453" i="192"/>
  <c r="G453" i="192"/>
  <c r="F453" i="192"/>
  <c r="E453" i="192"/>
  <c r="D453" i="192"/>
  <c r="C453" i="192"/>
  <c r="AF452" i="192"/>
  <c r="AE452" i="192"/>
  <c r="Q452" i="192"/>
  <c r="AD452" i="192" s="1"/>
  <c r="P452" i="192"/>
  <c r="AC452" i="192" s="1"/>
  <c r="O452" i="192"/>
  <c r="AB452" i="192" s="1"/>
  <c r="N452" i="192"/>
  <c r="AA452" i="192" s="1"/>
  <c r="M452" i="192"/>
  <c r="Z452" i="192" s="1"/>
  <c r="L452" i="192"/>
  <c r="K452" i="192"/>
  <c r="J452" i="192"/>
  <c r="I452" i="192"/>
  <c r="H452" i="192"/>
  <c r="G452" i="192"/>
  <c r="F452" i="192"/>
  <c r="E452" i="192"/>
  <c r="D452" i="192"/>
  <c r="C452" i="192"/>
  <c r="AF451" i="192"/>
  <c r="AE451" i="192"/>
  <c r="Q451" i="192"/>
  <c r="AD451" i="192" s="1"/>
  <c r="P451" i="192"/>
  <c r="AC451" i="192" s="1"/>
  <c r="O451" i="192"/>
  <c r="AB451" i="192" s="1"/>
  <c r="N451" i="192"/>
  <c r="AA451" i="192" s="1"/>
  <c r="M451" i="192"/>
  <c r="Z451" i="192" s="1"/>
  <c r="L451" i="192"/>
  <c r="K451" i="192"/>
  <c r="J451" i="192"/>
  <c r="I451" i="192"/>
  <c r="H451" i="192"/>
  <c r="G451" i="192"/>
  <c r="F451" i="192"/>
  <c r="E451" i="192"/>
  <c r="D451" i="192"/>
  <c r="C451" i="192"/>
  <c r="AF450" i="192"/>
  <c r="AE450" i="192"/>
  <c r="Q450" i="192"/>
  <c r="AD450" i="192" s="1"/>
  <c r="P450" i="192"/>
  <c r="AC450" i="192" s="1"/>
  <c r="O450" i="192"/>
  <c r="AB450" i="192" s="1"/>
  <c r="N450" i="192"/>
  <c r="AA450" i="192" s="1"/>
  <c r="M450" i="192"/>
  <c r="Z450" i="192" s="1"/>
  <c r="L450" i="192"/>
  <c r="K450" i="192"/>
  <c r="J450" i="192"/>
  <c r="I450" i="192"/>
  <c r="H450" i="192"/>
  <c r="G450" i="192"/>
  <c r="F450" i="192"/>
  <c r="E450" i="192"/>
  <c r="D450" i="192"/>
  <c r="C450" i="192"/>
  <c r="AF449" i="192"/>
  <c r="AE449" i="192"/>
  <c r="Q449" i="192"/>
  <c r="AD449" i="192" s="1"/>
  <c r="P449" i="192"/>
  <c r="AC449" i="192" s="1"/>
  <c r="O449" i="192"/>
  <c r="AB449" i="192" s="1"/>
  <c r="N449" i="192"/>
  <c r="AA449" i="192" s="1"/>
  <c r="M449" i="192"/>
  <c r="Z449" i="192" s="1"/>
  <c r="L449" i="192"/>
  <c r="K449" i="192"/>
  <c r="J449" i="192"/>
  <c r="I449" i="192"/>
  <c r="H449" i="192"/>
  <c r="G449" i="192"/>
  <c r="F449" i="192"/>
  <c r="E449" i="192"/>
  <c r="D449" i="192"/>
  <c r="C449" i="192"/>
  <c r="AF448" i="192"/>
  <c r="AE448" i="192"/>
  <c r="Q448" i="192"/>
  <c r="AD448" i="192" s="1"/>
  <c r="P448" i="192"/>
  <c r="AC448" i="192" s="1"/>
  <c r="O448" i="192"/>
  <c r="AB448" i="192" s="1"/>
  <c r="N448" i="192"/>
  <c r="AA448" i="192" s="1"/>
  <c r="M448" i="192"/>
  <c r="Z448" i="192" s="1"/>
  <c r="L448" i="192"/>
  <c r="K448" i="192"/>
  <c r="J448" i="192"/>
  <c r="I448" i="192"/>
  <c r="H448" i="192"/>
  <c r="G448" i="192"/>
  <c r="F448" i="192"/>
  <c r="E448" i="192"/>
  <c r="D448" i="192"/>
  <c r="C448" i="192"/>
  <c r="AF447" i="192"/>
  <c r="AE447" i="192"/>
  <c r="Q447" i="192"/>
  <c r="AD447" i="192" s="1"/>
  <c r="P447" i="192"/>
  <c r="AC447" i="192" s="1"/>
  <c r="O447" i="192"/>
  <c r="AB447" i="192" s="1"/>
  <c r="N447" i="192"/>
  <c r="AA447" i="192" s="1"/>
  <c r="M447" i="192"/>
  <c r="Z447" i="192" s="1"/>
  <c r="L447" i="192"/>
  <c r="K447" i="192"/>
  <c r="J447" i="192"/>
  <c r="I447" i="192"/>
  <c r="H447" i="192"/>
  <c r="G447" i="192"/>
  <c r="F447" i="192"/>
  <c r="E447" i="192"/>
  <c r="D447" i="192"/>
  <c r="C447" i="192"/>
  <c r="AF446" i="192"/>
  <c r="AE446" i="192"/>
  <c r="Q446" i="192"/>
  <c r="AD446" i="192" s="1"/>
  <c r="P446" i="192"/>
  <c r="AC446" i="192" s="1"/>
  <c r="O446" i="192"/>
  <c r="AB446" i="192" s="1"/>
  <c r="N446" i="192"/>
  <c r="AA446" i="192" s="1"/>
  <c r="M446" i="192"/>
  <c r="Z446" i="192" s="1"/>
  <c r="L446" i="192"/>
  <c r="K446" i="192"/>
  <c r="J446" i="192"/>
  <c r="I446" i="192"/>
  <c r="H446" i="192"/>
  <c r="G446" i="192"/>
  <c r="F446" i="192"/>
  <c r="E446" i="192"/>
  <c r="D446" i="192"/>
  <c r="C446" i="192"/>
  <c r="AF445" i="192"/>
  <c r="AE445" i="192"/>
  <c r="Q445" i="192"/>
  <c r="AD445" i="192" s="1"/>
  <c r="P445" i="192"/>
  <c r="AC445" i="192" s="1"/>
  <c r="O445" i="192"/>
  <c r="AB445" i="192" s="1"/>
  <c r="N445" i="192"/>
  <c r="AA445" i="192" s="1"/>
  <c r="M445" i="192"/>
  <c r="Z445" i="192" s="1"/>
  <c r="L445" i="192"/>
  <c r="K445" i="192"/>
  <c r="J445" i="192"/>
  <c r="I445" i="192"/>
  <c r="H445" i="192"/>
  <c r="G445" i="192"/>
  <c r="F445" i="192"/>
  <c r="E445" i="192"/>
  <c r="D445" i="192"/>
  <c r="C445" i="192"/>
  <c r="AF444" i="192"/>
  <c r="AE444" i="192"/>
  <c r="Q444" i="192"/>
  <c r="AD444" i="192" s="1"/>
  <c r="P444" i="192"/>
  <c r="AC444" i="192" s="1"/>
  <c r="O444" i="192"/>
  <c r="AB444" i="192" s="1"/>
  <c r="N444" i="192"/>
  <c r="AA444" i="192" s="1"/>
  <c r="M444" i="192"/>
  <c r="Z444" i="192" s="1"/>
  <c r="L444" i="192"/>
  <c r="K444" i="192"/>
  <c r="J444" i="192"/>
  <c r="I444" i="192"/>
  <c r="H444" i="192"/>
  <c r="G444" i="192"/>
  <c r="F444" i="192"/>
  <c r="E444" i="192"/>
  <c r="D444" i="192"/>
  <c r="C444" i="192"/>
  <c r="AF443" i="192"/>
  <c r="AE443" i="192"/>
  <c r="Q443" i="192"/>
  <c r="AD443" i="192" s="1"/>
  <c r="P443" i="192"/>
  <c r="AC443" i="192" s="1"/>
  <c r="O443" i="192"/>
  <c r="AB443" i="192" s="1"/>
  <c r="N443" i="192"/>
  <c r="AA443" i="192" s="1"/>
  <c r="M443" i="192"/>
  <c r="Z443" i="192" s="1"/>
  <c r="L443" i="192"/>
  <c r="K443" i="192"/>
  <c r="J443" i="192"/>
  <c r="I443" i="192"/>
  <c r="H443" i="192"/>
  <c r="G443" i="192"/>
  <c r="F443" i="192"/>
  <c r="E443" i="192"/>
  <c r="D443" i="192"/>
  <c r="C443" i="192"/>
  <c r="AF442" i="192"/>
  <c r="AE442" i="192"/>
  <c r="Q442" i="192"/>
  <c r="AD442" i="192" s="1"/>
  <c r="P442" i="192"/>
  <c r="AC442" i="192" s="1"/>
  <c r="O442" i="192"/>
  <c r="AB442" i="192" s="1"/>
  <c r="N442" i="192"/>
  <c r="AA442" i="192" s="1"/>
  <c r="M442" i="192"/>
  <c r="Z442" i="192" s="1"/>
  <c r="L442" i="192"/>
  <c r="K442" i="192"/>
  <c r="J442" i="192"/>
  <c r="I442" i="192"/>
  <c r="H442" i="192"/>
  <c r="G442" i="192"/>
  <c r="F442" i="192"/>
  <c r="E442" i="192"/>
  <c r="D442" i="192"/>
  <c r="C442" i="192"/>
  <c r="AF441" i="192"/>
  <c r="AE441" i="192"/>
  <c r="Q441" i="192"/>
  <c r="AD441" i="192" s="1"/>
  <c r="P441" i="192"/>
  <c r="AC441" i="192" s="1"/>
  <c r="O441" i="192"/>
  <c r="AB441" i="192" s="1"/>
  <c r="N441" i="192"/>
  <c r="AA441" i="192" s="1"/>
  <c r="M441" i="192"/>
  <c r="Z441" i="192" s="1"/>
  <c r="L441" i="192"/>
  <c r="K441" i="192"/>
  <c r="J441" i="192"/>
  <c r="I441" i="192"/>
  <c r="H441" i="192"/>
  <c r="G441" i="192"/>
  <c r="F441" i="192"/>
  <c r="E441" i="192"/>
  <c r="D441" i="192"/>
  <c r="C441" i="192"/>
  <c r="AF440" i="192"/>
  <c r="AE440" i="192"/>
  <c r="Q440" i="192"/>
  <c r="AD440" i="192" s="1"/>
  <c r="P440" i="192"/>
  <c r="AC440" i="192" s="1"/>
  <c r="O440" i="192"/>
  <c r="AB440" i="192" s="1"/>
  <c r="N440" i="192"/>
  <c r="AA440" i="192" s="1"/>
  <c r="M440" i="192"/>
  <c r="Z440" i="192" s="1"/>
  <c r="L440" i="192"/>
  <c r="K440" i="192"/>
  <c r="J440" i="192"/>
  <c r="I440" i="192"/>
  <c r="H440" i="192"/>
  <c r="G440" i="192"/>
  <c r="F440" i="192"/>
  <c r="E440" i="192"/>
  <c r="D440" i="192"/>
  <c r="C440" i="192"/>
  <c r="AF439" i="192"/>
  <c r="AE439" i="192"/>
  <c r="Q439" i="192"/>
  <c r="AD439" i="192" s="1"/>
  <c r="P439" i="192"/>
  <c r="AC439" i="192" s="1"/>
  <c r="O439" i="192"/>
  <c r="AB439" i="192" s="1"/>
  <c r="N439" i="192"/>
  <c r="AA439" i="192" s="1"/>
  <c r="M439" i="192"/>
  <c r="Z439" i="192" s="1"/>
  <c r="L439" i="192"/>
  <c r="K439" i="192"/>
  <c r="J439" i="192"/>
  <c r="I439" i="192"/>
  <c r="H439" i="192"/>
  <c r="G439" i="192"/>
  <c r="F439" i="192"/>
  <c r="E439" i="192"/>
  <c r="D439" i="192"/>
  <c r="C439" i="192"/>
  <c r="AF438" i="192"/>
  <c r="AE438" i="192"/>
  <c r="Q438" i="192"/>
  <c r="AD438" i="192" s="1"/>
  <c r="P438" i="192"/>
  <c r="AC438" i="192" s="1"/>
  <c r="O438" i="192"/>
  <c r="AB438" i="192" s="1"/>
  <c r="N438" i="192"/>
  <c r="AA438" i="192" s="1"/>
  <c r="M438" i="192"/>
  <c r="Z438" i="192" s="1"/>
  <c r="L438" i="192"/>
  <c r="K438" i="192"/>
  <c r="J438" i="192"/>
  <c r="I438" i="192"/>
  <c r="H438" i="192"/>
  <c r="G438" i="192"/>
  <c r="F438" i="192"/>
  <c r="E438" i="192"/>
  <c r="D438" i="192"/>
  <c r="C438" i="192"/>
  <c r="AF437" i="192"/>
  <c r="AE437" i="192"/>
  <c r="Q437" i="192"/>
  <c r="AD437" i="192" s="1"/>
  <c r="P437" i="192"/>
  <c r="AC437" i="192" s="1"/>
  <c r="O437" i="192"/>
  <c r="AB437" i="192" s="1"/>
  <c r="N437" i="192"/>
  <c r="AA437" i="192" s="1"/>
  <c r="M437" i="192"/>
  <c r="Z437" i="192" s="1"/>
  <c r="L437" i="192"/>
  <c r="K437" i="192"/>
  <c r="J437" i="192"/>
  <c r="I437" i="192"/>
  <c r="H437" i="192"/>
  <c r="G437" i="192"/>
  <c r="F437" i="192"/>
  <c r="E437" i="192"/>
  <c r="D437" i="192"/>
  <c r="C437" i="192"/>
  <c r="AF436" i="192"/>
  <c r="AE436" i="192"/>
  <c r="Q436" i="192"/>
  <c r="AD436" i="192" s="1"/>
  <c r="P436" i="192"/>
  <c r="AC436" i="192" s="1"/>
  <c r="O436" i="192"/>
  <c r="AB436" i="192" s="1"/>
  <c r="N436" i="192"/>
  <c r="AA436" i="192" s="1"/>
  <c r="M436" i="192"/>
  <c r="Z436" i="192" s="1"/>
  <c r="L436" i="192"/>
  <c r="K436" i="192"/>
  <c r="J436" i="192"/>
  <c r="I436" i="192"/>
  <c r="H436" i="192"/>
  <c r="G436" i="192"/>
  <c r="F436" i="192"/>
  <c r="E436" i="192"/>
  <c r="D436" i="192"/>
  <c r="C436" i="192"/>
  <c r="AF435" i="192"/>
  <c r="AE435" i="192"/>
  <c r="Q435" i="192"/>
  <c r="AD435" i="192" s="1"/>
  <c r="P435" i="192"/>
  <c r="AC435" i="192" s="1"/>
  <c r="O435" i="192"/>
  <c r="AB435" i="192" s="1"/>
  <c r="N435" i="192"/>
  <c r="AA435" i="192" s="1"/>
  <c r="M435" i="192"/>
  <c r="Z435" i="192" s="1"/>
  <c r="L435" i="192"/>
  <c r="K435" i="192"/>
  <c r="J435" i="192"/>
  <c r="I435" i="192"/>
  <c r="H435" i="192"/>
  <c r="G435" i="192"/>
  <c r="F435" i="192"/>
  <c r="E435" i="192"/>
  <c r="D435" i="192"/>
  <c r="C435" i="192"/>
  <c r="AF434" i="192"/>
  <c r="AE434" i="192"/>
  <c r="Q434" i="192"/>
  <c r="AD434" i="192" s="1"/>
  <c r="P434" i="192"/>
  <c r="AC434" i="192" s="1"/>
  <c r="O434" i="192"/>
  <c r="AB434" i="192" s="1"/>
  <c r="N434" i="192"/>
  <c r="AA434" i="192" s="1"/>
  <c r="M434" i="192"/>
  <c r="Z434" i="192" s="1"/>
  <c r="L434" i="192"/>
  <c r="K434" i="192"/>
  <c r="J434" i="192"/>
  <c r="I434" i="192"/>
  <c r="H434" i="192"/>
  <c r="G434" i="192"/>
  <c r="F434" i="192"/>
  <c r="E434" i="192"/>
  <c r="D434" i="192"/>
  <c r="C434" i="192"/>
  <c r="AF433" i="192"/>
  <c r="AE433" i="192"/>
  <c r="Q433" i="192"/>
  <c r="AD433" i="192" s="1"/>
  <c r="P433" i="192"/>
  <c r="AC433" i="192" s="1"/>
  <c r="O433" i="192"/>
  <c r="AB433" i="192" s="1"/>
  <c r="N433" i="192"/>
  <c r="AA433" i="192" s="1"/>
  <c r="M433" i="192"/>
  <c r="Z433" i="192" s="1"/>
  <c r="L433" i="192"/>
  <c r="K433" i="192"/>
  <c r="J433" i="192"/>
  <c r="I433" i="192"/>
  <c r="H433" i="192"/>
  <c r="G433" i="192"/>
  <c r="F433" i="192"/>
  <c r="E433" i="192"/>
  <c r="D433" i="192"/>
  <c r="C433" i="192"/>
  <c r="AF432" i="192"/>
  <c r="AE432" i="192"/>
  <c r="Q432" i="192"/>
  <c r="AD432" i="192" s="1"/>
  <c r="P432" i="192"/>
  <c r="AC432" i="192" s="1"/>
  <c r="O432" i="192"/>
  <c r="AB432" i="192" s="1"/>
  <c r="N432" i="192"/>
  <c r="AA432" i="192" s="1"/>
  <c r="M432" i="192"/>
  <c r="Z432" i="192" s="1"/>
  <c r="L432" i="192"/>
  <c r="K432" i="192"/>
  <c r="J432" i="192"/>
  <c r="I432" i="192"/>
  <c r="H432" i="192"/>
  <c r="G432" i="192"/>
  <c r="F432" i="192"/>
  <c r="E432" i="192"/>
  <c r="D432" i="192"/>
  <c r="C432" i="192"/>
  <c r="AF431" i="192"/>
  <c r="AE431" i="192"/>
  <c r="Q431" i="192"/>
  <c r="AD431" i="192" s="1"/>
  <c r="P431" i="192"/>
  <c r="AC431" i="192" s="1"/>
  <c r="O431" i="192"/>
  <c r="AB431" i="192" s="1"/>
  <c r="N431" i="192"/>
  <c r="AA431" i="192" s="1"/>
  <c r="M431" i="192"/>
  <c r="Z431" i="192" s="1"/>
  <c r="L431" i="192"/>
  <c r="K431" i="192"/>
  <c r="J431" i="192"/>
  <c r="I431" i="192"/>
  <c r="H431" i="192"/>
  <c r="G431" i="192"/>
  <c r="F431" i="192"/>
  <c r="E431" i="192"/>
  <c r="D431" i="192"/>
  <c r="C431" i="192"/>
  <c r="AF430" i="192"/>
  <c r="AE430" i="192"/>
  <c r="Q430" i="192"/>
  <c r="AD430" i="192" s="1"/>
  <c r="P430" i="192"/>
  <c r="AC430" i="192" s="1"/>
  <c r="O430" i="192"/>
  <c r="AB430" i="192" s="1"/>
  <c r="N430" i="192"/>
  <c r="AA430" i="192" s="1"/>
  <c r="M430" i="192"/>
  <c r="Z430" i="192" s="1"/>
  <c r="L430" i="192"/>
  <c r="K430" i="192"/>
  <c r="J430" i="192"/>
  <c r="I430" i="192"/>
  <c r="H430" i="192"/>
  <c r="G430" i="192"/>
  <c r="F430" i="192"/>
  <c r="E430" i="192"/>
  <c r="D430" i="192"/>
  <c r="C430" i="192"/>
  <c r="AF429" i="192"/>
  <c r="AE429" i="192"/>
  <c r="Q429" i="192"/>
  <c r="AD429" i="192" s="1"/>
  <c r="P429" i="192"/>
  <c r="AC429" i="192" s="1"/>
  <c r="O429" i="192"/>
  <c r="AB429" i="192" s="1"/>
  <c r="N429" i="192"/>
  <c r="AA429" i="192" s="1"/>
  <c r="M429" i="192"/>
  <c r="Z429" i="192" s="1"/>
  <c r="L429" i="192"/>
  <c r="K429" i="192"/>
  <c r="J429" i="192"/>
  <c r="I429" i="192"/>
  <c r="H429" i="192"/>
  <c r="G429" i="192"/>
  <c r="F429" i="192"/>
  <c r="E429" i="192"/>
  <c r="D429" i="192"/>
  <c r="C429" i="192"/>
  <c r="AF428" i="192"/>
  <c r="AE428" i="192"/>
  <c r="Q428" i="192"/>
  <c r="AD428" i="192" s="1"/>
  <c r="P428" i="192"/>
  <c r="AC428" i="192" s="1"/>
  <c r="O428" i="192"/>
  <c r="AB428" i="192" s="1"/>
  <c r="N428" i="192"/>
  <c r="AA428" i="192" s="1"/>
  <c r="M428" i="192"/>
  <c r="Z428" i="192" s="1"/>
  <c r="L428" i="192"/>
  <c r="K428" i="192"/>
  <c r="J428" i="192"/>
  <c r="I428" i="192"/>
  <c r="H428" i="192"/>
  <c r="G428" i="192"/>
  <c r="F428" i="192"/>
  <c r="E428" i="192"/>
  <c r="D428" i="192"/>
  <c r="C428" i="192"/>
  <c r="AF427" i="192"/>
  <c r="AE427" i="192"/>
  <c r="Q427" i="192"/>
  <c r="AD427" i="192" s="1"/>
  <c r="P427" i="192"/>
  <c r="AC427" i="192" s="1"/>
  <c r="O427" i="192"/>
  <c r="AB427" i="192" s="1"/>
  <c r="N427" i="192"/>
  <c r="AA427" i="192" s="1"/>
  <c r="M427" i="192"/>
  <c r="Z427" i="192" s="1"/>
  <c r="L427" i="192"/>
  <c r="K427" i="192"/>
  <c r="J427" i="192"/>
  <c r="I427" i="192"/>
  <c r="H427" i="192"/>
  <c r="G427" i="192"/>
  <c r="F427" i="192"/>
  <c r="E427" i="192"/>
  <c r="D427" i="192"/>
  <c r="C427" i="192"/>
  <c r="AF426" i="192"/>
  <c r="AE426" i="192"/>
  <c r="Q426" i="192"/>
  <c r="AD426" i="192" s="1"/>
  <c r="P426" i="192"/>
  <c r="AC426" i="192" s="1"/>
  <c r="O426" i="192"/>
  <c r="AB426" i="192" s="1"/>
  <c r="N426" i="192"/>
  <c r="AA426" i="192" s="1"/>
  <c r="M426" i="192"/>
  <c r="Z426" i="192" s="1"/>
  <c r="L426" i="192"/>
  <c r="K426" i="192"/>
  <c r="J426" i="192"/>
  <c r="I426" i="192"/>
  <c r="H426" i="192"/>
  <c r="G426" i="192"/>
  <c r="F426" i="192"/>
  <c r="E426" i="192"/>
  <c r="D426" i="192"/>
  <c r="C426" i="192"/>
  <c r="AF425" i="192"/>
  <c r="AE425" i="192"/>
  <c r="Q425" i="192"/>
  <c r="AD425" i="192" s="1"/>
  <c r="P425" i="192"/>
  <c r="AC425" i="192" s="1"/>
  <c r="O425" i="192"/>
  <c r="AB425" i="192" s="1"/>
  <c r="N425" i="192"/>
  <c r="AA425" i="192" s="1"/>
  <c r="M425" i="192"/>
  <c r="Z425" i="192" s="1"/>
  <c r="L425" i="192"/>
  <c r="K425" i="192"/>
  <c r="J425" i="192"/>
  <c r="I425" i="192"/>
  <c r="H425" i="192"/>
  <c r="G425" i="192"/>
  <c r="F425" i="192"/>
  <c r="E425" i="192"/>
  <c r="D425" i="192"/>
  <c r="C425" i="192"/>
  <c r="AF424" i="192"/>
  <c r="AE424" i="192"/>
  <c r="Q424" i="192"/>
  <c r="AD424" i="192" s="1"/>
  <c r="P424" i="192"/>
  <c r="AC424" i="192" s="1"/>
  <c r="O424" i="192"/>
  <c r="AB424" i="192" s="1"/>
  <c r="N424" i="192"/>
  <c r="AA424" i="192" s="1"/>
  <c r="M424" i="192"/>
  <c r="Z424" i="192" s="1"/>
  <c r="L424" i="192"/>
  <c r="K424" i="192"/>
  <c r="J424" i="192"/>
  <c r="I424" i="192"/>
  <c r="H424" i="192"/>
  <c r="G424" i="192"/>
  <c r="F424" i="192"/>
  <c r="E424" i="192"/>
  <c r="D424" i="192"/>
  <c r="C424" i="192"/>
  <c r="AF423" i="192"/>
  <c r="AE423" i="192"/>
  <c r="Q423" i="192"/>
  <c r="AD423" i="192" s="1"/>
  <c r="P423" i="192"/>
  <c r="AC423" i="192" s="1"/>
  <c r="O423" i="192"/>
  <c r="AB423" i="192" s="1"/>
  <c r="N423" i="192"/>
  <c r="AA423" i="192" s="1"/>
  <c r="M423" i="192"/>
  <c r="Z423" i="192" s="1"/>
  <c r="L423" i="192"/>
  <c r="K423" i="192"/>
  <c r="J423" i="192"/>
  <c r="I423" i="192"/>
  <c r="H423" i="192"/>
  <c r="G423" i="192"/>
  <c r="F423" i="192"/>
  <c r="E423" i="192"/>
  <c r="D423" i="192"/>
  <c r="C423" i="192"/>
  <c r="AF422" i="192"/>
  <c r="AE422" i="192"/>
  <c r="Q422" i="192"/>
  <c r="AD422" i="192" s="1"/>
  <c r="P422" i="192"/>
  <c r="AC422" i="192" s="1"/>
  <c r="O422" i="192"/>
  <c r="AB422" i="192" s="1"/>
  <c r="N422" i="192"/>
  <c r="AA422" i="192" s="1"/>
  <c r="M422" i="192"/>
  <c r="Z422" i="192" s="1"/>
  <c r="L422" i="192"/>
  <c r="K422" i="192"/>
  <c r="J422" i="192"/>
  <c r="I422" i="192"/>
  <c r="H422" i="192"/>
  <c r="G422" i="192"/>
  <c r="F422" i="192"/>
  <c r="E422" i="192"/>
  <c r="D422" i="192"/>
  <c r="C422" i="192"/>
  <c r="AF421" i="192"/>
  <c r="AE421" i="192"/>
  <c r="Q421" i="192"/>
  <c r="AD421" i="192" s="1"/>
  <c r="P421" i="192"/>
  <c r="AC421" i="192" s="1"/>
  <c r="O421" i="192"/>
  <c r="AB421" i="192" s="1"/>
  <c r="N421" i="192"/>
  <c r="AA421" i="192" s="1"/>
  <c r="M421" i="192"/>
  <c r="Z421" i="192" s="1"/>
  <c r="L421" i="192"/>
  <c r="K421" i="192"/>
  <c r="J421" i="192"/>
  <c r="I421" i="192"/>
  <c r="H421" i="192"/>
  <c r="G421" i="192"/>
  <c r="F421" i="192"/>
  <c r="E421" i="192"/>
  <c r="D421" i="192"/>
  <c r="C421" i="192"/>
  <c r="AF420" i="192"/>
  <c r="AE420" i="192"/>
  <c r="Q420" i="192"/>
  <c r="AD420" i="192" s="1"/>
  <c r="P420" i="192"/>
  <c r="AC420" i="192" s="1"/>
  <c r="O420" i="192"/>
  <c r="AB420" i="192" s="1"/>
  <c r="N420" i="192"/>
  <c r="AA420" i="192" s="1"/>
  <c r="M420" i="192"/>
  <c r="Z420" i="192" s="1"/>
  <c r="L420" i="192"/>
  <c r="K420" i="192"/>
  <c r="J420" i="192"/>
  <c r="I420" i="192"/>
  <c r="H420" i="192"/>
  <c r="G420" i="192"/>
  <c r="F420" i="192"/>
  <c r="E420" i="192"/>
  <c r="D420" i="192"/>
  <c r="C420" i="192"/>
  <c r="AF419" i="192"/>
  <c r="AE419" i="192"/>
  <c r="Q419" i="192"/>
  <c r="AD419" i="192" s="1"/>
  <c r="P419" i="192"/>
  <c r="AC419" i="192" s="1"/>
  <c r="O419" i="192"/>
  <c r="AB419" i="192" s="1"/>
  <c r="N419" i="192"/>
  <c r="AA419" i="192" s="1"/>
  <c r="M419" i="192"/>
  <c r="Z419" i="192" s="1"/>
  <c r="L419" i="192"/>
  <c r="K419" i="192"/>
  <c r="J419" i="192"/>
  <c r="I419" i="192"/>
  <c r="H419" i="192"/>
  <c r="G419" i="192"/>
  <c r="F419" i="192"/>
  <c r="E419" i="192"/>
  <c r="D419" i="192"/>
  <c r="C419" i="192"/>
  <c r="AF418" i="192"/>
  <c r="AE418" i="192"/>
  <c r="Q418" i="192"/>
  <c r="AD418" i="192" s="1"/>
  <c r="P418" i="192"/>
  <c r="AC418" i="192" s="1"/>
  <c r="O418" i="192"/>
  <c r="AB418" i="192" s="1"/>
  <c r="N418" i="192"/>
  <c r="AA418" i="192" s="1"/>
  <c r="M418" i="192"/>
  <c r="Z418" i="192" s="1"/>
  <c r="L418" i="192"/>
  <c r="K418" i="192"/>
  <c r="J418" i="192"/>
  <c r="I418" i="192"/>
  <c r="H418" i="192"/>
  <c r="G418" i="192"/>
  <c r="F418" i="192"/>
  <c r="E418" i="192"/>
  <c r="D418" i="192"/>
  <c r="C418" i="192"/>
  <c r="AF417" i="192"/>
  <c r="AE417" i="192"/>
  <c r="Q417" i="192"/>
  <c r="AD417" i="192" s="1"/>
  <c r="P417" i="192"/>
  <c r="AC417" i="192" s="1"/>
  <c r="O417" i="192"/>
  <c r="AB417" i="192" s="1"/>
  <c r="N417" i="192"/>
  <c r="AA417" i="192" s="1"/>
  <c r="M417" i="192"/>
  <c r="Z417" i="192" s="1"/>
  <c r="L417" i="192"/>
  <c r="K417" i="192"/>
  <c r="J417" i="192"/>
  <c r="I417" i="192"/>
  <c r="H417" i="192"/>
  <c r="G417" i="192"/>
  <c r="F417" i="192"/>
  <c r="E417" i="192"/>
  <c r="D417" i="192"/>
  <c r="C417" i="192"/>
  <c r="AF416" i="192"/>
  <c r="AE416" i="192"/>
  <c r="Q416" i="192"/>
  <c r="AD416" i="192" s="1"/>
  <c r="P416" i="192"/>
  <c r="AC416" i="192" s="1"/>
  <c r="O416" i="192"/>
  <c r="AB416" i="192" s="1"/>
  <c r="N416" i="192"/>
  <c r="AA416" i="192" s="1"/>
  <c r="M416" i="192"/>
  <c r="Z416" i="192" s="1"/>
  <c r="L416" i="192"/>
  <c r="K416" i="192"/>
  <c r="J416" i="192"/>
  <c r="I416" i="192"/>
  <c r="H416" i="192"/>
  <c r="G416" i="192"/>
  <c r="F416" i="192"/>
  <c r="E416" i="192"/>
  <c r="D416" i="192"/>
  <c r="C416" i="192"/>
  <c r="AF415" i="192"/>
  <c r="AE415" i="192"/>
  <c r="Q415" i="192"/>
  <c r="AD415" i="192" s="1"/>
  <c r="P415" i="192"/>
  <c r="AC415" i="192" s="1"/>
  <c r="O415" i="192"/>
  <c r="AB415" i="192" s="1"/>
  <c r="N415" i="192"/>
  <c r="AA415" i="192" s="1"/>
  <c r="M415" i="192"/>
  <c r="Z415" i="192" s="1"/>
  <c r="L415" i="192"/>
  <c r="K415" i="192"/>
  <c r="J415" i="192"/>
  <c r="I415" i="192"/>
  <c r="H415" i="192"/>
  <c r="G415" i="192"/>
  <c r="F415" i="192"/>
  <c r="E415" i="192"/>
  <c r="D415" i="192"/>
  <c r="C415" i="192"/>
  <c r="AF414" i="192"/>
  <c r="AE414" i="192"/>
  <c r="Q414" i="192"/>
  <c r="AD414" i="192" s="1"/>
  <c r="P414" i="192"/>
  <c r="AC414" i="192" s="1"/>
  <c r="O414" i="192"/>
  <c r="AB414" i="192" s="1"/>
  <c r="N414" i="192"/>
  <c r="AA414" i="192" s="1"/>
  <c r="M414" i="192"/>
  <c r="Z414" i="192" s="1"/>
  <c r="L414" i="192"/>
  <c r="K414" i="192"/>
  <c r="J414" i="192"/>
  <c r="I414" i="192"/>
  <c r="H414" i="192"/>
  <c r="G414" i="192"/>
  <c r="F414" i="192"/>
  <c r="E414" i="192"/>
  <c r="D414" i="192"/>
  <c r="C414" i="192"/>
  <c r="AF413" i="192"/>
  <c r="AE413" i="192"/>
  <c r="Q413" i="192"/>
  <c r="AD413" i="192" s="1"/>
  <c r="P413" i="192"/>
  <c r="AC413" i="192" s="1"/>
  <c r="O413" i="192"/>
  <c r="AB413" i="192" s="1"/>
  <c r="N413" i="192"/>
  <c r="AA413" i="192" s="1"/>
  <c r="M413" i="192"/>
  <c r="Z413" i="192" s="1"/>
  <c r="L413" i="192"/>
  <c r="K413" i="192"/>
  <c r="J413" i="192"/>
  <c r="I413" i="192"/>
  <c r="H413" i="192"/>
  <c r="G413" i="192"/>
  <c r="F413" i="192"/>
  <c r="E413" i="192"/>
  <c r="D413" i="192"/>
  <c r="C413" i="192"/>
  <c r="AF412" i="192"/>
  <c r="AE412" i="192"/>
  <c r="Q412" i="192"/>
  <c r="AD412" i="192" s="1"/>
  <c r="P412" i="192"/>
  <c r="AC412" i="192" s="1"/>
  <c r="O412" i="192"/>
  <c r="AB412" i="192" s="1"/>
  <c r="N412" i="192"/>
  <c r="AA412" i="192" s="1"/>
  <c r="M412" i="192"/>
  <c r="Z412" i="192" s="1"/>
  <c r="L412" i="192"/>
  <c r="K412" i="192"/>
  <c r="J412" i="192"/>
  <c r="I412" i="192"/>
  <c r="H412" i="192"/>
  <c r="G412" i="192"/>
  <c r="F412" i="192"/>
  <c r="E412" i="192"/>
  <c r="D412" i="192"/>
  <c r="C412" i="192"/>
  <c r="AF411" i="192"/>
  <c r="AE411" i="192"/>
  <c r="Q411" i="192"/>
  <c r="AD411" i="192" s="1"/>
  <c r="P411" i="192"/>
  <c r="AC411" i="192" s="1"/>
  <c r="O411" i="192"/>
  <c r="AB411" i="192" s="1"/>
  <c r="N411" i="192"/>
  <c r="AA411" i="192" s="1"/>
  <c r="M411" i="192"/>
  <c r="Z411" i="192" s="1"/>
  <c r="L411" i="192"/>
  <c r="K411" i="192"/>
  <c r="J411" i="192"/>
  <c r="I411" i="192"/>
  <c r="H411" i="192"/>
  <c r="G411" i="192"/>
  <c r="F411" i="192"/>
  <c r="E411" i="192"/>
  <c r="D411" i="192"/>
  <c r="C411" i="192"/>
  <c r="AF410" i="192"/>
  <c r="AE410" i="192"/>
  <c r="Q410" i="192"/>
  <c r="AD410" i="192" s="1"/>
  <c r="P410" i="192"/>
  <c r="AC410" i="192" s="1"/>
  <c r="O410" i="192"/>
  <c r="AB410" i="192" s="1"/>
  <c r="N410" i="192"/>
  <c r="AA410" i="192" s="1"/>
  <c r="M410" i="192"/>
  <c r="Z410" i="192" s="1"/>
  <c r="L410" i="192"/>
  <c r="K410" i="192"/>
  <c r="J410" i="192"/>
  <c r="I410" i="192"/>
  <c r="H410" i="192"/>
  <c r="G410" i="192"/>
  <c r="F410" i="192"/>
  <c r="E410" i="192"/>
  <c r="D410" i="192"/>
  <c r="C410" i="192"/>
  <c r="AF409" i="192"/>
  <c r="AE409" i="192"/>
  <c r="Q409" i="192"/>
  <c r="AD409" i="192" s="1"/>
  <c r="P409" i="192"/>
  <c r="AC409" i="192" s="1"/>
  <c r="O409" i="192"/>
  <c r="AB409" i="192" s="1"/>
  <c r="N409" i="192"/>
  <c r="AA409" i="192" s="1"/>
  <c r="M409" i="192"/>
  <c r="Z409" i="192" s="1"/>
  <c r="L409" i="192"/>
  <c r="K409" i="192"/>
  <c r="J409" i="192"/>
  <c r="I409" i="192"/>
  <c r="H409" i="192"/>
  <c r="G409" i="192"/>
  <c r="F409" i="192"/>
  <c r="E409" i="192"/>
  <c r="D409" i="192"/>
  <c r="C409" i="192"/>
  <c r="AF408" i="192"/>
  <c r="AE408" i="192"/>
  <c r="Q408" i="192"/>
  <c r="AD408" i="192" s="1"/>
  <c r="P408" i="192"/>
  <c r="AC408" i="192" s="1"/>
  <c r="O408" i="192"/>
  <c r="AB408" i="192" s="1"/>
  <c r="N408" i="192"/>
  <c r="AA408" i="192" s="1"/>
  <c r="M408" i="192"/>
  <c r="Z408" i="192" s="1"/>
  <c r="L408" i="192"/>
  <c r="K408" i="192"/>
  <c r="J408" i="192"/>
  <c r="I408" i="192"/>
  <c r="H408" i="192"/>
  <c r="G408" i="192"/>
  <c r="F408" i="192"/>
  <c r="E408" i="192"/>
  <c r="D408" i="192"/>
  <c r="C408" i="192"/>
  <c r="AF407" i="192"/>
  <c r="AE407" i="192"/>
  <c r="Q407" i="192"/>
  <c r="AD407" i="192" s="1"/>
  <c r="P407" i="192"/>
  <c r="AC407" i="192" s="1"/>
  <c r="O407" i="192"/>
  <c r="AB407" i="192" s="1"/>
  <c r="N407" i="192"/>
  <c r="AA407" i="192" s="1"/>
  <c r="M407" i="192"/>
  <c r="Z407" i="192" s="1"/>
  <c r="L407" i="192"/>
  <c r="K407" i="192"/>
  <c r="J407" i="192"/>
  <c r="I407" i="192"/>
  <c r="H407" i="192"/>
  <c r="G407" i="192"/>
  <c r="F407" i="192"/>
  <c r="E407" i="192"/>
  <c r="D407" i="192"/>
  <c r="C407" i="192"/>
  <c r="AF406" i="192"/>
  <c r="AE406" i="192"/>
  <c r="Q406" i="192"/>
  <c r="AD406" i="192" s="1"/>
  <c r="P406" i="192"/>
  <c r="AC406" i="192" s="1"/>
  <c r="O406" i="192"/>
  <c r="AB406" i="192" s="1"/>
  <c r="N406" i="192"/>
  <c r="AA406" i="192" s="1"/>
  <c r="M406" i="192"/>
  <c r="Z406" i="192" s="1"/>
  <c r="L406" i="192"/>
  <c r="K406" i="192"/>
  <c r="J406" i="192"/>
  <c r="I406" i="192"/>
  <c r="H406" i="192"/>
  <c r="G406" i="192"/>
  <c r="F406" i="192"/>
  <c r="E406" i="192"/>
  <c r="D406" i="192"/>
  <c r="C406" i="192"/>
  <c r="AF405" i="192"/>
  <c r="AE405" i="192"/>
  <c r="Q405" i="192"/>
  <c r="AD405" i="192" s="1"/>
  <c r="P405" i="192"/>
  <c r="AC405" i="192" s="1"/>
  <c r="O405" i="192"/>
  <c r="AB405" i="192" s="1"/>
  <c r="N405" i="192"/>
  <c r="AA405" i="192" s="1"/>
  <c r="M405" i="192"/>
  <c r="Z405" i="192" s="1"/>
  <c r="L405" i="192"/>
  <c r="K405" i="192"/>
  <c r="J405" i="192"/>
  <c r="I405" i="192"/>
  <c r="H405" i="192"/>
  <c r="G405" i="192"/>
  <c r="F405" i="192"/>
  <c r="E405" i="192"/>
  <c r="D405" i="192"/>
  <c r="C405" i="192"/>
  <c r="AF404" i="192"/>
  <c r="AE404" i="192"/>
  <c r="Q404" i="192"/>
  <c r="AD404" i="192" s="1"/>
  <c r="P404" i="192"/>
  <c r="AC404" i="192" s="1"/>
  <c r="O404" i="192"/>
  <c r="AB404" i="192" s="1"/>
  <c r="N404" i="192"/>
  <c r="AA404" i="192" s="1"/>
  <c r="M404" i="192"/>
  <c r="Z404" i="192" s="1"/>
  <c r="L404" i="192"/>
  <c r="K404" i="192"/>
  <c r="J404" i="192"/>
  <c r="I404" i="192"/>
  <c r="H404" i="192"/>
  <c r="G404" i="192"/>
  <c r="F404" i="192"/>
  <c r="E404" i="192"/>
  <c r="D404" i="192"/>
  <c r="C404" i="192"/>
  <c r="AF403" i="192"/>
  <c r="AE403" i="192"/>
  <c r="Q403" i="192"/>
  <c r="AD403" i="192" s="1"/>
  <c r="P403" i="192"/>
  <c r="AC403" i="192" s="1"/>
  <c r="O403" i="192"/>
  <c r="AB403" i="192" s="1"/>
  <c r="N403" i="192"/>
  <c r="AA403" i="192" s="1"/>
  <c r="M403" i="192"/>
  <c r="Z403" i="192" s="1"/>
  <c r="L403" i="192"/>
  <c r="K403" i="192"/>
  <c r="J403" i="192"/>
  <c r="I403" i="192"/>
  <c r="H403" i="192"/>
  <c r="G403" i="192"/>
  <c r="F403" i="192"/>
  <c r="E403" i="192"/>
  <c r="D403" i="192"/>
  <c r="C403" i="192"/>
  <c r="AF402" i="192"/>
  <c r="AE402" i="192"/>
  <c r="Q402" i="192"/>
  <c r="AD402" i="192" s="1"/>
  <c r="P402" i="192"/>
  <c r="AC402" i="192" s="1"/>
  <c r="O402" i="192"/>
  <c r="AB402" i="192" s="1"/>
  <c r="N402" i="192"/>
  <c r="AA402" i="192" s="1"/>
  <c r="M402" i="192"/>
  <c r="Z402" i="192" s="1"/>
  <c r="L402" i="192"/>
  <c r="K402" i="192"/>
  <c r="J402" i="192"/>
  <c r="I402" i="192"/>
  <c r="H402" i="192"/>
  <c r="G402" i="192"/>
  <c r="F402" i="192"/>
  <c r="E402" i="192"/>
  <c r="D402" i="192"/>
  <c r="C402" i="192"/>
  <c r="AF401" i="192"/>
  <c r="AE401" i="192"/>
  <c r="Q401" i="192"/>
  <c r="AD401" i="192" s="1"/>
  <c r="P401" i="192"/>
  <c r="AC401" i="192" s="1"/>
  <c r="O401" i="192"/>
  <c r="AB401" i="192" s="1"/>
  <c r="N401" i="192"/>
  <c r="AA401" i="192" s="1"/>
  <c r="M401" i="192"/>
  <c r="Z401" i="192" s="1"/>
  <c r="L401" i="192"/>
  <c r="K401" i="192"/>
  <c r="J401" i="192"/>
  <c r="I401" i="192"/>
  <c r="H401" i="192"/>
  <c r="G401" i="192"/>
  <c r="F401" i="192"/>
  <c r="E401" i="192"/>
  <c r="D401" i="192"/>
  <c r="C401" i="192"/>
  <c r="AF400" i="192"/>
  <c r="AE400" i="192"/>
  <c r="Q400" i="192"/>
  <c r="AD400" i="192" s="1"/>
  <c r="P400" i="192"/>
  <c r="AC400" i="192" s="1"/>
  <c r="O400" i="192"/>
  <c r="AB400" i="192" s="1"/>
  <c r="N400" i="192"/>
  <c r="AA400" i="192" s="1"/>
  <c r="M400" i="192"/>
  <c r="Z400" i="192" s="1"/>
  <c r="L400" i="192"/>
  <c r="K400" i="192"/>
  <c r="J400" i="192"/>
  <c r="I400" i="192"/>
  <c r="H400" i="192"/>
  <c r="G400" i="192"/>
  <c r="F400" i="192"/>
  <c r="E400" i="192"/>
  <c r="D400" i="192"/>
  <c r="C400" i="192"/>
  <c r="AF399" i="192"/>
  <c r="AE399" i="192"/>
  <c r="Q399" i="192"/>
  <c r="AD399" i="192" s="1"/>
  <c r="P399" i="192"/>
  <c r="AC399" i="192" s="1"/>
  <c r="O399" i="192"/>
  <c r="AB399" i="192" s="1"/>
  <c r="N399" i="192"/>
  <c r="AA399" i="192" s="1"/>
  <c r="M399" i="192"/>
  <c r="Z399" i="192" s="1"/>
  <c r="L399" i="192"/>
  <c r="K399" i="192"/>
  <c r="J399" i="192"/>
  <c r="I399" i="192"/>
  <c r="H399" i="192"/>
  <c r="G399" i="192"/>
  <c r="F399" i="192"/>
  <c r="E399" i="192"/>
  <c r="D399" i="192"/>
  <c r="C399" i="192"/>
  <c r="AF398" i="192"/>
  <c r="AE398" i="192"/>
  <c r="Q398" i="192"/>
  <c r="AD398" i="192" s="1"/>
  <c r="P398" i="192"/>
  <c r="AC398" i="192" s="1"/>
  <c r="O398" i="192"/>
  <c r="AB398" i="192" s="1"/>
  <c r="N398" i="192"/>
  <c r="AA398" i="192" s="1"/>
  <c r="M398" i="192"/>
  <c r="Z398" i="192" s="1"/>
  <c r="L398" i="192"/>
  <c r="K398" i="192"/>
  <c r="J398" i="192"/>
  <c r="I398" i="192"/>
  <c r="H398" i="192"/>
  <c r="G398" i="192"/>
  <c r="F398" i="192"/>
  <c r="E398" i="192"/>
  <c r="D398" i="192"/>
  <c r="C398" i="192"/>
  <c r="AF397" i="192"/>
  <c r="AE397" i="192"/>
  <c r="Q397" i="192"/>
  <c r="AD397" i="192" s="1"/>
  <c r="P397" i="192"/>
  <c r="AC397" i="192" s="1"/>
  <c r="O397" i="192"/>
  <c r="AB397" i="192" s="1"/>
  <c r="N397" i="192"/>
  <c r="AA397" i="192" s="1"/>
  <c r="M397" i="192"/>
  <c r="Z397" i="192" s="1"/>
  <c r="L397" i="192"/>
  <c r="K397" i="192"/>
  <c r="J397" i="192"/>
  <c r="I397" i="192"/>
  <c r="H397" i="192"/>
  <c r="G397" i="192"/>
  <c r="F397" i="192"/>
  <c r="E397" i="192"/>
  <c r="D397" i="192"/>
  <c r="C397" i="192"/>
  <c r="AF396" i="192"/>
  <c r="AE396" i="192"/>
  <c r="Q396" i="192"/>
  <c r="AD396" i="192" s="1"/>
  <c r="P396" i="192"/>
  <c r="AC396" i="192" s="1"/>
  <c r="O396" i="192"/>
  <c r="AB396" i="192" s="1"/>
  <c r="N396" i="192"/>
  <c r="AA396" i="192" s="1"/>
  <c r="M396" i="192"/>
  <c r="Z396" i="192" s="1"/>
  <c r="L396" i="192"/>
  <c r="K396" i="192"/>
  <c r="J396" i="192"/>
  <c r="I396" i="192"/>
  <c r="H396" i="192"/>
  <c r="G396" i="192"/>
  <c r="F396" i="192"/>
  <c r="E396" i="192"/>
  <c r="D396" i="192"/>
  <c r="C396" i="192"/>
  <c r="AF395" i="192"/>
  <c r="AE395" i="192"/>
  <c r="Q395" i="192"/>
  <c r="AD395" i="192" s="1"/>
  <c r="P395" i="192"/>
  <c r="AC395" i="192" s="1"/>
  <c r="O395" i="192"/>
  <c r="AB395" i="192" s="1"/>
  <c r="N395" i="192"/>
  <c r="AA395" i="192" s="1"/>
  <c r="M395" i="192"/>
  <c r="Z395" i="192" s="1"/>
  <c r="L395" i="192"/>
  <c r="K395" i="192"/>
  <c r="J395" i="192"/>
  <c r="I395" i="192"/>
  <c r="H395" i="192"/>
  <c r="G395" i="192"/>
  <c r="F395" i="192"/>
  <c r="E395" i="192"/>
  <c r="D395" i="192"/>
  <c r="C395" i="192"/>
  <c r="AF394" i="192"/>
  <c r="AE394" i="192"/>
  <c r="Q394" i="192"/>
  <c r="AD394" i="192" s="1"/>
  <c r="P394" i="192"/>
  <c r="AC394" i="192" s="1"/>
  <c r="O394" i="192"/>
  <c r="AB394" i="192" s="1"/>
  <c r="N394" i="192"/>
  <c r="AA394" i="192" s="1"/>
  <c r="M394" i="192"/>
  <c r="Z394" i="192" s="1"/>
  <c r="L394" i="192"/>
  <c r="K394" i="192"/>
  <c r="J394" i="192"/>
  <c r="I394" i="192"/>
  <c r="H394" i="192"/>
  <c r="G394" i="192"/>
  <c r="F394" i="192"/>
  <c r="E394" i="192"/>
  <c r="D394" i="192"/>
  <c r="C394" i="192"/>
  <c r="AF393" i="192"/>
  <c r="AE393" i="192"/>
  <c r="Q393" i="192"/>
  <c r="AD393" i="192" s="1"/>
  <c r="P393" i="192"/>
  <c r="AC393" i="192" s="1"/>
  <c r="O393" i="192"/>
  <c r="AB393" i="192" s="1"/>
  <c r="N393" i="192"/>
  <c r="AA393" i="192" s="1"/>
  <c r="M393" i="192"/>
  <c r="Z393" i="192" s="1"/>
  <c r="L393" i="192"/>
  <c r="K393" i="192"/>
  <c r="J393" i="192"/>
  <c r="I393" i="192"/>
  <c r="H393" i="192"/>
  <c r="G393" i="192"/>
  <c r="F393" i="192"/>
  <c r="E393" i="192"/>
  <c r="D393" i="192"/>
  <c r="C393" i="192"/>
  <c r="AF392" i="192"/>
  <c r="AE392" i="192"/>
  <c r="Q392" i="192"/>
  <c r="AD392" i="192" s="1"/>
  <c r="P392" i="192"/>
  <c r="AC392" i="192" s="1"/>
  <c r="O392" i="192"/>
  <c r="AB392" i="192" s="1"/>
  <c r="N392" i="192"/>
  <c r="AA392" i="192" s="1"/>
  <c r="M392" i="192"/>
  <c r="Z392" i="192" s="1"/>
  <c r="L392" i="192"/>
  <c r="K392" i="192"/>
  <c r="J392" i="192"/>
  <c r="I392" i="192"/>
  <c r="H392" i="192"/>
  <c r="G392" i="192"/>
  <c r="F392" i="192"/>
  <c r="E392" i="192"/>
  <c r="D392" i="192"/>
  <c r="C392" i="192"/>
  <c r="AF391" i="192"/>
  <c r="AE391" i="192"/>
  <c r="Q391" i="192"/>
  <c r="AD391" i="192" s="1"/>
  <c r="P391" i="192"/>
  <c r="AC391" i="192" s="1"/>
  <c r="O391" i="192"/>
  <c r="AB391" i="192" s="1"/>
  <c r="N391" i="192"/>
  <c r="AA391" i="192" s="1"/>
  <c r="M391" i="192"/>
  <c r="Z391" i="192" s="1"/>
  <c r="L391" i="192"/>
  <c r="K391" i="192"/>
  <c r="J391" i="192"/>
  <c r="I391" i="192"/>
  <c r="H391" i="192"/>
  <c r="G391" i="192"/>
  <c r="F391" i="192"/>
  <c r="E391" i="192"/>
  <c r="D391" i="192"/>
  <c r="C391" i="192"/>
  <c r="AF390" i="192"/>
  <c r="AE390" i="192"/>
  <c r="Q390" i="192"/>
  <c r="AD390" i="192" s="1"/>
  <c r="P390" i="192"/>
  <c r="AC390" i="192" s="1"/>
  <c r="O390" i="192"/>
  <c r="AB390" i="192" s="1"/>
  <c r="N390" i="192"/>
  <c r="AA390" i="192" s="1"/>
  <c r="M390" i="192"/>
  <c r="Z390" i="192" s="1"/>
  <c r="L390" i="192"/>
  <c r="K390" i="192"/>
  <c r="J390" i="192"/>
  <c r="I390" i="192"/>
  <c r="H390" i="192"/>
  <c r="G390" i="192"/>
  <c r="F390" i="192"/>
  <c r="E390" i="192"/>
  <c r="D390" i="192"/>
  <c r="C390" i="192"/>
  <c r="AF389" i="192"/>
  <c r="AE389" i="192"/>
  <c r="Q389" i="192"/>
  <c r="AD389" i="192" s="1"/>
  <c r="P389" i="192"/>
  <c r="AC389" i="192" s="1"/>
  <c r="O389" i="192"/>
  <c r="AB389" i="192" s="1"/>
  <c r="N389" i="192"/>
  <c r="AA389" i="192" s="1"/>
  <c r="M389" i="192"/>
  <c r="Z389" i="192" s="1"/>
  <c r="L389" i="192"/>
  <c r="K389" i="192"/>
  <c r="J389" i="192"/>
  <c r="I389" i="192"/>
  <c r="H389" i="192"/>
  <c r="G389" i="192"/>
  <c r="F389" i="192"/>
  <c r="E389" i="192"/>
  <c r="D389" i="192"/>
  <c r="C389" i="192"/>
  <c r="AF388" i="192"/>
  <c r="AE388" i="192"/>
  <c r="Q388" i="192"/>
  <c r="AD388" i="192" s="1"/>
  <c r="P388" i="192"/>
  <c r="AC388" i="192" s="1"/>
  <c r="O388" i="192"/>
  <c r="AB388" i="192" s="1"/>
  <c r="N388" i="192"/>
  <c r="AA388" i="192" s="1"/>
  <c r="M388" i="192"/>
  <c r="Z388" i="192" s="1"/>
  <c r="L388" i="192"/>
  <c r="K388" i="192"/>
  <c r="J388" i="192"/>
  <c r="I388" i="192"/>
  <c r="H388" i="192"/>
  <c r="G388" i="192"/>
  <c r="F388" i="192"/>
  <c r="E388" i="192"/>
  <c r="D388" i="192"/>
  <c r="C388" i="192"/>
  <c r="AF387" i="192"/>
  <c r="AE387" i="192"/>
  <c r="Q387" i="192"/>
  <c r="AD387" i="192" s="1"/>
  <c r="P387" i="192"/>
  <c r="AC387" i="192" s="1"/>
  <c r="O387" i="192"/>
  <c r="AB387" i="192" s="1"/>
  <c r="N387" i="192"/>
  <c r="AA387" i="192" s="1"/>
  <c r="M387" i="192"/>
  <c r="Z387" i="192" s="1"/>
  <c r="L387" i="192"/>
  <c r="K387" i="192"/>
  <c r="J387" i="192"/>
  <c r="I387" i="192"/>
  <c r="H387" i="192"/>
  <c r="G387" i="192"/>
  <c r="F387" i="192"/>
  <c r="E387" i="192"/>
  <c r="D387" i="192"/>
  <c r="C387" i="192"/>
  <c r="AF386" i="192"/>
  <c r="AE386" i="192"/>
  <c r="Q386" i="192"/>
  <c r="AD386" i="192" s="1"/>
  <c r="P386" i="192"/>
  <c r="AC386" i="192" s="1"/>
  <c r="O386" i="192"/>
  <c r="AB386" i="192" s="1"/>
  <c r="N386" i="192"/>
  <c r="AA386" i="192" s="1"/>
  <c r="M386" i="192"/>
  <c r="Z386" i="192" s="1"/>
  <c r="L386" i="192"/>
  <c r="K386" i="192"/>
  <c r="J386" i="192"/>
  <c r="I386" i="192"/>
  <c r="H386" i="192"/>
  <c r="G386" i="192"/>
  <c r="F386" i="192"/>
  <c r="E386" i="192"/>
  <c r="D386" i="192"/>
  <c r="C386" i="192"/>
  <c r="AF385" i="192"/>
  <c r="AE385" i="192"/>
  <c r="Q385" i="192"/>
  <c r="AD385" i="192" s="1"/>
  <c r="P385" i="192"/>
  <c r="AC385" i="192" s="1"/>
  <c r="O385" i="192"/>
  <c r="AB385" i="192" s="1"/>
  <c r="N385" i="192"/>
  <c r="AA385" i="192" s="1"/>
  <c r="M385" i="192"/>
  <c r="Z385" i="192" s="1"/>
  <c r="L385" i="192"/>
  <c r="K385" i="192"/>
  <c r="J385" i="192"/>
  <c r="I385" i="192"/>
  <c r="H385" i="192"/>
  <c r="G385" i="192"/>
  <c r="F385" i="192"/>
  <c r="E385" i="192"/>
  <c r="D385" i="192"/>
  <c r="C385" i="192"/>
  <c r="AF384" i="192"/>
  <c r="AE384" i="192"/>
  <c r="Q384" i="192"/>
  <c r="AD384" i="192" s="1"/>
  <c r="P384" i="192"/>
  <c r="AC384" i="192" s="1"/>
  <c r="O384" i="192"/>
  <c r="AB384" i="192" s="1"/>
  <c r="M384" i="192"/>
  <c r="Z384" i="192" s="1"/>
  <c r="L384" i="192"/>
  <c r="K384" i="192"/>
  <c r="J384" i="192"/>
  <c r="I384" i="192"/>
  <c r="H384" i="192"/>
  <c r="G384" i="192"/>
  <c r="F384" i="192"/>
  <c r="E384" i="192"/>
  <c r="D384" i="192"/>
  <c r="C384" i="192"/>
  <c r="AF383" i="192"/>
  <c r="AE383" i="192"/>
  <c r="Q383" i="192"/>
  <c r="AD383" i="192" s="1"/>
  <c r="P383" i="192"/>
  <c r="AC383" i="192" s="1"/>
  <c r="O383" i="192"/>
  <c r="AB383" i="192" s="1"/>
  <c r="M383" i="192"/>
  <c r="Z383" i="192" s="1"/>
  <c r="L383" i="192"/>
  <c r="K383" i="192"/>
  <c r="J383" i="192"/>
  <c r="I383" i="192"/>
  <c r="H383" i="192"/>
  <c r="G383" i="192"/>
  <c r="F383" i="192"/>
  <c r="E383" i="192"/>
  <c r="D383" i="192"/>
  <c r="C383" i="192"/>
  <c r="AF382" i="192"/>
  <c r="AE382" i="192"/>
  <c r="Q382" i="192"/>
  <c r="AD382" i="192" s="1"/>
  <c r="P382" i="192"/>
  <c r="AC382" i="192" s="1"/>
  <c r="O382" i="192"/>
  <c r="AB382" i="192" s="1"/>
  <c r="M382" i="192"/>
  <c r="Z382" i="192" s="1"/>
  <c r="L382" i="192"/>
  <c r="K382" i="192"/>
  <c r="J382" i="192"/>
  <c r="I382" i="192"/>
  <c r="H382" i="192"/>
  <c r="G382" i="192"/>
  <c r="F382" i="192"/>
  <c r="E382" i="192"/>
  <c r="D382" i="192"/>
  <c r="C382" i="192"/>
  <c r="AF381" i="192"/>
  <c r="AE381" i="192"/>
  <c r="Q381" i="192"/>
  <c r="AD381" i="192" s="1"/>
  <c r="P381" i="192"/>
  <c r="AC381" i="192" s="1"/>
  <c r="O381" i="192"/>
  <c r="AB381" i="192" s="1"/>
  <c r="M381" i="192"/>
  <c r="Z381" i="192" s="1"/>
  <c r="L381" i="192"/>
  <c r="K381" i="192"/>
  <c r="J381" i="192"/>
  <c r="I381" i="192"/>
  <c r="H381" i="192"/>
  <c r="G381" i="192"/>
  <c r="F381" i="192"/>
  <c r="E381" i="192"/>
  <c r="D381" i="192"/>
  <c r="C381" i="192"/>
  <c r="AF380" i="192"/>
  <c r="AE380" i="192"/>
  <c r="Q380" i="192"/>
  <c r="AD380" i="192" s="1"/>
  <c r="P380" i="192"/>
  <c r="AC380" i="192" s="1"/>
  <c r="O380" i="192"/>
  <c r="AB380" i="192" s="1"/>
  <c r="M380" i="192"/>
  <c r="Z380" i="192" s="1"/>
  <c r="L380" i="192"/>
  <c r="K380" i="192"/>
  <c r="J380" i="192"/>
  <c r="I380" i="192"/>
  <c r="H380" i="192"/>
  <c r="G380" i="192"/>
  <c r="F380" i="192"/>
  <c r="E380" i="192"/>
  <c r="D380" i="192"/>
  <c r="C380" i="192"/>
  <c r="AF379" i="192"/>
  <c r="AE379" i="192"/>
  <c r="Q379" i="192"/>
  <c r="AD379" i="192" s="1"/>
  <c r="P379" i="192"/>
  <c r="AC379" i="192" s="1"/>
  <c r="O379" i="192"/>
  <c r="AB379" i="192" s="1"/>
  <c r="M379" i="192"/>
  <c r="Z379" i="192" s="1"/>
  <c r="L379" i="192"/>
  <c r="K379" i="192"/>
  <c r="J379" i="192"/>
  <c r="I379" i="192"/>
  <c r="H379" i="192"/>
  <c r="G379" i="192"/>
  <c r="F379" i="192"/>
  <c r="E379" i="192"/>
  <c r="D379" i="192"/>
  <c r="C379" i="192"/>
  <c r="AF378" i="192"/>
  <c r="AE378" i="192"/>
  <c r="Q378" i="192"/>
  <c r="AD378" i="192" s="1"/>
  <c r="P378" i="192"/>
  <c r="AC378" i="192" s="1"/>
  <c r="O378" i="192"/>
  <c r="AB378" i="192" s="1"/>
  <c r="M378" i="192"/>
  <c r="Z378" i="192" s="1"/>
  <c r="L378" i="192"/>
  <c r="K378" i="192"/>
  <c r="J378" i="192"/>
  <c r="I378" i="192"/>
  <c r="H378" i="192"/>
  <c r="G378" i="192"/>
  <c r="F378" i="192"/>
  <c r="E378" i="192"/>
  <c r="D378" i="192"/>
  <c r="C378" i="192"/>
  <c r="AF377" i="192"/>
  <c r="AE377" i="192"/>
  <c r="Q377" i="192"/>
  <c r="AD377" i="192" s="1"/>
  <c r="P377" i="192"/>
  <c r="AC377" i="192" s="1"/>
  <c r="O377" i="192"/>
  <c r="AB377" i="192" s="1"/>
  <c r="M377" i="192"/>
  <c r="Z377" i="192" s="1"/>
  <c r="L377" i="192"/>
  <c r="K377" i="192"/>
  <c r="J377" i="192"/>
  <c r="I377" i="192"/>
  <c r="H377" i="192"/>
  <c r="G377" i="192"/>
  <c r="F377" i="192"/>
  <c r="E377" i="192"/>
  <c r="D377" i="192"/>
  <c r="C377" i="192"/>
  <c r="AF376" i="192"/>
  <c r="AE376" i="192"/>
  <c r="Q376" i="192"/>
  <c r="AD376" i="192" s="1"/>
  <c r="P376" i="192"/>
  <c r="AC376" i="192" s="1"/>
  <c r="O376" i="192"/>
  <c r="AB376" i="192" s="1"/>
  <c r="M376" i="192"/>
  <c r="Z376" i="192" s="1"/>
  <c r="L376" i="192"/>
  <c r="K376" i="192"/>
  <c r="J376" i="192"/>
  <c r="I376" i="192"/>
  <c r="H376" i="192"/>
  <c r="G376" i="192"/>
  <c r="F376" i="192"/>
  <c r="E376" i="192"/>
  <c r="D376" i="192"/>
  <c r="C376" i="192"/>
  <c r="AF375" i="192"/>
  <c r="AE375" i="192"/>
  <c r="Q375" i="192"/>
  <c r="AD375" i="192" s="1"/>
  <c r="P375" i="192"/>
  <c r="AC375" i="192" s="1"/>
  <c r="O375" i="192"/>
  <c r="AB375" i="192" s="1"/>
  <c r="M375" i="192"/>
  <c r="Z375" i="192" s="1"/>
  <c r="L375" i="192"/>
  <c r="K375" i="192"/>
  <c r="J375" i="192"/>
  <c r="I375" i="192"/>
  <c r="H375" i="192"/>
  <c r="G375" i="192"/>
  <c r="F375" i="192"/>
  <c r="E375" i="192"/>
  <c r="D375" i="192"/>
  <c r="C375" i="192"/>
  <c r="AF374" i="192"/>
  <c r="AE374" i="192"/>
  <c r="Q374" i="192"/>
  <c r="AD374" i="192" s="1"/>
  <c r="P374" i="192"/>
  <c r="AC374" i="192" s="1"/>
  <c r="O374" i="192"/>
  <c r="AB374" i="192" s="1"/>
  <c r="M374" i="192"/>
  <c r="Z374" i="192" s="1"/>
  <c r="L374" i="192"/>
  <c r="K374" i="192"/>
  <c r="J374" i="192"/>
  <c r="I374" i="192"/>
  <c r="H374" i="192"/>
  <c r="G374" i="192"/>
  <c r="F374" i="192"/>
  <c r="E374" i="192"/>
  <c r="D374" i="192"/>
  <c r="C374" i="192"/>
  <c r="AF373" i="192"/>
  <c r="AE373" i="192"/>
  <c r="Q373" i="192"/>
  <c r="AD373" i="192" s="1"/>
  <c r="P373" i="192"/>
  <c r="AC373" i="192" s="1"/>
  <c r="O373" i="192"/>
  <c r="AB373" i="192" s="1"/>
  <c r="M373" i="192"/>
  <c r="Z373" i="192" s="1"/>
  <c r="L373" i="192"/>
  <c r="K373" i="192"/>
  <c r="J373" i="192"/>
  <c r="I373" i="192"/>
  <c r="H373" i="192"/>
  <c r="G373" i="192"/>
  <c r="F373" i="192"/>
  <c r="E373" i="192"/>
  <c r="D373" i="192"/>
  <c r="C373" i="192"/>
  <c r="AF372" i="192"/>
  <c r="AE372" i="192"/>
  <c r="Q372" i="192"/>
  <c r="AD372" i="192" s="1"/>
  <c r="P372" i="192"/>
  <c r="AC372" i="192" s="1"/>
  <c r="O372" i="192"/>
  <c r="AB372" i="192" s="1"/>
  <c r="M372" i="192"/>
  <c r="Z372" i="192" s="1"/>
  <c r="L372" i="192"/>
  <c r="K372" i="192"/>
  <c r="J372" i="192"/>
  <c r="I372" i="192"/>
  <c r="H372" i="192"/>
  <c r="G372" i="192"/>
  <c r="F372" i="192"/>
  <c r="E372" i="192"/>
  <c r="D372" i="192"/>
  <c r="C372" i="192"/>
  <c r="AF371" i="192"/>
  <c r="AE371" i="192"/>
  <c r="Q371" i="192"/>
  <c r="AD371" i="192" s="1"/>
  <c r="P371" i="192"/>
  <c r="AC371" i="192" s="1"/>
  <c r="O371" i="192"/>
  <c r="AB371" i="192" s="1"/>
  <c r="M371" i="192"/>
  <c r="Z371" i="192" s="1"/>
  <c r="L371" i="192"/>
  <c r="K371" i="192"/>
  <c r="J371" i="192"/>
  <c r="I371" i="192"/>
  <c r="H371" i="192"/>
  <c r="G371" i="192"/>
  <c r="F371" i="192"/>
  <c r="E371" i="192"/>
  <c r="D371" i="192"/>
  <c r="C371" i="192"/>
  <c r="AF370" i="192"/>
  <c r="AE370" i="192"/>
  <c r="Q370" i="192"/>
  <c r="AD370" i="192" s="1"/>
  <c r="P370" i="192"/>
  <c r="AC370" i="192" s="1"/>
  <c r="O370" i="192"/>
  <c r="AB370" i="192" s="1"/>
  <c r="M370" i="192"/>
  <c r="Z370" i="192" s="1"/>
  <c r="L370" i="192"/>
  <c r="K370" i="192"/>
  <c r="J370" i="192"/>
  <c r="I370" i="192"/>
  <c r="H370" i="192"/>
  <c r="G370" i="192"/>
  <c r="F370" i="192"/>
  <c r="E370" i="192"/>
  <c r="D370" i="192"/>
  <c r="C370" i="192"/>
  <c r="AF369" i="192"/>
  <c r="AE369" i="192"/>
  <c r="Q369" i="192"/>
  <c r="AD369" i="192" s="1"/>
  <c r="P369" i="192"/>
  <c r="AC369" i="192" s="1"/>
  <c r="O369" i="192"/>
  <c r="AB369" i="192" s="1"/>
  <c r="M369" i="192"/>
  <c r="Z369" i="192" s="1"/>
  <c r="L369" i="192"/>
  <c r="K369" i="192"/>
  <c r="J369" i="192"/>
  <c r="I369" i="192"/>
  <c r="H369" i="192"/>
  <c r="G369" i="192"/>
  <c r="F369" i="192"/>
  <c r="E369" i="192"/>
  <c r="D369" i="192"/>
  <c r="C369" i="192"/>
  <c r="AF368" i="192"/>
  <c r="AE368" i="192"/>
  <c r="Q368" i="192"/>
  <c r="AD368" i="192" s="1"/>
  <c r="P368" i="192"/>
  <c r="AC368" i="192" s="1"/>
  <c r="O368" i="192"/>
  <c r="AB368" i="192" s="1"/>
  <c r="M368" i="192"/>
  <c r="Z368" i="192" s="1"/>
  <c r="L368" i="192"/>
  <c r="K368" i="192"/>
  <c r="J368" i="192"/>
  <c r="I368" i="192"/>
  <c r="H368" i="192"/>
  <c r="G368" i="192"/>
  <c r="F368" i="192"/>
  <c r="E368" i="192"/>
  <c r="D368" i="192"/>
  <c r="C368" i="192"/>
  <c r="AF367" i="192"/>
  <c r="AE367" i="192"/>
  <c r="Q367" i="192"/>
  <c r="AD367" i="192" s="1"/>
  <c r="P367" i="192"/>
  <c r="AC367" i="192" s="1"/>
  <c r="O367" i="192"/>
  <c r="AB367" i="192" s="1"/>
  <c r="M367" i="192"/>
  <c r="Z367" i="192" s="1"/>
  <c r="L367" i="192"/>
  <c r="K367" i="192"/>
  <c r="J367" i="192"/>
  <c r="I367" i="192"/>
  <c r="H367" i="192"/>
  <c r="G367" i="192"/>
  <c r="F367" i="192"/>
  <c r="E367" i="192"/>
  <c r="D367" i="192"/>
  <c r="C367" i="192"/>
  <c r="AF366" i="192"/>
  <c r="AE366" i="192"/>
  <c r="Q366" i="192"/>
  <c r="AD366" i="192" s="1"/>
  <c r="P366" i="192"/>
  <c r="AC366" i="192" s="1"/>
  <c r="O366" i="192"/>
  <c r="AB366" i="192" s="1"/>
  <c r="M366" i="192"/>
  <c r="Z366" i="192" s="1"/>
  <c r="L366" i="192"/>
  <c r="K366" i="192"/>
  <c r="J366" i="192"/>
  <c r="I366" i="192"/>
  <c r="H366" i="192"/>
  <c r="G366" i="192"/>
  <c r="F366" i="192"/>
  <c r="E366" i="192"/>
  <c r="D366" i="192"/>
  <c r="C366" i="192"/>
  <c r="AF365" i="192"/>
  <c r="AE365" i="192"/>
  <c r="Q365" i="192"/>
  <c r="AD365" i="192" s="1"/>
  <c r="P365" i="192"/>
  <c r="AC365" i="192" s="1"/>
  <c r="O365" i="192"/>
  <c r="AB365" i="192" s="1"/>
  <c r="M365" i="192"/>
  <c r="Z365" i="192" s="1"/>
  <c r="L365" i="192"/>
  <c r="K365" i="192"/>
  <c r="J365" i="192"/>
  <c r="I365" i="192"/>
  <c r="H365" i="192"/>
  <c r="G365" i="192"/>
  <c r="F365" i="192"/>
  <c r="E365" i="192"/>
  <c r="D365" i="192"/>
  <c r="C365" i="192"/>
  <c r="AF364" i="192"/>
  <c r="AE364" i="192"/>
  <c r="Q364" i="192"/>
  <c r="AD364" i="192" s="1"/>
  <c r="P364" i="192"/>
  <c r="AC364" i="192" s="1"/>
  <c r="O364" i="192"/>
  <c r="AB364" i="192" s="1"/>
  <c r="M364" i="192"/>
  <c r="Z364" i="192" s="1"/>
  <c r="L364" i="192"/>
  <c r="K364" i="192"/>
  <c r="J364" i="192"/>
  <c r="I364" i="192"/>
  <c r="H364" i="192"/>
  <c r="G364" i="192"/>
  <c r="F364" i="192"/>
  <c r="E364" i="192"/>
  <c r="D364" i="192"/>
  <c r="C364" i="192"/>
  <c r="AF363" i="192"/>
  <c r="AE363" i="192"/>
  <c r="Q363" i="192"/>
  <c r="AD363" i="192" s="1"/>
  <c r="P363" i="192"/>
  <c r="AC363" i="192" s="1"/>
  <c r="O363" i="192"/>
  <c r="AB363" i="192" s="1"/>
  <c r="M363" i="192"/>
  <c r="Z363" i="192" s="1"/>
  <c r="L363" i="192"/>
  <c r="K363" i="192"/>
  <c r="J363" i="192"/>
  <c r="I363" i="192"/>
  <c r="H363" i="192"/>
  <c r="G363" i="192"/>
  <c r="F363" i="192"/>
  <c r="E363" i="192"/>
  <c r="D363" i="192"/>
  <c r="C363" i="192"/>
  <c r="AF362" i="192"/>
  <c r="AE362" i="192"/>
  <c r="Q362" i="192"/>
  <c r="AD362" i="192" s="1"/>
  <c r="P362" i="192"/>
  <c r="AC362" i="192" s="1"/>
  <c r="O362" i="192"/>
  <c r="AB362" i="192" s="1"/>
  <c r="M362" i="192"/>
  <c r="Z362" i="192" s="1"/>
  <c r="L362" i="192"/>
  <c r="K362" i="192"/>
  <c r="J362" i="192"/>
  <c r="I362" i="192"/>
  <c r="H362" i="192"/>
  <c r="G362" i="192"/>
  <c r="F362" i="192"/>
  <c r="E362" i="192"/>
  <c r="D362" i="192"/>
  <c r="C362" i="192"/>
  <c r="AF361" i="192"/>
  <c r="AE361" i="192"/>
  <c r="Q361" i="192"/>
  <c r="AD361" i="192" s="1"/>
  <c r="P361" i="192"/>
  <c r="AC361" i="192" s="1"/>
  <c r="O361" i="192"/>
  <c r="AB361" i="192" s="1"/>
  <c r="M361" i="192"/>
  <c r="Z361" i="192" s="1"/>
  <c r="L361" i="192"/>
  <c r="K361" i="192"/>
  <c r="J361" i="192"/>
  <c r="I361" i="192"/>
  <c r="H361" i="192"/>
  <c r="G361" i="192"/>
  <c r="F361" i="192"/>
  <c r="E361" i="192"/>
  <c r="D361" i="192"/>
  <c r="C361" i="192"/>
  <c r="AF360" i="192"/>
  <c r="AE360" i="192"/>
  <c r="Q360" i="192"/>
  <c r="AD360" i="192" s="1"/>
  <c r="P360" i="192"/>
  <c r="AC360" i="192" s="1"/>
  <c r="O360" i="192"/>
  <c r="AB360" i="192" s="1"/>
  <c r="M360" i="192"/>
  <c r="Z360" i="192" s="1"/>
  <c r="L360" i="192"/>
  <c r="K360" i="192"/>
  <c r="J360" i="192"/>
  <c r="I360" i="192"/>
  <c r="H360" i="192"/>
  <c r="G360" i="192"/>
  <c r="F360" i="192"/>
  <c r="E360" i="192"/>
  <c r="D360" i="192"/>
  <c r="C360" i="192"/>
  <c r="AF359" i="192"/>
  <c r="AE359" i="192"/>
  <c r="Q359" i="192"/>
  <c r="AD359" i="192" s="1"/>
  <c r="P359" i="192"/>
  <c r="AC359" i="192" s="1"/>
  <c r="O359" i="192"/>
  <c r="AB359" i="192" s="1"/>
  <c r="M359" i="192"/>
  <c r="Z359" i="192" s="1"/>
  <c r="L359" i="192"/>
  <c r="K359" i="192"/>
  <c r="J359" i="192"/>
  <c r="I359" i="192"/>
  <c r="H359" i="192"/>
  <c r="G359" i="192"/>
  <c r="F359" i="192"/>
  <c r="E359" i="192"/>
  <c r="D359" i="192"/>
  <c r="C359" i="192"/>
  <c r="AF358" i="192"/>
  <c r="AE358" i="192"/>
  <c r="Q358" i="192"/>
  <c r="AD358" i="192" s="1"/>
  <c r="P358" i="192"/>
  <c r="AC358" i="192" s="1"/>
  <c r="O358" i="192"/>
  <c r="AB358" i="192" s="1"/>
  <c r="M358" i="192"/>
  <c r="Z358" i="192" s="1"/>
  <c r="L358" i="192"/>
  <c r="K358" i="192"/>
  <c r="J358" i="192"/>
  <c r="I358" i="192"/>
  <c r="H358" i="192"/>
  <c r="G358" i="192"/>
  <c r="F358" i="192"/>
  <c r="E358" i="192"/>
  <c r="D358" i="192"/>
  <c r="C358" i="192"/>
  <c r="AF357" i="192"/>
  <c r="AE357" i="192"/>
  <c r="Q357" i="192"/>
  <c r="AD357" i="192" s="1"/>
  <c r="P357" i="192"/>
  <c r="AC357" i="192" s="1"/>
  <c r="O357" i="192"/>
  <c r="AB357" i="192" s="1"/>
  <c r="M357" i="192"/>
  <c r="Z357" i="192" s="1"/>
  <c r="L357" i="192"/>
  <c r="K357" i="192"/>
  <c r="J357" i="192"/>
  <c r="I357" i="192"/>
  <c r="H357" i="192"/>
  <c r="G357" i="192"/>
  <c r="F357" i="192"/>
  <c r="E357" i="192"/>
  <c r="D357" i="192"/>
  <c r="C357" i="192"/>
  <c r="AF356" i="192"/>
  <c r="AE356" i="192"/>
  <c r="Q356" i="192"/>
  <c r="AD356" i="192" s="1"/>
  <c r="P356" i="192"/>
  <c r="AC356" i="192" s="1"/>
  <c r="O356" i="192"/>
  <c r="AB356" i="192" s="1"/>
  <c r="M356" i="192"/>
  <c r="Z356" i="192" s="1"/>
  <c r="L356" i="192"/>
  <c r="K356" i="192"/>
  <c r="J356" i="192"/>
  <c r="I356" i="192"/>
  <c r="H356" i="192"/>
  <c r="G356" i="192"/>
  <c r="F356" i="192"/>
  <c r="E356" i="192"/>
  <c r="D356" i="192"/>
  <c r="C356" i="192"/>
  <c r="AF355" i="192"/>
  <c r="AE355" i="192"/>
  <c r="Q355" i="192"/>
  <c r="AD355" i="192" s="1"/>
  <c r="P355" i="192"/>
  <c r="AC355" i="192" s="1"/>
  <c r="O355" i="192"/>
  <c r="AB355" i="192" s="1"/>
  <c r="M355" i="192"/>
  <c r="Z355" i="192" s="1"/>
  <c r="L355" i="192"/>
  <c r="K355" i="192"/>
  <c r="J355" i="192"/>
  <c r="I355" i="192"/>
  <c r="H355" i="192"/>
  <c r="G355" i="192"/>
  <c r="F355" i="192"/>
  <c r="E355" i="192"/>
  <c r="D355" i="192"/>
  <c r="C355" i="192"/>
  <c r="AF354" i="192"/>
  <c r="AE354" i="192"/>
  <c r="Q354" i="192"/>
  <c r="AD354" i="192" s="1"/>
  <c r="P354" i="192"/>
  <c r="AC354" i="192" s="1"/>
  <c r="O354" i="192"/>
  <c r="AB354" i="192" s="1"/>
  <c r="M354" i="192"/>
  <c r="Z354" i="192" s="1"/>
  <c r="L354" i="192"/>
  <c r="K354" i="192"/>
  <c r="J354" i="192"/>
  <c r="I354" i="192"/>
  <c r="H354" i="192"/>
  <c r="G354" i="192"/>
  <c r="F354" i="192"/>
  <c r="E354" i="192"/>
  <c r="D354" i="192"/>
  <c r="C354" i="192"/>
  <c r="AF353" i="192"/>
  <c r="AE353" i="192"/>
  <c r="Q353" i="192"/>
  <c r="AD353" i="192" s="1"/>
  <c r="P353" i="192"/>
  <c r="AC353" i="192" s="1"/>
  <c r="O353" i="192"/>
  <c r="AB353" i="192" s="1"/>
  <c r="M353" i="192"/>
  <c r="Z353" i="192" s="1"/>
  <c r="L353" i="192"/>
  <c r="K353" i="192"/>
  <c r="J353" i="192"/>
  <c r="I353" i="192"/>
  <c r="H353" i="192"/>
  <c r="G353" i="192"/>
  <c r="F353" i="192"/>
  <c r="E353" i="192"/>
  <c r="D353" i="192"/>
  <c r="C353" i="192"/>
  <c r="AF352" i="192"/>
  <c r="AE352" i="192"/>
  <c r="Q352" i="192"/>
  <c r="AD352" i="192" s="1"/>
  <c r="P352" i="192"/>
  <c r="AC352" i="192" s="1"/>
  <c r="O352" i="192"/>
  <c r="AB352" i="192" s="1"/>
  <c r="M352" i="192"/>
  <c r="Z352" i="192" s="1"/>
  <c r="L352" i="192"/>
  <c r="K352" i="192"/>
  <c r="J352" i="192"/>
  <c r="I352" i="192"/>
  <c r="H352" i="192"/>
  <c r="G352" i="192"/>
  <c r="F352" i="192"/>
  <c r="E352" i="192"/>
  <c r="D352" i="192"/>
  <c r="C352" i="192"/>
  <c r="AF351" i="192"/>
  <c r="AE351" i="192"/>
  <c r="Q351" i="192"/>
  <c r="AD351" i="192" s="1"/>
  <c r="P351" i="192"/>
  <c r="AC351" i="192" s="1"/>
  <c r="O351" i="192"/>
  <c r="AB351" i="192" s="1"/>
  <c r="M351" i="192"/>
  <c r="Z351" i="192" s="1"/>
  <c r="L351" i="192"/>
  <c r="K351" i="192"/>
  <c r="J351" i="192"/>
  <c r="I351" i="192"/>
  <c r="H351" i="192"/>
  <c r="G351" i="192"/>
  <c r="F351" i="192"/>
  <c r="E351" i="192"/>
  <c r="D351" i="192"/>
  <c r="C351" i="192"/>
  <c r="Q350" i="192"/>
  <c r="AD350" i="192" s="1"/>
  <c r="P350" i="192"/>
  <c r="AC350" i="192" s="1"/>
  <c r="O350" i="192"/>
  <c r="AB350" i="192" s="1"/>
  <c r="M350" i="192"/>
  <c r="Z350" i="192" s="1"/>
  <c r="L350" i="192"/>
  <c r="K350" i="192"/>
  <c r="J350" i="192"/>
  <c r="I350" i="192"/>
  <c r="H350" i="192"/>
  <c r="G350" i="192"/>
  <c r="F350" i="192"/>
  <c r="E350" i="192"/>
  <c r="D350" i="192"/>
  <c r="C350" i="192"/>
  <c r="Q349" i="192"/>
  <c r="AD349" i="192" s="1"/>
  <c r="P349" i="192"/>
  <c r="AC349" i="192" s="1"/>
  <c r="O349" i="192"/>
  <c r="AB349" i="192" s="1"/>
  <c r="M349" i="192"/>
  <c r="Z349" i="192" s="1"/>
  <c r="L349" i="192"/>
  <c r="K349" i="192"/>
  <c r="J349" i="192"/>
  <c r="I349" i="192"/>
  <c r="H349" i="192"/>
  <c r="G349" i="192"/>
  <c r="F349" i="192"/>
  <c r="E349" i="192"/>
  <c r="D349" i="192"/>
  <c r="C349" i="192"/>
  <c r="Q348" i="192"/>
  <c r="AD348" i="192" s="1"/>
  <c r="P348" i="192"/>
  <c r="AC348" i="192" s="1"/>
  <c r="O348" i="192"/>
  <c r="AB348" i="192" s="1"/>
  <c r="M348" i="192"/>
  <c r="Z348" i="192" s="1"/>
  <c r="L348" i="192"/>
  <c r="K348" i="192"/>
  <c r="J348" i="192"/>
  <c r="I348" i="192"/>
  <c r="H348" i="192"/>
  <c r="G348" i="192"/>
  <c r="F348" i="192"/>
  <c r="E348" i="192"/>
  <c r="D348" i="192"/>
  <c r="C348" i="192"/>
  <c r="Q347" i="192"/>
  <c r="AD347" i="192" s="1"/>
  <c r="P347" i="192"/>
  <c r="AC347" i="192" s="1"/>
  <c r="O347" i="192"/>
  <c r="AB347" i="192" s="1"/>
  <c r="M347" i="192"/>
  <c r="Z347" i="192" s="1"/>
  <c r="L347" i="192"/>
  <c r="K347" i="192"/>
  <c r="J347" i="192"/>
  <c r="I347" i="192"/>
  <c r="H347" i="192"/>
  <c r="G347" i="192"/>
  <c r="F347" i="192"/>
  <c r="E347" i="192"/>
  <c r="D347" i="192"/>
  <c r="C347" i="192"/>
  <c r="Q346" i="192"/>
  <c r="AD346" i="192" s="1"/>
  <c r="P346" i="192"/>
  <c r="AC346" i="192" s="1"/>
  <c r="O346" i="192"/>
  <c r="AB346" i="192" s="1"/>
  <c r="M346" i="192"/>
  <c r="Z346" i="192" s="1"/>
  <c r="L346" i="192"/>
  <c r="K346" i="192"/>
  <c r="J346" i="192"/>
  <c r="I346" i="192"/>
  <c r="H346" i="192"/>
  <c r="G346" i="192"/>
  <c r="F346" i="192"/>
  <c r="E346" i="192"/>
  <c r="D346" i="192"/>
  <c r="C346" i="192"/>
  <c r="Q345" i="192"/>
  <c r="AD345" i="192" s="1"/>
  <c r="P345" i="192"/>
  <c r="AC345" i="192" s="1"/>
  <c r="O345" i="192"/>
  <c r="AB345" i="192" s="1"/>
  <c r="M345" i="192"/>
  <c r="Z345" i="192" s="1"/>
  <c r="L345" i="192"/>
  <c r="K345" i="192"/>
  <c r="J345" i="192"/>
  <c r="I345" i="192"/>
  <c r="H345" i="192"/>
  <c r="G345" i="192"/>
  <c r="F345" i="192"/>
  <c r="E345" i="192"/>
  <c r="D345" i="192"/>
  <c r="C345" i="192"/>
  <c r="Q344" i="192"/>
  <c r="AD344" i="192" s="1"/>
  <c r="P344" i="192"/>
  <c r="AC344" i="192" s="1"/>
  <c r="O344" i="192"/>
  <c r="AB344" i="192" s="1"/>
  <c r="M344" i="192"/>
  <c r="Z344" i="192" s="1"/>
  <c r="L344" i="192"/>
  <c r="K344" i="192"/>
  <c r="J344" i="192"/>
  <c r="I344" i="192"/>
  <c r="H344" i="192"/>
  <c r="G344" i="192"/>
  <c r="F344" i="192"/>
  <c r="E344" i="192"/>
  <c r="D344" i="192"/>
  <c r="C344" i="192"/>
  <c r="Q343" i="192"/>
  <c r="AD343" i="192" s="1"/>
  <c r="P343" i="192"/>
  <c r="AC343" i="192" s="1"/>
  <c r="O343" i="192"/>
  <c r="AB343" i="192" s="1"/>
  <c r="M343" i="192"/>
  <c r="Z343" i="192" s="1"/>
  <c r="L343" i="192"/>
  <c r="K343" i="192"/>
  <c r="J343" i="192"/>
  <c r="I343" i="192"/>
  <c r="H343" i="192"/>
  <c r="G343" i="192"/>
  <c r="F343" i="192"/>
  <c r="E343" i="192"/>
  <c r="D343" i="192"/>
  <c r="C343" i="192"/>
  <c r="Q342" i="192"/>
  <c r="AD342" i="192" s="1"/>
  <c r="P342" i="192"/>
  <c r="AC342" i="192" s="1"/>
  <c r="O342" i="192"/>
  <c r="AB342" i="192" s="1"/>
  <c r="M342" i="192"/>
  <c r="Z342" i="192" s="1"/>
  <c r="L342" i="192"/>
  <c r="K342" i="192"/>
  <c r="J342" i="192"/>
  <c r="I342" i="192"/>
  <c r="H342" i="192"/>
  <c r="G342" i="192"/>
  <c r="F342" i="192"/>
  <c r="E342" i="192"/>
  <c r="D342" i="192"/>
  <c r="C342" i="192"/>
  <c r="Q341" i="192"/>
  <c r="AD341" i="192" s="1"/>
  <c r="P341" i="192"/>
  <c r="AC341" i="192" s="1"/>
  <c r="O341" i="192"/>
  <c r="AB341" i="192" s="1"/>
  <c r="M341" i="192"/>
  <c r="Z341" i="192" s="1"/>
  <c r="L341" i="192"/>
  <c r="K341" i="192"/>
  <c r="J341" i="192"/>
  <c r="I341" i="192"/>
  <c r="H341" i="192"/>
  <c r="G341" i="192"/>
  <c r="F341" i="192"/>
  <c r="E341" i="192"/>
  <c r="D341" i="192"/>
  <c r="C341" i="192"/>
  <c r="Q340" i="192"/>
  <c r="AD340" i="192" s="1"/>
  <c r="P340" i="192"/>
  <c r="AC340" i="192" s="1"/>
  <c r="O340" i="192"/>
  <c r="AB340" i="192" s="1"/>
  <c r="M340" i="192"/>
  <c r="Z340" i="192" s="1"/>
  <c r="L340" i="192"/>
  <c r="K340" i="192"/>
  <c r="J340" i="192"/>
  <c r="I340" i="192"/>
  <c r="H340" i="192"/>
  <c r="G340" i="192"/>
  <c r="F340" i="192"/>
  <c r="E340" i="192"/>
  <c r="D340" i="192"/>
  <c r="C340" i="192"/>
  <c r="Q339" i="192"/>
  <c r="AD339" i="192" s="1"/>
  <c r="P339" i="192"/>
  <c r="AC339" i="192" s="1"/>
  <c r="O339" i="192"/>
  <c r="AB339" i="192" s="1"/>
  <c r="M339" i="192"/>
  <c r="Z339" i="192" s="1"/>
  <c r="L339" i="192"/>
  <c r="K339" i="192"/>
  <c r="J339" i="192"/>
  <c r="I339" i="192"/>
  <c r="H339" i="192"/>
  <c r="G339" i="192"/>
  <c r="F339" i="192"/>
  <c r="E339" i="192"/>
  <c r="D339" i="192"/>
  <c r="C339" i="192"/>
  <c r="Q338" i="192"/>
  <c r="AD338" i="192" s="1"/>
  <c r="P338" i="192"/>
  <c r="AC338" i="192" s="1"/>
  <c r="O338" i="192"/>
  <c r="AB338" i="192" s="1"/>
  <c r="M338" i="192"/>
  <c r="Z338" i="192" s="1"/>
  <c r="L338" i="192"/>
  <c r="K338" i="192"/>
  <c r="J338" i="192"/>
  <c r="I338" i="192"/>
  <c r="H338" i="192"/>
  <c r="G338" i="192"/>
  <c r="F338" i="192"/>
  <c r="E338" i="192"/>
  <c r="D338" i="192"/>
  <c r="C338" i="192"/>
  <c r="Q337" i="192"/>
  <c r="AD337" i="192" s="1"/>
  <c r="P337" i="192"/>
  <c r="AC337" i="192" s="1"/>
  <c r="O337" i="192"/>
  <c r="AB337" i="192" s="1"/>
  <c r="M337" i="192"/>
  <c r="Z337" i="192" s="1"/>
  <c r="L337" i="192"/>
  <c r="K337" i="192"/>
  <c r="J337" i="192"/>
  <c r="I337" i="192"/>
  <c r="H337" i="192"/>
  <c r="G337" i="192"/>
  <c r="F337" i="192"/>
  <c r="E337" i="192"/>
  <c r="D337" i="192"/>
  <c r="C337" i="192"/>
  <c r="Q336" i="192"/>
  <c r="AD336" i="192" s="1"/>
  <c r="P336" i="192"/>
  <c r="AC336" i="192" s="1"/>
  <c r="O336" i="192"/>
  <c r="AB336" i="192" s="1"/>
  <c r="M336" i="192"/>
  <c r="Z336" i="192" s="1"/>
  <c r="L336" i="192"/>
  <c r="K336" i="192"/>
  <c r="J336" i="192"/>
  <c r="I336" i="192"/>
  <c r="H336" i="192"/>
  <c r="G336" i="192"/>
  <c r="F336" i="192"/>
  <c r="E336" i="192"/>
  <c r="D336" i="192"/>
  <c r="C336" i="192"/>
  <c r="Q335" i="192"/>
  <c r="AD335" i="192" s="1"/>
  <c r="P335" i="192"/>
  <c r="AC335" i="192" s="1"/>
  <c r="O335" i="192"/>
  <c r="AB335" i="192" s="1"/>
  <c r="M335" i="192"/>
  <c r="Z335" i="192" s="1"/>
  <c r="L335" i="192"/>
  <c r="K335" i="192"/>
  <c r="J335" i="192"/>
  <c r="I335" i="192"/>
  <c r="H335" i="192"/>
  <c r="G335" i="192"/>
  <c r="F335" i="192"/>
  <c r="E335" i="192"/>
  <c r="D335" i="192"/>
  <c r="C335" i="192"/>
  <c r="Q334" i="192"/>
  <c r="AD334" i="192" s="1"/>
  <c r="P334" i="192"/>
  <c r="AC334" i="192" s="1"/>
  <c r="O334" i="192"/>
  <c r="AB334" i="192" s="1"/>
  <c r="M334" i="192"/>
  <c r="Z334" i="192" s="1"/>
  <c r="L334" i="192"/>
  <c r="K334" i="192"/>
  <c r="J334" i="192"/>
  <c r="I334" i="192"/>
  <c r="H334" i="192"/>
  <c r="G334" i="192"/>
  <c r="F334" i="192"/>
  <c r="E334" i="192"/>
  <c r="D334" i="192"/>
  <c r="C334" i="192"/>
  <c r="Q333" i="192"/>
  <c r="AD333" i="192" s="1"/>
  <c r="P333" i="192"/>
  <c r="AC333" i="192" s="1"/>
  <c r="O333" i="192"/>
  <c r="AB333" i="192" s="1"/>
  <c r="M333" i="192"/>
  <c r="Z333" i="192" s="1"/>
  <c r="L333" i="192"/>
  <c r="K333" i="192"/>
  <c r="J333" i="192"/>
  <c r="I333" i="192"/>
  <c r="H333" i="192"/>
  <c r="G333" i="192"/>
  <c r="F333" i="192"/>
  <c r="E333" i="192"/>
  <c r="D333" i="192"/>
  <c r="C333" i="192"/>
  <c r="Q332" i="192"/>
  <c r="AD332" i="192" s="1"/>
  <c r="P332" i="192"/>
  <c r="AC332" i="192" s="1"/>
  <c r="O332" i="192"/>
  <c r="AB332" i="192" s="1"/>
  <c r="M332" i="192"/>
  <c r="Z332" i="192" s="1"/>
  <c r="L332" i="192"/>
  <c r="K332" i="192"/>
  <c r="J332" i="192"/>
  <c r="I332" i="192"/>
  <c r="H332" i="192"/>
  <c r="G332" i="192"/>
  <c r="F332" i="192"/>
  <c r="E332" i="192"/>
  <c r="D332" i="192"/>
  <c r="C332" i="192"/>
  <c r="Q331" i="192"/>
  <c r="AD331" i="192" s="1"/>
  <c r="P331" i="192"/>
  <c r="AC331" i="192" s="1"/>
  <c r="O331" i="192"/>
  <c r="AB331" i="192" s="1"/>
  <c r="M331" i="192"/>
  <c r="Z331" i="192" s="1"/>
  <c r="L331" i="192"/>
  <c r="K331" i="192"/>
  <c r="J331" i="192"/>
  <c r="I331" i="192"/>
  <c r="H331" i="192"/>
  <c r="G331" i="192"/>
  <c r="F331" i="192"/>
  <c r="E331" i="192"/>
  <c r="D331" i="192"/>
  <c r="C331" i="192"/>
  <c r="Q330" i="192"/>
  <c r="AD330" i="192" s="1"/>
  <c r="P330" i="192"/>
  <c r="AC330" i="192" s="1"/>
  <c r="O330" i="192"/>
  <c r="AB330" i="192" s="1"/>
  <c r="M330" i="192"/>
  <c r="Z330" i="192" s="1"/>
  <c r="L330" i="192"/>
  <c r="K330" i="192"/>
  <c r="J330" i="192"/>
  <c r="I330" i="192"/>
  <c r="H330" i="192"/>
  <c r="G330" i="192"/>
  <c r="F330" i="192"/>
  <c r="E330" i="192"/>
  <c r="D330" i="192"/>
  <c r="C330" i="192"/>
  <c r="Q329" i="192"/>
  <c r="AD329" i="192" s="1"/>
  <c r="P329" i="192"/>
  <c r="AC329" i="192" s="1"/>
  <c r="O329" i="192"/>
  <c r="AB329" i="192" s="1"/>
  <c r="M329" i="192"/>
  <c r="Z329" i="192" s="1"/>
  <c r="L329" i="192"/>
  <c r="K329" i="192"/>
  <c r="J329" i="192"/>
  <c r="I329" i="192"/>
  <c r="H329" i="192"/>
  <c r="G329" i="192"/>
  <c r="F329" i="192"/>
  <c r="E329" i="192"/>
  <c r="D329" i="192"/>
  <c r="C329" i="192"/>
  <c r="Q328" i="192"/>
  <c r="AD328" i="192" s="1"/>
  <c r="P328" i="192"/>
  <c r="AC328" i="192" s="1"/>
  <c r="O328" i="192"/>
  <c r="AB328" i="192" s="1"/>
  <c r="M328" i="192"/>
  <c r="Z328" i="192" s="1"/>
  <c r="L328" i="192"/>
  <c r="K328" i="192"/>
  <c r="J328" i="192"/>
  <c r="I328" i="192"/>
  <c r="H328" i="192"/>
  <c r="G328" i="192"/>
  <c r="F328" i="192"/>
  <c r="E328" i="192"/>
  <c r="D328" i="192"/>
  <c r="C328" i="192"/>
  <c r="Q327" i="192"/>
  <c r="AD327" i="192" s="1"/>
  <c r="P327" i="192"/>
  <c r="AC327" i="192" s="1"/>
  <c r="O327" i="192"/>
  <c r="AB327" i="192" s="1"/>
  <c r="M327" i="192"/>
  <c r="Z327" i="192" s="1"/>
  <c r="L327" i="192"/>
  <c r="K327" i="192"/>
  <c r="J327" i="192"/>
  <c r="I327" i="192"/>
  <c r="H327" i="192"/>
  <c r="G327" i="192"/>
  <c r="F327" i="192"/>
  <c r="E327" i="192"/>
  <c r="D327" i="192"/>
  <c r="C327" i="192"/>
  <c r="Q326" i="192"/>
  <c r="AD326" i="192" s="1"/>
  <c r="P326" i="192"/>
  <c r="AC326" i="192" s="1"/>
  <c r="O326" i="192"/>
  <c r="AB326" i="192" s="1"/>
  <c r="M326" i="192"/>
  <c r="Z326" i="192" s="1"/>
  <c r="L326" i="192"/>
  <c r="K326" i="192"/>
  <c r="J326" i="192"/>
  <c r="I326" i="192"/>
  <c r="H326" i="192"/>
  <c r="G326" i="192"/>
  <c r="F326" i="192"/>
  <c r="E326" i="192"/>
  <c r="D326" i="192"/>
  <c r="C326" i="192"/>
  <c r="Q325" i="192"/>
  <c r="AD325" i="192" s="1"/>
  <c r="P325" i="192"/>
  <c r="AC325" i="192" s="1"/>
  <c r="O325" i="192"/>
  <c r="AB325" i="192" s="1"/>
  <c r="M325" i="192"/>
  <c r="Z325" i="192" s="1"/>
  <c r="L325" i="192"/>
  <c r="K325" i="192"/>
  <c r="J325" i="192"/>
  <c r="I325" i="192"/>
  <c r="H325" i="192"/>
  <c r="G325" i="192"/>
  <c r="F325" i="192"/>
  <c r="E325" i="192"/>
  <c r="D325" i="192"/>
  <c r="C325" i="192"/>
  <c r="Q324" i="192"/>
  <c r="AD324" i="192" s="1"/>
  <c r="P324" i="192"/>
  <c r="AC324" i="192" s="1"/>
  <c r="O324" i="192"/>
  <c r="AB324" i="192" s="1"/>
  <c r="M324" i="192"/>
  <c r="Z324" i="192" s="1"/>
  <c r="L324" i="192"/>
  <c r="K324" i="192"/>
  <c r="J324" i="192"/>
  <c r="I324" i="192"/>
  <c r="H324" i="192"/>
  <c r="G324" i="192"/>
  <c r="F324" i="192"/>
  <c r="E324" i="192"/>
  <c r="D324" i="192"/>
  <c r="C324" i="192"/>
  <c r="Q323" i="192"/>
  <c r="AD323" i="192" s="1"/>
  <c r="P323" i="192"/>
  <c r="AC323" i="192" s="1"/>
  <c r="O323" i="192"/>
  <c r="AB323" i="192" s="1"/>
  <c r="M323" i="192"/>
  <c r="Z323" i="192" s="1"/>
  <c r="L323" i="192"/>
  <c r="K323" i="192"/>
  <c r="J323" i="192"/>
  <c r="I323" i="192"/>
  <c r="H323" i="192"/>
  <c r="G323" i="192"/>
  <c r="F323" i="192"/>
  <c r="E323" i="192"/>
  <c r="D323" i="192"/>
  <c r="C323" i="192"/>
  <c r="Q322" i="192"/>
  <c r="AD322" i="192" s="1"/>
  <c r="P322" i="192"/>
  <c r="AC322" i="192" s="1"/>
  <c r="O322" i="192"/>
  <c r="AB322" i="192" s="1"/>
  <c r="M322" i="192"/>
  <c r="Z322" i="192" s="1"/>
  <c r="L322" i="192"/>
  <c r="K322" i="192"/>
  <c r="J322" i="192"/>
  <c r="I322" i="192"/>
  <c r="H322" i="192"/>
  <c r="G322" i="192"/>
  <c r="F322" i="192"/>
  <c r="E322" i="192"/>
  <c r="D322" i="192"/>
  <c r="C322" i="192"/>
  <c r="Q321" i="192"/>
  <c r="AD321" i="192" s="1"/>
  <c r="P321" i="192"/>
  <c r="AC321" i="192" s="1"/>
  <c r="O321" i="192"/>
  <c r="AB321" i="192" s="1"/>
  <c r="M321" i="192"/>
  <c r="Z321" i="192" s="1"/>
  <c r="L321" i="192"/>
  <c r="K321" i="192"/>
  <c r="J321" i="192"/>
  <c r="I321" i="192"/>
  <c r="H321" i="192"/>
  <c r="G321" i="192"/>
  <c r="F321" i="192"/>
  <c r="E321" i="192"/>
  <c r="D321" i="192"/>
  <c r="C321" i="192"/>
  <c r="Q320" i="192"/>
  <c r="AD320" i="192" s="1"/>
  <c r="P320" i="192"/>
  <c r="AC320" i="192" s="1"/>
  <c r="O320" i="192"/>
  <c r="AB320" i="192" s="1"/>
  <c r="M320" i="192"/>
  <c r="Z320" i="192" s="1"/>
  <c r="L320" i="192"/>
  <c r="K320" i="192"/>
  <c r="J320" i="192"/>
  <c r="I320" i="192"/>
  <c r="H320" i="192"/>
  <c r="G320" i="192"/>
  <c r="F320" i="192"/>
  <c r="E320" i="192"/>
  <c r="D320" i="192"/>
  <c r="C320" i="192"/>
  <c r="Q319" i="192"/>
  <c r="AD319" i="192" s="1"/>
  <c r="P319" i="192"/>
  <c r="AC319" i="192" s="1"/>
  <c r="O319" i="192"/>
  <c r="AB319" i="192" s="1"/>
  <c r="M319" i="192"/>
  <c r="Z319" i="192" s="1"/>
  <c r="L319" i="192"/>
  <c r="K319" i="192"/>
  <c r="J319" i="192"/>
  <c r="I319" i="192"/>
  <c r="H319" i="192"/>
  <c r="G319" i="192"/>
  <c r="F319" i="192"/>
  <c r="E319" i="192"/>
  <c r="D319" i="192"/>
  <c r="C319" i="192"/>
  <c r="Q318" i="192"/>
  <c r="AD318" i="192" s="1"/>
  <c r="P318" i="192"/>
  <c r="AC318" i="192" s="1"/>
  <c r="O318" i="192"/>
  <c r="AB318" i="192" s="1"/>
  <c r="M318" i="192"/>
  <c r="Z318" i="192" s="1"/>
  <c r="L318" i="192"/>
  <c r="K318" i="192"/>
  <c r="J318" i="192"/>
  <c r="I318" i="192"/>
  <c r="H318" i="192"/>
  <c r="G318" i="192"/>
  <c r="F318" i="192"/>
  <c r="E318" i="192"/>
  <c r="D318" i="192"/>
  <c r="C318" i="192"/>
  <c r="Q317" i="192"/>
  <c r="AD317" i="192" s="1"/>
  <c r="P317" i="192"/>
  <c r="AC317" i="192" s="1"/>
  <c r="O317" i="192"/>
  <c r="AB317" i="192" s="1"/>
  <c r="M317" i="192"/>
  <c r="Z317" i="192" s="1"/>
  <c r="L317" i="192"/>
  <c r="K317" i="192"/>
  <c r="J317" i="192"/>
  <c r="I317" i="192"/>
  <c r="H317" i="192"/>
  <c r="G317" i="192"/>
  <c r="F317" i="192"/>
  <c r="E317" i="192"/>
  <c r="D317" i="192"/>
  <c r="C317" i="192"/>
  <c r="Q316" i="192"/>
  <c r="AD316" i="192" s="1"/>
  <c r="P316" i="192"/>
  <c r="AC316" i="192" s="1"/>
  <c r="O316" i="192"/>
  <c r="AB316" i="192" s="1"/>
  <c r="M316" i="192"/>
  <c r="Z316" i="192" s="1"/>
  <c r="L316" i="192"/>
  <c r="K316" i="192"/>
  <c r="J316" i="192"/>
  <c r="I316" i="192"/>
  <c r="H316" i="192"/>
  <c r="G316" i="192"/>
  <c r="F316" i="192"/>
  <c r="E316" i="192"/>
  <c r="D316" i="192"/>
  <c r="C316" i="192"/>
  <c r="Q315" i="192"/>
  <c r="AD315" i="192" s="1"/>
  <c r="P315" i="192"/>
  <c r="AC315" i="192" s="1"/>
  <c r="O315" i="192"/>
  <c r="AB315" i="192" s="1"/>
  <c r="M315" i="192"/>
  <c r="Z315" i="192" s="1"/>
  <c r="L315" i="192"/>
  <c r="K315" i="192"/>
  <c r="J315" i="192"/>
  <c r="I315" i="192"/>
  <c r="H315" i="192"/>
  <c r="G315" i="192"/>
  <c r="F315" i="192"/>
  <c r="E315" i="192"/>
  <c r="D315" i="192"/>
  <c r="C315" i="192"/>
  <c r="Q314" i="192"/>
  <c r="AD314" i="192" s="1"/>
  <c r="P314" i="192"/>
  <c r="AC314" i="192" s="1"/>
  <c r="O314" i="192"/>
  <c r="AB314" i="192" s="1"/>
  <c r="M314" i="192"/>
  <c r="Z314" i="192" s="1"/>
  <c r="L314" i="192"/>
  <c r="K314" i="192"/>
  <c r="J314" i="192"/>
  <c r="I314" i="192"/>
  <c r="H314" i="192"/>
  <c r="G314" i="192"/>
  <c r="F314" i="192"/>
  <c r="E314" i="192"/>
  <c r="D314" i="192"/>
  <c r="C314" i="192"/>
  <c r="Q313" i="192"/>
  <c r="AD313" i="192" s="1"/>
  <c r="P313" i="192"/>
  <c r="AC313" i="192" s="1"/>
  <c r="O313" i="192"/>
  <c r="AB313" i="192" s="1"/>
  <c r="M313" i="192"/>
  <c r="Z313" i="192" s="1"/>
  <c r="L313" i="192"/>
  <c r="K313" i="192"/>
  <c r="J313" i="192"/>
  <c r="I313" i="192"/>
  <c r="H313" i="192"/>
  <c r="G313" i="192"/>
  <c r="F313" i="192"/>
  <c r="E313" i="192"/>
  <c r="D313" i="192"/>
  <c r="C313" i="192"/>
  <c r="Q312" i="192"/>
  <c r="AD312" i="192" s="1"/>
  <c r="P312" i="192"/>
  <c r="AC312" i="192" s="1"/>
  <c r="O312" i="192"/>
  <c r="AB312" i="192" s="1"/>
  <c r="M312" i="192"/>
  <c r="Z312" i="192" s="1"/>
  <c r="L312" i="192"/>
  <c r="K312" i="192"/>
  <c r="J312" i="192"/>
  <c r="I312" i="192"/>
  <c r="H312" i="192"/>
  <c r="G312" i="192"/>
  <c r="F312" i="192"/>
  <c r="E312" i="192"/>
  <c r="D312" i="192"/>
  <c r="C312" i="192"/>
  <c r="Q311" i="192"/>
  <c r="AD311" i="192" s="1"/>
  <c r="P311" i="192"/>
  <c r="AC311" i="192" s="1"/>
  <c r="O311" i="192"/>
  <c r="AB311" i="192" s="1"/>
  <c r="M311" i="192"/>
  <c r="Z311" i="192" s="1"/>
  <c r="L311" i="192"/>
  <c r="K311" i="192"/>
  <c r="J311" i="192"/>
  <c r="I311" i="192"/>
  <c r="H311" i="192"/>
  <c r="G311" i="192"/>
  <c r="F311" i="192"/>
  <c r="E311" i="192"/>
  <c r="D311" i="192"/>
  <c r="C311" i="192"/>
  <c r="Q310" i="192"/>
  <c r="AD310" i="192" s="1"/>
  <c r="P310" i="192"/>
  <c r="AC310" i="192" s="1"/>
  <c r="O310" i="192"/>
  <c r="AB310" i="192" s="1"/>
  <c r="M310" i="192"/>
  <c r="Z310" i="192" s="1"/>
  <c r="L310" i="192"/>
  <c r="K310" i="192"/>
  <c r="J310" i="192"/>
  <c r="I310" i="192"/>
  <c r="H310" i="192"/>
  <c r="G310" i="192"/>
  <c r="F310" i="192"/>
  <c r="E310" i="192"/>
  <c r="D310" i="192"/>
  <c r="C310" i="192"/>
  <c r="Q309" i="192"/>
  <c r="AD309" i="192" s="1"/>
  <c r="P309" i="192"/>
  <c r="AC309" i="192" s="1"/>
  <c r="O309" i="192"/>
  <c r="AB309" i="192" s="1"/>
  <c r="M309" i="192"/>
  <c r="Z309" i="192" s="1"/>
  <c r="L309" i="192"/>
  <c r="K309" i="192"/>
  <c r="J309" i="192"/>
  <c r="I309" i="192"/>
  <c r="H309" i="192"/>
  <c r="G309" i="192"/>
  <c r="F309" i="192"/>
  <c r="E309" i="192"/>
  <c r="D309" i="192"/>
  <c r="C309" i="192"/>
  <c r="Q308" i="192"/>
  <c r="AD308" i="192" s="1"/>
  <c r="P308" i="192"/>
  <c r="AC308" i="192" s="1"/>
  <c r="O308" i="192"/>
  <c r="AB308" i="192" s="1"/>
  <c r="M308" i="192"/>
  <c r="Z308" i="192" s="1"/>
  <c r="L308" i="192"/>
  <c r="K308" i="192"/>
  <c r="J308" i="192"/>
  <c r="I308" i="192"/>
  <c r="H308" i="192"/>
  <c r="G308" i="192"/>
  <c r="F308" i="192"/>
  <c r="E308" i="192"/>
  <c r="D308" i="192"/>
  <c r="C308" i="192"/>
  <c r="Q307" i="192"/>
  <c r="AD307" i="192" s="1"/>
  <c r="P307" i="192"/>
  <c r="AC307" i="192" s="1"/>
  <c r="O307" i="192"/>
  <c r="AB307" i="192" s="1"/>
  <c r="M307" i="192"/>
  <c r="Z307" i="192" s="1"/>
  <c r="L307" i="192"/>
  <c r="K307" i="192"/>
  <c r="J307" i="192"/>
  <c r="I307" i="192"/>
  <c r="H307" i="192"/>
  <c r="G307" i="192"/>
  <c r="F307" i="192"/>
  <c r="E307" i="192"/>
  <c r="D307" i="192"/>
  <c r="C307" i="192"/>
  <c r="Q306" i="192"/>
  <c r="AD306" i="192" s="1"/>
  <c r="P306" i="192"/>
  <c r="AC306" i="192" s="1"/>
  <c r="O306" i="192"/>
  <c r="AB306" i="192" s="1"/>
  <c r="M306" i="192"/>
  <c r="Z306" i="192" s="1"/>
  <c r="L306" i="192"/>
  <c r="K306" i="192"/>
  <c r="J306" i="192"/>
  <c r="I306" i="192"/>
  <c r="H306" i="192"/>
  <c r="G306" i="192"/>
  <c r="F306" i="192"/>
  <c r="E306" i="192"/>
  <c r="D306" i="192"/>
  <c r="C306" i="192"/>
  <c r="Q305" i="192"/>
  <c r="AD305" i="192" s="1"/>
  <c r="P305" i="192"/>
  <c r="AC305" i="192" s="1"/>
  <c r="O305" i="192"/>
  <c r="AB305" i="192" s="1"/>
  <c r="M305" i="192"/>
  <c r="Z305" i="192" s="1"/>
  <c r="L305" i="192"/>
  <c r="K305" i="192"/>
  <c r="J305" i="192"/>
  <c r="I305" i="192"/>
  <c r="H305" i="192"/>
  <c r="G305" i="192"/>
  <c r="F305" i="192"/>
  <c r="E305" i="192"/>
  <c r="D305" i="192"/>
  <c r="C305" i="192"/>
  <c r="Q304" i="192"/>
  <c r="AD304" i="192" s="1"/>
  <c r="P304" i="192"/>
  <c r="AC304" i="192" s="1"/>
  <c r="O304" i="192"/>
  <c r="AB304" i="192" s="1"/>
  <c r="M304" i="192"/>
  <c r="Z304" i="192" s="1"/>
  <c r="L304" i="192"/>
  <c r="K304" i="192"/>
  <c r="J304" i="192"/>
  <c r="I304" i="192"/>
  <c r="H304" i="192"/>
  <c r="G304" i="192"/>
  <c r="F304" i="192"/>
  <c r="E304" i="192"/>
  <c r="D304" i="192"/>
  <c r="C304" i="192"/>
  <c r="Q303" i="192"/>
  <c r="AD303" i="192" s="1"/>
  <c r="P303" i="192"/>
  <c r="AC303" i="192" s="1"/>
  <c r="O303" i="192"/>
  <c r="AB303" i="192" s="1"/>
  <c r="M303" i="192"/>
  <c r="Z303" i="192" s="1"/>
  <c r="L303" i="192"/>
  <c r="K303" i="192"/>
  <c r="J303" i="192"/>
  <c r="I303" i="192"/>
  <c r="H303" i="192"/>
  <c r="G303" i="192"/>
  <c r="F303" i="192"/>
  <c r="E303" i="192"/>
  <c r="D303" i="192"/>
  <c r="C303" i="192"/>
  <c r="Q302" i="192"/>
  <c r="AD302" i="192" s="1"/>
  <c r="P302" i="192"/>
  <c r="AC302" i="192" s="1"/>
  <c r="O302" i="192"/>
  <c r="AB302" i="192" s="1"/>
  <c r="M302" i="192"/>
  <c r="Z302" i="192" s="1"/>
  <c r="L302" i="192"/>
  <c r="K302" i="192"/>
  <c r="J302" i="192"/>
  <c r="I302" i="192"/>
  <c r="H302" i="192"/>
  <c r="G302" i="192"/>
  <c r="F302" i="192"/>
  <c r="E302" i="192"/>
  <c r="D302" i="192"/>
  <c r="C302" i="192"/>
  <c r="Q301" i="192"/>
  <c r="AD301" i="192" s="1"/>
  <c r="P301" i="192"/>
  <c r="AC301" i="192" s="1"/>
  <c r="O301" i="192"/>
  <c r="AB301" i="192" s="1"/>
  <c r="M301" i="192"/>
  <c r="Z301" i="192" s="1"/>
  <c r="L301" i="192"/>
  <c r="K301" i="192"/>
  <c r="J301" i="192"/>
  <c r="I301" i="192"/>
  <c r="H301" i="192"/>
  <c r="G301" i="192"/>
  <c r="F301" i="192"/>
  <c r="E301" i="192"/>
  <c r="D301" i="192"/>
  <c r="C301" i="192"/>
  <c r="Q300" i="192"/>
  <c r="AD300" i="192" s="1"/>
  <c r="P300" i="192"/>
  <c r="AC300" i="192" s="1"/>
  <c r="O300" i="192"/>
  <c r="AB300" i="192" s="1"/>
  <c r="M300" i="192"/>
  <c r="Z300" i="192" s="1"/>
  <c r="L300" i="192"/>
  <c r="K300" i="192"/>
  <c r="J300" i="192"/>
  <c r="I300" i="192"/>
  <c r="H300" i="192"/>
  <c r="G300" i="192"/>
  <c r="F300" i="192"/>
  <c r="E300" i="192"/>
  <c r="D300" i="192"/>
  <c r="C300" i="192"/>
  <c r="Q299" i="192"/>
  <c r="AD299" i="192" s="1"/>
  <c r="P299" i="192"/>
  <c r="AC299" i="192" s="1"/>
  <c r="O299" i="192"/>
  <c r="AB299" i="192" s="1"/>
  <c r="M299" i="192"/>
  <c r="Z299" i="192" s="1"/>
  <c r="L299" i="192"/>
  <c r="K299" i="192"/>
  <c r="J299" i="192"/>
  <c r="I299" i="192"/>
  <c r="H299" i="192"/>
  <c r="G299" i="192"/>
  <c r="F299" i="192"/>
  <c r="E299" i="192"/>
  <c r="D299" i="192"/>
  <c r="C299" i="192"/>
  <c r="Q298" i="192"/>
  <c r="AD298" i="192" s="1"/>
  <c r="P298" i="192"/>
  <c r="AC298" i="192" s="1"/>
  <c r="O298" i="192"/>
  <c r="AB298" i="192" s="1"/>
  <c r="M298" i="192"/>
  <c r="Z298" i="192" s="1"/>
  <c r="L298" i="192"/>
  <c r="K298" i="192"/>
  <c r="J298" i="192"/>
  <c r="I298" i="192"/>
  <c r="H298" i="192"/>
  <c r="G298" i="192"/>
  <c r="F298" i="192"/>
  <c r="E298" i="192"/>
  <c r="D298" i="192"/>
  <c r="C298" i="192"/>
  <c r="Q297" i="192"/>
  <c r="AD297" i="192" s="1"/>
  <c r="P297" i="192"/>
  <c r="AC297" i="192" s="1"/>
  <c r="O297" i="192"/>
  <c r="AB297" i="192" s="1"/>
  <c r="M297" i="192"/>
  <c r="Z297" i="192" s="1"/>
  <c r="L297" i="192"/>
  <c r="K297" i="192"/>
  <c r="J297" i="192"/>
  <c r="I297" i="192"/>
  <c r="H297" i="192"/>
  <c r="G297" i="192"/>
  <c r="F297" i="192"/>
  <c r="E297" i="192"/>
  <c r="D297" i="192"/>
  <c r="C297" i="192"/>
  <c r="Q296" i="192"/>
  <c r="AD296" i="192" s="1"/>
  <c r="P296" i="192"/>
  <c r="AC296" i="192" s="1"/>
  <c r="O296" i="192"/>
  <c r="AB296" i="192" s="1"/>
  <c r="M296" i="192"/>
  <c r="Z296" i="192" s="1"/>
  <c r="L296" i="192"/>
  <c r="K296" i="192"/>
  <c r="J296" i="192"/>
  <c r="I296" i="192"/>
  <c r="H296" i="192"/>
  <c r="G296" i="192"/>
  <c r="F296" i="192"/>
  <c r="E296" i="192"/>
  <c r="D296" i="192"/>
  <c r="C296" i="192"/>
  <c r="Q295" i="192"/>
  <c r="AD295" i="192" s="1"/>
  <c r="P295" i="192"/>
  <c r="AC295" i="192" s="1"/>
  <c r="O295" i="192"/>
  <c r="AB295" i="192" s="1"/>
  <c r="M295" i="192"/>
  <c r="Z295" i="192" s="1"/>
  <c r="L295" i="192"/>
  <c r="K295" i="192"/>
  <c r="J295" i="192"/>
  <c r="I295" i="192"/>
  <c r="H295" i="192"/>
  <c r="G295" i="192"/>
  <c r="F295" i="192"/>
  <c r="E295" i="192"/>
  <c r="D295" i="192"/>
  <c r="C295" i="192"/>
  <c r="Q294" i="192"/>
  <c r="AD294" i="192" s="1"/>
  <c r="P294" i="192"/>
  <c r="AC294" i="192" s="1"/>
  <c r="O294" i="192"/>
  <c r="AB294" i="192" s="1"/>
  <c r="M294" i="192"/>
  <c r="Z294" i="192" s="1"/>
  <c r="L294" i="192"/>
  <c r="K294" i="192"/>
  <c r="J294" i="192"/>
  <c r="I294" i="192"/>
  <c r="H294" i="192"/>
  <c r="G294" i="192"/>
  <c r="F294" i="192"/>
  <c r="E294" i="192"/>
  <c r="D294" i="192"/>
  <c r="C294" i="192"/>
  <c r="Q293" i="192"/>
  <c r="AD293" i="192" s="1"/>
  <c r="P293" i="192"/>
  <c r="AC293" i="192" s="1"/>
  <c r="O293" i="192"/>
  <c r="AB293" i="192" s="1"/>
  <c r="M293" i="192"/>
  <c r="Z293" i="192" s="1"/>
  <c r="L293" i="192"/>
  <c r="K293" i="192"/>
  <c r="J293" i="192"/>
  <c r="I293" i="192"/>
  <c r="H293" i="192"/>
  <c r="G293" i="192"/>
  <c r="F293" i="192"/>
  <c r="E293" i="192"/>
  <c r="D293" i="192"/>
  <c r="C293" i="192"/>
  <c r="Q292" i="192"/>
  <c r="AD292" i="192" s="1"/>
  <c r="P292" i="192"/>
  <c r="AC292" i="192" s="1"/>
  <c r="O292" i="192"/>
  <c r="AB292" i="192" s="1"/>
  <c r="M292" i="192"/>
  <c r="Z292" i="192" s="1"/>
  <c r="L292" i="192"/>
  <c r="K292" i="192"/>
  <c r="J292" i="192"/>
  <c r="I292" i="192"/>
  <c r="H292" i="192"/>
  <c r="G292" i="192"/>
  <c r="F292" i="192"/>
  <c r="E292" i="192"/>
  <c r="D292" i="192"/>
  <c r="C292" i="192"/>
  <c r="Q291" i="192"/>
  <c r="AD291" i="192" s="1"/>
  <c r="P291" i="192"/>
  <c r="AC291" i="192" s="1"/>
  <c r="O291" i="192"/>
  <c r="AB291" i="192" s="1"/>
  <c r="M291" i="192"/>
  <c r="Z291" i="192" s="1"/>
  <c r="L291" i="192"/>
  <c r="K291" i="192"/>
  <c r="J291" i="192"/>
  <c r="I291" i="192"/>
  <c r="H291" i="192"/>
  <c r="G291" i="192"/>
  <c r="F291" i="192"/>
  <c r="E291" i="192"/>
  <c r="D291" i="192"/>
  <c r="C291" i="192"/>
  <c r="Q290" i="192"/>
  <c r="AD290" i="192" s="1"/>
  <c r="P290" i="192"/>
  <c r="AC290" i="192" s="1"/>
  <c r="O290" i="192"/>
  <c r="AB290" i="192" s="1"/>
  <c r="M290" i="192"/>
  <c r="Z290" i="192" s="1"/>
  <c r="L290" i="192"/>
  <c r="K290" i="192"/>
  <c r="J290" i="192"/>
  <c r="I290" i="192"/>
  <c r="H290" i="192"/>
  <c r="G290" i="192"/>
  <c r="F290" i="192"/>
  <c r="E290" i="192"/>
  <c r="D290" i="192"/>
  <c r="C290" i="192"/>
  <c r="Q289" i="192"/>
  <c r="AD289" i="192" s="1"/>
  <c r="P289" i="192"/>
  <c r="AC289" i="192" s="1"/>
  <c r="O289" i="192"/>
  <c r="AB289" i="192" s="1"/>
  <c r="M289" i="192"/>
  <c r="Z289" i="192" s="1"/>
  <c r="L289" i="192"/>
  <c r="K289" i="192"/>
  <c r="J289" i="192"/>
  <c r="I289" i="192"/>
  <c r="H289" i="192"/>
  <c r="G289" i="192"/>
  <c r="F289" i="192"/>
  <c r="E289" i="192"/>
  <c r="D289" i="192"/>
  <c r="C289" i="192"/>
  <c r="Q288" i="192"/>
  <c r="AD288" i="192" s="1"/>
  <c r="P288" i="192"/>
  <c r="AC288" i="192" s="1"/>
  <c r="O288" i="192"/>
  <c r="AB288" i="192" s="1"/>
  <c r="M288" i="192"/>
  <c r="Z288" i="192" s="1"/>
  <c r="L288" i="192"/>
  <c r="K288" i="192"/>
  <c r="J288" i="192"/>
  <c r="I288" i="192"/>
  <c r="H288" i="192"/>
  <c r="G288" i="192"/>
  <c r="F288" i="192"/>
  <c r="E288" i="192"/>
  <c r="D288" i="192"/>
  <c r="C288" i="192"/>
  <c r="Q287" i="192"/>
  <c r="AD287" i="192" s="1"/>
  <c r="P287" i="192"/>
  <c r="AC287" i="192" s="1"/>
  <c r="O287" i="192"/>
  <c r="AB287" i="192" s="1"/>
  <c r="M287" i="192"/>
  <c r="Z287" i="192" s="1"/>
  <c r="L287" i="192"/>
  <c r="K287" i="192"/>
  <c r="J287" i="192"/>
  <c r="I287" i="192"/>
  <c r="H287" i="192"/>
  <c r="G287" i="192"/>
  <c r="F287" i="192"/>
  <c r="E287" i="192"/>
  <c r="D287" i="192"/>
  <c r="C287" i="192"/>
  <c r="Q286" i="192"/>
  <c r="AD286" i="192" s="1"/>
  <c r="P286" i="192"/>
  <c r="AC286" i="192" s="1"/>
  <c r="O286" i="192"/>
  <c r="AB286" i="192" s="1"/>
  <c r="M286" i="192"/>
  <c r="Z286" i="192" s="1"/>
  <c r="L286" i="192"/>
  <c r="K286" i="192"/>
  <c r="J286" i="192"/>
  <c r="I286" i="192"/>
  <c r="H286" i="192"/>
  <c r="G286" i="192"/>
  <c r="F286" i="192"/>
  <c r="E286" i="192"/>
  <c r="D286" i="192"/>
  <c r="C286" i="192"/>
  <c r="Q285" i="192"/>
  <c r="AD285" i="192" s="1"/>
  <c r="P285" i="192"/>
  <c r="AC285" i="192" s="1"/>
  <c r="O285" i="192"/>
  <c r="AB285" i="192" s="1"/>
  <c r="M285" i="192"/>
  <c r="Z285" i="192" s="1"/>
  <c r="L285" i="192"/>
  <c r="K285" i="192"/>
  <c r="J285" i="192"/>
  <c r="I285" i="192"/>
  <c r="H285" i="192"/>
  <c r="G285" i="192"/>
  <c r="F285" i="192"/>
  <c r="E285" i="192"/>
  <c r="D285" i="192"/>
  <c r="C285" i="192"/>
  <c r="Q284" i="192"/>
  <c r="AD284" i="192" s="1"/>
  <c r="P284" i="192"/>
  <c r="AC284" i="192" s="1"/>
  <c r="O284" i="192"/>
  <c r="AB284" i="192" s="1"/>
  <c r="M284" i="192"/>
  <c r="Z284" i="192" s="1"/>
  <c r="L284" i="192"/>
  <c r="K284" i="192"/>
  <c r="J284" i="192"/>
  <c r="I284" i="192"/>
  <c r="H284" i="192"/>
  <c r="G284" i="192"/>
  <c r="F284" i="192"/>
  <c r="E284" i="192"/>
  <c r="D284" i="192"/>
  <c r="C284" i="192"/>
  <c r="Q283" i="192"/>
  <c r="AD283" i="192" s="1"/>
  <c r="P283" i="192"/>
  <c r="AC283" i="192" s="1"/>
  <c r="O283" i="192"/>
  <c r="AB283" i="192" s="1"/>
  <c r="M283" i="192"/>
  <c r="Z283" i="192" s="1"/>
  <c r="L283" i="192"/>
  <c r="K283" i="192"/>
  <c r="J283" i="192"/>
  <c r="I283" i="192"/>
  <c r="H283" i="192"/>
  <c r="G283" i="192"/>
  <c r="F283" i="192"/>
  <c r="E283" i="192"/>
  <c r="D283" i="192"/>
  <c r="C283" i="192"/>
  <c r="Q282" i="192"/>
  <c r="AD282" i="192" s="1"/>
  <c r="P282" i="192"/>
  <c r="AC282" i="192" s="1"/>
  <c r="O282" i="192"/>
  <c r="AB282" i="192" s="1"/>
  <c r="M282" i="192"/>
  <c r="Z282" i="192" s="1"/>
  <c r="L282" i="192"/>
  <c r="K282" i="192"/>
  <c r="J282" i="192"/>
  <c r="I282" i="192"/>
  <c r="H282" i="192"/>
  <c r="G282" i="192"/>
  <c r="F282" i="192"/>
  <c r="E282" i="192"/>
  <c r="D282" i="192"/>
  <c r="C282" i="192"/>
  <c r="Q281" i="192"/>
  <c r="AD281" i="192" s="1"/>
  <c r="P281" i="192"/>
  <c r="AC281" i="192" s="1"/>
  <c r="O281" i="192"/>
  <c r="AB281" i="192" s="1"/>
  <c r="M281" i="192"/>
  <c r="Z281" i="192" s="1"/>
  <c r="L281" i="192"/>
  <c r="K281" i="192"/>
  <c r="J281" i="192"/>
  <c r="I281" i="192"/>
  <c r="H281" i="192"/>
  <c r="G281" i="192"/>
  <c r="F281" i="192"/>
  <c r="E281" i="192"/>
  <c r="D281" i="192"/>
  <c r="C281" i="192"/>
  <c r="Q280" i="192"/>
  <c r="AD280" i="192" s="1"/>
  <c r="P280" i="192"/>
  <c r="AC280" i="192" s="1"/>
  <c r="O280" i="192"/>
  <c r="AB280" i="192" s="1"/>
  <c r="M280" i="192"/>
  <c r="Z280" i="192" s="1"/>
  <c r="L280" i="192"/>
  <c r="K280" i="192"/>
  <c r="J280" i="192"/>
  <c r="I280" i="192"/>
  <c r="H280" i="192"/>
  <c r="G280" i="192"/>
  <c r="F280" i="192"/>
  <c r="E280" i="192"/>
  <c r="D280" i="192"/>
  <c r="C280" i="192"/>
  <c r="Q279" i="192"/>
  <c r="AD279" i="192" s="1"/>
  <c r="P279" i="192"/>
  <c r="AC279" i="192" s="1"/>
  <c r="O279" i="192"/>
  <c r="AB279" i="192" s="1"/>
  <c r="M279" i="192"/>
  <c r="Z279" i="192" s="1"/>
  <c r="L279" i="192"/>
  <c r="K279" i="192"/>
  <c r="J279" i="192"/>
  <c r="I279" i="192"/>
  <c r="H279" i="192"/>
  <c r="G279" i="192"/>
  <c r="F279" i="192"/>
  <c r="E279" i="192"/>
  <c r="D279" i="192"/>
  <c r="C279" i="192"/>
  <c r="Q278" i="192"/>
  <c r="AD278" i="192" s="1"/>
  <c r="P278" i="192"/>
  <c r="AC278" i="192" s="1"/>
  <c r="O278" i="192"/>
  <c r="AB278" i="192" s="1"/>
  <c r="M278" i="192"/>
  <c r="Z278" i="192" s="1"/>
  <c r="L278" i="192"/>
  <c r="K278" i="192"/>
  <c r="J278" i="192"/>
  <c r="I278" i="192"/>
  <c r="H278" i="192"/>
  <c r="G278" i="192"/>
  <c r="F278" i="192"/>
  <c r="E278" i="192"/>
  <c r="D278" i="192"/>
  <c r="C278" i="192"/>
  <c r="Q277" i="192"/>
  <c r="AD277" i="192" s="1"/>
  <c r="P277" i="192"/>
  <c r="AC277" i="192" s="1"/>
  <c r="O277" i="192"/>
  <c r="AB277" i="192" s="1"/>
  <c r="M277" i="192"/>
  <c r="Z277" i="192" s="1"/>
  <c r="L277" i="192"/>
  <c r="K277" i="192"/>
  <c r="J277" i="192"/>
  <c r="I277" i="192"/>
  <c r="H277" i="192"/>
  <c r="G277" i="192"/>
  <c r="F277" i="192"/>
  <c r="E277" i="192"/>
  <c r="D277" i="192"/>
  <c r="C277" i="192"/>
  <c r="Q276" i="192"/>
  <c r="AD276" i="192" s="1"/>
  <c r="P276" i="192"/>
  <c r="AC276" i="192" s="1"/>
  <c r="O276" i="192"/>
  <c r="AB276" i="192" s="1"/>
  <c r="M276" i="192"/>
  <c r="Z276" i="192" s="1"/>
  <c r="L276" i="192"/>
  <c r="K276" i="192"/>
  <c r="J276" i="192"/>
  <c r="I276" i="192"/>
  <c r="H276" i="192"/>
  <c r="G276" i="192"/>
  <c r="F276" i="192"/>
  <c r="E276" i="192"/>
  <c r="D276" i="192"/>
  <c r="C276" i="192"/>
  <c r="Q275" i="192"/>
  <c r="AD275" i="192" s="1"/>
  <c r="P275" i="192"/>
  <c r="AC275" i="192" s="1"/>
  <c r="O275" i="192"/>
  <c r="AB275" i="192" s="1"/>
  <c r="M275" i="192"/>
  <c r="Z275" i="192" s="1"/>
  <c r="L275" i="192"/>
  <c r="K275" i="192"/>
  <c r="J275" i="192"/>
  <c r="I275" i="192"/>
  <c r="H275" i="192"/>
  <c r="G275" i="192"/>
  <c r="F275" i="192"/>
  <c r="E275" i="192"/>
  <c r="D275" i="192"/>
  <c r="C275" i="192"/>
  <c r="Q274" i="192"/>
  <c r="AD274" i="192" s="1"/>
  <c r="P274" i="192"/>
  <c r="AC274" i="192" s="1"/>
  <c r="O274" i="192"/>
  <c r="AB274" i="192" s="1"/>
  <c r="M274" i="192"/>
  <c r="Z274" i="192" s="1"/>
  <c r="L274" i="192"/>
  <c r="K274" i="192"/>
  <c r="J274" i="192"/>
  <c r="I274" i="192"/>
  <c r="H274" i="192"/>
  <c r="G274" i="192"/>
  <c r="F274" i="192"/>
  <c r="E274" i="192"/>
  <c r="D274" i="192"/>
  <c r="C274" i="192"/>
  <c r="Q273" i="192"/>
  <c r="AD273" i="192" s="1"/>
  <c r="P273" i="192"/>
  <c r="AC273" i="192" s="1"/>
  <c r="O273" i="192"/>
  <c r="AB273" i="192" s="1"/>
  <c r="M273" i="192"/>
  <c r="Z273" i="192" s="1"/>
  <c r="L273" i="192"/>
  <c r="K273" i="192"/>
  <c r="J273" i="192"/>
  <c r="I273" i="192"/>
  <c r="H273" i="192"/>
  <c r="G273" i="192"/>
  <c r="F273" i="192"/>
  <c r="E273" i="192"/>
  <c r="D273" i="192"/>
  <c r="C273" i="192"/>
  <c r="Q272" i="192"/>
  <c r="AD272" i="192" s="1"/>
  <c r="P272" i="192"/>
  <c r="AC272" i="192" s="1"/>
  <c r="O272" i="192"/>
  <c r="AB272" i="192" s="1"/>
  <c r="M272" i="192"/>
  <c r="Z272" i="192" s="1"/>
  <c r="L272" i="192"/>
  <c r="K272" i="192"/>
  <c r="J272" i="192"/>
  <c r="I272" i="192"/>
  <c r="H272" i="192"/>
  <c r="G272" i="192"/>
  <c r="F272" i="192"/>
  <c r="E272" i="192"/>
  <c r="D272" i="192"/>
  <c r="C272" i="192"/>
  <c r="Q271" i="192"/>
  <c r="AD271" i="192" s="1"/>
  <c r="P271" i="192"/>
  <c r="AC271" i="192" s="1"/>
  <c r="O271" i="192"/>
  <c r="AB271" i="192" s="1"/>
  <c r="M271" i="192"/>
  <c r="Z271" i="192" s="1"/>
  <c r="L271" i="192"/>
  <c r="K271" i="192"/>
  <c r="J271" i="192"/>
  <c r="I271" i="192"/>
  <c r="H271" i="192"/>
  <c r="G271" i="192"/>
  <c r="F271" i="192"/>
  <c r="E271" i="192"/>
  <c r="D271" i="192"/>
  <c r="C271" i="192"/>
  <c r="Q270" i="192"/>
  <c r="AD270" i="192" s="1"/>
  <c r="P270" i="192"/>
  <c r="AC270" i="192" s="1"/>
  <c r="O270" i="192"/>
  <c r="AB270" i="192" s="1"/>
  <c r="M270" i="192"/>
  <c r="Z270" i="192" s="1"/>
  <c r="L270" i="192"/>
  <c r="K270" i="192"/>
  <c r="J270" i="192"/>
  <c r="I270" i="192"/>
  <c r="H270" i="192"/>
  <c r="G270" i="192"/>
  <c r="F270" i="192"/>
  <c r="E270" i="192"/>
  <c r="D270" i="192"/>
  <c r="C270" i="192"/>
  <c r="Q269" i="192"/>
  <c r="AD269" i="192" s="1"/>
  <c r="P269" i="192"/>
  <c r="AC269" i="192" s="1"/>
  <c r="O269" i="192"/>
  <c r="AB269" i="192" s="1"/>
  <c r="M269" i="192"/>
  <c r="Z269" i="192" s="1"/>
  <c r="L269" i="192"/>
  <c r="K269" i="192"/>
  <c r="J269" i="192"/>
  <c r="I269" i="192"/>
  <c r="H269" i="192"/>
  <c r="G269" i="192"/>
  <c r="F269" i="192"/>
  <c r="E269" i="192"/>
  <c r="D269" i="192"/>
  <c r="C269" i="192"/>
  <c r="Q268" i="192"/>
  <c r="AD268" i="192" s="1"/>
  <c r="P268" i="192"/>
  <c r="AC268" i="192" s="1"/>
  <c r="O268" i="192"/>
  <c r="AB268" i="192" s="1"/>
  <c r="M268" i="192"/>
  <c r="Z268" i="192" s="1"/>
  <c r="L268" i="192"/>
  <c r="K268" i="192"/>
  <c r="J268" i="192"/>
  <c r="I268" i="192"/>
  <c r="H268" i="192"/>
  <c r="G268" i="192"/>
  <c r="F268" i="192"/>
  <c r="E268" i="192"/>
  <c r="D268" i="192"/>
  <c r="C268" i="192"/>
  <c r="Q267" i="192"/>
  <c r="AD267" i="192" s="1"/>
  <c r="P267" i="192"/>
  <c r="AC267" i="192" s="1"/>
  <c r="O267" i="192"/>
  <c r="AB267" i="192" s="1"/>
  <c r="M267" i="192"/>
  <c r="Z267" i="192" s="1"/>
  <c r="L267" i="192"/>
  <c r="K267" i="192"/>
  <c r="J267" i="192"/>
  <c r="I267" i="192"/>
  <c r="H267" i="192"/>
  <c r="G267" i="192"/>
  <c r="F267" i="192"/>
  <c r="E267" i="192"/>
  <c r="D267" i="192"/>
  <c r="C267" i="192"/>
  <c r="Q266" i="192"/>
  <c r="AD266" i="192" s="1"/>
  <c r="P266" i="192"/>
  <c r="AC266" i="192" s="1"/>
  <c r="O266" i="192"/>
  <c r="AB266" i="192" s="1"/>
  <c r="M266" i="192"/>
  <c r="Z266" i="192" s="1"/>
  <c r="L266" i="192"/>
  <c r="K266" i="192"/>
  <c r="J266" i="192"/>
  <c r="I266" i="192"/>
  <c r="H266" i="192"/>
  <c r="G266" i="192"/>
  <c r="F266" i="192"/>
  <c r="E266" i="192"/>
  <c r="D266" i="192"/>
  <c r="C266" i="192"/>
  <c r="Q265" i="192"/>
  <c r="AD265" i="192" s="1"/>
  <c r="P265" i="192"/>
  <c r="AC265" i="192" s="1"/>
  <c r="O265" i="192"/>
  <c r="AB265" i="192" s="1"/>
  <c r="M265" i="192"/>
  <c r="Z265" i="192" s="1"/>
  <c r="L265" i="192"/>
  <c r="K265" i="192"/>
  <c r="J265" i="192"/>
  <c r="I265" i="192"/>
  <c r="H265" i="192"/>
  <c r="G265" i="192"/>
  <c r="F265" i="192"/>
  <c r="E265" i="192"/>
  <c r="D265" i="192"/>
  <c r="C265" i="192"/>
  <c r="Q264" i="192"/>
  <c r="AD264" i="192" s="1"/>
  <c r="P264" i="192"/>
  <c r="AC264" i="192" s="1"/>
  <c r="O264" i="192"/>
  <c r="AB264" i="192" s="1"/>
  <c r="M264" i="192"/>
  <c r="Z264" i="192" s="1"/>
  <c r="L264" i="192"/>
  <c r="K264" i="192"/>
  <c r="J264" i="192"/>
  <c r="I264" i="192"/>
  <c r="H264" i="192"/>
  <c r="G264" i="192"/>
  <c r="F264" i="192"/>
  <c r="E264" i="192"/>
  <c r="D264" i="192"/>
  <c r="C264" i="192"/>
  <c r="Q263" i="192"/>
  <c r="AD263" i="192" s="1"/>
  <c r="P263" i="192"/>
  <c r="AC263" i="192" s="1"/>
  <c r="O263" i="192"/>
  <c r="AB263" i="192" s="1"/>
  <c r="M263" i="192"/>
  <c r="Z263" i="192" s="1"/>
  <c r="L263" i="192"/>
  <c r="K263" i="192"/>
  <c r="J263" i="192"/>
  <c r="I263" i="192"/>
  <c r="H263" i="192"/>
  <c r="G263" i="192"/>
  <c r="F263" i="192"/>
  <c r="E263" i="192"/>
  <c r="D263" i="192"/>
  <c r="C263" i="192"/>
  <c r="Q262" i="192"/>
  <c r="AD262" i="192" s="1"/>
  <c r="P262" i="192"/>
  <c r="AC262" i="192" s="1"/>
  <c r="O262" i="192"/>
  <c r="AB262" i="192" s="1"/>
  <c r="M262" i="192"/>
  <c r="Z262" i="192" s="1"/>
  <c r="L262" i="192"/>
  <c r="K262" i="192"/>
  <c r="J262" i="192"/>
  <c r="I262" i="192"/>
  <c r="H262" i="192"/>
  <c r="G262" i="192"/>
  <c r="F262" i="192"/>
  <c r="E262" i="192"/>
  <c r="D262" i="192"/>
  <c r="C262" i="192"/>
  <c r="Q261" i="192"/>
  <c r="AD261" i="192" s="1"/>
  <c r="P261" i="192"/>
  <c r="AC261" i="192" s="1"/>
  <c r="O261" i="192"/>
  <c r="AB261" i="192" s="1"/>
  <c r="M261" i="192"/>
  <c r="Z261" i="192" s="1"/>
  <c r="L261" i="192"/>
  <c r="K261" i="192"/>
  <c r="J261" i="192"/>
  <c r="I261" i="192"/>
  <c r="H261" i="192"/>
  <c r="G261" i="192"/>
  <c r="F261" i="192"/>
  <c r="E261" i="192"/>
  <c r="D261" i="192"/>
  <c r="C261" i="192"/>
  <c r="Q260" i="192"/>
  <c r="AD260" i="192" s="1"/>
  <c r="P260" i="192"/>
  <c r="AC260" i="192" s="1"/>
  <c r="O260" i="192"/>
  <c r="AB260" i="192" s="1"/>
  <c r="M260" i="192"/>
  <c r="Z260" i="192" s="1"/>
  <c r="L260" i="192"/>
  <c r="K260" i="192"/>
  <c r="J260" i="192"/>
  <c r="I260" i="192"/>
  <c r="H260" i="192"/>
  <c r="G260" i="192"/>
  <c r="F260" i="192"/>
  <c r="E260" i="192"/>
  <c r="D260" i="192"/>
  <c r="C260" i="192"/>
  <c r="Q259" i="192"/>
  <c r="AD259" i="192" s="1"/>
  <c r="P259" i="192"/>
  <c r="AC259" i="192" s="1"/>
  <c r="O259" i="192"/>
  <c r="AB259" i="192" s="1"/>
  <c r="M259" i="192"/>
  <c r="Z259" i="192" s="1"/>
  <c r="L259" i="192"/>
  <c r="K259" i="192"/>
  <c r="J259" i="192"/>
  <c r="I259" i="192"/>
  <c r="H259" i="192"/>
  <c r="G259" i="192"/>
  <c r="F259" i="192"/>
  <c r="E259" i="192"/>
  <c r="D259" i="192"/>
  <c r="C259" i="192"/>
  <c r="Q258" i="192"/>
  <c r="AD258" i="192" s="1"/>
  <c r="P258" i="192"/>
  <c r="AC258" i="192" s="1"/>
  <c r="O258" i="192"/>
  <c r="AB258" i="192" s="1"/>
  <c r="M258" i="192"/>
  <c r="Z258" i="192" s="1"/>
  <c r="L258" i="192"/>
  <c r="K258" i="192"/>
  <c r="J258" i="192"/>
  <c r="I258" i="192"/>
  <c r="H258" i="192"/>
  <c r="G258" i="192"/>
  <c r="F258" i="192"/>
  <c r="E258" i="192"/>
  <c r="D258" i="192"/>
  <c r="C258" i="192"/>
  <c r="Q257" i="192"/>
  <c r="AD257" i="192" s="1"/>
  <c r="P257" i="192"/>
  <c r="AC257" i="192" s="1"/>
  <c r="O257" i="192"/>
  <c r="AB257" i="192" s="1"/>
  <c r="M257" i="192"/>
  <c r="Z257" i="192" s="1"/>
  <c r="L257" i="192"/>
  <c r="K257" i="192"/>
  <c r="J257" i="192"/>
  <c r="I257" i="192"/>
  <c r="H257" i="192"/>
  <c r="G257" i="192"/>
  <c r="F257" i="192"/>
  <c r="E257" i="192"/>
  <c r="D257" i="192"/>
  <c r="C257" i="192"/>
  <c r="Q256" i="192"/>
  <c r="AD256" i="192" s="1"/>
  <c r="P256" i="192"/>
  <c r="AC256" i="192" s="1"/>
  <c r="O256" i="192"/>
  <c r="AB256" i="192" s="1"/>
  <c r="M256" i="192"/>
  <c r="Z256" i="192" s="1"/>
  <c r="L256" i="192"/>
  <c r="K256" i="192"/>
  <c r="J256" i="192"/>
  <c r="I256" i="192"/>
  <c r="H256" i="192"/>
  <c r="G256" i="192"/>
  <c r="F256" i="192"/>
  <c r="E256" i="192"/>
  <c r="D256" i="192"/>
  <c r="C256" i="192"/>
  <c r="Q255" i="192"/>
  <c r="AD255" i="192" s="1"/>
  <c r="P255" i="192"/>
  <c r="AC255" i="192" s="1"/>
  <c r="O255" i="192"/>
  <c r="AB255" i="192" s="1"/>
  <c r="M255" i="192"/>
  <c r="Z255" i="192" s="1"/>
  <c r="L255" i="192"/>
  <c r="K255" i="192"/>
  <c r="J255" i="192"/>
  <c r="I255" i="192"/>
  <c r="H255" i="192"/>
  <c r="G255" i="192"/>
  <c r="F255" i="192"/>
  <c r="E255" i="192"/>
  <c r="D255" i="192"/>
  <c r="C255" i="192"/>
  <c r="Q254" i="192"/>
  <c r="AD254" i="192" s="1"/>
  <c r="P254" i="192"/>
  <c r="AC254" i="192" s="1"/>
  <c r="O254" i="192"/>
  <c r="AB254" i="192" s="1"/>
  <c r="M254" i="192"/>
  <c r="Z254" i="192" s="1"/>
  <c r="L254" i="192"/>
  <c r="K254" i="192"/>
  <c r="J254" i="192"/>
  <c r="I254" i="192"/>
  <c r="H254" i="192"/>
  <c r="G254" i="192"/>
  <c r="F254" i="192"/>
  <c r="E254" i="192"/>
  <c r="D254" i="192"/>
  <c r="C254" i="192"/>
  <c r="Q253" i="192"/>
  <c r="AD253" i="192" s="1"/>
  <c r="P253" i="192"/>
  <c r="AC253" i="192" s="1"/>
  <c r="O253" i="192"/>
  <c r="AB253" i="192" s="1"/>
  <c r="M253" i="192"/>
  <c r="Z253" i="192" s="1"/>
  <c r="L253" i="192"/>
  <c r="K253" i="192"/>
  <c r="J253" i="192"/>
  <c r="I253" i="192"/>
  <c r="H253" i="192"/>
  <c r="G253" i="192"/>
  <c r="F253" i="192"/>
  <c r="E253" i="192"/>
  <c r="D253" i="192"/>
  <c r="C253" i="192"/>
  <c r="Q252" i="192"/>
  <c r="AD252" i="192" s="1"/>
  <c r="P252" i="192"/>
  <c r="AC252" i="192" s="1"/>
  <c r="O252" i="192"/>
  <c r="AB252" i="192" s="1"/>
  <c r="M252" i="192"/>
  <c r="Z252" i="192" s="1"/>
  <c r="L252" i="192"/>
  <c r="K252" i="192"/>
  <c r="J252" i="192"/>
  <c r="I252" i="192"/>
  <c r="H252" i="192"/>
  <c r="G252" i="192"/>
  <c r="F252" i="192"/>
  <c r="E252" i="192"/>
  <c r="D252" i="192"/>
  <c r="C252" i="192"/>
  <c r="Q251" i="192"/>
  <c r="AD251" i="192" s="1"/>
  <c r="P251" i="192"/>
  <c r="AC251" i="192" s="1"/>
  <c r="O251" i="192"/>
  <c r="AB251" i="192" s="1"/>
  <c r="M251" i="192"/>
  <c r="Z251" i="192" s="1"/>
  <c r="L251" i="192"/>
  <c r="K251" i="192"/>
  <c r="J251" i="192"/>
  <c r="I251" i="192"/>
  <c r="H251" i="192"/>
  <c r="G251" i="192"/>
  <c r="F251" i="192"/>
  <c r="E251" i="192"/>
  <c r="D251" i="192"/>
  <c r="C251" i="192"/>
  <c r="Q250" i="192"/>
  <c r="AD250" i="192" s="1"/>
  <c r="P250" i="192"/>
  <c r="AC250" i="192" s="1"/>
  <c r="O250" i="192"/>
  <c r="AB250" i="192" s="1"/>
  <c r="M250" i="192"/>
  <c r="Z250" i="192" s="1"/>
  <c r="L250" i="192"/>
  <c r="K250" i="192"/>
  <c r="J250" i="192"/>
  <c r="I250" i="192"/>
  <c r="H250" i="192"/>
  <c r="G250" i="192"/>
  <c r="F250" i="192"/>
  <c r="E250" i="192"/>
  <c r="D250" i="192"/>
  <c r="C250" i="192"/>
  <c r="Q249" i="192"/>
  <c r="AD249" i="192" s="1"/>
  <c r="P249" i="192"/>
  <c r="AC249" i="192" s="1"/>
  <c r="O249" i="192"/>
  <c r="AB249" i="192" s="1"/>
  <c r="M249" i="192"/>
  <c r="Z249" i="192" s="1"/>
  <c r="L249" i="192"/>
  <c r="K249" i="192"/>
  <c r="J249" i="192"/>
  <c r="I249" i="192"/>
  <c r="H249" i="192"/>
  <c r="G249" i="192"/>
  <c r="F249" i="192"/>
  <c r="E249" i="192"/>
  <c r="D249" i="192"/>
  <c r="C249" i="192"/>
  <c r="Q248" i="192"/>
  <c r="AD248" i="192" s="1"/>
  <c r="P248" i="192"/>
  <c r="AC248" i="192" s="1"/>
  <c r="O248" i="192"/>
  <c r="AB248" i="192" s="1"/>
  <c r="M248" i="192"/>
  <c r="Z248" i="192" s="1"/>
  <c r="L248" i="192"/>
  <c r="K248" i="192"/>
  <c r="J248" i="192"/>
  <c r="I248" i="192"/>
  <c r="H248" i="192"/>
  <c r="G248" i="192"/>
  <c r="F248" i="192"/>
  <c r="E248" i="192"/>
  <c r="D248" i="192"/>
  <c r="C248" i="192"/>
  <c r="Q247" i="192"/>
  <c r="AD247" i="192" s="1"/>
  <c r="P247" i="192"/>
  <c r="AC247" i="192" s="1"/>
  <c r="O247" i="192"/>
  <c r="AB247" i="192" s="1"/>
  <c r="M247" i="192"/>
  <c r="Z247" i="192" s="1"/>
  <c r="L247" i="192"/>
  <c r="K247" i="192"/>
  <c r="J247" i="192"/>
  <c r="I247" i="192"/>
  <c r="H247" i="192"/>
  <c r="G247" i="192"/>
  <c r="F247" i="192"/>
  <c r="E247" i="192"/>
  <c r="D247" i="192"/>
  <c r="C247" i="192"/>
  <c r="Q246" i="192"/>
  <c r="AD246" i="192" s="1"/>
  <c r="P246" i="192"/>
  <c r="AC246" i="192" s="1"/>
  <c r="O246" i="192"/>
  <c r="AB246" i="192" s="1"/>
  <c r="M246" i="192"/>
  <c r="Z246" i="192" s="1"/>
  <c r="L246" i="192"/>
  <c r="K246" i="192"/>
  <c r="J246" i="192"/>
  <c r="I246" i="192"/>
  <c r="H246" i="192"/>
  <c r="G246" i="192"/>
  <c r="F246" i="192"/>
  <c r="E246" i="192"/>
  <c r="D246" i="192"/>
  <c r="C246" i="192"/>
  <c r="Q245" i="192"/>
  <c r="AD245" i="192" s="1"/>
  <c r="P245" i="192"/>
  <c r="AC245" i="192" s="1"/>
  <c r="O245" i="192"/>
  <c r="AB245" i="192" s="1"/>
  <c r="M245" i="192"/>
  <c r="Z245" i="192" s="1"/>
  <c r="L245" i="192"/>
  <c r="K245" i="192"/>
  <c r="J245" i="192"/>
  <c r="I245" i="192"/>
  <c r="H245" i="192"/>
  <c r="G245" i="192"/>
  <c r="F245" i="192"/>
  <c r="E245" i="192"/>
  <c r="D245" i="192"/>
  <c r="C245" i="192"/>
  <c r="Q244" i="192"/>
  <c r="AD244" i="192" s="1"/>
  <c r="P244" i="192"/>
  <c r="AC244" i="192" s="1"/>
  <c r="O244" i="192"/>
  <c r="AB244" i="192" s="1"/>
  <c r="M244" i="192"/>
  <c r="Z244" i="192" s="1"/>
  <c r="L244" i="192"/>
  <c r="K244" i="192"/>
  <c r="J244" i="192"/>
  <c r="I244" i="192"/>
  <c r="H244" i="192"/>
  <c r="G244" i="192"/>
  <c r="F244" i="192"/>
  <c r="E244" i="192"/>
  <c r="D244" i="192"/>
  <c r="C244" i="192"/>
  <c r="Q243" i="192"/>
  <c r="AD243" i="192" s="1"/>
  <c r="P243" i="192"/>
  <c r="AC243" i="192" s="1"/>
  <c r="O243" i="192"/>
  <c r="AB243" i="192" s="1"/>
  <c r="M243" i="192"/>
  <c r="Z243" i="192" s="1"/>
  <c r="L243" i="192"/>
  <c r="K243" i="192"/>
  <c r="J243" i="192"/>
  <c r="I243" i="192"/>
  <c r="H243" i="192"/>
  <c r="G243" i="192"/>
  <c r="F243" i="192"/>
  <c r="E243" i="192"/>
  <c r="D243" i="192"/>
  <c r="C243" i="192"/>
  <c r="Q242" i="192"/>
  <c r="AD242" i="192" s="1"/>
  <c r="P242" i="192"/>
  <c r="AC242" i="192" s="1"/>
  <c r="O242" i="192"/>
  <c r="AB242" i="192" s="1"/>
  <c r="M242" i="192"/>
  <c r="Z242" i="192" s="1"/>
  <c r="L242" i="192"/>
  <c r="K242" i="192"/>
  <c r="J242" i="192"/>
  <c r="I242" i="192"/>
  <c r="H242" i="192"/>
  <c r="G242" i="192"/>
  <c r="F242" i="192"/>
  <c r="E242" i="192"/>
  <c r="D242" i="192"/>
  <c r="C242" i="192"/>
  <c r="Q241" i="192"/>
  <c r="AD241" i="192" s="1"/>
  <c r="P241" i="192"/>
  <c r="AC241" i="192" s="1"/>
  <c r="O241" i="192"/>
  <c r="AB241" i="192" s="1"/>
  <c r="M241" i="192"/>
  <c r="Z241" i="192" s="1"/>
  <c r="L241" i="192"/>
  <c r="K241" i="192"/>
  <c r="J241" i="192"/>
  <c r="I241" i="192"/>
  <c r="H241" i="192"/>
  <c r="G241" i="192"/>
  <c r="F241" i="192"/>
  <c r="E241" i="192"/>
  <c r="D241" i="192"/>
  <c r="C241" i="192"/>
  <c r="Q240" i="192"/>
  <c r="AD240" i="192" s="1"/>
  <c r="P240" i="192"/>
  <c r="AC240" i="192" s="1"/>
  <c r="O240" i="192"/>
  <c r="AB240" i="192" s="1"/>
  <c r="M240" i="192"/>
  <c r="Z240" i="192" s="1"/>
  <c r="L240" i="192"/>
  <c r="K240" i="192"/>
  <c r="J240" i="192"/>
  <c r="I240" i="192"/>
  <c r="H240" i="192"/>
  <c r="G240" i="192"/>
  <c r="F240" i="192"/>
  <c r="E240" i="192"/>
  <c r="D240" i="192"/>
  <c r="C240" i="192"/>
  <c r="Q239" i="192"/>
  <c r="AD239" i="192" s="1"/>
  <c r="P239" i="192"/>
  <c r="AC239" i="192" s="1"/>
  <c r="O239" i="192"/>
  <c r="AB239" i="192" s="1"/>
  <c r="M239" i="192"/>
  <c r="Z239" i="192" s="1"/>
  <c r="L239" i="192"/>
  <c r="K239" i="192"/>
  <c r="J239" i="192"/>
  <c r="I239" i="192"/>
  <c r="H239" i="192"/>
  <c r="G239" i="192"/>
  <c r="F239" i="192"/>
  <c r="E239" i="192"/>
  <c r="D239" i="192"/>
  <c r="C239" i="192"/>
  <c r="Q238" i="192"/>
  <c r="AD238" i="192" s="1"/>
  <c r="P238" i="192"/>
  <c r="AC238" i="192" s="1"/>
  <c r="O238" i="192"/>
  <c r="AB238" i="192" s="1"/>
  <c r="M238" i="192"/>
  <c r="Z238" i="192" s="1"/>
  <c r="L238" i="192"/>
  <c r="K238" i="192"/>
  <c r="J238" i="192"/>
  <c r="I238" i="192"/>
  <c r="H238" i="192"/>
  <c r="G238" i="192"/>
  <c r="F238" i="192"/>
  <c r="E238" i="192"/>
  <c r="D238" i="192"/>
  <c r="C238" i="192"/>
  <c r="Q237" i="192"/>
  <c r="AD237" i="192" s="1"/>
  <c r="P237" i="192"/>
  <c r="AC237" i="192" s="1"/>
  <c r="O237" i="192"/>
  <c r="AB237" i="192" s="1"/>
  <c r="M237" i="192"/>
  <c r="Z237" i="192" s="1"/>
  <c r="L237" i="192"/>
  <c r="K237" i="192"/>
  <c r="J237" i="192"/>
  <c r="I237" i="192"/>
  <c r="H237" i="192"/>
  <c r="G237" i="192"/>
  <c r="F237" i="192"/>
  <c r="E237" i="192"/>
  <c r="D237" i="192"/>
  <c r="C237" i="192"/>
  <c r="Q236" i="192"/>
  <c r="AD236" i="192" s="1"/>
  <c r="P236" i="192"/>
  <c r="AC236" i="192" s="1"/>
  <c r="O236" i="192"/>
  <c r="AB236" i="192" s="1"/>
  <c r="M236" i="192"/>
  <c r="Z236" i="192" s="1"/>
  <c r="L236" i="192"/>
  <c r="K236" i="192"/>
  <c r="J236" i="192"/>
  <c r="I236" i="192"/>
  <c r="H236" i="192"/>
  <c r="G236" i="192"/>
  <c r="F236" i="192"/>
  <c r="E236" i="192"/>
  <c r="D236" i="192"/>
  <c r="C236" i="192"/>
  <c r="Q235" i="192"/>
  <c r="AD235" i="192" s="1"/>
  <c r="P235" i="192"/>
  <c r="AC235" i="192" s="1"/>
  <c r="O235" i="192"/>
  <c r="AB235" i="192" s="1"/>
  <c r="M235" i="192"/>
  <c r="Z235" i="192" s="1"/>
  <c r="L235" i="192"/>
  <c r="K235" i="192"/>
  <c r="J235" i="192"/>
  <c r="I235" i="192"/>
  <c r="H235" i="192"/>
  <c r="G235" i="192"/>
  <c r="F235" i="192"/>
  <c r="E235" i="192"/>
  <c r="D235" i="192"/>
  <c r="C235" i="192"/>
  <c r="Q234" i="192"/>
  <c r="AD234" i="192" s="1"/>
  <c r="P234" i="192"/>
  <c r="AC234" i="192" s="1"/>
  <c r="O234" i="192"/>
  <c r="AB234" i="192" s="1"/>
  <c r="M234" i="192"/>
  <c r="Z234" i="192" s="1"/>
  <c r="L234" i="192"/>
  <c r="K234" i="192"/>
  <c r="J234" i="192"/>
  <c r="I234" i="192"/>
  <c r="H234" i="192"/>
  <c r="G234" i="192"/>
  <c r="F234" i="192"/>
  <c r="E234" i="192"/>
  <c r="D234" i="192"/>
  <c r="C234" i="192"/>
  <c r="Q233" i="192"/>
  <c r="AD233" i="192" s="1"/>
  <c r="P233" i="192"/>
  <c r="AC233" i="192" s="1"/>
  <c r="O233" i="192"/>
  <c r="AB233" i="192" s="1"/>
  <c r="M233" i="192"/>
  <c r="Z233" i="192" s="1"/>
  <c r="L233" i="192"/>
  <c r="K233" i="192"/>
  <c r="J233" i="192"/>
  <c r="I233" i="192"/>
  <c r="H233" i="192"/>
  <c r="G233" i="192"/>
  <c r="F233" i="192"/>
  <c r="E233" i="192"/>
  <c r="D233" i="192"/>
  <c r="C233" i="192"/>
  <c r="Q232" i="192"/>
  <c r="AD232" i="192" s="1"/>
  <c r="P232" i="192"/>
  <c r="AC232" i="192" s="1"/>
  <c r="O232" i="192"/>
  <c r="AB232" i="192" s="1"/>
  <c r="M232" i="192"/>
  <c r="Z232" i="192" s="1"/>
  <c r="L232" i="192"/>
  <c r="K232" i="192"/>
  <c r="J232" i="192"/>
  <c r="I232" i="192"/>
  <c r="H232" i="192"/>
  <c r="G232" i="192"/>
  <c r="F232" i="192"/>
  <c r="E232" i="192"/>
  <c r="D232" i="192"/>
  <c r="C232" i="192"/>
  <c r="Q231" i="192"/>
  <c r="AD231" i="192" s="1"/>
  <c r="P231" i="192"/>
  <c r="AC231" i="192" s="1"/>
  <c r="O231" i="192"/>
  <c r="AB231" i="192" s="1"/>
  <c r="M231" i="192"/>
  <c r="Z231" i="192" s="1"/>
  <c r="L231" i="192"/>
  <c r="K231" i="192"/>
  <c r="J231" i="192"/>
  <c r="I231" i="192"/>
  <c r="H231" i="192"/>
  <c r="G231" i="192"/>
  <c r="F231" i="192"/>
  <c r="E231" i="192"/>
  <c r="D231" i="192"/>
  <c r="C231" i="192"/>
  <c r="Q230" i="192"/>
  <c r="AD230" i="192" s="1"/>
  <c r="P230" i="192"/>
  <c r="AC230" i="192" s="1"/>
  <c r="O230" i="192"/>
  <c r="AB230" i="192" s="1"/>
  <c r="M230" i="192"/>
  <c r="Z230" i="192" s="1"/>
  <c r="L230" i="192"/>
  <c r="K230" i="192"/>
  <c r="J230" i="192"/>
  <c r="I230" i="192"/>
  <c r="H230" i="192"/>
  <c r="G230" i="192"/>
  <c r="F230" i="192"/>
  <c r="E230" i="192"/>
  <c r="D230" i="192"/>
  <c r="C230" i="192"/>
  <c r="Q229" i="192"/>
  <c r="AD229" i="192" s="1"/>
  <c r="P229" i="192"/>
  <c r="AC229" i="192" s="1"/>
  <c r="O229" i="192"/>
  <c r="AB229" i="192" s="1"/>
  <c r="M229" i="192"/>
  <c r="Z229" i="192" s="1"/>
  <c r="L229" i="192"/>
  <c r="K229" i="192"/>
  <c r="J229" i="192"/>
  <c r="I229" i="192"/>
  <c r="H229" i="192"/>
  <c r="G229" i="192"/>
  <c r="F229" i="192"/>
  <c r="E229" i="192"/>
  <c r="D229" i="192"/>
  <c r="C229" i="192"/>
  <c r="Q228" i="192"/>
  <c r="AD228" i="192" s="1"/>
  <c r="P228" i="192"/>
  <c r="AC228" i="192" s="1"/>
  <c r="O228" i="192"/>
  <c r="AB228" i="192" s="1"/>
  <c r="M228" i="192"/>
  <c r="Z228" i="192" s="1"/>
  <c r="L228" i="192"/>
  <c r="K228" i="192"/>
  <c r="J228" i="192"/>
  <c r="I228" i="192"/>
  <c r="H228" i="192"/>
  <c r="G228" i="192"/>
  <c r="F228" i="192"/>
  <c r="E228" i="192"/>
  <c r="D228" i="192"/>
  <c r="C228" i="192"/>
  <c r="Q227" i="192"/>
  <c r="AD227" i="192" s="1"/>
  <c r="P227" i="192"/>
  <c r="AC227" i="192" s="1"/>
  <c r="O227" i="192"/>
  <c r="AB227" i="192" s="1"/>
  <c r="M227" i="192"/>
  <c r="Z227" i="192" s="1"/>
  <c r="L227" i="192"/>
  <c r="K227" i="192"/>
  <c r="J227" i="192"/>
  <c r="I227" i="192"/>
  <c r="H227" i="192"/>
  <c r="G227" i="192"/>
  <c r="F227" i="192"/>
  <c r="E227" i="192"/>
  <c r="D227" i="192"/>
  <c r="C227" i="192"/>
  <c r="Q226" i="192"/>
  <c r="AD226" i="192" s="1"/>
  <c r="P226" i="192"/>
  <c r="AC226" i="192" s="1"/>
  <c r="O226" i="192"/>
  <c r="AB226" i="192" s="1"/>
  <c r="M226" i="192"/>
  <c r="Z226" i="192" s="1"/>
  <c r="L226" i="192"/>
  <c r="K226" i="192"/>
  <c r="J226" i="192"/>
  <c r="I226" i="192"/>
  <c r="H226" i="192"/>
  <c r="G226" i="192"/>
  <c r="F226" i="192"/>
  <c r="E226" i="192"/>
  <c r="D226" i="192"/>
  <c r="C226" i="192"/>
  <c r="Q225" i="192"/>
  <c r="AD225" i="192" s="1"/>
  <c r="P225" i="192"/>
  <c r="AC225" i="192" s="1"/>
  <c r="O225" i="192"/>
  <c r="AB225" i="192" s="1"/>
  <c r="M225" i="192"/>
  <c r="Z225" i="192" s="1"/>
  <c r="L225" i="192"/>
  <c r="K225" i="192"/>
  <c r="J225" i="192"/>
  <c r="I225" i="192"/>
  <c r="H225" i="192"/>
  <c r="G225" i="192"/>
  <c r="F225" i="192"/>
  <c r="E225" i="192"/>
  <c r="D225" i="192"/>
  <c r="C225" i="192"/>
  <c r="Q224" i="192"/>
  <c r="AD224" i="192" s="1"/>
  <c r="P224" i="192"/>
  <c r="AC224" i="192" s="1"/>
  <c r="O224" i="192"/>
  <c r="AB224" i="192" s="1"/>
  <c r="M224" i="192"/>
  <c r="Z224" i="192" s="1"/>
  <c r="L224" i="192"/>
  <c r="K224" i="192"/>
  <c r="J224" i="192"/>
  <c r="I224" i="192"/>
  <c r="H224" i="192"/>
  <c r="G224" i="192"/>
  <c r="F224" i="192"/>
  <c r="E224" i="192"/>
  <c r="D224" i="192"/>
  <c r="C224" i="192"/>
  <c r="Q223" i="192"/>
  <c r="AD223" i="192" s="1"/>
  <c r="P223" i="192"/>
  <c r="AC223" i="192" s="1"/>
  <c r="O223" i="192"/>
  <c r="AB223" i="192" s="1"/>
  <c r="M223" i="192"/>
  <c r="Z223" i="192" s="1"/>
  <c r="L223" i="192"/>
  <c r="K223" i="192"/>
  <c r="J223" i="192"/>
  <c r="I223" i="192"/>
  <c r="H223" i="192"/>
  <c r="G223" i="192"/>
  <c r="F223" i="192"/>
  <c r="E223" i="192"/>
  <c r="D223" i="192"/>
  <c r="C223" i="192"/>
  <c r="Q222" i="192"/>
  <c r="AD222" i="192" s="1"/>
  <c r="P222" i="192"/>
  <c r="AC222" i="192" s="1"/>
  <c r="O222" i="192"/>
  <c r="AB222" i="192" s="1"/>
  <c r="M222" i="192"/>
  <c r="Z222" i="192" s="1"/>
  <c r="L222" i="192"/>
  <c r="K222" i="192"/>
  <c r="J222" i="192"/>
  <c r="I222" i="192"/>
  <c r="H222" i="192"/>
  <c r="G222" i="192"/>
  <c r="F222" i="192"/>
  <c r="E222" i="192"/>
  <c r="D222" i="192"/>
  <c r="C222" i="192"/>
  <c r="Q221" i="192"/>
  <c r="AD221" i="192" s="1"/>
  <c r="P221" i="192"/>
  <c r="AC221" i="192" s="1"/>
  <c r="O221" i="192"/>
  <c r="AB221" i="192" s="1"/>
  <c r="M221" i="192"/>
  <c r="Z221" i="192" s="1"/>
  <c r="L221" i="192"/>
  <c r="K221" i="192"/>
  <c r="J221" i="192"/>
  <c r="I221" i="192"/>
  <c r="H221" i="192"/>
  <c r="G221" i="192"/>
  <c r="F221" i="192"/>
  <c r="E221" i="192"/>
  <c r="D221" i="192"/>
  <c r="C221" i="192"/>
  <c r="Q220" i="192"/>
  <c r="AD220" i="192" s="1"/>
  <c r="P220" i="192"/>
  <c r="AC220" i="192" s="1"/>
  <c r="O220" i="192"/>
  <c r="AB220" i="192" s="1"/>
  <c r="M220" i="192"/>
  <c r="Z220" i="192" s="1"/>
  <c r="L220" i="192"/>
  <c r="K220" i="192"/>
  <c r="J220" i="192"/>
  <c r="I220" i="192"/>
  <c r="H220" i="192"/>
  <c r="G220" i="192"/>
  <c r="F220" i="192"/>
  <c r="E220" i="192"/>
  <c r="D220" i="192"/>
  <c r="C220" i="192"/>
  <c r="Q219" i="192"/>
  <c r="AD219" i="192" s="1"/>
  <c r="P219" i="192"/>
  <c r="AC219" i="192" s="1"/>
  <c r="O219" i="192"/>
  <c r="AB219" i="192" s="1"/>
  <c r="M219" i="192"/>
  <c r="Z219" i="192" s="1"/>
  <c r="L219" i="192"/>
  <c r="K219" i="192"/>
  <c r="J219" i="192"/>
  <c r="I219" i="192"/>
  <c r="H219" i="192"/>
  <c r="G219" i="192"/>
  <c r="F219" i="192"/>
  <c r="E219" i="192"/>
  <c r="D219" i="192"/>
  <c r="C219" i="192"/>
  <c r="Q218" i="192"/>
  <c r="AD218" i="192" s="1"/>
  <c r="P218" i="192"/>
  <c r="AC218" i="192" s="1"/>
  <c r="O218" i="192"/>
  <c r="AB218" i="192" s="1"/>
  <c r="M218" i="192"/>
  <c r="Z218" i="192" s="1"/>
  <c r="L218" i="192"/>
  <c r="K218" i="192"/>
  <c r="J218" i="192"/>
  <c r="I218" i="192"/>
  <c r="H218" i="192"/>
  <c r="G218" i="192"/>
  <c r="F218" i="192"/>
  <c r="E218" i="192"/>
  <c r="D218" i="192"/>
  <c r="C218" i="192"/>
  <c r="Q217" i="192"/>
  <c r="AD217" i="192" s="1"/>
  <c r="P217" i="192"/>
  <c r="AC217" i="192" s="1"/>
  <c r="O217" i="192"/>
  <c r="AB217" i="192" s="1"/>
  <c r="M217" i="192"/>
  <c r="Z217" i="192" s="1"/>
  <c r="L217" i="192"/>
  <c r="K217" i="192"/>
  <c r="J217" i="192"/>
  <c r="I217" i="192"/>
  <c r="H217" i="192"/>
  <c r="G217" i="192"/>
  <c r="F217" i="192"/>
  <c r="E217" i="192"/>
  <c r="D217" i="192"/>
  <c r="C217" i="192"/>
  <c r="Q216" i="192"/>
  <c r="AD216" i="192" s="1"/>
  <c r="P216" i="192"/>
  <c r="AC216" i="192" s="1"/>
  <c r="O216" i="192"/>
  <c r="AB216" i="192" s="1"/>
  <c r="M216" i="192"/>
  <c r="Z216" i="192" s="1"/>
  <c r="L216" i="192"/>
  <c r="K216" i="192"/>
  <c r="J216" i="192"/>
  <c r="I216" i="192"/>
  <c r="H216" i="192"/>
  <c r="G216" i="192"/>
  <c r="F216" i="192"/>
  <c r="E216" i="192"/>
  <c r="D216" i="192"/>
  <c r="C216" i="192"/>
  <c r="Q215" i="192"/>
  <c r="AD215" i="192" s="1"/>
  <c r="P215" i="192"/>
  <c r="AC215" i="192" s="1"/>
  <c r="O215" i="192"/>
  <c r="AB215" i="192" s="1"/>
  <c r="M215" i="192"/>
  <c r="Z215" i="192" s="1"/>
  <c r="L215" i="192"/>
  <c r="K215" i="192"/>
  <c r="J215" i="192"/>
  <c r="I215" i="192"/>
  <c r="H215" i="192"/>
  <c r="G215" i="192"/>
  <c r="F215" i="192"/>
  <c r="E215" i="192"/>
  <c r="D215" i="192"/>
  <c r="C215" i="192"/>
  <c r="Q214" i="192"/>
  <c r="AD214" i="192" s="1"/>
  <c r="P214" i="192"/>
  <c r="AC214" i="192" s="1"/>
  <c r="O214" i="192"/>
  <c r="AB214" i="192" s="1"/>
  <c r="M214" i="192"/>
  <c r="Z214" i="192" s="1"/>
  <c r="L214" i="192"/>
  <c r="K214" i="192"/>
  <c r="J214" i="192"/>
  <c r="I214" i="192"/>
  <c r="H214" i="192"/>
  <c r="G214" i="192"/>
  <c r="F214" i="192"/>
  <c r="E214" i="192"/>
  <c r="D214" i="192"/>
  <c r="C214" i="192"/>
  <c r="Q213" i="192"/>
  <c r="AD213" i="192" s="1"/>
  <c r="P213" i="192"/>
  <c r="AC213" i="192" s="1"/>
  <c r="O213" i="192"/>
  <c r="AB213" i="192" s="1"/>
  <c r="M213" i="192"/>
  <c r="Z213" i="192" s="1"/>
  <c r="L213" i="192"/>
  <c r="K213" i="192"/>
  <c r="J213" i="192"/>
  <c r="I213" i="192"/>
  <c r="H213" i="192"/>
  <c r="G213" i="192"/>
  <c r="F213" i="192"/>
  <c r="E213" i="192"/>
  <c r="D213" i="192"/>
  <c r="C213" i="192"/>
  <c r="Q212" i="192"/>
  <c r="AD212" i="192" s="1"/>
  <c r="P212" i="192"/>
  <c r="AC212" i="192" s="1"/>
  <c r="O212" i="192"/>
  <c r="AB212" i="192" s="1"/>
  <c r="M212" i="192"/>
  <c r="Z212" i="192" s="1"/>
  <c r="L212" i="192"/>
  <c r="K212" i="192"/>
  <c r="J212" i="192"/>
  <c r="I212" i="192"/>
  <c r="H212" i="192"/>
  <c r="G212" i="192"/>
  <c r="F212" i="192"/>
  <c r="E212" i="192"/>
  <c r="D212" i="192"/>
  <c r="C212" i="192"/>
  <c r="Q211" i="192"/>
  <c r="AD211" i="192" s="1"/>
  <c r="P211" i="192"/>
  <c r="AC211" i="192" s="1"/>
  <c r="O211" i="192"/>
  <c r="AB211" i="192" s="1"/>
  <c r="M211" i="192"/>
  <c r="Z211" i="192" s="1"/>
  <c r="L211" i="192"/>
  <c r="K211" i="192"/>
  <c r="J211" i="192"/>
  <c r="I211" i="192"/>
  <c r="H211" i="192"/>
  <c r="G211" i="192"/>
  <c r="F211" i="192"/>
  <c r="E211" i="192"/>
  <c r="D211" i="192"/>
  <c r="C211" i="192"/>
  <c r="Q210" i="192"/>
  <c r="AD210" i="192" s="1"/>
  <c r="P210" i="192"/>
  <c r="AC210" i="192" s="1"/>
  <c r="O210" i="192"/>
  <c r="AB210" i="192" s="1"/>
  <c r="M210" i="192"/>
  <c r="Z210" i="192" s="1"/>
  <c r="L210" i="192"/>
  <c r="K210" i="192"/>
  <c r="J210" i="192"/>
  <c r="I210" i="192"/>
  <c r="H210" i="192"/>
  <c r="G210" i="192"/>
  <c r="F210" i="192"/>
  <c r="E210" i="192"/>
  <c r="D210" i="192"/>
  <c r="C210" i="192"/>
  <c r="Q209" i="192"/>
  <c r="AD209" i="192" s="1"/>
  <c r="P209" i="192"/>
  <c r="AC209" i="192" s="1"/>
  <c r="O209" i="192"/>
  <c r="AB209" i="192" s="1"/>
  <c r="M209" i="192"/>
  <c r="Z209" i="192" s="1"/>
  <c r="L209" i="192"/>
  <c r="K209" i="192"/>
  <c r="J209" i="192"/>
  <c r="I209" i="192"/>
  <c r="H209" i="192"/>
  <c r="G209" i="192"/>
  <c r="F209" i="192"/>
  <c r="E209" i="192"/>
  <c r="D209" i="192"/>
  <c r="C209" i="192"/>
  <c r="Q208" i="192"/>
  <c r="AD208" i="192" s="1"/>
  <c r="P208" i="192"/>
  <c r="AC208" i="192" s="1"/>
  <c r="O208" i="192"/>
  <c r="AB208" i="192" s="1"/>
  <c r="M208" i="192"/>
  <c r="Z208" i="192" s="1"/>
  <c r="L208" i="192"/>
  <c r="K208" i="192"/>
  <c r="J208" i="192"/>
  <c r="I208" i="192"/>
  <c r="H208" i="192"/>
  <c r="G208" i="192"/>
  <c r="F208" i="192"/>
  <c r="E208" i="192"/>
  <c r="D208" i="192"/>
  <c r="C208" i="192"/>
  <c r="Q207" i="192"/>
  <c r="AD207" i="192" s="1"/>
  <c r="P207" i="192"/>
  <c r="AC207" i="192" s="1"/>
  <c r="O207" i="192"/>
  <c r="AB207" i="192" s="1"/>
  <c r="M207" i="192"/>
  <c r="Z207" i="192" s="1"/>
  <c r="L207" i="192"/>
  <c r="K207" i="192"/>
  <c r="J207" i="192"/>
  <c r="I207" i="192"/>
  <c r="H207" i="192"/>
  <c r="G207" i="192"/>
  <c r="F207" i="192"/>
  <c r="E207" i="192"/>
  <c r="D207" i="192"/>
  <c r="C207" i="192"/>
  <c r="Q206" i="192"/>
  <c r="AD206" i="192" s="1"/>
  <c r="P206" i="192"/>
  <c r="AC206" i="192" s="1"/>
  <c r="O206" i="192"/>
  <c r="AB206" i="192" s="1"/>
  <c r="M206" i="192"/>
  <c r="Z206" i="192" s="1"/>
  <c r="L206" i="192"/>
  <c r="K206" i="192"/>
  <c r="J206" i="192"/>
  <c r="I206" i="192"/>
  <c r="H206" i="192"/>
  <c r="G206" i="192"/>
  <c r="F206" i="192"/>
  <c r="E206" i="192"/>
  <c r="D206" i="192"/>
  <c r="C206" i="192"/>
  <c r="Q205" i="192"/>
  <c r="AD205" i="192" s="1"/>
  <c r="P205" i="192"/>
  <c r="AC205" i="192" s="1"/>
  <c r="O205" i="192"/>
  <c r="AB205" i="192" s="1"/>
  <c r="M205" i="192"/>
  <c r="Z205" i="192" s="1"/>
  <c r="L205" i="192"/>
  <c r="K205" i="192"/>
  <c r="J205" i="192"/>
  <c r="I205" i="192"/>
  <c r="H205" i="192"/>
  <c r="G205" i="192"/>
  <c r="F205" i="192"/>
  <c r="E205" i="192"/>
  <c r="D205" i="192"/>
  <c r="C205" i="192"/>
  <c r="Q204" i="192"/>
  <c r="AD204" i="192" s="1"/>
  <c r="P204" i="192"/>
  <c r="AC204" i="192" s="1"/>
  <c r="O204" i="192"/>
  <c r="AB204" i="192" s="1"/>
  <c r="M204" i="192"/>
  <c r="Z204" i="192" s="1"/>
  <c r="L204" i="192"/>
  <c r="K204" i="192"/>
  <c r="J204" i="192"/>
  <c r="I204" i="192"/>
  <c r="H204" i="192"/>
  <c r="G204" i="192"/>
  <c r="F204" i="192"/>
  <c r="E204" i="192"/>
  <c r="D204" i="192"/>
  <c r="C204" i="192"/>
  <c r="Q203" i="192"/>
  <c r="AD203" i="192" s="1"/>
  <c r="P203" i="192"/>
  <c r="AC203" i="192" s="1"/>
  <c r="O203" i="192"/>
  <c r="AB203" i="192" s="1"/>
  <c r="M203" i="192"/>
  <c r="Z203" i="192" s="1"/>
  <c r="L203" i="192"/>
  <c r="K203" i="192"/>
  <c r="J203" i="192"/>
  <c r="I203" i="192"/>
  <c r="H203" i="192"/>
  <c r="G203" i="192"/>
  <c r="F203" i="192"/>
  <c r="E203" i="192"/>
  <c r="D203" i="192"/>
  <c r="C203" i="192"/>
  <c r="Q202" i="192"/>
  <c r="AD202" i="192" s="1"/>
  <c r="P202" i="192"/>
  <c r="AC202" i="192" s="1"/>
  <c r="O202" i="192"/>
  <c r="AB202" i="192" s="1"/>
  <c r="M202" i="192"/>
  <c r="Z202" i="192" s="1"/>
  <c r="L202" i="192"/>
  <c r="K202" i="192"/>
  <c r="J202" i="192"/>
  <c r="I202" i="192"/>
  <c r="H202" i="192"/>
  <c r="G202" i="192"/>
  <c r="F202" i="192"/>
  <c r="E202" i="192"/>
  <c r="D202" i="192"/>
  <c r="C202" i="192"/>
  <c r="Q201" i="192"/>
  <c r="AD201" i="192" s="1"/>
  <c r="P201" i="192"/>
  <c r="AC201" i="192" s="1"/>
  <c r="O201" i="192"/>
  <c r="AB201" i="192" s="1"/>
  <c r="M201" i="192"/>
  <c r="Z201" i="192" s="1"/>
  <c r="L201" i="192"/>
  <c r="K201" i="192"/>
  <c r="J201" i="192"/>
  <c r="I201" i="192"/>
  <c r="H201" i="192"/>
  <c r="G201" i="192"/>
  <c r="F201" i="192"/>
  <c r="E201" i="192"/>
  <c r="D201" i="192"/>
  <c r="C201" i="192"/>
  <c r="Q200" i="192"/>
  <c r="AD200" i="192" s="1"/>
  <c r="P200" i="192"/>
  <c r="AC200" i="192" s="1"/>
  <c r="O200" i="192"/>
  <c r="AB200" i="192" s="1"/>
  <c r="M200" i="192"/>
  <c r="Z200" i="192" s="1"/>
  <c r="L200" i="192"/>
  <c r="K200" i="192"/>
  <c r="J200" i="192"/>
  <c r="I200" i="192"/>
  <c r="H200" i="192"/>
  <c r="G200" i="192"/>
  <c r="F200" i="192"/>
  <c r="E200" i="192"/>
  <c r="D200" i="192"/>
  <c r="C200" i="192"/>
  <c r="Q199" i="192"/>
  <c r="AD199" i="192" s="1"/>
  <c r="P199" i="192"/>
  <c r="AC199" i="192" s="1"/>
  <c r="O199" i="192"/>
  <c r="AB199" i="192" s="1"/>
  <c r="M199" i="192"/>
  <c r="Z199" i="192" s="1"/>
  <c r="L199" i="192"/>
  <c r="K199" i="192"/>
  <c r="J199" i="192"/>
  <c r="I199" i="192"/>
  <c r="H199" i="192"/>
  <c r="G199" i="192"/>
  <c r="F199" i="192"/>
  <c r="E199" i="192"/>
  <c r="D199" i="192"/>
  <c r="C199" i="192"/>
  <c r="Q198" i="192"/>
  <c r="AD198" i="192" s="1"/>
  <c r="P198" i="192"/>
  <c r="AC198" i="192" s="1"/>
  <c r="O198" i="192"/>
  <c r="AB198" i="192" s="1"/>
  <c r="M198" i="192"/>
  <c r="Z198" i="192" s="1"/>
  <c r="L198" i="192"/>
  <c r="K198" i="192"/>
  <c r="J198" i="192"/>
  <c r="I198" i="192"/>
  <c r="H198" i="192"/>
  <c r="G198" i="192"/>
  <c r="F198" i="192"/>
  <c r="E198" i="192"/>
  <c r="D198" i="192"/>
  <c r="C198" i="192"/>
  <c r="Q197" i="192"/>
  <c r="AD197" i="192" s="1"/>
  <c r="P197" i="192"/>
  <c r="AC197" i="192" s="1"/>
  <c r="O197" i="192"/>
  <c r="AB197" i="192" s="1"/>
  <c r="M197" i="192"/>
  <c r="Z197" i="192" s="1"/>
  <c r="L197" i="192"/>
  <c r="K197" i="192"/>
  <c r="J197" i="192"/>
  <c r="I197" i="192"/>
  <c r="H197" i="192"/>
  <c r="G197" i="192"/>
  <c r="F197" i="192"/>
  <c r="E197" i="192"/>
  <c r="D197" i="192"/>
  <c r="C197" i="192"/>
  <c r="Q196" i="192"/>
  <c r="AD196" i="192" s="1"/>
  <c r="P196" i="192"/>
  <c r="AC196" i="192" s="1"/>
  <c r="O196" i="192"/>
  <c r="AB196" i="192" s="1"/>
  <c r="M196" i="192"/>
  <c r="Z196" i="192" s="1"/>
  <c r="L196" i="192"/>
  <c r="K196" i="192"/>
  <c r="J196" i="192"/>
  <c r="I196" i="192"/>
  <c r="H196" i="192"/>
  <c r="G196" i="192"/>
  <c r="F196" i="192"/>
  <c r="E196" i="192"/>
  <c r="D196" i="192"/>
  <c r="C196" i="192"/>
  <c r="Q195" i="192"/>
  <c r="AD195" i="192" s="1"/>
  <c r="P195" i="192"/>
  <c r="AC195" i="192" s="1"/>
  <c r="O195" i="192"/>
  <c r="AB195" i="192" s="1"/>
  <c r="M195" i="192"/>
  <c r="Z195" i="192" s="1"/>
  <c r="L195" i="192"/>
  <c r="K195" i="192"/>
  <c r="J195" i="192"/>
  <c r="I195" i="192"/>
  <c r="H195" i="192"/>
  <c r="G195" i="192"/>
  <c r="F195" i="192"/>
  <c r="E195" i="192"/>
  <c r="D195" i="192"/>
  <c r="C195" i="192"/>
  <c r="Q194" i="192"/>
  <c r="AD194" i="192" s="1"/>
  <c r="P194" i="192"/>
  <c r="AC194" i="192" s="1"/>
  <c r="O194" i="192"/>
  <c r="AB194" i="192" s="1"/>
  <c r="M194" i="192"/>
  <c r="Z194" i="192" s="1"/>
  <c r="L194" i="192"/>
  <c r="K194" i="192"/>
  <c r="J194" i="192"/>
  <c r="I194" i="192"/>
  <c r="H194" i="192"/>
  <c r="G194" i="192"/>
  <c r="F194" i="192"/>
  <c r="E194" i="192"/>
  <c r="D194" i="192"/>
  <c r="C194" i="192"/>
  <c r="Q193" i="192"/>
  <c r="AD193" i="192" s="1"/>
  <c r="P193" i="192"/>
  <c r="AC193" i="192" s="1"/>
  <c r="O193" i="192"/>
  <c r="AB193" i="192" s="1"/>
  <c r="M193" i="192"/>
  <c r="Z193" i="192" s="1"/>
  <c r="L193" i="192"/>
  <c r="K193" i="192"/>
  <c r="J193" i="192"/>
  <c r="I193" i="192"/>
  <c r="H193" i="192"/>
  <c r="G193" i="192"/>
  <c r="F193" i="192"/>
  <c r="E193" i="192"/>
  <c r="D193" i="192"/>
  <c r="C193" i="192"/>
  <c r="Q192" i="192"/>
  <c r="AD192" i="192" s="1"/>
  <c r="P192" i="192"/>
  <c r="AC192" i="192" s="1"/>
  <c r="O192" i="192"/>
  <c r="AB192" i="192" s="1"/>
  <c r="M192" i="192"/>
  <c r="Z192" i="192" s="1"/>
  <c r="L192" i="192"/>
  <c r="K192" i="192"/>
  <c r="J192" i="192"/>
  <c r="I192" i="192"/>
  <c r="H192" i="192"/>
  <c r="G192" i="192"/>
  <c r="F192" i="192"/>
  <c r="E192" i="192"/>
  <c r="D192" i="192"/>
  <c r="C192" i="192"/>
  <c r="Q191" i="192"/>
  <c r="AD191" i="192" s="1"/>
  <c r="P191" i="192"/>
  <c r="AC191" i="192" s="1"/>
  <c r="O191" i="192"/>
  <c r="AB191" i="192" s="1"/>
  <c r="M191" i="192"/>
  <c r="Z191" i="192" s="1"/>
  <c r="L191" i="192"/>
  <c r="K191" i="192"/>
  <c r="J191" i="192"/>
  <c r="I191" i="192"/>
  <c r="H191" i="192"/>
  <c r="G191" i="192"/>
  <c r="F191" i="192"/>
  <c r="E191" i="192"/>
  <c r="D191" i="192"/>
  <c r="C191" i="192"/>
  <c r="Q190" i="192"/>
  <c r="AD190" i="192" s="1"/>
  <c r="P190" i="192"/>
  <c r="AC190" i="192" s="1"/>
  <c r="O190" i="192"/>
  <c r="AB190" i="192" s="1"/>
  <c r="M190" i="192"/>
  <c r="Z190" i="192" s="1"/>
  <c r="L190" i="192"/>
  <c r="K190" i="192"/>
  <c r="J190" i="192"/>
  <c r="I190" i="192"/>
  <c r="H190" i="192"/>
  <c r="G190" i="192"/>
  <c r="F190" i="192"/>
  <c r="E190" i="192"/>
  <c r="D190" i="192"/>
  <c r="C190" i="192"/>
  <c r="Q189" i="192"/>
  <c r="AD189" i="192" s="1"/>
  <c r="P189" i="192"/>
  <c r="AC189" i="192" s="1"/>
  <c r="O189" i="192"/>
  <c r="AB189" i="192" s="1"/>
  <c r="M189" i="192"/>
  <c r="Z189" i="192" s="1"/>
  <c r="L189" i="192"/>
  <c r="K189" i="192"/>
  <c r="J189" i="192"/>
  <c r="I189" i="192"/>
  <c r="H189" i="192"/>
  <c r="G189" i="192"/>
  <c r="F189" i="192"/>
  <c r="E189" i="192"/>
  <c r="D189" i="192"/>
  <c r="C189" i="192"/>
  <c r="Q188" i="192"/>
  <c r="AD188" i="192" s="1"/>
  <c r="P188" i="192"/>
  <c r="AC188" i="192" s="1"/>
  <c r="O188" i="192"/>
  <c r="AB188" i="192" s="1"/>
  <c r="M188" i="192"/>
  <c r="Z188" i="192" s="1"/>
  <c r="L188" i="192"/>
  <c r="K188" i="192"/>
  <c r="J188" i="192"/>
  <c r="I188" i="192"/>
  <c r="H188" i="192"/>
  <c r="G188" i="192"/>
  <c r="F188" i="192"/>
  <c r="E188" i="192"/>
  <c r="D188" i="192"/>
  <c r="C188" i="192"/>
  <c r="Q187" i="192"/>
  <c r="AD187" i="192" s="1"/>
  <c r="P187" i="192"/>
  <c r="AC187" i="192" s="1"/>
  <c r="O187" i="192"/>
  <c r="AB187" i="192" s="1"/>
  <c r="M187" i="192"/>
  <c r="Z187" i="192" s="1"/>
  <c r="L187" i="192"/>
  <c r="K187" i="192"/>
  <c r="J187" i="192"/>
  <c r="I187" i="192"/>
  <c r="H187" i="192"/>
  <c r="G187" i="192"/>
  <c r="F187" i="192"/>
  <c r="E187" i="192"/>
  <c r="D187" i="192"/>
  <c r="C187" i="192"/>
  <c r="Q186" i="192"/>
  <c r="AD186" i="192" s="1"/>
  <c r="P186" i="192"/>
  <c r="AC186" i="192" s="1"/>
  <c r="O186" i="192"/>
  <c r="AB186" i="192" s="1"/>
  <c r="M186" i="192"/>
  <c r="Z186" i="192" s="1"/>
  <c r="L186" i="192"/>
  <c r="K186" i="192"/>
  <c r="J186" i="192"/>
  <c r="I186" i="192"/>
  <c r="H186" i="192"/>
  <c r="G186" i="192"/>
  <c r="F186" i="192"/>
  <c r="E186" i="192"/>
  <c r="D186" i="192"/>
  <c r="C186" i="192"/>
  <c r="Q185" i="192"/>
  <c r="AD185" i="192" s="1"/>
  <c r="P185" i="192"/>
  <c r="AC185" i="192" s="1"/>
  <c r="O185" i="192"/>
  <c r="AB185" i="192" s="1"/>
  <c r="M185" i="192"/>
  <c r="Z185" i="192" s="1"/>
  <c r="L185" i="192"/>
  <c r="K185" i="192"/>
  <c r="J185" i="192"/>
  <c r="I185" i="192"/>
  <c r="H185" i="192"/>
  <c r="G185" i="192"/>
  <c r="F185" i="192"/>
  <c r="E185" i="192"/>
  <c r="D185" i="192"/>
  <c r="C185" i="192"/>
  <c r="Q184" i="192"/>
  <c r="AD184" i="192" s="1"/>
  <c r="P184" i="192"/>
  <c r="AC184" i="192" s="1"/>
  <c r="O184" i="192"/>
  <c r="AB184" i="192" s="1"/>
  <c r="M184" i="192"/>
  <c r="Z184" i="192" s="1"/>
  <c r="L184" i="192"/>
  <c r="K184" i="192"/>
  <c r="J184" i="192"/>
  <c r="I184" i="192"/>
  <c r="H184" i="192"/>
  <c r="G184" i="192"/>
  <c r="F184" i="192"/>
  <c r="E184" i="192"/>
  <c r="D184" i="192"/>
  <c r="C184" i="192"/>
  <c r="Q183" i="192"/>
  <c r="AD183" i="192" s="1"/>
  <c r="P183" i="192"/>
  <c r="AC183" i="192" s="1"/>
  <c r="O183" i="192"/>
  <c r="AB183" i="192" s="1"/>
  <c r="M183" i="192"/>
  <c r="Z183" i="192" s="1"/>
  <c r="L183" i="192"/>
  <c r="K183" i="192"/>
  <c r="J183" i="192"/>
  <c r="I183" i="192"/>
  <c r="H183" i="192"/>
  <c r="G183" i="192"/>
  <c r="F183" i="192"/>
  <c r="E183" i="192"/>
  <c r="D183" i="192"/>
  <c r="C183" i="192"/>
  <c r="Q182" i="192"/>
  <c r="AD182" i="192" s="1"/>
  <c r="P182" i="192"/>
  <c r="AC182" i="192" s="1"/>
  <c r="O182" i="192"/>
  <c r="AB182" i="192" s="1"/>
  <c r="M182" i="192"/>
  <c r="Z182" i="192" s="1"/>
  <c r="L182" i="192"/>
  <c r="K182" i="192"/>
  <c r="J182" i="192"/>
  <c r="I182" i="192"/>
  <c r="H182" i="192"/>
  <c r="G182" i="192"/>
  <c r="F182" i="192"/>
  <c r="E182" i="192"/>
  <c r="D182" i="192"/>
  <c r="C182" i="192"/>
  <c r="Q181" i="192"/>
  <c r="AD181" i="192" s="1"/>
  <c r="P181" i="192"/>
  <c r="AC181" i="192" s="1"/>
  <c r="O181" i="192"/>
  <c r="AB181" i="192" s="1"/>
  <c r="M181" i="192"/>
  <c r="Z181" i="192" s="1"/>
  <c r="L181" i="192"/>
  <c r="K181" i="192"/>
  <c r="J181" i="192"/>
  <c r="I181" i="192"/>
  <c r="H181" i="192"/>
  <c r="G181" i="192"/>
  <c r="F181" i="192"/>
  <c r="E181" i="192"/>
  <c r="D181" i="192"/>
  <c r="C181" i="192"/>
  <c r="Q180" i="192"/>
  <c r="AD180" i="192" s="1"/>
  <c r="P180" i="192"/>
  <c r="AC180" i="192" s="1"/>
  <c r="O180" i="192"/>
  <c r="AB180" i="192" s="1"/>
  <c r="M180" i="192"/>
  <c r="Z180" i="192" s="1"/>
  <c r="L180" i="192"/>
  <c r="K180" i="192"/>
  <c r="J180" i="192"/>
  <c r="I180" i="192"/>
  <c r="H180" i="192"/>
  <c r="G180" i="192"/>
  <c r="F180" i="192"/>
  <c r="E180" i="192"/>
  <c r="D180" i="192"/>
  <c r="C180" i="192"/>
  <c r="Q179" i="192"/>
  <c r="AD179" i="192" s="1"/>
  <c r="P179" i="192"/>
  <c r="AC179" i="192" s="1"/>
  <c r="O179" i="192"/>
  <c r="AB179" i="192" s="1"/>
  <c r="M179" i="192"/>
  <c r="Z179" i="192" s="1"/>
  <c r="L179" i="192"/>
  <c r="K179" i="192"/>
  <c r="J179" i="192"/>
  <c r="I179" i="192"/>
  <c r="H179" i="192"/>
  <c r="G179" i="192"/>
  <c r="F179" i="192"/>
  <c r="E179" i="192"/>
  <c r="D179" i="192"/>
  <c r="C179" i="192"/>
  <c r="Q178" i="192"/>
  <c r="AD178" i="192" s="1"/>
  <c r="P178" i="192"/>
  <c r="AC178" i="192" s="1"/>
  <c r="O178" i="192"/>
  <c r="AB178" i="192" s="1"/>
  <c r="M178" i="192"/>
  <c r="Z178" i="192" s="1"/>
  <c r="L178" i="192"/>
  <c r="K178" i="192"/>
  <c r="J178" i="192"/>
  <c r="I178" i="192"/>
  <c r="H178" i="192"/>
  <c r="G178" i="192"/>
  <c r="F178" i="192"/>
  <c r="E178" i="192"/>
  <c r="D178" i="192"/>
  <c r="C178" i="192"/>
  <c r="Q177" i="192"/>
  <c r="AD177" i="192" s="1"/>
  <c r="P177" i="192"/>
  <c r="AC177" i="192" s="1"/>
  <c r="O177" i="192"/>
  <c r="AB177" i="192" s="1"/>
  <c r="M177" i="192"/>
  <c r="Z177" i="192" s="1"/>
  <c r="L177" i="192"/>
  <c r="K177" i="192"/>
  <c r="J177" i="192"/>
  <c r="I177" i="192"/>
  <c r="H177" i="192"/>
  <c r="G177" i="192"/>
  <c r="F177" i="192"/>
  <c r="E177" i="192"/>
  <c r="D177" i="192"/>
  <c r="C177" i="192"/>
  <c r="Q176" i="192"/>
  <c r="AD176" i="192" s="1"/>
  <c r="P176" i="192"/>
  <c r="AC176" i="192" s="1"/>
  <c r="O176" i="192"/>
  <c r="AB176" i="192" s="1"/>
  <c r="M176" i="192"/>
  <c r="Z176" i="192" s="1"/>
  <c r="L176" i="192"/>
  <c r="K176" i="192"/>
  <c r="J176" i="192"/>
  <c r="I176" i="192"/>
  <c r="H176" i="192"/>
  <c r="G176" i="192"/>
  <c r="F176" i="192"/>
  <c r="E176" i="192"/>
  <c r="D176" i="192"/>
  <c r="C176" i="192"/>
  <c r="Q175" i="192"/>
  <c r="AD175" i="192" s="1"/>
  <c r="P175" i="192"/>
  <c r="AC175" i="192" s="1"/>
  <c r="O175" i="192"/>
  <c r="AB175" i="192" s="1"/>
  <c r="M175" i="192"/>
  <c r="Z175" i="192" s="1"/>
  <c r="L175" i="192"/>
  <c r="K175" i="192"/>
  <c r="J175" i="192"/>
  <c r="I175" i="192"/>
  <c r="H175" i="192"/>
  <c r="G175" i="192"/>
  <c r="F175" i="192"/>
  <c r="E175" i="192"/>
  <c r="D175" i="192"/>
  <c r="C175" i="192"/>
  <c r="Q174" i="192"/>
  <c r="AD174" i="192" s="1"/>
  <c r="P174" i="192"/>
  <c r="AC174" i="192" s="1"/>
  <c r="O174" i="192"/>
  <c r="AB174" i="192" s="1"/>
  <c r="M174" i="192"/>
  <c r="Z174" i="192" s="1"/>
  <c r="L174" i="192"/>
  <c r="K174" i="192"/>
  <c r="J174" i="192"/>
  <c r="I174" i="192"/>
  <c r="H174" i="192"/>
  <c r="G174" i="192"/>
  <c r="F174" i="192"/>
  <c r="E174" i="192"/>
  <c r="D174" i="192"/>
  <c r="C174" i="192"/>
  <c r="Q173" i="192"/>
  <c r="AD173" i="192" s="1"/>
  <c r="P173" i="192"/>
  <c r="AC173" i="192" s="1"/>
  <c r="O173" i="192"/>
  <c r="AB173" i="192" s="1"/>
  <c r="M173" i="192"/>
  <c r="Z173" i="192" s="1"/>
  <c r="L173" i="192"/>
  <c r="K173" i="192"/>
  <c r="J173" i="192"/>
  <c r="I173" i="192"/>
  <c r="H173" i="192"/>
  <c r="G173" i="192"/>
  <c r="F173" i="192"/>
  <c r="E173" i="192"/>
  <c r="D173" i="192"/>
  <c r="C173" i="192"/>
  <c r="Q172" i="192"/>
  <c r="AD172" i="192" s="1"/>
  <c r="P172" i="192"/>
  <c r="AC172" i="192" s="1"/>
  <c r="O172" i="192"/>
  <c r="AB172" i="192" s="1"/>
  <c r="M172" i="192"/>
  <c r="Z172" i="192" s="1"/>
  <c r="L172" i="192"/>
  <c r="K172" i="192"/>
  <c r="J172" i="192"/>
  <c r="I172" i="192"/>
  <c r="H172" i="192"/>
  <c r="G172" i="192"/>
  <c r="F172" i="192"/>
  <c r="E172" i="192"/>
  <c r="D172" i="192"/>
  <c r="C172" i="192"/>
  <c r="Q171" i="192"/>
  <c r="AD171" i="192" s="1"/>
  <c r="P171" i="192"/>
  <c r="AC171" i="192" s="1"/>
  <c r="O171" i="192"/>
  <c r="AB171" i="192" s="1"/>
  <c r="M171" i="192"/>
  <c r="Z171" i="192" s="1"/>
  <c r="L171" i="192"/>
  <c r="K171" i="192"/>
  <c r="J171" i="192"/>
  <c r="I171" i="192"/>
  <c r="H171" i="192"/>
  <c r="G171" i="192"/>
  <c r="F171" i="192"/>
  <c r="E171" i="192"/>
  <c r="D171" i="192"/>
  <c r="C171" i="192"/>
  <c r="Q170" i="192"/>
  <c r="AD170" i="192" s="1"/>
  <c r="P170" i="192"/>
  <c r="AC170" i="192" s="1"/>
  <c r="O170" i="192"/>
  <c r="AB170" i="192" s="1"/>
  <c r="M170" i="192"/>
  <c r="Z170" i="192" s="1"/>
  <c r="L170" i="192"/>
  <c r="K170" i="192"/>
  <c r="J170" i="192"/>
  <c r="I170" i="192"/>
  <c r="H170" i="192"/>
  <c r="G170" i="192"/>
  <c r="F170" i="192"/>
  <c r="E170" i="192"/>
  <c r="D170" i="192"/>
  <c r="C170" i="192"/>
  <c r="Q169" i="192"/>
  <c r="AD169" i="192" s="1"/>
  <c r="P169" i="192"/>
  <c r="AC169" i="192" s="1"/>
  <c r="O169" i="192"/>
  <c r="AB169" i="192" s="1"/>
  <c r="M169" i="192"/>
  <c r="Z169" i="192" s="1"/>
  <c r="L169" i="192"/>
  <c r="K169" i="192"/>
  <c r="J169" i="192"/>
  <c r="I169" i="192"/>
  <c r="H169" i="192"/>
  <c r="G169" i="192"/>
  <c r="F169" i="192"/>
  <c r="E169" i="192"/>
  <c r="D169" i="192"/>
  <c r="C169" i="192"/>
  <c r="Q168" i="192"/>
  <c r="AD168" i="192" s="1"/>
  <c r="P168" i="192"/>
  <c r="AC168" i="192" s="1"/>
  <c r="O168" i="192"/>
  <c r="AB168" i="192" s="1"/>
  <c r="M168" i="192"/>
  <c r="Z168" i="192" s="1"/>
  <c r="L168" i="192"/>
  <c r="K168" i="192"/>
  <c r="J168" i="192"/>
  <c r="I168" i="192"/>
  <c r="H168" i="192"/>
  <c r="G168" i="192"/>
  <c r="F168" i="192"/>
  <c r="E168" i="192"/>
  <c r="D168" i="192"/>
  <c r="C168" i="192"/>
  <c r="Q167" i="192"/>
  <c r="AD167" i="192" s="1"/>
  <c r="P167" i="192"/>
  <c r="AC167" i="192" s="1"/>
  <c r="O167" i="192"/>
  <c r="AB167" i="192" s="1"/>
  <c r="M167" i="192"/>
  <c r="Z167" i="192" s="1"/>
  <c r="L167" i="192"/>
  <c r="K167" i="192"/>
  <c r="J167" i="192"/>
  <c r="I167" i="192"/>
  <c r="H167" i="192"/>
  <c r="G167" i="192"/>
  <c r="F167" i="192"/>
  <c r="E167" i="192"/>
  <c r="D167" i="192"/>
  <c r="C167" i="192"/>
  <c r="Q166" i="192"/>
  <c r="AD166" i="192" s="1"/>
  <c r="P166" i="192"/>
  <c r="AC166" i="192" s="1"/>
  <c r="O166" i="192"/>
  <c r="AB166" i="192" s="1"/>
  <c r="M166" i="192"/>
  <c r="Z166" i="192" s="1"/>
  <c r="L166" i="192"/>
  <c r="K166" i="192"/>
  <c r="J166" i="192"/>
  <c r="I166" i="192"/>
  <c r="H166" i="192"/>
  <c r="G166" i="192"/>
  <c r="F166" i="192"/>
  <c r="E166" i="192"/>
  <c r="D166" i="192"/>
  <c r="C166" i="192"/>
  <c r="Q165" i="192"/>
  <c r="AD165" i="192" s="1"/>
  <c r="P165" i="192"/>
  <c r="AC165" i="192" s="1"/>
  <c r="O165" i="192"/>
  <c r="AB165" i="192" s="1"/>
  <c r="M165" i="192"/>
  <c r="Z165" i="192" s="1"/>
  <c r="L165" i="192"/>
  <c r="K165" i="192"/>
  <c r="J165" i="192"/>
  <c r="I165" i="192"/>
  <c r="H165" i="192"/>
  <c r="G165" i="192"/>
  <c r="F165" i="192"/>
  <c r="E165" i="192"/>
  <c r="D165" i="192"/>
  <c r="C165" i="192"/>
  <c r="Q164" i="192"/>
  <c r="AD164" i="192" s="1"/>
  <c r="P164" i="192"/>
  <c r="AC164" i="192" s="1"/>
  <c r="O164" i="192"/>
  <c r="AB164" i="192" s="1"/>
  <c r="M164" i="192"/>
  <c r="Z164" i="192" s="1"/>
  <c r="L164" i="192"/>
  <c r="K164" i="192"/>
  <c r="J164" i="192"/>
  <c r="I164" i="192"/>
  <c r="H164" i="192"/>
  <c r="G164" i="192"/>
  <c r="F164" i="192"/>
  <c r="E164" i="192"/>
  <c r="D164" i="192"/>
  <c r="C164" i="192"/>
  <c r="Q163" i="192"/>
  <c r="AD163" i="192" s="1"/>
  <c r="P163" i="192"/>
  <c r="AC163" i="192" s="1"/>
  <c r="O163" i="192"/>
  <c r="AB163" i="192" s="1"/>
  <c r="M163" i="192"/>
  <c r="Z163" i="192" s="1"/>
  <c r="L163" i="192"/>
  <c r="K163" i="192"/>
  <c r="J163" i="192"/>
  <c r="I163" i="192"/>
  <c r="H163" i="192"/>
  <c r="G163" i="192"/>
  <c r="F163" i="192"/>
  <c r="E163" i="192"/>
  <c r="D163" i="192"/>
  <c r="C163" i="192"/>
  <c r="Q162" i="192"/>
  <c r="AD162" i="192" s="1"/>
  <c r="P162" i="192"/>
  <c r="AC162" i="192" s="1"/>
  <c r="O162" i="192"/>
  <c r="AB162" i="192" s="1"/>
  <c r="M162" i="192"/>
  <c r="Z162" i="192" s="1"/>
  <c r="L162" i="192"/>
  <c r="K162" i="192"/>
  <c r="J162" i="192"/>
  <c r="I162" i="192"/>
  <c r="H162" i="192"/>
  <c r="G162" i="192"/>
  <c r="F162" i="192"/>
  <c r="E162" i="192"/>
  <c r="D162" i="192"/>
  <c r="C162" i="192"/>
  <c r="Q161" i="192"/>
  <c r="AD161" i="192" s="1"/>
  <c r="P161" i="192"/>
  <c r="AC161" i="192" s="1"/>
  <c r="O161" i="192"/>
  <c r="AB161" i="192" s="1"/>
  <c r="M161" i="192"/>
  <c r="Z161" i="192" s="1"/>
  <c r="L161" i="192"/>
  <c r="K161" i="192"/>
  <c r="J161" i="192"/>
  <c r="I161" i="192"/>
  <c r="H161" i="192"/>
  <c r="G161" i="192"/>
  <c r="F161" i="192"/>
  <c r="E161" i="192"/>
  <c r="D161" i="192"/>
  <c r="C161" i="192"/>
  <c r="Q160" i="192"/>
  <c r="AD160" i="192" s="1"/>
  <c r="P160" i="192"/>
  <c r="AC160" i="192" s="1"/>
  <c r="O160" i="192"/>
  <c r="AB160" i="192" s="1"/>
  <c r="M160" i="192"/>
  <c r="Z160" i="192" s="1"/>
  <c r="L160" i="192"/>
  <c r="K160" i="192"/>
  <c r="J160" i="192"/>
  <c r="I160" i="192"/>
  <c r="H160" i="192"/>
  <c r="G160" i="192"/>
  <c r="F160" i="192"/>
  <c r="E160" i="192"/>
  <c r="D160" i="192"/>
  <c r="C160" i="192"/>
  <c r="Q159" i="192"/>
  <c r="AD159" i="192" s="1"/>
  <c r="P159" i="192"/>
  <c r="AC159" i="192" s="1"/>
  <c r="O159" i="192"/>
  <c r="AB159" i="192" s="1"/>
  <c r="M159" i="192"/>
  <c r="Z159" i="192" s="1"/>
  <c r="L159" i="192"/>
  <c r="K159" i="192"/>
  <c r="J159" i="192"/>
  <c r="I159" i="192"/>
  <c r="H159" i="192"/>
  <c r="G159" i="192"/>
  <c r="F159" i="192"/>
  <c r="E159" i="192"/>
  <c r="D159" i="192"/>
  <c r="C159" i="192"/>
  <c r="Q158" i="192"/>
  <c r="AD158" i="192" s="1"/>
  <c r="P158" i="192"/>
  <c r="AC158" i="192" s="1"/>
  <c r="O158" i="192"/>
  <c r="AB158" i="192" s="1"/>
  <c r="M158" i="192"/>
  <c r="Z158" i="192" s="1"/>
  <c r="L158" i="192"/>
  <c r="K158" i="192"/>
  <c r="J158" i="192"/>
  <c r="I158" i="192"/>
  <c r="H158" i="192"/>
  <c r="G158" i="192"/>
  <c r="F158" i="192"/>
  <c r="E158" i="192"/>
  <c r="D158" i="192"/>
  <c r="C158" i="192"/>
  <c r="Q157" i="192"/>
  <c r="AD157" i="192" s="1"/>
  <c r="P157" i="192"/>
  <c r="AC157" i="192" s="1"/>
  <c r="O157" i="192"/>
  <c r="AB157" i="192" s="1"/>
  <c r="M157" i="192"/>
  <c r="Z157" i="192" s="1"/>
  <c r="L157" i="192"/>
  <c r="K157" i="192"/>
  <c r="J157" i="192"/>
  <c r="I157" i="192"/>
  <c r="H157" i="192"/>
  <c r="G157" i="192"/>
  <c r="F157" i="192"/>
  <c r="E157" i="192"/>
  <c r="D157" i="192"/>
  <c r="C157" i="192"/>
  <c r="Q156" i="192"/>
  <c r="AD156" i="192" s="1"/>
  <c r="P156" i="192"/>
  <c r="AC156" i="192" s="1"/>
  <c r="O156" i="192"/>
  <c r="AB156" i="192" s="1"/>
  <c r="M156" i="192"/>
  <c r="Z156" i="192" s="1"/>
  <c r="L156" i="192"/>
  <c r="K156" i="192"/>
  <c r="J156" i="192"/>
  <c r="I156" i="192"/>
  <c r="H156" i="192"/>
  <c r="G156" i="192"/>
  <c r="F156" i="192"/>
  <c r="E156" i="192"/>
  <c r="D156" i="192"/>
  <c r="C156" i="192"/>
  <c r="Q155" i="192"/>
  <c r="AD155" i="192" s="1"/>
  <c r="P155" i="192"/>
  <c r="AC155" i="192" s="1"/>
  <c r="O155" i="192"/>
  <c r="AB155" i="192" s="1"/>
  <c r="M155" i="192"/>
  <c r="Z155" i="192" s="1"/>
  <c r="L155" i="192"/>
  <c r="K155" i="192"/>
  <c r="J155" i="192"/>
  <c r="I155" i="192"/>
  <c r="H155" i="192"/>
  <c r="G155" i="192"/>
  <c r="F155" i="192"/>
  <c r="E155" i="192"/>
  <c r="D155" i="192"/>
  <c r="C155" i="192"/>
  <c r="Q154" i="192"/>
  <c r="AD154" i="192" s="1"/>
  <c r="P154" i="192"/>
  <c r="AC154" i="192" s="1"/>
  <c r="O154" i="192"/>
  <c r="AB154" i="192" s="1"/>
  <c r="M154" i="192"/>
  <c r="Z154" i="192" s="1"/>
  <c r="L154" i="192"/>
  <c r="K154" i="192"/>
  <c r="J154" i="192"/>
  <c r="I154" i="192"/>
  <c r="H154" i="192"/>
  <c r="G154" i="192"/>
  <c r="F154" i="192"/>
  <c r="E154" i="192"/>
  <c r="D154" i="192"/>
  <c r="C154" i="192"/>
  <c r="Q153" i="192"/>
  <c r="AD153" i="192" s="1"/>
  <c r="P153" i="192"/>
  <c r="AC153" i="192" s="1"/>
  <c r="O153" i="192"/>
  <c r="AB153" i="192" s="1"/>
  <c r="M153" i="192"/>
  <c r="Z153" i="192" s="1"/>
  <c r="L153" i="192"/>
  <c r="K153" i="192"/>
  <c r="J153" i="192"/>
  <c r="I153" i="192"/>
  <c r="H153" i="192"/>
  <c r="G153" i="192"/>
  <c r="F153" i="192"/>
  <c r="E153" i="192"/>
  <c r="D153" i="192"/>
  <c r="C153" i="192"/>
  <c r="Q152" i="192"/>
  <c r="AD152" i="192" s="1"/>
  <c r="P152" i="192"/>
  <c r="AC152" i="192" s="1"/>
  <c r="O152" i="192"/>
  <c r="AB152" i="192" s="1"/>
  <c r="M152" i="192"/>
  <c r="Z152" i="192" s="1"/>
  <c r="L152" i="192"/>
  <c r="K152" i="192"/>
  <c r="J152" i="192"/>
  <c r="I152" i="192"/>
  <c r="H152" i="192"/>
  <c r="G152" i="192"/>
  <c r="F152" i="192"/>
  <c r="E152" i="192"/>
  <c r="D152" i="192"/>
  <c r="C152" i="192"/>
  <c r="Q151" i="192"/>
  <c r="AD151" i="192" s="1"/>
  <c r="P151" i="192"/>
  <c r="AC151" i="192" s="1"/>
  <c r="O151" i="192"/>
  <c r="AB151" i="192" s="1"/>
  <c r="M151" i="192"/>
  <c r="Z151" i="192" s="1"/>
  <c r="L151" i="192"/>
  <c r="K151" i="192"/>
  <c r="J151" i="192"/>
  <c r="I151" i="192"/>
  <c r="H151" i="192"/>
  <c r="G151" i="192"/>
  <c r="F151" i="192"/>
  <c r="E151" i="192"/>
  <c r="D151" i="192"/>
  <c r="C151" i="192"/>
  <c r="Q150" i="192"/>
  <c r="AD150" i="192" s="1"/>
  <c r="P150" i="192"/>
  <c r="AC150" i="192" s="1"/>
  <c r="O150" i="192"/>
  <c r="AB150" i="192" s="1"/>
  <c r="M150" i="192"/>
  <c r="Z150" i="192" s="1"/>
  <c r="L150" i="192"/>
  <c r="K150" i="192"/>
  <c r="J150" i="192"/>
  <c r="I150" i="192"/>
  <c r="H150" i="192"/>
  <c r="G150" i="192"/>
  <c r="F150" i="192"/>
  <c r="E150" i="192"/>
  <c r="D150" i="192"/>
  <c r="C150" i="192"/>
  <c r="Q149" i="192"/>
  <c r="AD149" i="192" s="1"/>
  <c r="P149" i="192"/>
  <c r="AC149" i="192" s="1"/>
  <c r="O149" i="192"/>
  <c r="AB149" i="192" s="1"/>
  <c r="M149" i="192"/>
  <c r="Z149" i="192" s="1"/>
  <c r="L149" i="192"/>
  <c r="K149" i="192"/>
  <c r="J149" i="192"/>
  <c r="I149" i="192"/>
  <c r="H149" i="192"/>
  <c r="G149" i="192"/>
  <c r="F149" i="192"/>
  <c r="E149" i="192"/>
  <c r="D149" i="192"/>
  <c r="C149" i="192"/>
  <c r="Q148" i="192"/>
  <c r="AD148" i="192" s="1"/>
  <c r="P148" i="192"/>
  <c r="AC148" i="192" s="1"/>
  <c r="O148" i="192"/>
  <c r="AB148" i="192" s="1"/>
  <c r="M148" i="192"/>
  <c r="Z148" i="192" s="1"/>
  <c r="L148" i="192"/>
  <c r="K148" i="192"/>
  <c r="J148" i="192"/>
  <c r="I148" i="192"/>
  <c r="H148" i="192"/>
  <c r="G148" i="192"/>
  <c r="F148" i="192"/>
  <c r="E148" i="192"/>
  <c r="D148" i="192"/>
  <c r="C148" i="192"/>
  <c r="Q147" i="192"/>
  <c r="AD147" i="192" s="1"/>
  <c r="P147" i="192"/>
  <c r="AC147" i="192" s="1"/>
  <c r="O147" i="192"/>
  <c r="AB147" i="192" s="1"/>
  <c r="M147" i="192"/>
  <c r="Z147" i="192" s="1"/>
  <c r="L147" i="192"/>
  <c r="K147" i="192"/>
  <c r="J147" i="192"/>
  <c r="I147" i="192"/>
  <c r="H147" i="192"/>
  <c r="G147" i="192"/>
  <c r="F147" i="192"/>
  <c r="E147" i="192"/>
  <c r="D147" i="192"/>
  <c r="C147" i="192"/>
  <c r="Q146" i="192"/>
  <c r="AD146" i="192" s="1"/>
  <c r="P146" i="192"/>
  <c r="AC146" i="192" s="1"/>
  <c r="O146" i="192"/>
  <c r="AB146" i="192" s="1"/>
  <c r="M146" i="192"/>
  <c r="Z146" i="192" s="1"/>
  <c r="L146" i="192"/>
  <c r="K146" i="192"/>
  <c r="J146" i="192"/>
  <c r="I146" i="192"/>
  <c r="H146" i="192"/>
  <c r="G146" i="192"/>
  <c r="F146" i="192"/>
  <c r="E146" i="192"/>
  <c r="D146" i="192"/>
  <c r="C146" i="192"/>
  <c r="Q145" i="192"/>
  <c r="AD145" i="192" s="1"/>
  <c r="P145" i="192"/>
  <c r="AC145" i="192" s="1"/>
  <c r="O145" i="192"/>
  <c r="AB145" i="192" s="1"/>
  <c r="M145" i="192"/>
  <c r="Z145" i="192" s="1"/>
  <c r="L145" i="192"/>
  <c r="K145" i="192"/>
  <c r="J145" i="192"/>
  <c r="I145" i="192"/>
  <c r="H145" i="192"/>
  <c r="G145" i="192"/>
  <c r="F145" i="192"/>
  <c r="E145" i="192"/>
  <c r="D145" i="192"/>
  <c r="C145" i="192"/>
  <c r="Q144" i="192"/>
  <c r="AD144" i="192" s="1"/>
  <c r="P144" i="192"/>
  <c r="AC144" i="192" s="1"/>
  <c r="O144" i="192"/>
  <c r="AB144" i="192" s="1"/>
  <c r="M144" i="192"/>
  <c r="Z144" i="192" s="1"/>
  <c r="L144" i="192"/>
  <c r="K144" i="192"/>
  <c r="J144" i="192"/>
  <c r="I144" i="192"/>
  <c r="H144" i="192"/>
  <c r="G144" i="192"/>
  <c r="F144" i="192"/>
  <c r="E144" i="192"/>
  <c r="D144" i="192"/>
  <c r="C144" i="192"/>
  <c r="Q143" i="192"/>
  <c r="AD143" i="192" s="1"/>
  <c r="P143" i="192"/>
  <c r="AC143" i="192" s="1"/>
  <c r="O143" i="192"/>
  <c r="AB143" i="192" s="1"/>
  <c r="M143" i="192"/>
  <c r="Z143" i="192" s="1"/>
  <c r="L143" i="192"/>
  <c r="K143" i="192"/>
  <c r="J143" i="192"/>
  <c r="I143" i="192"/>
  <c r="H143" i="192"/>
  <c r="G143" i="192"/>
  <c r="F143" i="192"/>
  <c r="E143" i="192"/>
  <c r="D143" i="192"/>
  <c r="C143" i="192"/>
  <c r="Q142" i="192"/>
  <c r="AD142" i="192" s="1"/>
  <c r="P142" i="192"/>
  <c r="AC142" i="192" s="1"/>
  <c r="O142" i="192"/>
  <c r="AB142" i="192" s="1"/>
  <c r="M142" i="192"/>
  <c r="Z142" i="192" s="1"/>
  <c r="L142" i="192"/>
  <c r="K142" i="192"/>
  <c r="J142" i="192"/>
  <c r="I142" i="192"/>
  <c r="H142" i="192"/>
  <c r="G142" i="192"/>
  <c r="F142" i="192"/>
  <c r="E142" i="192"/>
  <c r="D142" i="192"/>
  <c r="C142" i="192"/>
  <c r="Q141" i="192"/>
  <c r="AD141" i="192" s="1"/>
  <c r="P141" i="192"/>
  <c r="AC141" i="192" s="1"/>
  <c r="O141" i="192"/>
  <c r="AB141" i="192" s="1"/>
  <c r="M141" i="192"/>
  <c r="Z141" i="192" s="1"/>
  <c r="L141" i="192"/>
  <c r="K141" i="192"/>
  <c r="J141" i="192"/>
  <c r="I141" i="192"/>
  <c r="H141" i="192"/>
  <c r="G141" i="192"/>
  <c r="F141" i="192"/>
  <c r="E141" i="192"/>
  <c r="D141" i="192"/>
  <c r="C141" i="192"/>
  <c r="Q140" i="192"/>
  <c r="AD140" i="192" s="1"/>
  <c r="P140" i="192"/>
  <c r="AC140" i="192" s="1"/>
  <c r="O140" i="192"/>
  <c r="AB140" i="192" s="1"/>
  <c r="M140" i="192"/>
  <c r="Z140" i="192" s="1"/>
  <c r="L140" i="192"/>
  <c r="K140" i="192"/>
  <c r="J140" i="192"/>
  <c r="I140" i="192"/>
  <c r="H140" i="192"/>
  <c r="G140" i="192"/>
  <c r="F140" i="192"/>
  <c r="E140" i="192"/>
  <c r="D140" i="192"/>
  <c r="C140" i="192"/>
  <c r="Q139" i="192"/>
  <c r="AD139" i="192" s="1"/>
  <c r="P139" i="192"/>
  <c r="AC139" i="192" s="1"/>
  <c r="O139" i="192"/>
  <c r="AB139" i="192" s="1"/>
  <c r="M139" i="192"/>
  <c r="Z139" i="192" s="1"/>
  <c r="L139" i="192"/>
  <c r="K139" i="192"/>
  <c r="J139" i="192"/>
  <c r="I139" i="192"/>
  <c r="H139" i="192"/>
  <c r="G139" i="192"/>
  <c r="F139" i="192"/>
  <c r="E139" i="192"/>
  <c r="D139" i="192"/>
  <c r="C139" i="192"/>
  <c r="Q138" i="192"/>
  <c r="AD138" i="192" s="1"/>
  <c r="P138" i="192"/>
  <c r="AC138" i="192" s="1"/>
  <c r="O138" i="192"/>
  <c r="AB138" i="192" s="1"/>
  <c r="M138" i="192"/>
  <c r="Z138" i="192" s="1"/>
  <c r="L138" i="192"/>
  <c r="K138" i="192"/>
  <c r="J138" i="192"/>
  <c r="I138" i="192"/>
  <c r="H138" i="192"/>
  <c r="G138" i="192"/>
  <c r="F138" i="192"/>
  <c r="E138" i="192"/>
  <c r="D138" i="192"/>
  <c r="C138" i="192"/>
  <c r="Q137" i="192"/>
  <c r="AD137" i="192" s="1"/>
  <c r="P137" i="192"/>
  <c r="AC137" i="192" s="1"/>
  <c r="O137" i="192"/>
  <c r="AB137" i="192" s="1"/>
  <c r="M137" i="192"/>
  <c r="Z137" i="192" s="1"/>
  <c r="L137" i="192"/>
  <c r="K137" i="192"/>
  <c r="J137" i="192"/>
  <c r="I137" i="192"/>
  <c r="H137" i="192"/>
  <c r="G137" i="192"/>
  <c r="F137" i="192"/>
  <c r="E137" i="192"/>
  <c r="D137" i="192"/>
  <c r="C137" i="192"/>
  <c r="Q136" i="192"/>
  <c r="AD136" i="192" s="1"/>
  <c r="P136" i="192"/>
  <c r="AC136" i="192" s="1"/>
  <c r="O136" i="192"/>
  <c r="AB136" i="192" s="1"/>
  <c r="M136" i="192"/>
  <c r="Z136" i="192" s="1"/>
  <c r="L136" i="192"/>
  <c r="K136" i="192"/>
  <c r="J136" i="192"/>
  <c r="I136" i="192"/>
  <c r="H136" i="192"/>
  <c r="G136" i="192"/>
  <c r="F136" i="192"/>
  <c r="E136" i="192"/>
  <c r="D136" i="192"/>
  <c r="C136" i="192"/>
  <c r="Q135" i="192"/>
  <c r="AD135" i="192" s="1"/>
  <c r="P135" i="192"/>
  <c r="AC135" i="192" s="1"/>
  <c r="O135" i="192"/>
  <c r="AB135" i="192" s="1"/>
  <c r="M135" i="192"/>
  <c r="Z135" i="192" s="1"/>
  <c r="L135" i="192"/>
  <c r="K135" i="192"/>
  <c r="J135" i="192"/>
  <c r="I135" i="192"/>
  <c r="H135" i="192"/>
  <c r="G135" i="192"/>
  <c r="F135" i="192"/>
  <c r="E135" i="192"/>
  <c r="D135" i="192"/>
  <c r="C135" i="192"/>
  <c r="Q134" i="192"/>
  <c r="AD134" i="192" s="1"/>
  <c r="P134" i="192"/>
  <c r="AC134" i="192" s="1"/>
  <c r="O134" i="192"/>
  <c r="AB134" i="192" s="1"/>
  <c r="M134" i="192"/>
  <c r="Z134" i="192" s="1"/>
  <c r="L134" i="192"/>
  <c r="K134" i="192"/>
  <c r="J134" i="192"/>
  <c r="I134" i="192"/>
  <c r="H134" i="192"/>
  <c r="G134" i="192"/>
  <c r="F134" i="192"/>
  <c r="E134" i="192"/>
  <c r="D134" i="192"/>
  <c r="C134" i="192"/>
  <c r="Q133" i="192"/>
  <c r="AD133" i="192" s="1"/>
  <c r="P133" i="192"/>
  <c r="AC133" i="192" s="1"/>
  <c r="O133" i="192"/>
  <c r="AB133" i="192" s="1"/>
  <c r="M133" i="192"/>
  <c r="Z133" i="192" s="1"/>
  <c r="L133" i="192"/>
  <c r="K133" i="192"/>
  <c r="J133" i="192"/>
  <c r="I133" i="192"/>
  <c r="H133" i="192"/>
  <c r="G133" i="192"/>
  <c r="F133" i="192"/>
  <c r="E133" i="192"/>
  <c r="D133" i="192"/>
  <c r="C133" i="192"/>
  <c r="Q132" i="192"/>
  <c r="AD132" i="192" s="1"/>
  <c r="P132" i="192"/>
  <c r="AC132" i="192" s="1"/>
  <c r="O132" i="192"/>
  <c r="AB132" i="192" s="1"/>
  <c r="M132" i="192"/>
  <c r="Z132" i="192" s="1"/>
  <c r="L132" i="192"/>
  <c r="K132" i="192"/>
  <c r="J132" i="192"/>
  <c r="I132" i="192"/>
  <c r="H132" i="192"/>
  <c r="G132" i="192"/>
  <c r="F132" i="192"/>
  <c r="E132" i="192"/>
  <c r="D132" i="192"/>
  <c r="C132" i="192"/>
  <c r="Q131" i="192"/>
  <c r="AD131" i="192" s="1"/>
  <c r="P131" i="192"/>
  <c r="AC131" i="192" s="1"/>
  <c r="O131" i="192"/>
  <c r="AB131" i="192" s="1"/>
  <c r="M131" i="192"/>
  <c r="Z131" i="192" s="1"/>
  <c r="L131" i="192"/>
  <c r="K131" i="192"/>
  <c r="J131" i="192"/>
  <c r="I131" i="192"/>
  <c r="H131" i="192"/>
  <c r="G131" i="192"/>
  <c r="F131" i="192"/>
  <c r="E131" i="192"/>
  <c r="D131" i="192"/>
  <c r="C131" i="192"/>
  <c r="Q130" i="192"/>
  <c r="AD130" i="192" s="1"/>
  <c r="P130" i="192"/>
  <c r="AC130" i="192" s="1"/>
  <c r="O130" i="192"/>
  <c r="AB130" i="192" s="1"/>
  <c r="M130" i="192"/>
  <c r="Z130" i="192" s="1"/>
  <c r="L130" i="192"/>
  <c r="K130" i="192"/>
  <c r="J130" i="192"/>
  <c r="I130" i="192"/>
  <c r="H130" i="192"/>
  <c r="G130" i="192"/>
  <c r="F130" i="192"/>
  <c r="E130" i="192"/>
  <c r="D130" i="192"/>
  <c r="C130" i="192"/>
  <c r="Q129" i="192"/>
  <c r="AD129" i="192" s="1"/>
  <c r="P129" i="192"/>
  <c r="AC129" i="192" s="1"/>
  <c r="O129" i="192"/>
  <c r="AB129" i="192" s="1"/>
  <c r="M129" i="192"/>
  <c r="Z129" i="192" s="1"/>
  <c r="L129" i="192"/>
  <c r="K129" i="192"/>
  <c r="J129" i="192"/>
  <c r="I129" i="192"/>
  <c r="H129" i="192"/>
  <c r="G129" i="192"/>
  <c r="F129" i="192"/>
  <c r="E129" i="192"/>
  <c r="D129" i="192"/>
  <c r="C129" i="192"/>
  <c r="Q128" i="192"/>
  <c r="AD128" i="192" s="1"/>
  <c r="P128" i="192"/>
  <c r="AC128" i="192" s="1"/>
  <c r="O128" i="192"/>
  <c r="AB128" i="192" s="1"/>
  <c r="M128" i="192"/>
  <c r="Z128" i="192" s="1"/>
  <c r="L128" i="192"/>
  <c r="K128" i="192"/>
  <c r="J128" i="192"/>
  <c r="I128" i="192"/>
  <c r="H128" i="192"/>
  <c r="G128" i="192"/>
  <c r="F128" i="192"/>
  <c r="E128" i="192"/>
  <c r="D128" i="192"/>
  <c r="C128" i="192"/>
  <c r="Q127" i="192"/>
  <c r="AD127" i="192" s="1"/>
  <c r="P127" i="192"/>
  <c r="AC127" i="192" s="1"/>
  <c r="O127" i="192"/>
  <c r="AB127" i="192" s="1"/>
  <c r="M127" i="192"/>
  <c r="Z127" i="192" s="1"/>
  <c r="L127" i="192"/>
  <c r="K127" i="192"/>
  <c r="J127" i="192"/>
  <c r="I127" i="192"/>
  <c r="H127" i="192"/>
  <c r="G127" i="192"/>
  <c r="F127" i="192"/>
  <c r="E127" i="192"/>
  <c r="D127" i="192"/>
  <c r="C127" i="192"/>
  <c r="Q126" i="192"/>
  <c r="AD126" i="192" s="1"/>
  <c r="P126" i="192"/>
  <c r="AC126" i="192" s="1"/>
  <c r="O126" i="192"/>
  <c r="AB126" i="192" s="1"/>
  <c r="M126" i="192"/>
  <c r="Z126" i="192" s="1"/>
  <c r="L126" i="192"/>
  <c r="K126" i="192"/>
  <c r="J126" i="192"/>
  <c r="I126" i="192"/>
  <c r="H126" i="192"/>
  <c r="G126" i="192"/>
  <c r="F126" i="192"/>
  <c r="E126" i="192"/>
  <c r="D126" i="192"/>
  <c r="C126" i="192"/>
  <c r="Q125" i="192"/>
  <c r="AD125" i="192" s="1"/>
  <c r="P125" i="192"/>
  <c r="AC125" i="192" s="1"/>
  <c r="O125" i="192"/>
  <c r="AB125" i="192" s="1"/>
  <c r="M125" i="192"/>
  <c r="Z125" i="192" s="1"/>
  <c r="L125" i="192"/>
  <c r="K125" i="192"/>
  <c r="J125" i="192"/>
  <c r="I125" i="192"/>
  <c r="H125" i="192"/>
  <c r="G125" i="192"/>
  <c r="F125" i="192"/>
  <c r="E125" i="192"/>
  <c r="D125" i="192"/>
  <c r="C125" i="192"/>
  <c r="Q124" i="192"/>
  <c r="AD124" i="192" s="1"/>
  <c r="P124" i="192"/>
  <c r="AC124" i="192" s="1"/>
  <c r="O124" i="192"/>
  <c r="AB124" i="192" s="1"/>
  <c r="M124" i="192"/>
  <c r="Z124" i="192" s="1"/>
  <c r="L124" i="192"/>
  <c r="K124" i="192"/>
  <c r="J124" i="192"/>
  <c r="I124" i="192"/>
  <c r="H124" i="192"/>
  <c r="G124" i="192"/>
  <c r="F124" i="192"/>
  <c r="E124" i="192"/>
  <c r="D124" i="192"/>
  <c r="C124" i="192"/>
  <c r="Q123" i="192"/>
  <c r="AD123" i="192" s="1"/>
  <c r="P123" i="192"/>
  <c r="AC123" i="192" s="1"/>
  <c r="O123" i="192"/>
  <c r="AB123" i="192" s="1"/>
  <c r="M123" i="192"/>
  <c r="Z123" i="192" s="1"/>
  <c r="L123" i="192"/>
  <c r="K123" i="192"/>
  <c r="J123" i="192"/>
  <c r="I123" i="192"/>
  <c r="H123" i="192"/>
  <c r="G123" i="192"/>
  <c r="F123" i="192"/>
  <c r="E123" i="192"/>
  <c r="D123" i="192"/>
  <c r="C123" i="192"/>
  <c r="Q122" i="192"/>
  <c r="AD122" i="192" s="1"/>
  <c r="P122" i="192"/>
  <c r="AC122" i="192" s="1"/>
  <c r="O122" i="192"/>
  <c r="AB122" i="192" s="1"/>
  <c r="M122" i="192"/>
  <c r="Z122" i="192" s="1"/>
  <c r="L122" i="192"/>
  <c r="K122" i="192"/>
  <c r="J122" i="192"/>
  <c r="I122" i="192"/>
  <c r="H122" i="192"/>
  <c r="G122" i="192"/>
  <c r="F122" i="192"/>
  <c r="E122" i="192"/>
  <c r="D122" i="192"/>
  <c r="C122" i="192"/>
  <c r="Q121" i="192"/>
  <c r="AD121" i="192" s="1"/>
  <c r="P121" i="192"/>
  <c r="AC121" i="192" s="1"/>
  <c r="O121" i="192"/>
  <c r="AB121" i="192" s="1"/>
  <c r="M121" i="192"/>
  <c r="Z121" i="192" s="1"/>
  <c r="L121" i="192"/>
  <c r="K121" i="192"/>
  <c r="J121" i="192"/>
  <c r="I121" i="192"/>
  <c r="H121" i="192"/>
  <c r="G121" i="192"/>
  <c r="F121" i="192"/>
  <c r="E121" i="192"/>
  <c r="D121" i="192"/>
  <c r="C121" i="192"/>
  <c r="Q120" i="192"/>
  <c r="AD120" i="192" s="1"/>
  <c r="P120" i="192"/>
  <c r="AC120" i="192" s="1"/>
  <c r="O120" i="192"/>
  <c r="AB120" i="192" s="1"/>
  <c r="M120" i="192"/>
  <c r="Z120" i="192" s="1"/>
  <c r="L120" i="192"/>
  <c r="K120" i="192"/>
  <c r="J120" i="192"/>
  <c r="I120" i="192"/>
  <c r="H120" i="192"/>
  <c r="G120" i="192"/>
  <c r="F120" i="192"/>
  <c r="E120" i="192"/>
  <c r="D120" i="192"/>
  <c r="C120" i="192"/>
  <c r="Q119" i="192"/>
  <c r="AD119" i="192" s="1"/>
  <c r="P119" i="192"/>
  <c r="AC119" i="192" s="1"/>
  <c r="O119" i="192"/>
  <c r="AB119" i="192" s="1"/>
  <c r="M119" i="192"/>
  <c r="Z119" i="192" s="1"/>
  <c r="L119" i="192"/>
  <c r="K119" i="192"/>
  <c r="J119" i="192"/>
  <c r="I119" i="192"/>
  <c r="H119" i="192"/>
  <c r="G119" i="192"/>
  <c r="F119" i="192"/>
  <c r="E119" i="192"/>
  <c r="D119" i="192"/>
  <c r="C119" i="192"/>
  <c r="Q118" i="192"/>
  <c r="AD118" i="192" s="1"/>
  <c r="P118" i="192"/>
  <c r="AC118" i="192" s="1"/>
  <c r="O118" i="192"/>
  <c r="AB118" i="192" s="1"/>
  <c r="M118" i="192"/>
  <c r="Z118" i="192" s="1"/>
  <c r="L118" i="192"/>
  <c r="K118" i="192"/>
  <c r="J118" i="192"/>
  <c r="I118" i="192"/>
  <c r="H118" i="192"/>
  <c r="G118" i="192"/>
  <c r="F118" i="192"/>
  <c r="E118" i="192"/>
  <c r="D118" i="192"/>
  <c r="C118" i="192"/>
  <c r="Q117" i="192"/>
  <c r="AD117" i="192" s="1"/>
  <c r="P117" i="192"/>
  <c r="AC117" i="192" s="1"/>
  <c r="O117" i="192"/>
  <c r="AB117" i="192" s="1"/>
  <c r="M117" i="192"/>
  <c r="Z117" i="192" s="1"/>
  <c r="L117" i="192"/>
  <c r="K117" i="192"/>
  <c r="J117" i="192"/>
  <c r="I117" i="192"/>
  <c r="H117" i="192"/>
  <c r="G117" i="192"/>
  <c r="F117" i="192"/>
  <c r="E117" i="192"/>
  <c r="D117" i="192"/>
  <c r="C117" i="192"/>
  <c r="Q116" i="192"/>
  <c r="AD116" i="192" s="1"/>
  <c r="P116" i="192"/>
  <c r="AC116" i="192" s="1"/>
  <c r="O116" i="192"/>
  <c r="AB116" i="192" s="1"/>
  <c r="M116" i="192"/>
  <c r="Z116" i="192" s="1"/>
  <c r="L116" i="192"/>
  <c r="K116" i="192"/>
  <c r="J116" i="192"/>
  <c r="I116" i="192"/>
  <c r="H116" i="192"/>
  <c r="G116" i="192"/>
  <c r="F116" i="192"/>
  <c r="E116" i="192"/>
  <c r="D116" i="192"/>
  <c r="C116" i="192"/>
  <c r="Q115" i="192"/>
  <c r="AD115" i="192" s="1"/>
  <c r="P115" i="192"/>
  <c r="AC115" i="192" s="1"/>
  <c r="O115" i="192"/>
  <c r="AB115" i="192" s="1"/>
  <c r="M115" i="192"/>
  <c r="Z115" i="192" s="1"/>
  <c r="L115" i="192"/>
  <c r="K115" i="192"/>
  <c r="J115" i="192"/>
  <c r="I115" i="192"/>
  <c r="H115" i="192"/>
  <c r="G115" i="192"/>
  <c r="F115" i="192"/>
  <c r="E115" i="192"/>
  <c r="D115" i="192"/>
  <c r="C115" i="192"/>
  <c r="Q114" i="192"/>
  <c r="AD114" i="192" s="1"/>
  <c r="P114" i="192"/>
  <c r="AC114" i="192" s="1"/>
  <c r="O114" i="192"/>
  <c r="AB114" i="192" s="1"/>
  <c r="M114" i="192"/>
  <c r="Z114" i="192" s="1"/>
  <c r="L114" i="192"/>
  <c r="K114" i="192"/>
  <c r="J114" i="192"/>
  <c r="I114" i="192"/>
  <c r="H114" i="192"/>
  <c r="G114" i="192"/>
  <c r="F114" i="192"/>
  <c r="E114" i="192"/>
  <c r="D114" i="192"/>
  <c r="C114" i="192"/>
  <c r="Q113" i="192"/>
  <c r="AD113" i="192" s="1"/>
  <c r="P113" i="192"/>
  <c r="AC113" i="192" s="1"/>
  <c r="O113" i="192"/>
  <c r="AB113" i="192" s="1"/>
  <c r="M113" i="192"/>
  <c r="Z113" i="192" s="1"/>
  <c r="L113" i="192"/>
  <c r="K113" i="192"/>
  <c r="J113" i="192"/>
  <c r="I113" i="192"/>
  <c r="H113" i="192"/>
  <c r="G113" i="192"/>
  <c r="F113" i="192"/>
  <c r="E113" i="192"/>
  <c r="D113" i="192"/>
  <c r="C113" i="192"/>
  <c r="Q112" i="192"/>
  <c r="AD112" i="192" s="1"/>
  <c r="P112" i="192"/>
  <c r="AC112" i="192" s="1"/>
  <c r="O112" i="192"/>
  <c r="AB112" i="192" s="1"/>
  <c r="M112" i="192"/>
  <c r="Z112" i="192" s="1"/>
  <c r="L112" i="192"/>
  <c r="K112" i="192"/>
  <c r="J112" i="192"/>
  <c r="I112" i="192"/>
  <c r="H112" i="192"/>
  <c r="G112" i="192"/>
  <c r="F112" i="192"/>
  <c r="E112" i="192"/>
  <c r="D112" i="192"/>
  <c r="C112" i="192"/>
  <c r="Q111" i="192"/>
  <c r="AD111" i="192" s="1"/>
  <c r="P111" i="192"/>
  <c r="AC111" i="192" s="1"/>
  <c r="O111" i="192"/>
  <c r="AB111" i="192" s="1"/>
  <c r="M111" i="192"/>
  <c r="Z111" i="192" s="1"/>
  <c r="L111" i="192"/>
  <c r="K111" i="192"/>
  <c r="J111" i="192"/>
  <c r="I111" i="192"/>
  <c r="H111" i="192"/>
  <c r="G111" i="192"/>
  <c r="F111" i="192"/>
  <c r="E111" i="192"/>
  <c r="D111" i="192"/>
  <c r="C111" i="192"/>
  <c r="Q110" i="192"/>
  <c r="AD110" i="192" s="1"/>
  <c r="P110" i="192"/>
  <c r="AC110" i="192" s="1"/>
  <c r="O110" i="192"/>
  <c r="AB110" i="192" s="1"/>
  <c r="M110" i="192"/>
  <c r="Z110" i="192" s="1"/>
  <c r="L110" i="192"/>
  <c r="K110" i="192"/>
  <c r="J110" i="192"/>
  <c r="I110" i="192"/>
  <c r="H110" i="192"/>
  <c r="G110" i="192"/>
  <c r="F110" i="192"/>
  <c r="E110" i="192"/>
  <c r="D110" i="192"/>
  <c r="C110" i="192"/>
  <c r="Q109" i="192"/>
  <c r="AD109" i="192" s="1"/>
  <c r="P109" i="192"/>
  <c r="AC109" i="192" s="1"/>
  <c r="O109" i="192"/>
  <c r="AB109" i="192" s="1"/>
  <c r="M109" i="192"/>
  <c r="Z109" i="192" s="1"/>
  <c r="L109" i="192"/>
  <c r="K109" i="192"/>
  <c r="J109" i="192"/>
  <c r="I109" i="192"/>
  <c r="H109" i="192"/>
  <c r="G109" i="192"/>
  <c r="F109" i="192"/>
  <c r="E109" i="192"/>
  <c r="D109" i="192"/>
  <c r="C109" i="192"/>
  <c r="Q108" i="192"/>
  <c r="AD108" i="192" s="1"/>
  <c r="P108" i="192"/>
  <c r="AC108" i="192" s="1"/>
  <c r="O108" i="192"/>
  <c r="AB108" i="192" s="1"/>
  <c r="M108" i="192"/>
  <c r="Z108" i="192" s="1"/>
  <c r="L108" i="192"/>
  <c r="K108" i="192"/>
  <c r="J108" i="192"/>
  <c r="I108" i="192"/>
  <c r="H108" i="192"/>
  <c r="G108" i="192"/>
  <c r="F108" i="192"/>
  <c r="E108" i="192"/>
  <c r="D108" i="192"/>
  <c r="C108" i="192"/>
  <c r="Q107" i="192"/>
  <c r="AD107" i="192" s="1"/>
  <c r="P107" i="192"/>
  <c r="AC107" i="192" s="1"/>
  <c r="O107" i="192"/>
  <c r="AB107" i="192" s="1"/>
  <c r="M107" i="192"/>
  <c r="Z107" i="192" s="1"/>
  <c r="L107" i="192"/>
  <c r="K107" i="192"/>
  <c r="J107" i="192"/>
  <c r="I107" i="192"/>
  <c r="H107" i="192"/>
  <c r="G107" i="192"/>
  <c r="F107" i="192"/>
  <c r="E107" i="192"/>
  <c r="D107" i="192"/>
  <c r="C107" i="192"/>
  <c r="Q106" i="192"/>
  <c r="AD106" i="192" s="1"/>
  <c r="P106" i="192"/>
  <c r="AC106" i="192" s="1"/>
  <c r="O106" i="192"/>
  <c r="AB106" i="192" s="1"/>
  <c r="M106" i="192"/>
  <c r="Z106" i="192" s="1"/>
  <c r="L106" i="192"/>
  <c r="K106" i="192"/>
  <c r="J106" i="192"/>
  <c r="I106" i="192"/>
  <c r="H106" i="192"/>
  <c r="G106" i="192"/>
  <c r="F106" i="192"/>
  <c r="E106" i="192"/>
  <c r="D106" i="192"/>
  <c r="C106" i="192"/>
  <c r="Q105" i="192"/>
  <c r="AD105" i="192" s="1"/>
  <c r="P105" i="192"/>
  <c r="AC105" i="192" s="1"/>
  <c r="O105" i="192"/>
  <c r="AB105" i="192" s="1"/>
  <c r="M105" i="192"/>
  <c r="Z105" i="192" s="1"/>
  <c r="L105" i="192"/>
  <c r="K105" i="192"/>
  <c r="J105" i="192"/>
  <c r="I105" i="192"/>
  <c r="H105" i="192"/>
  <c r="G105" i="192"/>
  <c r="F105" i="192"/>
  <c r="E105" i="192"/>
  <c r="D105" i="192"/>
  <c r="C105" i="192"/>
  <c r="Q104" i="192"/>
  <c r="AD104" i="192" s="1"/>
  <c r="P104" i="192"/>
  <c r="AC104" i="192" s="1"/>
  <c r="O104" i="192"/>
  <c r="AB104" i="192" s="1"/>
  <c r="M104" i="192"/>
  <c r="Z104" i="192" s="1"/>
  <c r="L104" i="192"/>
  <c r="K104" i="192"/>
  <c r="J104" i="192"/>
  <c r="I104" i="192"/>
  <c r="H104" i="192"/>
  <c r="G104" i="192"/>
  <c r="F104" i="192"/>
  <c r="E104" i="192"/>
  <c r="D104" i="192"/>
  <c r="C104" i="192"/>
  <c r="Q103" i="192"/>
  <c r="AD103" i="192" s="1"/>
  <c r="P103" i="192"/>
  <c r="AC103" i="192" s="1"/>
  <c r="O103" i="192"/>
  <c r="AB103" i="192" s="1"/>
  <c r="M103" i="192"/>
  <c r="Z103" i="192" s="1"/>
  <c r="L103" i="192"/>
  <c r="K103" i="192"/>
  <c r="J103" i="192"/>
  <c r="I103" i="192"/>
  <c r="H103" i="192"/>
  <c r="G103" i="192"/>
  <c r="F103" i="192"/>
  <c r="E103" i="192"/>
  <c r="D103" i="192"/>
  <c r="C103" i="192"/>
  <c r="Q102" i="192"/>
  <c r="AD102" i="192" s="1"/>
  <c r="P102" i="192"/>
  <c r="AC102" i="192" s="1"/>
  <c r="O102" i="192"/>
  <c r="AB102" i="192" s="1"/>
  <c r="M102" i="192"/>
  <c r="Z102" i="192" s="1"/>
  <c r="L102" i="192"/>
  <c r="K102" i="192"/>
  <c r="J102" i="192"/>
  <c r="I102" i="192"/>
  <c r="H102" i="192"/>
  <c r="G102" i="192"/>
  <c r="F102" i="192"/>
  <c r="E102" i="192"/>
  <c r="D102" i="192"/>
  <c r="C102" i="192"/>
  <c r="Q101" i="192"/>
  <c r="AD101" i="192" s="1"/>
  <c r="P101" i="192"/>
  <c r="AC101" i="192" s="1"/>
  <c r="O101" i="192"/>
  <c r="AB101" i="192" s="1"/>
  <c r="M101" i="192"/>
  <c r="Z101" i="192" s="1"/>
  <c r="L101" i="192"/>
  <c r="K101" i="192"/>
  <c r="J101" i="192"/>
  <c r="I101" i="192"/>
  <c r="H101" i="192"/>
  <c r="G101" i="192"/>
  <c r="F101" i="192"/>
  <c r="E101" i="192"/>
  <c r="D101" i="192"/>
  <c r="C101" i="192"/>
  <c r="Q100" i="192"/>
  <c r="AD100" i="192" s="1"/>
  <c r="P100" i="192"/>
  <c r="AC100" i="192" s="1"/>
  <c r="O100" i="192"/>
  <c r="AB100" i="192" s="1"/>
  <c r="M100" i="192"/>
  <c r="Z100" i="192" s="1"/>
  <c r="L100" i="192"/>
  <c r="K100" i="192"/>
  <c r="J100" i="192"/>
  <c r="I100" i="192"/>
  <c r="H100" i="192"/>
  <c r="G100" i="192"/>
  <c r="F100" i="192"/>
  <c r="E100" i="192"/>
  <c r="D100" i="192"/>
  <c r="C100" i="192"/>
  <c r="Q99" i="192"/>
  <c r="AD99" i="192" s="1"/>
  <c r="P99" i="192"/>
  <c r="AC99" i="192" s="1"/>
  <c r="O99" i="192"/>
  <c r="AB99" i="192" s="1"/>
  <c r="M99" i="192"/>
  <c r="Z99" i="192" s="1"/>
  <c r="L99" i="192"/>
  <c r="K99" i="192"/>
  <c r="J99" i="192"/>
  <c r="I99" i="192"/>
  <c r="H99" i="192"/>
  <c r="G99" i="192"/>
  <c r="F99" i="192"/>
  <c r="E99" i="192"/>
  <c r="D99" i="192"/>
  <c r="C99" i="192"/>
  <c r="Q98" i="192"/>
  <c r="AD98" i="192" s="1"/>
  <c r="P98" i="192"/>
  <c r="AC98" i="192" s="1"/>
  <c r="O98" i="192"/>
  <c r="AB98" i="192" s="1"/>
  <c r="M98" i="192"/>
  <c r="Z98" i="192" s="1"/>
  <c r="L98" i="192"/>
  <c r="K98" i="192"/>
  <c r="J98" i="192"/>
  <c r="I98" i="192"/>
  <c r="H98" i="192"/>
  <c r="G98" i="192"/>
  <c r="F98" i="192"/>
  <c r="E98" i="192"/>
  <c r="D98" i="192"/>
  <c r="C98" i="192"/>
  <c r="Q97" i="192"/>
  <c r="AD97" i="192" s="1"/>
  <c r="P97" i="192"/>
  <c r="AC97" i="192" s="1"/>
  <c r="O97" i="192"/>
  <c r="AB97" i="192" s="1"/>
  <c r="M97" i="192"/>
  <c r="Z97" i="192" s="1"/>
  <c r="L97" i="192"/>
  <c r="K97" i="192"/>
  <c r="J97" i="192"/>
  <c r="I97" i="192"/>
  <c r="H97" i="192"/>
  <c r="G97" i="192"/>
  <c r="F97" i="192"/>
  <c r="E97" i="192"/>
  <c r="D97" i="192"/>
  <c r="C97" i="192"/>
  <c r="Q96" i="192"/>
  <c r="AD96" i="192" s="1"/>
  <c r="P96" i="192"/>
  <c r="AC96" i="192" s="1"/>
  <c r="O96" i="192"/>
  <c r="AB96" i="192" s="1"/>
  <c r="M96" i="192"/>
  <c r="Z96" i="192" s="1"/>
  <c r="L96" i="192"/>
  <c r="K96" i="192"/>
  <c r="J96" i="192"/>
  <c r="I96" i="192"/>
  <c r="H96" i="192"/>
  <c r="G96" i="192"/>
  <c r="F96" i="192"/>
  <c r="E96" i="192"/>
  <c r="D96" i="192"/>
  <c r="C96" i="192"/>
  <c r="Q95" i="192"/>
  <c r="AD95" i="192" s="1"/>
  <c r="P95" i="192"/>
  <c r="AC95" i="192" s="1"/>
  <c r="O95" i="192"/>
  <c r="AB95" i="192" s="1"/>
  <c r="M95" i="192"/>
  <c r="Z95" i="192" s="1"/>
  <c r="L95" i="192"/>
  <c r="K95" i="192"/>
  <c r="J95" i="192"/>
  <c r="I95" i="192"/>
  <c r="H95" i="192"/>
  <c r="G95" i="192"/>
  <c r="F95" i="192"/>
  <c r="E95" i="192"/>
  <c r="D95" i="192"/>
  <c r="C95" i="192"/>
  <c r="Q94" i="192"/>
  <c r="AD94" i="192" s="1"/>
  <c r="P94" i="192"/>
  <c r="AC94" i="192" s="1"/>
  <c r="O94" i="192"/>
  <c r="AB94" i="192" s="1"/>
  <c r="M94" i="192"/>
  <c r="Z94" i="192" s="1"/>
  <c r="L94" i="192"/>
  <c r="K94" i="192"/>
  <c r="J94" i="192"/>
  <c r="I94" i="192"/>
  <c r="H94" i="192"/>
  <c r="G94" i="192"/>
  <c r="F94" i="192"/>
  <c r="E94" i="192"/>
  <c r="D94" i="192"/>
  <c r="C94" i="192"/>
  <c r="Q93" i="192"/>
  <c r="AD93" i="192" s="1"/>
  <c r="P93" i="192"/>
  <c r="AC93" i="192" s="1"/>
  <c r="O93" i="192"/>
  <c r="AB93" i="192" s="1"/>
  <c r="M93" i="192"/>
  <c r="Z93" i="192" s="1"/>
  <c r="L93" i="192"/>
  <c r="K93" i="192"/>
  <c r="J93" i="192"/>
  <c r="I93" i="192"/>
  <c r="H93" i="192"/>
  <c r="G93" i="192"/>
  <c r="F93" i="192"/>
  <c r="E93" i="192"/>
  <c r="D93" i="192"/>
  <c r="C93" i="192"/>
  <c r="Q92" i="192"/>
  <c r="AD92" i="192" s="1"/>
  <c r="P92" i="192"/>
  <c r="AC92" i="192" s="1"/>
  <c r="O92" i="192"/>
  <c r="AB92" i="192" s="1"/>
  <c r="M92" i="192"/>
  <c r="Z92" i="192" s="1"/>
  <c r="L92" i="192"/>
  <c r="K92" i="192"/>
  <c r="J92" i="192"/>
  <c r="I92" i="192"/>
  <c r="H92" i="192"/>
  <c r="G92" i="192"/>
  <c r="F92" i="192"/>
  <c r="E92" i="192"/>
  <c r="D92" i="192"/>
  <c r="C92" i="192"/>
  <c r="Q91" i="192"/>
  <c r="AD91" i="192" s="1"/>
  <c r="P91" i="192"/>
  <c r="AC91" i="192" s="1"/>
  <c r="O91" i="192"/>
  <c r="AB91" i="192" s="1"/>
  <c r="M91" i="192"/>
  <c r="Z91" i="192" s="1"/>
  <c r="L91" i="192"/>
  <c r="K91" i="192"/>
  <c r="J91" i="192"/>
  <c r="I91" i="192"/>
  <c r="H91" i="192"/>
  <c r="G91" i="192"/>
  <c r="F91" i="192"/>
  <c r="E91" i="192"/>
  <c r="D91" i="192"/>
  <c r="C91" i="192"/>
  <c r="Q90" i="192"/>
  <c r="AD90" i="192" s="1"/>
  <c r="P90" i="192"/>
  <c r="AC90" i="192" s="1"/>
  <c r="O90" i="192"/>
  <c r="AB90" i="192" s="1"/>
  <c r="M90" i="192"/>
  <c r="Z90" i="192" s="1"/>
  <c r="L90" i="192"/>
  <c r="K90" i="192"/>
  <c r="J90" i="192"/>
  <c r="I90" i="192"/>
  <c r="H90" i="192"/>
  <c r="G90" i="192"/>
  <c r="F90" i="192"/>
  <c r="E90" i="192"/>
  <c r="D90" i="192"/>
  <c r="C90" i="192"/>
  <c r="Q89" i="192"/>
  <c r="AD89" i="192" s="1"/>
  <c r="P89" i="192"/>
  <c r="AC89" i="192" s="1"/>
  <c r="O89" i="192"/>
  <c r="AB89" i="192" s="1"/>
  <c r="M89" i="192"/>
  <c r="Z89" i="192" s="1"/>
  <c r="L89" i="192"/>
  <c r="K89" i="192"/>
  <c r="J89" i="192"/>
  <c r="I89" i="192"/>
  <c r="H89" i="192"/>
  <c r="G89" i="192"/>
  <c r="F89" i="192"/>
  <c r="E89" i="192"/>
  <c r="D89" i="192"/>
  <c r="C89" i="192"/>
  <c r="Q88" i="192"/>
  <c r="AD88" i="192" s="1"/>
  <c r="P88" i="192"/>
  <c r="AC88" i="192" s="1"/>
  <c r="O88" i="192"/>
  <c r="AB88" i="192" s="1"/>
  <c r="M88" i="192"/>
  <c r="Z88" i="192" s="1"/>
  <c r="L88" i="192"/>
  <c r="K88" i="192"/>
  <c r="J88" i="192"/>
  <c r="I88" i="192"/>
  <c r="H88" i="192"/>
  <c r="G88" i="192"/>
  <c r="F88" i="192"/>
  <c r="E88" i="192"/>
  <c r="D88" i="192"/>
  <c r="C88" i="192"/>
  <c r="Q87" i="192"/>
  <c r="AD87" i="192" s="1"/>
  <c r="P87" i="192"/>
  <c r="AC87" i="192" s="1"/>
  <c r="O87" i="192"/>
  <c r="AB87" i="192" s="1"/>
  <c r="M87" i="192"/>
  <c r="Z87" i="192" s="1"/>
  <c r="L87" i="192"/>
  <c r="K87" i="192"/>
  <c r="J87" i="192"/>
  <c r="I87" i="192"/>
  <c r="H87" i="192"/>
  <c r="G87" i="192"/>
  <c r="F87" i="192"/>
  <c r="E87" i="192"/>
  <c r="D87" i="192"/>
  <c r="C87" i="192"/>
  <c r="Q86" i="192"/>
  <c r="AD86" i="192" s="1"/>
  <c r="P86" i="192"/>
  <c r="AC86" i="192" s="1"/>
  <c r="O86" i="192"/>
  <c r="AB86" i="192" s="1"/>
  <c r="M86" i="192"/>
  <c r="Z86" i="192" s="1"/>
  <c r="L86" i="192"/>
  <c r="K86" i="192"/>
  <c r="J86" i="192"/>
  <c r="I86" i="192"/>
  <c r="H86" i="192"/>
  <c r="G86" i="192"/>
  <c r="F86" i="192"/>
  <c r="E86" i="192"/>
  <c r="D86" i="192"/>
  <c r="C86" i="192"/>
  <c r="Q85" i="192"/>
  <c r="AD85" i="192" s="1"/>
  <c r="P85" i="192"/>
  <c r="AC85" i="192" s="1"/>
  <c r="O85" i="192"/>
  <c r="AB85" i="192" s="1"/>
  <c r="M85" i="192"/>
  <c r="Z85" i="192" s="1"/>
  <c r="L85" i="192"/>
  <c r="K85" i="192"/>
  <c r="J85" i="192"/>
  <c r="I85" i="192"/>
  <c r="H85" i="192"/>
  <c r="G85" i="192"/>
  <c r="F85" i="192"/>
  <c r="E85" i="192"/>
  <c r="D85" i="192"/>
  <c r="C85" i="192"/>
  <c r="Q84" i="192"/>
  <c r="AD84" i="192" s="1"/>
  <c r="P84" i="192"/>
  <c r="AC84" i="192" s="1"/>
  <c r="O84" i="192"/>
  <c r="AB84" i="192" s="1"/>
  <c r="M84" i="192"/>
  <c r="Z84" i="192" s="1"/>
  <c r="L84" i="192"/>
  <c r="K84" i="192"/>
  <c r="J84" i="192"/>
  <c r="I84" i="192"/>
  <c r="H84" i="192"/>
  <c r="G84" i="192"/>
  <c r="F84" i="192"/>
  <c r="E84" i="192"/>
  <c r="D84" i="192"/>
  <c r="C84" i="192"/>
  <c r="Q83" i="192"/>
  <c r="AD83" i="192" s="1"/>
  <c r="P83" i="192"/>
  <c r="AC83" i="192" s="1"/>
  <c r="O83" i="192"/>
  <c r="AB83" i="192" s="1"/>
  <c r="M83" i="192"/>
  <c r="Z83" i="192" s="1"/>
  <c r="L83" i="192"/>
  <c r="K83" i="192"/>
  <c r="J83" i="192"/>
  <c r="I83" i="192"/>
  <c r="H83" i="192"/>
  <c r="G83" i="192"/>
  <c r="F83" i="192"/>
  <c r="E83" i="192"/>
  <c r="D83" i="192"/>
  <c r="C83" i="192"/>
  <c r="Q82" i="192"/>
  <c r="AD82" i="192" s="1"/>
  <c r="P82" i="192"/>
  <c r="AC82" i="192" s="1"/>
  <c r="O82" i="192"/>
  <c r="AB82" i="192" s="1"/>
  <c r="M82" i="192"/>
  <c r="Z82" i="192" s="1"/>
  <c r="L82" i="192"/>
  <c r="K82" i="192"/>
  <c r="J82" i="192"/>
  <c r="I82" i="192"/>
  <c r="H82" i="192"/>
  <c r="G82" i="192"/>
  <c r="F82" i="192"/>
  <c r="E82" i="192"/>
  <c r="D82" i="192"/>
  <c r="C82" i="192"/>
  <c r="Q81" i="192"/>
  <c r="AD81" i="192" s="1"/>
  <c r="P81" i="192"/>
  <c r="AC81" i="192" s="1"/>
  <c r="O81" i="192"/>
  <c r="AB81" i="192" s="1"/>
  <c r="M81" i="192"/>
  <c r="Z81" i="192" s="1"/>
  <c r="L81" i="192"/>
  <c r="K81" i="192"/>
  <c r="J81" i="192"/>
  <c r="I81" i="192"/>
  <c r="H81" i="192"/>
  <c r="G81" i="192"/>
  <c r="F81" i="192"/>
  <c r="E81" i="192"/>
  <c r="D81" i="192"/>
  <c r="C81" i="192"/>
  <c r="Q80" i="192"/>
  <c r="AD80" i="192" s="1"/>
  <c r="P80" i="192"/>
  <c r="AC80" i="192" s="1"/>
  <c r="O80" i="192"/>
  <c r="AB80" i="192" s="1"/>
  <c r="M80" i="192"/>
  <c r="Z80" i="192" s="1"/>
  <c r="L80" i="192"/>
  <c r="K80" i="192"/>
  <c r="J80" i="192"/>
  <c r="I80" i="192"/>
  <c r="H80" i="192"/>
  <c r="G80" i="192"/>
  <c r="F80" i="192"/>
  <c r="E80" i="192"/>
  <c r="D80" i="192"/>
  <c r="C80" i="192"/>
  <c r="Q79" i="192"/>
  <c r="AD79" i="192" s="1"/>
  <c r="P79" i="192"/>
  <c r="AC79" i="192" s="1"/>
  <c r="O79" i="192"/>
  <c r="AB79" i="192" s="1"/>
  <c r="M79" i="192"/>
  <c r="Z79" i="192" s="1"/>
  <c r="L79" i="192"/>
  <c r="K79" i="192"/>
  <c r="J79" i="192"/>
  <c r="I79" i="192"/>
  <c r="H79" i="192"/>
  <c r="G79" i="192"/>
  <c r="F79" i="192"/>
  <c r="E79" i="192"/>
  <c r="D79" i="192"/>
  <c r="C79" i="192"/>
  <c r="Q78" i="192"/>
  <c r="AD78" i="192" s="1"/>
  <c r="P78" i="192"/>
  <c r="AC78" i="192" s="1"/>
  <c r="O78" i="192"/>
  <c r="AB78" i="192" s="1"/>
  <c r="M78" i="192"/>
  <c r="Z78" i="192" s="1"/>
  <c r="L78" i="192"/>
  <c r="K78" i="192"/>
  <c r="J78" i="192"/>
  <c r="I78" i="192"/>
  <c r="H78" i="192"/>
  <c r="G78" i="192"/>
  <c r="F78" i="192"/>
  <c r="E78" i="192"/>
  <c r="D78" i="192"/>
  <c r="C78" i="192"/>
  <c r="Q77" i="192"/>
  <c r="AD77" i="192" s="1"/>
  <c r="P77" i="192"/>
  <c r="AC77" i="192" s="1"/>
  <c r="O77" i="192"/>
  <c r="AB77" i="192" s="1"/>
  <c r="M77" i="192"/>
  <c r="Z77" i="192" s="1"/>
  <c r="L77" i="192"/>
  <c r="K77" i="192"/>
  <c r="J77" i="192"/>
  <c r="I77" i="192"/>
  <c r="H77" i="192"/>
  <c r="G77" i="192"/>
  <c r="F77" i="192"/>
  <c r="E77" i="192"/>
  <c r="D77" i="192"/>
  <c r="C77" i="192"/>
  <c r="Q76" i="192"/>
  <c r="AD76" i="192" s="1"/>
  <c r="P76" i="192"/>
  <c r="AC76" i="192" s="1"/>
  <c r="O76" i="192"/>
  <c r="AB76" i="192" s="1"/>
  <c r="M76" i="192"/>
  <c r="Z76" i="192" s="1"/>
  <c r="L76" i="192"/>
  <c r="K76" i="192"/>
  <c r="J76" i="192"/>
  <c r="I76" i="192"/>
  <c r="H76" i="192"/>
  <c r="G76" i="192"/>
  <c r="F76" i="192"/>
  <c r="E76" i="192"/>
  <c r="D76" i="192"/>
  <c r="C76" i="192"/>
  <c r="Q75" i="192"/>
  <c r="AD75" i="192" s="1"/>
  <c r="P75" i="192"/>
  <c r="AC75" i="192" s="1"/>
  <c r="O75" i="192"/>
  <c r="AB75" i="192" s="1"/>
  <c r="M75" i="192"/>
  <c r="Z75" i="192" s="1"/>
  <c r="L75" i="192"/>
  <c r="K75" i="192"/>
  <c r="J75" i="192"/>
  <c r="I75" i="192"/>
  <c r="H75" i="192"/>
  <c r="G75" i="192"/>
  <c r="F75" i="192"/>
  <c r="E75" i="192"/>
  <c r="D75" i="192"/>
  <c r="C75" i="192"/>
  <c r="Q74" i="192"/>
  <c r="AD74" i="192" s="1"/>
  <c r="P74" i="192"/>
  <c r="AC74" i="192" s="1"/>
  <c r="O74" i="192"/>
  <c r="AB74" i="192" s="1"/>
  <c r="M74" i="192"/>
  <c r="Z74" i="192" s="1"/>
  <c r="L74" i="192"/>
  <c r="K74" i="192"/>
  <c r="J74" i="192"/>
  <c r="I74" i="192"/>
  <c r="H74" i="192"/>
  <c r="G74" i="192"/>
  <c r="F74" i="192"/>
  <c r="E74" i="192"/>
  <c r="D74" i="192"/>
  <c r="C74" i="192"/>
  <c r="Q73" i="192"/>
  <c r="AD73" i="192" s="1"/>
  <c r="P73" i="192"/>
  <c r="AC73" i="192" s="1"/>
  <c r="O73" i="192"/>
  <c r="AB73" i="192" s="1"/>
  <c r="M73" i="192"/>
  <c r="Z73" i="192" s="1"/>
  <c r="L73" i="192"/>
  <c r="K73" i="192"/>
  <c r="J73" i="192"/>
  <c r="I73" i="192"/>
  <c r="H73" i="192"/>
  <c r="G73" i="192"/>
  <c r="F73" i="192"/>
  <c r="E73" i="192"/>
  <c r="D73" i="192"/>
  <c r="C73" i="192"/>
  <c r="Q72" i="192"/>
  <c r="AD72" i="192" s="1"/>
  <c r="P72" i="192"/>
  <c r="AC72" i="192" s="1"/>
  <c r="O72" i="192"/>
  <c r="AB72" i="192" s="1"/>
  <c r="M72" i="192"/>
  <c r="Z72" i="192" s="1"/>
  <c r="L72" i="192"/>
  <c r="K72" i="192"/>
  <c r="J72" i="192"/>
  <c r="I72" i="192"/>
  <c r="H72" i="192"/>
  <c r="G72" i="192"/>
  <c r="F72" i="192"/>
  <c r="E72" i="192"/>
  <c r="D72" i="192"/>
  <c r="C72" i="192"/>
  <c r="Q71" i="192"/>
  <c r="AD71" i="192" s="1"/>
  <c r="P71" i="192"/>
  <c r="AC71" i="192" s="1"/>
  <c r="O71" i="192"/>
  <c r="AB71" i="192" s="1"/>
  <c r="M71" i="192"/>
  <c r="Z71" i="192" s="1"/>
  <c r="L71" i="192"/>
  <c r="K71" i="192"/>
  <c r="J71" i="192"/>
  <c r="I71" i="192"/>
  <c r="H71" i="192"/>
  <c r="G71" i="192"/>
  <c r="F71" i="192"/>
  <c r="E71" i="192"/>
  <c r="D71" i="192"/>
  <c r="C71" i="192"/>
  <c r="Q70" i="192"/>
  <c r="AD70" i="192" s="1"/>
  <c r="P70" i="192"/>
  <c r="AC70" i="192" s="1"/>
  <c r="O70" i="192"/>
  <c r="AB70" i="192" s="1"/>
  <c r="M70" i="192"/>
  <c r="Z70" i="192" s="1"/>
  <c r="L70" i="192"/>
  <c r="K70" i="192"/>
  <c r="J70" i="192"/>
  <c r="I70" i="192"/>
  <c r="H70" i="192"/>
  <c r="G70" i="192"/>
  <c r="F70" i="192"/>
  <c r="E70" i="192"/>
  <c r="D70" i="192"/>
  <c r="C70" i="192"/>
  <c r="Q69" i="192"/>
  <c r="AD69" i="192" s="1"/>
  <c r="P69" i="192"/>
  <c r="AC69" i="192" s="1"/>
  <c r="O69" i="192"/>
  <c r="AB69" i="192" s="1"/>
  <c r="M69" i="192"/>
  <c r="Z69" i="192" s="1"/>
  <c r="L69" i="192"/>
  <c r="K69" i="192"/>
  <c r="J69" i="192"/>
  <c r="I69" i="192"/>
  <c r="H69" i="192"/>
  <c r="G69" i="192"/>
  <c r="F69" i="192"/>
  <c r="E69" i="192"/>
  <c r="D69" i="192"/>
  <c r="C69" i="192"/>
  <c r="Q68" i="192"/>
  <c r="AD68" i="192" s="1"/>
  <c r="P68" i="192"/>
  <c r="AC68" i="192" s="1"/>
  <c r="O68" i="192"/>
  <c r="AB68" i="192" s="1"/>
  <c r="M68" i="192"/>
  <c r="Z68" i="192" s="1"/>
  <c r="L68" i="192"/>
  <c r="K68" i="192"/>
  <c r="J68" i="192"/>
  <c r="I68" i="192"/>
  <c r="H68" i="192"/>
  <c r="G68" i="192"/>
  <c r="F68" i="192"/>
  <c r="E68" i="192"/>
  <c r="D68" i="192"/>
  <c r="C68" i="192"/>
  <c r="Q67" i="192"/>
  <c r="AD67" i="192" s="1"/>
  <c r="P67" i="192"/>
  <c r="AC67" i="192" s="1"/>
  <c r="O67" i="192"/>
  <c r="AB67" i="192" s="1"/>
  <c r="M67" i="192"/>
  <c r="Z67" i="192" s="1"/>
  <c r="L67" i="192"/>
  <c r="K67" i="192"/>
  <c r="J67" i="192"/>
  <c r="I67" i="192"/>
  <c r="H67" i="192"/>
  <c r="G67" i="192"/>
  <c r="F67" i="192"/>
  <c r="E67" i="192"/>
  <c r="D67" i="192"/>
  <c r="C67" i="192"/>
  <c r="Q66" i="192"/>
  <c r="AD66" i="192" s="1"/>
  <c r="P66" i="192"/>
  <c r="AC66" i="192" s="1"/>
  <c r="O66" i="192"/>
  <c r="AB66" i="192" s="1"/>
  <c r="M66" i="192"/>
  <c r="Z66" i="192" s="1"/>
  <c r="L66" i="192"/>
  <c r="K66" i="192"/>
  <c r="J66" i="192"/>
  <c r="I66" i="192"/>
  <c r="H66" i="192"/>
  <c r="G66" i="192"/>
  <c r="F66" i="192"/>
  <c r="E66" i="192"/>
  <c r="D66" i="192"/>
  <c r="C66" i="192"/>
  <c r="Q65" i="192"/>
  <c r="AD65" i="192" s="1"/>
  <c r="P65" i="192"/>
  <c r="AC65" i="192" s="1"/>
  <c r="O65" i="192"/>
  <c r="AB65" i="192" s="1"/>
  <c r="M65" i="192"/>
  <c r="Z65" i="192" s="1"/>
  <c r="L65" i="192"/>
  <c r="K65" i="192"/>
  <c r="J65" i="192"/>
  <c r="I65" i="192"/>
  <c r="H65" i="192"/>
  <c r="G65" i="192"/>
  <c r="F65" i="192"/>
  <c r="E65" i="192"/>
  <c r="D65" i="192"/>
  <c r="C65" i="192"/>
  <c r="Q64" i="192"/>
  <c r="AD64" i="192" s="1"/>
  <c r="P64" i="192"/>
  <c r="AC64" i="192" s="1"/>
  <c r="O64" i="192"/>
  <c r="AB64" i="192" s="1"/>
  <c r="M64" i="192"/>
  <c r="Z64" i="192" s="1"/>
  <c r="L64" i="192"/>
  <c r="K64" i="192"/>
  <c r="J64" i="192"/>
  <c r="I64" i="192"/>
  <c r="H64" i="192"/>
  <c r="G64" i="192"/>
  <c r="F64" i="192"/>
  <c r="E64" i="192"/>
  <c r="D64" i="192"/>
  <c r="C64" i="192"/>
  <c r="Q63" i="192"/>
  <c r="AD63" i="192" s="1"/>
  <c r="P63" i="192"/>
  <c r="AC63" i="192" s="1"/>
  <c r="O63" i="192"/>
  <c r="AB63" i="192" s="1"/>
  <c r="M63" i="192"/>
  <c r="Z63" i="192" s="1"/>
  <c r="L63" i="192"/>
  <c r="K63" i="192"/>
  <c r="J63" i="192"/>
  <c r="I63" i="192"/>
  <c r="H63" i="192"/>
  <c r="G63" i="192"/>
  <c r="F63" i="192"/>
  <c r="E63" i="192"/>
  <c r="D63" i="192"/>
  <c r="C63" i="192"/>
  <c r="Q62" i="192"/>
  <c r="AD62" i="192" s="1"/>
  <c r="P62" i="192"/>
  <c r="AC62" i="192" s="1"/>
  <c r="O62" i="192"/>
  <c r="AB62" i="192" s="1"/>
  <c r="M62" i="192"/>
  <c r="Z62" i="192" s="1"/>
  <c r="L62" i="192"/>
  <c r="K62" i="192"/>
  <c r="J62" i="192"/>
  <c r="I62" i="192"/>
  <c r="H62" i="192"/>
  <c r="G62" i="192"/>
  <c r="F62" i="192"/>
  <c r="E62" i="192"/>
  <c r="D62" i="192"/>
  <c r="C62" i="192"/>
  <c r="Q61" i="192"/>
  <c r="AD61" i="192" s="1"/>
  <c r="P61" i="192"/>
  <c r="AC61" i="192" s="1"/>
  <c r="O61" i="192"/>
  <c r="AB61" i="192" s="1"/>
  <c r="M61" i="192"/>
  <c r="Z61" i="192" s="1"/>
  <c r="L61" i="192"/>
  <c r="K61" i="192"/>
  <c r="J61" i="192"/>
  <c r="I61" i="192"/>
  <c r="H61" i="192"/>
  <c r="G61" i="192"/>
  <c r="F61" i="192"/>
  <c r="E61" i="192"/>
  <c r="D61" i="192"/>
  <c r="C61" i="192"/>
  <c r="Q60" i="192"/>
  <c r="AD60" i="192" s="1"/>
  <c r="P60" i="192"/>
  <c r="AC60" i="192" s="1"/>
  <c r="O60" i="192"/>
  <c r="AB60" i="192" s="1"/>
  <c r="M60" i="192"/>
  <c r="Z60" i="192" s="1"/>
  <c r="L60" i="192"/>
  <c r="K60" i="192"/>
  <c r="J60" i="192"/>
  <c r="I60" i="192"/>
  <c r="H60" i="192"/>
  <c r="G60" i="192"/>
  <c r="F60" i="192"/>
  <c r="E60" i="192"/>
  <c r="D60" i="192"/>
  <c r="C60" i="192"/>
  <c r="Q59" i="192"/>
  <c r="AD59" i="192" s="1"/>
  <c r="P59" i="192"/>
  <c r="AC59" i="192" s="1"/>
  <c r="O59" i="192"/>
  <c r="AB59" i="192" s="1"/>
  <c r="M59" i="192"/>
  <c r="Z59" i="192" s="1"/>
  <c r="L59" i="192"/>
  <c r="K59" i="192"/>
  <c r="J59" i="192"/>
  <c r="I59" i="192"/>
  <c r="H59" i="192"/>
  <c r="G59" i="192"/>
  <c r="F59" i="192"/>
  <c r="E59" i="192"/>
  <c r="D59" i="192"/>
  <c r="C59" i="192"/>
  <c r="Q58" i="192"/>
  <c r="AD58" i="192" s="1"/>
  <c r="P58" i="192"/>
  <c r="AC58" i="192" s="1"/>
  <c r="O58" i="192"/>
  <c r="AB58" i="192" s="1"/>
  <c r="M58" i="192"/>
  <c r="Z58" i="192" s="1"/>
  <c r="L58" i="192"/>
  <c r="K58" i="192"/>
  <c r="J58" i="192"/>
  <c r="I58" i="192"/>
  <c r="H58" i="192"/>
  <c r="G58" i="192"/>
  <c r="F58" i="192"/>
  <c r="E58" i="192"/>
  <c r="D58" i="192"/>
  <c r="C58" i="192"/>
  <c r="Q57" i="192"/>
  <c r="AD57" i="192" s="1"/>
  <c r="P57" i="192"/>
  <c r="AC57" i="192" s="1"/>
  <c r="O57" i="192"/>
  <c r="AB57" i="192" s="1"/>
  <c r="M57" i="192"/>
  <c r="Z57" i="192" s="1"/>
  <c r="L57" i="192"/>
  <c r="K57" i="192"/>
  <c r="J57" i="192"/>
  <c r="I57" i="192"/>
  <c r="H57" i="192"/>
  <c r="G57" i="192"/>
  <c r="F57" i="192"/>
  <c r="E57" i="192"/>
  <c r="D57" i="192"/>
  <c r="C57" i="192"/>
  <c r="Q56" i="192"/>
  <c r="AD56" i="192" s="1"/>
  <c r="P56" i="192"/>
  <c r="AC56" i="192" s="1"/>
  <c r="O56" i="192"/>
  <c r="AB56" i="192" s="1"/>
  <c r="M56" i="192"/>
  <c r="Z56" i="192" s="1"/>
  <c r="L56" i="192"/>
  <c r="K56" i="192"/>
  <c r="J56" i="192"/>
  <c r="I56" i="192"/>
  <c r="H56" i="192"/>
  <c r="G56" i="192"/>
  <c r="F56" i="192"/>
  <c r="E56" i="192"/>
  <c r="D56" i="192"/>
  <c r="C56" i="192"/>
  <c r="Q55" i="192"/>
  <c r="AD55" i="192" s="1"/>
  <c r="P55" i="192"/>
  <c r="AC55" i="192" s="1"/>
  <c r="O55" i="192"/>
  <c r="AB55" i="192" s="1"/>
  <c r="M55" i="192"/>
  <c r="Z55" i="192" s="1"/>
  <c r="L55" i="192"/>
  <c r="K55" i="192"/>
  <c r="J55" i="192"/>
  <c r="I55" i="192"/>
  <c r="H55" i="192"/>
  <c r="G55" i="192"/>
  <c r="F55" i="192"/>
  <c r="E55" i="192"/>
  <c r="D55" i="192"/>
  <c r="C55" i="192"/>
  <c r="Q54" i="192"/>
  <c r="AD54" i="192" s="1"/>
  <c r="P54" i="192"/>
  <c r="AC54" i="192" s="1"/>
  <c r="O54" i="192"/>
  <c r="AB54" i="192" s="1"/>
  <c r="M54" i="192"/>
  <c r="Z54" i="192" s="1"/>
  <c r="L54" i="192"/>
  <c r="K54" i="192"/>
  <c r="J54" i="192"/>
  <c r="I54" i="192"/>
  <c r="H54" i="192"/>
  <c r="G54" i="192"/>
  <c r="F54" i="192"/>
  <c r="E54" i="192"/>
  <c r="D54" i="192"/>
  <c r="C54" i="192"/>
  <c r="Q53" i="192"/>
  <c r="AD53" i="192" s="1"/>
  <c r="P53" i="192"/>
  <c r="AC53" i="192" s="1"/>
  <c r="O53" i="192"/>
  <c r="AB53" i="192" s="1"/>
  <c r="M53" i="192"/>
  <c r="Z53" i="192" s="1"/>
  <c r="L53" i="192"/>
  <c r="K53" i="192"/>
  <c r="J53" i="192"/>
  <c r="I53" i="192"/>
  <c r="H53" i="192"/>
  <c r="G53" i="192"/>
  <c r="F53" i="192"/>
  <c r="E53" i="192"/>
  <c r="D53" i="192"/>
  <c r="C53" i="192"/>
  <c r="Q52" i="192"/>
  <c r="AD52" i="192" s="1"/>
  <c r="P52" i="192"/>
  <c r="AC52" i="192" s="1"/>
  <c r="O52" i="192"/>
  <c r="AB52" i="192" s="1"/>
  <c r="M52" i="192"/>
  <c r="Z52" i="192" s="1"/>
  <c r="L52" i="192"/>
  <c r="K52" i="192"/>
  <c r="J52" i="192"/>
  <c r="I52" i="192"/>
  <c r="H52" i="192"/>
  <c r="G52" i="192"/>
  <c r="F52" i="192"/>
  <c r="E52" i="192"/>
  <c r="D52" i="192"/>
  <c r="C52" i="192"/>
  <c r="Q51" i="192"/>
  <c r="AD51" i="192" s="1"/>
  <c r="P51" i="192"/>
  <c r="AC51" i="192" s="1"/>
  <c r="O51" i="192"/>
  <c r="AB51" i="192" s="1"/>
  <c r="M51" i="192"/>
  <c r="Z51" i="192" s="1"/>
  <c r="L51" i="192"/>
  <c r="K51" i="192"/>
  <c r="J51" i="192"/>
  <c r="I51" i="192"/>
  <c r="H51" i="192"/>
  <c r="G51" i="192"/>
  <c r="F51" i="192"/>
  <c r="E51" i="192"/>
  <c r="D51" i="192"/>
  <c r="C51" i="192"/>
  <c r="Q50" i="192"/>
  <c r="AD50" i="192" s="1"/>
  <c r="P50" i="192"/>
  <c r="AC50" i="192" s="1"/>
  <c r="O50" i="192"/>
  <c r="AB50" i="192" s="1"/>
  <c r="M50" i="192"/>
  <c r="Z50" i="192" s="1"/>
  <c r="L50" i="192"/>
  <c r="K50" i="192"/>
  <c r="J50" i="192"/>
  <c r="I50" i="192"/>
  <c r="H50" i="192"/>
  <c r="G50" i="192"/>
  <c r="F50" i="192"/>
  <c r="E50" i="192"/>
  <c r="D50" i="192"/>
  <c r="C50" i="192"/>
  <c r="Q49" i="192"/>
  <c r="AD49" i="192" s="1"/>
  <c r="P49" i="192"/>
  <c r="AC49" i="192" s="1"/>
  <c r="O49" i="192"/>
  <c r="AB49" i="192" s="1"/>
  <c r="M49" i="192"/>
  <c r="Z49" i="192" s="1"/>
  <c r="L49" i="192"/>
  <c r="K49" i="192"/>
  <c r="J49" i="192"/>
  <c r="I49" i="192"/>
  <c r="H49" i="192"/>
  <c r="G49" i="192"/>
  <c r="F49" i="192"/>
  <c r="E49" i="192"/>
  <c r="D49" i="192"/>
  <c r="C49" i="192"/>
  <c r="Q48" i="192"/>
  <c r="AD48" i="192" s="1"/>
  <c r="P48" i="192"/>
  <c r="AC48" i="192" s="1"/>
  <c r="O48" i="192"/>
  <c r="AB48" i="192" s="1"/>
  <c r="M48" i="192"/>
  <c r="Z48" i="192" s="1"/>
  <c r="L48" i="192"/>
  <c r="K48" i="192"/>
  <c r="J48" i="192"/>
  <c r="I48" i="192"/>
  <c r="H48" i="192"/>
  <c r="G48" i="192"/>
  <c r="F48" i="192"/>
  <c r="E48" i="192"/>
  <c r="D48" i="192"/>
  <c r="C48" i="192"/>
  <c r="Q47" i="192"/>
  <c r="AD47" i="192" s="1"/>
  <c r="P47" i="192"/>
  <c r="AC47" i="192" s="1"/>
  <c r="O47" i="192"/>
  <c r="AB47" i="192" s="1"/>
  <c r="M47" i="192"/>
  <c r="Z47" i="192" s="1"/>
  <c r="L47" i="192"/>
  <c r="K47" i="192"/>
  <c r="J47" i="192"/>
  <c r="I47" i="192"/>
  <c r="H47" i="192"/>
  <c r="G47" i="192"/>
  <c r="F47" i="192"/>
  <c r="E47" i="192"/>
  <c r="D47" i="192"/>
  <c r="C47" i="192"/>
  <c r="Q46" i="192"/>
  <c r="AD46" i="192" s="1"/>
  <c r="P46" i="192"/>
  <c r="AC46" i="192" s="1"/>
  <c r="O46" i="192"/>
  <c r="AB46" i="192" s="1"/>
  <c r="M46" i="192"/>
  <c r="Z46" i="192" s="1"/>
  <c r="L46" i="192"/>
  <c r="K46" i="192"/>
  <c r="J46" i="192"/>
  <c r="I46" i="192"/>
  <c r="H46" i="192"/>
  <c r="G46" i="192"/>
  <c r="F46" i="192"/>
  <c r="E46" i="192"/>
  <c r="D46" i="192"/>
  <c r="C46" i="192"/>
  <c r="Q45" i="192"/>
  <c r="AD45" i="192" s="1"/>
  <c r="P45" i="192"/>
  <c r="AC45" i="192" s="1"/>
  <c r="O45" i="192"/>
  <c r="AB45" i="192" s="1"/>
  <c r="M45" i="192"/>
  <c r="Z45" i="192" s="1"/>
  <c r="L45" i="192"/>
  <c r="K45" i="192"/>
  <c r="J45" i="192"/>
  <c r="I45" i="192"/>
  <c r="H45" i="192"/>
  <c r="G45" i="192"/>
  <c r="F45" i="192"/>
  <c r="E45" i="192"/>
  <c r="D45" i="192"/>
  <c r="C45" i="192"/>
  <c r="Q44" i="192"/>
  <c r="AD44" i="192" s="1"/>
  <c r="P44" i="192"/>
  <c r="AC44" i="192" s="1"/>
  <c r="O44" i="192"/>
  <c r="AB44" i="192" s="1"/>
  <c r="M44" i="192"/>
  <c r="Z44" i="192" s="1"/>
  <c r="L44" i="192"/>
  <c r="K44" i="192"/>
  <c r="J44" i="192"/>
  <c r="I44" i="192"/>
  <c r="H44" i="192"/>
  <c r="G44" i="192"/>
  <c r="F44" i="192"/>
  <c r="E44" i="192"/>
  <c r="D44" i="192"/>
  <c r="C44" i="192"/>
  <c r="Q43" i="192"/>
  <c r="AD43" i="192" s="1"/>
  <c r="P43" i="192"/>
  <c r="AC43" i="192" s="1"/>
  <c r="O43" i="192"/>
  <c r="AB43" i="192" s="1"/>
  <c r="M43" i="192"/>
  <c r="Z43" i="192" s="1"/>
  <c r="L43" i="192"/>
  <c r="K43" i="192"/>
  <c r="J43" i="192"/>
  <c r="I43" i="192"/>
  <c r="H43" i="192"/>
  <c r="G43" i="192"/>
  <c r="F43" i="192"/>
  <c r="E43" i="192"/>
  <c r="D43" i="192"/>
  <c r="C43" i="192"/>
  <c r="Q42" i="192"/>
  <c r="AD42" i="192" s="1"/>
  <c r="P42" i="192"/>
  <c r="AC42" i="192" s="1"/>
  <c r="O42" i="192"/>
  <c r="AB42" i="192" s="1"/>
  <c r="M42" i="192"/>
  <c r="Z42" i="192" s="1"/>
  <c r="L42" i="192"/>
  <c r="K42" i="192"/>
  <c r="J42" i="192"/>
  <c r="I42" i="192"/>
  <c r="H42" i="192"/>
  <c r="G42" i="192"/>
  <c r="F42" i="192"/>
  <c r="E42" i="192"/>
  <c r="D42" i="192"/>
  <c r="C42" i="192"/>
  <c r="Q41" i="192"/>
  <c r="AD41" i="192" s="1"/>
  <c r="P41" i="192"/>
  <c r="AC41" i="192" s="1"/>
  <c r="O41" i="192"/>
  <c r="AB41" i="192" s="1"/>
  <c r="M41" i="192"/>
  <c r="Z41" i="192" s="1"/>
  <c r="L41" i="192"/>
  <c r="K41" i="192"/>
  <c r="J41" i="192"/>
  <c r="I41" i="192"/>
  <c r="H41" i="192"/>
  <c r="G41" i="192"/>
  <c r="F41" i="192"/>
  <c r="E41" i="192"/>
  <c r="D41" i="192"/>
  <c r="C41" i="192"/>
  <c r="Q40" i="192"/>
  <c r="AD40" i="192" s="1"/>
  <c r="P40" i="192"/>
  <c r="AC40" i="192" s="1"/>
  <c r="O40" i="192"/>
  <c r="AB40" i="192" s="1"/>
  <c r="M40" i="192"/>
  <c r="Z40" i="192" s="1"/>
  <c r="L40" i="192"/>
  <c r="K40" i="192"/>
  <c r="J40" i="192"/>
  <c r="I40" i="192"/>
  <c r="H40" i="192"/>
  <c r="G40" i="192"/>
  <c r="F40" i="192"/>
  <c r="E40" i="192"/>
  <c r="D40" i="192"/>
  <c r="C40" i="192"/>
  <c r="Q39" i="192"/>
  <c r="AD39" i="192" s="1"/>
  <c r="P39" i="192"/>
  <c r="AC39" i="192" s="1"/>
  <c r="O39" i="192"/>
  <c r="AB39" i="192" s="1"/>
  <c r="M39" i="192"/>
  <c r="Z39" i="192" s="1"/>
  <c r="L39" i="192"/>
  <c r="K39" i="192"/>
  <c r="J39" i="192"/>
  <c r="I39" i="192"/>
  <c r="H39" i="192"/>
  <c r="G39" i="192"/>
  <c r="F39" i="192"/>
  <c r="E39" i="192"/>
  <c r="D39" i="192"/>
  <c r="C39" i="192"/>
  <c r="Q38" i="192"/>
  <c r="AD38" i="192" s="1"/>
  <c r="P38" i="192"/>
  <c r="AC38" i="192" s="1"/>
  <c r="O38" i="192"/>
  <c r="AB38" i="192" s="1"/>
  <c r="M38" i="192"/>
  <c r="Z38" i="192" s="1"/>
  <c r="L38" i="192"/>
  <c r="K38" i="192"/>
  <c r="J38" i="192"/>
  <c r="I38" i="192"/>
  <c r="H38" i="192"/>
  <c r="G38" i="192"/>
  <c r="F38" i="192"/>
  <c r="E38" i="192"/>
  <c r="D38" i="192"/>
  <c r="C38" i="192"/>
  <c r="Q37" i="192"/>
  <c r="AD37" i="192" s="1"/>
  <c r="P37" i="192"/>
  <c r="AC37" i="192" s="1"/>
  <c r="O37" i="192"/>
  <c r="AB37" i="192" s="1"/>
  <c r="M37" i="192"/>
  <c r="Z37" i="192" s="1"/>
  <c r="L37" i="192"/>
  <c r="K37" i="192"/>
  <c r="J37" i="192"/>
  <c r="I37" i="192"/>
  <c r="H37" i="192"/>
  <c r="G37" i="192"/>
  <c r="F37" i="192"/>
  <c r="E37" i="192"/>
  <c r="D37" i="192"/>
  <c r="C37" i="192"/>
  <c r="Q36" i="192"/>
  <c r="AD36" i="192" s="1"/>
  <c r="P36" i="192"/>
  <c r="AC36" i="192" s="1"/>
  <c r="O36" i="192"/>
  <c r="AB36" i="192" s="1"/>
  <c r="M36" i="192"/>
  <c r="Z36" i="192" s="1"/>
  <c r="L36" i="192"/>
  <c r="K36" i="192"/>
  <c r="J36" i="192"/>
  <c r="I36" i="192"/>
  <c r="H36" i="192"/>
  <c r="G36" i="192"/>
  <c r="F36" i="192"/>
  <c r="E36" i="192"/>
  <c r="D36" i="192"/>
  <c r="C36" i="192"/>
  <c r="Q35" i="192"/>
  <c r="AD35" i="192" s="1"/>
  <c r="P35" i="192"/>
  <c r="AC35" i="192" s="1"/>
  <c r="O35" i="192"/>
  <c r="AB35" i="192" s="1"/>
  <c r="M35" i="192"/>
  <c r="Z35" i="192" s="1"/>
  <c r="L35" i="192"/>
  <c r="K35" i="192"/>
  <c r="J35" i="192"/>
  <c r="I35" i="192"/>
  <c r="H35" i="192"/>
  <c r="G35" i="192"/>
  <c r="F35" i="192"/>
  <c r="E35" i="192"/>
  <c r="D35" i="192"/>
  <c r="C35" i="192"/>
  <c r="Q34" i="192"/>
  <c r="AD34" i="192" s="1"/>
  <c r="P34" i="192"/>
  <c r="AC34" i="192" s="1"/>
  <c r="O34" i="192"/>
  <c r="AB34" i="192" s="1"/>
  <c r="M34" i="192"/>
  <c r="Z34" i="192" s="1"/>
  <c r="L34" i="192"/>
  <c r="K34" i="192"/>
  <c r="J34" i="192"/>
  <c r="I34" i="192"/>
  <c r="H34" i="192"/>
  <c r="G34" i="192"/>
  <c r="F34" i="192"/>
  <c r="E34" i="192"/>
  <c r="D34" i="192"/>
  <c r="C34" i="192"/>
  <c r="Q33" i="192"/>
  <c r="AD33" i="192" s="1"/>
  <c r="P33" i="192"/>
  <c r="AC33" i="192" s="1"/>
  <c r="O33" i="192"/>
  <c r="AB33" i="192" s="1"/>
  <c r="M33" i="192"/>
  <c r="Z33" i="192" s="1"/>
  <c r="L33" i="192"/>
  <c r="K33" i="192"/>
  <c r="J33" i="192"/>
  <c r="I33" i="192"/>
  <c r="H33" i="192"/>
  <c r="G33" i="192"/>
  <c r="F33" i="192"/>
  <c r="E33" i="192"/>
  <c r="D33" i="192"/>
  <c r="C33" i="192"/>
  <c r="Q32" i="192"/>
  <c r="AD32" i="192" s="1"/>
  <c r="P32" i="192"/>
  <c r="AC32" i="192" s="1"/>
  <c r="O32" i="192"/>
  <c r="AB32" i="192" s="1"/>
  <c r="M32" i="192"/>
  <c r="Z32" i="192" s="1"/>
  <c r="L32" i="192"/>
  <c r="K32" i="192"/>
  <c r="J32" i="192"/>
  <c r="I32" i="192"/>
  <c r="H32" i="192"/>
  <c r="G32" i="192"/>
  <c r="F32" i="192"/>
  <c r="E32" i="192"/>
  <c r="D32" i="192"/>
  <c r="C32" i="192"/>
  <c r="Q31" i="192"/>
  <c r="AD31" i="192" s="1"/>
  <c r="P31" i="192"/>
  <c r="AC31" i="192" s="1"/>
  <c r="O31" i="192"/>
  <c r="AB31" i="192" s="1"/>
  <c r="M31" i="192"/>
  <c r="Z31" i="192" s="1"/>
  <c r="L31" i="192"/>
  <c r="K31" i="192"/>
  <c r="J31" i="192"/>
  <c r="I31" i="192"/>
  <c r="H31" i="192"/>
  <c r="G31" i="192"/>
  <c r="F31" i="192"/>
  <c r="E31" i="192"/>
  <c r="D31" i="192"/>
  <c r="C31" i="192"/>
  <c r="Q30" i="192"/>
  <c r="AD30" i="192" s="1"/>
  <c r="P30" i="192"/>
  <c r="AC30" i="192" s="1"/>
  <c r="O30" i="192"/>
  <c r="AB30" i="192" s="1"/>
  <c r="M30" i="192"/>
  <c r="Z30" i="192" s="1"/>
  <c r="L30" i="192"/>
  <c r="K30" i="192"/>
  <c r="J30" i="192"/>
  <c r="I30" i="192"/>
  <c r="H30" i="192"/>
  <c r="G30" i="192"/>
  <c r="F30" i="192"/>
  <c r="E30" i="192"/>
  <c r="D30" i="192"/>
  <c r="C30" i="192"/>
  <c r="Q29" i="192"/>
  <c r="AD29" i="192" s="1"/>
  <c r="P29" i="192"/>
  <c r="AC29" i="192" s="1"/>
  <c r="O29" i="192"/>
  <c r="AB29" i="192" s="1"/>
  <c r="M29" i="192"/>
  <c r="Z29" i="192" s="1"/>
  <c r="L29" i="192"/>
  <c r="K29" i="192"/>
  <c r="J29" i="192"/>
  <c r="I29" i="192"/>
  <c r="H29" i="192"/>
  <c r="G29" i="192"/>
  <c r="F29" i="192"/>
  <c r="E29" i="192"/>
  <c r="D29" i="192"/>
  <c r="C29" i="192"/>
  <c r="Q28" i="192"/>
  <c r="AD28" i="192" s="1"/>
  <c r="P28" i="192"/>
  <c r="AC28" i="192" s="1"/>
  <c r="O28" i="192"/>
  <c r="AB28" i="192" s="1"/>
  <c r="M28" i="192"/>
  <c r="Z28" i="192" s="1"/>
  <c r="L28" i="192"/>
  <c r="K28" i="192"/>
  <c r="J28" i="192"/>
  <c r="I28" i="192"/>
  <c r="H28" i="192"/>
  <c r="G28" i="192"/>
  <c r="F28" i="192"/>
  <c r="E28" i="192"/>
  <c r="D28" i="192"/>
  <c r="C28" i="192"/>
  <c r="Q27" i="192"/>
  <c r="AD27" i="192" s="1"/>
  <c r="P27" i="192"/>
  <c r="AC27" i="192" s="1"/>
  <c r="O27" i="192"/>
  <c r="AB27" i="192" s="1"/>
  <c r="M27" i="192"/>
  <c r="Z27" i="192" s="1"/>
  <c r="L27" i="192"/>
  <c r="K27" i="192"/>
  <c r="J27" i="192"/>
  <c r="I27" i="192"/>
  <c r="H27" i="192"/>
  <c r="G27" i="192"/>
  <c r="F27" i="192"/>
  <c r="E27" i="192"/>
  <c r="D27" i="192"/>
  <c r="C27" i="192"/>
  <c r="Q26" i="192"/>
  <c r="AD26" i="192" s="1"/>
  <c r="P26" i="192"/>
  <c r="AC26" i="192" s="1"/>
  <c r="O26" i="192"/>
  <c r="AB26" i="192" s="1"/>
  <c r="M26" i="192"/>
  <c r="Z26" i="192" s="1"/>
  <c r="L26" i="192"/>
  <c r="K26" i="192"/>
  <c r="J26" i="192"/>
  <c r="I26" i="192"/>
  <c r="H26" i="192"/>
  <c r="G26" i="192"/>
  <c r="F26" i="192"/>
  <c r="E26" i="192"/>
  <c r="D26" i="192"/>
  <c r="C26" i="192"/>
  <c r="Q25" i="192"/>
  <c r="AD25" i="192" s="1"/>
  <c r="P25" i="192"/>
  <c r="AC25" i="192" s="1"/>
  <c r="O25" i="192"/>
  <c r="AB25" i="192" s="1"/>
  <c r="M25" i="192"/>
  <c r="Z25" i="192" s="1"/>
  <c r="L25" i="192"/>
  <c r="K25" i="192"/>
  <c r="J25" i="192"/>
  <c r="I25" i="192"/>
  <c r="H25" i="192"/>
  <c r="G25" i="192"/>
  <c r="F25" i="192"/>
  <c r="E25" i="192"/>
  <c r="D25" i="192"/>
  <c r="C25" i="192"/>
  <c r="Q24" i="192"/>
  <c r="AD24" i="192" s="1"/>
  <c r="P24" i="192"/>
  <c r="AC24" i="192" s="1"/>
  <c r="O24" i="192"/>
  <c r="AB24" i="192" s="1"/>
  <c r="M24" i="192"/>
  <c r="Z24" i="192" s="1"/>
  <c r="L24" i="192"/>
  <c r="K24" i="192"/>
  <c r="J24" i="192"/>
  <c r="I24" i="192"/>
  <c r="H24" i="192"/>
  <c r="G24" i="192"/>
  <c r="F24" i="192"/>
  <c r="E24" i="192"/>
  <c r="D24" i="192"/>
  <c r="C24" i="192"/>
  <c r="Q23" i="192"/>
  <c r="AD23" i="192" s="1"/>
  <c r="P23" i="192"/>
  <c r="AC23" i="192" s="1"/>
  <c r="O23" i="192"/>
  <c r="AB23" i="192" s="1"/>
  <c r="M23" i="192"/>
  <c r="Z23" i="192" s="1"/>
  <c r="L23" i="192"/>
  <c r="K23" i="192"/>
  <c r="J23" i="192"/>
  <c r="I23" i="192"/>
  <c r="H23" i="192"/>
  <c r="G23" i="192"/>
  <c r="F23" i="192"/>
  <c r="E23" i="192"/>
  <c r="D23" i="192"/>
  <c r="C23" i="192"/>
  <c r="Q22" i="192"/>
  <c r="AD22" i="192" s="1"/>
  <c r="P22" i="192"/>
  <c r="AC22" i="192" s="1"/>
  <c r="O22" i="192"/>
  <c r="AB22" i="192" s="1"/>
  <c r="M22" i="192"/>
  <c r="Z22" i="192" s="1"/>
  <c r="L22" i="192"/>
  <c r="K22" i="192"/>
  <c r="J22" i="192"/>
  <c r="I22" i="192"/>
  <c r="H22" i="192"/>
  <c r="G22" i="192"/>
  <c r="F22" i="192"/>
  <c r="E22" i="192"/>
  <c r="D22" i="192"/>
  <c r="C22" i="192"/>
  <c r="Q21" i="192"/>
  <c r="AD21" i="192" s="1"/>
  <c r="P21" i="192"/>
  <c r="AC21" i="192" s="1"/>
  <c r="O21" i="192"/>
  <c r="AB21" i="192" s="1"/>
  <c r="M21" i="192"/>
  <c r="Z21" i="192" s="1"/>
  <c r="L21" i="192"/>
  <c r="K21" i="192"/>
  <c r="J21" i="192"/>
  <c r="I21" i="192"/>
  <c r="H21" i="192"/>
  <c r="G21" i="192"/>
  <c r="F21" i="192"/>
  <c r="E21" i="192"/>
  <c r="D21" i="192"/>
  <c r="C21" i="192"/>
  <c r="Q20" i="192"/>
  <c r="AD20" i="192" s="1"/>
  <c r="P20" i="192"/>
  <c r="AC20" i="192" s="1"/>
  <c r="O20" i="192"/>
  <c r="AB20" i="192" s="1"/>
  <c r="M20" i="192"/>
  <c r="Z20" i="192" s="1"/>
  <c r="L20" i="192"/>
  <c r="K20" i="192"/>
  <c r="J20" i="192"/>
  <c r="I20" i="192"/>
  <c r="H20" i="192"/>
  <c r="G20" i="192"/>
  <c r="F20" i="192"/>
  <c r="E20" i="192"/>
  <c r="D20" i="192"/>
  <c r="C20" i="192"/>
  <c r="Q19" i="192"/>
  <c r="AD19" i="192" s="1"/>
  <c r="P19" i="192"/>
  <c r="AC19" i="192" s="1"/>
  <c r="O19" i="192"/>
  <c r="AB19" i="192" s="1"/>
  <c r="M19" i="192"/>
  <c r="Z19" i="192" s="1"/>
  <c r="L19" i="192"/>
  <c r="K19" i="192"/>
  <c r="J19" i="192"/>
  <c r="I19" i="192"/>
  <c r="H19" i="192"/>
  <c r="G19" i="192"/>
  <c r="F19" i="192"/>
  <c r="E19" i="192"/>
  <c r="D19" i="192"/>
  <c r="C19" i="192"/>
  <c r="Q18" i="192"/>
  <c r="AD18" i="192" s="1"/>
  <c r="P18" i="192"/>
  <c r="AC18" i="192" s="1"/>
  <c r="O18" i="192"/>
  <c r="AB18" i="192" s="1"/>
  <c r="M18" i="192"/>
  <c r="Z18" i="192" s="1"/>
  <c r="L18" i="192"/>
  <c r="K18" i="192"/>
  <c r="J18" i="192"/>
  <c r="I18" i="192"/>
  <c r="H18" i="192"/>
  <c r="G18" i="192"/>
  <c r="F18" i="192"/>
  <c r="E18" i="192"/>
  <c r="D18" i="192"/>
  <c r="C18" i="192"/>
  <c r="Q17" i="192"/>
  <c r="AD17" i="192" s="1"/>
  <c r="P17" i="192"/>
  <c r="AC17" i="192" s="1"/>
  <c r="O17" i="192"/>
  <c r="AB17" i="192" s="1"/>
  <c r="M17" i="192"/>
  <c r="Z17" i="192" s="1"/>
  <c r="L17" i="192"/>
  <c r="K17" i="192"/>
  <c r="J17" i="192"/>
  <c r="I17" i="192"/>
  <c r="H17" i="192"/>
  <c r="G17" i="192"/>
  <c r="F17" i="192"/>
  <c r="E17" i="192"/>
  <c r="D17" i="192"/>
  <c r="C17" i="192"/>
  <c r="Q16" i="192"/>
  <c r="AD16" i="192" s="1"/>
  <c r="P16" i="192"/>
  <c r="AC16" i="192" s="1"/>
  <c r="O16" i="192"/>
  <c r="AB16" i="192" s="1"/>
  <c r="M16" i="192"/>
  <c r="Z16" i="192" s="1"/>
  <c r="L16" i="192"/>
  <c r="K16" i="192"/>
  <c r="J16" i="192"/>
  <c r="I16" i="192"/>
  <c r="H16" i="192"/>
  <c r="G16" i="192"/>
  <c r="F16" i="192"/>
  <c r="E16" i="192"/>
  <c r="D16" i="192"/>
  <c r="C16" i="192"/>
  <c r="Q15" i="192"/>
  <c r="AD15" i="192" s="1"/>
  <c r="P15" i="192"/>
  <c r="AC15" i="192" s="1"/>
  <c r="O15" i="192"/>
  <c r="AB15" i="192" s="1"/>
  <c r="M15" i="192"/>
  <c r="Z15" i="192" s="1"/>
  <c r="L15" i="192"/>
  <c r="K15" i="192"/>
  <c r="J15" i="192"/>
  <c r="I15" i="192"/>
  <c r="H15" i="192"/>
  <c r="G15" i="192"/>
  <c r="F15" i="192"/>
  <c r="E15" i="192"/>
  <c r="D15" i="192"/>
  <c r="C15" i="192"/>
  <c r="Q14" i="192"/>
  <c r="AD14" i="192" s="1"/>
  <c r="P14" i="192"/>
  <c r="AC14" i="192" s="1"/>
  <c r="O14" i="192"/>
  <c r="AB14" i="192" s="1"/>
  <c r="M14" i="192"/>
  <c r="Z14" i="192" s="1"/>
  <c r="L14" i="192"/>
  <c r="K14" i="192"/>
  <c r="J14" i="192"/>
  <c r="I14" i="192"/>
  <c r="H14" i="192"/>
  <c r="G14" i="192"/>
  <c r="F14" i="192"/>
  <c r="E14" i="192"/>
  <c r="D14" i="192"/>
  <c r="C14" i="192"/>
  <c r="Q13" i="192"/>
  <c r="AD13" i="192" s="1"/>
  <c r="P13" i="192"/>
  <c r="AC13" i="192" s="1"/>
  <c r="O13" i="192"/>
  <c r="AB13" i="192" s="1"/>
  <c r="M13" i="192"/>
  <c r="Z13" i="192" s="1"/>
  <c r="L13" i="192"/>
  <c r="K13" i="192"/>
  <c r="J13" i="192"/>
  <c r="I13" i="192"/>
  <c r="H13" i="192"/>
  <c r="G13" i="192"/>
  <c r="F13" i="192"/>
  <c r="E13" i="192"/>
  <c r="D13" i="192"/>
  <c r="C13" i="192"/>
  <c r="Q12" i="192"/>
  <c r="AD12" i="192" s="1"/>
  <c r="P12" i="192"/>
  <c r="AC12" i="192" s="1"/>
  <c r="O12" i="192"/>
  <c r="AB12" i="192" s="1"/>
  <c r="M12" i="192"/>
  <c r="Z12" i="192" s="1"/>
  <c r="L12" i="192"/>
  <c r="K12" i="192"/>
  <c r="J12" i="192"/>
  <c r="I12" i="192"/>
  <c r="H12" i="192"/>
  <c r="G12" i="192"/>
  <c r="F12" i="192"/>
  <c r="E12" i="192"/>
  <c r="D12" i="192"/>
  <c r="C12" i="192"/>
  <c r="Q11" i="192"/>
  <c r="AD11" i="192" s="1"/>
  <c r="P11" i="192"/>
  <c r="AC11" i="192" s="1"/>
  <c r="O11" i="192"/>
  <c r="AB11" i="192" s="1"/>
  <c r="M11" i="192"/>
  <c r="Z11" i="192" s="1"/>
  <c r="L11" i="192"/>
  <c r="K11" i="192"/>
  <c r="J11" i="192"/>
  <c r="I11" i="192"/>
  <c r="H11" i="192"/>
  <c r="G11" i="192"/>
  <c r="F11" i="192"/>
  <c r="E11" i="192"/>
  <c r="D11" i="192"/>
  <c r="C11" i="192"/>
  <c r="Q10" i="192"/>
  <c r="AD10" i="192" s="1"/>
  <c r="P10" i="192"/>
  <c r="AC10" i="192" s="1"/>
  <c r="O10" i="192"/>
  <c r="AB10" i="192" s="1"/>
  <c r="M10" i="192"/>
  <c r="Z10" i="192" s="1"/>
  <c r="L10" i="192"/>
  <c r="K10" i="192"/>
  <c r="J10" i="192"/>
  <c r="I10" i="192"/>
  <c r="H10" i="192"/>
  <c r="G10" i="192"/>
  <c r="F10" i="192"/>
  <c r="E10" i="192"/>
  <c r="D10" i="192"/>
  <c r="C10" i="192"/>
  <c r="Q9" i="192"/>
  <c r="AD9" i="192" s="1"/>
  <c r="P9" i="192"/>
  <c r="AC9" i="192" s="1"/>
  <c r="O9" i="192"/>
  <c r="AB9" i="192" s="1"/>
  <c r="M9" i="192"/>
  <c r="Z9" i="192" s="1"/>
  <c r="L9" i="192"/>
  <c r="K9" i="192"/>
  <c r="J9" i="192"/>
  <c r="I9" i="192"/>
  <c r="H9" i="192"/>
  <c r="G9" i="192"/>
  <c r="F9" i="192"/>
  <c r="E9" i="192"/>
  <c r="D9" i="192"/>
  <c r="C9" i="192"/>
  <c r="Q8" i="192"/>
  <c r="AD8" i="192" s="1"/>
  <c r="P8" i="192"/>
  <c r="AC8" i="192" s="1"/>
  <c r="O8" i="192"/>
  <c r="AB8" i="192" s="1"/>
  <c r="M8" i="192"/>
  <c r="Z8" i="192" s="1"/>
  <c r="L8" i="192"/>
  <c r="K8" i="192"/>
  <c r="J8" i="192"/>
  <c r="I8" i="192"/>
  <c r="H8" i="192"/>
  <c r="G8" i="192"/>
  <c r="F8" i="192"/>
  <c r="E8" i="192"/>
  <c r="D8" i="192"/>
  <c r="C8" i="192"/>
  <c r="Q7" i="192"/>
  <c r="AD7" i="192" s="1"/>
  <c r="P7" i="192"/>
  <c r="AC7" i="192" s="1"/>
  <c r="O7" i="192"/>
  <c r="AB7" i="192" s="1"/>
  <c r="M7" i="192"/>
  <c r="Z7" i="192" s="1"/>
  <c r="L7" i="192"/>
  <c r="K7" i="192"/>
  <c r="J7" i="192"/>
  <c r="I7" i="192"/>
  <c r="H7" i="192"/>
  <c r="G7" i="192"/>
  <c r="F7" i="192"/>
  <c r="E7" i="192"/>
  <c r="D7" i="192"/>
  <c r="C7" i="192"/>
  <c r="Q6" i="192"/>
  <c r="AD6" i="192" s="1"/>
  <c r="P6" i="192"/>
  <c r="AC6" i="192" s="1"/>
  <c r="O6" i="192"/>
  <c r="AB6" i="192" s="1"/>
  <c r="M6" i="192"/>
  <c r="Z6" i="192" s="1"/>
  <c r="L6" i="192"/>
  <c r="K6" i="192"/>
  <c r="J6" i="192"/>
  <c r="I6" i="192"/>
  <c r="H6" i="192"/>
  <c r="G6" i="192"/>
  <c r="F6" i="192"/>
  <c r="E6" i="192"/>
  <c r="D6" i="192"/>
  <c r="C6" i="192"/>
  <c r="Q5" i="192"/>
  <c r="AD5" i="192" s="1"/>
  <c r="P5" i="192"/>
  <c r="AC5" i="192" s="1"/>
  <c r="O5" i="192"/>
  <c r="AB5" i="192" s="1"/>
  <c r="M5" i="192"/>
  <c r="Z5" i="192" s="1"/>
  <c r="L5" i="192"/>
  <c r="K5" i="192"/>
  <c r="J5" i="192"/>
  <c r="I5" i="192"/>
  <c r="H5" i="192"/>
  <c r="G5" i="192"/>
  <c r="F5" i="192"/>
  <c r="E5" i="192"/>
  <c r="D5" i="192"/>
  <c r="C5" i="192"/>
  <c r="Q4" i="192"/>
  <c r="AD4" i="192" s="1"/>
  <c r="P4" i="192"/>
  <c r="AC4" i="192" s="1"/>
  <c r="O4" i="192"/>
  <c r="AB4" i="192" s="1"/>
  <c r="M4" i="192"/>
  <c r="Z4" i="192" s="1"/>
  <c r="L4" i="192"/>
  <c r="K4" i="192"/>
  <c r="J4" i="192"/>
  <c r="I4" i="192"/>
  <c r="H4" i="192"/>
  <c r="G4" i="192"/>
  <c r="F4" i="192"/>
  <c r="E4" i="192"/>
  <c r="D4" i="192"/>
  <c r="C4" i="192"/>
  <c r="Q10" i="193"/>
  <c r="P10" i="193"/>
  <c r="AK10" i="193" s="1"/>
  <c r="O10" i="193"/>
  <c r="AJ10" i="193" s="1"/>
  <c r="M10" i="193"/>
  <c r="L10" i="193"/>
  <c r="K10" i="193"/>
  <c r="J10" i="193"/>
  <c r="I10" i="193"/>
  <c r="H10" i="193"/>
  <c r="G10" i="193"/>
  <c r="F10" i="193"/>
  <c r="E10" i="193"/>
  <c r="D10" i="193"/>
  <c r="C10" i="193"/>
  <c r="Q9" i="193"/>
  <c r="P9" i="193"/>
  <c r="AK9" i="193" s="1"/>
  <c r="O9" i="193"/>
  <c r="AJ9" i="193" s="1"/>
  <c r="M9" i="193"/>
  <c r="L9" i="193"/>
  <c r="K9" i="193"/>
  <c r="J9" i="193"/>
  <c r="I9" i="193"/>
  <c r="H9" i="193"/>
  <c r="G9" i="193"/>
  <c r="F9" i="193"/>
  <c r="E9" i="193"/>
  <c r="D9" i="193"/>
  <c r="C9" i="193"/>
  <c r="Q8" i="193"/>
  <c r="P8" i="193"/>
  <c r="AK8" i="193" s="1"/>
  <c r="O8" i="193"/>
  <c r="AJ8" i="193" s="1"/>
  <c r="M8" i="193"/>
  <c r="K8" i="193"/>
  <c r="J8" i="193"/>
  <c r="I8" i="193"/>
  <c r="H8" i="193"/>
  <c r="G8" i="193"/>
  <c r="F8" i="193"/>
  <c r="E8" i="193"/>
  <c r="D8" i="193"/>
  <c r="C8" i="193"/>
  <c r="Q5" i="193"/>
  <c r="P5" i="193"/>
  <c r="O5" i="193"/>
  <c r="AJ5" i="193" s="1"/>
  <c r="M5" i="193"/>
  <c r="L5" i="193"/>
  <c r="I5" i="193"/>
  <c r="H5" i="193"/>
  <c r="G5" i="193"/>
  <c r="F5" i="193"/>
  <c r="E5" i="193"/>
  <c r="D5" i="193"/>
  <c r="C5" i="193"/>
  <c r="Q12" i="193"/>
  <c r="P12" i="193"/>
  <c r="O12" i="193"/>
  <c r="AJ12" i="193" s="1"/>
  <c r="M12" i="193"/>
  <c r="L12" i="193"/>
  <c r="I12" i="193"/>
  <c r="H12" i="193"/>
  <c r="G12" i="193"/>
  <c r="F12" i="193"/>
  <c r="E12" i="193"/>
  <c r="D12" i="193"/>
  <c r="C12" i="193"/>
  <c r="Q11" i="193"/>
  <c r="P11" i="193"/>
  <c r="AK11" i="193" s="1"/>
  <c r="O11" i="193"/>
  <c r="AJ11" i="193" s="1"/>
  <c r="M11" i="193"/>
  <c r="L11" i="193"/>
  <c r="I11" i="193"/>
  <c r="H11" i="193"/>
  <c r="G11" i="193"/>
  <c r="F11" i="193"/>
  <c r="E11" i="193"/>
  <c r="D11" i="193"/>
  <c r="C11" i="193"/>
  <c r="Q7" i="193"/>
  <c r="P7" i="193"/>
  <c r="AK7" i="193" s="1"/>
  <c r="O7" i="193"/>
  <c r="AJ7" i="193" s="1"/>
  <c r="M7" i="193"/>
  <c r="L7" i="193"/>
  <c r="K7" i="193"/>
  <c r="J7" i="193"/>
  <c r="I7" i="193"/>
  <c r="H7" i="193"/>
  <c r="G7" i="193"/>
  <c r="F7" i="193"/>
  <c r="E7" i="193"/>
  <c r="D7" i="193"/>
  <c r="C7" i="193"/>
  <c r="Q6" i="193"/>
  <c r="P6" i="193"/>
  <c r="AK6" i="193" s="1"/>
  <c r="O6" i="193"/>
  <c r="AJ6" i="193" s="1"/>
  <c r="M6" i="193"/>
  <c r="L6" i="193"/>
  <c r="K6" i="193"/>
  <c r="J6" i="193"/>
  <c r="I6" i="193"/>
  <c r="H6" i="193"/>
  <c r="G6" i="193"/>
  <c r="F6" i="193"/>
  <c r="E6" i="193"/>
  <c r="D6" i="193"/>
  <c r="C6" i="193"/>
  <c r="Q4" i="193"/>
  <c r="P4" i="193"/>
  <c r="O4" i="193"/>
  <c r="AJ4" i="193" s="1"/>
  <c r="M4" i="193"/>
  <c r="L4" i="193"/>
  <c r="K4" i="193"/>
  <c r="J4" i="193"/>
  <c r="I4" i="193"/>
  <c r="H4" i="193"/>
  <c r="G4" i="193"/>
  <c r="F4" i="193"/>
  <c r="E4" i="193"/>
  <c r="D4" i="193"/>
  <c r="C4" i="193"/>
  <c r="Q9" i="196"/>
  <c r="P9" i="196"/>
  <c r="O9" i="196"/>
  <c r="M9" i="196"/>
  <c r="Z9" i="196" s="1"/>
  <c r="L9" i="196"/>
  <c r="K9" i="196"/>
  <c r="J9" i="196"/>
  <c r="I9" i="196"/>
  <c r="H9" i="196"/>
  <c r="G9" i="196"/>
  <c r="F9" i="196"/>
  <c r="E9" i="196"/>
  <c r="D9" i="196"/>
  <c r="C9" i="196"/>
  <c r="Q8" i="196"/>
  <c r="P8" i="196"/>
  <c r="O8" i="196"/>
  <c r="M8" i="196"/>
  <c r="Z8" i="196" s="1"/>
  <c r="L8" i="196"/>
  <c r="K8" i="196"/>
  <c r="J8" i="196"/>
  <c r="I8" i="196"/>
  <c r="H8" i="196"/>
  <c r="G8" i="196"/>
  <c r="F8" i="196"/>
  <c r="E8" i="196"/>
  <c r="D8" i="196"/>
  <c r="C8" i="196"/>
  <c r="Q7" i="196"/>
  <c r="P7" i="196"/>
  <c r="O7" i="196"/>
  <c r="M7" i="196"/>
  <c r="Z7" i="196" s="1"/>
  <c r="L7" i="196"/>
  <c r="K7" i="196"/>
  <c r="J7" i="196"/>
  <c r="I7" i="196"/>
  <c r="H7" i="196"/>
  <c r="G7" i="196"/>
  <c r="F7" i="196"/>
  <c r="E7" i="196"/>
  <c r="D7" i="196"/>
  <c r="C7" i="196"/>
  <c r="Q6" i="196"/>
  <c r="P6" i="196"/>
  <c r="O6" i="196"/>
  <c r="M6" i="196"/>
  <c r="Z6" i="196" s="1"/>
  <c r="L6" i="196"/>
  <c r="K6" i="196"/>
  <c r="J6" i="196"/>
  <c r="I6" i="196"/>
  <c r="H6" i="196"/>
  <c r="G6" i="196"/>
  <c r="F6" i="196"/>
  <c r="E6" i="196"/>
  <c r="D6" i="196"/>
  <c r="C6" i="196"/>
  <c r="Q5" i="196"/>
  <c r="P5" i="196"/>
  <c r="O5" i="196"/>
  <c r="M5" i="196"/>
  <c r="Z5" i="196" s="1"/>
  <c r="L5" i="196"/>
  <c r="K5" i="196"/>
  <c r="J5" i="196"/>
  <c r="I5" i="196"/>
  <c r="H5" i="196"/>
  <c r="G5" i="196"/>
  <c r="F5" i="196"/>
  <c r="E5" i="196"/>
  <c r="D5" i="196"/>
  <c r="C5" i="196"/>
  <c r="Q4" i="196"/>
  <c r="P4" i="196"/>
  <c r="O4" i="196"/>
  <c r="M4" i="196"/>
  <c r="Z4" i="196" s="1"/>
  <c r="L4" i="196"/>
  <c r="K4" i="196"/>
  <c r="J4" i="196"/>
  <c r="I4" i="196"/>
  <c r="H4" i="196"/>
  <c r="G4" i="196"/>
  <c r="F4" i="196"/>
  <c r="E4" i="196"/>
  <c r="D4" i="196"/>
  <c r="C4" i="196"/>
  <c r="Q10" i="188"/>
  <c r="P10" i="188"/>
  <c r="O10" i="188"/>
  <c r="N10" i="188"/>
  <c r="M10" i="188"/>
  <c r="Z10" i="188" s="1"/>
  <c r="L10" i="188"/>
  <c r="K10" i="188"/>
  <c r="J10" i="188"/>
  <c r="I10" i="188"/>
  <c r="H10" i="188"/>
  <c r="G10" i="188"/>
  <c r="F10" i="188"/>
  <c r="E10" i="188"/>
  <c r="D10" i="188"/>
  <c r="C10" i="188"/>
  <c r="Q9" i="188"/>
  <c r="P9" i="188"/>
  <c r="O9" i="188"/>
  <c r="N9" i="188"/>
  <c r="M9" i="188"/>
  <c r="Z9" i="188" s="1"/>
  <c r="L9" i="188"/>
  <c r="K9" i="188"/>
  <c r="J9" i="188"/>
  <c r="I9" i="188"/>
  <c r="H9" i="188"/>
  <c r="G9" i="188"/>
  <c r="F9" i="188"/>
  <c r="E9" i="188"/>
  <c r="D9" i="188"/>
  <c r="C9" i="188"/>
  <c r="Q8" i="188"/>
  <c r="P8" i="188"/>
  <c r="O8" i="188"/>
  <c r="N8" i="188"/>
  <c r="M8" i="188"/>
  <c r="Z8" i="188" s="1"/>
  <c r="L8" i="188"/>
  <c r="K8" i="188"/>
  <c r="J8" i="188"/>
  <c r="I8" i="188"/>
  <c r="H8" i="188"/>
  <c r="G8" i="188"/>
  <c r="F8" i="188"/>
  <c r="E8" i="188"/>
  <c r="D8" i="188"/>
  <c r="C8" i="188"/>
  <c r="Q7" i="188"/>
  <c r="P7" i="188"/>
  <c r="O7" i="188"/>
  <c r="M7" i="188"/>
  <c r="Z7" i="188" s="1"/>
  <c r="L7" i="188"/>
  <c r="K7" i="188"/>
  <c r="J7" i="188"/>
  <c r="I7" i="188"/>
  <c r="H7" i="188"/>
  <c r="G7" i="188"/>
  <c r="F7" i="188"/>
  <c r="E7" i="188"/>
  <c r="D7" i="188"/>
  <c r="C7" i="188"/>
  <c r="Q6" i="188"/>
  <c r="P6" i="188"/>
  <c r="O6" i="188"/>
  <c r="M6" i="188"/>
  <c r="Z6" i="188" s="1"/>
  <c r="L6" i="188"/>
  <c r="K6" i="188"/>
  <c r="J6" i="188"/>
  <c r="I6" i="188"/>
  <c r="H6" i="188"/>
  <c r="G6" i="188"/>
  <c r="F6" i="188"/>
  <c r="E6" i="188"/>
  <c r="D6" i="188"/>
  <c r="C6" i="188"/>
  <c r="Q5" i="188"/>
  <c r="P5" i="188"/>
  <c r="O5" i="188"/>
  <c r="M5" i="188"/>
  <c r="Z5" i="188" s="1"/>
  <c r="L5" i="188"/>
  <c r="K5" i="188"/>
  <c r="J5" i="188"/>
  <c r="I5" i="188"/>
  <c r="H5" i="188"/>
  <c r="G5" i="188"/>
  <c r="F5" i="188"/>
  <c r="E5" i="188"/>
  <c r="D5" i="188"/>
  <c r="C5" i="188"/>
  <c r="Q4" i="188"/>
  <c r="P4" i="188"/>
  <c r="O4" i="188"/>
  <c r="M4" i="188"/>
  <c r="Z4" i="188" s="1"/>
  <c r="L4" i="188"/>
  <c r="K4" i="188"/>
  <c r="J4" i="188"/>
  <c r="I4" i="188"/>
  <c r="H4" i="188"/>
  <c r="G4" i="188"/>
  <c r="F4" i="188"/>
  <c r="E4" i="188"/>
  <c r="D4" i="188"/>
  <c r="C4" i="188"/>
  <c r="Q12" i="187"/>
  <c r="P12" i="187"/>
  <c r="O12" i="187"/>
  <c r="M12" i="187"/>
  <c r="Z12" i="187" s="1"/>
  <c r="L12" i="187"/>
  <c r="K12" i="187"/>
  <c r="J12" i="187"/>
  <c r="I12" i="187"/>
  <c r="H12" i="187"/>
  <c r="G12" i="187"/>
  <c r="F12" i="187"/>
  <c r="E12" i="187"/>
  <c r="D12" i="187"/>
  <c r="C12" i="187"/>
  <c r="Q11" i="187"/>
  <c r="P11" i="187"/>
  <c r="O11" i="187"/>
  <c r="M11" i="187"/>
  <c r="Z11" i="187" s="1"/>
  <c r="L11" i="187"/>
  <c r="K11" i="187"/>
  <c r="J11" i="187"/>
  <c r="I11" i="187"/>
  <c r="H11" i="187"/>
  <c r="G11" i="187"/>
  <c r="F11" i="187"/>
  <c r="E11" i="187"/>
  <c r="D11" i="187"/>
  <c r="C11" i="187"/>
  <c r="Q10" i="187"/>
  <c r="P10" i="187"/>
  <c r="O10" i="187"/>
  <c r="M10" i="187"/>
  <c r="Z10" i="187" s="1"/>
  <c r="L10" i="187"/>
  <c r="K10" i="187"/>
  <c r="J10" i="187"/>
  <c r="I10" i="187"/>
  <c r="H10" i="187"/>
  <c r="G10" i="187"/>
  <c r="F10" i="187"/>
  <c r="E10" i="187"/>
  <c r="D10" i="187"/>
  <c r="C10" i="187"/>
  <c r="Q9" i="187"/>
  <c r="P9" i="187"/>
  <c r="O9" i="187"/>
  <c r="M9" i="187"/>
  <c r="Z9" i="187" s="1"/>
  <c r="L9" i="187"/>
  <c r="K9" i="187"/>
  <c r="J9" i="187"/>
  <c r="I9" i="187"/>
  <c r="H9" i="187"/>
  <c r="G9" i="187"/>
  <c r="F9" i="187"/>
  <c r="E9" i="187"/>
  <c r="D9" i="187"/>
  <c r="C9" i="187"/>
  <c r="Q8" i="187"/>
  <c r="P8" i="187"/>
  <c r="O8" i="187"/>
  <c r="M8" i="187"/>
  <c r="Z8" i="187" s="1"/>
  <c r="L8" i="187"/>
  <c r="K8" i="187"/>
  <c r="J8" i="187"/>
  <c r="I8" i="187"/>
  <c r="H8" i="187"/>
  <c r="G8" i="187"/>
  <c r="F8" i="187"/>
  <c r="E8" i="187"/>
  <c r="D8" i="187"/>
  <c r="C8" i="187"/>
  <c r="Q7" i="187"/>
  <c r="P7" i="187"/>
  <c r="O7" i="187"/>
  <c r="M7" i="187"/>
  <c r="Z7" i="187" s="1"/>
  <c r="L7" i="187"/>
  <c r="K7" i="187"/>
  <c r="J7" i="187"/>
  <c r="I7" i="187"/>
  <c r="H7" i="187"/>
  <c r="G7" i="187"/>
  <c r="F7" i="187"/>
  <c r="E7" i="187"/>
  <c r="D7" i="187"/>
  <c r="C7" i="187"/>
  <c r="Q6" i="187"/>
  <c r="P6" i="187"/>
  <c r="O6" i="187"/>
  <c r="M6" i="187"/>
  <c r="Z6" i="187" s="1"/>
  <c r="L6" i="187"/>
  <c r="K6" i="187"/>
  <c r="J6" i="187"/>
  <c r="I6" i="187"/>
  <c r="H6" i="187"/>
  <c r="G6" i="187"/>
  <c r="F6" i="187"/>
  <c r="E6" i="187"/>
  <c r="D6" i="187"/>
  <c r="C6" i="187"/>
  <c r="Q5" i="187"/>
  <c r="P5" i="187"/>
  <c r="O5" i="187"/>
  <c r="M5" i="187"/>
  <c r="Z5" i="187" s="1"/>
  <c r="L5" i="187"/>
  <c r="K5" i="187"/>
  <c r="J5" i="187"/>
  <c r="I5" i="187"/>
  <c r="H5" i="187"/>
  <c r="G5" i="187"/>
  <c r="F5" i="187"/>
  <c r="E5" i="187"/>
  <c r="D5" i="187"/>
  <c r="C5" i="187"/>
  <c r="Q4" i="187"/>
  <c r="P4" i="187"/>
  <c r="O4" i="187"/>
  <c r="M4" i="187"/>
  <c r="Z4" i="187" s="1"/>
  <c r="L4" i="187"/>
  <c r="K4" i="187"/>
  <c r="J4" i="187"/>
  <c r="I4" i="187"/>
  <c r="H4" i="187"/>
  <c r="G4" i="187"/>
  <c r="F4" i="187"/>
  <c r="E4" i="187"/>
  <c r="D4" i="187"/>
  <c r="C4" i="187"/>
  <c r="Q22" i="185"/>
  <c r="P22" i="185"/>
  <c r="O22" i="185"/>
  <c r="N22" i="185"/>
  <c r="M22" i="185"/>
  <c r="Z22" i="185" s="1"/>
  <c r="Q21" i="185"/>
  <c r="P21" i="185"/>
  <c r="O21" i="185"/>
  <c r="N21" i="185"/>
  <c r="M21" i="185"/>
  <c r="Z21" i="185" s="1"/>
  <c r="Q20" i="185"/>
  <c r="P20" i="185"/>
  <c r="O20" i="185"/>
  <c r="M20" i="185"/>
  <c r="Z20" i="185" s="1"/>
  <c r="Q19" i="185"/>
  <c r="P19" i="185"/>
  <c r="O19" i="185"/>
  <c r="M19" i="185"/>
  <c r="Z19" i="185" s="1"/>
  <c r="Q18" i="185"/>
  <c r="P18" i="185"/>
  <c r="O18" i="185"/>
  <c r="M18" i="185"/>
  <c r="Z18" i="185" s="1"/>
  <c r="Q17" i="185"/>
  <c r="P17" i="185"/>
  <c r="O17" i="185"/>
  <c r="M17" i="185"/>
  <c r="Z17" i="185" s="1"/>
  <c r="Q16" i="185"/>
  <c r="P16" i="185"/>
  <c r="O16" i="185"/>
  <c r="M16" i="185"/>
  <c r="Z16" i="185" s="1"/>
  <c r="Q15" i="185"/>
  <c r="P15" i="185"/>
  <c r="O15" i="185"/>
  <c r="M15" i="185"/>
  <c r="Z15" i="185" s="1"/>
  <c r="Q14" i="185"/>
  <c r="P14" i="185"/>
  <c r="O14" i="185"/>
  <c r="M14" i="185"/>
  <c r="Z14" i="185" s="1"/>
  <c r="Q13" i="185"/>
  <c r="P13" i="185"/>
  <c r="O13" i="185"/>
  <c r="M13" i="185"/>
  <c r="Z13" i="185" s="1"/>
  <c r="Q12" i="185"/>
  <c r="P12" i="185"/>
  <c r="O12" i="185"/>
  <c r="M12" i="185"/>
  <c r="Z12" i="185" s="1"/>
  <c r="Q11" i="185"/>
  <c r="P11" i="185"/>
  <c r="O11" i="185"/>
  <c r="M11" i="185"/>
  <c r="Z11" i="185" s="1"/>
  <c r="Q10" i="185"/>
  <c r="P10" i="185"/>
  <c r="O10" i="185"/>
  <c r="M10" i="185"/>
  <c r="Z10" i="185" s="1"/>
  <c r="Q9" i="185"/>
  <c r="P9" i="185"/>
  <c r="O9" i="185"/>
  <c r="M9" i="185"/>
  <c r="Z9" i="185" s="1"/>
  <c r="Q7" i="185"/>
  <c r="P7" i="185"/>
  <c r="O7" i="185"/>
  <c r="M7" i="185"/>
  <c r="Z7" i="185" s="1"/>
  <c r="Q6" i="185"/>
  <c r="P6" i="185"/>
  <c r="O6" i="185"/>
  <c r="M6" i="185"/>
  <c r="Z6" i="185" s="1"/>
  <c r="Q5" i="185"/>
  <c r="P5" i="185"/>
  <c r="O5" i="185"/>
  <c r="M5" i="185"/>
  <c r="Z5" i="185" s="1"/>
  <c r="Q4" i="185"/>
  <c r="P4" i="185"/>
  <c r="O4" i="185"/>
  <c r="M4" i="185"/>
  <c r="Z4" i="185" s="1"/>
  <c r="L22" i="185"/>
  <c r="K22" i="185"/>
  <c r="J22" i="185"/>
  <c r="I22" i="185"/>
  <c r="H22" i="185"/>
  <c r="G22" i="185"/>
  <c r="F22" i="185"/>
  <c r="E22" i="185"/>
  <c r="D22" i="185"/>
  <c r="C22" i="185"/>
  <c r="L21" i="185"/>
  <c r="K21" i="185"/>
  <c r="J21" i="185"/>
  <c r="I21" i="185"/>
  <c r="H21" i="185"/>
  <c r="G21" i="185"/>
  <c r="F21" i="185"/>
  <c r="E21" i="185"/>
  <c r="D21" i="185"/>
  <c r="C21" i="185"/>
  <c r="L20" i="185"/>
  <c r="K20" i="185"/>
  <c r="J20" i="185"/>
  <c r="I20" i="185"/>
  <c r="H20" i="185"/>
  <c r="G20" i="185"/>
  <c r="F20" i="185"/>
  <c r="E20" i="185"/>
  <c r="D20" i="185"/>
  <c r="C20" i="185"/>
  <c r="L19" i="185"/>
  <c r="K19" i="185"/>
  <c r="J19" i="185"/>
  <c r="I19" i="185"/>
  <c r="H19" i="185"/>
  <c r="G19" i="185"/>
  <c r="F19" i="185"/>
  <c r="E19" i="185"/>
  <c r="D19" i="185"/>
  <c r="C19" i="185"/>
  <c r="L18" i="185"/>
  <c r="K18" i="185"/>
  <c r="J18" i="185"/>
  <c r="I18" i="185"/>
  <c r="H18" i="185"/>
  <c r="G18" i="185"/>
  <c r="F18" i="185"/>
  <c r="E18" i="185"/>
  <c r="D18" i="185"/>
  <c r="C18" i="185"/>
  <c r="L17" i="185"/>
  <c r="K17" i="185"/>
  <c r="J17" i="185"/>
  <c r="I17" i="185"/>
  <c r="H17" i="185"/>
  <c r="G17" i="185"/>
  <c r="F17" i="185"/>
  <c r="E17" i="185"/>
  <c r="D17" i="185"/>
  <c r="C17" i="185"/>
  <c r="L16" i="185"/>
  <c r="K16" i="185"/>
  <c r="J16" i="185"/>
  <c r="I16" i="185"/>
  <c r="H16" i="185"/>
  <c r="G16" i="185"/>
  <c r="F16" i="185"/>
  <c r="E16" i="185"/>
  <c r="D16" i="185"/>
  <c r="C16" i="185"/>
  <c r="L15" i="185"/>
  <c r="K15" i="185"/>
  <c r="J15" i="185"/>
  <c r="I15" i="185"/>
  <c r="H15" i="185"/>
  <c r="G15" i="185"/>
  <c r="F15" i="185"/>
  <c r="E15" i="185"/>
  <c r="D15" i="185"/>
  <c r="C15" i="185"/>
  <c r="L14" i="185"/>
  <c r="K14" i="185"/>
  <c r="J14" i="185"/>
  <c r="I14" i="185"/>
  <c r="H14" i="185"/>
  <c r="G14" i="185"/>
  <c r="F14" i="185"/>
  <c r="E14" i="185"/>
  <c r="D14" i="185"/>
  <c r="C14" i="185"/>
  <c r="L13" i="185"/>
  <c r="K13" i="185"/>
  <c r="J13" i="185"/>
  <c r="I13" i="185"/>
  <c r="H13" i="185"/>
  <c r="G13" i="185"/>
  <c r="F13" i="185"/>
  <c r="E13" i="185"/>
  <c r="D13" i="185"/>
  <c r="C13" i="185"/>
  <c r="L12" i="185"/>
  <c r="K12" i="185"/>
  <c r="J12" i="185"/>
  <c r="I12" i="185"/>
  <c r="H12" i="185"/>
  <c r="G12" i="185"/>
  <c r="F12" i="185"/>
  <c r="E12" i="185"/>
  <c r="D12" i="185"/>
  <c r="C12" i="185"/>
  <c r="L11" i="185"/>
  <c r="K11" i="185"/>
  <c r="J11" i="185"/>
  <c r="I11" i="185"/>
  <c r="H11" i="185"/>
  <c r="G11" i="185"/>
  <c r="F11" i="185"/>
  <c r="E11" i="185"/>
  <c r="D11" i="185"/>
  <c r="C11" i="185"/>
  <c r="L10" i="185"/>
  <c r="K10" i="185"/>
  <c r="J10" i="185"/>
  <c r="I10" i="185"/>
  <c r="H10" i="185"/>
  <c r="G10" i="185"/>
  <c r="F10" i="185"/>
  <c r="E10" i="185"/>
  <c r="D10" i="185"/>
  <c r="C10" i="185"/>
  <c r="L9" i="185"/>
  <c r="K9" i="185"/>
  <c r="J9" i="185"/>
  <c r="I9" i="185"/>
  <c r="H9" i="185"/>
  <c r="G9" i="185"/>
  <c r="F9" i="185"/>
  <c r="E9" i="185"/>
  <c r="D9" i="185"/>
  <c r="C9" i="185"/>
  <c r="L8" i="185"/>
  <c r="K8" i="185"/>
  <c r="J8" i="185"/>
  <c r="I8" i="185"/>
  <c r="H8" i="185"/>
  <c r="G8" i="185"/>
  <c r="F8" i="185"/>
  <c r="E8" i="185"/>
  <c r="D8" i="185"/>
  <c r="C8" i="185"/>
  <c r="L7" i="185"/>
  <c r="K7" i="185"/>
  <c r="J7" i="185"/>
  <c r="I7" i="185"/>
  <c r="H7" i="185"/>
  <c r="G7" i="185"/>
  <c r="F7" i="185"/>
  <c r="E7" i="185"/>
  <c r="D7" i="185"/>
  <c r="C7" i="185"/>
  <c r="L6" i="185"/>
  <c r="K6" i="185"/>
  <c r="J6" i="185"/>
  <c r="I6" i="185"/>
  <c r="H6" i="185"/>
  <c r="G6" i="185"/>
  <c r="F6" i="185"/>
  <c r="E6" i="185"/>
  <c r="D6" i="185"/>
  <c r="C6" i="185"/>
  <c r="L5" i="185"/>
  <c r="K5" i="185"/>
  <c r="J5" i="185"/>
  <c r="I5" i="185"/>
  <c r="H5" i="185"/>
  <c r="G5" i="185"/>
  <c r="F5" i="185"/>
  <c r="E5" i="185"/>
  <c r="D5" i="185"/>
  <c r="C5" i="185"/>
  <c r="L4" i="185"/>
  <c r="K4" i="185"/>
  <c r="J4" i="185"/>
  <c r="I4" i="185"/>
  <c r="H4" i="185"/>
  <c r="G4" i="185"/>
  <c r="F4" i="185"/>
  <c r="E4" i="185"/>
  <c r="D4" i="185"/>
  <c r="C4" i="185"/>
  <c r="I38" i="189"/>
  <c r="H38" i="189"/>
  <c r="G38" i="189"/>
  <c r="F38" i="189"/>
  <c r="E38" i="189"/>
  <c r="D38" i="189"/>
  <c r="C38" i="189"/>
  <c r="I37" i="189"/>
  <c r="H37" i="189"/>
  <c r="G37" i="189"/>
  <c r="F37" i="189"/>
  <c r="E37" i="189"/>
  <c r="D37" i="189"/>
  <c r="C37" i="189"/>
  <c r="I36" i="189"/>
  <c r="H36" i="189"/>
  <c r="G36" i="189"/>
  <c r="F36" i="189"/>
  <c r="E36" i="189"/>
  <c r="D36" i="189"/>
  <c r="C36" i="189"/>
  <c r="I35" i="189"/>
  <c r="H35" i="189"/>
  <c r="G35" i="189"/>
  <c r="F35" i="189"/>
  <c r="E35" i="189"/>
  <c r="D35" i="189"/>
  <c r="C35" i="189"/>
  <c r="I34" i="189"/>
  <c r="H34" i="189"/>
  <c r="G34" i="189"/>
  <c r="F34" i="189"/>
  <c r="E34" i="189"/>
  <c r="D34" i="189"/>
  <c r="C34" i="189"/>
  <c r="I33" i="189"/>
  <c r="H33" i="189"/>
  <c r="G33" i="189"/>
  <c r="F33" i="189"/>
  <c r="E33" i="189"/>
  <c r="D33" i="189"/>
  <c r="C33" i="189"/>
  <c r="I32" i="189"/>
  <c r="H32" i="189"/>
  <c r="G32" i="189"/>
  <c r="F32" i="189"/>
  <c r="E32" i="189"/>
  <c r="D32" i="189"/>
  <c r="C32" i="189"/>
  <c r="I31" i="189"/>
  <c r="H31" i="189"/>
  <c r="G31" i="189"/>
  <c r="F31" i="189"/>
  <c r="E31" i="189"/>
  <c r="D31" i="189"/>
  <c r="C31" i="189"/>
  <c r="I30" i="189"/>
  <c r="H30" i="189"/>
  <c r="G30" i="189"/>
  <c r="F30" i="189"/>
  <c r="E30" i="189"/>
  <c r="D30" i="189"/>
  <c r="C30" i="189"/>
  <c r="I29" i="189"/>
  <c r="H29" i="189"/>
  <c r="G29" i="189"/>
  <c r="F29" i="189"/>
  <c r="E29" i="189"/>
  <c r="D29" i="189"/>
  <c r="C29" i="189"/>
  <c r="I28" i="189"/>
  <c r="H28" i="189"/>
  <c r="G28" i="189"/>
  <c r="F28" i="189"/>
  <c r="E28" i="189"/>
  <c r="D28" i="189"/>
  <c r="C28" i="189"/>
  <c r="I27" i="189"/>
  <c r="H27" i="189"/>
  <c r="G27" i="189"/>
  <c r="F27" i="189"/>
  <c r="E27" i="189"/>
  <c r="D27" i="189"/>
  <c r="C27" i="189"/>
  <c r="I26" i="189"/>
  <c r="H26" i="189"/>
  <c r="G26" i="189"/>
  <c r="F26" i="189"/>
  <c r="E26" i="189"/>
  <c r="D26" i="189"/>
  <c r="C26" i="189"/>
  <c r="I25" i="189"/>
  <c r="H25" i="189"/>
  <c r="G25" i="189"/>
  <c r="F25" i="189"/>
  <c r="E25" i="189"/>
  <c r="D25" i="189"/>
  <c r="C25" i="189"/>
  <c r="I24" i="189"/>
  <c r="H24" i="189"/>
  <c r="G24" i="189"/>
  <c r="F24" i="189"/>
  <c r="E24" i="189"/>
  <c r="D24" i="189"/>
  <c r="C24" i="189"/>
  <c r="I23" i="189"/>
  <c r="H23" i="189"/>
  <c r="G23" i="189"/>
  <c r="F23" i="189"/>
  <c r="E23" i="189"/>
  <c r="D23" i="189"/>
  <c r="C23" i="189"/>
  <c r="I22" i="189"/>
  <c r="H22" i="189"/>
  <c r="G22" i="189"/>
  <c r="F22" i="189"/>
  <c r="E22" i="189"/>
  <c r="D22" i="189"/>
  <c r="C22" i="189"/>
  <c r="I21" i="189"/>
  <c r="H21" i="189"/>
  <c r="G21" i="189"/>
  <c r="F21" i="189"/>
  <c r="E21" i="189"/>
  <c r="D21" i="189"/>
  <c r="C21" i="189"/>
  <c r="I20" i="189"/>
  <c r="H20" i="189"/>
  <c r="G20" i="189"/>
  <c r="F20" i="189"/>
  <c r="E20" i="189"/>
  <c r="D20" i="189"/>
  <c r="C20" i="189"/>
  <c r="I19" i="189"/>
  <c r="H19" i="189"/>
  <c r="G19" i="189"/>
  <c r="F19" i="189"/>
  <c r="E19" i="189"/>
  <c r="D19" i="189"/>
  <c r="C19" i="189"/>
  <c r="I18" i="189"/>
  <c r="H18" i="189"/>
  <c r="G18" i="189"/>
  <c r="F18" i="189"/>
  <c r="E18" i="189"/>
  <c r="D18" i="189"/>
  <c r="C18" i="189"/>
  <c r="I17" i="189"/>
  <c r="H17" i="189"/>
  <c r="G17" i="189"/>
  <c r="F17" i="189"/>
  <c r="E17" i="189"/>
  <c r="D17" i="189"/>
  <c r="C17" i="189"/>
  <c r="I16" i="189"/>
  <c r="H16" i="189"/>
  <c r="G16" i="189"/>
  <c r="F16" i="189"/>
  <c r="E16" i="189"/>
  <c r="D16" i="189"/>
  <c r="C16" i="189"/>
  <c r="I15" i="189"/>
  <c r="H15" i="189"/>
  <c r="G15" i="189"/>
  <c r="F15" i="189"/>
  <c r="E15" i="189"/>
  <c r="D15" i="189"/>
  <c r="C15" i="189"/>
  <c r="I14" i="189"/>
  <c r="H14" i="189"/>
  <c r="G14" i="189"/>
  <c r="F14" i="189"/>
  <c r="E14" i="189"/>
  <c r="D14" i="189"/>
  <c r="C14" i="189"/>
  <c r="I13" i="189"/>
  <c r="H13" i="189"/>
  <c r="G13" i="189"/>
  <c r="F13" i="189"/>
  <c r="E13" i="189"/>
  <c r="D13" i="189"/>
  <c r="C13" i="189"/>
  <c r="I12" i="189"/>
  <c r="H12" i="189"/>
  <c r="G12" i="189"/>
  <c r="F12" i="189"/>
  <c r="E12" i="189"/>
  <c r="D12" i="189"/>
  <c r="C12" i="189"/>
  <c r="I11" i="189"/>
  <c r="H11" i="189"/>
  <c r="G11" i="189"/>
  <c r="F11" i="189"/>
  <c r="E11" i="189"/>
  <c r="D11" i="189"/>
  <c r="C11" i="189"/>
  <c r="I10" i="189"/>
  <c r="H10" i="189"/>
  <c r="G10" i="189"/>
  <c r="F10" i="189"/>
  <c r="E10" i="189"/>
  <c r="D10" i="189"/>
  <c r="C10" i="189"/>
  <c r="I9" i="189"/>
  <c r="H9" i="189"/>
  <c r="G9" i="189"/>
  <c r="F9" i="189"/>
  <c r="E9" i="189"/>
  <c r="D9" i="189"/>
  <c r="C9" i="189"/>
  <c r="I8" i="189"/>
  <c r="H8" i="189"/>
  <c r="G8" i="189"/>
  <c r="F8" i="189"/>
  <c r="E8" i="189"/>
  <c r="D8" i="189"/>
  <c r="C8" i="189"/>
  <c r="I7" i="189"/>
  <c r="H7" i="189"/>
  <c r="G7" i="189"/>
  <c r="F7" i="189"/>
  <c r="E7" i="189"/>
  <c r="D7" i="189"/>
  <c r="C7" i="189"/>
  <c r="I6" i="189"/>
  <c r="H6" i="189"/>
  <c r="G6" i="189"/>
  <c r="F6" i="189"/>
  <c r="E6" i="189"/>
  <c r="D6" i="189"/>
  <c r="C6" i="189"/>
  <c r="I5" i="189"/>
  <c r="H5" i="189"/>
  <c r="G5" i="189"/>
  <c r="F5" i="189"/>
  <c r="E5" i="189"/>
  <c r="D5" i="189"/>
  <c r="C5" i="189"/>
  <c r="M5" i="189"/>
  <c r="Z5" i="189" s="1"/>
  <c r="AF38" i="189"/>
  <c r="AN38" i="189" s="1"/>
  <c r="AE38" i="189"/>
  <c r="AM38" i="189" s="1"/>
  <c r="AF37" i="189"/>
  <c r="AN37" i="189" s="1"/>
  <c r="AE37" i="189"/>
  <c r="AM37" i="189" s="1"/>
  <c r="AF36" i="189"/>
  <c r="AN36" i="189" s="1"/>
  <c r="AE36" i="189"/>
  <c r="AM36" i="189" s="1"/>
  <c r="AF35" i="189"/>
  <c r="AN35" i="189" s="1"/>
  <c r="AE35" i="189"/>
  <c r="AM35" i="189" s="1"/>
  <c r="AF34" i="189"/>
  <c r="AN34" i="189" s="1"/>
  <c r="AE34" i="189"/>
  <c r="AM34" i="189" s="1"/>
  <c r="AF33" i="189"/>
  <c r="AN33" i="189" s="1"/>
  <c r="AE33" i="189"/>
  <c r="AM33" i="189" s="1"/>
  <c r="AF32" i="189"/>
  <c r="AN32" i="189" s="1"/>
  <c r="AE32" i="189"/>
  <c r="AM32" i="189" s="1"/>
  <c r="AF31" i="189"/>
  <c r="AN31" i="189" s="1"/>
  <c r="AE31" i="189"/>
  <c r="AM31" i="189" s="1"/>
  <c r="AF30" i="189"/>
  <c r="AN30" i="189" s="1"/>
  <c r="AE30" i="189"/>
  <c r="AM30" i="189" s="1"/>
  <c r="AF29" i="189"/>
  <c r="AN29" i="189" s="1"/>
  <c r="AE29" i="189"/>
  <c r="AM29" i="189" s="1"/>
  <c r="AF28" i="189"/>
  <c r="AN28" i="189" s="1"/>
  <c r="AE28" i="189"/>
  <c r="AM28" i="189" s="1"/>
  <c r="AF27" i="189"/>
  <c r="AN27" i="189" s="1"/>
  <c r="AE27" i="189"/>
  <c r="AM27" i="189" s="1"/>
  <c r="AF26" i="189"/>
  <c r="AN26" i="189" s="1"/>
  <c r="AE26" i="189"/>
  <c r="AM26" i="189" s="1"/>
  <c r="AF25" i="189"/>
  <c r="AN25" i="189" s="1"/>
  <c r="AE25" i="189"/>
  <c r="AM25" i="189" s="1"/>
  <c r="AF24" i="189"/>
  <c r="AN24" i="189" s="1"/>
  <c r="AE24" i="189"/>
  <c r="AM24" i="189" s="1"/>
  <c r="AF23" i="189"/>
  <c r="AN23" i="189" s="1"/>
  <c r="AE23" i="189"/>
  <c r="AM23" i="189" s="1"/>
  <c r="AF22" i="189"/>
  <c r="AN22" i="189" s="1"/>
  <c r="AE22" i="189"/>
  <c r="AM22" i="189" s="1"/>
  <c r="AF21" i="189"/>
  <c r="AN21" i="189" s="1"/>
  <c r="AE21" i="189"/>
  <c r="AM21" i="189" s="1"/>
  <c r="AF20" i="189"/>
  <c r="AN20" i="189" s="1"/>
  <c r="AE20" i="189"/>
  <c r="AM20" i="189" s="1"/>
  <c r="AF19" i="189"/>
  <c r="AN19" i="189" s="1"/>
  <c r="AE19" i="189"/>
  <c r="AM19" i="189" s="1"/>
  <c r="AF18" i="189"/>
  <c r="AN18" i="189" s="1"/>
  <c r="AE18" i="189"/>
  <c r="AM18" i="189" s="1"/>
  <c r="AF17" i="189"/>
  <c r="AN17" i="189" s="1"/>
  <c r="AE17" i="189"/>
  <c r="AM17" i="189" s="1"/>
  <c r="AF16" i="189"/>
  <c r="AN16" i="189" s="1"/>
  <c r="AE16" i="189"/>
  <c r="AM16" i="189" s="1"/>
  <c r="AF15" i="189"/>
  <c r="AN15" i="189" s="1"/>
  <c r="AE15" i="189"/>
  <c r="AM15" i="189" s="1"/>
  <c r="AF14" i="189"/>
  <c r="AN14" i="189" s="1"/>
  <c r="AE14" i="189"/>
  <c r="AM14" i="189" s="1"/>
  <c r="AF13" i="189"/>
  <c r="AN13" i="189" s="1"/>
  <c r="AE13" i="189"/>
  <c r="AM13" i="189" s="1"/>
  <c r="AF12" i="189"/>
  <c r="AN12" i="189" s="1"/>
  <c r="AE12" i="189"/>
  <c r="AM12" i="189" s="1"/>
  <c r="AF11" i="189"/>
  <c r="AN11" i="189" s="1"/>
  <c r="AE11" i="189"/>
  <c r="AM11" i="189" s="1"/>
  <c r="AF10" i="189"/>
  <c r="AN10" i="189" s="1"/>
  <c r="AE10" i="189"/>
  <c r="AM10" i="189" s="1"/>
  <c r="AF9" i="189"/>
  <c r="AN9" i="189" s="1"/>
  <c r="AE9" i="189"/>
  <c r="AM9" i="189" s="1"/>
  <c r="AF7" i="189"/>
  <c r="AN7" i="189" s="1"/>
  <c r="AE7" i="189"/>
  <c r="AM7" i="189" s="1"/>
  <c r="AF6" i="189"/>
  <c r="AN6" i="189" s="1"/>
  <c r="AE6" i="189"/>
  <c r="AM6" i="189" s="1"/>
  <c r="Q38" i="189"/>
  <c r="AD38" i="189" s="1"/>
  <c r="AL38" i="189" s="1"/>
  <c r="P38" i="189"/>
  <c r="AC38" i="189" s="1"/>
  <c r="O38" i="189"/>
  <c r="AB38" i="189" s="1"/>
  <c r="M38" i="189"/>
  <c r="Z38" i="189" s="1"/>
  <c r="AH38" i="189" s="1"/>
  <c r="Q37" i="189"/>
  <c r="AD37" i="189" s="1"/>
  <c r="AL37" i="189" s="1"/>
  <c r="P37" i="189"/>
  <c r="AC37" i="189" s="1"/>
  <c r="O37" i="189"/>
  <c r="AB37" i="189" s="1"/>
  <c r="M37" i="189"/>
  <c r="Z37" i="189" s="1"/>
  <c r="AH37" i="189" s="1"/>
  <c r="Q36" i="189"/>
  <c r="AD36" i="189" s="1"/>
  <c r="AL36" i="189" s="1"/>
  <c r="P36" i="189"/>
  <c r="AC36" i="189" s="1"/>
  <c r="O36" i="189"/>
  <c r="AB36" i="189" s="1"/>
  <c r="M36" i="189"/>
  <c r="Z36" i="189" s="1"/>
  <c r="AH36" i="189" s="1"/>
  <c r="Q35" i="189"/>
  <c r="AD35" i="189" s="1"/>
  <c r="AL35" i="189" s="1"/>
  <c r="P35" i="189"/>
  <c r="AC35" i="189" s="1"/>
  <c r="O35" i="189"/>
  <c r="AB35" i="189" s="1"/>
  <c r="M35" i="189"/>
  <c r="Z35" i="189" s="1"/>
  <c r="AH35" i="189" s="1"/>
  <c r="Q34" i="189"/>
  <c r="AD34" i="189" s="1"/>
  <c r="AL34" i="189" s="1"/>
  <c r="P34" i="189"/>
  <c r="AC34" i="189" s="1"/>
  <c r="O34" i="189"/>
  <c r="AB34" i="189" s="1"/>
  <c r="M34" i="189"/>
  <c r="Z34" i="189" s="1"/>
  <c r="AH34" i="189" s="1"/>
  <c r="Q33" i="189"/>
  <c r="AD33" i="189" s="1"/>
  <c r="AL33" i="189" s="1"/>
  <c r="P33" i="189"/>
  <c r="AC33" i="189" s="1"/>
  <c r="O33" i="189"/>
  <c r="AB33" i="189" s="1"/>
  <c r="M33" i="189"/>
  <c r="Z33" i="189" s="1"/>
  <c r="AH33" i="189" s="1"/>
  <c r="Q32" i="189"/>
  <c r="AD32" i="189" s="1"/>
  <c r="AL32" i="189" s="1"/>
  <c r="P32" i="189"/>
  <c r="AC32" i="189" s="1"/>
  <c r="O32" i="189"/>
  <c r="AB32" i="189" s="1"/>
  <c r="M32" i="189"/>
  <c r="Z32" i="189" s="1"/>
  <c r="AH32" i="189" s="1"/>
  <c r="Q31" i="189"/>
  <c r="AD31" i="189" s="1"/>
  <c r="AL31" i="189" s="1"/>
  <c r="P31" i="189"/>
  <c r="AC31" i="189" s="1"/>
  <c r="O31" i="189"/>
  <c r="AB31" i="189" s="1"/>
  <c r="M31" i="189"/>
  <c r="Z31" i="189" s="1"/>
  <c r="AH31" i="189" s="1"/>
  <c r="Q30" i="189"/>
  <c r="AD30" i="189" s="1"/>
  <c r="AL30" i="189" s="1"/>
  <c r="P30" i="189"/>
  <c r="AC30" i="189" s="1"/>
  <c r="O30" i="189"/>
  <c r="AB30" i="189" s="1"/>
  <c r="M30" i="189"/>
  <c r="Z30" i="189" s="1"/>
  <c r="AH30" i="189" s="1"/>
  <c r="Q29" i="189"/>
  <c r="AD29" i="189" s="1"/>
  <c r="AL29" i="189" s="1"/>
  <c r="P29" i="189"/>
  <c r="AC29" i="189" s="1"/>
  <c r="O29" i="189"/>
  <c r="AB29" i="189" s="1"/>
  <c r="M29" i="189"/>
  <c r="Z29" i="189" s="1"/>
  <c r="AH29" i="189" s="1"/>
  <c r="Q28" i="189"/>
  <c r="AD28" i="189" s="1"/>
  <c r="AL28" i="189" s="1"/>
  <c r="P28" i="189"/>
  <c r="AC28" i="189" s="1"/>
  <c r="O28" i="189"/>
  <c r="AB28" i="189" s="1"/>
  <c r="M28" i="189"/>
  <c r="Z28" i="189" s="1"/>
  <c r="AH28" i="189" s="1"/>
  <c r="Q27" i="189"/>
  <c r="AD27" i="189" s="1"/>
  <c r="AL27" i="189" s="1"/>
  <c r="P27" i="189"/>
  <c r="AC27" i="189" s="1"/>
  <c r="O27" i="189"/>
  <c r="AB27" i="189" s="1"/>
  <c r="M27" i="189"/>
  <c r="Z27" i="189" s="1"/>
  <c r="AH27" i="189" s="1"/>
  <c r="Q26" i="189"/>
  <c r="AD26" i="189" s="1"/>
  <c r="AL26" i="189" s="1"/>
  <c r="P26" i="189"/>
  <c r="AC26" i="189" s="1"/>
  <c r="O26" i="189"/>
  <c r="AB26" i="189" s="1"/>
  <c r="M26" i="189"/>
  <c r="Z26" i="189" s="1"/>
  <c r="AH26" i="189" s="1"/>
  <c r="Q25" i="189"/>
  <c r="AD25" i="189" s="1"/>
  <c r="AL25" i="189" s="1"/>
  <c r="P25" i="189"/>
  <c r="AC25" i="189" s="1"/>
  <c r="O25" i="189"/>
  <c r="AB25" i="189" s="1"/>
  <c r="M25" i="189"/>
  <c r="Z25" i="189" s="1"/>
  <c r="AH25" i="189" s="1"/>
  <c r="Q24" i="189"/>
  <c r="AD24" i="189" s="1"/>
  <c r="AL24" i="189" s="1"/>
  <c r="P24" i="189"/>
  <c r="AC24" i="189" s="1"/>
  <c r="O24" i="189"/>
  <c r="AB24" i="189" s="1"/>
  <c r="M24" i="189"/>
  <c r="Z24" i="189" s="1"/>
  <c r="AH24" i="189" s="1"/>
  <c r="Q23" i="189"/>
  <c r="AD23" i="189" s="1"/>
  <c r="AL23" i="189" s="1"/>
  <c r="P23" i="189"/>
  <c r="AC23" i="189" s="1"/>
  <c r="O23" i="189"/>
  <c r="AB23" i="189" s="1"/>
  <c r="M23" i="189"/>
  <c r="Z23" i="189" s="1"/>
  <c r="AH23" i="189" s="1"/>
  <c r="Q22" i="189"/>
  <c r="AD22" i="189" s="1"/>
  <c r="AL22" i="189" s="1"/>
  <c r="P22" i="189"/>
  <c r="AC22" i="189" s="1"/>
  <c r="O22" i="189"/>
  <c r="AB22" i="189" s="1"/>
  <c r="M22" i="189"/>
  <c r="Z22" i="189" s="1"/>
  <c r="AH22" i="189" s="1"/>
  <c r="Q21" i="189"/>
  <c r="AD21" i="189" s="1"/>
  <c r="AL21" i="189" s="1"/>
  <c r="P21" i="189"/>
  <c r="AC21" i="189" s="1"/>
  <c r="O21" i="189"/>
  <c r="AB21" i="189" s="1"/>
  <c r="M21" i="189"/>
  <c r="Z21" i="189" s="1"/>
  <c r="AH21" i="189" s="1"/>
  <c r="Q20" i="189"/>
  <c r="AD20" i="189" s="1"/>
  <c r="AL20" i="189" s="1"/>
  <c r="P20" i="189"/>
  <c r="AC20" i="189" s="1"/>
  <c r="O20" i="189"/>
  <c r="AB20" i="189" s="1"/>
  <c r="M20" i="189"/>
  <c r="Z20" i="189" s="1"/>
  <c r="AH20" i="189" s="1"/>
  <c r="Q19" i="189"/>
  <c r="AD19" i="189" s="1"/>
  <c r="AL19" i="189" s="1"/>
  <c r="P19" i="189"/>
  <c r="AC19" i="189" s="1"/>
  <c r="O19" i="189"/>
  <c r="AB19" i="189" s="1"/>
  <c r="M19" i="189"/>
  <c r="Z19" i="189" s="1"/>
  <c r="AH19" i="189" s="1"/>
  <c r="Q18" i="189"/>
  <c r="AD18" i="189" s="1"/>
  <c r="AL18" i="189" s="1"/>
  <c r="P18" i="189"/>
  <c r="AC18" i="189" s="1"/>
  <c r="O18" i="189"/>
  <c r="AB18" i="189" s="1"/>
  <c r="M18" i="189"/>
  <c r="Z18" i="189" s="1"/>
  <c r="AH18" i="189" s="1"/>
  <c r="Q17" i="189"/>
  <c r="AD17" i="189" s="1"/>
  <c r="AL17" i="189" s="1"/>
  <c r="P17" i="189"/>
  <c r="AC17" i="189" s="1"/>
  <c r="O17" i="189"/>
  <c r="AB17" i="189" s="1"/>
  <c r="M17" i="189"/>
  <c r="Z17" i="189" s="1"/>
  <c r="AH17" i="189" s="1"/>
  <c r="Q16" i="189"/>
  <c r="AD16" i="189" s="1"/>
  <c r="AL16" i="189" s="1"/>
  <c r="P16" i="189"/>
  <c r="AC16" i="189" s="1"/>
  <c r="O16" i="189"/>
  <c r="AB16" i="189" s="1"/>
  <c r="M16" i="189"/>
  <c r="Z16" i="189" s="1"/>
  <c r="AH16" i="189" s="1"/>
  <c r="Q15" i="189"/>
  <c r="AD15" i="189" s="1"/>
  <c r="AL15" i="189" s="1"/>
  <c r="P15" i="189"/>
  <c r="AC15" i="189" s="1"/>
  <c r="O15" i="189"/>
  <c r="AB15" i="189" s="1"/>
  <c r="M15" i="189"/>
  <c r="Z15" i="189" s="1"/>
  <c r="AH15" i="189" s="1"/>
  <c r="Q14" i="189"/>
  <c r="AD14" i="189" s="1"/>
  <c r="AL14" i="189" s="1"/>
  <c r="P14" i="189"/>
  <c r="AC14" i="189" s="1"/>
  <c r="O14" i="189"/>
  <c r="AB14" i="189" s="1"/>
  <c r="M14" i="189"/>
  <c r="Z14" i="189" s="1"/>
  <c r="AH14" i="189" s="1"/>
  <c r="Q13" i="189"/>
  <c r="AD13" i="189" s="1"/>
  <c r="AL13" i="189" s="1"/>
  <c r="P13" i="189"/>
  <c r="AC13" i="189" s="1"/>
  <c r="O13" i="189"/>
  <c r="AB13" i="189" s="1"/>
  <c r="M13" i="189"/>
  <c r="Z13" i="189" s="1"/>
  <c r="AH13" i="189" s="1"/>
  <c r="Q12" i="189"/>
  <c r="AD12" i="189" s="1"/>
  <c r="AL12" i="189" s="1"/>
  <c r="P12" i="189"/>
  <c r="AC12" i="189" s="1"/>
  <c r="O12" i="189"/>
  <c r="AB12" i="189" s="1"/>
  <c r="M12" i="189"/>
  <c r="Z12" i="189" s="1"/>
  <c r="AH12" i="189" s="1"/>
  <c r="Q11" i="189"/>
  <c r="AD11" i="189" s="1"/>
  <c r="AL11" i="189" s="1"/>
  <c r="P11" i="189"/>
  <c r="AC11" i="189" s="1"/>
  <c r="O11" i="189"/>
  <c r="AB11" i="189" s="1"/>
  <c r="M11" i="189"/>
  <c r="Z11" i="189" s="1"/>
  <c r="AH11" i="189" s="1"/>
  <c r="Q10" i="189"/>
  <c r="AD10" i="189" s="1"/>
  <c r="AL10" i="189" s="1"/>
  <c r="P10" i="189"/>
  <c r="AC10" i="189" s="1"/>
  <c r="O10" i="189"/>
  <c r="AB10" i="189" s="1"/>
  <c r="M10" i="189"/>
  <c r="Z10" i="189" s="1"/>
  <c r="AH10" i="189" s="1"/>
  <c r="Q9" i="189"/>
  <c r="AD9" i="189" s="1"/>
  <c r="AL9" i="189" s="1"/>
  <c r="P9" i="189"/>
  <c r="AC9" i="189" s="1"/>
  <c r="O9" i="189"/>
  <c r="AB9" i="189" s="1"/>
  <c r="M9" i="189"/>
  <c r="Z9" i="189" s="1"/>
  <c r="AH9" i="189" s="1"/>
  <c r="Q7" i="189"/>
  <c r="AD7" i="189" s="1"/>
  <c r="AL7" i="189" s="1"/>
  <c r="P7" i="189"/>
  <c r="AC7" i="189" s="1"/>
  <c r="O7" i="189"/>
  <c r="AB7" i="189" s="1"/>
  <c r="M7" i="189"/>
  <c r="Q6" i="189"/>
  <c r="AD6" i="189" s="1"/>
  <c r="AL6" i="189" s="1"/>
  <c r="P6" i="189"/>
  <c r="AC6" i="189" s="1"/>
  <c r="O6" i="189"/>
  <c r="AB6" i="189" s="1"/>
  <c r="M6" i="189"/>
  <c r="Z6" i="189" s="1"/>
  <c r="Q5" i="189"/>
  <c r="AD5" i="189" s="1"/>
  <c r="AL5" i="189" s="1"/>
  <c r="P5" i="189"/>
  <c r="AC5" i="189" s="1"/>
  <c r="O5" i="189"/>
  <c r="AB5" i="189" s="1"/>
  <c r="AF8" i="189"/>
  <c r="AN8" i="189" s="1"/>
  <c r="AE8" i="189"/>
  <c r="AM8" i="189" s="1"/>
  <c r="AD8" i="189"/>
  <c r="AL8" i="189" s="1"/>
  <c r="AK8" i="189"/>
  <c r="AJ8" i="189"/>
  <c r="AA8" i="189"/>
  <c r="Z8" i="189"/>
  <c r="AH8" i="189" s="1"/>
  <c r="T8" i="189"/>
  <c r="AF5" i="189"/>
  <c r="AN5" i="189" s="1"/>
  <c r="AE5" i="189"/>
  <c r="AM5" i="189" s="1"/>
  <c r="A6" i="189"/>
  <c r="A7" i="189" s="1"/>
  <c r="A8" i="189" s="1"/>
  <c r="A9" i="189" s="1"/>
  <c r="A10" i="189" s="1"/>
  <c r="A11" i="189" s="1"/>
  <c r="A444" i="192" l="1"/>
  <c r="A445" i="192" s="1"/>
  <c r="A446" i="192" s="1"/>
  <c r="A447" i="192" s="1"/>
  <c r="A448" i="192" s="1"/>
  <c r="A449" i="192" s="1"/>
  <c r="A450" i="192" s="1"/>
  <c r="A451" i="192" s="1"/>
  <c r="A452" i="192" s="1"/>
  <c r="A453" i="192" s="1"/>
  <c r="A454" i="192" s="1"/>
  <c r="A455" i="192" s="1"/>
  <c r="A456" i="192" s="1"/>
  <c r="A457" i="192" s="1"/>
  <c r="A458" i="192" s="1"/>
  <c r="A459" i="192" s="1"/>
  <c r="A460" i="192" s="1"/>
  <c r="A461" i="192" s="1"/>
  <c r="A462" i="192" s="1"/>
  <c r="AJ14" i="193"/>
  <c r="A12" i="189"/>
  <c r="A13" i="189" s="1"/>
  <c r="A14" i="189" s="1"/>
  <c r="A15" i="189" s="1"/>
  <c r="A16" i="189" s="1"/>
  <c r="A17" i="189" s="1"/>
  <c r="A18" i="189" s="1"/>
  <c r="A19" i="189" s="1"/>
  <c r="A20" i="189" s="1"/>
  <c r="A21" i="189" s="1"/>
  <c r="A22" i="189" s="1"/>
  <c r="A23" i="189" s="1"/>
  <c r="A24" i="189" s="1"/>
  <c r="A25" i="189" s="1"/>
  <c r="A26" i="189" s="1"/>
  <c r="A27" i="189" s="1"/>
  <c r="A28" i="189" s="1"/>
  <c r="A29" i="189" s="1"/>
  <c r="A30" i="189" s="1"/>
  <c r="A31" i="189" s="1"/>
  <c r="A32" i="189" s="1"/>
  <c r="A33" i="189" s="1"/>
  <c r="A34" i="189" s="1"/>
  <c r="A35" i="189" s="1"/>
  <c r="A36" i="189" s="1"/>
  <c r="A37" i="189" s="1"/>
  <c r="A38" i="189" s="1"/>
  <c r="AJ5" i="189"/>
  <c r="AJ6" i="189"/>
  <c r="AJ7" i="189"/>
  <c r="AJ11" i="189"/>
  <c r="AJ12" i="189"/>
  <c r="AJ13" i="189"/>
  <c r="AJ14" i="189"/>
  <c r="AJ15" i="189"/>
  <c r="AJ16" i="189"/>
  <c r="AJ17" i="189"/>
  <c r="AJ18" i="189"/>
  <c r="AJ19" i="189"/>
  <c r="AJ20" i="189"/>
  <c r="AJ21" i="189"/>
  <c r="AJ22" i="189"/>
  <c r="AJ23" i="189"/>
  <c r="AJ24" i="189"/>
  <c r="AJ25" i="189"/>
  <c r="AJ26" i="189"/>
  <c r="AJ27" i="189"/>
  <c r="AJ28" i="189"/>
  <c r="AJ29" i="189"/>
  <c r="AJ30" i="189"/>
  <c r="AJ31" i="189"/>
  <c r="AJ32" i="189"/>
  <c r="AJ33" i="189"/>
  <c r="AJ34" i="189"/>
  <c r="AJ35" i="189"/>
  <c r="AJ36" i="189"/>
  <c r="AJ37" i="189"/>
  <c r="AJ38" i="189"/>
  <c r="AK5" i="189"/>
  <c r="AK6" i="189"/>
  <c r="AK7" i="189"/>
  <c r="AK10" i="189"/>
  <c r="AK11" i="189"/>
  <c r="AK13" i="189"/>
  <c r="AK15" i="189"/>
  <c r="AK19" i="189"/>
  <c r="AK21" i="189"/>
  <c r="AK22" i="189"/>
  <c r="AK24" i="189"/>
  <c r="AK25" i="189"/>
  <c r="AK28" i="189"/>
  <c r="AK31" i="189"/>
  <c r="AK33" i="189"/>
  <c r="AK35" i="189"/>
  <c r="AK38" i="189"/>
  <c r="AK9" i="189"/>
  <c r="AK12" i="189"/>
  <c r="AK14" i="189"/>
  <c r="AK16" i="189"/>
  <c r="AK17" i="189"/>
  <c r="AK18" i="189"/>
  <c r="AK20" i="189"/>
  <c r="AK23" i="189"/>
  <c r="AK26" i="189"/>
  <c r="AK27" i="189"/>
  <c r="AK29" i="189"/>
  <c r="AK30" i="189"/>
  <c r="AK32" i="189"/>
  <c r="AK34" i="189"/>
  <c r="AK36" i="189"/>
  <c r="AK37" i="189"/>
  <c r="AG8" i="189"/>
  <c r="AO8" i="189" s="1"/>
  <c r="T23" i="185"/>
  <c r="T24" i="185"/>
  <c r="T25" i="185"/>
  <c r="T26" i="185"/>
  <c r="T27" i="185"/>
  <c r="AG23" i="185"/>
  <c r="AG24" i="185"/>
  <c r="AG25" i="185"/>
  <c r="AG26" i="185"/>
  <c r="AG27" i="185"/>
  <c r="T13" i="187"/>
  <c r="T14" i="187"/>
  <c r="AG13" i="187"/>
  <c r="AG14" i="187"/>
  <c r="T11" i="188"/>
  <c r="T12" i="188"/>
  <c r="AG11" i="188"/>
  <c r="AG12" i="188"/>
  <c r="AG410" i="192"/>
  <c r="T456" i="192"/>
  <c r="AG420" i="192"/>
  <c r="AG400" i="192"/>
  <c r="AG404" i="192"/>
  <c r="AG433" i="192"/>
  <c r="AG392" i="192"/>
  <c r="AG453" i="192"/>
  <c r="AG442" i="192"/>
  <c r="AG438" i="192"/>
  <c r="T426" i="192"/>
  <c r="AG426" i="192"/>
  <c r="T437" i="192"/>
  <c r="AG437" i="192"/>
  <c r="T441" i="192"/>
  <c r="AG441" i="192"/>
  <c r="AG407" i="192"/>
  <c r="AG417" i="192"/>
  <c r="AG418" i="192"/>
  <c r="T423" i="192"/>
  <c r="AG423" i="192"/>
  <c r="AG385" i="192"/>
  <c r="T386" i="192"/>
  <c r="T387" i="192"/>
  <c r="AG388" i="192"/>
  <c r="T390" i="192"/>
  <c r="T401" i="192"/>
  <c r="AG402" i="192"/>
  <c r="T422" i="192"/>
  <c r="AG422" i="192"/>
  <c r="AG424" i="192"/>
  <c r="T436" i="192"/>
  <c r="T440" i="192"/>
  <c r="T466" i="192"/>
  <c r="AG386" i="192"/>
  <c r="AG387" i="192"/>
  <c r="AG390" i="192"/>
  <c r="T397" i="192"/>
  <c r="AG397" i="192"/>
  <c r="T400" i="192"/>
  <c r="AG401" i="192"/>
  <c r="T403" i="192"/>
  <c r="T413" i="192"/>
  <c r="AG414" i="192"/>
  <c r="AG436" i="192"/>
  <c r="AG440" i="192"/>
  <c r="AG456" i="192"/>
  <c r="AG466" i="192"/>
  <c r="AG393" i="192"/>
  <c r="T396" i="192"/>
  <c r="AG396" i="192"/>
  <c r="AG398" i="192"/>
  <c r="AG403" i="192"/>
  <c r="T409" i="192"/>
  <c r="AG409" i="192"/>
  <c r="T412" i="192"/>
  <c r="AG412" i="192"/>
  <c r="AG413" i="192"/>
  <c r="T416" i="192"/>
  <c r="AG416" i="192"/>
  <c r="T417" i="192"/>
  <c r="AG430" i="192"/>
  <c r="AG455" i="192"/>
  <c r="T395" i="192"/>
  <c r="T406" i="192"/>
  <c r="T419" i="192"/>
  <c r="AG429" i="192"/>
  <c r="T457" i="192"/>
  <c r="T460" i="192"/>
  <c r="T389" i="192"/>
  <c r="T415" i="192"/>
  <c r="AG389" i="192"/>
  <c r="T391" i="192"/>
  <c r="T394" i="192"/>
  <c r="AG395" i="192"/>
  <c r="T405" i="192"/>
  <c r="T430" i="192"/>
  <c r="AG391" i="192"/>
  <c r="T393" i="192"/>
  <c r="AG406" i="192"/>
  <c r="T408" i="192"/>
  <c r="AG419" i="192"/>
  <c r="T421" i="192"/>
  <c r="AG434" i="192"/>
  <c r="AG435" i="192"/>
  <c r="T399" i="192"/>
  <c r="T411" i="192"/>
  <c r="T425" i="192"/>
  <c r="T439" i="192"/>
  <c r="T385" i="192"/>
  <c r="T388" i="192"/>
  <c r="T392" i="192"/>
  <c r="AG394" i="192"/>
  <c r="AG399" i="192"/>
  <c r="AG405" i="192"/>
  <c r="AG408" i="192"/>
  <c r="AG411" i="192"/>
  <c r="AG415" i="192"/>
  <c r="AG421" i="192"/>
  <c r="AG425" i="192"/>
  <c r="T427" i="192"/>
  <c r="T434" i="192"/>
  <c r="AG439" i="192"/>
  <c r="T443" i="192"/>
  <c r="T448" i="192"/>
  <c r="AG448" i="192"/>
  <c r="T454" i="192"/>
  <c r="AG454" i="192"/>
  <c r="AG460" i="192"/>
  <c r="T398" i="192"/>
  <c r="T402" i="192"/>
  <c r="T404" i="192"/>
  <c r="T407" i="192"/>
  <c r="T410" i="192"/>
  <c r="T414" i="192"/>
  <c r="T418" i="192"/>
  <c r="T420" i="192"/>
  <c r="T424" i="192"/>
  <c r="AG427" i="192"/>
  <c r="T428" i="192"/>
  <c r="AG428" i="192"/>
  <c r="T429" i="192"/>
  <c r="T431" i="192"/>
  <c r="T438" i="192"/>
  <c r="AG443" i="192"/>
  <c r="T444" i="192"/>
  <c r="AG444" i="192"/>
  <c r="T445" i="192"/>
  <c r="T446" i="192"/>
  <c r="AG446" i="192"/>
  <c r="AG459" i="192"/>
  <c r="AG465" i="192"/>
  <c r="AG431" i="192"/>
  <c r="T432" i="192"/>
  <c r="AG432" i="192"/>
  <c r="T433" i="192"/>
  <c r="T435" i="192"/>
  <c r="T442" i="192"/>
  <c r="AG445" i="192"/>
  <c r="AG457" i="192"/>
  <c r="T464" i="192"/>
  <c r="AG464" i="192"/>
  <c r="AG447" i="192"/>
  <c r="T450" i="192"/>
  <c r="T451" i="192"/>
  <c r="AG449" i="192"/>
  <c r="AG450" i="192"/>
  <c r="AG451" i="192"/>
  <c r="T452" i="192"/>
  <c r="AG452" i="192"/>
  <c r="T461" i="192"/>
  <c r="AG461" i="192"/>
  <c r="AG463" i="192"/>
  <c r="T458" i="192"/>
  <c r="T462" i="192"/>
  <c r="T447" i="192"/>
  <c r="T449" i="192"/>
  <c r="T453" i="192"/>
  <c r="T455" i="192"/>
  <c r="AG458" i="192"/>
  <c r="T459" i="192"/>
  <c r="AG462" i="192"/>
  <c r="T463" i="192"/>
  <c r="T465" i="192"/>
  <c r="AJ9" i="189"/>
  <c r="Z7" i="189"/>
  <c r="AJ10" i="189"/>
  <c r="AI8" i="189"/>
  <c r="AF619" i="199"/>
  <c r="AN619" i="199" s="1"/>
  <c r="AE619" i="199"/>
  <c r="AM619" i="199" s="1"/>
  <c r="AD619" i="199"/>
  <c r="AL619" i="199" s="1"/>
  <c r="AC619" i="199"/>
  <c r="AK619" i="199" s="1"/>
  <c r="AB619" i="199"/>
  <c r="AJ619" i="199" s="1"/>
  <c r="AA619" i="199"/>
  <c r="AI619" i="199" s="1"/>
  <c r="Z619" i="199"/>
  <c r="AH619" i="199" s="1"/>
  <c r="T619" i="199"/>
  <c r="AF618" i="199"/>
  <c r="AN618" i="199" s="1"/>
  <c r="AE618" i="199"/>
  <c r="AM618" i="199" s="1"/>
  <c r="AD618" i="199"/>
  <c r="AL618" i="199" s="1"/>
  <c r="AC618" i="199"/>
  <c r="AK618" i="199" s="1"/>
  <c r="AB618" i="199"/>
  <c r="AA618" i="199"/>
  <c r="AI618" i="199" s="1"/>
  <c r="Z618" i="199"/>
  <c r="AH618" i="199" s="1"/>
  <c r="T618" i="199"/>
  <c r="AF617" i="199"/>
  <c r="AN617" i="199" s="1"/>
  <c r="AE617" i="199"/>
  <c r="AM617" i="199" s="1"/>
  <c r="AD617" i="199"/>
  <c r="AL617" i="199" s="1"/>
  <c r="AC617" i="199"/>
  <c r="AK617" i="199" s="1"/>
  <c r="AB617" i="199"/>
  <c r="AJ617" i="199" s="1"/>
  <c r="AA617" i="199"/>
  <c r="AI617" i="199" s="1"/>
  <c r="Z617" i="199"/>
  <c r="T617" i="199"/>
  <c r="AF616" i="199"/>
  <c r="AN616" i="199" s="1"/>
  <c r="AE616" i="199"/>
  <c r="AM616" i="199" s="1"/>
  <c r="AD616" i="199"/>
  <c r="AL616" i="199" s="1"/>
  <c r="AC616" i="199"/>
  <c r="AK616" i="199" s="1"/>
  <c r="AB616" i="199"/>
  <c r="AJ616" i="199" s="1"/>
  <c r="AA616" i="199"/>
  <c r="AI616" i="199" s="1"/>
  <c r="Z616" i="199"/>
  <c r="T616" i="199"/>
  <c r="AF615" i="199"/>
  <c r="AN615" i="199" s="1"/>
  <c r="AE615" i="199"/>
  <c r="AM615" i="199" s="1"/>
  <c r="AD615" i="199"/>
  <c r="AL615" i="199" s="1"/>
  <c r="AC615" i="199"/>
  <c r="AK615" i="199" s="1"/>
  <c r="AB615" i="199"/>
  <c r="AJ615" i="199" s="1"/>
  <c r="AA615" i="199"/>
  <c r="AI615" i="199" s="1"/>
  <c r="Z615" i="199"/>
  <c r="T615" i="199"/>
  <c r="AF614" i="199"/>
  <c r="AN614" i="199" s="1"/>
  <c r="AE614" i="199"/>
  <c r="AM614" i="199" s="1"/>
  <c r="AD614" i="199"/>
  <c r="AL614" i="199" s="1"/>
  <c r="AC614" i="199"/>
  <c r="AK614" i="199" s="1"/>
  <c r="AB614" i="199"/>
  <c r="AJ614" i="199" s="1"/>
  <c r="AA614" i="199"/>
  <c r="AI614" i="199" s="1"/>
  <c r="Z614" i="199"/>
  <c r="AH614" i="199" s="1"/>
  <c r="T614" i="199"/>
  <c r="AF613" i="199"/>
  <c r="AN613" i="199" s="1"/>
  <c r="AE613" i="199"/>
  <c r="AM613" i="199" s="1"/>
  <c r="AD613" i="199"/>
  <c r="AL613" i="199" s="1"/>
  <c r="AC613" i="199"/>
  <c r="AK613" i="199" s="1"/>
  <c r="AB613" i="199"/>
  <c r="AJ613" i="199" s="1"/>
  <c r="AA613" i="199"/>
  <c r="AI613" i="199" s="1"/>
  <c r="Z613" i="199"/>
  <c r="AH613" i="199" s="1"/>
  <c r="T613" i="199"/>
  <c r="AF612" i="199"/>
  <c r="AN612" i="199" s="1"/>
  <c r="AE612" i="199"/>
  <c r="AM612" i="199" s="1"/>
  <c r="AD612" i="199"/>
  <c r="AL612" i="199" s="1"/>
  <c r="AC612" i="199"/>
  <c r="AK612" i="199" s="1"/>
  <c r="AB612" i="199"/>
  <c r="AA612" i="199"/>
  <c r="AI612" i="199" s="1"/>
  <c r="Z612" i="199"/>
  <c r="AH612" i="199" s="1"/>
  <c r="T612" i="199"/>
  <c r="AF611" i="199"/>
  <c r="AN611" i="199" s="1"/>
  <c r="AE611" i="199"/>
  <c r="AM611" i="199" s="1"/>
  <c r="AD611" i="199"/>
  <c r="AL611" i="199" s="1"/>
  <c r="AC611" i="199"/>
  <c r="AK611" i="199" s="1"/>
  <c r="AB611" i="199"/>
  <c r="AJ611" i="199" s="1"/>
  <c r="AA611" i="199"/>
  <c r="AI611" i="199" s="1"/>
  <c r="Z611" i="199"/>
  <c r="AH611" i="199" s="1"/>
  <c r="T611" i="199"/>
  <c r="AF610" i="199"/>
  <c r="AN610" i="199" s="1"/>
  <c r="AE610" i="199"/>
  <c r="AM610" i="199" s="1"/>
  <c r="AD610" i="199"/>
  <c r="AL610" i="199" s="1"/>
  <c r="AC610" i="199"/>
  <c r="AK610" i="199" s="1"/>
  <c r="AB610" i="199"/>
  <c r="AA610" i="199"/>
  <c r="AI610" i="199" s="1"/>
  <c r="Z610" i="199"/>
  <c r="AH610" i="199" s="1"/>
  <c r="T610" i="199"/>
  <c r="AF609" i="199"/>
  <c r="AN609" i="199" s="1"/>
  <c r="AE609" i="199"/>
  <c r="AM609" i="199" s="1"/>
  <c r="AD609" i="199"/>
  <c r="AL609" i="199" s="1"/>
  <c r="AC609" i="199"/>
  <c r="AK609" i="199" s="1"/>
  <c r="AB609" i="199"/>
  <c r="AJ609" i="199" s="1"/>
  <c r="AA609" i="199"/>
  <c r="AI609" i="199" s="1"/>
  <c r="Z609" i="199"/>
  <c r="T609" i="199"/>
  <c r="AF608" i="199"/>
  <c r="AN608" i="199" s="1"/>
  <c r="AE608" i="199"/>
  <c r="AM608" i="199" s="1"/>
  <c r="AD608" i="199"/>
  <c r="AL608" i="199" s="1"/>
  <c r="AC608" i="199"/>
  <c r="AK608" i="199" s="1"/>
  <c r="AB608" i="199"/>
  <c r="AJ608" i="199" s="1"/>
  <c r="AA608" i="199"/>
  <c r="AI608" i="199" s="1"/>
  <c r="Z608" i="199"/>
  <c r="T608" i="199"/>
  <c r="AF607" i="199"/>
  <c r="AN607" i="199" s="1"/>
  <c r="AE607" i="199"/>
  <c r="AM607" i="199" s="1"/>
  <c r="AD607" i="199"/>
  <c r="AL607" i="199" s="1"/>
  <c r="AC607" i="199"/>
  <c r="AK607" i="199" s="1"/>
  <c r="AB607" i="199"/>
  <c r="AJ607" i="199" s="1"/>
  <c r="AA607" i="199"/>
  <c r="AI607" i="199" s="1"/>
  <c r="Z607" i="199"/>
  <c r="T607" i="199"/>
  <c r="AF606" i="199"/>
  <c r="AN606" i="199" s="1"/>
  <c r="AE606" i="199"/>
  <c r="AM606" i="199" s="1"/>
  <c r="AD606" i="199"/>
  <c r="AL606" i="199" s="1"/>
  <c r="AC606" i="199"/>
  <c r="AK606" i="199" s="1"/>
  <c r="AB606" i="199"/>
  <c r="AJ606" i="199" s="1"/>
  <c r="AA606" i="199"/>
  <c r="AI606" i="199" s="1"/>
  <c r="Z606" i="199"/>
  <c r="AH606" i="199" s="1"/>
  <c r="T606" i="199"/>
  <c r="AF605" i="199"/>
  <c r="AN605" i="199" s="1"/>
  <c r="AE605" i="199"/>
  <c r="AM605" i="199" s="1"/>
  <c r="AD605" i="199"/>
  <c r="AL605" i="199" s="1"/>
  <c r="AC605" i="199"/>
  <c r="AK605" i="199" s="1"/>
  <c r="AB605" i="199"/>
  <c r="AA605" i="199"/>
  <c r="AI605" i="199" s="1"/>
  <c r="Z605" i="199"/>
  <c r="AH605" i="199" s="1"/>
  <c r="T605" i="199"/>
  <c r="AF604" i="199"/>
  <c r="AN604" i="199" s="1"/>
  <c r="AE604" i="199"/>
  <c r="AM604" i="199" s="1"/>
  <c r="AD604" i="199"/>
  <c r="AL604" i="199" s="1"/>
  <c r="AC604" i="199"/>
  <c r="AK604" i="199" s="1"/>
  <c r="AB604" i="199"/>
  <c r="AJ604" i="199" s="1"/>
  <c r="AA604" i="199"/>
  <c r="AI604" i="199" s="1"/>
  <c r="Z604" i="199"/>
  <c r="AH604" i="199" s="1"/>
  <c r="T604" i="199"/>
  <c r="AF603" i="199"/>
  <c r="AN603" i="199" s="1"/>
  <c r="AE603" i="199"/>
  <c r="AM603" i="199" s="1"/>
  <c r="AD603" i="199"/>
  <c r="AL603" i="199" s="1"/>
  <c r="AC603" i="199"/>
  <c r="AK603" i="199" s="1"/>
  <c r="AB603" i="199"/>
  <c r="AA603" i="199"/>
  <c r="AI603" i="199" s="1"/>
  <c r="Z603" i="199"/>
  <c r="AH603" i="199" s="1"/>
  <c r="T603" i="199"/>
  <c r="AF602" i="199"/>
  <c r="AN602" i="199" s="1"/>
  <c r="AE602" i="199"/>
  <c r="AM602" i="199" s="1"/>
  <c r="AD602" i="199"/>
  <c r="AL602" i="199" s="1"/>
  <c r="AC602" i="199"/>
  <c r="AK602" i="199" s="1"/>
  <c r="AB602" i="199"/>
  <c r="AJ602" i="199" s="1"/>
  <c r="AA602" i="199"/>
  <c r="AI602" i="199" s="1"/>
  <c r="Z602" i="199"/>
  <c r="T602" i="199"/>
  <c r="AF601" i="199"/>
  <c r="AN601" i="199" s="1"/>
  <c r="AE601" i="199"/>
  <c r="AM601" i="199" s="1"/>
  <c r="AD601" i="199"/>
  <c r="AL601" i="199" s="1"/>
  <c r="AC601" i="199"/>
  <c r="AK601" i="199" s="1"/>
  <c r="AB601" i="199"/>
  <c r="AJ601" i="199" s="1"/>
  <c r="AA601" i="199"/>
  <c r="AI601" i="199" s="1"/>
  <c r="Z601" i="199"/>
  <c r="AH601" i="199" s="1"/>
  <c r="T601" i="199"/>
  <c r="AF600" i="199"/>
  <c r="AN600" i="199" s="1"/>
  <c r="AE600" i="199"/>
  <c r="AM600" i="199" s="1"/>
  <c r="AD600" i="199"/>
  <c r="AL600" i="199" s="1"/>
  <c r="AC600" i="199"/>
  <c r="AK600" i="199" s="1"/>
  <c r="AB600" i="199"/>
  <c r="AJ600" i="199" s="1"/>
  <c r="AA600" i="199"/>
  <c r="AI600" i="199" s="1"/>
  <c r="Z600" i="199"/>
  <c r="T600" i="199"/>
  <c r="AF599" i="199"/>
  <c r="AN599" i="199" s="1"/>
  <c r="AE599" i="199"/>
  <c r="AM599" i="199" s="1"/>
  <c r="AD599" i="199"/>
  <c r="AL599" i="199" s="1"/>
  <c r="AC599" i="199"/>
  <c r="AK599" i="199" s="1"/>
  <c r="AB599" i="199"/>
  <c r="AJ599" i="199" s="1"/>
  <c r="AA599" i="199"/>
  <c r="AI599" i="199" s="1"/>
  <c r="Z599" i="199"/>
  <c r="AH599" i="199" s="1"/>
  <c r="T599" i="199"/>
  <c r="AF598" i="199"/>
  <c r="AN598" i="199" s="1"/>
  <c r="AE598" i="199"/>
  <c r="AM598" i="199" s="1"/>
  <c r="AD598" i="199"/>
  <c r="AL598" i="199" s="1"/>
  <c r="AC598" i="199"/>
  <c r="AK598" i="199" s="1"/>
  <c r="AB598" i="199"/>
  <c r="AJ598" i="199" s="1"/>
  <c r="AA598" i="199"/>
  <c r="AI598" i="199" s="1"/>
  <c r="Z598" i="199"/>
  <c r="AH598" i="199" s="1"/>
  <c r="T598" i="199"/>
  <c r="AF597" i="199"/>
  <c r="AN597" i="199" s="1"/>
  <c r="AE597" i="199"/>
  <c r="AM597" i="199" s="1"/>
  <c r="AD597" i="199"/>
  <c r="AL597" i="199" s="1"/>
  <c r="AC597" i="199"/>
  <c r="AK597" i="199" s="1"/>
  <c r="AB597" i="199"/>
  <c r="AA597" i="199"/>
  <c r="AI597" i="199" s="1"/>
  <c r="Z597" i="199"/>
  <c r="AH597" i="199" s="1"/>
  <c r="T597" i="199"/>
  <c r="AF596" i="199"/>
  <c r="AN596" i="199" s="1"/>
  <c r="AE596" i="199"/>
  <c r="AM596" i="199" s="1"/>
  <c r="AD596" i="199"/>
  <c r="AL596" i="199" s="1"/>
  <c r="AC596" i="199"/>
  <c r="AK596" i="199" s="1"/>
  <c r="AB596" i="199"/>
  <c r="AJ596" i="199" s="1"/>
  <c r="AA596" i="199"/>
  <c r="AI596" i="199" s="1"/>
  <c r="Z596" i="199"/>
  <c r="T596" i="199"/>
  <c r="AF595" i="199"/>
  <c r="AN595" i="199" s="1"/>
  <c r="AE595" i="199"/>
  <c r="AM595" i="199" s="1"/>
  <c r="AD595" i="199"/>
  <c r="AL595" i="199" s="1"/>
  <c r="AC595" i="199"/>
  <c r="AK595" i="199" s="1"/>
  <c r="AB595" i="199"/>
  <c r="AJ595" i="199" s="1"/>
  <c r="AA595" i="199"/>
  <c r="AI595" i="199" s="1"/>
  <c r="Z595" i="199"/>
  <c r="T595" i="199"/>
  <c r="AF594" i="199"/>
  <c r="AN594" i="199" s="1"/>
  <c r="AE594" i="199"/>
  <c r="AM594" i="199" s="1"/>
  <c r="AD594" i="199"/>
  <c r="AL594" i="199" s="1"/>
  <c r="AC594" i="199"/>
  <c r="AK594" i="199" s="1"/>
  <c r="AB594" i="199"/>
  <c r="AJ594" i="199" s="1"/>
  <c r="AA594" i="199"/>
  <c r="AI594" i="199" s="1"/>
  <c r="Z594" i="199"/>
  <c r="T594" i="199"/>
  <c r="AF593" i="199"/>
  <c r="AN593" i="199" s="1"/>
  <c r="AE593" i="199"/>
  <c r="AM593" i="199" s="1"/>
  <c r="AD593" i="199"/>
  <c r="AL593" i="199" s="1"/>
  <c r="AC593" i="199"/>
  <c r="AK593" i="199" s="1"/>
  <c r="AB593" i="199"/>
  <c r="AJ593" i="199" s="1"/>
  <c r="AA593" i="199"/>
  <c r="AI593" i="199" s="1"/>
  <c r="Z593" i="199"/>
  <c r="AH593" i="199" s="1"/>
  <c r="T593" i="199"/>
  <c r="AF592" i="199"/>
  <c r="AN592" i="199" s="1"/>
  <c r="AE592" i="199"/>
  <c r="AM592" i="199" s="1"/>
  <c r="AD592" i="199"/>
  <c r="AL592" i="199" s="1"/>
  <c r="AC592" i="199"/>
  <c r="AK592" i="199" s="1"/>
  <c r="AB592" i="199"/>
  <c r="AJ592" i="199" s="1"/>
  <c r="AA592" i="199"/>
  <c r="AI592" i="199" s="1"/>
  <c r="Z592" i="199"/>
  <c r="AH592" i="199" s="1"/>
  <c r="T592" i="199"/>
  <c r="AF591" i="199"/>
  <c r="AN591" i="199" s="1"/>
  <c r="AE591" i="199"/>
  <c r="AM591" i="199" s="1"/>
  <c r="AD591" i="199"/>
  <c r="AL591" i="199" s="1"/>
  <c r="AC591" i="199"/>
  <c r="AK591" i="199" s="1"/>
  <c r="AB591" i="199"/>
  <c r="AA591" i="199"/>
  <c r="AI591" i="199" s="1"/>
  <c r="Z591" i="199"/>
  <c r="AH591" i="199" s="1"/>
  <c r="T591" i="199"/>
  <c r="AF590" i="199"/>
  <c r="AN590" i="199" s="1"/>
  <c r="AE590" i="199"/>
  <c r="AM590" i="199" s="1"/>
  <c r="AD590" i="199"/>
  <c r="AL590" i="199" s="1"/>
  <c r="AC590" i="199"/>
  <c r="AK590" i="199" s="1"/>
  <c r="AB590" i="199"/>
  <c r="AJ590" i="199" s="1"/>
  <c r="AA590" i="199"/>
  <c r="AI590" i="199" s="1"/>
  <c r="Z590" i="199"/>
  <c r="AH590" i="199" s="1"/>
  <c r="T590" i="199"/>
  <c r="AF589" i="199"/>
  <c r="AN589" i="199" s="1"/>
  <c r="AE589" i="199"/>
  <c r="AM589" i="199" s="1"/>
  <c r="AD589" i="199"/>
  <c r="AL589" i="199" s="1"/>
  <c r="AC589" i="199"/>
  <c r="AK589" i="199" s="1"/>
  <c r="AB589" i="199"/>
  <c r="AJ589" i="199" s="1"/>
  <c r="AA589" i="199"/>
  <c r="Z589" i="199"/>
  <c r="AH589" i="199" s="1"/>
  <c r="T589" i="199"/>
  <c r="AF588" i="199"/>
  <c r="AN588" i="199" s="1"/>
  <c r="AE588" i="199"/>
  <c r="AM588" i="199" s="1"/>
  <c r="AD588" i="199"/>
  <c r="AL588" i="199" s="1"/>
  <c r="AC588" i="199"/>
  <c r="AK588" i="199" s="1"/>
  <c r="AB588" i="199"/>
  <c r="AJ588" i="199" s="1"/>
  <c r="AA588" i="199"/>
  <c r="AI588" i="199" s="1"/>
  <c r="Z588" i="199"/>
  <c r="T588" i="199"/>
  <c r="AF587" i="199"/>
  <c r="AN587" i="199" s="1"/>
  <c r="AE587" i="199"/>
  <c r="AM587" i="199" s="1"/>
  <c r="AD587" i="199"/>
  <c r="AL587" i="199" s="1"/>
  <c r="AC587" i="199"/>
  <c r="AK587" i="199" s="1"/>
  <c r="AB587" i="199"/>
  <c r="AJ587" i="199" s="1"/>
  <c r="AA587" i="199"/>
  <c r="Z587" i="199"/>
  <c r="AH587" i="199" s="1"/>
  <c r="T587" i="199"/>
  <c r="AF586" i="199"/>
  <c r="AN586" i="199" s="1"/>
  <c r="AE586" i="199"/>
  <c r="AM586" i="199" s="1"/>
  <c r="AD586" i="199"/>
  <c r="AL586" i="199" s="1"/>
  <c r="AC586" i="199"/>
  <c r="AK586" i="199" s="1"/>
  <c r="AB586" i="199"/>
  <c r="AJ586" i="199" s="1"/>
  <c r="AA586" i="199"/>
  <c r="AI586" i="199" s="1"/>
  <c r="Z586" i="199"/>
  <c r="AH586" i="199" s="1"/>
  <c r="T586" i="199"/>
  <c r="AF585" i="199"/>
  <c r="AN585" i="199" s="1"/>
  <c r="AE585" i="199"/>
  <c r="AM585" i="199" s="1"/>
  <c r="AD585" i="199"/>
  <c r="AL585" i="199" s="1"/>
  <c r="AC585" i="199"/>
  <c r="AK585" i="199" s="1"/>
  <c r="AB585" i="199"/>
  <c r="AJ585" i="199" s="1"/>
  <c r="AA585" i="199"/>
  <c r="AI585" i="199" s="1"/>
  <c r="Z585" i="199"/>
  <c r="AH585" i="199" s="1"/>
  <c r="T585" i="199"/>
  <c r="AF584" i="199"/>
  <c r="AN584" i="199" s="1"/>
  <c r="AE584" i="199"/>
  <c r="AM584" i="199" s="1"/>
  <c r="AD584" i="199"/>
  <c r="AL584" i="199" s="1"/>
  <c r="AC584" i="199"/>
  <c r="AK584" i="199" s="1"/>
  <c r="AB584" i="199"/>
  <c r="AJ584" i="199" s="1"/>
  <c r="AA584" i="199"/>
  <c r="Z584" i="199"/>
  <c r="AH584" i="199" s="1"/>
  <c r="T584" i="199"/>
  <c r="AF583" i="199"/>
  <c r="AN583" i="199" s="1"/>
  <c r="AE583" i="199"/>
  <c r="AM583" i="199" s="1"/>
  <c r="AD583" i="199"/>
  <c r="AL583" i="199" s="1"/>
  <c r="AC583" i="199"/>
  <c r="AK583" i="199" s="1"/>
  <c r="AB583" i="199"/>
  <c r="AJ583" i="199" s="1"/>
  <c r="AA583" i="199"/>
  <c r="AI583" i="199" s="1"/>
  <c r="Z583" i="199"/>
  <c r="AH583" i="199" s="1"/>
  <c r="T583" i="199"/>
  <c r="AF582" i="199"/>
  <c r="AN582" i="199" s="1"/>
  <c r="AE582" i="199"/>
  <c r="AM582" i="199" s="1"/>
  <c r="AD582" i="199"/>
  <c r="AL582" i="199" s="1"/>
  <c r="AC582" i="199"/>
  <c r="AK582" i="199" s="1"/>
  <c r="AB582" i="199"/>
  <c r="AJ582" i="199" s="1"/>
  <c r="AA582" i="199"/>
  <c r="AI582" i="199" s="1"/>
  <c r="Z582" i="199"/>
  <c r="AH582" i="199" s="1"/>
  <c r="T582" i="199"/>
  <c r="AF581" i="199"/>
  <c r="AN581" i="199" s="1"/>
  <c r="AE581" i="199"/>
  <c r="AM581" i="199" s="1"/>
  <c r="AD581" i="199"/>
  <c r="AL581" i="199" s="1"/>
  <c r="AC581" i="199"/>
  <c r="AK581" i="199" s="1"/>
  <c r="AB581" i="199"/>
  <c r="AJ581" i="199" s="1"/>
  <c r="AA581" i="199"/>
  <c r="AI581" i="199" s="1"/>
  <c r="Z581" i="199"/>
  <c r="T581" i="199"/>
  <c r="AF580" i="199"/>
  <c r="AN580" i="199" s="1"/>
  <c r="AE580" i="199"/>
  <c r="AM580" i="199" s="1"/>
  <c r="AD580" i="199"/>
  <c r="AL580" i="199" s="1"/>
  <c r="AC580" i="199"/>
  <c r="AK580" i="199" s="1"/>
  <c r="AB580" i="199"/>
  <c r="AJ580" i="199" s="1"/>
  <c r="AA580" i="199"/>
  <c r="AI580" i="199" s="1"/>
  <c r="Z580" i="199"/>
  <c r="AH580" i="199" s="1"/>
  <c r="T580" i="199"/>
  <c r="AF579" i="199"/>
  <c r="AN579" i="199" s="1"/>
  <c r="AE579" i="199"/>
  <c r="AM579" i="199" s="1"/>
  <c r="AD579" i="199"/>
  <c r="AL579" i="199" s="1"/>
  <c r="AC579" i="199"/>
  <c r="AK579" i="199" s="1"/>
  <c r="AB579" i="199"/>
  <c r="AJ579" i="199" s="1"/>
  <c r="AA579" i="199"/>
  <c r="AI579" i="199" s="1"/>
  <c r="Z579" i="199"/>
  <c r="AH579" i="199" s="1"/>
  <c r="T579" i="199"/>
  <c r="AF578" i="199"/>
  <c r="AN578" i="199" s="1"/>
  <c r="AE578" i="199"/>
  <c r="AM578" i="199" s="1"/>
  <c r="AD578" i="199"/>
  <c r="AL578" i="199" s="1"/>
  <c r="AC578" i="199"/>
  <c r="AK578" i="199" s="1"/>
  <c r="AB578" i="199"/>
  <c r="AJ578" i="199" s="1"/>
  <c r="AA578" i="199"/>
  <c r="AI578" i="199" s="1"/>
  <c r="Z578" i="199"/>
  <c r="AH578" i="199" s="1"/>
  <c r="T578" i="199"/>
  <c r="AF577" i="199"/>
  <c r="AN577" i="199" s="1"/>
  <c r="AE577" i="199"/>
  <c r="AM577" i="199" s="1"/>
  <c r="AD577" i="199"/>
  <c r="AL577" i="199" s="1"/>
  <c r="AC577" i="199"/>
  <c r="AK577" i="199" s="1"/>
  <c r="AB577" i="199"/>
  <c r="AJ577" i="199" s="1"/>
  <c r="AA577" i="199"/>
  <c r="AI577" i="199" s="1"/>
  <c r="Z577" i="199"/>
  <c r="T577" i="199"/>
  <c r="AF576" i="199"/>
  <c r="AN576" i="199" s="1"/>
  <c r="AE576" i="199"/>
  <c r="AM576" i="199" s="1"/>
  <c r="AD576" i="199"/>
  <c r="AL576" i="199" s="1"/>
  <c r="AC576" i="199"/>
  <c r="AK576" i="199" s="1"/>
  <c r="AB576" i="199"/>
  <c r="AJ576" i="199" s="1"/>
  <c r="AA576" i="199"/>
  <c r="AI576" i="199" s="1"/>
  <c r="Z576" i="199"/>
  <c r="AH576" i="199" s="1"/>
  <c r="T576" i="199"/>
  <c r="AF575" i="199"/>
  <c r="AN575" i="199" s="1"/>
  <c r="AE575" i="199"/>
  <c r="AM575" i="199" s="1"/>
  <c r="AD575" i="199"/>
  <c r="AL575" i="199" s="1"/>
  <c r="AC575" i="199"/>
  <c r="AK575" i="199" s="1"/>
  <c r="AB575" i="199"/>
  <c r="AJ575" i="199" s="1"/>
  <c r="AA575" i="199"/>
  <c r="AI575" i="199" s="1"/>
  <c r="Z575" i="199"/>
  <c r="AH575" i="199" s="1"/>
  <c r="T575" i="199"/>
  <c r="AF574" i="199"/>
  <c r="AN574" i="199" s="1"/>
  <c r="AE574" i="199"/>
  <c r="AM574" i="199" s="1"/>
  <c r="AD574" i="199"/>
  <c r="AL574" i="199" s="1"/>
  <c r="AC574" i="199"/>
  <c r="AK574" i="199" s="1"/>
  <c r="AB574" i="199"/>
  <c r="AJ574" i="199" s="1"/>
  <c r="AA574" i="199"/>
  <c r="AI574" i="199" s="1"/>
  <c r="Z574" i="199"/>
  <c r="AH574" i="199" s="1"/>
  <c r="T574" i="199"/>
  <c r="AF573" i="199"/>
  <c r="AN573" i="199" s="1"/>
  <c r="AE573" i="199"/>
  <c r="AM573" i="199" s="1"/>
  <c r="AD573" i="199"/>
  <c r="AL573" i="199" s="1"/>
  <c r="AC573" i="199"/>
  <c r="AK573" i="199" s="1"/>
  <c r="AB573" i="199"/>
  <c r="AJ573" i="199" s="1"/>
  <c r="AA573" i="199"/>
  <c r="AI573" i="199" s="1"/>
  <c r="Z573" i="199"/>
  <c r="T573" i="199"/>
  <c r="AF572" i="199"/>
  <c r="AN572" i="199" s="1"/>
  <c r="AE572" i="199"/>
  <c r="AM572" i="199" s="1"/>
  <c r="AD572" i="199"/>
  <c r="AL572" i="199" s="1"/>
  <c r="AC572" i="199"/>
  <c r="AK572" i="199" s="1"/>
  <c r="AB572" i="199"/>
  <c r="AA572" i="199"/>
  <c r="AI572" i="199" s="1"/>
  <c r="Z572" i="199"/>
  <c r="AH572" i="199" s="1"/>
  <c r="T572" i="199"/>
  <c r="AF571" i="199"/>
  <c r="AN571" i="199" s="1"/>
  <c r="AE571" i="199"/>
  <c r="AM571" i="199" s="1"/>
  <c r="AD571" i="199"/>
  <c r="AL571" i="199" s="1"/>
  <c r="AC571" i="199"/>
  <c r="AK571" i="199" s="1"/>
  <c r="AB571" i="199"/>
  <c r="AJ571" i="199" s="1"/>
  <c r="AA571" i="199"/>
  <c r="AI571" i="199" s="1"/>
  <c r="Z571" i="199"/>
  <c r="AH571" i="199" s="1"/>
  <c r="T571" i="199"/>
  <c r="AF570" i="199"/>
  <c r="AN570" i="199" s="1"/>
  <c r="AE570" i="199"/>
  <c r="AM570" i="199" s="1"/>
  <c r="AD570" i="199"/>
  <c r="AL570" i="199" s="1"/>
  <c r="AC570" i="199"/>
  <c r="AK570" i="199" s="1"/>
  <c r="AB570" i="199"/>
  <c r="AJ570" i="199" s="1"/>
  <c r="AA570" i="199"/>
  <c r="AI570" i="199" s="1"/>
  <c r="Z570" i="199"/>
  <c r="AH570" i="199" s="1"/>
  <c r="T570" i="199"/>
  <c r="AF569" i="199"/>
  <c r="AN569" i="199" s="1"/>
  <c r="AE569" i="199"/>
  <c r="AM569" i="199" s="1"/>
  <c r="AD569" i="199"/>
  <c r="AL569" i="199" s="1"/>
  <c r="AC569" i="199"/>
  <c r="AK569" i="199" s="1"/>
  <c r="AB569" i="199"/>
  <c r="AJ569" i="199" s="1"/>
  <c r="AA569" i="199"/>
  <c r="AI569" i="199" s="1"/>
  <c r="Z569" i="199"/>
  <c r="T569" i="199"/>
  <c r="AF568" i="199"/>
  <c r="AN568" i="199" s="1"/>
  <c r="AE568" i="199"/>
  <c r="AM568" i="199" s="1"/>
  <c r="AD568" i="199"/>
  <c r="AL568" i="199" s="1"/>
  <c r="AC568" i="199"/>
  <c r="AK568" i="199" s="1"/>
  <c r="AB568" i="199"/>
  <c r="AA568" i="199"/>
  <c r="AI568" i="199" s="1"/>
  <c r="Z568" i="199"/>
  <c r="AH568" i="199" s="1"/>
  <c r="T568" i="199"/>
  <c r="AF567" i="199"/>
  <c r="AN567" i="199" s="1"/>
  <c r="AE567" i="199"/>
  <c r="AM567" i="199" s="1"/>
  <c r="AD567" i="199"/>
  <c r="AL567" i="199" s="1"/>
  <c r="AC567" i="199"/>
  <c r="AK567" i="199" s="1"/>
  <c r="AB567" i="199"/>
  <c r="AJ567" i="199" s="1"/>
  <c r="AA567" i="199"/>
  <c r="AI567" i="199" s="1"/>
  <c r="Z567" i="199"/>
  <c r="T567" i="199"/>
  <c r="AF566" i="199"/>
  <c r="AN566" i="199" s="1"/>
  <c r="AE566" i="199"/>
  <c r="AM566" i="199" s="1"/>
  <c r="AD566" i="199"/>
  <c r="AL566" i="199" s="1"/>
  <c r="AC566" i="199"/>
  <c r="AK566" i="199" s="1"/>
  <c r="AB566" i="199"/>
  <c r="AJ566" i="199" s="1"/>
  <c r="AA566" i="199"/>
  <c r="AI566" i="199" s="1"/>
  <c r="Z566" i="199"/>
  <c r="AH566" i="199" s="1"/>
  <c r="T566" i="199"/>
  <c r="AF565" i="199"/>
  <c r="AN565" i="199" s="1"/>
  <c r="AE565" i="199"/>
  <c r="AM565" i="199" s="1"/>
  <c r="AD565" i="199"/>
  <c r="AL565" i="199" s="1"/>
  <c r="AC565" i="199"/>
  <c r="AK565" i="199" s="1"/>
  <c r="AB565" i="199"/>
  <c r="AJ565" i="199" s="1"/>
  <c r="AA565" i="199"/>
  <c r="AI565" i="199" s="1"/>
  <c r="Z565" i="199"/>
  <c r="T565" i="199"/>
  <c r="AF564" i="199"/>
  <c r="AN564" i="199" s="1"/>
  <c r="AE564" i="199"/>
  <c r="AM564" i="199" s="1"/>
  <c r="AD564" i="199"/>
  <c r="AL564" i="199" s="1"/>
  <c r="AC564" i="199"/>
  <c r="AK564" i="199" s="1"/>
  <c r="AB564" i="199"/>
  <c r="AA564" i="199"/>
  <c r="AI564" i="199" s="1"/>
  <c r="Z564" i="199"/>
  <c r="AH564" i="199" s="1"/>
  <c r="T564" i="199"/>
  <c r="AF563" i="199"/>
  <c r="AN563" i="199" s="1"/>
  <c r="AE563" i="199"/>
  <c r="AM563" i="199" s="1"/>
  <c r="AD563" i="199"/>
  <c r="AL563" i="199" s="1"/>
  <c r="AC563" i="199"/>
  <c r="AK563" i="199" s="1"/>
  <c r="AB563" i="199"/>
  <c r="AJ563" i="199" s="1"/>
  <c r="AA563" i="199"/>
  <c r="AI563" i="199" s="1"/>
  <c r="Z563" i="199"/>
  <c r="AH563" i="199" s="1"/>
  <c r="T563" i="199"/>
  <c r="AF562" i="199"/>
  <c r="AN562" i="199" s="1"/>
  <c r="AE562" i="199"/>
  <c r="AM562" i="199" s="1"/>
  <c r="AD562" i="199"/>
  <c r="AL562" i="199" s="1"/>
  <c r="AC562" i="199"/>
  <c r="AK562" i="199" s="1"/>
  <c r="AB562" i="199"/>
  <c r="AJ562" i="199" s="1"/>
  <c r="AA562" i="199"/>
  <c r="AI562" i="199" s="1"/>
  <c r="Z562" i="199"/>
  <c r="AH562" i="199" s="1"/>
  <c r="T562" i="199"/>
  <c r="AF561" i="199"/>
  <c r="AN561" i="199" s="1"/>
  <c r="AE561" i="199"/>
  <c r="AM561" i="199" s="1"/>
  <c r="AD561" i="199"/>
  <c r="AL561" i="199" s="1"/>
  <c r="AC561" i="199"/>
  <c r="AK561" i="199" s="1"/>
  <c r="AB561" i="199"/>
  <c r="AJ561" i="199" s="1"/>
  <c r="AA561" i="199"/>
  <c r="AI561" i="199" s="1"/>
  <c r="Z561" i="199"/>
  <c r="T561" i="199"/>
  <c r="AF560" i="199"/>
  <c r="AN560" i="199" s="1"/>
  <c r="AE560" i="199"/>
  <c r="AM560" i="199" s="1"/>
  <c r="AD560" i="199"/>
  <c r="AL560" i="199" s="1"/>
  <c r="AC560" i="199"/>
  <c r="AK560" i="199" s="1"/>
  <c r="AB560" i="199"/>
  <c r="AA560" i="199"/>
  <c r="AI560" i="199" s="1"/>
  <c r="Z560" i="199"/>
  <c r="AH560" i="199" s="1"/>
  <c r="T560" i="199"/>
  <c r="AF559" i="199"/>
  <c r="AN559" i="199" s="1"/>
  <c r="AE559" i="199"/>
  <c r="AM559" i="199" s="1"/>
  <c r="AD559" i="199"/>
  <c r="AL559" i="199" s="1"/>
  <c r="AC559" i="199"/>
  <c r="AK559" i="199" s="1"/>
  <c r="AB559" i="199"/>
  <c r="AJ559" i="199" s="1"/>
  <c r="AA559" i="199"/>
  <c r="AI559" i="199" s="1"/>
  <c r="Z559" i="199"/>
  <c r="AH559" i="199" s="1"/>
  <c r="T559" i="199"/>
  <c r="AF558" i="199"/>
  <c r="AN558" i="199" s="1"/>
  <c r="AE558" i="199"/>
  <c r="AM558" i="199" s="1"/>
  <c r="AD558" i="199"/>
  <c r="AL558" i="199" s="1"/>
  <c r="AC558" i="199"/>
  <c r="AK558" i="199" s="1"/>
  <c r="AB558" i="199"/>
  <c r="AJ558" i="199" s="1"/>
  <c r="AA558" i="199"/>
  <c r="AI558" i="199" s="1"/>
  <c r="Z558" i="199"/>
  <c r="AH558" i="199" s="1"/>
  <c r="T558" i="199"/>
  <c r="AF557" i="199"/>
  <c r="AN557" i="199" s="1"/>
  <c r="AE557" i="199"/>
  <c r="AM557" i="199" s="1"/>
  <c r="AD557" i="199"/>
  <c r="AL557" i="199" s="1"/>
  <c r="AC557" i="199"/>
  <c r="AK557" i="199" s="1"/>
  <c r="AB557" i="199"/>
  <c r="AJ557" i="199" s="1"/>
  <c r="AA557" i="199"/>
  <c r="AI557" i="199" s="1"/>
  <c r="Z557" i="199"/>
  <c r="AH557" i="199" s="1"/>
  <c r="T557" i="199"/>
  <c r="AF556" i="199"/>
  <c r="AN556" i="199" s="1"/>
  <c r="AE556" i="199"/>
  <c r="AM556" i="199" s="1"/>
  <c r="AD556" i="199"/>
  <c r="AL556" i="199" s="1"/>
  <c r="AC556" i="199"/>
  <c r="AK556" i="199" s="1"/>
  <c r="AB556" i="199"/>
  <c r="AJ556" i="199" s="1"/>
  <c r="AA556" i="199"/>
  <c r="AI556" i="199" s="1"/>
  <c r="Z556" i="199"/>
  <c r="AH556" i="199" s="1"/>
  <c r="T556" i="199"/>
  <c r="AF555" i="199"/>
  <c r="AN555" i="199" s="1"/>
  <c r="AE555" i="199"/>
  <c r="AM555" i="199" s="1"/>
  <c r="AD555" i="199"/>
  <c r="AL555" i="199" s="1"/>
  <c r="AC555" i="199"/>
  <c r="AK555" i="199" s="1"/>
  <c r="AB555" i="199"/>
  <c r="AJ555" i="199" s="1"/>
  <c r="AA555" i="199"/>
  <c r="AI555" i="199" s="1"/>
  <c r="Z555" i="199"/>
  <c r="T555" i="199"/>
  <c r="AF554" i="199"/>
  <c r="AN554" i="199" s="1"/>
  <c r="AE554" i="199"/>
  <c r="AM554" i="199" s="1"/>
  <c r="AD554" i="199"/>
  <c r="AL554" i="199" s="1"/>
  <c r="AC554" i="199"/>
  <c r="AK554" i="199" s="1"/>
  <c r="AB554" i="199"/>
  <c r="AA554" i="199"/>
  <c r="AI554" i="199" s="1"/>
  <c r="Z554" i="199"/>
  <c r="AH554" i="199" s="1"/>
  <c r="T554" i="199"/>
  <c r="AF553" i="199"/>
  <c r="AN553" i="199" s="1"/>
  <c r="AE553" i="199"/>
  <c r="AM553" i="199" s="1"/>
  <c r="AD553" i="199"/>
  <c r="AL553" i="199" s="1"/>
  <c r="AC553" i="199"/>
  <c r="AK553" i="199" s="1"/>
  <c r="AB553" i="199"/>
  <c r="AJ553" i="199" s="1"/>
  <c r="AA553" i="199"/>
  <c r="AI553" i="199" s="1"/>
  <c r="Z553" i="199"/>
  <c r="AH553" i="199" s="1"/>
  <c r="T553" i="199"/>
  <c r="AF552" i="199"/>
  <c r="AN552" i="199" s="1"/>
  <c r="AE552" i="199"/>
  <c r="AM552" i="199" s="1"/>
  <c r="AD552" i="199"/>
  <c r="AL552" i="199" s="1"/>
  <c r="AC552" i="199"/>
  <c r="AK552" i="199" s="1"/>
  <c r="AB552" i="199"/>
  <c r="AJ552" i="199" s="1"/>
  <c r="AA552" i="199"/>
  <c r="AI552" i="199" s="1"/>
  <c r="Z552" i="199"/>
  <c r="AH552" i="199" s="1"/>
  <c r="T552" i="199"/>
  <c r="AF551" i="199"/>
  <c r="AN551" i="199" s="1"/>
  <c r="AE551" i="199"/>
  <c r="AM551" i="199" s="1"/>
  <c r="AD551" i="199"/>
  <c r="AL551" i="199" s="1"/>
  <c r="AC551" i="199"/>
  <c r="AK551" i="199" s="1"/>
  <c r="AB551" i="199"/>
  <c r="AJ551" i="199" s="1"/>
  <c r="AA551" i="199"/>
  <c r="AI551" i="199" s="1"/>
  <c r="Z551" i="199"/>
  <c r="T551" i="199"/>
  <c r="AF550" i="199"/>
  <c r="AN550" i="199" s="1"/>
  <c r="AE550" i="199"/>
  <c r="AM550" i="199" s="1"/>
  <c r="AD550" i="199"/>
  <c r="AL550" i="199" s="1"/>
  <c r="AC550" i="199"/>
  <c r="AK550" i="199" s="1"/>
  <c r="AB550" i="199"/>
  <c r="AA550" i="199"/>
  <c r="AI550" i="199" s="1"/>
  <c r="Z550" i="199"/>
  <c r="AH550" i="199" s="1"/>
  <c r="T550" i="199"/>
  <c r="AF549" i="199"/>
  <c r="AN549" i="199" s="1"/>
  <c r="AE549" i="199"/>
  <c r="AM549" i="199" s="1"/>
  <c r="AD549" i="199"/>
  <c r="AL549" i="199" s="1"/>
  <c r="AC549" i="199"/>
  <c r="AK549" i="199" s="1"/>
  <c r="AB549" i="199"/>
  <c r="AJ549" i="199" s="1"/>
  <c r="AA549" i="199"/>
  <c r="AI549" i="199" s="1"/>
  <c r="Z549" i="199"/>
  <c r="AH549" i="199" s="1"/>
  <c r="T549" i="199"/>
  <c r="AF548" i="199"/>
  <c r="AN548" i="199" s="1"/>
  <c r="AE548" i="199"/>
  <c r="AM548" i="199" s="1"/>
  <c r="AD548" i="199"/>
  <c r="AL548" i="199" s="1"/>
  <c r="AC548" i="199"/>
  <c r="AK548" i="199" s="1"/>
  <c r="AB548" i="199"/>
  <c r="AJ548" i="199" s="1"/>
  <c r="AA548" i="199"/>
  <c r="AI548" i="199" s="1"/>
  <c r="Z548" i="199"/>
  <c r="AH548" i="199" s="1"/>
  <c r="T548" i="199"/>
  <c r="AF547" i="199"/>
  <c r="AN547" i="199" s="1"/>
  <c r="AE547" i="199"/>
  <c r="AM547" i="199" s="1"/>
  <c r="AD547" i="199"/>
  <c r="AL547" i="199" s="1"/>
  <c r="AC547" i="199"/>
  <c r="AK547" i="199" s="1"/>
  <c r="AB547" i="199"/>
  <c r="AA547" i="199"/>
  <c r="AI547" i="199" s="1"/>
  <c r="Z547" i="199"/>
  <c r="AH547" i="199" s="1"/>
  <c r="T547" i="199"/>
  <c r="AF546" i="199"/>
  <c r="AN546" i="199" s="1"/>
  <c r="AE546" i="199"/>
  <c r="AM546" i="199" s="1"/>
  <c r="AD546" i="199"/>
  <c r="AL546" i="199" s="1"/>
  <c r="AC546" i="199"/>
  <c r="AK546" i="199" s="1"/>
  <c r="AB546" i="199"/>
  <c r="AJ546" i="199" s="1"/>
  <c r="AA546" i="199"/>
  <c r="AI546" i="199" s="1"/>
  <c r="Z546" i="199"/>
  <c r="T546" i="199"/>
  <c r="AF545" i="199"/>
  <c r="AN545" i="199" s="1"/>
  <c r="AE545" i="199"/>
  <c r="AM545" i="199" s="1"/>
  <c r="AD545" i="199"/>
  <c r="AL545" i="199" s="1"/>
  <c r="AC545" i="199"/>
  <c r="AK545" i="199" s="1"/>
  <c r="AB545" i="199"/>
  <c r="AJ545" i="199" s="1"/>
  <c r="AA545" i="199"/>
  <c r="AI545" i="199" s="1"/>
  <c r="Z545" i="199"/>
  <c r="AH545" i="199" s="1"/>
  <c r="T545" i="199"/>
  <c r="AF544" i="199"/>
  <c r="AN544" i="199" s="1"/>
  <c r="AE544" i="199"/>
  <c r="AM544" i="199" s="1"/>
  <c r="AD544" i="199"/>
  <c r="AL544" i="199" s="1"/>
  <c r="AC544" i="199"/>
  <c r="AK544" i="199" s="1"/>
  <c r="AB544" i="199"/>
  <c r="AA544" i="199"/>
  <c r="AI544" i="199" s="1"/>
  <c r="Z544" i="199"/>
  <c r="AH544" i="199" s="1"/>
  <c r="T544" i="199"/>
  <c r="AF543" i="199"/>
  <c r="AN543" i="199" s="1"/>
  <c r="AE543" i="199"/>
  <c r="AM543" i="199" s="1"/>
  <c r="AD543" i="199"/>
  <c r="AL543" i="199" s="1"/>
  <c r="AC543" i="199"/>
  <c r="AK543" i="199" s="1"/>
  <c r="AB543" i="199"/>
  <c r="AJ543" i="199" s="1"/>
  <c r="AA543" i="199"/>
  <c r="AI543" i="199" s="1"/>
  <c r="Z543" i="199"/>
  <c r="AH543" i="199" s="1"/>
  <c r="T543" i="199"/>
  <c r="AF542" i="199"/>
  <c r="AN542" i="199" s="1"/>
  <c r="AE542" i="199"/>
  <c r="AM542" i="199" s="1"/>
  <c r="AD542" i="199"/>
  <c r="AL542" i="199" s="1"/>
  <c r="AC542" i="199"/>
  <c r="AK542" i="199" s="1"/>
  <c r="AB542" i="199"/>
  <c r="AJ542" i="199" s="1"/>
  <c r="AA542" i="199"/>
  <c r="AI542" i="199" s="1"/>
  <c r="Z542" i="199"/>
  <c r="AH542" i="199" s="1"/>
  <c r="T542" i="199"/>
  <c r="AF541" i="199"/>
  <c r="AN541" i="199" s="1"/>
  <c r="AE541" i="199"/>
  <c r="AM541" i="199" s="1"/>
  <c r="AD541" i="199"/>
  <c r="AL541" i="199" s="1"/>
  <c r="AC541" i="199"/>
  <c r="AK541" i="199" s="1"/>
  <c r="AB541" i="199"/>
  <c r="AJ541" i="199" s="1"/>
  <c r="AA541" i="199"/>
  <c r="AI541" i="199" s="1"/>
  <c r="Z541" i="199"/>
  <c r="AH541" i="199" s="1"/>
  <c r="T541" i="199"/>
  <c r="AF540" i="199"/>
  <c r="AN540" i="199" s="1"/>
  <c r="AE540" i="199"/>
  <c r="AM540" i="199" s="1"/>
  <c r="AD540" i="199"/>
  <c r="AL540" i="199" s="1"/>
  <c r="AC540" i="199"/>
  <c r="AK540" i="199" s="1"/>
  <c r="AB540" i="199"/>
  <c r="AJ540" i="199" s="1"/>
  <c r="AA540" i="199"/>
  <c r="AI540" i="199" s="1"/>
  <c r="Z540" i="199"/>
  <c r="AH540" i="199" s="1"/>
  <c r="T540" i="199"/>
  <c r="AF539" i="199"/>
  <c r="AN539" i="199" s="1"/>
  <c r="AE539" i="199"/>
  <c r="AM539" i="199" s="1"/>
  <c r="AD539" i="199"/>
  <c r="AL539" i="199" s="1"/>
  <c r="AC539" i="199"/>
  <c r="AK539" i="199" s="1"/>
  <c r="AB539" i="199"/>
  <c r="AJ539" i="199" s="1"/>
  <c r="AA539" i="199"/>
  <c r="AI539" i="199" s="1"/>
  <c r="Z539" i="199"/>
  <c r="T539" i="199"/>
  <c r="AF538" i="199"/>
  <c r="AN538" i="199" s="1"/>
  <c r="AE538" i="199"/>
  <c r="AM538" i="199" s="1"/>
  <c r="AD538" i="199"/>
  <c r="AL538" i="199" s="1"/>
  <c r="AC538" i="199"/>
  <c r="AK538" i="199" s="1"/>
  <c r="AB538" i="199"/>
  <c r="AA538" i="199"/>
  <c r="AI538" i="199" s="1"/>
  <c r="Z538" i="199"/>
  <c r="AH538" i="199" s="1"/>
  <c r="T538" i="199"/>
  <c r="AF537" i="199"/>
  <c r="AN537" i="199" s="1"/>
  <c r="AE537" i="199"/>
  <c r="AM537" i="199" s="1"/>
  <c r="AD537" i="199"/>
  <c r="AL537" i="199" s="1"/>
  <c r="AC537" i="199"/>
  <c r="AK537" i="199" s="1"/>
  <c r="AB537" i="199"/>
  <c r="AJ537" i="199" s="1"/>
  <c r="AA537" i="199"/>
  <c r="AI537" i="199" s="1"/>
  <c r="Z537" i="199"/>
  <c r="AH537" i="199" s="1"/>
  <c r="T537" i="199"/>
  <c r="AF536" i="199"/>
  <c r="AN536" i="199" s="1"/>
  <c r="AE536" i="199"/>
  <c r="AM536" i="199" s="1"/>
  <c r="AD536" i="199"/>
  <c r="AL536" i="199" s="1"/>
  <c r="AC536" i="199"/>
  <c r="AK536" i="199" s="1"/>
  <c r="AB536" i="199"/>
  <c r="AJ536" i="199" s="1"/>
  <c r="AA536" i="199"/>
  <c r="AI536" i="199" s="1"/>
  <c r="Z536" i="199"/>
  <c r="AH536" i="199" s="1"/>
  <c r="T536" i="199"/>
  <c r="AF535" i="199"/>
  <c r="AN535" i="199" s="1"/>
  <c r="AE535" i="199"/>
  <c r="AM535" i="199" s="1"/>
  <c r="AD535" i="199"/>
  <c r="AL535" i="199" s="1"/>
  <c r="AC535" i="199"/>
  <c r="AK535" i="199" s="1"/>
  <c r="AB535" i="199"/>
  <c r="AJ535" i="199" s="1"/>
  <c r="AA535" i="199"/>
  <c r="AI535" i="199" s="1"/>
  <c r="Z535" i="199"/>
  <c r="T535" i="199"/>
  <c r="AF534" i="199"/>
  <c r="AN534" i="199" s="1"/>
  <c r="AE534" i="199"/>
  <c r="AM534" i="199" s="1"/>
  <c r="AD534" i="199"/>
  <c r="AL534" i="199" s="1"/>
  <c r="AC534" i="199"/>
  <c r="AK534" i="199" s="1"/>
  <c r="AB534" i="199"/>
  <c r="AA534" i="199"/>
  <c r="AI534" i="199" s="1"/>
  <c r="Z534" i="199"/>
  <c r="AH534" i="199" s="1"/>
  <c r="T534" i="199"/>
  <c r="AF533" i="199"/>
  <c r="AN533" i="199" s="1"/>
  <c r="AE533" i="199"/>
  <c r="AM533" i="199" s="1"/>
  <c r="AD533" i="199"/>
  <c r="AL533" i="199" s="1"/>
  <c r="AC533" i="199"/>
  <c r="AK533" i="199" s="1"/>
  <c r="AB533" i="199"/>
  <c r="AJ533" i="199" s="1"/>
  <c r="AA533" i="199"/>
  <c r="AI533" i="199" s="1"/>
  <c r="Z533" i="199"/>
  <c r="AH533" i="199" s="1"/>
  <c r="T533" i="199"/>
  <c r="AF532" i="199"/>
  <c r="AN532" i="199" s="1"/>
  <c r="AE532" i="199"/>
  <c r="AM532" i="199" s="1"/>
  <c r="AD532" i="199"/>
  <c r="AL532" i="199" s="1"/>
  <c r="AC532" i="199"/>
  <c r="AK532" i="199" s="1"/>
  <c r="AB532" i="199"/>
  <c r="AJ532" i="199" s="1"/>
  <c r="AA532" i="199"/>
  <c r="AI532" i="199" s="1"/>
  <c r="Z532" i="199"/>
  <c r="AH532" i="199" s="1"/>
  <c r="T532" i="199"/>
  <c r="AF531" i="199"/>
  <c r="AN531" i="199" s="1"/>
  <c r="AE531" i="199"/>
  <c r="AM531" i="199" s="1"/>
  <c r="AD531" i="199"/>
  <c r="AL531" i="199" s="1"/>
  <c r="AC531" i="199"/>
  <c r="AK531" i="199" s="1"/>
  <c r="AB531" i="199"/>
  <c r="AJ531" i="199" s="1"/>
  <c r="AA531" i="199"/>
  <c r="AI531" i="199" s="1"/>
  <c r="Z531" i="199"/>
  <c r="T531" i="199"/>
  <c r="AF530" i="199"/>
  <c r="AN530" i="199" s="1"/>
  <c r="AE530" i="199"/>
  <c r="AM530" i="199" s="1"/>
  <c r="AD530" i="199"/>
  <c r="AL530" i="199" s="1"/>
  <c r="AC530" i="199"/>
  <c r="AK530" i="199" s="1"/>
  <c r="AB530" i="199"/>
  <c r="AA530" i="199"/>
  <c r="AI530" i="199" s="1"/>
  <c r="Z530" i="199"/>
  <c r="AH530" i="199" s="1"/>
  <c r="T530" i="199"/>
  <c r="AF529" i="199"/>
  <c r="AN529" i="199" s="1"/>
  <c r="AE529" i="199"/>
  <c r="AM529" i="199" s="1"/>
  <c r="AD529" i="199"/>
  <c r="AL529" i="199" s="1"/>
  <c r="AC529" i="199"/>
  <c r="AK529" i="199" s="1"/>
  <c r="AB529" i="199"/>
  <c r="AJ529" i="199" s="1"/>
  <c r="AA529" i="199"/>
  <c r="AI529" i="199" s="1"/>
  <c r="Z529" i="199"/>
  <c r="T529" i="199"/>
  <c r="AF528" i="199"/>
  <c r="AN528" i="199" s="1"/>
  <c r="AE528" i="199"/>
  <c r="AM528" i="199" s="1"/>
  <c r="AD528" i="199"/>
  <c r="AL528" i="199" s="1"/>
  <c r="AC528" i="199"/>
  <c r="AK528" i="199" s="1"/>
  <c r="AB528" i="199"/>
  <c r="AJ528" i="199" s="1"/>
  <c r="AA528" i="199"/>
  <c r="AI528" i="199" s="1"/>
  <c r="Z528" i="199"/>
  <c r="AH528" i="199" s="1"/>
  <c r="T528" i="199"/>
  <c r="AF527" i="199"/>
  <c r="AN527" i="199" s="1"/>
  <c r="AE527" i="199"/>
  <c r="AM527" i="199" s="1"/>
  <c r="AD527" i="199"/>
  <c r="AL527" i="199" s="1"/>
  <c r="AC527" i="199"/>
  <c r="AK527" i="199" s="1"/>
  <c r="AB527" i="199"/>
  <c r="AJ527" i="199" s="1"/>
  <c r="AA527" i="199"/>
  <c r="AI527" i="199" s="1"/>
  <c r="Z527" i="199"/>
  <c r="T527" i="199"/>
  <c r="AF526" i="199"/>
  <c r="AN526" i="199" s="1"/>
  <c r="AE526" i="199"/>
  <c r="AM526" i="199" s="1"/>
  <c r="AD526" i="199"/>
  <c r="AL526" i="199" s="1"/>
  <c r="AC526" i="199"/>
  <c r="AK526" i="199" s="1"/>
  <c r="AB526" i="199"/>
  <c r="AJ526" i="199" s="1"/>
  <c r="AA526" i="199"/>
  <c r="AI526" i="199" s="1"/>
  <c r="Z526" i="199"/>
  <c r="AH526" i="199" s="1"/>
  <c r="T526" i="199"/>
  <c r="AF525" i="199"/>
  <c r="AN525" i="199" s="1"/>
  <c r="AE525" i="199"/>
  <c r="AM525" i="199" s="1"/>
  <c r="AD525" i="199"/>
  <c r="AL525" i="199" s="1"/>
  <c r="AC525" i="199"/>
  <c r="AK525" i="199" s="1"/>
  <c r="AB525" i="199"/>
  <c r="AJ525" i="199" s="1"/>
  <c r="AA525" i="199"/>
  <c r="AI525" i="199" s="1"/>
  <c r="Z525" i="199"/>
  <c r="AH525" i="199" s="1"/>
  <c r="T525" i="199"/>
  <c r="AF524" i="199"/>
  <c r="AN524" i="199" s="1"/>
  <c r="AE524" i="199"/>
  <c r="AM524" i="199" s="1"/>
  <c r="AD524" i="199"/>
  <c r="AL524" i="199" s="1"/>
  <c r="AC524" i="199"/>
  <c r="AK524" i="199" s="1"/>
  <c r="AB524" i="199"/>
  <c r="AJ524" i="199" s="1"/>
  <c r="AA524" i="199"/>
  <c r="AI524" i="199" s="1"/>
  <c r="Z524" i="199"/>
  <c r="T524" i="199"/>
  <c r="AF523" i="199"/>
  <c r="AN523" i="199" s="1"/>
  <c r="AE523" i="199"/>
  <c r="AM523" i="199" s="1"/>
  <c r="AD523" i="199"/>
  <c r="AL523" i="199" s="1"/>
  <c r="AC523" i="199"/>
  <c r="AB523" i="199"/>
  <c r="AJ523" i="199" s="1"/>
  <c r="AA523" i="199"/>
  <c r="AI523" i="199" s="1"/>
  <c r="Z523" i="199"/>
  <c r="AH523" i="199" s="1"/>
  <c r="T523" i="199"/>
  <c r="AF522" i="199"/>
  <c r="AN522" i="199" s="1"/>
  <c r="AE522" i="199"/>
  <c r="AM522" i="199" s="1"/>
  <c r="AD522" i="199"/>
  <c r="AL522" i="199" s="1"/>
  <c r="AC522" i="199"/>
  <c r="AK522" i="199" s="1"/>
  <c r="AB522" i="199"/>
  <c r="AJ522" i="199" s="1"/>
  <c r="AA522" i="199"/>
  <c r="AI522" i="199" s="1"/>
  <c r="Z522" i="199"/>
  <c r="AH522" i="199" s="1"/>
  <c r="T522" i="199"/>
  <c r="AF521" i="199"/>
  <c r="AN521" i="199" s="1"/>
  <c r="AE521" i="199"/>
  <c r="AM521" i="199" s="1"/>
  <c r="AD521" i="199"/>
  <c r="AL521" i="199" s="1"/>
  <c r="AC521" i="199"/>
  <c r="AK521" i="199" s="1"/>
  <c r="AB521" i="199"/>
  <c r="AJ521" i="199" s="1"/>
  <c r="AA521" i="199"/>
  <c r="AI521" i="199" s="1"/>
  <c r="Z521" i="199"/>
  <c r="AH521" i="199" s="1"/>
  <c r="T521" i="199"/>
  <c r="AF520" i="199"/>
  <c r="AN520" i="199" s="1"/>
  <c r="AE520" i="199"/>
  <c r="AM520" i="199" s="1"/>
  <c r="AD520" i="199"/>
  <c r="AL520" i="199" s="1"/>
  <c r="AC520" i="199"/>
  <c r="AK520" i="199" s="1"/>
  <c r="AB520" i="199"/>
  <c r="AJ520" i="199" s="1"/>
  <c r="AA520" i="199"/>
  <c r="AI520" i="199" s="1"/>
  <c r="Z520" i="199"/>
  <c r="AH520" i="199" s="1"/>
  <c r="T520" i="199"/>
  <c r="AF519" i="199"/>
  <c r="AN519" i="199" s="1"/>
  <c r="AE519" i="199"/>
  <c r="AM519" i="199" s="1"/>
  <c r="AD519" i="199"/>
  <c r="AL519" i="199" s="1"/>
  <c r="AC519" i="199"/>
  <c r="AB519" i="199"/>
  <c r="AJ519" i="199" s="1"/>
  <c r="AA519" i="199"/>
  <c r="AI519" i="199" s="1"/>
  <c r="Z519" i="199"/>
  <c r="AH519" i="199" s="1"/>
  <c r="T519" i="199"/>
  <c r="AF518" i="199"/>
  <c r="AN518" i="199" s="1"/>
  <c r="AE518" i="199"/>
  <c r="AM518" i="199" s="1"/>
  <c r="AD518" i="199"/>
  <c r="AL518" i="199" s="1"/>
  <c r="AC518" i="199"/>
  <c r="AK518" i="199" s="1"/>
  <c r="AB518" i="199"/>
  <c r="AJ518" i="199" s="1"/>
  <c r="AA518" i="199"/>
  <c r="AI518" i="199" s="1"/>
  <c r="Z518" i="199"/>
  <c r="AH518" i="199" s="1"/>
  <c r="T518" i="199"/>
  <c r="AF517" i="199"/>
  <c r="AN517" i="199" s="1"/>
  <c r="AE517" i="199"/>
  <c r="AM517" i="199" s="1"/>
  <c r="AD517" i="199"/>
  <c r="AL517" i="199" s="1"/>
  <c r="AC517" i="199"/>
  <c r="AK517" i="199" s="1"/>
  <c r="AB517" i="199"/>
  <c r="AJ517" i="199" s="1"/>
  <c r="AA517" i="199"/>
  <c r="AI517" i="199" s="1"/>
  <c r="Z517" i="199"/>
  <c r="AH517" i="199" s="1"/>
  <c r="T517" i="199"/>
  <c r="AF516" i="199"/>
  <c r="AN516" i="199" s="1"/>
  <c r="AE516" i="199"/>
  <c r="AM516" i="199" s="1"/>
  <c r="AD516" i="199"/>
  <c r="AL516" i="199" s="1"/>
  <c r="AC516" i="199"/>
  <c r="AK516" i="199" s="1"/>
  <c r="AB516" i="199"/>
  <c r="AJ516" i="199" s="1"/>
  <c r="AA516" i="199"/>
  <c r="AI516" i="199" s="1"/>
  <c r="Z516" i="199"/>
  <c r="T516" i="199"/>
  <c r="AF515" i="199"/>
  <c r="AN515" i="199" s="1"/>
  <c r="AE515" i="199"/>
  <c r="AM515" i="199" s="1"/>
  <c r="AD515" i="199"/>
  <c r="AL515" i="199" s="1"/>
  <c r="AC515" i="199"/>
  <c r="AK515" i="199" s="1"/>
  <c r="AB515" i="199"/>
  <c r="AJ515" i="199" s="1"/>
  <c r="AA515" i="199"/>
  <c r="AI515" i="199" s="1"/>
  <c r="Z515" i="199"/>
  <c r="AH515" i="199" s="1"/>
  <c r="T515" i="199"/>
  <c r="AF514" i="199"/>
  <c r="AN514" i="199" s="1"/>
  <c r="AE514" i="199"/>
  <c r="AM514" i="199" s="1"/>
  <c r="AD514" i="199"/>
  <c r="AL514" i="199" s="1"/>
  <c r="AC514" i="199"/>
  <c r="AK514" i="199" s="1"/>
  <c r="AB514" i="199"/>
  <c r="AJ514" i="199" s="1"/>
  <c r="AA514" i="199"/>
  <c r="AI514" i="199" s="1"/>
  <c r="Z514" i="199"/>
  <c r="AH514" i="199" s="1"/>
  <c r="T514" i="199"/>
  <c r="AF513" i="199"/>
  <c r="AN513" i="199" s="1"/>
  <c r="AE513" i="199"/>
  <c r="AM513" i="199" s="1"/>
  <c r="AD513" i="199"/>
  <c r="AL513" i="199" s="1"/>
  <c r="AC513" i="199"/>
  <c r="AK513" i="199" s="1"/>
  <c r="AB513" i="199"/>
  <c r="AJ513" i="199" s="1"/>
  <c r="AA513" i="199"/>
  <c r="AI513" i="199" s="1"/>
  <c r="Z513" i="199"/>
  <c r="AH513" i="199" s="1"/>
  <c r="T513" i="199"/>
  <c r="AF512" i="199"/>
  <c r="AN512" i="199" s="1"/>
  <c r="AE512" i="199"/>
  <c r="AM512" i="199" s="1"/>
  <c r="AD512" i="199"/>
  <c r="AL512" i="199" s="1"/>
  <c r="AC512" i="199"/>
  <c r="AK512" i="199" s="1"/>
  <c r="AB512" i="199"/>
  <c r="AJ512" i="199" s="1"/>
  <c r="Z512" i="199"/>
  <c r="AH512" i="199" s="1"/>
  <c r="N512" i="199"/>
  <c r="T512" i="199" s="1"/>
  <c r="AF511" i="199"/>
  <c r="AN511" i="199" s="1"/>
  <c r="AE511" i="199"/>
  <c r="AM511" i="199" s="1"/>
  <c r="AD511" i="199"/>
  <c r="AL511" i="199" s="1"/>
  <c r="AC511" i="199"/>
  <c r="AK511" i="199" s="1"/>
  <c r="AB511" i="199"/>
  <c r="AJ511" i="199" s="1"/>
  <c r="Z511" i="199"/>
  <c r="AH511" i="199" s="1"/>
  <c r="N511" i="199"/>
  <c r="AA511" i="199" s="1"/>
  <c r="AF510" i="199"/>
  <c r="AN510" i="199" s="1"/>
  <c r="AE510" i="199"/>
  <c r="AM510" i="199" s="1"/>
  <c r="AD510" i="199"/>
  <c r="AL510" i="199" s="1"/>
  <c r="AC510" i="199"/>
  <c r="AK510" i="199" s="1"/>
  <c r="AB510" i="199"/>
  <c r="AJ510" i="199" s="1"/>
  <c r="Z510" i="199"/>
  <c r="AH510" i="199" s="1"/>
  <c r="N510" i="199"/>
  <c r="AA510" i="199" s="1"/>
  <c r="AI510" i="199" s="1"/>
  <c r="AF509" i="199"/>
  <c r="AN509" i="199" s="1"/>
  <c r="AE509" i="199"/>
  <c r="AM509" i="199" s="1"/>
  <c r="AD509" i="199"/>
  <c r="AL509" i="199" s="1"/>
  <c r="AC509" i="199"/>
  <c r="AK509" i="199" s="1"/>
  <c r="AB509" i="199"/>
  <c r="AJ509" i="199" s="1"/>
  <c r="Z509" i="199"/>
  <c r="AH509" i="199" s="1"/>
  <c r="N509" i="199"/>
  <c r="AF508" i="199"/>
  <c r="AN508" i="199" s="1"/>
  <c r="AE508" i="199"/>
  <c r="AM508" i="199" s="1"/>
  <c r="AD508" i="199"/>
  <c r="AL508" i="199" s="1"/>
  <c r="AC508" i="199"/>
  <c r="AK508" i="199" s="1"/>
  <c r="AB508" i="199"/>
  <c r="AJ508" i="199" s="1"/>
  <c r="Z508" i="199"/>
  <c r="AH508" i="199" s="1"/>
  <c r="N508" i="199"/>
  <c r="T508" i="199" s="1"/>
  <c r="AF507" i="199"/>
  <c r="AN507" i="199" s="1"/>
  <c r="AE507" i="199"/>
  <c r="AM507" i="199" s="1"/>
  <c r="AD507" i="199"/>
  <c r="AL507" i="199" s="1"/>
  <c r="AC507" i="199"/>
  <c r="AK507" i="199" s="1"/>
  <c r="AB507" i="199"/>
  <c r="AJ507" i="199" s="1"/>
  <c r="Z507" i="199"/>
  <c r="AH507" i="199" s="1"/>
  <c r="N507" i="199"/>
  <c r="AF506" i="199"/>
  <c r="AN506" i="199" s="1"/>
  <c r="AE506" i="199"/>
  <c r="AM506" i="199" s="1"/>
  <c r="AD506" i="199"/>
  <c r="AL506" i="199" s="1"/>
  <c r="AC506" i="199"/>
  <c r="AK506" i="199" s="1"/>
  <c r="AB506" i="199"/>
  <c r="AJ506" i="199" s="1"/>
  <c r="Z506" i="199"/>
  <c r="AH506" i="199" s="1"/>
  <c r="N506" i="199"/>
  <c r="AA506" i="199" s="1"/>
  <c r="AI506" i="199" s="1"/>
  <c r="AF505" i="199"/>
  <c r="AN505" i="199" s="1"/>
  <c r="AE505" i="199"/>
  <c r="AM505" i="199" s="1"/>
  <c r="AD505" i="199"/>
  <c r="AL505" i="199" s="1"/>
  <c r="AC505" i="199"/>
  <c r="AK505" i="199" s="1"/>
  <c r="AB505" i="199"/>
  <c r="AJ505" i="199" s="1"/>
  <c r="Z505" i="199"/>
  <c r="AH505" i="199" s="1"/>
  <c r="N505" i="199"/>
  <c r="T505" i="199" s="1"/>
  <c r="AF504" i="199"/>
  <c r="AN504" i="199" s="1"/>
  <c r="AE504" i="199"/>
  <c r="AM504" i="199" s="1"/>
  <c r="AD504" i="199"/>
  <c r="AL504" i="199" s="1"/>
  <c r="AC504" i="199"/>
  <c r="AK504" i="199" s="1"/>
  <c r="AB504" i="199"/>
  <c r="AJ504" i="199" s="1"/>
  <c r="Z504" i="199"/>
  <c r="AH504" i="199" s="1"/>
  <c r="N504" i="199"/>
  <c r="T504" i="199" s="1"/>
  <c r="AF503" i="199"/>
  <c r="AN503" i="199" s="1"/>
  <c r="AE503" i="199"/>
  <c r="AM503" i="199" s="1"/>
  <c r="AD503" i="199"/>
  <c r="AL503" i="199" s="1"/>
  <c r="AC503" i="199"/>
  <c r="AK503" i="199" s="1"/>
  <c r="AB503" i="199"/>
  <c r="AJ503" i="199" s="1"/>
  <c r="Z503" i="199"/>
  <c r="AH503" i="199" s="1"/>
  <c r="N503" i="199"/>
  <c r="AF502" i="199"/>
  <c r="AN502" i="199" s="1"/>
  <c r="AE502" i="199"/>
  <c r="AM502" i="199" s="1"/>
  <c r="AD502" i="199"/>
  <c r="AL502" i="199" s="1"/>
  <c r="AC502" i="199"/>
  <c r="AK502" i="199" s="1"/>
  <c r="AB502" i="199"/>
  <c r="AJ502" i="199" s="1"/>
  <c r="Z502" i="199"/>
  <c r="AH502" i="199" s="1"/>
  <c r="N502" i="199"/>
  <c r="AA502" i="199" s="1"/>
  <c r="AI502" i="199" s="1"/>
  <c r="AF501" i="199"/>
  <c r="AN501" i="199" s="1"/>
  <c r="AE501" i="199"/>
  <c r="AM501" i="199" s="1"/>
  <c r="AD501" i="199"/>
  <c r="AL501" i="199" s="1"/>
  <c r="AC501" i="199"/>
  <c r="AK501" i="199" s="1"/>
  <c r="AB501" i="199"/>
  <c r="AJ501" i="199" s="1"/>
  <c r="Z501" i="199"/>
  <c r="AH501" i="199" s="1"/>
  <c r="N501" i="199"/>
  <c r="T501" i="199" s="1"/>
  <c r="AF500" i="199"/>
  <c r="AN500" i="199" s="1"/>
  <c r="AE500" i="199"/>
  <c r="AM500" i="199" s="1"/>
  <c r="AD500" i="199"/>
  <c r="AL500" i="199" s="1"/>
  <c r="AC500" i="199"/>
  <c r="AK500" i="199" s="1"/>
  <c r="AB500" i="199"/>
  <c r="AJ500" i="199" s="1"/>
  <c r="Z500" i="199"/>
  <c r="AH500" i="199" s="1"/>
  <c r="N500" i="199"/>
  <c r="T500" i="199" s="1"/>
  <c r="AF499" i="199"/>
  <c r="AN499" i="199" s="1"/>
  <c r="AE499" i="199"/>
  <c r="AM499" i="199" s="1"/>
  <c r="AD499" i="199"/>
  <c r="AL499" i="199" s="1"/>
  <c r="AC499" i="199"/>
  <c r="AK499" i="199" s="1"/>
  <c r="AB499" i="199"/>
  <c r="AJ499" i="199" s="1"/>
  <c r="Z499" i="199"/>
  <c r="AH499" i="199" s="1"/>
  <c r="N499" i="199"/>
  <c r="AF498" i="199"/>
  <c r="AN498" i="199" s="1"/>
  <c r="AE498" i="199"/>
  <c r="AM498" i="199" s="1"/>
  <c r="AD498" i="199"/>
  <c r="AL498" i="199" s="1"/>
  <c r="AC498" i="199"/>
  <c r="AK498" i="199" s="1"/>
  <c r="AB498" i="199"/>
  <c r="AJ498" i="199" s="1"/>
  <c r="Z498" i="199"/>
  <c r="AH498" i="199" s="1"/>
  <c r="N498" i="199"/>
  <c r="AA498" i="199" s="1"/>
  <c r="AI498" i="199" s="1"/>
  <c r="AF497" i="199"/>
  <c r="AN497" i="199" s="1"/>
  <c r="AE497" i="199"/>
  <c r="AM497" i="199" s="1"/>
  <c r="AD497" i="199"/>
  <c r="AL497" i="199" s="1"/>
  <c r="AC497" i="199"/>
  <c r="AK497" i="199" s="1"/>
  <c r="AB497" i="199"/>
  <c r="AJ497" i="199" s="1"/>
  <c r="Z497" i="199"/>
  <c r="N497" i="199"/>
  <c r="AF496" i="199"/>
  <c r="AN496" i="199" s="1"/>
  <c r="AE496" i="199"/>
  <c r="AM496" i="199" s="1"/>
  <c r="AD496" i="199"/>
  <c r="AL496" i="199" s="1"/>
  <c r="AC496" i="199"/>
  <c r="AK496" i="199" s="1"/>
  <c r="AB496" i="199"/>
  <c r="AJ496" i="199" s="1"/>
  <c r="Z496" i="199"/>
  <c r="AH496" i="199" s="1"/>
  <c r="N496" i="199"/>
  <c r="T496" i="199" s="1"/>
  <c r="AF495" i="199"/>
  <c r="AN495" i="199" s="1"/>
  <c r="AE495" i="199"/>
  <c r="AM495" i="199" s="1"/>
  <c r="AD495" i="199"/>
  <c r="AL495" i="199" s="1"/>
  <c r="AC495" i="199"/>
  <c r="AK495" i="199" s="1"/>
  <c r="AB495" i="199"/>
  <c r="AJ495" i="199" s="1"/>
  <c r="Z495" i="199"/>
  <c r="AH495" i="199" s="1"/>
  <c r="N495" i="199"/>
  <c r="AA495" i="199" s="1"/>
  <c r="AI495" i="199" s="1"/>
  <c r="AF494" i="199"/>
  <c r="AN494" i="199" s="1"/>
  <c r="AE494" i="199"/>
  <c r="AM494" i="199" s="1"/>
  <c r="AD494" i="199"/>
  <c r="AL494" i="199" s="1"/>
  <c r="AC494" i="199"/>
  <c r="AK494" i="199" s="1"/>
  <c r="AB494" i="199"/>
  <c r="AJ494" i="199" s="1"/>
  <c r="Z494" i="199"/>
  <c r="AH494" i="199" s="1"/>
  <c r="N494" i="199"/>
  <c r="AF493" i="199"/>
  <c r="AN493" i="199" s="1"/>
  <c r="AE493" i="199"/>
  <c r="AM493" i="199" s="1"/>
  <c r="AD493" i="199"/>
  <c r="AL493" i="199" s="1"/>
  <c r="AC493" i="199"/>
  <c r="AK493" i="199" s="1"/>
  <c r="AB493" i="199"/>
  <c r="AJ493" i="199" s="1"/>
  <c r="Z493" i="199"/>
  <c r="N493" i="199"/>
  <c r="T493" i="199" s="1"/>
  <c r="AF492" i="199"/>
  <c r="AN492" i="199" s="1"/>
  <c r="AE492" i="199"/>
  <c r="AM492" i="199" s="1"/>
  <c r="AD492" i="199"/>
  <c r="AL492" i="199" s="1"/>
  <c r="AC492" i="199"/>
  <c r="AK492" i="199" s="1"/>
  <c r="AB492" i="199"/>
  <c r="AJ492" i="199" s="1"/>
  <c r="Z492" i="199"/>
  <c r="AH492" i="199" s="1"/>
  <c r="N492" i="199"/>
  <c r="T492" i="199" s="1"/>
  <c r="AF491" i="199"/>
  <c r="AN491" i="199" s="1"/>
  <c r="AE491" i="199"/>
  <c r="AM491" i="199" s="1"/>
  <c r="AD491" i="199"/>
  <c r="AL491" i="199" s="1"/>
  <c r="AC491" i="199"/>
  <c r="AK491" i="199" s="1"/>
  <c r="AB491" i="199"/>
  <c r="AJ491" i="199" s="1"/>
  <c r="Z491" i="199"/>
  <c r="AH491" i="199" s="1"/>
  <c r="N491" i="199"/>
  <c r="AF490" i="199"/>
  <c r="AN490" i="199" s="1"/>
  <c r="AE490" i="199"/>
  <c r="AM490" i="199" s="1"/>
  <c r="AD490" i="199"/>
  <c r="AL490" i="199" s="1"/>
  <c r="AC490" i="199"/>
  <c r="AK490" i="199" s="1"/>
  <c r="AB490" i="199"/>
  <c r="AJ490" i="199" s="1"/>
  <c r="Z490" i="199"/>
  <c r="AH490" i="199" s="1"/>
  <c r="N490" i="199"/>
  <c r="AA490" i="199" s="1"/>
  <c r="AI490" i="199" s="1"/>
  <c r="AF489" i="199"/>
  <c r="AN489" i="199" s="1"/>
  <c r="AE489" i="199"/>
  <c r="AM489" i="199" s="1"/>
  <c r="AD489" i="199"/>
  <c r="AL489" i="199" s="1"/>
  <c r="AC489" i="199"/>
  <c r="AK489" i="199" s="1"/>
  <c r="AB489" i="199"/>
  <c r="AJ489" i="199" s="1"/>
  <c r="Z489" i="199"/>
  <c r="N489" i="199"/>
  <c r="N364" i="192" s="1"/>
  <c r="AF488" i="199"/>
  <c r="AN488" i="199" s="1"/>
  <c r="AE488" i="199"/>
  <c r="AM488" i="199" s="1"/>
  <c r="AD488" i="199"/>
  <c r="AL488" i="199" s="1"/>
  <c r="AC488" i="199"/>
  <c r="AK488" i="199" s="1"/>
  <c r="AB488" i="199"/>
  <c r="AJ488" i="199" s="1"/>
  <c r="Z488" i="199"/>
  <c r="AH488" i="199" s="1"/>
  <c r="N488" i="199"/>
  <c r="AF487" i="199"/>
  <c r="AN487" i="199" s="1"/>
  <c r="AE487" i="199"/>
  <c r="AM487" i="199" s="1"/>
  <c r="AD487" i="199"/>
  <c r="AL487" i="199" s="1"/>
  <c r="AC487" i="199"/>
  <c r="AK487" i="199" s="1"/>
  <c r="AB487" i="199"/>
  <c r="AJ487" i="199" s="1"/>
  <c r="Z487" i="199"/>
  <c r="AH487" i="199" s="1"/>
  <c r="N487" i="199"/>
  <c r="T487" i="199" s="1"/>
  <c r="AF486" i="199"/>
  <c r="AN486" i="199" s="1"/>
  <c r="AE486" i="199"/>
  <c r="AM486" i="199" s="1"/>
  <c r="AD486" i="199"/>
  <c r="AL486" i="199" s="1"/>
  <c r="AC486" i="199"/>
  <c r="AK486" i="199" s="1"/>
  <c r="AB486" i="199"/>
  <c r="AJ486" i="199" s="1"/>
  <c r="Z486" i="199"/>
  <c r="AH486" i="199" s="1"/>
  <c r="N486" i="199"/>
  <c r="N361" i="192" s="1"/>
  <c r="AA361" i="192" s="1"/>
  <c r="AG361" i="192" s="1"/>
  <c r="AF485" i="199"/>
  <c r="AN485" i="199" s="1"/>
  <c r="AE485" i="199"/>
  <c r="AM485" i="199" s="1"/>
  <c r="AD485" i="199"/>
  <c r="AL485" i="199" s="1"/>
  <c r="AC485" i="199"/>
  <c r="AK485" i="199" s="1"/>
  <c r="AB485" i="199"/>
  <c r="AJ485" i="199" s="1"/>
  <c r="Z485" i="199"/>
  <c r="N485" i="199"/>
  <c r="AF484" i="199"/>
  <c r="AN484" i="199" s="1"/>
  <c r="AE484" i="199"/>
  <c r="AM484" i="199" s="1"/>
  <c r="AD484" i="199"/>
  <c r="AL484" i="199" s="1"/>
  <c r="AC484" i="199"/>
  <c r="AK484" i="199" s="1"/>
  <c r="AB484" i="199"/>
  <c r="AJ484" i="199" s="1"/>
  <c r="Z484" i="199"/>
  <c r="AH484" i="199" s="1"/>
  <c r="N484" i="199"/>
  <c r="AF483" i="199"/>
  <c r="AN483" i="199" s="1"/>
  <c r="AE483" i="199"/>
  <c r="AM483" i="199" s="1"/>
  <c r="AD483" i="199"/>
  <c r="AL483" i="199" s="1"/>
  <c r="AC483" i="199"/>
  <c r="AK483" i="199" s="1"/>
  <c r="AB483" i="199"/>
  <c r="AJ483" i="199" s="1"/>
  <c r="Z483" i="199"/>
  <c r="AH483" i="199" s="1"/>
  <c r="N483" i="199"/>
  <c r="AF482" i="199"/>
  <c r="AN482" i="199" s="1"/>
  <c r="AE482" i="199"/>
  <c r="AM482" i="199" s="1"/>
  <c r="AD482" i="199"/>
  <c r="AL482" i="199" s="1"/>
  <c r="AC482" i="199"/>
  <c r="AK482" i="199" s="1"/>
  <c r="AB482" i="199"/>
  <c r="AJ482" i="199" s="1"/>
  <c r="Z482" i="199"/>
  <c r="AH482" i="199" s="1"/>
  <c r="N482" i="199"/>
  <c r="AF481" i="199"/>
  <c r="AN481" i="199" s="1"/>
  <c r="AE481" i="199"/>
  <c r="AM481" i="199" s="1"/>
  <c r="AD481" i="199"/>
  <c r="AL481" i="199" s="1"/>
  <c r="AC481" i="199"/>
  <c r="AK481" i="199" s="1"/>
  <c r="AB481" i="199"/>
  <c r="AJ481" i="199" s="1"/>
  <c r="Z481" i="199"/>
  <c r="AH481" i="199" s="1"/>
  <c r="N481" i="199"/>
  <c r="AF480" i="199"/>
  <c r="AN480" i="199" s="1"/>
  <c r="AE480" i="199"/>
  <c r="AM480" i="199" s="1"/>
  <c r="AD480" i="199"/>
  <c r="AL480" i="199" s="1"/>
  <c r="AC480" i="199"/>
  <c r="AK480" i="199" s="1"/>
  <c r="AB480" i="199"/>
  <c r="AJ480" i="199" s="1"/>
  <c r="Z480" i="199"/>
  <c r="AH480" i="199" s="1"/>
  <c r="N480" i="199"/>
  <c r="AF479" i="199"/>
  <c r="AN479" i="199" s="1"/>
  <c r="AE479" i="199"/>
  <c r="AM479" i="199" s="1"/>
  <c r="AD479" i="199"/>
  <c r="AL479" i="199" s="1"/>
  <c r="AC479" i="199"/>
  <c r="AK479" i="199" s="1"/>
  <c r="AB479" i="199"/>
  <c r="AJ479" i="199" s="1"/>
  <c r="Z479" i="199"/>
  <c r="AH479" i="199" s="1"/>
  <c r="N479" i="199"/>
  <c r="AF478" i="199"/>
  <c r="AN478" i="199" s="1"/>
  <c r="AE478" i="199"/>
  <c r="AM478" i="199" s="1"/>
  <c r="AD478" i="199"/>
  <c r="AL478" i="199" s="1"/>
  <c r="AC478" i="199"/>
  <c r="AK478" i="199" s="1"/>
  <c r="AB478" i="199"/>
  <c r="AJ478" i="199" s="1"/>
  <c r="Z478" i="199"/>
  <c r="AH478" i="199" s="1"/>
  <c r="N478" i="199"/>
  <c r="N57" i="189" s="1"/>
  <c r="AF477" i="199"/>
  <c r="AN477" i="199" s="1"/>
  <c r="AE477" i="199"/>
  <c r="AM477" i="199" s="1"/>
  <c r="AD477" i="199"/>
  <c r="AL477" i="199" s="1"/>
  <c r="AC477" i="199"/>
  <c r="AK477" i="199" s="1"/>
  <c r="AB477" i="199"/>
  <c r="AJ477" i="199" s="1"/>
  <c r="Z477" i="199"/>
  <c r="AH477" i="199" s="1"/>
  <c r="N477" i="199"/>
  <c r="AF476" i="199"/>
  <c r="AN476" i="199" s="1"/>
  <c r="AE476" i="199"/>
  <c r="AM476" i="199" s="1"/>
  <c r="AD476" i="199"/>
  <c r="AL476" i="199" s="1"/>
  <c r="AC476" i="199"/>
  <c r="AK476" i="199" s="1"/>
  <c r="AB476" i="199"/>
  <c r="AJ476" i="199" s="1"/>
  <c r="Z476" i="199"/>
  <c r="AH476" i="199" s="1"/>
  <c r="N476" i="199"/>
  <c r="AF475" i="199"/>
  <c r="AN475" i="199" s="1"/>
  <c r="AE475" i="199"/>
  <c r="AM475" i="199" s="1"/>
  <c r="AD475" i="199"/>
  <c r="AL475" i="199" s="1"/>
  <c r="AC475" i="199"/>
  <c r="AK475" i="199" s="1"/>
  <c r="AB475" i="199"/>
  <c r="AJ475" i="199" s="1"/>
  <c r="Z475" i="199"/>
  <c r="AH475" i="199" s="1"/>
  <c r="N475" i="199"/>
  <c r="AF474" i="199"/>
  <c r="AN474" i="199" s="1"/>
  <c r="AE474" i="199"/>
  <c r="AM474" i="199" s="1"/>
  <c r="AD474" i="199"/>
  <c r="AL474" i="199" s="1"/>
  <c r="AC474" i="199"/>
  <c r="AK474" i="199" s="1"/>
  <c r="AB474" i="199"/>
  <c r="AJ474" i="199" s="1"/>
  <c r="Z474" i="199"/>
  <c r="AH474" i="199" s="1"/>
  <c r="N474" i="199"/>
  <c r="AF473" i="199"/>
  <c r="AN473" i="199" s="1"/>
  <c r="AE473" i="199"/>
  <c r="AM473" i="199" s="1"/>
  <c r="AD473" i="199"/>
  <c r="AL473" i="199" s="1"/>
  <c r="AC473" i="199"/>
  <c r="AK473" i="199" s="1"/>
  <c r="AB473" i="199"/>
  <c r="AJ473" i="199" s="1"/>
  <c r="Z473" i="199"/>
  <c r="AH473" i="199" s="1"/>
  <c r="N473" i="199"/>
  <c r="AF472" i="199"/>
  <c r="AN472" i="199" s="1"/>
  <c r="AE472" i="199"/>
  <c r="AM472" i="199" s="1"/>
  <c r="AD472" i="199"/>
  <c r="AL472" i="199" s="1"/>
  <c r="AC472" i="199"/>
  <c r="AK472" i="199" s="1"/>
  <c r="AB472" i="199"/>
  <c r="AJ472" i="199" s="1"/>
  <c r="Z472" i="199"/>
  <c r="AH472" i="199" s="1"/>
  <c r="N472" i="199"/>
  <c r="AF471" i="199"/>
  <c r="AN471" i="199" s="1"/>
  <c r="AE471" i="199"/>
  <c r="AM471" i="199" s="1"/>
  <c r="AD471" i="199"/>
  <c r="AL471" i="199" s="1"/>
  <c r="AC471" i="199"/>
  <c r="AK471" i="199" s="1"/>
  <c r="AB471" i="199"/>
  <c r="AJ471" i="199" s="1"/>
  <c r="Z471" i="199"/>
  <c r="AH471" i="199" s="1"/>
  <c r="N471" i="199"/>
  <c r="AF470" i="199"/>
  <c r="AN470" i="199" s="1"/>
  <c r="AE470" i="199"/>
  <c r="AM470" i="199" s="1"/>
  <c r="AD470" i="199"/>
  <c r="AL470" i="199" s="1"/>
  <c r="AC470" i="199"/>
  <c r="AK470" i="199" s="1"/>
  <c r="AB470" i="199"/>
  <c r="AJ470" i="199" s="1"/>
  <c r="Z470" i="199"/>
  <c r="AH470" i="199" s="1"/>
  <c r="N470" i="199"/>
  <c r="AA470" i="199" s="1"/>
  <c r="AI470" i="199" s="1"/>
  <c r="AF469" i="199"/>
  <c r="AN469" i="199" s="1"/>
  <c r="AE469" i="199"/>
  <c r="AM469" i="199" s="1"/>
  <c r="AD469" i="199"/>
  <c r="AL469" i="199" s="1"/>
  <c r="AC469" i="199"/>
  <c r="AK469" i="199" s="1"/>
  <c r="AB469" i="199"/>
  <c r="AJ469" i="199" s="1"/>
  <c r="Z469" i="199"/>
  <c r="AH469" i="199" s="1"/>
  <c r="N469" i="199"/>
  <c r="AF468" i="199"/>
  <c r="AN468" i="199" s="1"/>
  <c r="AE468" i="199"/>
  <c r="AM468" i="199" s="1"/>
  <c r="AD468" i="199"/>
  <c r="AL468" i="199" s="1"/>
  <c r="AC468" i="199"/>
  <c r="AK468" i="199" s="1"/>
  <c r="AB468" i="199"/>
  <c r="AJ468" i="199" s="1"/>
  <c r="Z468" i="199"/>
  <c r="AH468" i="199" s="1"/>
  <c r="N468" i="199"/>
  <c r="AF467" i="199"/>
  <c r="AN467" i="199" s="1"/>
  <c r="AE467" i="199"/>
  <c r="AM467" i="199" s="1"/>
  <c r="AD467" i="199"/>
  <c r="AL467" i="199" s="1"/>
  <c r="AC467" i="199"/>
  <c r="AK467" i="199" s="1"/>
  <c r="AB467" i="199"/>
  <c r="AJ467" i="199" s="1"/>
  <c r="Z467" i="199"/>
  <c r="AH467" i="199" s="1"/>
  <c r="N467" i="199"/>
  <c r="AA467" i="199" s="1"/>
  <c r="AF466" i="199"/>
  <c r="AN466" i="199" s="1"/>
  <c r="AE466" i="199"/>
  <c r="AM466" i="199" s="1"/>
  <c r="AD466" i="199"/>
  <c r="AL466" i="199" s="1"/>
  <c r="AC466" i="199"/>
  <c r="AK466" i="199" s="1"/>
  <c r="AB466" i="199"/>
  <c r="AJ466" i="199" s="1"/>
  <c r="Z466" i="199"/>
  <c r="AH466" i="199" s="1"/>
  <c r="N466" i="199"/>
  <c r="AF465" i="199"/>
  <c r="AN465" i="199" s="1"/>
  <c r="AE465" i="199"/>
  <c r="AM465" i="199" s="1"/>
  <c r="AD465" i="199"/>
  <c r="AL465" i="199" s="1"/>
  <c r="AC465" i="199"/>
  <c r="AK465" i="199" s="1"/>
  <c r="AB465" i="199"/>
  <c r="AJ465" i="199" s="1"/>
  <c r="Z465" i="199"/>
  <c r="AH465" i="199" s="1"/>
  <c r="N465" i="199"/>
  <c r="AF464" i="199"/>
  <c r="AN464" i="199" s="1"/>
  <c r="AE464" i="199"/>
  <c r="AM464" i="199" s="1"/>
  <c r="AD464" i="199"/>
  <c r="AL464" i="199" s="1"/>
  <c r="AC464" i="199"/>
  <c r="AK464" i="199" s="1"/>
  <c r="AB464" i="199"/>
  <c r="AJ464" i="199" s="1"/>
  <c r="Z464" i="199"/>
  <c r="AH464" i="199" s="1"/>
  <c r="N464" i="199"/>
  <c r="AF463" i="199"/>
  <c r="AN463" i="199" s="1"/>
  <c r="AE463" i="199"/>
  <c r="AM463" i="199" s="1"/>
  <c r="AD463" i="199"/>
  <c r="AL463" i="199" s="1"/>
  <c r="AC463" i="199"/>
  <c r="AK463" i="199" s="1"/>
  <c r="AB463" i="199"/>
  <c r="AJ463" i="199" s="1"/>
  <c r="Z463" i="199"/>
  <c r="AH463" i="199" s="1"/>
  <c r="N463" i="199"/>
  <c r="AF462" i="199"/>
  <c r="AN462" i="199" s="1"/>
  <c r="AE462" i="199"/>
  <c r="AM462" i="199" s="1"/>
  <c r="AD462" i="199"/>
  <c r="AL462" i="199" s="1"/>
  <c r="AC462" i="199"/>
  <c r="AK462" i="199" s="1"/>
  <c r="AB462" i="199"/>
  <c r="AJ462" i="199" s="1"/>
  <c r="Z462" i="199"/>
  <c r="AH462" i="199" s="1"/>
  <c r="N462" i="199"/>
  <c r="AA462" i="199" s="1"/>
  <c r="AI462" i="199" s="1"/>
  <c r="AF461" i="199"/>
  <c r="AN461" i="199" s="1"/>
  <c r="AE461" i="199"/>
  <c r="AM461" i="199" s="1"/>
  <c r="AD461" i="199"/>
  <c r="AL461" i="199" s="1"/>
  <c r="AC461" i="199"/>
  <c r="AK461" i="199" s="1"/>
  <c r="AB461" i="199"/>
  <c r="AJ461" i="199" s="1"/>
  <c r="Z461" i="199"/>
  <c r="AH461" i="199" s="1"/>
  <c r="N461" i="199"/>
  <c r="AF460" i="199"/>
  <c r="AN460" i="199" s="1"/>
  <c r="AE460" i="199"/>
  <c r="AM460" i="199" s="1"/>
  <c r="AD460" i="199"/>
  <c r="AL460" i="199" s="1"/>
  <c r="AC460" i="199"/>
  <c r="AK460" i="199" s="1"/>
  <c r="AB460" i="199"/>
  <c r="AJ460" i="199" s="1"/>
  <c r="Z460" i="199"/>
  <c r="AH460" i="199" s="1"/>
  <c r="N460" i="199"/>
  <c r="AF459" i="199"/>
  <c r="AN459" i="199" s="1"/>
  <c r="AE459" i="199"/>
  <c r="AM459" i="199" s="1"/>
  <c r="AD459" i="199"/>
  <c r="AL459" i="199" s="1"/>
  <c r="AC459" i="199"/>
  <c r="AK459" i="199" s="1"/>
  <c r="AB459" i="199"/>
  <c r="AJ459" i="199" s="1"/>
  <c r="Z459" i="199"/>
  <c r="AH459" i="199" s="1"/>
  <c r="N459" i="199"/>
  <c r="AA459" i="199" s="1"/>
  <c r="AI459" i="199" s="1"/>
  <c r="AF458" i="199"/>
  <c r="AN458" i="199" s="1"/>
  <c r="AE458" i="199"/>
  <c r="AM458" i="199" s="1"/>
  <c r="AD458" i="199"/>
  <c r="AL458" i="199" s="1"/>
  <c r="AC458" i="199"/>
  <c r="AK458" i="199" s="1"/>
  <c r="AB458" i="199"/>
  <c r="AJ458" i="199" s="1"/>
  <c r="Z458" i="199"/>
  <c r="AH458" i="199" s="1"/>
  <c r="N458" i="199"/>
  <c r="AF457" i="199"/>
  <c r="AN457" i="199" s="1"/>
  <c r="AE457" i="199"/>
  <c r="AM457" i="199" s="1"/>
  <c r="AD457" i="199"/>
  <c r="AL457" i="199" s="1"/>
  <c r="AC457" i="199"/>
  <c r="AK457" i="199" s="1"/>
  <c r="AB457" i="199"/>
  <c r="AJ457" i="199" s="1"/>
  <c r="Z457" i="199"/>
  <c r="AH457" i="199" s="1"/>
  <c r="N457" i="199"/>
  <c r="AF456" i="199"/>
  <c r="AN456" i="199" s="1"/>
  <c r="AE456" i="199"/>
  <c r="AM456" i="199" s="1"/>
  <c r="AD456" i="199"/>
  <c r="AL456" i="199" s="1"/>
  <c r="AC456" i="199"/>
  <c r="AK456" i="199" s="1"/>
  <c r="AB456" i="199"/>
  <c r="AJ456" i="199" s="1"/>
  <c r="Z456" i="199"/>
  <c r="AH456" i="199" s="1"/>
  <c r="N456" i="199"/>
  <c r="AF455" i="199"/>
  <c r="AN455" i="199" s="1"/>
  <c r="AE455" i="199"/>
  <c r="AM455" i="199" s="1"/>
  <c r="AD455" i="199"/>
  <c r="AL455" i="199" s="1"/>
  <c r="AC455" i="199"/>
  <c r="AK455" i="199" s="1"/>
  <c r="AB455" i="199"/>
  <c r="AJ455" i="199" s="1"/>
  <c r="Z455" i="199"/>
  <c r="AH455" i="199" s="1"/>
  <c r="N455" i="199"/>
  <c r="AF454" i="199"/>
  <c r="AN454" i="199" s="1"/>
  <c r="AE454" i="199"/>
  <c r="AM454" i="199" s="1"/>
  <c r="AD454" i="199"/>
  <c r="AL454" i="199" s="1"/>
  <c r="AC454" i="199"/>
  <c r="AK454" i="199" s="1"/>
  <c r="AB454" i="199"/>
  <c r="AJ454" i="199" s="1"/>
  <c r="Z454" i="199"/>
  <c r="AH454" i="199" s="1"/>
  <c r="N454" i="199"/>
  <c r="AA454" i="199" s="1"/>
  <c r="AI454" i="199" s="1"/>
  <c r="AF453" i="199"/>
  <c r="AN453" i="199" s="1"/>
  <c r="AE453" i="199"/>
  <c r="AM453" i="199" s="1"/>
  <c r="AD453" i="199"/>
  <c r="AL453" i="199" s="1"/>
  <c r="AC453" i="199"/>
  <c r="AK453" i="199" s="1"/>
  <c r="AB453" i="199"/>
  <c r="AJ453" i="199" s="1"/>
  <c r="Z453" i="199"/>
  <c r="AH453" i="199" s="1"/>
  <c r="N453" i="199"/>
  <c r="AF452" i="199"/>
  <c r="AN452" i="199" s="1"/>
  <c r="AE452" i="199"/>
  <c r="AM452" i="199" s="1"/>
  <c r="AD452" i="199"/>
  <c r="AL452" i="199" s="1"/>
  <c r="AC452" i="199"/>
  <c r="AK452" i="199" s="1"/>
  <c r="AB452" i="199"/>
  <c r="AJ452" i="199" s="1"/>
  <c r="Z452" i="199"/>
  <c r="AH452" i="199" s="1"/>
  <c r="N452" i="199"/>
  <c r="AF451" i="199"/>
  <c r="AN451" i="199" s="1"/>
  <c r="AE451" i="199"/>
  <c r="AM451" i="199" s="1"/>
  <c r="AD451" i="199"/>
  <c r="AL451" i="199" s="1"/>
  <c r="AC451" i="199"/>
  <c r="AK451" i="199" s="1"/>
  <c r="AB451" i="199"/>
  <c r="AJ451" i="199" s="1"/>
  <c r="Z451" i="199"/>
  <c r="AH451" i="199" s="1"/>
  <c r="N451" i="199"/>
  <c r="AA451" i="199" s="1"/>
  <c r="AI451" i="199" s="1"/>
  <c r="AF450" i="199"/>
  <c r="AN450" i="199" s="1"/>
  <c r="AE450" i="199"/>
  <c r="AM450" i="199" s="1"/>
  <c r="AD450" i="199"/>
  <c r="AL450" i="199" s="1"/>
  <c r="AC450" i="199"/>
  <c r="AK450" i="199" s="1"/>
  <c r="AB450" i="199"/>
  <c r="AJ450" i="199" s="1"/>
  <c r="Z450" i="199"/>
  <c r="AH450" i="199" s="1"/>
  <c r="N450" i="199"/>
  <c r="AF449" i="199"/>
  <c r="AN449" i="199" s="1"/>
  <c r="AE449" i="199"/>
  <c r="AM449" i="199" s="1"/>
  <c r="AD449" i="199"/>
  <c r="AL449" i="199" s="1"/>
  <c r="AC449" i="199"/>
  <c r="AK449" i="199" s="1"/>
  <c r="AB449" i="199"/>
  <c r="AJ449" i="199" s="1"/>
  <c r="Z449" i="199"/>
  <c r="AH449" i="199" s="1"/>
  <c r="N449" i="199"/>
  <c r="AF448" i="199"/>
  <c r="AN448" i="199" s="1"/>
  <c r="AE448" i="199"/>
  <c r="AM448" i="199" s="1"/>
  <c r="AD448" i="199"/>
  <c r="AL448" i="199" s="1"/>
  <c r="AC448" i="199"/>
  <c r="AK448" i="199" s="1"/>
  <c r="AB448" i="199"/>
  <c r="AJ448" i="199" s="1"/>
  <c r="Z448" i="199"/>
  <c r="AH448" i="199" s="1"/>
  <c r="N448" i="199"/>
  <c r="AF447" i="199"/>
  <c r="AN447" i="199" s="1"/>
  <c r="AE447" i="199"/>
  <c r="AM447" i="199" s="1"/>
  <c r="AD447" i="199"/>
  <c r="AL447" i="199" s="1"/>
  <c r="AC447" i="199"/>
  <c r="AK447" i="199" s="1"/>
  <c r="AB447" i="199"/>
  <c r="AJ447" i="199" s="1"/>
  <c r="Z447" i="199"/>
  <c r="AH447" i="199" s="1"/>
  <c r="N447" i="199"/>
  <c r="AF446" i="199"/>
  <c r="AN446" i="199" s="1"/>
  <c r="AE446" i="199"/>
  <c r="AM446" i="199" s="1"/>
  <c r="AD446" i="199"/>
  <c r="AL446" i="199" s="1"/>
  <c r="AC446" i="199"/>
  <c r="AK446" i="199" s="1"/>
  <c r="AB446" i="199"/>
  <c r="AJ446" i="199" s="1"/>
  <c r="Z446" i="199"/>
  <c r="AH446" i="199" s="1"/>
  <c r="N446" i="199"/>
  <c r="AF445" i="199"/>
  <c r="AN445" i="199" s="1"/>
  <c r="AE445" i="199"/>
  <c r="AM445" i="199" s="1"/>
  <c r="AD445" i="199"/>
  <c r="AL445" i="199" s="1"/>
  <c r="AC445" i="199"/>
  <c r="AK445" i="199" s="1"/>
  <c r="AB445" i="199"/>
  <c r="AJ445" i="199" s="1"/>
  <c r="Z445" i="199"/>
  <c r="N445" i="199"/>
  <c r="T445" i="199" s="1"/>
  <c r="AF444" i="199"/>
  <c r="AN444" i="199" s="1"/>
  <c r="AE444" i="199"/>
  <c r="AM444" i="199" s="1"/>
  <c r="AD444" i="199"/>
  <c r="AL444" i="199" s="1"/>
  <c r="AC444" i="199"/>
  <c r="AK444" i="199" s="1"/>
  <c r="AB444" i="199"/>
  <c r="AJ444" i="199" s="1"/>
  <c r="Z444" i="199"/>
  <c r="AH444" i="199" s="1"/>
  <c r="N444" i="199"/>
  <c r="T444" i="199" s="1"/>
  <c r="AF443" i="199"/>
  <c r="AN443" i="199" s="1"/>
  <c r="AE443" i="199"/>
  <c r="AM443" i="199" s="1"/>
  <c r="AD443" i="199"/>
  <c r="AL443" i="199" s="1"/>
  <c r="AC443" i="199"/>
  <c r="AK443" i="199" s="1"/>
  <c r="AB443" i="199"/>
  <c r="AJ443" i="199" s="1"/>
  <c r="Z443" i="199"/>
  <c r="AH443" i="199" s="1"/>
  <c r="N443" i="199"/>
  <c r="AA443" i="199" s="1"/>
  <c r="AI443" i="199" s="1"/>
  <c r="AF442" i="199"/>
  <c r="AN442" i="199" s="1"/>
  <c r="AE442" i="199"/>
  <c r="AM442" i="199" s="1"/>
  <c r="AD442" i="199"/>
  <c r="AL442" i="199" s="1"/>
  <c r="AC442" i="199"/>
  <c r="AK442" i="199" s="1"/>
  <c r="AB442" i="199"/>
  <c r="AJ442" i="199" s="1"/>
  <c r="Z442" i="199"/>
  <c r="AH442" i="199" s="1"/>
  <c r="N442" i="199"/>
  <c r="AA442" i="199" s="1"/>
  <c r="AI442" i="199" s="1"/>
  <c r="AF441" i="199"/>
  <c r="AN441" i="199" s="1"/>
  <c r="AE441" i="199"/>
  <c r="AM441" i="199" s="1"/>
  <c r="AD441" i="199"/>
  <c r="AL441" i="199" s="1"/>
  <c r="AC441" i="199"/>
  <c r="AK441" i="199" s="1"/>
  <c r="AB441" i="199"/>
  <c r="AJ441" i="199" s="1"/>
  <c r="Z441" i="199"/>
  <c r="N441" i="199"/>
  <c r="T441" i="199" s="1"/>
  <c r="AF440" i="199"/>
  <c r="AN440" i="199" s="1"/>
  <c r="AE440" i="199"/>
  <c r="AM440" i="199" s="1"/>
  <c r="AD440" i="199"/>
  <c r="AL440" i="199" s="1"/>
  <c r="AC440" i="199"/>
  <c r="AK440" i="199" s="1"/>
  <c r="AB440" i="199"/>
  <c r="AJ440" i="199" s="1"/>
  <c r="Z440" i="199"/>
  <c r="AH440" i="199" s="1"/>
  <c r="N440" i="199"/>
  <c r="N43" i="189" s="1"/>
  <c r="AF439" i="199"/>
  <c r="AN439" i="199" s="1"/>
  <c r="AE439" i="199"/>
  <c r="AM439" i="199" s="1"/>
  <c r="AD439" i="199"/>
  <c r="AL439" i="199" s="1"/>
  <c r="AC439" i="199"/>
  <c r="AK439" i="199" s="1"/>
  <c r="AB439" i="199"/>
  <c r="AJ439" i="199" s="1"/>
  <c r="Z439" i="199"/>
  <c r="AH439" i="199" s="1"/>
  <c r="N439" i="199"/>
  <c r="AF438" i="199"/>
  <c r="AN438" i="199" s="1"/>
  <c r="AE438" i="199"/>
  <c r="AM438" i="199" s="1"/>
  <c r="AD438" i="199"/>
  <c r="AL438" i="199" s="1"/>
  <c r="AC438" i="199"/>
  <c r="AK438" i="199" s="1"/>
  <c r="AB438" i="199"/>
  <c r="AJ438" i="199" s="1"/>
  <c r="Z438" i="199"/>
  <c r="AH438" i="199" s="1"/>
  <c r="N438" i="199"/>
  <c r="AF437" i="199"/>
  <c r="AN437" i="199" s="1"/>
  <c r="AE437" i="199"/>
  <c r="AM437" i="199" s="1"/>
  <c r="AD437" i="199"/>
  <c r="AL437" i="199" s="1"/>
  <c r="AC437" i="199"/>
  <c r="AK437" i="199" s="1"/>
  <c r="AB437" i="199"/>
  <c r="AJ437" i="199" s="1"/>
  <c r="Z437" i="199"/>
  <c r="AH437" i="199" s="1"/>
  <c r="N437" i="199"/>
  <c r="T437" i="199" s="1"/>
  <c r="AF436" i="199"/>
  <c r="AN436" i="199" s="1"/>
  <c r="AE436" i="199"/>
  <c r="AM436" i="199" s="1"/>
  <c r="AD436" i="199"/>
  <c r="AL436" i="199" s="1"/>
  <c r="AC436" i="199"/>
  <c r="AK436" i="199" s="1"/>
  <c r="AB436" i="199"/>
  <c r="AJ436" i="199" s="1"/>
  <c r="Z436" i="199"/>
  <c r="AH436" i="199" s="1"/>
  <c r="N436" i="199"/>
  <c r="AF435" i="199"/>
  <c r="AN435" i="199" s="1"/>
  <c r="AE435" i="199"/>
  <c r="AM435" i="199" s="1"/>
  <c r="AD435" i="199"/>
  <c r="AL435" i="199" s="1"/>
  <c r="AC435" i="199"/>
  <c r="AK435" i="199" s="1"/>
  <c r="AB435" i="199"/>
  <c r="AJ435" i="199" s="1"/>
  <c r="Z435" i="199"/>
  <c r="N435" i="199"/>
  <c r="AF434" i="199"/>
  <c r="AN434" i="199" s="1"/>
  <c r="AE434" i="199"/>
  <c r="AM434" i="199" s="1"/>
  <c r="AD434" i="199"/>
  <c r="AL434" i="199" s="1"/>
  <c r="AC434" i="199"/>
  <c r="AK434" i="199" s="1"/>
  <c r="AB434" i="199"/>
  <c r="AJ434" i="199" s="1"/>
  <c r="Z434" i="199"/>
  <c r="AH434" i="199" s="1"/>
  <c r="N434" i="199"/>
  <c r="N326" i="192" s="1"/>
  <c r="AA326" i="192" s="1"/>
  <c r="AF433" i="199"/>
  <c r="AN433" i="199" s="1"/>
  <c r="AE433" i="199"/>
  <c r="AM433" i="199" s="1"/>
  <c r="AD433" i="199"/>
  <c r="AL433" i="199" s="1"/>
  <c r="AC433" i="199"/>
  <c r="AK433" i="199" s="1"/>
  <c r="AB433" i="199"/>
  <c r="AJ433" i="199" s="1"/>
  <c r="Z433" i="199"/>
  <c r="AH433" i="199" s="1"/>
  <c r="N433" i="199"/>
  <c r="N325" i="192" s="1"/>
  <c r="AA325" i="192" s="1"/>
  <c r="AF432" i="199"/>
  <c r="AN432" i="199" s="1"/>
  <c r="AE432" i="199"/>
  <c r="AM432" i="199" s="1"/>
  <c r="AD432" i="199"/>
  <c r="AL432" i="199" s="1"/>
  <c r="AC432" i="199"/>
  <c r="AK432" i="199" s="1"/>
  <c r="AB432" i="199"/>
  <c r="AJ432" i="199" s="1"/>
  <c r="Z432" i="199"/>
  <c r="N432" i="199"/>
  <c r="AF431" i="199"/>
  <c r="AN431" i="199" s="1"/>
  <c r="AE431" i="199"/>
  <c r="AM431" i="199" s="1"/>
  <c r="AD431" i="199"/>
  <c r="AL431" i="199" s="1"/>
  <c r="AC431" i="199"/>
  <c r="AK431" i="199" s="1"/>
  <c r="AB431" i="199"/>
  <c r="AJ431" i="199" s="1"/>
  <c r="Z431" i="199"/>
  <c r="AH431" i="199" s="1"/>
  <c r="N431" i="199"/>
  <c r="T431" i="199" s="1"/>
  <c r="AF430" i="199"/>
  <c r="AN430" i="199" s="1"/>
  <c r="AE430" i="199"/>
  <c r="AM430" i="199" s="1"/>
  <c r="AD430" i="199"/>
  <c r="AL430" i="199" s="1"/>
  <c r="AC430" i="199"/>
  <c r="AK430" i="199" s="1"/>
  <c r="AB430" i="199"/>
  <c r="AJ430" i="199" s="1"/>
  <c r="Z430" i="199"/>
  <c r="AH430" i="199" s="1"/>
  <c r="N430" i="199"/>
  <c r="T430" i="199" s="1"/>
  <c r="AF429" i="199"/>
  <c r="AN429" i="199" s="1"/>
  <c r="AE429" i="199"/>
  <c r="AM429" i="199" s="1"/>
  <c r="AD429" i="199"/>
  <c r="AL429" i="199" s="1"/>
  <c r="AC429" i="199"/>
  <c r="AK429" i="199" s="1"/>
  <c r="AB429" i="199"/>
  <c r="AJ429" i="199" s="1"/>
  <c r="Z429" i="199"/>
  <c r="AH429" i="199" s="1"/>
  <c r="N429" i="199"/>
  <c r="N322" i="192" s="1"/>
  <c r="AA322" i="192" s="1"/>
  <c r="AF428" i="199"/>
  <c r="AN428" i="199" s="1"/>
  <c r="AE428" i="199"/>
  <c r="AM428" i="199" s="1"/>
  <c r="AD428" i="199"/>
  <c r="AL428" i="199" s="1"/>
  <c r="AC428" i="199"/>
  <c r="AK428" i="199" s="1"/>
  <c r="AB428" i="199"/>
  <c r="AJ428" i="199" s="1"/>
  <c r="Z428" i="199"/>
  <c r="N428" i="199"/>
  <c r="AA428" i="199" s="1"/>
  <c r="AI428" i="199" s="1"/>
  <c r="AF427" i="199"/>
  <c r="AN427" i="199" s="1"/>
  <c r="AE427" i="199"/>
  <c r="AM427" i="199" s="1"/>
  <c r="AD427" i="199"/>
  <c r="AL427" i="199" s="1"/>
  <c r="AC427" i="199"/>
  <c r="AK427" i="199" s="1"/>
  <c r="AB427" i="199"/>
  <c r="AJ427" i="199" s="1"/>
  <c r="Z427" i="199"/>
  <c r="AH427" i="199" s="1"/>
  <c r="N427" i="199"/>
  <c r="N52" i="189" s="1"/>
  <c r="AF426" i="199"/>
  <c r="AN426" i="199" s="1"/>
  <c r="AE426" i="199"/>
  <c r="AM426" i="199" s="1"/>
  <c r="AD426" i="199"/>
  <c r="AL426" i="199" s="1"/>
  <c r="AC426" i="199"/>
  <c r="AK426" i="199" s="1"/>
  <c r="AB426" i="199"/>
  <c r="AJ426" i="199" s="1"/>
  <c r="Z426" i="199"/>
  <c r="AH426" i="199" s="1"/>
  <c r="N426" i="199"/>
  <c r="T426" i="199" s="1"/>
  <c r="AF425" i="199"/>
  <c r="AN425" i="199" s="1"/>
  <c r="AE425" i="199"/>
  <c r="AM425" i="199" s="1"/>
  <c r="AD425" i="199"/>
  <c r="AL425" i="199" s="1"/>
  <c r="AC425" i="199"/>
  <c r="AK425" i="199" s="1"/>
  <c r="AB425" i="199"/>
  <c r="AJ425" i="199" s="1"/>
  <c r="Z425" i="199"/>
  <c r="AH425" i="199" s="1"/>
  <c r="N425" i="199"/>
  <c r="N319" i="192" s="1"/>
  <c r="AA319" i="192" s="1"/>
  <c r="AF424" i="199"/>
  <c r="AN424" i="199" s="1"/>
  <c r="AE424" i="199"/>
  <c r="AM424" i="199" s="1"/>
  <c r="AD424" i="199"/>
  <c r="AL424" i="199" s="1"/>
  <c r="AC424" i="199"/>
  <c r="AK424" i="199" s="1"/>
  <c r="AB424" i="199"/>
  <c r="AJ424" i="199" s="1"/>
  <c r="Z424" i="199"/>
  <c r="N424" i="199"/>
  <c r="AA424" i="199" s="1"/>
  <c r="AI424" i="199" s="1"/>
  <c r="AF423" i="199"/>
  <c r="AN423" i="199" s="1"/>
  <c r="AE423" i="199"/>
  <c r="AM423" i="199" s="1"/>
  <c r="AD423" i="199"/>
  <c r="AL423" i="199" s="1"/>
  <c r="AC423" i="199"/>
  <c r="AK423" i="199" s="1"/>
  <c r="AB423" i="199"/>
  <c r="AJ423" i="199" s="1"/>
  <c r="Z423" i="199"/>
  <c r="AH423" i="199" s="1"/>
  <c r="N423" i="199"/>
  <c r="T423" i="199" s="1"/>
  <c r="AF422" i="199"/>
  <c r="AN422" i="199" s="1"/>
  <c r="AE422" i="199"/>
  <c r="AM422" i="199" s="1"/>
  <c r="AD422" i="199"/>
  <c r="AL422" i="199" s="1"/>
  <c r="AC422" i="199"/>
  <c r="AK422" i="199" s="1"/>
  <c r="AB422" i="199"/>
  <c r="AJ422" i="199" s="1"/>
  <c r="Z422" i="199"/>
  <c r="AH422" i="199" s="1"/>
  <c r="N422" i="199"/>
  <c r="N316" i="192" s="1"/>
  <c r="AA316" i="192" s="1"/>
  <c r="AF421" i="199"/>
  <c r="AN421" i="199" s="1"/>
  <c r="AE421" i="199"/>
  <c r="AM421" i="199" s="1"/>
  <c r="AD421" i="199"/>
  <c r="AL421" i="199" s="1"/>
  <c r="AC421" i="199"/>
  <c r="AK421" i="199" s="1"/>
  <c r="AB421" i="199"/>
  <c r="AJ421" i="199" s="1"/>
  <c r="Z421" i="199"/>
  <c r="AH421" i="199" s="1"/>
  <c r="N421" i="199"/>
  <c r="N315" i="192" s="1"/>
  <c r="AA315" i="192" s="1"/>
  <c r="AF420" i="199"/>
  <c r="AN420" i="199" s="1"/>
  <c r="AE420" i="199"/>
  <c r="AM420" i="199" s="1"/>
  <c r="AD420" i="199"/>
  <c r="AL420" i="199" s="1"/>
  <c r="AC420" i="199"/>
  <c r="AK420" i="199" s="1"/>
  <c r="AB420" i="199"/>
  <c r="AJ420" i="199" s="1"/>
  <c r="Z420" i="199"/>
  <c r="N420" i="199"/>
  <c r="AA420" i="199" s="1"/>
  <c r="AI420" i="199" s="1"/>
  <c r="AF419" i="199"/>
  <c r="AN419" i="199" s="1"/>
  <c r="AE419" i="199"/>
  <c r="AM419" i="199" s="1"/>
  <c r="AD419" i="199"/>
  <c r="AL419" i="199" s="1"/>
  <c r="AC419" i="199"/>
  <c r="AK419" i="199" s="1"/>
  <c r="AB419" i="199"/>
  <c r="AJ419" i="199" s="1"/>
  <c r="Z419" i="199"/>
  <c r="AH419" i="199" s="1"/>
  <c r="N419" i="199"/>
  <c r="N47" i="189" s="1"/>
  <c r="AF418" i="199"/>
  <c r="AN418" i="199" s="1"/>
  <c r="AE418" i="199"/>
  <c r="AM418" i="199" s="1"/>
  <c r="AD418" i="199"/>
  <c r="AL418" i="199" s="1"/>
  <c r="AC418" i="199"/>
  <c r="AK418" i="199" s="1"/>
  <c r="AB418" i="199"/>
  <c r="AJ418" i="199" s="1"/>
  <c r="Z418" i="199"/>
  <c r="AH418" i="199" s="1"/>
  <c r="N418" i="199"/>
  <c r="N313" i="192" s="1"/>
  <c r="AA313" i="192" s="1"/>
  <c r="AF417" i="199"/>
  <c r="AN417" i="199" s="1"/>
  <c r="AE417" i="199"/>
  <c r="AM417" i="199" s="1"/>
  <c r="AD417" i="199"/>
  <c r="AL417" i="199" s="1"/>
  <c r="AC417" i="199"/>
  <c r="AK417" i="199" s="1"/>
  <c r="AB417" i="199"/>
  <c r="AJ417" i="199" s="1"/>
  <c r="Z417" i="199"/>
  <c r="N417" i="199"/>
  <c r="AF416" i="199"/>
  <c r="AN416" i="199" s="1"/>
  <c r="AE416" i="199"/>
  <c r="AM416" i="199" s="1"/>
  <c r="AD416" i="199"/>
  <c r="AL416" i="199" s="1"/>
  <c r="AC416" i="199"/>
  <c r="AK416" i="199" s="1"/>
  <c r="AB416" i="199"/>
  <c r="AJ416" i="199" s="1"/>
  <c r="Z416" i="199"/>
  <c r="AH416" i="199" s="1"/>
  <c r="N416" i="199"/>
  <c r="AF415" i="199"/>
  <c r="AN415" i="199" s="1"/>
  <c r="AE415" i="199"/>
  <c r="AM415" i="199" s="1"/>
  <c r="AD415" i="199"/>
  <c r="AL415" i="199" s="1"/>
  <c r="AC415" i="199"/>
  <c r="AK415" i="199" s="1"/>
  <c r="AB415" i="199"/>
  <c r="AJ415" i="199" s="1"/>
  <c r="Z415" i="199"/>
  <c r="AH415" i="199" s="1"/>
  <c r="N415" i="199"/>
  <c r="T415" i="199" s="1"/>
  <c r="AF414" i="199"/>
  <c r="AN414" i="199" s="1"/>
  <c r="AE414" i="199"/>
  <c r="AM414" i="199" s="1"/>
  <c r="AD414" i="199"/>
  <c r="AL414" i="199" s="1"/>
  <c r="AC414" i="199"/>
  <c r="AK414" i="199" s="1"/>
  <c r="AB414" i="199"/>
  <c r="AJ414" i="199" s="1"/>
  <c r="Z414" i="199"/>
  <c r="AH414" i="199" s="1"/>
  <c r="N414" i="199"/>
  <c r="N310" i="192" s="1"/>
  <c r="AA310" i="192" s="1"/>
  <c r="AF413" i="199"/>
  <c r="AN413" i="199" s="1"/>
  <c r="AE413" i="199"/>
  <c r="AM413" i="199" s="1"/>
  <c r="AD413" i="199"/>
  <c r="AL413" i="199" s="1"/>
  <c r="AC413" i="199"/>
  <c r="AK413" i="199" s="1"/>
  <c r="AB413" i="199"/>
  <c r="AJ413" i="199" s="1"/>
  <c r="Z413" i="199"/>
  <c r="N413" i="199"/>
  <c r="AA413" i="199" s="1"/>
  <c r="AI413" i="199" s="1"/>
  <c r="AF412" i="199"/>
  <c r="AN412" i="199" s="1"/>
  <c r="AE412" i="199"/>
  <c r="AM412" i="199" s="1"/>
  <c r="AD412" i="199"/>
  <c r="AL412" i="199" s="1"/>
  <c r="AC412" i="199"/>
  <c r="AK412" i="199" s="1"/>
  <c r="AB412" i="199"/>
  <c r="AJ412" i="199" s="1"/>
  <c r="Z412" i="199"/>
  <c r="AH412" i="199" s="1"/>
  <c r="N412" i="199"/>
  <c r="T412" i="199" s="1"/>
  <c r="AF411" i="199"/>
  <c r="AN411" i="199" s="1"/>
  <c r="AE411" i="199"/>
  <c r="AM411" i="199" s="1"/>
  <c r="AD411" i="199"/>
  <c r="AL411" i="199" s="1"/>
  <c r="AC411" i="199"/>
  <c r="AK411" i="199" s="1"/>
  <c r="AB411" i="199"/>
  <c r="AJ411" i="199" s="1"/>
  <c r="Z411" i="199"/>
  <c r="AH411" i="199" s="1"/>
  <c r="N411" i="199"/>
  <c r="AF410" i="199"/>
  <c r="AN410" i="199" s="1"/>
  <c r="AE410" i="199"/>
  <c r="AM410" i="199" s="1"/>
  <c r="AD410" i="199"/>
  <c r="AL410" i="199" s="1"/>
  <c r="AC410" i="199"/>
  <c r="AK410" i="199" s="1"/>
  <c r="AB410" i="199"/>
  <c r="AJ410" i="199" s="1"/>
  <c r="Z410" i="199"/>
  <c r="AH410" i="199" s="1"/>
  <c r="N410" i="199"/>
  <c r="N306" i="192" s="1"/>
  <c r="AA306" i="192" s="1"/>
  <c r="AF409" i="199"/>
  <c r="AE409" i="199"/>
  <c r="AD409" i="199"/>
  <c r="AC409" i="199"/>
  <c r="AB409" i="199"/>
  <c r="Z409" i="199"/>
  <c r="N409" i="199"/>
  <c r="N39" i="189" s="1"/>
  <c r="AF408" i="199"/>
  <c r="AN408" i="199" s="1"/>
  <c r="AE408" i="199"/>
  <c r="AM408" i="199" s="1"/>
  <c r="AD408" i="199"/>
  <c r="AL408" i="199" s="1"/>
  <c r="AC408" i="199"/>
  <c r="AK408" i="199" s="1"/>
  <c r="AB408" i="199"/>
  <c r="AJ408" i="199" s="1"/>
  <c r="Z408" i="199"/>
  <c r="AH408" i="199" s="1"/>
  <c r="N408" i="199"/>
  <c r="T408" i="199" s="1"/>
  <c r="AF407" i="199"/>
  <c r="AN407" i="199" s="1"/>
  <c r="AE407" i="199"/>
  <c r="AM407" i="199" s="1"/>
  <c r="AD407" i="199"/>
  <c r="AL407" i="199" s="1"/>
  <c r="AC407" i="199"/>
  <c r="AK407" i="199" s="1"/>
  <c r="AB407" i="199"/>
  <c r="AJ407" i="199" s="1"/>
  <c r="Z407" i="199"/>
  <c r="AH407" i="199" s="1"/>
  <c r="N407" i="199"/>
  <c r="AA407" i="199" s="1"/>
  <c r="AI407" i="199" s="1"/>
  <c r="AF406" i="199"/>
  <c r="AN406" i="199" s="1"/>
  <c r="AE406" i="199"/>
  <c r="AM406" i="199" s="1"/>
  <c r="AD406" i="199"/>
  <c r="AL406" i="199" s="1"/>
  <c r="AC406" i="199"/>
  <c r="AK406" i="199" s="1"/>
  <c r="AB406" i="199"/>
  <c r="AJ406" i="199" s="1"/>
  <c r="Z406" i="199"/>
  <c r="AH406" i="199" s="1"/>
  <c r="N406" i="199"/>
  <c r="AA406" i="199" s="1"/>
  <c r="AI406" i="199" s="1"/>
  <c r="AF405" i="199"/>
  <c r="AN405" i="199" s="1"/>
  <c r="AE405" i="199"/>
  <c r="AM405" i="199" s="1"/>
  <c r="AD405" i="199"/>
  <c r="AL405" i="199" s="1"/>
  <c r="AC405" i="199"/>
  <c r="AK405" i="199" s="1"/>
  <c r="AB405" i="199"/>
  <c r="AJ405" i="199" s="1"/>
  <c r="Z405" i="199"/>
  <c r="N405" i="199"/>
  <c r="AF404" i="199"/>
  <c r="AN404" i="199" s="1"/>
  <c r="AE404" i="199"/>
  <c r="AM404" i="199" s="1"/>
  <c r="AD404" i="199"/>
  <c r="AL404" i="199" s="1"/>
  <c r="AC404" i="199"/>
  <c r="AK404" i="199" s="1"/>
  <c r="AB404" i="199"/>
  <c r="AJ404" i="199" s="1"/>
  <c r="Z404" i="199"/>
  <c r="N404" i="199"/>
  <c r="T404" i="199" s="1"/>
  <c r="AF403" i="199"/>
  <c r="AN403" i="199" s="1"/>
  <c r="AE403" i="199"/>
  <c r="AM403" i="199" s="1"/>
  <c r="AD403" i="199"/>
  <c r="AL403" i="199" s="1"/>
  <c r="AC403" i="199"/>
  <c r="AK403" i="199" s="1"/>
  <c r="AB403" i="199"/>
  <c r="AJ403" i="199" s="1"/>
  <c r="Z403" i="199"/>
  <c r="AH403" i="199" s="1"/>
  <c r="N403" i="199"/>
  <c r="N300" i="192" s="1"/>
  <c r="AA300" i="192" s="1"/>
  <c r="AF402" i="199"/>
  <c r="AN402" i="199" s="1"/>
  <c r="AE402" i="199"/>
  <c r="AM402" i="199" s="1"/>
  <c r="AD402" i="199"/>
  <c r="AL402" i="199" s="1"/>
  <c r="AC402" i="199"/>
  <c r="AK402" i="199" s="1"/>
  <c r="AB402" i="199"/>
  <c r="AJ402" i="199" s="1"/>
  <c r="Z402" i="199"/>
  <c r="AH402" i="199" s="1"/>
  <c r="N402" i="199"/>
  <c r="N299" i="192" s="1"/>
  <c r="AA299" i="192" s="1"/>
  <c r="AF401" i="199"/>
  <c r="AN401" i="199" s="1"/>
  <c r="AE401" i="199"/>
  <c r="AM401" i="199" s="1"/>
  <c r="AD401" i="199"/>
  <c r="AL401" i="199" s="1"/>
  <c r="AC401" i="199"/>
  <c r="AK401" i="199" s="1"/>
  <c r="AB401" i="199"/>
  <c r="AJ401" i="199" s="1"/>
  <c r="Z401" i="199"/>
  <c r="N401" i="199"/>
  <c r="N298" i="192" s="1"/>
  <c r="AA298" i="192" s="1"/>
  <c r="AF400" i="199"/>
  <c r="AN400" i="199" s="1"/>
  <c r="AE400" i="199"/>
  <c r="AM400" i="199" s="1"/>
  <c r="AD400" i="199"/>
  <c r="AL400" i="199" s="1"/>
  <c r="AC400" i="199"/>
  <c r="AK400" i="199" s="1"/>
  <c r="AB400" i="199"/>
  <c r="AJ400" i="199" s="1"/>
  <c r="Z400" i="199"/>
  <c r="AH400" i="199" s="1"/>
  <c r="N400" i="199"/>
  <c r="AF399" i="199"/>
  <c r="AN399" i="199" s="1"/>
  <c r="AE399" i="199"/>
  <c r="AM399" i="199" s="1"/>
  <c r="AD399" i="199"/>
  <c r="AL399" i="199" s="1"/>
  <c r="AC399" i="199"/>
  <c r="AK399" i="199" s="1"/>
  <c r="AB399" i="199"/>
  <c r="AJ399" i="199" s="1"/>
  <c r="Z399" i="199"/>
  <c r="AH399" i="199" s="1"/>
  <c r="N399" i="199"/>
  <c r="AF398" i="199"/>
  <c r="AN398" i="199" s="1"/>
  <c r="AE398" i="199"/>
  <c r="AM398" i="199" s="1"/>
  <c r="AD398" i="199"/>
  <c r="AL398" i="199" s="1"/>
  <c r="AC398" i="199"/>
  <c r="AK398" i="199" s="1"/>
  <c r="AB398" i="199"/>
  <c r="AJ398" i="199" s="1"/>
  <c r="Z398" i="199"/>
  <c r="AH398" i="199" s="1"/>
  <c r="N398" i="199"/>
  <c r="N295" i="192" s="1"/>
  <c r="AA295" i="192" s="1"/>
  <c r="AF397" i="199"/>
  <c r="AN397" i="199" s="1"/>
  <c r="AE397" i="199"/>
  <c r="AM397" i="199" s="1"/>
  <c r="AD397" i="199"/>
  <c r="AL397" i="199" s="1"/>
  <c r="AC397" i="199"/>
  <c r="AK397" i="199" s="1"/>
  <c r="AB397" i="199"/>
  <c r="AJ397" i="199" s="1"/>
  <c r="Z397" i="199"/>
  <c r="N397" i="199"/>
  <c r="AA397" i="199" s="1"/>
  <c r="AI397" i="199" s="1"/>
  <c r="AF396" i="199"/>
  <c r="AN396" i="199" s="1"/>
  <c r="AE396" i="199"/>
  <c r="AM396" i="199" s="1"/>
  <c r="AD396" i="199"/>
  <c r="AL396" i="199" s="1"/>
  <c r="AC396" i="199"/>
  <c r="AK396" i="199" s="1"/>
  <c r="AB396" i="199"/>
  <c r="AJ396" i="199" s="1"/>
  <c r="Z396" i="199"/>
  <c r="AH396" i="199" s="1"/>
  <c r="N396" i="199"/>
  <c r="AF395" i="199"/>
  <c r="AN395" i="199" s="1"/>
  <c r="AE395" i="199"/>
  <c r="AM395" i="199" s="1"/>
  <c r="AD395" i="199"/>
  <c r="AL395" i="199" s="1"/>
  <c r="AC395" i="199"/>
  <c r="AK395" i="199" s="1"/>
  <c r="AB395" i="199"/>
  <c r="AJ395" i="199" s="1"/>
  <c r="Z395" i="199"/>
  <c r="AH395" i="199" s="1"/>
  <c r="N395" i="199"/>
  <c r="AF394" i="199"/>
  <c r="AN394" i="199" s="1"/>
  <c r="AE394" i="199"/>
  <c r="AM394" i="199" s="1"/>
  <c r="AD394" i="199"/>
  <c r="AL394" i="199" s="1"/>
  <c r="AC394" i="199"/>
  <c r="AK394" i="199" s="1"/>
  <c r="AB394" i="199"/>
  <c r="AJ394" i="199" s="1"/>
  <c r="Z394" i="199"/>
  <c r="AH394" i="199" s="1"/>
  <c r="N394" i="199"/>
  <c r="N6" i="193" s="1"/>
  <c r="AF393" i="199"/>
  <c r="AN393" i="199" s="1"/>
  <c r="AE393" i="199"/>
  <c r="AM393" i="199" s="1"/>
  <c r="AD393" i="199"/>
  <c r="AL393" i="199" s="1"/>
  <c r="AC393" i="199"/>
  <c r="AK393" i="199" s="1"/>
  <c r="AB393" i="199"/>
  <c r="AJ393" i="199" s="1"/>
  <c r="Z393" i="199"/>
  <c r="N393" i="199"/>
  <c r="N467" i="192" s="1"/>
  <c r="AF392" i="199"/>
  <c r="AN392" i="199" s="1"/>
  <c r="AE392" i="199"/>
  <c r="AM392" i="199" s="1"/>
  <c r="AD392" i="199"/>
  <c r="AL392" i="199" s="1"/>
  <c r="AC392" i="199"/>
  <c r="AK392" i="199" s="1"/>
  <c r="AB392" i="199"/>
  <c r="AJ392" i="199" s="1"/>
  <c r="Z392" i="199"/>
  <c r="AH392" i="199" s="1"/>
  <c r="N392" i="199"/>
  <c r="T392" i="199" s="1"/>
  <c r="AF391" i="199"/>
  <c r="AN391" i="199" s="1"/>
  <c r="AE391" i="199"/>
  <c r="AM391" i="199" s="1"/>
  <c r="AD391" i="199"/>
  <c r="AL391" i="199" s="1"/>
  <c r="AC391" i="199"/>
  <c r="AK391" i="199" s="1"/>
  <c r="AB391" i="199"/>
  <c r="AJ391" i="199" s="1"/>
  <c r="Z391" i="199"/>
  <c r="AH391" i="199" s="1"/>
  <c r="N391" i="199"/>
  <c r="N290" i="192" s="1"/>
  <c r="AA290" i="192" s="1"/>
  <c r="AF390" i="199"/>
  <c r="AN390" i="199" s="1"/>
  <c r="AE390" i="199"/>
  <c r="AM390" i="199" s="1"/>
  <c r="AD390" i="199"/>
  <c r="AL390" i="199" s="1"/>
  <c r="AC390" i="199"/>
  <c r="AK390" i="199" s="1"/>
  <c r="AB390" i="199"/>
  <c r="AJ390" i="199" s="1"/>
  <c r="Z390" i="199"/>
  <c r="AH390" i="199" s="1"/>
  <c r="N390" i="199"/>
  <c r="N289" i="192" s="1"/>
  <c r="AA289" i="192" s="1"/>
  <c r="AF389" i="199"/>
  <c r="AN389" i="199" s="1"/>
  <c r="AE389" i="199"/>
  <c r="AM389" i="199" s="1"/>
  <c r="AD389" i="199"/>
  <c r="AL389" i="199" s="1"/>
  <c r="AC389" i="199"/>
  <c r="AK389" i="199" s="1"/>
  <c r="AB389" i="199"/>
  <c r="AJ389" i="199" s="1"/>
  <c r="Z389" i="199"/>
  <c r="N389" i="199"/>
  <c r="AF388" i="199"/>
  <c r="AN388" i="199" s="1"/>
  <c r="AE388" i="199"/>
  <c r="AM388" i="199" s="1"/>
  <c r="AD388" i="199"/>
  <c r="AL388" i="199" s="1"/>
  <c r="AC388" i="199"/>
  <c r="AK388" i="199" s="1"/>
  <c r="AB388" i="199"/>
  <c r="AJ388" i="199" s="1"/>
  <c r="Z388" i="199"/>
  <c r="AH388" i="199" s="1"/>
  <c r="N388" i="199"/>
  <c r="T388" i="199" s="1"/>
  <c r="AF387" i="199"/>
  <c r="AN387" i="199" s="1"/>
  <c r="AE387" i="199"/>
  <c r="AM387" i="199" s="1"/>
  <c r="AD387" i="199"/>
  <c r="AL387" i="199" s="1"/>
  <c r="AC387" i="199"/>
  <c r="AK387" i="199" s="1"/>
  <c r="AB387" i="199"/>
  <c r="AJ387" i="199" s="1"/>
  <c r="Z387" i="199"/>
  <c r="AH387" i="199" s="1"/>
  <c r="N387" i="199"/>
  <c r="AF386" i="199"/>
  <c r="AN386" i="199" s="1"/>
  <c r="AE386" i="199"/>
  <c r="AM386" i="199" s="1"/>
  <c r="AD386" i="199"/>
  <c r="AL386" i="199" s="1"/>
  <c r="AC386" i="199"/>
  <c r="AK386" i="199" s="1"/>
  <c r="AB386" i="199"/>
  <c r="AJ386" i="199" s="1"/>
  <c r="Z386" i="199"/>
  <c r="AH386" i="199" s="1"/>
  <c r="N386" i="199"/>
  <c r="N285" i="192" s="1"/>
  <c r="AA285" i="192" s="1"/>
  <c r="AF385" i="199"/>
  <c r="AN385" i="199" s="1"/>
  <c r="AE385" i="199"/>
  <c r="AM385" i="199" s="1"/>
  <c r="AD385" i="199"/>
  <c r="AL385" i="199" s="1"/>
  <c r="AC385" i="199"/>
  <c r="AK385" i="199" s="1"/>
  <c r="AB385" i="199"/>
  <c r="AJ385" i="199" s="1"/>
  <c r="Z385" i="199"/>
  <c r="N385" i="199"/>
  <c r="AF384" i="199"/>
  <c r="AN384" i="199" s="1"/>
  <c r="AE384" i="199"/>
  <c r="AM384" i="199" s="1"/>
  <c r="AD384" i="199"/>
  <c r="AL384" i="199" s="1"/>
  <c r="AC384" i="199"/>
  <c r="AK384" i="199" s="1"/>
  <c r="AB384" i="199"/>
  <c r="AJ384" i="199" s="1"/>
  <c r="Z384" i="199"/>
  <c r="AH384" i="199" s="1"/>
  <c r="N384" i="199"/>
  <c r="T384" i="199" s="1"/>
  <c r="AF383" i="199"/>
  <c r="AN383" i="199" s="1"/>
  <c r="AE383" i="199"/>
  <c r="AM383" i="199" s="1"/>
  <c r="AD383" i="199"/>
  <c r="AL383" i="199" s="1"/>
  <c r="AC383" i="199"/>
  <c r="AK383" i="199" s="1"/>
  <c r="AB383" i="199"/>
  <c r="AJ383" i="199" s="1"/>
  <c r="Z383" i="199"/>
  <c r="AH383" i="199" s="1"/>
  <c r="N383" i="199"/>
  <c r="T383" i="199" s="1"/>
  <c r="AF382" i="199"/>
  <c r="AN382" i="199" s="1"/>
  <c r="AE382" i="199"/>
  <c r="AM382" i="199" s="1"/>
  <c r="AD382" i="199"/>
  <c r="AL382" i="199" s="1"/>
  <c r="AC382" i="199"/>
  <c r="AK382" i="199" s="1"/>
  <c r="AB382" i="199"/>
  <c r="AJ382" i="199" s="1"/>
  <c r="Z382" i="199"/>
  <c r="AH382" i="199" s="1"/>
  <c r="N382" i="199"/>
  <c r="AF381" i="199"/>
  <c r="AN381" i="199" s="1"/>
  <c r="AE381" i="199"/>
  <c r="AM381" i="199" s="1"/>
  <c r="AD381" i="199"/>
  <c r="AL381" i="199" s="1"/>
  <c r="AC381" i="199"/>
  <c r="AK381" i="199" s="1"/>
  <c r="AB381" i="199"/>
  <c r="AJ381" i="199" s="1"/>
  <c r="Z381" i="199"/>
  <c r="N381" i="199"/>
  <c r="AA381" i="199" s="1"/>
  <c r="AI381" i="199" s="1"/>
  <c r="AF380" i="199"/>
  <c r="AN380" i="199" s="1"/>
  <c r="AE380" i="199"/>
  <c r="AM380" i="199" s="1"/>
  <c r="AD380" i="199"/>
  <c r="AL380" i="199" s="1"/>
  <c r="AC380" i="199"/>
  <c r="AK380" i="199" s="1"/>
  <c r="AB380" i="199"/>
  <c r="AJ380" i="199" s="1"/>
  <c r="Z380" i="199"/>
  <c r="AH380" i="199" s="1"/>
  <c r="N380" i="199"/>
  <c r="AF379" i="199"/>
  <c r="AN379" i="199" s="1"/>
  <c r="AE379" i="199"/>
  <c r="AM379" i="199" s="1"/>
  <c r="AD379" i="199"/>
  <c r="AL379" i="199" s="1"/>
  <c r="AC379" i="199"/>
  <c r="AK379" i="199" s="1"/>
  <c r="AB379" i="199"/>
  <c r="AJ379" i="199" s="1"/>
  <c r="Z379" i="199"/>
  <c r="AH379" i="199" s="1"/>
  <c r="N379" i="199"/>
  <c r="N46" i="189" s="1"/>
  <c r="AF378" i="199"/>
  <c r="AN378" i="199" s="1"/>
  <c r="AE378" i="199"/>
  <c r="AM378" i="199" s="1"/>
  <c r="AD378" i="199"/>
  <c r="AL378" i="199" s="1"/>
  <c r="AC378" i="199"/>
  <c r="AK378" i="199" s="1"/>
  <c r="AB378" i="199"/>
  <c r="AJ378" i="199" s="1"/>
  <c r="Z378" i="199"/>
  <c r="AH378" i="199" s="1"/>
  <c r="N378" i="199"/>
  <c r="AF377" i="199"/>
  <c r="AN377" i="199" s="1"/>
  <c r="AE377" i="199"/>
  <c r="AM377" i="199" s="1"/>
  <c r="AD377" i="199"/>
  <c r="AL377" i="199" s="1"/>
  <c r="AC377" i="199"/>
  <c r="AK377" i="199" s="1"/>
  <c r="AB377" i="199"/>
  <c r="AJ377" i="199" s="1"/>
  <c r="Z377" i="199"/>
  <c r="AH377" i="199" s="1"/>
  <c r="N377" i="199"/>
  <c r="AA377" i="199" s="1"/>
  <c r="AI377" i="199" s="1"/>
  <c r="AF376" i="199"/>
  <c r="AN376" i="199" s="1"/>
  <c r="AE376" i="199"/>
  <c r="AM376" i="199" s="1"/>
  <c r="AD376" i="199"/>
  <c r="AL376" i="199" s="1"/>
  <c r="AC376" i="199"/>
  <c r="AK376" i="199" s="1"/>
  <c r="AB376" i="199"/>
  <c r="AJ376" i="199" s="1"/>
  <c r="Z376" i="199"/>
  <c r="AH376" i="199" s="1"/>
  <c r="N376" i="199"/>
  <c r="T376" i="199" s="1"/>
  <c r="AF375" i="199"/>
  <c r="AN375" i="199" s="1"/>
  <c r="AE375" i="199"/>
  <c r="AM375" i="199" s="1"/>
  <c r="AD375" i="199"/>
  <c r="AL375" i="199" s="1"/>
  <c r="AC375" i="199"/>
  <c r="AK375" i="199" s="1"/>
  <c r="AB375" i="199"/>
  <c r="AJ375" i="199" s="1"/>
  <c r="Z375" i="199"/>
  <c r="AH375" i="199" s="1"/>
  <c r="N375" i="199"/>
  <c r="T375" i="199" s="1"/>
  <c r="AF374" i="199"/>
  <c r="AN374" i="199" s="1"/>
  <c r="AE374" i="199"/>
  <c r="AM374" i="199" s="1"/>
  <c r="AD374" i="199"/>
  <c r="AL374" i="199" s="1"/>
  <c r="AC374" i="199"/>
  <c r="AK374" i="199" s="1"/>
  <c r="AB374" i="199"/>
  <c r="AJ374" i="199" s="1"/>
  <c r="Z374" i="199"/>
  <c r="AH374" i="199" s="1"/>
  <c r="N374" i="199"/>
  <c r="AA374" i="199" s="1"/>
  <c r="AI374" i="199" s="1"/>
  <c r="AF373" i="199"/>
  <c r="AN373" i="199" s="1"/>
  <c r="AE373" i="199"/>
  <c r="AM373" i="199" s="1"/>
  <c r="AD373" i="199"/>
  <c r="AL373" i="199" s="1"/>
  <c r="AC373" i="199"/>
  <c r="AK373" i="199" s="1"/>
  <c r="AB373" i="199"/>
  <c r="AJ373" i="199" s="1"/>
  <c r="Z373" i="199"/>
  <c r="AH373" i="199" s="1"/>
  <c r="N373" i="199"/>
  <c r="AA373" i="199" s="1"/>
  <c r="AI373" i="199" s="1"/>
  <c r="AF372" i="199"/>
  <c r="AN372" i="199" s="1"/>
  <c r="AE372" i="199"/>
  <c r="AM372" i="199" s="1"/>
  <c r="AD372" i="199"/>
  <c r="AL372" i="199" s="1"/>
  <c r="AC372" i="199"/>
  <c r="AK372" i="199" s="1"/>
  <c r="AB372" i="199"/>
  <c r="AJ372" i="199" s="1"/>
  <c r="Z372" i="199"/>
  <c r="AH372" i="199" s="1"/>
  <c r="N372" i="199"/>
  <c r="AF371" i="199"/>
  <c r="AN371" i="199" s="1"/>
  <c r="AE371" i="199"/>
  <c r="AM371" i="199" s="1"/>
  <c r="AD371" i="199"/>
  <c r="AL371" i="199" s="1"/>
  <c r="AC371" i="199"/>
  <c r="AK371" i="199" s="1"/>
  <c r="AB371" i="199"/>
  <c r="AJ371" i="199" s="1"/>
  <c r="Z371" i="199"/>
  <c r="AH371" i="199" s="1"/>
  <c r="N371" i="199"/>
  <c r="T371" i="199" s="1"/>
  <c r="AF370" i="199"/>
  <c r="AN370" i="199" s="1"/>
  <c r="AE370" i="199"/>
  <c r="AM370" i="199" s="1"/>
  <c r="AD370" i="199"/>
  <c r="AL370" i="199" s="1"/>
  <c r="AC370" i="199"/>
  <c r="AK370" i="199" s="1"/>
  <c r="AB370" i="199"/>
  <c r="AJ370" i="199" s="1"/>
  <c r="Z370" i="199"/>
  <c r="AH370" i="199" s="1"/>
  <c r="N370" i="199"/>
  <c r="AF369" i="199"/>
  <c r="AN369" i="199" s="1"/>
  <c r="AE369" i="199"/>
  <c r="AM369" i="199" s="1"/>
  <c r="AD369" i="199"/>
  <c r="AL369" i="199" s="1"/>
  <c r="AC369" i="199"/>
  <c r="AK369" i="199" s="1"/>
  <c r="AB369" i="199"/>
  <c r="AJ369" i="199" s="1"/>
  <c r="Z369" i="199"/>
  <c r="AH369" i="199" s="1"/>
  <c r="N369" i="199"/>
  <c r="AA369" i="199" s="1"/>
  <c r="AI369" i="199" s="1"/>
  <c r="AF368" i="199"/>
  <c r="AN368" i="199" s="1"/>
  <c r="AE368" i="199"/>
  <c r="AM368" i="199" s="1"/>
  <c r="AD368" i="199"/>
  <c r="AL368" i="199" s="1"/>
  <c r="AC368" i="199"/>
  <c r="AK368" i="199" s="1"/>
  <c r="AB368" i="199"/>
  <c r="AJ368" i="199" s="1"/>
  <c r="Z368" i="199"/>
  <c r="AH368" i="199" s="1"/>
  <c r="N368" i="199"/>
  <c r="T368" i="199" s="1"/>
  <c r="AF367" i="199"/>
  <c r="AN367" i="199" s="1"/>
  <c r="AE367" i="199"/>
  <c r="AM367" i="199" s="1"/>
  <c r="AD367" i="199"/>
  <c r="AL367" i="199" s="1"/>
  <c r="AC367" i="199"/>
  <c r="AK367" i="199" s="1"/>
  <c r="AB367" i="199"/>
  <c r="AJ367" i="199" s="1"/>
  <c r="Z367" i="199"/>
  <c r="AH367" i="199" s="1"/>
  <c r="N367" i="199"/>
  <c r="T367" i="199" s="1"/>
  <c r="AF366" i="199"/>
  <c r="AN366" i="199" s="1"/>
  <c r="AE366" i="199"/>
  <c r="AM366" i="199" s="1"/>
  <c r="AD366" i="199"/>
  <c r="AL366" i="199" s="1"/>
  <c r="AC366" i="199"/>
  <c r="AK366" i="199" s="1"/>
  <c r="AB366" i="199"/>
  <c r="AJ366" i="199" s="1"/>
  <c r="Z366" i="199"/>
  <c r="AH366" i="199" s="1"/>
  <c r="N366" i="199"/>
  <c r="AA366" i="199" s="1"/>
  <c r="AI366" i="199" s="1"/>
  <c r="AF365" i="199"/>
  <c r="AN365" i="199" s="1"/>
  <c r="AE365" i="199"/>
  <c r="AM365" i="199" s="1"/>
  <c r="AD365" i="199"/>
  <c r="AL365" i="199" s="1"/>
  <c r="AC365" i="199"/>
  <c r="AK365" i="199" s="1"/>
  <c r="AB365" i="199"/>
  <c r="AJ365" i="199" s="1"/>
  <c r="Z365" i="199"/>
  <c r="AH365" i="199" s="1"/>
  <c r="N365" i="199"/>
  <c r="AA365" i="199" s="1"/>
  <c r="AI365" i="199" s="1"/>
  <c r="AF364" i="199"/>
  <c r="AN364" i="199" s="1"/>
  <c r="AE364" i="199"/>
  <c r="AM364" i="199" s="1"/>
  <c r="AD364" i="199"/>
  <c r="AL364" i="199" s="1"/>
  <c r="AC364" i="199"/>
  <c r="AK364" i="199" s="1"/>
  <c r="AB364" i="199"/>
  <c r="AJ364" i="199" s="1"/>
  <c r="Z364" i="199"/>
  <c r="AH364" i="199" s="1"/>
  <c r="N364" i="199"/>
  <c r="AF363" i="199"/>
  <c r="AN363" i="199" s="1"/>
  <c r="AE363" i="199"/>
  <c r="AM363" i="199" s="1"/>
  <c r="AD363" i="199"/>
  <c r="AL363" i="199" s="1"/>
  <c r="AC363" i="199"/>
  <c r="AK363" i="199" s="1"/>
  <c r="AB363" i="199"/>
  <c r="AJ363" i="199" s="1"/>
  <c r="Z363" i="199"/>
  <c r="AH363" i="199" s="1"/>
  <c r="N363" i="199"/>
  <c r="T363" i="199" s="1"/>
  <c r="AF362" i="199"/>
  <c r="AN362" i="199" s="1"/>
  <c r="AE362" i="199"/>
  <c r="AM362" i="199" s="1"/>
  <c r="AD362" i="199"/>
  <c r="AL362" i="199" s="1"/>
  <c r="AC362" i="199"/>
  <c r="AK362" i="199" s="1"/>
  <c r="AB362" i="199"/>
  <c r="AJ362" i="199" s="1"/>
  <c r="Z362" i="199"/>
  <c r="AH362" i="199" s="1"/>
  <c r="N362" i="199"/>
  <c r="AF361" i="199"/>
  <c r="AN361" i="199" s="1"/>
  <c r="AE361" i="199"/>
  <c r="AM361" i="199" s="1"/>
  <c r="AD361" i="199"/>
  <c r="AL361" i="199" s="1"/>
  <c r="AC361" i="199"/>
  <c r="AK361" i="199" s="1"/>
  <c r="AB361" i="199"/>
  <c r="AJ361" i="199" s="1"/>
  <c r="Z361" i="199"/>
  <c r="AH361" i="199" s="1"/>
  <c r="N361" i="199"/>
  <c r="AA361" i="199" s="1"/>
  <c r="AI361" i="199" s="1"/>
  <c r="AF360" i="199"/>
  <c r="AN360" i="199" s="1"/>
  <c r="AE360" i="199"/>
  <c r="AM360" i="199" s="1"/>
  <c r="AD360" i="199"/>
  <c r="AL360" i="199" s="1"/>
  <c r="AC360" i="199"/>
  <c r="AK360" i="199" s="1"/>
  <c r="AB360" i="199"/>
  <c r="AJ360" i="199" s="1"/>
  <c r="Z360" i="199"/>
  <c r="AH360" i="199" s="1"/>
  <c r="N360" i="199"/>
  <c r="T360" i="199" s="1"/>
  <c r="AF359" i="199"/>
  <c r="AN359" i="199" s="1"/>
  <c r="AE359" i="199"/>
  <c r="AM359" i="199" s="1"/>
  <c r="AD359" i="199"/>
  <c r="AL359" i="199" s="1"/>
  <c r="AC359" i="199"/>
  <c r="AK359" i="199" s="1"/>
  <c r="AB359" i="199"/>
  <c r="AJ359" i="199" s="1"/>
  <c r="Z359" i="199"/>
  <c r="AH359" i="199" s="1"/>
  <c r="N359" i="199"/>
  <c r="T359" i="199" s="1"/>
  <c r="AF358" i="199"/>
  <c r="AN358" i="199" s="1"/>
  <c r="AE358" i="199"/>
  <c r="AM358" i="199" s="1"/>
  <c r="AD358" i="199"/>
  <c r="AL358" i="199" s="1"/>
  <c r="AC358" i="199"/>
  <c r="AK358" i="199" s="1"/>
  <c r="AB358" i="199"/>
  <c r="AJ358" i="199" s="1"/>
  <c r="Z358" i="199"/>
  <c r="AH358" i="199" s="1"/>
  <c r="N358" i="199"/>
  <c r="AA358" i="199" s="1"/>
  <c r="AI358" i="199" s="1"/>
  <c r="AF357" i="199"/>
  <c r="AN357" i="199" s="1"/>
  <c r="AE357" i="199"/>
  <c r="AM357" i="199" s="1"/>
  <c r="AD357" i="199"/>
  <c r="AL357" i="199" s="1"/>
  <c r="AC357" i="199"/>
  <c r="AK357" i="199" s="1"/>
  <c r="AB357" i="199"/>
  <c r="AJ357" i="199" s="1"/>
  <c r="Z357" i="199"/>
  <c r="AH357" i="199" s="1"/>
  <c r="N357" i="199"/>
  <c r="AA357" i="199" s="1"/>
  <c r="AI357" i="199" s="1"/>
  <c r="AF356" i="199"/>
  <c r="AN356" i="199" s="1"/>
  <c r="AE356" i="199"/>
  <c r="AM356" i="199" s="1"/>
  <c r="AD356" i="199"/>
  <c r="AL356" i="199" s="1"/>
  <c r="AC356" i="199"/>
  <c r="AK356" i="199" s="1"/>
  <c r="AB356" i="199"/>
  <c r="AJ356" i="199" s="1"/>
  <c r="Z356" i="199"/>
  <c r="AH356" i="199" s="1"/>
  <c r="N356" i="199"/>
  <c r="AF355" i="199"/>
  <c r="AN355" i="199" s="1"/>
  <c r="AE355" i="199"/>
  <c r="AM355" i="199" s="1"/>
  <c r="AD355" i="199"/>
  <c r="AL355" i="199" s="1"/>
  <c r="AC355" i="199"/>
  <c r="AK355" i="199" s="1"/>
  <c r="AB355" i="199"/>
  <c r="AJ355" i="199" s="1"/>
  <c r="Z355" i="199"/>
  <c r="AH355" i="199" s="1"/>
  <c r="N355" i="199"/>
  <c r="T355" i="199" s="1"/>
  <c r="AF354" i="199"/>
  <c r="AN354" i="199" s="1"/>
  <c r="AE354" i="199"/>
  <c r="AM354" i="199" s="1"/>
  <c r="AD354" i="199"/>
  <c r="AL354" i="199" s="1"/>
  <c r="AC354" i="199"/>
  <c r="AK354" i="199" s="1"/>
  <c r="AB354" i="199"/>
  <c r="AJ354" i="199" s="1"/>
  <c r="Z354" i="199"/>
  <c r="AH354" i="199" s="1"/>
  <c r="N354" i="199"/>
  <c r="AF353" i="199"/>
  <c r="AN353" i="199" s="1"/>
  <c r="AE353" i="199"/>
  <c r="AM353" i="199" s="1"/>
  <c r="AD353" i="199"/>
  <c r="AL353" i="199" s="1"/>
  <c r="AC353" i="199"/>
  <c r="AK353" i="199" s="1"/>
  <c r="AB353" i="199"/>
  <c r="AJ353" i="199" s="1"/>
  <c r="Z353" i="199"/>
  <c r="AH353" i="199" s="1"/>
  <c r="N353" i="199"/>
  <c r="AA353" i="199" s="1"/>
  <c r="AI353" i="199" s="1"/>
  <c r="AF352" i="199"/>
  <c r="AN352" i="199" s="1"/>
  <c r="AE352" i="199"/>
  <c r="AM352" i="199" s="1"/>
  <c r="AD352" i="199"/>
  <c r="AL352" i="199" s="1"/>
  <c r="AC352" i="199"/>
  <c r="AK352" i="199" s="1"/>
  <c r="AB352" i="199"/>
  <c r="AJ352" i="199" s="1"/>
  <c r="Z352" i="199"/>
  <c r="AH352" i="199" s="1"/>
  <c r="N352" i="199"/>
  <c r="T352" i="199" s="1"/>
  <c r="AF351" i="199"/>
  <c r="AN351" i="199" s="1"/>
  <c r="AE351" i="199"/>
  <c r="AM351" i="199" s="1"/>
  <c r="AD351" i="199"/>
  <c r="AL351" i="199" s="1"/>
  <c r="AC351" i="199"/>
  <c r="AK351" i="199" s="1"/>
  <c r="AB351" i="199"/>
  <c r="AJ351" i="199" s="1"/>
  <c r="Z351" i="199"/>
  <c r="AH351" i="199" s="1"/>
  <c r="N351" i="199"/>
  <c r="T351" i="199" s="1"/>
  <c r="AF350" i="199"/>
  <c r="AN350" i="199" s="1"/>
  <c r="AE350" i="199"/>
  <c r="AM350" i="199" s="1"/>
  <c r="AD350" i="199"/>
  <c r="AL350" i="199" s="1"/>
  <c r="AC350" i="199"/>
  <c r="AK350" i="199" s="1"/>
  <c r="AB350" i="199"/>
  <c r="AJ350" i="199" s="1"/>
  <c r="Z350" i="199"/>
  <c r="AH350" i="199" s="1"/>
  <c r="N350" i="199"/>
  <c r="AA350" i="199" s="1"/>
  <c r="AI350" i="199" s="1"/>
  <c r="AF349" i="199"/>
  <c r="AN349" i="199" s="1"/>
  <c r="AE349" i="199"/>
  <c r="AM349" i="199" s="1"/>
  <c r="AD349" i="199"/>
  <c r="AL349" i="199" s="1"/>
  <c r="AC349" i="199"/>
  <c r="AK349" i="199" s="1"/>
  <c r="AB349" i="199"/>
  <c r="AJ349" i="199" s="1"/>
  <c r="Z349" i="199"/>
  <c r="AH349" i="199" s="1"/>
  <c r="N349" i="199"/>
  <c r="AA349" i="199" s="1"/>
  <c r="AI349" i="199" s="1"/>
  <c r="AF348" i="199"/>
  <c r="AN348" i="199" s="1"/>
  <c r="AE348" i="199"/>
  <c r="AM348" i="199" s="1"/>
  <c r="AD348" i="199"/>
  <c r="AL348" i="199" s="1"/>
  <c r="AC348" i="199"/>
  <c r="AK348" i="199" s="1"/>
  <c r="AB348" i="199"/>
  <c r="AJ348" i="199" s="1"/>
  <c r="Z348" i="199"/>
  <c r="AH348" i="199" s="1"/>
  <c r="N348" i="199"/>
  <c r="AF347" i="199"/>
  <c r="AN347" i="199" s="1"/>
  <c r="AE347" i="199"/>
  <c r="AM347" i="199" s="1"/>
  <c r="AD347" i="199"/>
  <c r="AL347" i="199" s="1"/>
  <c r="AC347" i="199"/>
  <c r="AK347" i="199" s="1"/>
  <c r="AB347" i="199"/>
  <c r="AJ347" i="199" s="1"/>
  <c r="Z347" i="199"/>
  <c r="AH347" i="199" s="1"/>
  <c r="N347" i="199"/>
  <c r="T347" i="199" s="1"/>
  <c r="AF346" i="199"/>
  <c r="AN346" i="199" s="1"/>
  <c r="AE346" i="199"/>
  <c r="AM346" i="199" s="1"/>
  <c r="AD346" i="199"/>
  <c r="AL346" i="199" s="1"/>
  <c r="AC346" i="199"/>
  <c r="AK346" i="199" s="1"/>
  <c r="AB346" i="199"/>
  <c r="AJ346" i="199" s="1"/>
  <c r="Z346" i="199"/>
  <c r="AH346" i="199" s="1"/>
  <c r="N346" i="199"/>
  <c r="AF345" i="199"/>
  <c r="AN345" i="199" s="1"/>
  <c r="AE345" i="199"/>
  <c r="AM345" i="199" s="1"/>
  <c r="AD345" i="199"/>
  <c r="AL345" i="199" s="1"/>
  <c r="AC345" i="199"/>
  <c r="AK345" i="199" s="1"/>
  <c r="AB345" i="199"/>
  <c r="AJ345" i="199" s="1"/>
  <c r="Z345" i="199"/>
  <c r="AH345" i="199" s="1"/>
  <c r="N345" i="199"/>
  <c r="AA345" i="199" s="1"/>
  <c r="AI345" i="199" s="1"/>
  <c r="AF344" i="199"/>
  <c r="AN344" i="199" s="1"/>
  <c r="AE344" i="199"/>
  <c r="AM344" i="199" s="1"/>
  <c r="AD344" i="199"/>
  <c r="AL344" i="199" s="1"/>
  <c r="AC344" i="199"/>
  <c r="AK344" i="199" s="1"/>
  <c r="AB344" i="199"/>
  <c r="AJ344" i="199" s="1"/>
  <c r="Z344" i="199"/>
  <c r="AH344" i="199" s="1"/>
  <c r="N344" i="199"/>
  <c r="T344" i="199" s="1"/>
  <c r="AF343" i="199"/>
  <c r="AN343" i="199" s="1"/>
  <c r="AE343" i="199"/>
  <c r="AM343" i="199" s="1"/>
  <c r="AD343" i="199"/>
  <c r="AL343" i="199" s="1"/>
  <c r="AC343" i="199"/>
  <c r="AK343" i="199" s="1"/>
  <c r="AB343" i="199"/>
  <c r="AJ343" i="199" s="1"/>
  <c r="Z343" i="199"/>
  <c r="AH343" i="199" s="1"/>
  <c r="N343" i="199"/>
  <c r="T343" i="199" s="1"/>
  <c r="AF342" i="199"/>
  <c r="AN342" i="199" s="1"/>
  <c r="AE342" i="199"/>
  <c r="AM342" i="199" s="1"/>
  <c r="AD342" i="199"/>
  <c r="AL342" i="199" s="1"/>
  <c r="AC342" i="199"/>
  <c r="AK342" i="199" s="1"/>
  <c r="AB342" i="199"/>
  <c r="AJ342" i="199" s="1"/>
  <c r="Z342" i="199"/>
  <c r="AH342" i="199" s="1"/>
  <c r="N342" i="199"/>
  <c r="AA342" i="199" s="1"/>
  <c r="AI342" i="199" s="1"/>
  <c r="AF341" i="199"/>
  <c r="AN341" i="199" s="1"/>
  <c r="AE341" i="199"/>
  <c r="AM341" i="199" s="1"/>
  <c r="AD341" i="199"/>
  <c r="AL341" i="199" s="1"/>
  <c r="AC341" i="199"/>
  <c r="AK341" i="199" s="1"/>
  <c r="AB341" i="199"/>
  <c r="AJ341" i="199" s="1"/>
  <c r="Z341" i="199"/>
  <c r="AH341" i="199" s="1"/>
  <c r="N341" i="199"/>
  <c r="AA341" i="199" s="1"/>
  <c r="AI341" i="199" s="1"/>
  <c r="AF340" i="199"/>
  <c r="AN340" i="199" s="1"/>
  <c r="AE340" i="199"/>
  <c r="AM340" i="199" s="1"/>
  <c r="AD340" i="199"/>
  <c r="AL340" i="199" s="1"/>
  <c r="AC340" i="199"/>
  <c r="AK340" i="199" s="1"/>
  <c r="AB340" i="199"/>
  <c r="AJ340" i="199" s="1"/>
  <c r="Z340" i="199"/>
  <c r="AH340" i="199" s="1"/>
  <c r="N340" i="199"/>
  <c r="AF339" i="199"/>
  <c r="AN339" i="199" s="1"/>
  <c r="AE339" i="199"/>
  <c r="AM339" i="199" s="1"/>
  <c r="AD339" i="199"/>
  <c r="AL339" i="199" s="1"/>
  <c r="AC339" i="199"/>
  <c r="AK339" i="199" s="1"/>
  <c r="AB339" i="199"/>
  <c r="AJ339" i="199" s="1"/>
  <c r="Z339" i="199"/>
  <c r="AH339" i="199" s="1"/>
  <c r="N339" i="199"/>
  <c r="T339" i="199" s="1"/>
  <c r="AF338" i="199"/>
  <c r="AN338" i="199" s="1"/>
  <c r="AE338" i="199"/>
  <c r="AM338" i="199" s="1"/>
  <c r="AD338" i="199"/>
  <c r="AL338" i="199" s="1"/>
  <c r="AC338" i="199"/>
  <c r="AK338" i="199" s="1"/>
  <c r="AB338" i="199"/>
  <c r="AJ338" i="199" s="1"/>
  <c r="Z338" i="199"/>
  <c r="AH338" i="199" s="1"/>
  <c r="N338" i="199"/>
  <c r="AF337" i="199"/>
  <c r="AN337" i="199" s="1"/>
  <c r="AE337" i="199"/>
  <c r="AM337" i="199" s="1"/>
  <c r="AD337" i="199"/>
  <c r="AL337" i="199" s="1"/>
  <c r="AC337" i="199"/>
  <c r="AK337" i="199" s="1"/>
  <c r="AB337" i="199"/>
  <c r="AJ337" i="199" s="1"/>
  <c r="Z337" i="199"/>
  <c r="AH337" i="199" s="1"/>
  <c r="N337" i="199"/>
  <c r="AA337" i="199" s="1"/>
  <c r="AI337" i="199" s="1"/>
  <c r="AF336" i="199"/>
  <c r="AN336" i="199" s="1"/>
  <c r="AE336" i="199"/>
  <c r="AM336" i="199" s="1"/>
  <c r="AD336" i="199"/>
  <c r="AL336" i="199" s="1"/>
  <c r="AC336" i="199"/>
  <c r="AK336" i="199" s="1"/>
  <c r="AB336" i="199"/>
  <c r="AJ336" i="199" s="1"/>
  <c r="Z336" i="199"/>
  <c r="AH336" i="199" s="1"/>
  <c r="N336" i="199"/>
  <c r="T336" i="199" s="1"/>
  <c r="AF335" i="199"/>
  <c r="AN335" i="199" s="1"/>
  <c r="AE335" i="199"/>
  <c r="AM335" i="199" s="1"/>
  <c r="AD335" i="199"/>
  <c r="AL335" i="199" s="1"/>
  <c r="AC335" i="199"/>
  <c r="AK335" i="199" s="1"/>
  <c r="AB335" i="199"/>
  <c r="AJ335" i="199" s="1"/>
  <c r="Z335" i="199"/>
  <c r="AH335" i="199" s="1"/>
  <c r="N335" i="199"/>
  <c r="AF334" i="199"/>
  <c r="AN334" i="199" s="1"/>
  <c r="AE334" i="199"/>
  <c r="AM334" i="199" s="1"/>
  <c r="AD334" i="199"/>
  <c r="AL334" i="199" s="1"/>
  <c r="AC334" i="199"/>
  <c r="AK334" i="199" s="1"/>
  <c r="AB334" i="199"/>
  <c r="AJ334" i="199" s="1"/>
  <c r="Z334" i="199"/>
  <c r="AH334" i="199" s="1"/>
  <c r="N334" i="199"/>
  <c r="AA334" i="199" s="1"/>
  <c r="AI334" i="199" s="1"/>
  <c r="AF333" i="199"/>
  <c r="AN333" i="199" s="1"/>
  <c r="AE333" i="199"/>
  <c r="AM333" i="199" s="1"/>
  <c r="AD333" i="199"/>
  <c r="AL333" i="199" s="1"/>
  <c r="AC333" i="199"/>
  <c r="AK333" i="199" s="1"/>
  <c r="AB333" i="199"/>
  <c r="AJ333" i="199" s="1"/>
  <c r="Z333" i="199"/>
  <c r="AH333" i="199" s="1"/>
  <c r="N333" i="199"/>
  <c r="AF332" i="199"/>
  <c r="AN332" i="199" s="1"/>
  <c r="AE332" i="199"/>
  <c r="AM332" i="199" s="1"/>
  <c r="AD332" i="199"/>
  <c r="AL332" i="199" s="1"/>
  <c r="AC332" i="199"/>
  <c r="AK332" i="199" s="1"/>
  <c r="AB332" i="199"/>
  <c r="AJ332" i="199" s="1"/>
  <c r="Z332" i="199"/>
  <c r="N332" i="199"/>
  <c r="T332" i="199" s="1"/>
  <c r="AF331" i="199"/>
  <c r="AN331" i="199" s="1"/>
  <c r="AE331" i="199"/>
  <c r="AM331" i="199" s="1"/>
  <c r="AD331" i="199"/>
  <c r="AL331" i="199" s="1"/>
  <c r="AC331" i="199"/>
  <c r="AK331" i="199" s="1"/>
  <c r="AB331" i="199"/>
  <c r="AJ331" i="199" s="1"/>
  <c r="Z331" i="199"/>
  <c r="AH331" i="199" s="1"/>
  <c r="N331" i="199"/>
  <c r="AF330" i="199"/>
  <c r="AN330" i="199" s="1"/>
  <c r="AE330" i="199"/>
  <c r="AM330" i="199" s="1"/>
  <c r="AD330" i="199"/>
  <c r="AL330" i="199" s="1"/>
  <c r="AC330" i="199"/>
  <c r="AK330" i="199" s="1"/>
  <c r="AB330" i="199"/>
  <c r="AJ330" i="199" s="1"/>
  <c r="Z330" i="199"/>
  <c r="AH330" i="199" s="1"/>
  <c r="N330" i="199"/>
  <c r="AA330" i="199" s="1"/>
  <c r="AI330" i="199" s="1"/>
  <c r="AF329" i="199"/>
  <c r="AN329" i="199" s="1"/>
  <c r="AE329" i="199"/>
  <c r="AM329" i="199" s="1"/>
  <c r="AD329" i="199"/>
  <c r="AL329" i="199" s="1"/>
  <c r="AC329" i="199"/>
  <c r="AK329" i="199" s="1"/>
  <c r="AB329" i="199"/>
  <c r="AJ329" i="199" s="1"/>
  <c r="Z329" i="199"/>
  <c r="AH329" i="199" s="1"/>
  <c r="N329" i="199"/>
  <c r="AF328" i="199"/>
  <c r="AN328" i="199" s="1"/>
  <c r="AE328" i="199"/>
  <c r="AM328" i="199" s="1"/>
  <c r="AD328" i="199"/>
  <c r="AL328" i="199" s="1"/>
  <c r="AC328" i="199"/>
  <c r="AK328" i="199" s="1"/>
  <c r="AB328" i="199"/>
  <c r="AJ328" i="199" s="1"/>
  <c r="Z328" i="199"/>
  <c r="N328" i="199"/>
  <c r="T328" i="199" s="1"/>
  <c r="AF327" i="199"/>
  <c r="AN327" i="199" s="1"/>
  <c r="AE327" i="199"/>
  <c r="AM327" i="199" s="1"/>
  <c r="AD327" i="199"/>
  <c r="AL327" i="199" s="1"/>
  <c r="AC327" i="199"/>
  <c r="AK327" i="199" s="1"/>
  <c r="AB327" i="199"/>
  <c r="AJ327" i="199" s="1"/>
  <c r="Z327" i="199"/>
  <c r="AH327" i="199" s="1"/>
  <c r="N327" i="199"/>
  <c r="N238" i="192" s="1"/>
  <c r="AA238" i="192" s="1"/>
  <c r="AF326" i="199"/>
  <c r="AN326" i="199" s="1"/>
  <c r="AE326" i="199"/>
  <c r="AM326" i="199" s="1"/>
  <c r="AD326" i="199"/>
  <c r="AL326" i="199" s="1"/>
  <c r="AC326" i="199"/>
  <c r="AK326" i="199" s="1"/>
  <c r="AB326" i="199"/>
  <c r="AJ326" i="199" s="1"/>
  <c r="Z326" i="199"/>
  <c r="AH326" i="199" s="1"/>
  <c r="N326" i="199"/>
  <c r="N237" i="192" s="1"/>
  <c r="AA237" i="192" s="1"/>
  <c r="AF325" i="199"/>
  <c r="AN325" i="199" s="1"/>
  <c r="AE325" i="199"/>
  <c r="AM325" i="199" s="1"/>
  <c r="AD325" i="199"/>
  <c r="AL325" i="199" s="1"/>
  <c r="AC325" i="199"/>
  <c r="AK325" i="199" s="1"/>
  <c r="AB325" i="199"/>
  <c r="AJ325" i="199" s="1"/>
  <c r="Z325" i="199"/>
  <c r="N325" i="199"/>
  <c r="AF324" i="199"/>
  <c r="AN324" i="199" s="1"/>
  <c r="AE324" i="199"/>
  <c r="AM324" i="199" s="1"/>
  <c r="AD324" i="199"/>
  <c r="AL324" i="199" s="1"/>
  <c r="AC324" i="199"/>
  <c r="AK324" i="199" s="1"/>
  <c r="AB324" i="199"/>
  <c r="AJ324" i="199" s="1"/>
  <c r="Z324" i="199"/>
  <c r="AH324" i="199" s="1"/>
  <c r="N324" i="199"/>
  <c r="AF323" i="199"/>
  <c r="AN323" i="199" s="1"/>
  <c r="AE323" i="199"/>
  <c r="AM323" i="199" s="1"/>
  <c r="AD323" i="199"/>
  <c r="AL323" i="199" s="1"/>
  <c r="AC323" i="199"/>
  <c r="AK323" i="199" s="1"/>
  <c r="AB323" i="199"/>
  <c r="AJ323" i="199" s="1"/>
  <c r="Z323" i="199"/>
  <c r="AH323" i="199" s="1"/>
  <c r="N323" i="199"/>
  <c r="AF322" i="199"/>
  <c r="AN322" i="199" s="1"/>
  <c r="AE322" i="199"/>
  <c r="AM322" i="199" s="1"/>
  <c r="AD322" i="199"/>
  <c r="AL322" i="199" s="1"/>
  <c r="AC322" i="199"/>
  <c r="AK322" i="199" s="1"/>
  <c r="AB322" i="199"/>
  <c r="AJ322" i="199" s="1"/>
  <c r="Z322" i="199"/>
  <c r="AH322" i="199" s="1"/>
  <c r="N322" i="199"/>
  <c r="N233" i="192" s="1"/>
  <c r="AA233" i="192" s="1"/>
  <c r="AF321" i="199"/>
  <c r="AN321" i="199" s="1"/>
  <c r="AE321" i="199"/>
  <c r="AM321" i="199" s="1"/>
  <c r="AD321" i="199"/>
  <c r="AL321" i="199" s="1"/>
  <c r="AC321" i="199"/>
  <c r="AK321" i="199" s="1"/>
  <c r="AB321" i="199"/>
  <c r="AJ321" i="199" s="1"/>
  <c r="Z321" i="199"/>
  <c r="N321" i="199"/>
  <c r="AF320" i="199"/>
  <c r="AN320" i="199" s="1"/>
  <c r="AE320" i="199"/>
  <c r="AM320" i="199" s="1"/>
  <c r="AD320" i="199"/>
  <c r="AL320" i="199" s="1"/>
  <c r="AC320" i="199"/>
  <c r="AK320" i="199" s="1"/>
  <c r="AB320" i="199"/>
  <c r="AJ320" i="199" s="1"/>
  <c r="Z320" i="199"/>
  <c r="AH320" i="199" s="1"/>
  <c r="N320" i="199"/>
  <c r="AF319" i="199"/>
  <c r="AN319" i="199" s="1"/>
  <c r="AE319" i="199"/>
  <c r="AM319" i="199" s="1"/>
  <c r="AD319" i="199"/>
  <c r="AL319" i="199" s="1"/>
  <c r="AC319" i="199"/>
  <c r="AK319" i="199" s="1"/>
  <c r="AB319" i="199"/>
  <c r="AJ319" i="199" s="1"/>
  <c r="Z319" i="199"/>
  <c r="AH319" i="199" s="1"/>
  <c r="N319" i="199"/>
  <c r="T319" i="199" s="1"/>
  <c r="AF318" i="199"/>
  <c r="AN318" i="199" s="1"/>
  <c r="AE318" i="199"/>
  <c r="AM318" i="199" s="1"/>
  <c r="AD318" i="199"/>
  <c r="AL318" i="199" s="1"/>
  <c r="AC318" i="199"/>
  <c r="AK318" i="199" s="1"/>
  <c r="AB318" i="199"/>
  <c r="AJ318" i="199" s="1"/>
  <c r="Z318" i="199"/>
  <c r="AH318" i="199" s="1"/>
  <c r="N318" i="199"/>
  <c r="AA318" i="199" s="1"/>
  <c r="AI318" i="199" s="1"/>
  <c r="AF317" i="199"/>
  <c r="AN317" i="199" s="1"/>
  <c r="AE317" i="199"/>
  <c r="AM317" i="199" s="1"/>
  <c r="AD317" i="199"/>
  <c r="AL317" i="199" s="1"/>
  <c r="AC317" i="199"/>
  <c r="AK317" i="199" s="1"/>
  <c r="AB317" i="199"/>
  <c r="AJ317" i="199" s="1"/>
  <c r="Z317" i="199"/>
  <c r="AH317" i="199" s="1"/>
  <c r="N317" i="199"/>
  <c r="N228" i="192" s="1"/>
  <c r="AA228" i="192" s="1"/>
  <c r="AF316" i="199"/>
  <c r="AN316" i="199" s="1"/>
  <c r="AE316" i="199"/>
  <c r="AM316" i="199" s="1"/>
  <c r="AD316" i="199"/>
  <c r="AL316" i="199" s="1"/>
  <c r="AC316" i="199"/>
  <c r="AK316" i="199" s="1"/>
  <c r="AB316" i="199"/>
  <c r="AJ316" i="199" s="1"/>
  <c r="Z316" i="199"/>
  <c r="AH316" i="199" s="1"/>
  <c r="N316" i="199"/>
  <c r="AF315" i="199"/>
  <c r="AN315" i="199" s="1"/>
  <c r="AE315" i="199"/>
  <c r="AM315" i="199" s="1"/>
  <c r="AD315" i="199"/>
  <c r="AL315" i="199" s="1"/>
  <c r="AC315" i="199"/>
  <c r="AK315" i="199" s="1"/>
  <c r="AB315" i="199"/>
  <c r="AJ315" i="199" s="1"/>
  <c r="Z315" i="199"/>
  <c r="AH315" i="199" s="1"/>
  <c r="N315" i="199"/>
  <c r="T315" i="199" s="1"/>
  <c r="AF314" i="199"/>
  <c r="AN314" i="199" s="1"/>
  <c r="AE314" i="199"/>
  <c r="AM314" i="199" s="1"/>
  <c r="AD314" i="199"/>
  <c r="AL314" i="199" s="1"/>
  <c r="AC314" i="199"/>
  <c r="AK314" i="199" s="1"/>
  <c r="AB314" i="199"/>
  <c r="AJ314" i="199" s="1"/>
  <c r="Z314" i="199"/>
  <c r="AH314" i="199" s="1"/>
  <c r="N314" i="199"/>
  <c r="AA314" i="199" s="1"/>
  <c r="AI314" i="199" s="1"/>
  <c r="AF313" i="199"/>
  <c r="AN313" i="199" s="1"/>
  <c r="AE313" i="199"/>
  <c r="AM313" i="199" s="1"/>
  <c r="AD313" i="199"/>
  <c r="AL313" i="199" s="1"/>
  <c r="AC313" i="199"/>
  <c r="AK313" i="199" s="1"/>
  <c r="AB313" i="199"/>
  <c r="AJ313" i="199" s="1"/>
  <c r="Z313" i="199"/>
  <c r="N313" i="199"/>
  <c r="N224" i="192" s="1"/>
  <c r="AA224" i="192" s="1"/>
  <c r="AF312" i="199"/>
  <c r="AN312" i="199" s="1"/>
  <c r="AE312" i="199"/>
  <c r="AM312" i="199" s="1"/>
  <c r="AD312" i="199"/>
  <c r="AL312" i="199" s="1"/>
  <c r="AC312" i="199"/>
  <c r="AK312" i="199" s="1"/>
  <c r="AB312" i="199"/>
  <c r="AJ312" i="199" s="1"/>
  <c r="Z312" i="199"/>
  <c r="N312" i="199"/>
  <c r="AF311" i="199"/>
  <c r="AN311" i="199" s="1"/>
  <c r="AE311" i="199"/>
  <c r="AM311" i="199" s="1"/>
  <c r="AD311" i="199"/>
  <c r="AL311" i="199" s="1"/>
  <c r="AC311" i="199"/>
  <c r="AK311" i="199" s="1"/>
  <c r="AB311" i="199"/>
  <c r="AJ311" i="199" s="1"/>
  <c r="Z311" i="199"/>
  <c r="AH311" i="199" s="1"/>
  <c r="N311" i="199"/>
  <c r="N223" i="192" s="1"/>
  <c r="AA223" i="192" s="1"/>
  <c r="AF310" i="199"/>
  <c r="AN310" i="199" s="1"/>
  <c r="AE310" i="199"/>
  <c r="AM310" i="199" s="1"/>
  <c r="AD310" i="199"/>
  <c r="AL310" i="199" s="1"/>
  <c r="AC310" i="199"/>
  <c r="AK310" i="199" s="1"/>
  <c r="AB310" i="199"/>
  <c r="AJ310" i="199" s="1"/>
  <c r="Z310" i="199"/>
  <c r="AH310" i="199" s="1"/>
  <c r="N310" i="199"/>
  <c r="N222" i="192" s="1"/>
  <c r="AA222" i="192" s="1"/>
  <c r="AF309" i="199"/>
  <c r="AN309" i="199" s="1"/>
  <c r="AE309" i="199"/>
  <c r="AM309" i="199" s="1"/>
  <c r="AD309" i="199"/>
  <c r="AL309" i="199" s="1"/>
  <c r="AC309" i="199"/>
  <c r="AK309" i="199" s="1"/>
  <c r="AB309" i="199"/>
  <c r="AJ309" i="199" s="1"/>
  <c r="Z309" i="199"/>
  <c r="AH309" i="199" s="1"/>
  <c r="N309" i="199"/>
  <c r="AF308" i="199"/>
  <c r="AN308" i="199" s="1"/>
  <c r="AE308" i="199"/>
  <c r="AM308" i="199" s="1"/>
  <c r="AD308" i="199"/>
  <c r="AL308" i="199" s="1"/>
  <c r="AC308" i="199"/>
  <c r="AK308" i="199" s="1"/>
  <c r="AB308" i="199"/>
  <c r="AJ308" i="199" s="1"/>
  <c r="Z308" i="199"/>
  <c r="AH308" i="199" s="1"/>
  <c r="N308" i="199"/>
  <c r="AF307" i="199"/>
  <c r="AN307" i="199" s="1"/>
  <c r="AE307" i="199"/>
  <c r="AM307" i="199" s="1"/>
  <c r="AD307" i="199"/>
  <c r="AL307" i="199" s="1"/>
  <c r="AC307" i="199"/>
  <c r="AK307" i="199" s="1"/>
  <c r="AB307" i="199"/>
  <c r="AJ307" i="199" s="1"/>
  <c r="Z307" i="199"/>
  <c r="AH307" i="199" s="1"/>
  <c r="N307" i="199"/>
  <c r="N219" i="192" s="1"/>
  <c r="AA219" i="192" s="1"/>
  <c r="AF306" i="199"/>
  <c r="AN306" i="199" s="1"/>
  <c r="AE306" i="199"/>
  <c r="AM306" i="199" s="1"/>
  <c r="AD306" i="199"/>
  <c r="AL306" i="199" s="1"/>
  <c r="AC306" i="199"/>
  <c r="AK306" i="199" s="1"/>
  <c r="AB306" i="199"/>
  <c r="AJ306" i="199" s="1"/>
  <c r="Z306" i="199"/>
  <c r="N306" i="199"/>
  <c r="AF305" i="199"/>
  <c r="AN305" i="199" s="1"/>
  <c r="AE305" i="199"/>
  <c r="AM305" i="199" s="1"/>
  <c r="AD305" i="199"/>
  <c r="AL305" i="199" s="1"/>
  <c r="AC305" i="199"/>
  <c r="AK305" i="199" s="1"/>
  <c r="AB305" i="199"/>
  <c r="AJ305" i="199" s="1"/>
  <c r="Z305" i="199"/>
  <c r="AH305" i="199" s="1"/>
  <c r="N305" i="199"/>
  <c r="T305" i="199" s="1"/>
  <c r="AF304" i="199"/>
  <c r="AN304" i="199" s="1"/>
  <c r="AE304" i="199"/>
  <c r="AM304" i="199" s="1"/>
  <c r="AD304" i="199"/>
  <c r="AL304" i="199" s="1"/>
  <c r="AC304" i="199"/>
  <c r="AK304" i="199" s="1"/>
  <c r="AB304" i="199"/>
  <c r="AJ304" i="199" s="1"/>
  <c r="Z304" i="199"/>
  <c r="AH304" i="199" s="1"/>
  <c r="N304" i="199"/>
  <c r="AF303" i="199"/>
  <c r="AN303" i="199" s="1"/>
  <c r="AE303" i="199"/>
  <c r="AM303" i="199" s="1"/>
  <c r="AD303" i="199"/>
  <c r="AL303" i="199" s="1"/>
  <c r="AC303" i="199"/>
  <c r="AK303" i="199" s="1"/>
  <c r="AB303" i="199"/>
  <c r="AJ303" i="199" s="1"/>
  <c r="Z303" i="199"/>
  <c r="N303" i="199"/>
  <c r="AA303" i="199" s="1"/>
  <c r="AI303" i="199" s="1"/>
  <c r="AF302" i="199"/>
  <c r="AN302" i="199" s="1"/>
  <c r="AE302" i="199"/>
  <c r="AM302" i="199" s="1"/>
  <c r="AD302" i="199"/>
  <c r="AL302" i="199" s="1"/>
  <c r="AC302" i="199"/>
  <c r="AK302" i="199" s="1"/>
  <c r="AB302" i="199"/>
  <c r="AJ302" i="199" s="1"/>
  <c r="Z302" i="199"/>
  <c r="AH302" i="199" s="1"/>
  <c r="N302" i="199"/>
  <c r="T302" i="199" s="1"/>
  <c r="AF301" i="199"/>
  <c r="AN301" i="199" s="1"/>
  <c r="AE301" i="199"/>
  <c r="AM301" i="199" s="1"/>
  <c r="AD301" i="199"/>
  <c r="AL301" i="199" s="1"/>
  <c r="AC301" i="199"/>
  <c r="AK301" i="199" s="1"/>
  <c r="AB301" i="199"/>
  <c r="AJ301" i="199" s="1"/>
  <c r="Z301" i="199"/>
  <c r="AH301" i="199" s="1"/>
  <c r="N301" i="199"/>
  <c r="AF300" i="199"/>
  <c r="AN300" i="199" s="1"/>
  <c r="AE300" i="199"/>
  <c r="AM300" i="199" s="1"/>
  <c r="AD300" i="199"/>
  <c r="AL300" i="199" s="1"/>
  <c r="AC300" i="199"/>
  <c r="AK300" i="199" s="1"/>
  <c r="AB300" i="199"/>
  <c r="AJ300" i="199" s="1"/>
  <c r="Z300" i="199"/>
  <c r="AH300" i="199" s="1"/>
  <c r="N300" i="199"/>
  <c r="N213" i="192" s="1"/>
  <c r="AA213" i="192" s="1"/>
  <c r="AF299" i="199"/>
  <c r="AN299" i="199" s="1"/>
  <c r="AE299" i="199"/>
  <c r="AM299" i="199" s="1"/>
  <c r="AD299" i="199"/>
  <c r="AL299" i="199" s="1"/>
  <c r="AC299" i="199"/>
  <c r="AK299" i="199" s="1"/>
  <c r="AB299" i="199"/>
  <c r="AJ299" i="199" s="1"/>
  <c r="Z299" i="199"/>
  <c r="N299" i="199"/>
  <c r="AA299" i="199" s="1"/>
  <c r="AI299" i="199" s="1"/>
  <c r="AF298" i="199"/>
  <c r="AN298" i="199" s="1"/>
  <c r="AE298" i="199"/>
  <c r="AM298" i="199" s="1"/>
  <c r="AD298" i="199"/>
  <c r="AL298" i="199" s="1"/>
  <c r="AC298" i="199"/>
  <c r="AK298" i="199" s="1"/>
  <c r="AB298" i="199"/>
  <c r="AJ298" i="199" s="1"/>
  <c r="Z298" i="199"/>
  <c r="AH298" i="199" s="1"/>
  <c r="N298" i="199"/>
  <c r="AF297" i="199"/>
  <c r="AN297" i="199" s="1"/>
  <c r="AE297" i="199"/>
  <c r="AM297" i="199" s="1"/>
  <c r="AD297" i="199"/>
  <c r="AL297" i="199" s="1"/>
  <c r="AC297" i="199"/>
  <c r="AK297" i="199" s="1"/>
  <c r="AB297" i="199"/>
  <c r="AJ297" i="199" s="1"/>
  <c r="Z297" i="199"/>
  <c r="AH297" i="199" s="1"/>
  <c r="N297" i="199"/>
  <c r="T297" i="199" s="1"/>
  <c r="AF296" i="199"/>
  <c r="AN296" i="199" s="1"/>
  <c r="AE296" i="199"/>
  <c r="AM296" i="199" s="1"/>
  <c r="AD296" i="199"/>
  <c r="AL296" i="199" s="1"/>
  <c r="AC296" i="199"/>
  <c r="AK296" i="199" s="1"/>
  <c r="AB296" i="199"/>
  <c r="AJ296" i="199" s="1"/>
  <c r="Z296" i="199"/>
  <c r="AH296" i="199" s="1"/>
  <c r="N296" i="199"/>
  <c r="N209" i="192" s="1"/>
  <c r="AA209" i="192" s="1"/>
  <c r="AF295" i="199"/>
  <c r="AN295" i="199" s="1"/>
  <c r="AE295" i="199"/>
  <c r="AM295" i="199" s="1"/>
  <c r="AD295" i="199"/>
  <c r="AL295" i="199" s="1"/>
  <c r="AC295" i="199"/>
  <c r="AK295" i="199" s="1"/>
  <c r="AB295" i="199"/>
  <c r="AJ295" i="199" s="1"/>
  <c r="Z295" i="199"/>
  <c r="N295" i="199"/>
  <c r="AF294" i="199"/>
  <c r="AN294" i="199" s="1"/>
  <c r="AE294" i="199"/>
  <c r="AM294" i="199" s="1"/>
  <c r="AD294" i="199"/>
  <c r="AL294" i="199" s="1"/>
  <c r="AC294" i="199"/>
  <c r="AK294" i="199" s="1"/>
  <c r="AB294" i="199"/>
  <c r="AJ294" i="199" s="1"/>
  <c r="Z294" i="199"/>
  <c r="AH294" i="199" s="1"/>
  <c r="N294" i="199"/>
  <c r="AF293" i="199"/>
  <c r="AN293" i="199" s="1"/>
  <c r="AE293" i="199"/>
  <c r="AM293" i="199" s="1"/>
  <c r="AD293" i="199"/>
  <c r="AL293" i="199" s="1"/>
  <c r="AC293" i="199"/>
  <c r="AK293" i="199" s="1"/>
  <c r="AB293" i="199"/>
  <c r="AJ293" i="199" s="1"/>
  <c r="Z293" i="199"/>
  <c r="AH293" i="199" s="1"/>
  <c r="N293" i="199"/>
  <c r="T293" i="199" s="1"/>
  <c r="AF292" i="199"/>
  <c r="AN292" i="199" s="1"/>
  <c r="AE292" i="199"/>
  <c r="AM292" i="199" s="1"/>
  <c r="AD292" i="199"/>
  <c r="AL292" i="199" s="1"/>
  <c r="AC292" i="199"/>
  <c r="AK292" i="199" s="1"/>
  <c r="AB292" i="199"/>
  <c r="AJ292" i="199" s="1"/>
  <c r="Z292" i="199"/>
  <c r="AH292" i="199" s="1"/>
  <c r="N292" i="199"/>
  <c r="AF291" i="199"/>
  <c r="AN291" i="199" s="1"/>
  <c r="AE291" i="199"/>
  <c r="AM291" i="199" s="1"/>
  <c r="AD291" i="199"/>
  <c r="AL291" i="199" s="1"/>
  <c r="AC291" i="199"/>
  <c r="AK291" i="199" s="1"/>
  <c r="AB291" i="199"/>
  <c r="AJ291" i="199" s="1"/>
  <c r="Z291" i="199"/>
  <c r="AH291" i="199" s="1"/>
  <c r="N291" i="199"/>
  <c r="AA291" i="199" s="1"/>
  <c r="AI291" i="199" s="1"/>
  <c r="AF290" i="199"/>
  <c r="AN290" i="199" s="1"/>
  <c r="AE290" i="199"/>
  <c r="AM290" i="199" s="1"/>
  <c r="AD290" i="199"/>
  <c r="AL290" i="199" s="1"/>
  <c r="AC290" i="199"/>
  <c r="AK290" i="199" s="1"/>
  <c r="AB290" i="199"/>
  <c r="AJ290" i="199" s="1"/>
  <c r="Z290" i="199"/>
  <c r="AH290" i="199" s="1"/>
  <c r="N290" i="199"/>
  <c r="T290" i="199" s="1"/>
  <c r="AF289" i="199"/>
  <c r="AN289" i="199" s="1"/>
  <c r="AE289" i="199"/>
  <c r="AM289" i="199" s="1"/>
  <c r="AD289" i="199"/>
  <c r="AL289" i="199" s="1"/>
  <c r="AC289" i="199"/>
  <c r="AK289" i="199" s="1"/>
  <c r="AB289" i="199"/>
  <c r="AJ289" i="199" s="1"/>
  <c r="Z289" i="199"/>
  <c r="AH289" i="199" s="1"/>
  <c r="N289" i="199"/>
  <c r="AF288" i="199"/>
  <c r="AN288" i="199" s="1"/>
  <c r="AE288" i="199"/>
  <c r="AM288" i="199" s="1"/>
  <c r="AD288" i="199"/>
  <c r="AL288" i="199" s="1"/>
  <c r="AC288" i="199"/>
  <c r="AK288" i="199" s="1"/>
  <c r="AB288" i="199"/>
  <c r="AJ288" i="199" s="1"/>
  <c r="Z288" i="199"/>
  <c r="AH288" i="199" s="1"/>
  <c r="N288" i="199"/>
  <c r="AA288" i="199" s="1"/>
  <c r="AI288" i="199" s="1"/>
  <c r="AF287" i="199"/>
  <c r="AN287" i="199" s="1"/>
  <c r="AE287" i="199"/>
  <c r="AM287" i="199" s="1"/>
  <c r="AD287" i="199"/>
  <c r="AL287" i="199" s="1"/>
  <c r="AC287" i="199"/>
  <c r="AK287" i="199" s="1"/>
  <c r="AB287" i="199"/>
  <c r="AJ287" i="199" s="1"/>
  <c r="Z287" i="199"/>
  <c r="AH287" i="199" s="1"/>
  <c r="N287" i="199"/>
  <c r="AA287" i="199" s="1"/>
  <c r="AI287" i="199" s="1"/>
  <c r="AF286" i="199"/>
  <c r="AN286" i="199" s="1"/>
  <c r="AE286" i="199"/>
  <c r="AM286" i="199" s="1"/>
  <c r="AD286" i="199"/>
  <c r="AL286" i="199" s="1"/>
  <c r="AC286" i="199"/>
  <c r="AK286" i="199" s="1"/>
  <c r="AB286" i="199"/>
  <c r="AJ286" i="199" s="1"/>
  <c r="Z286" i="199"/>
  <c r="AH286" i="199" s="1"/>
  <c r="N286" i="199"/>
  <c r="AF285" i="199"/>
  <c r="AN285" i="199" s="1"/>
  <c r="AE285" i="199"/>
  <c r="AM285" i="199" s="1"/>
  <c r="AD285" i="199"/>
  <c r="AL285" i="199" s="1"/>
  <c r="AC285" i="199"/>
  <c r="AK285" i="199" s="1"/>
  <c r="AB285" i="199"/>
  <c r="AJ285" i="199" s="1"/>
  <c r="Z285" i="199"/>
  <c r="AH285" i="199" s="1"/>
  <c r="N285" i="199"/>
  <c r="T285" i="199" s="1"/>
  <c r="AF284" i="199"/>
  <c r="AN284" i="199" s="1"/>
  <c r="AE284" i="199"/>
  <c r="AM284" i="199" s="1"/>
  <c r="AD284" i="199"/>
  <c r="AL284" i="199" s="1"/>
  <c r="AC284" i="199"/>
  <c r="AK284" i="199" s="1"/>
  <c r="AB284" i="199"/>
  <c r="AJ284" i="199" s="1"/>
  <c r="Z284" i="199"/>
  <c r="AH284" i="199" s="1"/>
  <c r="N284" i="199"/>
  <c r="AF283" i="199"/>
  <c r="AN283" i="199" s="1"/>
  <c r="AE283" i="199"/>
  <c r="AM283" i="199" s="1"/>
  <c r="AD283" i="199"/>
  <c r="AL283" i="199" s="1"/>
  <c r="AC283" i="199"/>
  <c r="AK283" i="199" s="1"/>
  <c r="AB283" i="199"/>
  <c r="AJ283" i="199" s="1"/>
  <c r="Z283" i="199"/>
  <c r="AH283" i="199" s="1"/>
  <c r="N283" i="199"/>
  <c r="AA283" i="199" s="1"/>
  <c r="AI283" i="199" s="1"/>
  <c r="AF282" i="199"/>
  <c r="AN282" i="199" s="1"/>
  <c r="AE282" i="199"/>
  <c r="AM282" i="199" s="1"/>
  <c r="AD282" i="199"/>
  <c r="AL282" i="199" s="1"/>
  <c r="AC282" i="199"/>
  <c r="AK282" i="199" s="1"/>
  <c r="AB282" i="199"/>
  <c r="AJ282" i="199" s="1"/>
  <c r="Z282" i="199"/>
  <c r="AH282" i="199" s="1"/>
  <c r="N282" i="199"/>
  <c r="T282" i="199" s="1"/>
  <c r="AF281" i="199"/>
  <c r="AN281" i="199" s="1"/>
  <c r="AE281" i="199"/>
  <c r="AM281" i="199" s="1"/>
  <c r="AD281" i="199"/>
  <c r="AL281" i="199" s="1"/>
  <c r="AC281" i="199"/>
  <c r="AK281" i="199" s="1"/>
  <c r="AB281" i="199"/>
  <c r="AJ281" i="199" s="1"/>
  <c r="Z281" i="199"/>
  <c r="AH281" i="199" s="1"/>
  <c r="N281" i="199"/>
  <c r="AF280" i="199"/>
  <c r="AN280" i="199" s="1"/>
  <c r="AE280" i="199"/>
  <c r="AM280" i="199" s="1"/>
  <c r="AD280" i="199"/>
  <c r="AL280" i="199" s="1"/>
  <c r="AC280" i="199"/>
  <c r="AK280" i="199" s="1"/>
  <c r="AB280" i="199"/>
  <c r="AJ280" i="199" s="1"/>
  <c r="Z280" i="199"/>
  <c r="AH280" i="199" s="1"/>
  <c r="N280" i="199"/>
  <c r="AA280" i="199" s="1"/>
  <c r="AI280" i="199" s="1"/>
  <c r="AF279" i="199"/>
  <c r="AN279" i="199" s="1"/>
  <c r="AE279" i="199"/>
  <c r="AM279" i="199" s="1"/>
  <c r="AD279" i="199"/>
  <c r="AL279" i="199" s="1"/>
  <c r="AC279" i="199"/>
  <c r="AK279" i="199" s="1"/>
  <c r="AB279" i="199"/>
  <c r="AJ279" i="199" s="1"/>
  <c r="Z279" i="199"/>
  <c r="AH279" i="199" s="1"/>
  <c r="N279" i="199"/>
  <c r="AA279" i="199" s="1"/>
  <c r="AI279" i="199" s="1"/>
  <c r="AF278" i="199"/>
  <c r="AN278" i="199" s="1"/>
  <c r="AE278" i="199"/>
  <c r="AM278" i="199" s="1"/>
  <c r="AD278" i="199"/>
  <c r="AL278" i="199" s="1"/>
  <c r="AC278" i="199"/>
  <c r="AK278" i="199" s="1"/>
  <c r="AB278" i="199"/>
  <c r="AJ278" i="199" s="1"/>
  <c r="Z278" i="199"/>
  <c r="AH278" i="199" s="1"/>
  <c r="N278" i="199"/>
  <c r="AF277" i="199"/>
  <c r="AN277" i="199" s="1"/>
  <c r="AE277" i="199"/>
  <c r="AM277" i="199" s="1"/>
  <c r="AD277" i="199"/>
  <c r="AL277" i="199" s="1"/>
  <c r="AC277" i="199"/>
  <c r="AK277" i="199" s="1"/>
  <c r="AB277" i="199"/>
  <c r="AJ277" i="199" s="1"/>
  <c r="Z277" i="199"/>
  <c r="AH277" i="199" s="1"/>
  <c r="N277" i="199"/>
  <c r="AF276" i="199"/>
  <c r="AN276" i="199" s="1"/>
  <c r="AE276" i="199"/>
  <c r="AM276" i="199" s="1"/>
  <c r="AD276" i="199"/>
  <c r="AL276" i="199" s="1"/>
  <c r="AC276" i="199"/>
  <c r="AK276" i="199" s="1"/>
  <c r="AB276" i="199"/>
  <c r="AJ276" i="199" s="1"/>
  <c r="Z276" i="199"/>
  <c r="AH276" i="199" s="1"/>
  <c r="N276" i="199"/>
  <c r="AF275" i="199"/>
  <c r="AN275" i="199" s="1"/>
  <c r="AE275" i="199"/>
  <c r="AM275" i="199" s="1"/>
  <c r="AD275" i="199"/>
  <c r="AL275" i="199" s="1"/>
  <c r="AC275" i="199"/>
  <c r="AK275" i="199" s="1"/>
  <c r="AB275" i="199"/>
  <c r="AJ275" i="199" s="1"/>
  <c r="Z275" i="199"/>
  <c r="AH275" i="199" s="1"/>
  <c r="N275" i="199"/>
  <c r="AF274" i="199"/>
  <c r="AN274" i="199" s="1"/>
  <c r="AE274" i="199"/>
  <c r="AM274" i="199" s="1"/>
  <c r="AD274" i="199"/>
  <c r="AL274" i="199" s="1"/>
  <c r="AC274" i="199"/>
  <c r="AK274" i="199" s="1"/>
  <c r="AB274" i="199"/>
  <c r="AJ274" i="199" s="1"/>
  <c r="Z274" i="199"/>
  <c r="AH274" i="199" s="1"/>
  <c r="N274" i="199"/>
  <c r="AF273" i="199"/>
  <c r="AN273" i="199" s="1"/>
  <c r="AE273" i="199"/>
  <c r="AM273" i="199" s="1"/>
  <c r="AD273" i="199"/>
  <c r="AL273" i="199" s="1"/>
  <c r="AC273" i="199"/>
  <c r="AK273" i="199" s="1"/>
  <c r="AB273" i="199"/>
  <c r="AJ273" i="199" s="1"/>
  <c r="Z273" i="199"/>
  <c r="AH273" i="199" s="1"/>
  <c r="N273" i="199"/>
  <c r="AA273" i="199" s="1"/>
  <c r="AI273" i="199" s="1"/>
  <c r="AF272" i="199"/>
  <c r="AN272" i="199" s="1"/>
  <c r="AE272" i="199"/>
  <c r="AM272" i="199" s="1"/>
  <c r="AD272" i="199"/>
  <c r="AL272" i="199" s="1"/>
  <c r="AC272" i="199"/>
  <c r="AK272" i="199" s="1"/>
  <c r="AB272" i="199"/>
  <c r="AJ272" i="199" s="1"/>
  <c r="Z272" i="199"/>
  <c r="AH272" i="199" s="1"/>
  <c r="N272" i="199"/>
  <c r="AF271" i="199"/>
  <c r="AN271" i="199" s="1"/>
  <c r="AE271" i="199"/>
  <c r="AM271" i="199" s="1"/>
  <c r="AD271" i="199"/>
  <c r="AL271" i="199" s="1"/>
  <c r="AC271" i="199"/>
  <c r="AK271" i="199" s="1"/>
  <c r="AB271" i="199"/>
  <c r="AJ271" i="199" s="1"/>
  <c r="Z271" i="199"/>
  <c r="N271" i="199"/>
  <c r="N40" i="189" s="1"/>
  <c r="AF270" i="199"/>
  <c r="AN270" i="199" s="1"/>
  <c r="AE270" i="199"/>
  <c r="AM270" i="199" s="1"/>
  <c r="AD270" i="199"/>
  <c r="AL270" i="199" s="1"/>
  <c r="AC270" i="199"/>
  <c r="AK270" i="199" s="1"/>
  <c r="AB270" i="199"/>
  <c r="AJ270" i="199" s="1"/>
  <c r="Z270" i="199"/>
  <c r="AH270" i="199" s="1"/>
  <c r="N270" i="199"/>
  <c r="T270" i="199" s="1"/>
  <c r="AF269" i="199"/>
  <c r="AN269" i="199" s="1"/>
  <c r="AE269" i="199"/>
  <c r="AM269" i="199" s="1"/>
  <c r="AD269" i="199"/>
  <c r="AL269" i="199" s="1"/>
  <c r="AC269" i="199"/>
  <c r="AK269" i="199" s="1"/>
  <c r="AB269" i="199"/>
  <c r="AJ269" i="199" s="1"/>
  <c r="Z269" i="199"/>
  <c r="AH269" i="199" s="1"/>
  <c r="N269" i="199"/>
  <c r="AA269" i="199" s="1"/>
  <c r="AI269" i="199" s="1"/>
  <c r="AF268" i="199"/>
  <c r="AN268" i="199" s="1"/>
  <c r="AE268" i="199"/>
  <c r="AM268" i="199" s="1"/>
  <c r="AD268" i="199"/>
  <c r="AL268" i="199" s="1"/>
  <c r="AC268" i="199"/>
  <c r="AK268" i="199" s="1"/>
  <c r="AB268" i="199"/>
  <c r="AJ268" i="199" s="1"/>
  <c r="Z268" i="199"/>
  <c r="AH268" i="199" s="1"/>
  <c r="N268" i="199"/>
  <c r="AF267" i="199"/>
  <c r="AN267" i="199" s="1"/>
  <c r="AE267" i="199"/>
  <c r="AM267" i="199" s="1"/>
  <c r="AD267" i="199"/>
  <c r="AL267" i="199" s="1"/>
  <c r="AC267" i="199"/>
  <c r="AK267" i="199" s="1"/>
  <c r="AB267" i="199"/>
  <c r="AJ267" i="199" s="1"/>
  <c r="Z267" i="199"/>
  <c r="N267" i="199"/>
  <c r="T267" i="199" s="1"/>
  <c r="AF266" i="199"/>
  <c r="AN266" i="199" s="1"/>
  <c r="AE266" i="199"/>
  <c r="AM266" i="199" s="1"/>
  <c r="AD266" i="199"/>
  <c r="AL266" i="199" s="1"/>
  <c r="AC266" i="199"/>
  <c r="AK266" i="199" s="1"/>
  <c r="AB266" i="199"/>
  <c r="AJ266" i="199" s="1"/>
  <c r="Z266" i="199"/>
  <c r="AH266" i="199" s="1"/>
  <c r="N266" i="199"/>
  <c r="AF265" i="199"/>
  <c r="AN265" i="199" s="1"/>
  <c r="AE265" i="199"/>
  <c r="AM265" i="199" s="1"/>
  <c r="AD265" i="199"/>
  <c r="AL265" i="199" s="1"/>
  <c r="AC265" i="199"/>
  <c r="AK265" i="199" s="1"/>
  <c r="AB265" i="199"/>
  <c r="AJ265" i="199" s="1"/>
  <c r="Z265" i="199"/>
  <c r="AH265" i="199" s="1"/>
  <c r="N265" i="199"/>
  <c r="AA265" i="199" s="1"/>
  <c r="AI265" i="199" s="1"/>
  <c r="AF264" i="199"/>
  <c r="AN264" i="199" s="1"/>
  <c r="AE264" i="199"/>
  <c r="AM264" i="199" s="1"/>
  <c r="AD264" i="199"/>
  <c r="AL264" i="199" s="1"/>
  <c r="AC264" i="199"/>
  <c r="AK264" i="199" s="1"/>
  <c r="AB264" i="199"/>
  <c r="AJ264" i="199" s="1"/>
  <c r="Z264" i="199"/>
  <c r="AH264" i="199" s="1"/>
  <c r="N264" i="199"/>
  <c r="AA264" i="199" s="1"/>
  <c r="AI264" i="199" s="1"/>
  <c r="AF263" i="199"/>
  <c r="AN263" i="199" s="1"/>
  <c r="AE263" i="199"/>
  <c r="AM263" i="199" s="1"/>
  <c r="AD263" i="199"/>
  <c r="AL263" i="199" s="1"/>
  <c r="AC263" i="199"/>
  <c r="AK263" i="199" s="1"/>
  <c r="AB263" i="199"/>
  <c r="AJ263" i="199" s="1"/>
  <c r="Z263" i="199"/>
  <c r="AH263" i="199" s="1"/>
  <c r="N263" i="199"/>
  <c r="AF262" i="199"/>
  <c r="AN262" i="199" s="1"/>
  <c r="AE262" i="199"/>
  <c r="AM262" i="199" s="1"/>
  <c r="AD262" i="199"/>
  <c r="AL262" i="199" s="1"/>
  <c r="AC262" i="199"/>
  <c r="AK262" i="199" s="1"/>
  <c r="AB262" i="199"/>
  <c r="AJ262" i="199" s="1"/>
  <c r="Z262" i="199"/>
  <c r="AH262" i="199" s="1"/>
  <c r="N262" i="199"/>
  <c r="T262" i="199" s="1"/>
  <c r="AF261" i="199"/>
  <c r="AN261" i="199" s="1"/>
  <c r="AE261" i="199"/>
  <c r="AM261" i="199" s="1"/>
  <c r="AD261" i="199"/>
  <c r="AL261" i="199" s="1"/>
  <c r="AC261" i="199"/>
  <c r="AK261" i="199" s="1"/>
  <c r="AB261" i="199"/>
  <c r="AJ261" i="199" s="1"/>
  <c r="Z261" i="199"/>
  <c r="AH261" i="199" s="1"/>
  <c r="N261" i="199"/>
  <c r="AA261" i="199" s="1"/>
  <c r="AI261" i="199" s="1"/>
  <c r="AF260" i="199"/>
  <c r="AN260" i="199" s="1"/>
  <c r="AE260" i="199"/>
  <c r="AM260" i="199" s="1"/>
  <c r="AD260" i="199"/>
  <c r="AL260" i="199" s="1"/>
  <c r="AC260" i="199"/>
  <c r="AK260" i="199" s="1"/>
  <c r="AB260" i="199"/>
  <c r="AJ260" i="199" s="1"/>
  <c r="Z260" i="199"/>
  <c r="AH260" i="199" s="1"/>
  <c r="N260" i="199"/>
  <c r="AA260" i="199" s="1"/>
  <c r="AI260" i="199" s="1"/>
  <c r="AF259" i="199"/>
  <c r="AN259" i="199" s="1"/>
  <c r="AE259" i="199"/>
  <c r="AM259" i="199" s="1"/>
  <c r="AD259" i="199"/>
  <c r="AL259" i="199" s="1"/>
  <c r="AC259" i="199"/>
  <c r="AK259" i="199" s="1"/>
  <c r="AB259" i="199"/>
  <c r="AJ259" i="199" s="1"/>
  <c r="Z259" i="199"/>
  <c r="AH259" i="199" s="1"/>
  <c r="N259" i="199"/>
  <c r="AF258" i="199"/>
  <c r="AN258" i="199" s="1"/>
  <c r="AE258" i="199"/>
  <c r="AM258" i="199" s="1"/>
  <c r="AD258" i="199"/>
  <c r="AL258" i="199" s="1"/>
  <c r="AC258" i="199"/>
  <c r="AK258" i="199" s="1"/>
  <c r="AB258" i="199"/>
  <c r="AJ258" i="199" s="1"/>
  <c r="Z258" i="199"/>
  <c r="AH258" i="199" s="1"/>
  <c r="N258" i="199"/>
  <c r="AF257" i="199"/>
  <c r="AN257" i="199" s="1"/>
  <c r="AE257" i="199"/>
  <c r="AM257" i="199" s="1"/>
  <c r="AD257" i="199"/>
  <c r="AL257" i="199" s="1"/>
  <c r="AC257" i="199"/>
  <c r="AK257" i="199" s="1"/>
  <c r="AB257" i="199"/>
  <c r="AJ257" i="199" s="1"/>
  <c r="Z257" i="199"/>
  <c r="AH257" i="199" s="1"/>
  <c r="N257" i="199"/>
  <c r="AF256" i="199"/>
  <c r="AN256" i="199" s="1"/>
  <c r="AE256" i="199"/>
  <c r="AM256" i="199" s="1"/>
  <c r="AD256" i="199"/>
  <c r="AL256" i="199" s="1"/>
  <c r="AC256" i="199"/>
  <c r="AK256" i="199" s="1"/>
  <c r="AB256" i="199"/>
  <c r="AJ256" i="199" s="1"/>
  <c r="Z256" i="199"/>
  <c r="N256" i="199"/>
  <c r="T256" i="199" s="1"/>
  <c r="AF255" i="199"/>
  <c r="AN255" i="199" s="1"/>
  <c r="AE255" i="199"/>
  <c r="AM255" i="199" s="1"/>
  <c r="AD255" i="199"/>
  <c r="AL255" i="199" s="1"/>
  <c r="AC255" i="199"/>
  <c r="AK255" i="199" s="1"/>
  <c r="AB255" i="199"/>
  <c r="AJ255" i="199" s="1"/>
  <c r="Z255" i="199"/>
  <c r="AH255" i="199" s="1"/>
  <c r="N255" i="199"/>
  <c r="AF254" i="199"/>
  <c r="AN254" i="199" s="1"/>
  <c r="AE254" i="199"/>
  <c r="AM254" i="199" s="1"/>
  <c r="AD254" i="199"/>
  <c r="AL254" i="199" s="1"/>
  <c r="AC254" i="199"/>
  <c r="AK254" i="199" s="1"/>
  <c r="AB254" i="199"/>
  <c r="AJ254" i="199" s="1"/>
  <c r="Z254" i="199"/>
  <c r="AH254" i="199" s="1"/>
  <c r="N254" i="199"/>
  <c r="AA254" i="199" s="1"/>
  <c r="AI254" i="199" s="1"/>
  <c r="AF253" i="199"/>
  <c r="AN253" i="199" s="1"/>
  <c r="AE253" i="199"/>
  <c r="AM253" i="199" s="1"/>
  <c r="AD253" i="199"/>
  <c r="AL253" i="199" s="1"/>
  <c r="AC253" i="199"/>
  <c r="AK253" i="199" s="1"/>
  <c r="AB253" i="199"/>
  <c r="AJ253" i="199" s="1"/>
  <c r="Z253" i="199"/>
  <c r="AH253" i="199" s="1"/>
  <c r="N253" i="199"/>
  <c r="AA253" i="199" s="1"/>
  <c r="AI253" i="199" s="1"/>
  <c r="AF252" i="199"/>
  <c r="AN252" i="199" s="1"/>
  <c r="AE252" i="199"/>
  <c r="AM252" i="199" s="1"/>
  <c r="AD252" i="199"/>
  <c r="AL252" i="199" s="1"/>
  <c r="AC252" i="199"/>
  <c r="AK252" i="199" s="1"/>
  <c r="AB252" i="199"/>
  <c r="AJ252" i="199" s="1"/>
  <c r="Z252" i="199"/>
  <c r="AH252" i="199" s="1"/>
  <c r="N252" i="199"/>
  <c r="N44" i="189" s="1"/>
  <c r="AF251" i="199"/>
  <c r="AN251" i="199" s="1"/>
  <c r="AE251" i="199"/>
  <c r="AM251" i="199" s="1"/>
  <c r="AD251" i="199"/>
  <c r="AL251" i="199" s="1"/>
  <c r="AC251" i="199"/>
  <c r="AK251" i="199" s="1"/>
  <c r="AB251" i="199"/>
  <c r="AJ251" i="199" s="1"/>
  <c r="Z251" i="199"/>
  <c r="AH251" i="199" s="1"/>
  <c r="N251" i="199"/>
  <c r="AF250" i="199"/>
  <c r="AN250" i="199" s="1"/>
  <c r="AE250" i="199"/>
  <c r="AM250" i="199" s="1"/>
  <c r="AD250" i="199"/>
  <c r="AL250" i="199" s="1"/>
  <c r="AC250" i="199"/>
  <c r="AK250" i="199" s="1"/>
  <c r="AB250" i="199"/>
  <c r="AJ250" i="199" s="1"/>
  <c r="Z250" i="199"/>
  <c r="AH250" i="199" s="1"/>
  <c r="N250" i="199"/>
  <c r="AA250" i="199" s="1"/>
  <c r="AI250" i="199" s="1"/>
  <c r="AF249" i="199"/>
  <c r="AN249" i="199" s="1"/>
  <c r="AE249" i="199"/>
  <c r="AM249" i="199" s="1"/>
  <c r="AD249" i="199"/>
  <c r="AL249" i="199" s="1"/>
  <c r="AC249" i="199"/>
  <c r="AK249" i="199" s="1"/>
  <c r="AB249" i="199"/>
  <c r="AJ249" i="199" s="1"/>
  <c r="Z249" i="199"/>
  <c r="AH249" i="199" s="1"/>
  <c r="N249" i="199"/>
  <c r="AF248" i="199"/>
  <c r="AN248" i="199" s="1"/>
  <c r="AE248" i="199"/>
  <c r="AM248" i="199" s="1"/>
  <c r="AD248" i="199"/>
  <c r="AL248" i="199" s="1"/>
  <c r="AC248" i="199"/>
  <c r="AK248" i="199" s="1"/>
  <c r="AB248" i="199"/>
  <c r="AJ248" i="199" s="1"/>
  <c r="Z248" i="199"/>
  <c r="N248" i="199"/>
  <c r="T248" i="199" s="1"/>
  <c r="AF247" i="199"/>
  <c r="AN247" i="199" s="1"/>
  <c r="AE247" i="199"/>
  <c r="AM247" i="199" s="1"/>
  <c r="AD247" i="199"/>
  <c r="AL247" i="199" s="1"/>
  <c r="AC247" i="199"/>
  <c r="AK247" i="199" s="1"/>
  <c r="AB247" i="199"/>
  <c r="AJ247" i="199" s="1"/>
  <c r="Z247" i="199"/>
  <c r="AH247" i="199" s="1"/>
  <c r="N247" i="199"/>
  <c r="AF246" i="199"/>
  <c r="AN246" i="199" s="1"/>
  <c r="AE246" i="199"/>
  <c r="AM246" i="199" s="1"/>
  <c r="AD246" i="199"/>
  <c r="AL246" i="199" s="1"/>
  <c r="AC246" i="199"/>
  <c r="AK246" i="199" s="1"/>
  <c r="AB246" i="199"/>
  <c r="AJ246" i="199" s="1"/>
  <c r="Z246" i="199"/>
  <c r="AH246" i="199" s="1"/>
  <c r="N246" i="199"/>
  <c r="AA246" i="199" s="1"/>
  <c r="AI246" i="199" s="1"/>
  <c r="AF245" i="199"/>
  <c r="AN245" i="199" s="1"/>
  <c r="AE245" i="199"/>
  <c r="AM245" i="199" s="1"/>
  <c r="AD245" i="199"/>
  <c r="AL245" i="199" s="1"/>
  <c r="AC245" i="199"/>
  <c r="AK245" i="199" s="1"/>
  <c r="AB245" i="199"/>
  <c r="AJ245" i="199" s="1"/>
  <c r="Z245" i="199"/>
  <c r="AH245" i="199" s="1"/>
  <c r="N245" i="199"/>
  <c r="AA245" i="199" s="1"/>
  <c r="AI245" i="199" s="1"/>
  <c r="AF244" i="199"/>
  <c r="AN244" i="199" s="1"/>
  <c r="AE244" i="199"/>
  <c r="AM244" i="199" s="1"/>
  <c r="AD244" i="199"/>
  <c r="AL244" i="199" s="1"/>
  <c r="AC244" i="199"/>
  <c r="AK244" i="199" s="1"/>
  <c r="AB244" i="199"/>
  <c r="AJ244" i="199" s="1"/>
  <c r="Z244" i="199"/>
  <c r="AH244" i="199" s="1"/>
  <c r="N244" i="199"/>
  <c r="AF243" i="199"/>
  <c r="AN243" i="199" s="1"/>
  <c r="AE243" i="199"/>
  <c r="AM243" i="199" s="1"/>
  <c r="AD243" i="199"/>
  <c r="AL243" i="199" s="1"/>
  <c r="AC243" i="199"/>
  <c r="AK243" i="199" s="1"/>
  <c r="AB243" i="199"/>
  <c r="AJ243" i="199" s="1"/>
  <c r="Z243" i="199"/>
  <c r="AH243" i="199" s="1"/>
  <c r="N243" i="199"/>
  <c r="AF242" i="199"/>
  <c r="AN242" i="199" s="1"/>
  <c r="AE242" i="199"/>
  <c r="AM242" i="199" s="1"/>
  <c r="AD242" i="199"/>
  <c r="AL242" i="199" s="1"/>
  <c r="AC242" i="199"/>
  <c r="AK242" i="199" s="1"/>
  <c r="AB242" i="199"/>
  <c r="AJ242" i="199" s="1"/>
  <c r="Z242" i="199"/>
  <c r="AH242" i="199" s="1"/>
  <c r="N242" i="199"/>
  <c r="AA242" i="199" s="1"/>
  <c r="AI242" i="199" s="1"/>
  <c r="AF241" i="199"/>
  <c r="AN241" i="199" s="1"/>
  <c r="AE241" i="199"/>
  <c r="AM241" i="199" s="1"/>
  <c r="AD241" i="199"/>
  <c r="AL241" i="199" s="1"/>
  <c r="AC241" i="199"/>
  <c r="AK241" i="199" s="1"/>
  <c r="AB241" i="199"/>
  <c r="AJ241" i="199" s="1"/>
  <c r="Z241" i="199"/>
  <c r="AH241" i="199" s="1"/>
  <c r="N241" i="199"/>
  <c r="AF240" i="199"/>
  <c r="AN240" i="199" s="1"/>
  <c r="AE240" i="199"/>
  <c r="AM240" i="199" s="1"/>
  <c r="AD240" i="199"/>
  <c r="AL240" i="199" s="1"/>
  <c r="AC240" i="199"/>
  <c r="AK240" i="199" s="1"/>
  <c r="AB240" i="199"/>
  <c r="AJ240" i="199" s="1"/>
  <c r="Z240" i="199"/>
  <c r="N240" i="199"/>
  <c r="T240" i="199" s="1"/>
  <c r="AF239" i="199"/>
  <c r="AN239" i="199" s="1"/>
  <c r="AE239" i="199"/>
  <c r="AM239" i="199" s="1"/>
  <c r="AD239" i="199"/>
  <c r="AL239" i="199" s="1"/>
  <c r="AC239" i="199"/>
  <c r="AK239" i="199" s="1"/>
  <c r="AB239" i="199"/>
  <c r="AJ239" i="199" s="1"/>
  <c r="Z239" i="199"/>
  <c r="AH239" i="199" s="1"/>
  <c r="N239" i="199"/>
  <c r="AF238" i="199"/>
  <c r="AN238" i="199" s="1"/>
  <c r="AE238" i="199"/>
  <c r="AM238" i="199" s="1"/>
  <c r="AD238" i="199"/>
  <c r="AL238" i="199" s="1"/>
  <c r="AC238" i="199"/>
  <c r="AK238" i="199" s="1"/>
  <c r="AB238" i="199"/>
  <c r="AJ238" i="199" s="1"/>
  <c r="Z238" i="199"/>
  <c r="AH238" i="199" s="1"/>
  <c r="N238" i="199"/>
  <c r="AA238" i="199" s="1"/>
  <c r="AI238" i="199" s="1"/>
  <c r="AF237" i="199"/>
  <c r="AN237" i="199" s="1"/>
  <c r="AE237" i="199"/>
  <c r="AM237" i="199" s="1"/>
  <c r="AD237" i="199"/>
  <c r="AL237" i="199" s="1"/>
  <c r="AC237" i="199"/>
  <c r="AK237" i="199" s="1"/>
  <c r="AB237" i="199"/>
  <c r="AJ237" i="199" s="1"/>
  <c r="Z237" i="199"/>
  <c r="AH237" i="199" s="1"/>
  <c r="N237" i="199"/>
  <c r="AF236" i="199"/>
  <c r="AN236" i="199" s="1"/>
  <c r="AE236" i="199"/>
  <c r="AM236" i="199" s="1"/>
  <c r="AD236" i="199"/>
  <c r="AL236" i="199" s="1"/>
  <c r="AC236" i="199"/>
  <c r="AK236" i="199" s="1"/>
  <c r="AB236" i="199"/>
  <c r="AJ236" i="199" s="1"/>
  <c r="Z236" i="199"/>
  <c r="AH236" i="199" s="1"/>
  <c r="N236" i="199"/>
  <c r="AF235" i="199"/>
  <c r="AN235" i="199" s="1"/>
  <c r="AE235" i="199"/>
  <c r="AM235" i="199" s="1"/>
  <c r="AD235" i="199"/>
  <c r="AL235" i="199" s="1"/>
  <c r="AC235" i="199"/>
  <c r="AK235" i="199" s="1"/>
  <c r="AB235" i="199"/>
  <c r="AJ235" i="199" s="1"/>
  <c r="Z235" i="199"/>
  <c r="AH235" i="199" s="1"/>
  <c r="N235" i="199"/>
  <c r="AA235" i="199" s="1"/>
  <c r="AI235" i="199" s="1"/>
  <c r="AF234" i="199"/>
  <c r="AN234" i="199" s="1"/>
  <c r="AE234" i="199"/>
  <c r="AM234" i="199" s="1"/>
  <c r="AD234" i="199"/>
  <c r="AL234" i="199" s="1"/>
  <c r="AC234" i="199"/>
  <c r="AK234" i="199" s="1"/>
  <c r="AB234" i="199"/>
  <c r="AJ234" i="199" s="1"/>
  <c r="Z234" i="199"/>
  <c r="AH234" i="199" s="1"/>
  <c r="N234" i="199"/>
  <c r="AF233" i="199"/>
  <c r="AN233" i="199" s="1"/>
  <c r="AE233" i="199"/>
  <c r="AM233" i="199" s="1"/>
  <c r="AD233" i="199"/>
  <c r="AL233" i="199" s="1"/>
  <c r="AC233" i="199"/>
  <c r="AK233" i="199" s="1"/>
  <c r="AB233" i="199"/>
  <c r="AJ233" i="199" s="1"/>
  <c r="Z233" i="199"/>
  <c r="N233" i="199"/>
  <c r="T233" i="199" s="1"/>
  <c r="AF232" i="199"/>
  <c r="AN232" i="199" s="1"/>
  <c r="AE232" i="199"/>
  <c r="AM232" i="199" s="1"/>
  <c r="AD232" i="199"/>
  <c r="AL232" i="199" s="1"/>
  <c r="AC232" i="199"/>
  <c r="AK232" i="199" s="1"/>
  <c r="AB232" i="199"/>
  <c r="AJ232" i="199" s="1"/>
  <c r="Z232" i="199"/>
  <c r="AH232" i="199" s="1"/>
  <c r="N232" i="199"/>
  <c r="AF231" i="199"/>
  <c r="AN231" i="199" s="1"/>
  <c r="AE231" i="199"/>
  <c r="AM231" i="199" s="1"/>
  <c r="AD231" i="199"/>
  <c r="AL231" i="199" s="1"/>
  <c r="AC231" i="199"/>
  <c r="AK231" i="199" s="1"/>
  <c r="AB231" i="199"/>
  <c r="AJ231" i="199" s="1"/>
  <c r="Z231" i="199"/>
  <c r="AH231" i="199" s="1"/>
  <c r="N231" i="199"/>
  <c r="AA231" i="199" s="1"/>
  <c r="AI231" i="199" s="1"/>
  <c r="AF230" i="199"/>
  <c r="AN230" i="199" s="1"/>
  <c r="AE230" i="199"/>
  <c r="AM230" i="199" s="1"/>
  <c r="AD230" i="199"/>
  <c r="AL230" i="199" s="1"/>
  <c r="AC230" i="199"/>
  <c r="AK230" i="199" s="1"/>
  <c r="AB230" i="199"/>
  <c r="AJ230" i="199" s="1"/>
  <c r="Z230" i="199"/>
  <c r="AH230" i="199" s="1"/>
  <c r="N230" i="199"/>
  <c r="AF229" i="199"/>
  <c r="AN229" i="199" s="1"/>
  <c r="AE229" i="199"/>
  <c r="AM229" i="199" s="1"/>
  <c r="AD229" i="199"/>
  <c r="AL229" i="199" s="1"/>
  <c r="AC229" i="199"/>
  <c r="AK229" i="199" s="1"/>
  <c r="AB229" i="199"/>
  <c r="AJ229" i="199" s="1"/>
  <c r="Z229" i="199"/>
  <c r="AH229" i="199" s="1"/>
  <c r="N229" i="199"/>
  <c r="AF228" i="199"/>
  <c r="AN228" i="199" s="1"/>
  <c r="AE228" i="199"/>
  <c r="AM228" i="199" s="1"/>
  <c r="AD228" i="199"/>
  <c r="AL228" i="199" s="1"/>
  <c r="AC228" i="199"/>
  <c r="AK228" i="199" s="1"/>
  <c r="AB228" i="199"/>
  <c r="AJ228" i="199" s="1"/>
  <c r="Z228" i="199"/>
  <c r="AH228" i="199" s="1"/>
  <c r="N228" i="199"/>
  <c r="AA228" i="199" s="1"/>
  <c r="AI228" i="199" s="1"/>
  <c r="AF227" i="199"/>
  <c r="AN227" i="199" s="1"/>
  <c r="AE227" i="199"/>
  <c r="AM227" i="199" s="1"/>
  <c r="AD227" i="199"/>
  <c r="AL227" i="199" s="1"/>
  <c r="AC227" i="199"/>
  <c r="AK227" i="199" s="1"/>
  <c r="AB227" i="199"/>
  <c r="AJ227" i="199" s="1"/>
  <c r="Z227" i="199"/>
  <c r="AH227" i="199" s="1"/>
  <c r="N227" i="199"/>
  <c r="AF226" i="199"/>
  <c r="AN226" i="199" s="1"/>
  <c r="AE226" i="199"/>
  <c r="AM226" i="199" s="1"/>
  <c r="AD226" i="199"/>
  <c r="AL226" i="199" s="1"/>
  <c r="AC226" i="199"/>
  <c r="AK226" i="199" s="1"/>
  <c r="AB226" i="199"/>
  <c r="AJ226" i="199" s="1"/>
  <c r="Z226" i="199"/>
  <c r="N226" i="199"/>
  <c r="T226" i="199" s="1"/>
  <c r="AF225" i="199"/>
  <c r="AN225" i="199" s="1"/>
  <c r="AE225" i="199"/>
  <c r="AM225" i="199" s="1"/>
  <c r="AD225" i="199"/>
  <c r="AL225" i="199" s="1"/>
  <c r="AC225" i="199"/>
  <c r="AK225" i="199" s="1"/>
  <c r="AB225" i="199"/>
  <c r="AJ225" i="199" s="1"/>
  <c r="Z225" i="199"/>
  <c r="AH225" i="199" s="1"/>
  <c r="N225" i="199"/>
  <c r="AF224" i="199"/>
  <c r="AN224" i="199" s="1"/>
  <c r="AE224" i="199"/>
  <c r="AM224" i="199" s="1"/>
  <c r="AD224" i="199"/>
  <c r="AL224" i="199" s="1"/>
  <c r="AC224" i="199"/>
  <c r="AK224" i="199" s="1"/>
  <c r="AB224" i="199"/>
  <c r="AJ224" i="199" s="1"/>
  <c r="Z224" i="199"/>
  <c r="AH224" i="199" s="1"/>
  <c r="N224" i="199"/>
  <c r="AA224" i="199" s="1"/>
  <c r="AI224" i="199" s="1"/>
  <c r="AF223" i="199"/>
  <c r="AN223" i="199" s="1"/>
  <c r="AE223" i="199"/>
  <c r="AM223" i="199" s="1"/>
  <c r="AD223" i="199"/>
  <c r="AL223" i="199" s="1"/>
  <c r="AC223" i="199"/>
  <c r="AK223" i="199" s="1"/>
  <c r="AB223" i="199"/>
  <c r="AJ223" i="199" s="1"/>
  <c r="Z223" i="199"/>
  <c r="AH223" i="199" s="1"/>
  <c r="N223" i="199"/>
  <c r="AF222" i="199"/>
  <c r="AN222" i="199" s="1"/>
  <c r="AE222" i="199"/>
  <c r="AM222" i="199" s="1"/>
  <c r="AD222" i="199"/>
  <c r="AL222" i="199" s="1"/>
  <c r="AC222" i="199"/>
  <c r="AK222" i="199" s="1"/>
  <c r="AB222" i="199"/>
  <c r="AJ222" i="199" s="1"/>
  <c r="Z222" i="199"/>
  <c r="N222" i="199"/>
  <c r="T222" i="199" s="1"/>
  <c r="AF221" i="199"/>
  <c r="AN221" i="199" s="1"/>
  <c r="AE221" i="199"/>
  <c r="AM221" i="199" s="1"/>
  <c r="AD221" i="199"/>
  <c r="AL221" i="199" s="1"/>
  <c r="AC221" i="199"/>
  <c r="AK221" i="199" s="1"/>
  <c r="AB221" i="199"/>
  <c r="AJ221" i="199" s="1"/>
  <c r="Z221" i="199"/>
  <c r="AH221" i="199" s="1"/>
  <c r="N221" i="199"/>
  <c r="AF220" i="199"/>
  <c r="AN220" i="199" s="1"/>
  <c r="AE220" i="199"/>
  <c r="AM220" i="199" s="1"/>
  <c r="AD220" i="199"/>
  <c r="AL220" i="199" s="1"/>
  <c r="AC220" i="199"/>
  <c r="AK220" i="199" s="1"/>
  <c r="AB220" i="199"/>
  <c r="AJ220" i="199" s="1"/>
  <c r="Z220" i="199"/>
  <c r="AH220" i="199" s="1"/>
  <c r="N220" i="199"/>
  <c r="AA220" i="199" s="1"/>
  <c r="AI220" i="199" s="1"/>
  <c r="AF219" i="199"/>
  <c r="AN219" i="199" s="1"/>
  <c r="AE219" i="199"/>
  <c r="AM219" i="199" s="1"/>
  <c r="AD219" i="199"/>
  <c r="AL219" i="199" s="1"/>
  <c r="AC219" i="199"/>
  <c r="AK219" i="199" s="1"/>
  <c r="AB219" i="199"/>
  <c r="AJ219" i="199" s="1"/>
  <c r="Z219" i="199"/>
  <c r="AH219" i="199" s="1"/>
  <c r="N219" i="199"/>
  <c r="AF218" i="199"/>
  <c r="AN218" i="199" s="1"/>
  <c r="AE218" i="199"/>
  <c r="AM218" i="199" s="1"/>
  <c r="AD218" i="199"/>
  <c r="AL218" i="199" s="1"/>
  <c r="AC218" i="199"/>
  <c r="AK218" i="199" s="1"/>
  <c r="AB218" i="199"/>
  <c r="AJ218" i="199" s="1"/>
  <c r="Z218" i="199"/>
  <c r="N218" i="199"/>
  <c r="T218" i="199" s="1"/>
  <c r="AF217" i="199"/>
  <c r="AN217" i="199" s="1"/>
  <c r="AE217" i="199"/>
  <c r="AM217" i="199" s="1"/>
  <c r="AD217" i="199"/>
  <c r="AL217" i="199" s="1"/>
  <c r="AC217" i="199"/>
  <c r="AK217" i="199" s="1"/>
  <c r="AB217" i="199"/>
  <c r="AJ217" i="199" s="1"/>
  <c r="Z217" i="199"/>
  <c r="AH217" i="199" s="1"/>
  <c r="N217" i="199"/>
  <c r="AF216" i="199"/>
  <c r="AN216" i="199" s="1"/>
  <c r="AE216" i="199"/>
  <c r="AM216" i="199" s="1"/>
  <c r="AD216" i="199"/>
  <c r="AL216" i="199" s="1"/>
  <c r="AC216" i="199"/>
  <c r="AK216" i="199" s="1"/>
  <c r="AB216" i="199"/>
  <c r="AJ216" i="199" s="1"/>
  <c r="Z216" i="199"/>
  <c r="AH216" i="199" s="1"/>
  <c r="N216" i="199"/>
  <c r="AF215" i="199"/>
  <c r="AN215" i="199" s="1"/>
  <c r="AE215" i="199"/>
  <c r="AM215" i="199" s="1"/>
  <c r="AD215" i="199"/>
  <c r="AL215" i="199" s="1"/>
  <c r="AC215" i="199"/>
  <c r="AK215" i="199" s="1"/>
  <c r="AB215" i="199"/>
  <c r="AJ215" i="199" s="1"/>
  <c r="Z215" i="199"/>
  <c r="AH215" i="199" s="1"/>
  <c r="N215" i="199"/>
  <c r="AF214" i="199"/>
  <c r="AN214" i="199" s="1"/>
  <c r="AE214" i="199"/>
  <c r="AM214" i="199" s="1"/>
  <c r="AD214" i="199"/>
  <c r="AL214" i="199" s="1"/>
  <c r="AC214" i="199"/>
  <c r="AK214" i="199" s="1"/>
  <c r="AB214" i="199"/>
  <c r="AJ214" i="199" s="1"/>
  <c r="Z214" i="199"/>
  <c r="N214" i="199"/>
  <c r="T214" i="199" s="1"/>
  <c r="AF213" i="199"/>
  <c r="AN213" i="199" s="1"/>
  <c r="AE213" i="199"/>
  <c r="AM213" i="199" s="1"/>
  <c r="AD213" i="199"/>
  <c r="AL213" i="199" s="1"/>
  <c r="AC213" i="199"/>
  <c r="AK213" i="199" s="1"/>
  <c r="AB213" i="199"/>
  <c r="AJ213" i="199" s="1"/>
  <c r="Z213" i="199"/>
  <c r="AH213" i="199" s="1"/>
  <c r="N213" i="199"/>
  <c r="AF212" i="199"/>
  <c r="AN212" i="199" s="1"/>
  <c r="AE212" i="199"/>
  <c r="AM212" i="199" s="1"/>
  <c r="AD212" i="199"/>
  <c r="AL212" i="199" s="1"/>
  <c r="AC212" i="199"/>
  <c r="AK212" i="199" s="1"/>
  <c r="AB212" i="199"/>
  <c r="AJ212" i="199" s="1"/>
  <c r="Z212" i="199"/>
  <c r="AH212" i="199" s="1"/>
  <c r="N212" i="199"/>
  <c r="AA212" i="199" s="1"/>
  <c r="AI212" i="199" s="1"/>
  <c r="AF211" i="199"/>
  <c r="AN211" i="199" s="1"/>
  <c r="AE211" i="199"/>
  <c r="AM211" i="199" s="1"/>
  <c r="AD211" i="199"/>
  <c r="AL211" i="199" s="1"/>
  <c r="AC211" i="199"/>
  <c r="AK211" i="199" s="1"/>
  <c r="AB211" i="199"/>
  <c r="AJ211" i="199" s="1"/>
  <c r="Z211" i="199"/>
  <c r="N211" i="199"/>
  <c r="AF210" i="199"/>
  <c r="AN210" i="199" s="1"/>
  <c r="AE210" i="199"/>
  <c r="AM210" i="199" s="1"/>
  <c r="AD210" i="199"/>
  <c r="AL210" i="199" s="1"/>
  <c r="AC210" i="199"/>
  <c r="AK210" i="199" s="1"/>
  <c r="AB210" i="199"/>
  <c r="AJ210" i="199" s="1"/>
  <c r="Z210" i="199"/>
  <c r="N210" i="199"/>
  <c r="AF209" i="199"/>
  <c r="AN209" i="199" s="1"/>
  <c r="AE209" i="199"/>
  <c r="AM209" i="199" s="1"/>
  <c r="AD209" i="199"/>
  <c r="AL209" i="199" s="1"/>
  <c r="AC209" i="199"/>
  <c r="AK209" i="199" s="1"/>
  <c r="AB209" i="199"/>
  <c r="AJ209" i="199" s="1"/>
  <c r="Z209" i="199"/>
  <c r="AH209" i="199" s="1"/>
  <c r="N209" i="199"/>
  <c r="N148" i="192" s="1"/>
  <c r="AA148" i="192" s="1"/>
  <c r="AF208" i="199"/>
  <c r="AN208" i="199" s="1"/>
  <c r="AE208" i="199"/>
  <c r="AM208" i="199" s="1"/>
  <c r="AD208" i="199"/>
  <c r="AL208" i="199" s="1"/>
  <c r="AC208" i="199"/>
  <c r="AK208" i="199" s="1"/>
  <c r="AB208" i="199"/>
  <c r="AJ208" i="199" s="1"/>
  <c r="Z208" i="199"/>
  <c r="AH208" i="199" s="1"/>
  <c r="N208" i="199"/>
  <c r="N147" i="192" s="1"/>
  <c r="AA147" i="192" s="1"/>
  <c r="AF207" i="199"/>
  <c r="AN207" i="199" s="1"/>
  <c r="AE207" i="199"/>
  <c r="AM207" i="199" s="1"/>
  <c r="AD207" i="199"/>
  <c r="AL207" i="199" s="1"/>
  <c r="AC207" i="199"/>
  <c r="AK207" i="199" s="1"/>
  <c r="AB207" i="199"/>
  <c r="AJ207" i="199" s="1"/>
  <c r="Z207" i="199"/>
  <c r="N207" i="199"/>
  <c r="AA207" i="199" s="1"/>
  <c r="AI207" i="199" s="1"/>
  <c r="AF206" i="199"/>
  <c r="AN206" i="199" s="1"/>
  <c r="AE206" i="199"/>
  <c r="AM206" i="199" s="1"/>
  <c r="AD206" i="199"/>
  <c r="AL206" i="199" s="1"/>
  <c r="AC206" i="199"/>
  <c r="AK206" i="199" s="1"/>
  <c r="AB206" i="199"/>
  <c r="AJ206" i="199" s="1"/>
  <c r="Z206" i="199"/>
  <c r="N206" i="199"/>
  <c r="AF205" i="199"/>
  <c r="AN205" i="199" s="1"/>
  <c r="AE205" i="199"/>
  <c r="AM205" i="199" s="1"/>
  <c r="AD205" i="199"/>
  <c r="AL205" i="199" s="1"/>
  <c r="AC205" i="199"/>
  <c r="AK205" i="199" s="1"/>
  <c r="AB205" i="199"/>
  <c r="AJ205" i="199" s="1"/>
  <c r="Z205" i="199"/>
  <c r="AH205" i="199" s="1"/>
  <c r="N205" i="199"/>
  <c r="N12" i="185" s="1"/>
  <c r="AF204" i="199"/>
  <c r="AN204" i="199" s="1"/>
  <c r="AE204" i="199"/>
  <c r="AM204" i="199" s="1"/>
  <c r="AD204" i="199"/>
  <c r="AL204" i="199" s="1"/>
  <c r="AC204" i="199"/>
  <c r="AK204" i="199" s="1"/>
  <c r="AB204" i="199"/>
  <c r="AJ204" i="199" s="1"/>
  <c r="Z204" i="199"/>
  <c r="AH204" i="199" s="1"/>
  <c r="N204" i="199"/>
  <c r="N144" i="192" s="1"/>
  <c r="AA144" i="192" s="1"/>
  <c r="AF203" i="199"/>
  <c r="AN203" i="199" s="1"/>
  <c r="AE203" i="199"/>
  <c r="AM203" i="199" s="1"/>
  <c r="AD203" i="199"/>
  <c r="AL203" i="199" s="1"/>
  <c r="AC203" i="199"/>
  <c r="AK203" i="199" s="1"/>
  <c r="AB203" i="199"/>
  <c r="AJ203" i="199" s="1"/>
  <c r="Z203" i="199"/>
  <c r="N203" i="199"/>
  <c r="AA203" i="199" s="1"/>
  <c r="AI203" i="199" s="1"/>
  <c r="AF202" i="199"/>
  <c r="AN202" i="199" s="1"/>
  <c r="AE202" i="199"/>
  <c r="AM202" i="199" s="1"/>
  <c r="AD202" i="199"/>
  <c r="AL202" i="199" s="1"/>
  <c r="AC202" i="199"/>
  <c r="AK202" i="199" s="1"/>
  <c r="AB202" i="199"/>
  <c r="AJ202" i="199" s="1"/>
  <c r="Z202" i="199"/>
  <c r="N202" i="199"/>
  <c r="T202" i="199" s="1"/>
  <c r="AF201" i="199"/>
  <c r="AN201" i="199" s="1"/>
  <c r="AE201" i="199"/>
  <c r="AM201" i="199" s="1"/>
  <c r="AD201" i="199"/>
  <c r="AL201" i="199" s="1"/>
  <c r="AC201" i="199"/>
  <c r="AK201" i="199" s="1"/>
  <c r="AB201" i="199"/>
  <c r="AJ201" i="199" s="1"/>
  <c r="Z201" i="199"/>
  <c r="AH201" i="199" s="1"/>
  <c r="N201" i="199"/>
  <c r="N51" i="189" s="1"/>
  <c r="AF200" i="199"/>
  <c r="AN200" i="199" s="1"/>
  <c r="AE200" i="199"/>
  <c r="AM200" i="199" s="1"/>
  <c r="AD200" i="199"/>
  <c r="AL200" i="199" s="1"/>
  <c r="AC200" i="199"/>
  <c r="AK200" i="199" s="1"/>
  <c r="AB200" i="199"/>
  <c r="AJ200" i="199" s="1"/>
  <c r="Z200" i="199"/>
  <c r="AH200" i="199" s="1"/>
  <c r="N200" i="199"/>
  <c r="N11" i="185" s="1"/>
  <c r="AF199" i="199"/>
  <c r="AN199" i="199" s="1"/>
  <c r="AE199" i="199"/>
  <c r="AM199" i="199" s="1"/>
  <c r="AD199" i="199"/>
  <c r="AL199" i="199" s="1"/>
  <c r="AC199" i="199"/>
  <c r="AK199" i="199" s="1"/>
  <c r="AB199" i="199"/>
  <c r="AJ199" i="199" s="1"/>
  <c r="Z199" i="199"/>
  <c r="N199" i="199"/>
  <c r="AA199" i="199" s="1"/>
  <c r="AI199" i="199" s="1"/>
  <c r="AF198" i="199"/>
  <c r="AN198" i="199" s="1"/>
  <c r="AE198" i="199"/>
  <c r="AM198" i="199" s="1"/>
  <c r="AD198" i="199"/>
  <c r="AL198" i="199" s="1"/>
  <c r="AC198" i="199"/>
  <c r="AK198" i="199" s="1"/>
  <c r="AB198" i="199"/>
  <c r="AJ198" i="199" s="1"/>
  <c r="Z198" i="199"/>
  <c r="N198" i="199"/>
  <c r="T198" i="199" s="1"/>
  <c r="AF197" i="199"/>
  <c r="AN197" i="199" s="1"/>
  <c r="AE197" i="199"/>
  <c r="AM197" i="199" s="1"/>
  <c r="AD197" i="199"/>
  <c r="AL197" i="199" s="1"/>
  <c r="AC197" i="199"/>
  <c r="AK197" i="199" s="1"/>
  <c r="AB197" i="199"/>
  <c r="AJ197" i="199" s="1"/>
  <c r="Z197" i="199"/>
  <c r="AH197" i="199" s="1"/>
  <c r="N197" i="199"/>
  <c r="N10" i="185" s="1"/>
  <c r="AF196" i="199"/>
  <c r="AN196" i="199" s="1"/>
  <c r="AE196" i="199"/>
  <c r="AM196" i="199" s="1"/>
  <c r="AD196" i="199"/>
  <c r="AL196" i="199" s="1"/>
  <c r="AC196" i="199"/>
  <c r="AK196" i="199" s="1"/>
  <c r="AB196" i="199"/>
  <c r="AJ196" i="199" s="1"/>
  <c r="Z196" i="199"/>
  <c r="AH196" i="199" s="1"/>
  <c r="N196" i="199"/>
  <c r="N140" i="192" s="1"/>
  <c r="AA140" i="192" s="1"/>
  <c r="AF195" i="199"/>
  <c r="AN195" i="199" s="1"/>
  <c r="AE195" i="199"/>
  <c r="AM195" i="199" s="1"/>
  <c r="AD195" i="199"/>
  <c r="AL195" i="199" s="1"/>
  <c r="AC195" i="199"/>
  <c r="AK195" i="199" s="1"/>
  <c r="AB195" i="199"/>
  <c r="AJ195" i="199" s="1"/>
  <c r="Z195" i="199"/>
  <c r="N195" i="199"/>
  <c r="AA195" i="199" s="1"/>
  <c r="AI195" i="199" s="1"/>
  <c r="AF194" i="199"/>
  <c r="AN194" i="199" s="1"/>
  <c r="AE194" i="199"/>
  <c r="AM194" i="199" s="1"/>
  <c r="AD194" i="199"/>
  <c r="AL194" i="199" s="1"/>
  <c r="AC194" i="199"/>
  <c r="AK194" i="199" s="1"/>
  <c r="AB194" i="199"/>
  <c r="AJ194" i="199" s="1"/>
  <c r="Z194" i="199"/>
  <c r="N194" i="199"/>
  <c r="AF193" i="199"/>
  <c r="AN193" i="199" s="1"/>
  <c r="AE193" i="199"/>
  <c r="AM193" i="199" s="1"/>
  <c r="AD193" i="199"/>
  <c r="AL193" i="199" s="1"/>
  <c r="AC193" i="199"/>
  <c r="AK193" i="199" s="1"/>
  <c r="AB193" i="199"/>
  <c r="AJ193" i="199" s="1"/>
  <c r="Z193" i="199"/>
  <c r="AH193" i="199" s="1"/>
  <c r="N193" i="199"/>
  <c r="N138" i="192" s="1"/>
  <c r="AA138" i="192" s="1"/>
  <c r="AF192" i="199"/>
  <c r="AN192" i="199" s="1"/>
  <c r="AE192" i="199"/>
  <c r="AM192" i="199" s="1"/>
  <c r="AD192" i="199"/>
  <c r="AL192" i="199" s="1"/>
  <c r="AC192" i="199"/>
  <c r="AK192" i="199" s="1"/>
  <c r="AB192" i="199"/>
  <c r="AJ192" i="199" s="1"/>
  <c r="Z192" i="199"/>
  <c r="AH192" i="199" s="1"/>
  <c r="N192" i="199"/>
  <c r="N137" i="192" s="1"/>
  <c r="AA137" i="192" s="1"/>
  <c r="AF191" i="199"/>
  <c r="AN191" i="199" s="1"/>
  <c r="AE191" i="199"/>
  <c r="AM191" i="199" s="1"/>
  <c r="AD191" i="199"/>
  <c r="AL191" i="199" s="1"/>
  <c r="AC191" i="199"/>
  <c r="AK191" i="199" s="1"/>
  <c r="AB191" i="199"/>
  <c r="AJ191" i="199" s="1"/>
  <c r="Z191" i="199"/>
  <c r="N191" i="199"/>
  <c r="AA191" i="199" s="1"/>
  <c r="AI191" i="199" s="1"/>
  <c r="AF190" i="199"/>
  <c r="AN190" i="199" s="1"/>
  <c r="AE190" i="199"/>
  <c r="AM190" i="199" s="1"/>
  <c r="AD190" i="199"/>
  <c r="AL190" i="199" s="1"/>
  <c r="AC190" i="199"/>
  <c r="AK190" i="199" s="1"/>
  <c r="AB190" i="199"/>
  <c r="AJ190" i="199" s="1"/>
  <c r="Z190" i="199"/>
  <c r="N190" i="199"/>
  <c r="AF189" i="199"/>
  <c r="AN189" i="199" s="1"/>
  <c r="AE189" i="199"/>
  <c r="AM189" i="199" s="1"/>
  <c r="AD189" i="199"/>
  <c r="AL189" i="199" s="1"/>
  <c r="AC189" i="199"/>
  <c r="AK189" i="199" s="1"/>
  <c r="AB189" i="199"/>
  <c r="AJ189" i="199" s="1"/>
  <c r="Z189" i="199"/>
  <c r="AH189" i="199" s="1"/>
  <c r="N189" i="199"/>
  <c r="N134" i="192" s="1"/>
  <c r="AA134" i="192" s="1"/>
  <c r="AF188" i="199"/>
  <c r="AN188" i="199" s="1"/>
  <c r="AE188" i="199"/>
  <c r="AM188" i="199" s="1"/>
  <c r="AD188" i="199"/>
  <c r="AL188" i="199" s="1"/>
  <c r="AC188" i="199"/>
  <c r="AK188" i="199" s="1"/>
  <c r="AB188" i="199"/>
  <c r="AJ188" i="199" s="1"/>
  <c r="Z188" i="199"/>
  <c r="AH188" i="199" s="1"/>
  <c r="N188" i="199"/>
  <c r="N133" i="192" s="1"/>
  <c r="AA133" i="192" s="1"/>
  <c r="AF187" i="199"/>
  <c r="AN187" i="199" s="1"/>
  <c r="AE187" i="199"/>
  <c r="AM187" i="199" s="1"/>
  <c r="AD187" i="199"/>
  <c r="AL187" i="199" s="1"/>
  <c r="AC187" i="199"/>
  <c r="AK187" i="199" s="1"/>
  <c r="AB187" i="199"/>
  <c r="AJ187" i="199" s="1"/>
  <c r="Z187" i="199"/>
  <c r="N187" i="199"/>
  <c r="AA187" i="199" s="1"/>
  <c r="AI187" i="199" s="1"/>
  <c r="AF186" i="199"/>
  <c r="AN186" i="199" s="1"/>
  <c r="AE186" i="199"/>
  <c r="AM186" i="199" s="1"/>
  <c r="AD186" i="199"/>
  <c r="AL186" i="199" s="1"/>
  <c r="AC186" i="199"/>
  <c r="AK186" i="199" s="1"/>
  <c r="AB186" i="199"/>
  <c r="AJ186" i="199" s="1"/>
  <c r="Z186" i="199"/>
  <c r="N186" i="199"/>
  <c r="T186" i="199" s="1"/>
  <c r="AF185" i="199"/>
  <c r="AN185" i="199" s="1"/>
  <c r="AE185" i="199"/>
  <c r="AM185" i="199" s="1"/>
  <c r="AD185" i="199"/>
  <c r="AL185" i="199" s="1"/>
  <c r="AC185" i="199"/>
  <c r="AK185" i="199" s="1"/>
  <c r="AB185" i="199"/>
  <c r="AJ185" i="199" s="1"/>
  <c r="Z185" i="199"/>
  <c r="AH185" i="199" s="1"/>
  <c r="N185" i="199"/>
  <c r="N45" i="189" s="1"/>
  <c r="AF184" i="199"/>
  <c r="AN184" i="199" s="1"/>
  <c r="AE184" i="199"/>
  <c r="AM184" i="199" s="1"/>
  <c r="AD184" i="199"/>
  <c r="AL184" i="199" s="1"/>
  <c r="AC184" i="199"/>
  <c r="AK184" i="199" s="1"/>
  <c r="AB184" i="199"/>
  <c r="AJ184" i="199" s="1"/>
  <c r="Z184" i="199"/>
  <c r="AH184" i="199" s="1"/>
  <c r="N184" i="199"/>
  <c r="N130" i="192" s="1"/>
  <c r="AA130" i="192" s="1"/>
  <c r="AF183" i="199"/>
  <c r="AN183" i="199" s="1"/>
  <c r="AE183" i="199"/>
  <c r="AM183" i="199" s="1"/>
  <c r="AD183" i="199"/>
  <c r="AL183" i="199" s="1"/>
  <c r="AC183" i="199"/>
  <c r="AK183" i="199" s="1"/>
  <c r="AB183" i="199"/>
  <c r="AJ183" i="199" s="1"/>
  <c r="Z183" i="199"/>
  <c r="AH183" i="199" s="1"/>
  <c r="N183" i="199"/>
  <c r="AF182" i="199"/>
  <c r="AN182" i="199" s="1"/>
  <c r="AE182" i="199"/>
  <c r="AM182" i="199" s="1"/>
  <c r="AD182" i="199"/>
  <c r="AL182" i="199" s="1"/>
  <c r="AC182" i="199"/>
  <c r="AK182" i="199" s="1"/>
  <c r="AB182" i="199"/>
  <c r="AJ182" i="199" s="1"/>
  <c r="Z182" i="199"/>
  <c r="N182" i="199"/>
  <c r="T182" i="199" s="1"/>
  <c r="AF181" i="199"/>
  <c r="AN181" i="199" s="1"/>
  <c r="AE181" i="199"/>
  <c r="AM181" i="199" s="1"/>
  <c r="AD181" i="199"/>
  <c r="AL181" i="199" s="1"/>
  <c r="AC181" i="199"/>
  <c r="AK181" i="199" s="1"/>
  <c r="AB181" i="199"/>
  <c r="AJ181" i="199" s="1"/>
  <c r="Z181" i="199"/>
  <c r="AH181" i="199" s="1"/>
  <c r="N181" i="199"/>
  <c r="N128" i="192" s="1"/>
  <c r="AA128" i="192" s="1"/>
  <c r="AF180" i="199"/>
  <c r="AN180" i="199" s="1"/>
  <c r="AE180" i="199"/>
  <c r="AM180" i="199" s="1"/>
  <c r="AD180" i="199"/>
  <c r="AL180" i="199" s="1"/>
  <c r="AC180" i="199"/>
  <c r="AK180" i="199" s="1"/>
  <c r="AB180" i="199"/>
  <c r="AJ180" i="199" s="1"/>
  <c r="Z180" i="199"/>
  <c r="AH180" i="199" s="1"/>
  <c r="N180" i="199"/>
  <c r="N127" i="192" s="1"/>
  <c r="AA127" i="192" s="1"/>
  <c r="AF179" i="199"/>
  <c r="AN179" i="199" s="1"/>
  <c r="AE179" i="199"/>
  <c r="AM179" i="199" s="1"/>
  <c r="AD179" i="199"/>
  <c r="AL179" i="199" s="1"/>
  <c r="AC179" i="199"/>
  <c r="AK179" i="199" s="1"/>
  <c r="AB179" i="199"/>
  <c r="AJ179" i="199" s="1"/>
  <c r="Z179" i="199"/>
  <c r="AH179" i="199" s="1"/>
  <c r="N179" i="199"/>
  <c r="AF178" i="199"/>
  <c r="AN178" i="199" s="1"/>
  <c r="AE178" i="199"/>
  <c r="AM178" i="199" s="1"/>
  <c r="AD178" i="199"/>
  <c r="AL178" i="199" s="1"/>
  <c r="AC178" i="199"/>
  <c r="AK178" i="199" s="1"/>
  <c r="AB178" i="199"/>
  <c r="AJ178" i="199" s="1"/>
  <c r="Z178" i="199"/>
  <c r="N178" i="199"/>
  <c r="T178" i="199" s="1"/>
  <c r="AF177" i="199"/>
  <c r="AN177" i="199" s="1"/>
  <c r="AE177" i="199"/>
  <c r="AM177" i="199" s="1"/>
  <c r="AD177" i="199"/>
  <c r="AL177" i="199" s="1"/>
  <c r="AC177" i="199"/>
  <c r="AK177" i="199" s="1"/>
  <c r="AB177" i="199"/>
  <c r="AJ177" i="199" s="1"/>
  <c r="Z177" i="199"/>
  <c r="AH177" i="199" s="1"/>
  <c r="N177" i="199"/>
  <c r="N124" i="192" s="1"/>
  <c r="AA124" i="192" s="1"/>
  <c r="AF176" i="199"/>
  <c r="AN176" i="199" s="1"/>
  <c r="AE176" i="199"/>
  <c r="AM176" i="199" s="1"/>
  <c r="AD176" i="199"/>
  <c r="AL176" i="199" s="1"/>
  <c r="AC176" i="199"/>
  <c r="AK176" i="199" s="1"/>
  <c r="AB176" i="199"/>
  <c r="AJ176" i="199" s="1"/>
  <c r="Z176" i="199"/>
  <c r="AH176" i="199" s="1"/>
  <c r="N176" i="199"/>
  <c r="N123" i="192" s="1"/>
  <c r="AA123" i="192" s="1"/>
  <c r="AF175" i="199"/>
  <c r="AN175" i="199" s="1"/>
  <c r="AE175" i="199"/>
  <c r="AM175" i="199" s="1"/>
  <c r="AD175" i="199"/>
  <c r="AL175" i="199" s="1"/>
  <c r="AC175" i="199"/>
  <c r="AK175" i="199" s="1"/>
  <c r="AB175" i="199"/>
  <c r="AJ175" i="199" s="1"/>
  <c r="Z175" i="199"/>
  <c r="AH175" i="199" s="1"/>
  <c r="N175" i="199"/>
  <c r="AF174" i="199"/>
  <c r="AN174" i="199" s="1"/>
  <c r="AE174" i="199"/>
  <c r="AM174" i="199" s="1"/>
  <c r="AD174" i="199"/>
  <c r="AL174" i="199" s="1"/>
  <c r="AC174" i="199"/>
  <c r="AK174" i="199" s="1"/>
  <c r="AB174" i="199"/>
  <c r="AJ174" i="199" s="1"/>
  <c r="Z174" i="199"/>
  <c r="N174" i="199"/>
  <c r="AF173" i="199"/>
  <c r="AN173" i="199" s="1"/>
  <c r="AE173" i="199"/>
  <c r="AM173" i="199" s="1"/>
  <c r="AD173" i="199"/>
  <c r="AL173" i="199" s="1"/>
  <c r="AC173" i="199"/>
  <c r="AK173" i="199" s="1"/>
  <c r="AB173" i="199"/>
  <c r="AJ173" i="199" s="1"/>
  <c r="Z173" i="199"/>
  <c r="AH173" i="199" s="1"/>
  <c r="N173" i="199"/>
  <c r="N121" i="192" s="1"/>
  <c r="AA121" i="192" s="1"/>
  <c r="AF172" i="199"/>
  <c r="AN172" i="199" s="1"/>
  <c r="AE172" i="199"/>
  <c r="AM172" i="199" s="1"/>
  <c r="AD172" i="199"/>
  <c r="AL172" i="199" s="1"/>
  <c r="AC172" i="199"/>
  <c r="AK172" i="199" s="1"/>
  <c r="AB172" i="199"/>
  <c r="AJ172" i="199" s="1"/>
  <c r="Z172" i="199"/>
  <c r="AH172" i="199" s="1"/>
  <c r="N172" i="199"/>
  <c r="N9" i="185" s="1"/>
  <c r="AF171" i="199"/>
  <c r="AN171" i="199" s="1"/>
  <c r="AE171" i="199"/>
  <c r="AM171" i="199" s="1"/>
  <c r="AD171" i="199"/>
  <c r="AL171" i="199" s="1"/>
  <c r="AC171" i="199"/>
  <c r="AK171" i="199" s="1"/>
  <c r="AB171" i="199"/>
  <c r="AJ171" i="199" s="1"/>
  <c r="Z171" i="199"/>
  <c r="AH171" i="199" s="1"/>
  <c r="N171" i="199"/>
  <c r="AF170" i="199"/>
  <c r="AN170" i="199" s="1"/>
  <c r="AE170" i="199"/>
  <c r="AM170" i="199" s="1"/>
  <c r="AD170" i="199"/>
  <c r="AL170" i="199" s="1"/>
  <c r="AC170" i="199"/>
  <c r="AK170" i="199" s="1"/>
  <c r="AB170" i="199"/>
  <c r="AJ170" i="199" s="1"/>
  <c r="Z170" i="199"/>
  <c r="N170" i="199"/>
  <c r="T170" i="199" s="1"/>
  <c r="AF169" i="199"/>
  <c r="AN169" i="199" s="1"/>
  <c r="AE169" i="199"/>
  <c r="AM169" i="199" s="1"/>
  <c r="AD169" i="199"/>
  <c r="AL169" i="199" s="1"/>
  <c r="AC169" i="199"/>
  <c r="AK169" i="199" s="1"/>
  <c r="AB169" i="199"/>
  <c r="AJ169" i="199" s="1"/>
  <c r="Z169" i="199"/>
  <c r="AH169" i="199" s="1"/>
  <c r="N169" i="199"/>
  <c r="N118" i="192" s="1"/>
  <c r="AA118" i="192" s="1"/>
  <c r="AF168" i="199"/>
  <c r="AN168" i="199" s="1"/>
  <c r="AE168" i="199"/>
  <c r="AM168" i="199" s="1"/>
  <c r="AD168" i="199"/>
  <c r="AL168" i="199" s="1"/>
  <c r="AC168" i="199"/>
  <c r="AK168" i="199" s="1"/>
  <c r="AB168" i="199"/>
  <c r="AJ168" i="199" s="1"/>
  <c r="Z168" i="199"/>
  <c r="AH168" i="199" s="1"/>
  <c r="N168" i="199"/>
  <c r="N117" i="192" s="1"/>
  <c r="AA117" i="192" s="1"/>
  <c r="AF167" i="199"/>
  <c r="AN167" i="199" s="1"/>
  <c r="AE167" i="199"/>
  <c r="AM167" i="199" s="1"/>
  <c r="AD167" i="199"/>
  <c r="AL167" i="199" s="1"/>
  <c r="AC167" i="199"/>
  <c r="AK167" i="199" s="1"/>
  <c r="AB167" i="199"/>
  <c r="AJ167" i="199" s="1"/>
  <c r="Z167" i="199"/>
  <c r="AH167" i="199" s="1"/>
  <c r="N167" i="199"/>
  <c r="N56" i="189" s="1"/>
  <c r="T56" i="189" s="1"/>
  <c r="AF166" i="199"/>
  <c r="AN166" i="199" s="1"/>
  <c r="AE166" i="199"/>
  <c r="AM166" i="199" s="1"/>
  <c r="AD166" i="199"/>
  <c r="AL166" i="199" s="1"/>
  <c r="AC166" i="199"/>
  <c r="AK166" i="199" s="1"/>
  <c r="AB166" i="199"/>
  <c r="AJ166" i="199" s="1"/>
  <c r="Z166" i="199"/>
  <c r="N166" i="199"/>
  <c r="T166" i="199" s="1"/>
  <c r="AF165" i="199"/>
  <c r="AN165" i="199" s="1"/>
  <c r="AE165" i="199"/>
  <c r="AM165" i="199" s="1"/>
  <c r="AD165" i="199"/>
  <c r="AL165" i="199" s="1"/>
  <c r="AC165" i="199"/>
  <c r="AK165" i="199" s="1"/>
  <c r="AB165" i="199"/>
  <c r="AJ165" i="199" s="1"/>
  <c r="Z165" i="199"/>
  <c r="AH165" i="199" s="1"/>
  <c r="N165" i="199"/>
  <c r="N115" i="192" s="1"/>
  <c r="AA115" i="192" s="1"/>
  <c r="AF164" i="199"/>
  <c r="AN164" i="199" s="1"/>
  <c r="AE164" i="199"/>
  <c r="AM164" i="199" s="1"/>
  <c r="AD164" i="199"/>
  <c r="AL164" i="199" s="1"/>
  <c r="AC164" i="199"/>
  <c r="AK164" i="199" s="1"/>
  <c r="AB164" i="199"/>
  <c r="AJ164" i="199" s="1"/>
  <c r="Z164" i="199"/>
  <c r="AH164" i="199" s="1"/>
  <c r="N164" i="199"/>
  <c r="N114" i="192" s="1"/>
  <c r="AA114" i="192" s="1"/>
  <c r="AF163" i="199"/>
  <c r="AN163" i="199" s="1"/>
  <c r="AE163" i="199"/>
  <c r="AM163" i="199" s="1"/>
  <c r="AD163" i="199"/>
  <c r="AL163" i="199" s="1"/>
  <c r="AC163" i="199"/>
  <c r="AK163" i="199" s="1"/>
  <c r="AB163" i="199"/>
  <c r="AJ163" i="199" s="1"/>
  <c r="Z163" i="199"/>
  <c r="AH163" i="199" s="1"/>
  <c r="N163" i="199"/>
  <c r="AF162" i="199"/>
  <c r="AN162" i="199" s="1"/>
  <c r="AE162" i="199"/>
  <c r="AM162" i="199" s="1"/>
  <c r="AD162" i="199"/>
  <c r="AL162" i="199" s="1"/>
  <c r="AC162" i="199"/>
  <c r="AK162" i="199" s="1"/>
  <c r="AB162" i="199"/>
  <c r="AJ162" i="199" s="1"/>
  <c r="Z162" i="199"/>
  <c r="N162" i="199"/>
  <c r="T162" i="199" s="1"/>
  <c r="AF161" i="199"/>
  <c r="AN161" i="199" s="1"/>
  <c r="AE161" i="199"/>
  <c r="AM161" i="199" s="1"/>
  <c r="AD161" i="199"/>
  <c r="AL161" i="199" s="1"/>
  <c r="AC161" i="199"/>
  <c r="AK161" i="199" s="1"/>
  <c r="AB161" i="199"/>
  <c r="AJ161" i="199" s="1"/>
  <c r="Z161" i="199"/>
  <c r="AH161" i="199" s="1"/>
  <c r="N161" i="199"/>
  <c r="N113" i="192" s="1"/>
  <c r="AA113" i="192" s="1"/>
  <c r="AF160" i="199"/>
  <c r="AN160" i="199" s="1"/>
  <c r="AE160" i="199"/>
  <c r="AM160" i="199" s="1"/>
  <c r="AD160" i="199"/>
  <c r="AL160" i="199" s="1"/>
  <c r="AC160" i="199"/>
  <c r="AK160" i="199" s="1"/>
  <c r="AB160" i="199"/>
  <c r="AJ160" i="199" s="1"/>
  <c r="Z160" i="199"/>
  <c r="AH160" i="199" s="1"/>
  <c r="N160" i="199"/>
  <c r="N112" i="192" s="1"/>
  <c r="AA112" i="192" s="1"/>
  <c r="AF159" i="199"/>
  <c r="AN159" i="199" s="1"/>
  <c r="AE159" i="199"/>
  <c r="AM159" i="199" s="1"/>
  <c r="AD159" i="199"/>
  <c r="AL159" i="199" s="1"/>
  <c r="AC159" i="199"/>
  <c r="AK159" i="199" s="1"/>
  <c r="AB159" i="199"/>
  <c r="AJ159" i="199" s="1"/>
  <c r="Z159" i="199"/>
  <c r="AH159" i="199" s="1"/>
  <c r="N159" i="199"/>
  <c r="AF158" i="199"/>
  <c r="AN158" i="199" s="1"/>
  <c r="AE158" i="199"/>
  <c r="AM158" i="199" s="1"/>
  <c r="AD158" i="199"/>
  <c r="AL158" i="199" s="1"/>
  <c r="AC158" i="199"/>
  <c r="AK158" i="199" s="1"/>
  <c r="AB158" i="199"/>
  <c r="AJ158" i="199" s="1"/>
  <c r="Z158" i="199"/>
  <c r="N158" i="199"/>
  <c r="AF157" i="199"/>
  <c r="AN157" i="199" s="1"/>
  <c r="AE157" i="199"/>
  <c r="AM157" i="199" s="1"/>
  <c r="AD157" i="199"/>
  <c r="AL157" i="199" s="1"/>
  <c r="AC157" i="199"/>
  <c r="AK157" i="199" s="1"/>
  <c r="AB157" i="199"/>
  <c r="AJ157" i="199" s="1"/>
  <c r="Z157" i="199"/>
  <c r="AH157" i="199" s="1"/>
  <c r="N157" i="199"/>
  <c r="N33" i="189" s="1"/>
  <c r="AF156" i="199"/>
  <c r="AN156" i="199" s="1"/>
  <c r="AE156" i="199"/>
  <c r="AM156" i="199" s="1"/>
  <c r="AD156" i="199"/>
  <c r="AL156" i="199" s="1"/>
  <c r="AC156" i="199"/>
  <c r="AK156" i="199" s="1"/>
  <c r="AB156" i="199"/>
  <c r="AJ156" i="199" s="1"/>
  <c r="Z156" i="199"/>
  <c r="AH156" i="199" s="1"/>
  <c r="N156" i="199"/>
  <c r="T156" i="199" s="1"/>
  <c r="AF155" i="199"/>
  <c r="AN155" i="199" s="1"/>
  <c r="AE155" i="199"/>
  <c r="AM155" i="199" s="1"/>
  <c r="AD155" i="199"/>
  <c r="AL155" i="199" s="1"/>
  <c r="AC155" i="199"/>
  <c r="AK155" i="199" s="1"/>
  <c r="AB155" i="199"/>
  <c r="AJ155" i="199" s="1"/>
  <c r="Z155" i="199"/>
  <c r="AH155" i="199" s="1"/>
  <c r="N155" i="199"/>
  <c r="N50" i="189" s="1"/>
  <c r="AF154" i="199"/>
  <c r="AN154" i="199" s="1"/>
  <c r="AE154" i="199"/>
  <c r="AM154" i="199" s="1"/>
  <c r="AD154" i="199"/>
  <c r="AL154" i="199" s="1"/>
  <c r="AC154" i="199"/>
  <c r="AK154" i="199" s="1"/>
  <c r="AB154" i="199"/>
  <c r="AJ154" i="199" s="1"/>
  <c r="Z154" i="199"/>
  <c r="AH154" i="199" s="1"/>
  <c r="N154" i="199"/>
  <c r="AA154" i="199" s="1"/>
  <c r="AI154" i="199" s="1"/>
  <c r="AF153" i="199"/>
  <c r="AN153" i="199" s="1"/>
  <c r="AE153" i="199"/>
  <c r="AM153" i="199" s="1"/>
  <c r="AD153" i="199"/>
  <c r="AL153" i="199" s="1"/>
  <c r="AC153" i="199"/>
  <c r="AB153" i="199"/>
  <c r="AJ153" i="199" s="1"/>
  <c r="Z153" i="199"/>
  <c r="AH153" i="199" s="1"/>
  <c r="N153" i="199"/>
  <c r="N48" i="189" s="1"/>
  <c r="AF152" i="199"/>
  <c r="AN152" i="199" s="1"/>
  <c r="AE152" i="199"/>
  <c r="AM152" i="199" s="1"/>
  <c r="AD152" i="199"/>
  <c r="AL152" i="199" s="1"/>
  <c r="AC152" i="199"/>
  <c r="AK152" i="199" s="1"/>
  <c r="AB152" i="199"/>
  <c r="AJ152" i="199" s="1"/>
  <c r="Z152" i="199"/>
  <c r="AH152" i="199" s="1"/>
  <c r="N152" i="199"/>
  <c r="AF151" i="199"/>
  <c r="AN151" i="199" s="1"/>
  <c r="AE151" i="199"/>
  <c r="AM151" i="199" s="1"/>
  <c r="AD151" i="199"/>
  <c r="AL151" i="199" s="1"/>
  <c r="AC151" i="199"/>
  <c r="AK151" i="199" s="1"/>
  <c r="AB151" i="199"/>
  <c r="AJ151" i="199" s="1"/>
  <c r="Z151" i="199"/>
  <c r="AH151" i="199" s="1"/>
  <c r="N151" i="199"/>
  <c r="AF150" i="199"/>
  <c r="AN150" i="199" s="1"/>
  <c r="AE150" i="199"/>
  <c r="AM150" i="199" s="1"/>
  <c r="AD150" i="199"/>
  <c r="AL150" i="199" s="1"/>
  <c r="AC150" i="199"/>
  <c r="AK150" i="199" s="1"/>
  <c r="AB150" i="199"/>
  <c r="AJ150" i="199" s="1"/>
  <c r="Z150" i="199"/>
  <c r="AH150" i="199" s="1"/>
  <c r="N150" i="199"/>
  <c r="AA150" i="199" s="1"/>
  <c r="AI150" i="199" s="1"/>
  <c r="AF149" i="199"/>
  <c r="AN149" i="199" s="1"/>
  <c r="AE149" i="199"/>
  <c r="AM149" i="199" s="1"/>
  <c r="AD149" i="199"/>
  <c r="AL149" i="199" s="1"/>
  <c r="AC149" i="199"/>
  <c r="AK149" i="199" s="1"/>
  <c r="AB149" i="199"/>
  <c r="AJ149" i="199" s="1"/>
  <c r="Z149" i="199"/>
  <c r="N149" i="199"/>
  <c r="AF148" i="199"/>
  <c r="AN148" i="199" s="1"/>
  <c r="AE148" i="199"/>
  <c r="AM148" i="199" s="1"/>
  <c r="AD148" i="199"/>
  <c r="AL148" i="199" s="1"/>
  <c r="AC148" i="199"/>
  <c r="AK148" i="199" s="1"/>
  <c r="AB148" i="199"/>
  <c r="AJ148" i="199" s="1"/>
  <c r="Z148" i="199"/>
  <c r="AH148" i="199" s="1"/>
  <c r="N148" i="199"/>
  <c r="AF147" i="199"/>
  <c r="AN147" i="199" s="1"/>
  <c r="AE147" i="199"/>
  <c r="AM147" i="199" s="1"/>
  <c r="AD147" i="199"/>
  <c r="AL147" i="199" s="1"/>
  <c r="AC147" i="199"/>
  <c r="AK147" i="199" s="1"/>
  <c r="AB147" i="199"/>
  <c r="AJ147" i="199" s="1"/>
  <c r="Z147" i="199"/>
  <c r="AH147" i="199" s="1"/>
  <c r="N147" i="199"/>
  <c r="AF146" i="199"/>
  <c r="AN146" i="199" s="1"/>
  <c r="AE146" i="199"/>
  <c r="AM146" i="199" s="1"/>
  <c r="AD146" i="199"/>
  <c r="AL146" i="199" s="1"/>
  <c r="AC146" i="199"/>
  <c r="AK146" i="199" s="1"/>
  <c r="AB146" i="199"/>
  <c r="AJ146" i="199" s="1"/>
  <c r="Z146" i="199"/>
  <c r="AH146" i="199" s="1"/>
  <c r="N146" i="199"/>
  <c r="AF145" i="199"/>
  <c r="AN145" i="199" s="1"/>
  <c r="AE145" i="199"/>
  <c r="AM145" i="199" s="1"/>
  <c r="AD145" i="199"/>
  <c r="AL145" i="199" s="1"/>
  <c r="AC145" i="199"/>
  <c r="AB145" i="199"/>
  <c r="AJ145" i="199" s="1"/>
  <c r="Z145" i="199"/>
  <c r="AH145" i="199" s="1"/>
  <c r="N145" i="199"/>
  <c r="N103" i="192" s="1"/>
  <c r="AA103" i="192" s="1"/>
  <c r="AF144" i="199"/>
  <c r="AN144" i="199" s="1"/>
  <c r="AE144" i="199"/>
  <c r="AM144" i="199" s="1"/>
  <c r="AD144" i="199"/>
  <c r="AL144" i="199" s="1"/>
  <c r="AC144" i="199"/>
  <c r="AK144" i="199" s="1"/>
  <c r="AB144" i="199"/>
  <c r="AJ144" i="199" s="1"/>
  <c r="Z144" i="199"/>
  <c r="AH144" i="199" s="1"/>
  <c r="N144" i="199"/>
  <c r="AF143" i="199"/>
  <c r="AN143" i="199" s="1"/>
  <c r="AE143" i="199"/>
  <c r="AM143" i="199" s="1"/>
  <c r="AD143" i="199"/>
  <c r="AL143" i="199" s="1"/>
  <c r="AC143" i="199"/>
  <c r="AK143" i="199" s="1"/>
  <c r="AB143" i="199"/>
  <c r="AJ143" i="199" s="1"/>
  <c r="Z143" i="199"/>
  <c r="AH143" i="199" s="1"/>
  <c r="N143" i="199"/>
  <c r="AF142" i="199"/>
  <c r="AN142" i="199" s="1"/>
  <c r="AE142" i="199"/>
  <c r="AM142" i="199" s="1"/>
  <c r="AD142" i="199"/>
  <c r="AL142" i="199" s="1"/>
  <c r="AC142" i="199"/>
  <c r="AK142" i="199" s="1"/>
  <c r="AB142" i="199"/>
  <c r="AJ142" i="199" s="1"/>
  <c r="Z142" i="199"/>
  <c r="N142" i="199"/>
  <c r="AF141" i="199"/>
  <c r="AN141" i="199" s="1"/>
  <c r="AE141" i="199"/>
  <c r="AM141" i="199" s="1"/>
  <c r="AD141" i="199"/>
  <c r="AL141" i="199" s="1"/>
  <c r="AC141" i="199"/>
  <c r="AK141" i="199" s="1"/>
  <c r="AB141" i="199"/>
  <c r="AJ141" i="199" s="1"/>
  <c r="Z141" i="199"/>
  <c r="AH141" i="199" s="1"/>
  <c r="N141" i="199"/>
  <c r="N99" i="192" s="1"/>
  <c r="AA99" i="192" s="1"/>
  <c r="AF140" i="199"/>
  <c r="AN140" i="199" s="1"/>
  <c r="AE140" i="199"/>
  <c r="AM140" i="199" s="1"/>
  <c r="AD140" i="199"/>
  <c r="AL140" i="199" s="1"/>
  <c r="AC140" i="199"/>
  <c r="AK140" i="199" s="1"/>
  <c r="AB140" i="199"/>
  <c r="AJ140" i="199" s="1"/>
  <c r="Z140" i="199"/>
  <c r="AH140" i="199" s="1"/>
  <c r="N140" i="199"/>
  <c r="T140" i="199" s="1"/>
  <c r="AF139" i="199"/>
  <c r="AN139" i="199" s="1"/>
  <c r="AE139" i="199"/>
  <c r="AM139" i="199" s="1"/>
  <c r="AD139" i="199"/>
  <c r="AL139" i="199" s="1"/>
  <c r="AC139" i="199"/>
  <c r="AK139" i="199" s="1"/>
  <c r="AB139" i="199"/>
  <c r="AJ139" i="199" s="1"/>
  <c r="Z139" i="199"/>
  <c r="AH139" i="199" s="1"/>
  <c r="N139" i="199"/>
  <c r="AA139" i="199" s="1"/>
  <c r="AF138" i="199"/>
  <c r="AN138" i="199" s="1"/>
  <c r="AE138" i="199"/>
  <c r="AM138" i="199" s="1"/>
  <c r="AD138" i="199"/>
  <c r="AL138" i="199" s="1"/>
  <c r="AC138" i="199"/>
  <c r="AK138" i="199" s="1"/>
  <c r="AB138" i="199"/>
  <c r="AJ138" i="199" s="1"/>
  <c r="Z138" i="199"/>
  <c r="AH138" i="199" s="1"/>
  <c r="N138" i="199"/>
  <c r="AF137" i="199"/>
  <c r="AN137" i="199" s="1"/>
  <c r="AE137" i="199"/>
  <c r="AM137" i="199" s="1"/>
  <c r="AD137" i="199"/>
  <c r="AL137" i="199" s="1"/>
  <c r="AC137" i="199"/>
  <c r="AB137" i="199"/>
  <c r="AJ137" i="199" s="1"/>
  <c r="Z137" i="199"/>
  <c r="AH137" i="199" s="1"/>
  <c r="N137" i="199"/>
  <c r="N6" i="185" s="1"/>
  <c r="AF136" i="199"/>
  <c r="AN136" i="199" s="1"/>
  <c r="AE136" i="199"/>
  <c r="AM136" i="199" s="1"/>
  <c r="AD136" i="199"/>
  <c r="AL136" i="199" s="1"/>
  <c r="AC136" i="199"/>
  <c r="AK136" i="199" s="1"/>
  <c r="AB136" i="199"/>
  <c r="AJ136" i="199" s="1"/>
  <c r="Z136" i="199"/>
  <c r="AH136" i="199" s="1"/>
  <c r="N136" i="199"/>
  <c r="AF135" i="199"/>
  <c r="AN135" i="199" s="1"/>
  <c r="AE135" i="199"/>
  <c r="AM135" i="199" s="1"/>
  <c r="AD135" i="199"/>
  <c r="AL135" i="199" s="1"/>
  <c r="AC135" i="199"/>
  <c r="AK135" i="199" s="1"/>
  <c r="AB135" i="199"/>
  <c r="AJ135" i="199" s="1"/>
  <c r="Z135" i="199"/>
  <c r="AH135" i="199" s="1"/>
  <c r="N135" i="199"/>
  <c r="AA135" i="199" s="1"/>
  <c r="AF134" i="199"/>
  <c r="AN134" i="199" s="1"/>
  <c r="AE134" i="199"/>
  <c r="AM134" i="199" s="1"/>
  <c r="AD134" i="199"/>
  <c r="AL134" i="199" s="1"/>
  <c r="AC134" i="199"/>
  <c r="AK134" i="199" s="1"/>
  <c r="AB134" i="199"/>
  <c r="AJ134" i="199" s="1"/>
  <c r="Z134" i="199"/>
  <c r="AH134" i="199" s="1"/>
  <c r="N134" i="199"/>
  <c r="AF133" i="199"/>
  <c r="AN133" i="199" s="1"/>
  <c r="AE133" i="199"/>
  <c r="AM133" i="199" s="1"/>
  <c r="AD133" i="199"/>
  <c r="AL133" i="199" s="1"/>
  <c r="AC133" i="199"/>
  <c r="AK133" i="199" s="1"/>
  <c r="AB133" i="199"/>
  <c r="AJ133" i="199" s="1"/>
  <c r="Z133" i="199"/>
  <c r="N133" i="199"/>
  <c r="N95" i="192" s="1"/>
  <c r="AA95" i="192" s="1"/>
  <c r="AF132" i="199"/>
  <c r="AN132" i="199" s="1"/>
  <c r="AE132" i="199"/>
  <c r="AM132" i="199" s="1"/>
  <c r="AD132" i="199"/>
  <c r="AL132" i="199" s="1"/>
  <c r="AC132" i="199"/>
  <c r="AK132" i="199" s="1"/>
  <c r="AB132" i="199"/>
  <c r="AJ132" i="199" s="1"/>
  <c r="Z132" i="199"/>
  <c r="AH132" i="199" s="1"/>
  <c r="N132" i="199"/>
  <c r="AF131" i="199"/>
  <c r="AN131" i="199" s="1"/>
  <c r="AE131" i="199"/>
  <c r="AM131" i="199" s="1"/>
  <c r="AD131" i="199"/>
  <c r="AL131" i="199" s="1"/>
  <c r="AC131" i="199"/>
  <c r="AK131" i="199" s="1"/>
  <c r="AB131" i="199"/>
  <c r="AJ131" i="199" s="1"/>
  <c r="Z131" i="199"/>
  <c r="AH131" i="199" s="1"/>
  <c r="N131" i="199"/>
  <c r="AF130" i="199"/>
  <c r="AN130" i="199" s="1"/>
  <c r="AE130" i="199"/>
  <c r="AM130" i="199" s="1"/>
  <c r="AD130" i="199"/>
  <c r="AL130" i="199" s="1"/>
  <c r="AC130" i="199"/>
  <c r="AK130" i="199" s="1"/>
  <c r="AB130" i="199"/>
  <c r="AJ130" i="199" s="1"/>
  <c r="Z130" i="199"/>
  <c r="N130" i="199"/>
  <c r="AA130" i="199" s="1"/>
  <c r="AI130" i="199" s="1"/>
  <c r="AF129" i="199"/>
  <c r="AN129" i="199" s="1"/>
  <c r="AE129" i="199"/>
  <c r="AM129" i="199" s="1"/>
  <c r="AD129" i="199"/>
  <c r="AL129" i="199" s="1"/>
  <c r="AC129" i="199"/>
  <c r="AK129" i="199" s="1"/>
  <c r="AB129" i="199"/>
  <c r="AJ129" i="199" s="1"/>
  <c r="Z129" i="199"/>
  <c r="AH129" i="199" s="1"/>
  <c r="N129" i="199"/>
  <c r="T129" i="199" s="1"/>
  <c r="AF128" i="199"/>
  <c r="AN128" i="199" s="1"/>
  <c r="AE128" i="199"/>
  <c r="AM128" i="199" s="1"/>
  <c r="AD128" i="199"/>
  <c r="AL128" i="199" s="1"/>
  <c r="AC128" i="199"/>
  <c r="AK128" i="199" s="1"/>
  <c r="AB128" i="199"/>
  <c r="AJ128" i="199" s="1"/>
  <c r="Z128" i="199"/>
  <c r="AH128" i="199" s="1"/>
  <c r="N128" i="199"/>
  <c r="AF127" i="199"/>
  <c r="AN127" i="199" s="1"/>
  <c r="AE127" i="199"/>
  <c r="AM127" i="199" s="1"/>
  <c r="AD127" i="199"/>
  <c r="AL127" i="199" s="1"/>
  <c r="AC127" i="199"/>
  <c r="AK127" i="199" s="1"/>
  <c r="AB127" i="199"/>
  <c r="AJ127" i="199" s="1"/>
  <c r="Z127" i="199"/>
  <c r="AH127" i="199" s="1"/>
  <c r="N127" i="199"/>
  <c r="N54" i="189" s="1"/>
  <c r="AF126" i="199"/>
  <c r="AN126" i="199" s="1"/>
  <c r="AE126" i="199"/>
  <c r="AM126" i="199" s="1"/>
  <c r="AD126" i="199"/>
  <c r="AL126" i="199" s="1"/>
  <c r="AC126" i="199"/>
  <c r="AK126" i="199" s="1"/>
  <c r="AB126" i="199"/>
  <c r="AJ126" i="199" s="1"/>
  <c r="Z126" i="199"/>
  <c r="AH126" i="199" s="1"/>
  <c r="N126" i="199"/>
  <c r="AF125" i="199"/>
  <c r="AN125" i="199" s="1"/>
  <c r="AE125" i="199"/>
  <c r="AM125" i="199" s="1"/>
  <c r="AD125" i="199"/>
  <c r="AL125" i="199" s="1"/>
  <c r="AC125" i="199"/>
  <c r="AK125" i="199" s="1"/>
  <c r="AB125" i="199"/>
  <c r="AJ125" i="199" s="1"/>
  <c r="Z125" i="199"/>
  <c r="AH125" i="199" s="1"/>
  <c r="N125" i="199"/>
  <c r="T125" i="199" s="1"/>
  <c r="AF124" i="199"/>
  <c r="AN124" i="199" s="1"/>
  <c r="AE124" i="199"/>
  <c r="AM124" i="199" s="1"/>
  <c r="AD124" i="199"/>
  <c r="AL124" i="199" s="1"/>
  <c r="AC124" i="199"/>
  <c r="AK124" i="199" s="1"/>
  <c r="AB124" i="199"/>
  <c r="AJ124" i="199" s="1"/>
  <c r="Z124" i="199"/>
  <c r="AH124" i="199" s="1"/>
  <c r="N124" i="199"/>
  <c r="AF123" i="199"/>
  <c r="AN123" i="199" s="1"/>
  <c r="AE123" i="199"/>
  <c r="AM123" i="199" s="1"/>
  <c r="AD123" i="199"/>
  <c r="AL123" i="199" s="1"/>
  <c r="AC123" i="199"/>
  <c r="AK123" i="199" s="1"/>
  <c r="AB123" i="199"/>
  <c r="AJ123" i="199" s="1"/>
  <c r="Z123" i="199"/>
  <c r="AH123" i="199" s="1"/>
  <c r="N123" i="199"/>
  <c r="AF122" i="199"/>
  <c r="AN122" i="199" s="1"/>
  <c r="AE122" i="199"/>
  <c r="AM122" i="199" s="1"/>
  <c r="AD122" i="199"/>
  <c r="AL122" i="199" s="1"/>
  <c r="AC122" i="199"/>
  <c r="AK122" i="199" s="1"/>
  <c r="AB122" i="199"/>
  <c r="AJ122" i="199" s="1"/>
  <c r="Z122" i="199"/>
  <c r="N122" i="199"/>
  <c r="AA122" i="199" s="1"/>
  <c r="AI122" i="199" s="1"/>
  <c r="AF121" i="199"/>
  <c r="AN121" i="199" s="1"/>
  <c r="AE121" i="199"/>
  <c r="AM121" i="199" s="1"/>
  <c r="AD121" i="199"/>
  <c r="AL121" i="199" s="1"/>
  <c r="AC121" i="199"/>
  <c r="AK121" i="199" s="1"/>
  <c r="AB121" i="199"/>
  <c r="AJ121" i="199" s="1"/>
  <c r="Z121" i="199"/>
  <c r="AH121" i="199" s="1"/>
  <c r="N121" i="199"/>
  <c r="T121" i="199" s="1"/>
  <c r="AF120" i="199"/>
  <c r="AN120" i="199" s="1"/>
  <c r="AE120" i="199"/>
  <c r="AM120" i="199" s="1"/>
  <c r="AD120" i="199"/>
  <c r="AL120" i="199" s="1"/>
  <c r="AC120" i="199"/>
  <c r="AK120" i="199" s="1"/>
  <c r="AB120" i="199"/>
  <c r="AJ120" i="199" s="1"/>
  <c r="Z120" i="199"/>
  <c r="AH120" i="199" s="1"/>
  <c r="N120" i="199"/>
  <c r="AF119" i="199"/>
  <c r="AN119" i="199" s="1"/>
  <c r="AE119" i="199"/>
  <c r="AM119" i="199" s="1"/>
  <c r="AD119" i="199"/>
  <c r="AL119" i="199" s="1"/>
  <c r="AC119" i="199"/>
  <c r="AK119" i="199" s="1"/>
  <c r="AB119" i="199"/>
  <c r="AJ119" i="199" s="1"/>
  <c r="Z119" i="199"/>
  <c r="AH119" i="199" s="1"/>
  <c r="N119" i="199"/>
  <c r="AF118" i="199"/>
  <c r="AN118" i="199" s="1"/>
  <c r="AE118" i="199"/>
  <c r="AM118" i="199" s="1"/>
  <c r="AD118" i="199"/>
  <c r="AL118" i="199" s="1"/>
  <c r="AC118" i="199"/>
  <c r="AK118" i="199" s="1"/>
  <c r="AB118" i="199"/>
  <c r="AJ118" i="199" s="1"/>
  <c r="Z118" i="199"/>
  <c r="AH118" i="199" s="1"/>
  <c r="N118" i="199"/>
  <c r="AA118" i="199" s="1"/>
  <c r="AI118" i="199" s="1"/>
  <c r="AF117" i="199"/>
  <c r="AN117" i="199" s="1"/>
  <c r="AE117" i="199"/>
  <c r="AM117" i="199" s="1"/>
  <c r="AD117" i="199"/>
  <c r="AL117" i="199" s="1"/>
  <c r="AC117" i="199"/>
  <c r="AK117" i="199" s="1"/>
  <c r="AB117" i="199"/>
  <c r="AJ117" i="199" s="1"/>
  <c r="Z117" i="199"/>
  <c r="AH117" i="199" s="1"/>
  <c r="N117" i="199"/>
  <c r="T117" i="199" s="1"/>
  <c r="AF116" i="199"/>
  <c r="AN116" i="199" s="1"/>
  <c r="AE116" i="199"/>
  <c r="AM116" i="199" s="1"/>
  <c r="AD116" i="199"/>
  <c r="AL116" i="199" s="1"/>
  <c r="AC116" i="199"/>
  <c r="AK116" i="199" s="1"/>
  <c r="AB116" i="199"/>
  <c r="AJ116" i="199" s="1"/>
  <c r="Z116" i="199"/>
  <c r="AH116" i="199" s="1"/>
  <c r="N116" i="199"/>
  <c r="AF115" i="199"/>
  <c r="AN115" i="199" s="1"/>
  <c r="AE115" i="199"/>
  <c r="AM115" i="199" s="1"/>
  <c r="AD115" i="199"/>
  <c r="AL115" i="199" s="1"/>
  <c r="AC115" i="199"/>
  <c r="AK115" i="199" s="1"/>
  <c r="AB115" i="199"/>
  <c r="AJ115" i="199" s="1"/>
  <c r="Z115" i="199"/>
  <c r="AH115" i="199" s="1"/>
  <c r="N115" i="199"/>
  <c r="AF114" i="199"/>
  <c r="AN114" i="199" s="1"/>
  <c r="AE114" i="199"/>
  <c r="AM114" i="199" s="1"/>
  <c r="AD114" i="199"/>
  <c r="AL114" i="199" s="1"/>
  <c r="AC114" i="199"/>
  <c r="AK114" i="199" s="1"/>
  <c r="AB114" i="199"/>
  <c r="AJ114" i="199" s="1"/>
  <c r="Z114" i="199"/>
  <c r="AH114" i="199" s="1"/>
  <c r="N114" i="199"/>
  <c r="AA114" i="199" s="1"/>
  <c r="AI114" i="199" s="1"/>
  <c r="AF113" i="199"/>
  <c r="AN113" i="199" s="1"/>
  <c r="AE113" i="199"/>
  <c r="AM113" i="199" s="1"/>
  <c r="AD113" i="199"/>
  <c r="AL113" i="199" s="1"/>
  <c r="AC113" i="199"/>
  <c r="AK113" i="199" s="1"/>
  <c r="AB113" i="199"/>
  <c r="AJ113" i="199" s="1"/>
  <c r="Z113" i="199"/>
  <c r="AH113" i="199" s="1"/>
  <c r="N113" i="199"/>
  <c r="AF112" i="199"/>
  <c r="AN112" i="199" s="1"/>
  <c r="AE112" i="199"/>
  <c r="AM112" i="199" s="1"/>
  <c r="AD112" i="199"/>
  <c r="AL112" i="199" s="1"/>
  <c r="AC112" i="199"/>
  <c r="AK112" i="199" s="1"/>
  <c r="AB112" i="199"/>
  <c r="AJ112" i="199" s="1"/>
  <c r="Z112" i="199"/>
  <c r="AH112" i="199" s="1"/>
  <c r="N112" i="199"/>
  <c r="AF111" i="199"/>
  <c r="AN111" i="199" s="1"/>
  <c r="AE111" i="199"/>
  <c r="AM111" i="199" s="1"/>
  <c r="AD111" i="199"/>
  <c r="AL111" i="199" s="1"/>
  <c r="AC111" i="199"/>
  <c r="AK111" i="199" s="1"/>
  <c r="AB111" i="199"/>
  <c r="AJ111" i="199" s="1"/>
  <c r="Z111" i="199"/>
  <c r="AH111" i="199" s="1"/>
  <c r="N111" i="199"/>
  <c r="AF110" i="199"/>
  <c r="AN110" i="199" s="1"/>
  <c r="AE110" i="199"/>
  <c r="AM110" i="199" s="1"/>
  <c r="AD110" i="199"/>
  <c r="AL110" i="199" s="1"/>
  <c r="AC110" i="199"/>
  <c r="AK110" i="199" s="1"/>
  <c r="AB110" i="199"/>
  <c r="AJ110" i="199" s="1"/>
  <c r="Z110" i="199"/>
  <c r="AH110" i="199" s="1"/>
  <c r="N110" i="199"/>
  <c r="AF109" i="199"/>
  <c r="AN109" i="199" s="1"/>
  <c r="AE109" i="199"/>
  <c r="AM109" i="199" s="1"/>
  <c r="AD109" i="199"/>
  <c r="AL109" i="199" s="1"/>
  <c r="AC109" i="199"/>
  <c r="AK109" i="199" s="1"/>
  <c r="AB109" i="199"/>
  <c r="AJ109" i="199" s="1"/>
  <c r="Z109" i="199"/>
  <c r="AH109" i="199" s="1"/>
  <c r="N109" i="199"/>
  <c r="T109" i="199" s="1"/>
  <c r="AF108" i="199"/>
  <c r="AN108" i="199" s="1"/>
  <c r="AE108" i="199"/>
  <c r="AM108" i="199" s="1"/>
  <c r="AD108" i="199"/>
  <c r="AL108" i="199" s="1"/>
  <c r="AC108" i="199"/>
  <c r="AK108" i="199" s="1"/>
  <c r="AB108" i="199"/>
  <c r="AJ108" i="199" s="1"/>
  <c r="Z108" i="199"/>
  <c r="AH108" i="199" s="1"/>
  <c r="N108" i="199"/>
  <c r="AF107" i="199"/>
  <c r="AN107" i="199" s="1"/>
  <c r="AE107" i="199"/>
  <c r="AM107" i="199" s="1"/>
  <c r="AD107" i="199"/>
  <c r="AL107" i="199" s="1"/>
  <c r="AC107" i="199"/>
  <c r="AK107" i="199" s="1"/>
  <c r="AB107" i="199"/>
  <c r="AJ107" i="199" s="1"/>
  <c r="Z107" i="199"/>
  <c r="AH107" i="199" s="1"/>
  <c r="N107" i="199"/>
  <c r="AF106" i="199"/>
  <c r="AN106" i="199" s="1"/>
  <c r="AE106" i="199"/>
  <c r="AM106" i="199" s="1"/>
  <c r="AD106" i="199"/>
  <c r="AL106" i="199" s="1"/>
  <c r="AC106" i="199"/>
  <c r="AK106" i="199" s="1"/>
  <c r="AB106" i="199"/>
  <c r="AJ106" i="199" s="1"/>
  <c r="Z106" i="199"/>
  <c r="AH106" i="199" s="1"/>
  <c r="N106" i="199"/>
  <c r="AA106" i="199" s="1"/>
  <c r="AI106" i="199" s="1"/>
  <c r="AF105" i="199"/>
  <c r="AN105" i="199" s="1"/>
  <c r="AE105" i="199"/>
  <c r="AM105" i="199" s="1"/>
  <c r="AD105" i="199"/>
  <c r="AL105" i="199" s="1"/>
  <c r="AC105" i="199"/>
  <c r="AK105" i="199" s="1"/>
  <c r="AB105" i="199"/>
  <c r="AJ105" i="199" s="1"/>
  <c r="Z105" i="199"/>
  <c r="AH105" i="199" s="1"/>
  <c r="N105" i="199"/>
  <c r="T105" i="199" s="1"/>
  <c r="AF104" i="199"/>
  <c r="AN104" i="199" s="1"/>
  <c r="AE104" i="199"/>
  <c r="AM104" i="199" s="1"/>
  <c r="AD104" i="199"/>
  <c r="AL104" i="199" s="1"/>
  <c r="AC104" i="199"/>
  <c r="AK104" i="199" s="1"/>
  <c r="AB104" i="199"/>
  <c r="AJ104" i="199" s="1"/>
  <c r="Z104" i="199"/>
  <c r="AH104" i="199" s="1"/>
  <c r="N104" i="199"/>
  <c r="AF103" i="199"/>
  <c r="AN103" i="199" s="1"/>
  <c r="AE103" i="199"/>
  <c r="AM103" i="199" s="1"/>
  <c r="AD103" i="199"/>
  <c r="AL103" i="199" s="1"/>
  <c r="AC103" i="199"/>
  <c r="AK103" i="199" s="1"/>
  <c r="AB103" i="199"/>
  <c r="AJ103" i="199" s="1"/>
  <c r="Z103" i="199"/>
  <c r="AH103" i="199" s="1"/>
  <c r="N103" i="199"/>
  <c r="AF102" i="199"/>
  <c r="AN102" i="199" s="1"/>
  <c r="AE102" i="199"/>
  <c r="AM102" i="199" s="1"/>
  <c r="AD102" i="199"/>
  <c r="AL102" i="199" s="1"/>
  <c r="AC102" i="199"/>
  <c r="AK102" i="199" s="1"/>
  <c r="AB102" i="199"/>
  <c r="AJ102" i="199" s="1"/>
  <c r="Z102" i="199"/>
  <c r="AH102" i="199" s="1"/>
  <c r="N102" i="199"/>
  <c r="AF101" i="199"/>
  <c r="AN101" i="199" s="1"/>
  <c r="AE101" i="199"/>
  <c r="AM101" i="199" s="1"/>
  <c r="AD101" i="199"/>
  <c r="AL101" i="199" s="1"/>
  <c r="AC101" i="199"/>
  <c r="AK101" i="199" s="1"/>
  <c r="AB101" i="199"/>
  <c r="AJ101" i="199" s="1"/>
  <c r="Z101" i="199"/>
  <c r="AH101" i="199" s="1"/>
  <c r="N101" i="199"/>
  <c r="T101" i="199" s="1"/>
  <c r="AF100" i="199"/>
  <c r="AN100" i="199" s="1"/>
  <c r="AE100" i="199"/>
  <c r="AM100" i="199" s="1"/>
  <c r="AD100" i="199"/>
  <c r="AL100" i="199" s="1"/>
  <c r="AC100" i="199"/>
  <c r="AK100" i="199" s="1"/>
  <c r="AB100" i="199"/>
  <c r="AJ100" i="199" s="1"/>
  <c r="Z100" i="199"/>
  <c r="AH100" i="199" s="1"/>
  <c r="N100" i="199"/>
  <c r="AF99" i="199"/>
  <c r="AN99" i="199" s="1"/>
  <c r="AE99" i="199"/>
  <c r="AM99" i="199" s="1"/>
  <c r="AD99" i="199"/>
  <c r="AL99" i="199" s="1"/>
  <c r="AC99" i="199"/>
  <c r="AK99" i="199" s="1"/>
  <c r="AB99" i="199"/>
  <c r="AJ99" i="199" s="1"/>
  <c r="Z99" i="199"/>
  <c r="AH99" i="199" s="1"/>
  <c r="N99" i="199"/>
  <c r="AF98" i="199"/>
  <c r="AN98" i="199" s="1"/>
  <c r="AE98" i="199"/>
  <c r="AM98" i="199" s="1"/>
  <c r="AD98" i="199"/>
  <c r="AL98" i="199" s="1"/>
  <c r="AC98" i="199"/>
  <c r="AK98" i="199" s="1"/>
  <c r="AB98" i="199"/>
  <c r="AJ98" i="199" s="1"/>
  <c r="Z98" i="199"/>
  <c r="AH98" i="199" s="1"/>
  <c r="N98" i="199"/>
  <c r="AA98" i="199" s="1"/>
  <c r="AI98" i="199" s="1"/>
  <c r="AF97" i="199"/>
  <c r="AN97" i="199" s="1"/>
  <c r="AE97" i="199"/>
  <c r="AM97" i="199" s="1"/>
  <c r="AD97" i="199"/>
  <c r="AL97" i="199" s="1"/>
  <c r="AC97" i="199"/>
  <c r="AK97" i="199" s="1"/>
  <c r="AB97" i="199"/>
  <c r="AJ97" i="199" s="1"/>
  <c r="Z97" i="199"/>
  <c r="AH97" i="199" s="1"/>
  <c r="N97" i="199"/>
  <c r="T97" i="199" s="1"/>
  <c r="AF96" i="199"/>
  <c r="AN96" i="199" s="1"/>
  <c r="AE96" i="199"/>
  <c r="AM96" i="199" s="1"/>
  <c r="AD96" i="199"/>
  <c r="AL96" i="199" s="1"/>
  <c r="AC96" i="199"/>
  <c r="AK96" i="199" s="1"/>
  <c r="AB96" i="199"/>
  <c r="AJ96" i="199" s="1"/>
  <c r="Z96" i="199"/>
  <c r="AH96" i="199" s="1"/>
  <c r="N96" i="199"/>
  <c r="AF95" i="199"/>
  <c r="AN95" i="199" s="1"/>
  <c r="AE95" i="199"/>
  <c r="AM95" i="199" s="1"/>
  <c r="AD95" i="199"/>
  <c r="AL95" i="199" s="1"/>
  <c r="AC95" i="199"/>
  <c r="AK95" i="199" s="1"/>
  <c r="AB95" i="199"/>
  <c r="AJ95" i="199" s="1"/>
  <c r="Z95" i="199"/>
  <c r="AH95" i="199" s="1"/>
  <c r="N95" i="199"/>
  <c r="AF94" i="199"/>
  <c r="AN94" i="199" s="1"/>
  <c r="AE94" i="199"/>
  <c r="AM94" i="199" s="1"/>
  <c r="AD94" i="199"/>
  <c r="AL94" i="199" s="1"/>
  <c r="AC94" i="199"/>
  <c r="AK94" i="199" s="1"/>
  <c r="AB94" i="199"/>
  <c r="AJ94" i="199" s="1"/>
  <c r="Z94" i="199"/>
  <c r="AH94" i="199" s="1"/>
  <c r="N94" i="199"/>
  <c r="AA94" i="199" s="1"/>
  <c r="AI94" i="199" s="1"/>
  <c r="AF93" i="199"/>
  <c r="AN93" i="199" s="1"/>
  <c r="AE93" i="199"/>
  <c r="AM93" i="199" s="1"/>
  <c r="AD93" i="199"/>
  <c r="AL93" i="199" s="1"/>
  <c r="AC93" i="199"/>
  <c r="AK93" i="199" s="1"/>
  <c r="AB93" i="199"/>
  <c r="AJ93" i="199" s="1"/>
  <c r="Z93" i="199"/>
  <c r="AH93" i="199" s="1"/>
  <c r="N93" i="199"/>
  <c r="T93" i="199" s="1"/>
  <c r="AF92" i="199"/>
  <c r="AN92" i="199" s="1"/>
  <c r="AE92" i="199"/>
  <c r="AM92" i="199" s="1"/>
  <c r="AD92" i="199"/>
  <c r="AL92" i="199" s="1"/>
  <c r="AC92" i="199"/>
  <c r="AK92" i="199" s="1"/>
  <c r="AB92" i="199"/>
  <c r="AJ92" i="199" s="1"/>
  <c r="Z92" i="199"/>
  <c r="AH92" i="199" s="1"/>
  <c r="N92" i="199"/>
  <c r="AF91" i="199"/>
  <c r="AN91" i="199" s="1"/>
  <c r="AE91" i="199"/>
  <c r="AM91" i="199" s="1"/>
  <c r="AD91" i="199"/>
  <c r="AL91" i="199" s="1"/>
  <c r="AC91" i="199"/>
  <c r="AK91" i="199" s="1"/>
  <c r="AB91" i="199"/>
  <c r="AJ91" i="199" s="1"/>
  <c r="Z91" i="199"/>
  <c r="AH91" i="199" s="1"/>
  <c r="N91" i="199"/>
  <c r="AF90" i="199"/>
  <c r="AN90" i="199" s="1"/>
  <c r="AE90" i="199"/>
  <c r="AM90" i="199" s="1"/>
  <c r="AD90" i="199"/>
  <c r="AL90" i="199" s="1"/>
  <c r="AC90" i="199"/>
  <c r="AK90" i="199" s="1"/>
  <c r="AB90" i="199"/>
  <c r="AJ90" i="199" s="1"/>
  <c r="Z90" i="199"/>
  <c r="AH90" i="199" s="1"/>
  <c r="N90" i="199"/>
  <c r="AA90" i="199" s="1"/>
  <c r="AI90" i="199" s="1"/>
  <c r="AF89" i="199"/>
  <c r="AN89" i="199" s="1"/>
  <c r="AE89" i="199"/>
  <c r="AM89" i="199" s="1"/>
  <c r="AD89" i="199"/>
  <c r="AL89" i="199" s="1"/>
  <c r="AC89" i="199"/>
  <c r="AK89" i="199" s="1"/>
  <c r="AB89" i="199"/>
  <c r="AJ89" i="199" s="1"/>
  <c r="Z89" i="199"/>
  <c r="AH89" i="199" s="1"/>
  <c r="N89" i="199"/>
  <c r="AA89" i="199" s="1"/>
  <c r="AI89" i="199" s="1"/>
  <c r="AF88" i="199"/>
  <c r="AN88" i="199" s="1"/>
  <c r="AE88" i="199"/>
  <c r="AM88" i="199" s="1"/>
  <c r="AD88" i="199"/>
  <c r="AL88" i="199" s="1"/>
  <c r="AC88" i="199"/>
  <c r="AK88" i="199" s="1"/>
  <c r="AB88" i="199"/>
  <c r="AJ88" i="199" s="1"/>
  <c r="Z88" i="199"/>
  <c r="AH88" i="199" s="1"/>
  <c r="N88" i="199"/>
  <c r="AF87" i="199"/>
  <c r="AN87" i="199" s="1"/>
  <c r="AE87" i="199"/>
  <c r="AM87" i="199" s="1"/>
  <c r="AD87" i="199"/>
  <c r="AL87" i="199" s="1"/>
  <c r="AC87" i="199"/>
  <c r="AK87" i="199" s="1"/>
  <c r="AB87" i="199"/>
  <c r="AJ87" i="199" s="1"/>
  <c r="Z87" i="199"/>
  <c r="AH87" i="199" s="1"/>
  <c r="N87" i="199"/>
  <c r="AF86" i="199"/>
  <c r="AN86" i="199" s="1"/>
  <c r="AE86" i="199"/>
  <c r="AM86" i="199" s="1"/>
  <c r="AD86" i="199"/>
  <c r="AL86" i="199" s="1"/>
  <c r="AC86" i="199"/>
  <c r="AK86" i="199" s="1"/>
  <c r="AB86" i="199"/>
  <c r="AJ86" i="199" s="1"/>
  <c r="Z86" i="199"/>
  <c r="AH86" i="199" s="1"/>
  <c r="N86" i="199"/>
  <c r="AA86" i="199" s="1"/>
  <c r="AI86" i="199" s="1"/>
  <c r="AF85" i="199"/>
  <c r="AN85" i="199" s="1"/>
  <c r="AE85" i="199"/>
  <c r="AM85" i="199" s="1"/>
  <c r="AD85" i="199"/>
  <c r="AL85" i="199" s="1"/>
  <c r="AC85" i="199"/>
  <c r="AK85" i="199" s="1"/>
  <c r="AB85" i="199"/>
  <c r="AJ85" i="199" s="1"/>
  <c r="Z85" i="199"/>
  <c r="AH85" i="199" s="1"/>
  <c r="N85" i="199"/>
  <c r="T85" i="199" s="1"/>
  <c r="AF84" i="199"/>
  <c r="AN84" i="199" s="1"/>
  <c r="AE84" i="199"/>
  <c r="AM84" i="199" s="1"/>
  <c r="AD84" i="199"/>
  <c r="AL84" i="199" s="1"/>
  <c r="AC84" i="199"/>
  <c r="AK84" i="199" s="1"/>
  <c r="AB84" i="199"/>
  <c r="AJ84" i="199" s="1"/>
  <c r="Z84" i="199"/>
  <c r="AH84" i="199" s="1"/>
  <c r="N84" i="199"/>
  <c r="AF83" i="199"/>
  <c r="AN83" i="199" s="1"/>
  <c r="AE83" i="199"/>
  <c r="AM83" i="199" s="1"/>
  <c r="AD83" i="199"/>
  <c r="AL83" i="199" s="1"/>
  <c r="AC83" i="199"/>
  <c r="AK83" i="199" s="1"/>
  <c r="AB83" i="199"/>
  <c r="AJ83" i="199" s="1"/>
  <c r="Z83" i="199"/>
  <c r="AH83" i="199" s="1"/>
  <c r="N83" i="199"/>
  <c r="AF82" i="199"/>
  <c r="AN82" i="199" s="1"/>
  <c r="AE82" i="199"/>
  <c r="AM82" i="199" s="1"/>
  <c r="AD82" i="199"/>
  <c r="AL82" i="199" s="1"/>
  <c r="AC82" i="199"/>
  <c r="AK82" i="199" s="1"/>
  <c r="AB82" i="199"/>
  <c r="AJ82" i="199" s="1"/>
  <c r="Z82" i="199"/>
  <c r="AH82" i="199" s="1"/>
  <c r="N82" i="199"/>
  <c r="AA82" i="199" s="1"/>
  <c r="AI82" i="199" s="1"/>
  <c r="AF81" i="199"/>
  <c r="AN81" i="199" s="1"/>
  <c r="AE81" i="199"/>
  <c r="AM81" i="199" s="1"/>
  <c r="AD81" i="199"/>
  <c r="AL81" i="199" s="1"/>
  <c r="AC81" i="199"/>
  <c r="AK81" i="199" s="1"/>
  <c r="AB81" i="199"/>
  <c r="AJ81" i="199" s="1"/>
  <c r="Z81" i="199"/>
  <c r="AH81" i="199" s="1"/>
  <c r="N81" i="199"/>
  <c r="AF80" i="199"/>
  <c r="AN80" i="199" s="1"/>
  <c r="AE80" i="199"/>
  <c r="AM80" i="199" s="1"/>
  <c r="AD80" i="199"/>
  <c r="AL80" i="199" s="1"/>
  <c r="AC80" i="199"/>
  <c r="AK80" i="199" s="1"/>
  <c r="AB80" i="199"/>
  <c r="AJ80" i="199" s="1"/>
  <c r="Z80" i="199"/>
  <c r="AH80" i="199" s="1"/>
  <c r="N80" i="199"/>
  <c r="AF79" i="199"/>
  <c r="AN79" i="199" s="1"/>
  <c r="AE79" i="199"/>
  <c r="AM79" i="199" s="1"/>
  <c r="AD79" i="199"/>
  <c r="AL79" i="199" s="1"/>
  <c r="AC79" i="199"/>
  <c r="AK79" i="199" s="1"/>
  <c r="AB79" i="199"/>
  <c r="AJ79" i="199" s="1"/>
  <c r="Z79" i="199"/>
  <c r="AH79" i="199" s="1"/>
  <c r="N79" i="199"/>
  <c r="AF78" i="199"/>
  <c r="AN78" i="199" s="1"/>
  <c r="AE78" i="199"/>
  <c r="AM78" i="199" s="1"/>
  <c r="AD78" i="199"/>
  <c r="AL78" i="199" s="1"/>
  <c r="AC78" i="199"/>
  <c r="AK78" i="199" s="1"/>
  <c r="AB78" i="199"/>
  <c r="AJ78" i="199" s="1"/>
  <c r="Z78" i="199"/>
  <c r="AH78" i="199" s="1"/>
  <c r="N78" i="199"/>
  <c r="AF77" i="199"/>
  <c r="AN77" i="199" s="1"/>
  <c r="AE77" i="199"/>
  <c r="AM77" i="199" s="1"/>
  <c r="AD77" i="199"/>
  <c r="AL77" i="199" s="1"/>
  <c r="AC77" i="199"/>
  <c r="AK77" i="199" s="1"/>
  <c r="AB77" i="199"/>
  <c r="AJ77" i="199" s="1"/>
  <c r="Z77" i="199"/>
  <c r="AH77" i="199" s="1"/>
  <c r="N77" i="199"/>
  <c r="T77" i="199" s="1"/>
  <c r="AF76" i="199"/>
  <c r="AN76" i="199" s="1"/>
  <c r="AE76" i="199"/>
  <c r="AM76" i="199" s="1"/>
  <c r="AD76" i="199"/>
  <c r="AL76" i="199" s="1"/>
  <c r="AC76" i="199"/>
  <c r="AK76" i="199" s="1"/>
  <c r="AB76" i="199"/>
  <c r="AJ76" i="199" s="1"/>
  <c r="Z76" i="199"/>
  <c r="AH76" i="199" s="1"/>
  <c r="N76" i="199"/>
  <c r="AF75" i="199"/>
  <c r="AN75" i="199" s="1"/>
  <c r="AE75" i="199"/>
  <c r="AM75" i="199" s="1"/>
  <c r="AD75" i="199"/>
  <c r="AL75" i="199" s="1"/>
  <c r="AC75" i="199"/>
  <c r="AK75" i="199" s="1"/>
  <c r="AB75" i="199"/>
  <c r="AJ75" i="199" s="1"/>
  <c r="Z75" i="199"/>
  <c r="AH75" i="199" s="1"/>
  <c r="N75" i="199"/>
  <c r="AF74" i="199"/>
  <c r="AN74" i="199" s="1"/>
  <c r="AE74" i="199"/>
  <c r="AM74" i="199" s="1"/>
  <c r="AD74" i="199"/>
  <c r="AL74" i="199" s="1"/>
  <c r="AC74" i="199"/>
  <c r="AK74" i="199" s="1"/>
  <c r="AB74" i="199"/>
  <c r="AJ74" i="199" s="1"/>
  <c r="Z74" i="199"/>
  <c r="AH74" i="199" s="1"/>
  <c r="N74" i="199"/>
  <c r="AA74" i="199" s="1"/>
  <c r="AI74" i="199" s="1"/>
  <c r="AF73" i="199"/>
  <c r="AN73" i="199" s="1"/>
  <c r="AE73" i="199"/>
  <c r="AM73" i="199" s="1"/>
  <c r="AD73" i="199"/>
  <c r="AL73" i="199" s="1"/>
  <c r="AC73" i="199"/>
  <c r="AK73" i="199" s="1"/>
  <c r="AB73" i="199"/>
  <c r="AJ73" i="199" s="1"/>
  <c r="Z73" i="199"/>
  <c r="AH73" i="199" s="1"/>
  <c r="N73" i="199"/>
  <c r="T73" i="199" s="1"/>
  <c r="AF72" i="199"/>
  <c r="AN72" i="199" s="1"/>
  <c r="AE72" i="199"/>
  <c r="AM72" i="199" s="1"/>
  <c r="AD72" i="199"/>
  <c r="AL72" i="199" s="1"/>
  <c r="AC72" i="199"/>
  <c r="AK72" i="199" s="1"/>
  <c r="AB72" i="199"/>
  <c r="AJ72" i="199" s="1"/>
  <c r="Z72" i="199"/>
  <c r="AH72" i="199" s="1"/>
  <c r="N72" i="199"/>
  <c r="AF71" i="199"/>
  <c r="AN71" i="199" s="1"/>
  <c r="AE71" i="199"/>
  <c r="AM71" i="199" s="1"/>
  <c r="AD71" i="199"/>
  <c r="AL71" i="199" s="1"/>
  <c r="AC71" i="199"/>
  <c r="AK71" i="199" s="1"/>
  <c r="AB71" i="199"/>
  <c r="AJ71" i="199" s="1"/>
  <c r="Z71" i="199"/>
  <c r="AH71" i="199" s="1"/>
  <c r="N71" i="199"/>
  <c r="AF70" i="199"/>
  <c r="AN70" i="199" s="1"/>
  <c r="AE70" i="199"/>
  <c r="AM70" i="199" s="1"/>
  <c r="AD70" i="199"/>
  <c r="AL70" i="199" s="1"/>
  <c r="AC70" i="199"/>
  <c r="AK70" i="199" s="1"/>
  <c r="AB70" i="199"/>
  <c r="AJ70" i="199" s="1"/>
  <c r="Z70" i="199"/>
  <c r="AH70" i="199" s="1"/>
  <c r="N70" i="199"/>
  <c r="AA70" i="199" s="1"/>
  <c r="AI70" i="199" s="1"/>
  <c r="AF69" i="199"/>
  <c r="AN69" i="199" s="1"/>
  <c r="AE69" i="199"/>
  <c r="AM69" i="199" s="1"/>
  <c r="AD69" i="199"/>
  <c r="AL69" i="199" s="1"/>
  <c r="AC69" i="199"/>
  <c r="AK69" i="199" s="1"/>
  <c r="AB69" i="199"/>
  <c r="AJ69" i="199" s="1"/>
  <c r="Z69" i="199"/>
  <c r="AH69" i="199" s="1"/>
  <c r="N69" i="199"/>
  <c r="T69" i="199" s="1"/>
  <c r="AF68" i="199"/>
  <c r="AN68" i="199" s="1"/>
  <c r="AE68" i="199"/>
  <c r="AM68" i="199" s="1"/>
  <c r="AD68" i="199"/>
  <c r="AL68" i="199" s="1"/>
  <c r="AC68" i="199"/>
  <c r="AK68" i="199" s="1"/>
  <c r="AB68" i="199"/>
  <c r="AJ68" i="199" s="1"/>
  <c r="Z68" i="199"/>
  <c r="AH68" i="199" s="1"/>
  <c r="N68" i="199"/>
  <c r="AF67" i="199"/>
  <c r="AN67" i="199" s="1"/>
  <c r="AE67" i="199"/>
  <c r="AM67" i="199" s="1"/>
  <c r="AD67" i="199"/>
  <c r="AL67" i="199" s="1"/>
  <c r="AC67" i="199"/>
  <c r="AK67" i="199" s="1"/>
  <c r="AB67" i="199"/>
  <c r="AJ67" i="199" s="1"/>
  <c r="Z67" i="199"/>
  <c r="AH67" i="199" s="1"/>
  <c r="N67" i="199"/>
  <c r="AF66" i="199"/>
  <c r="AN66" i="199" s="1"/>
  <c r="AE66" i="199"/>
  <c r="AM66" i="199" s="1"/>
  <c r="AD66" i="199"/>
  <c r="AL66" i="199" s="1"/>
  <c r="AC66" i="199"/>
  <c r="AK66" i="199" s="1"/>
  <c r="AB66" i="199"/>
  <c r="AJ66" i="199" s="1"/>
  <c r="Z66" i="199"/>
  <c r="AH66" i="199" s="1"/>
  <c r="N66" i="199"/>
  <c r="AA66" i="199" s="1"/>
  <c r="AI66" i="199" s="1"/>
  <c r="AF65" i="199"/>
  <c r="AN65" i="199" s="1"/>
  <c r="AE65" i="199"/>
  <c r="AM65" i="199" s="1"/>
  <c r="AD65" i="199"/>
  <c r="AL65" i="199" s="1"/>
  <c r="AC65" i="199"/>
  <c r="AK65" i="199" s="1"/>
  <c r="AB65" i="199"/>
  <c r="AJ65" i="199" s="1"/>
  <c r="Z65" i="199"/>
  <c r="AH65" i="199" s="1"/>
  <c r="N65" i="199"/>
  <c r="AF64" i="199"/>
  <c r="AN64" i="199" s="1"/>
  <c r="AE64" i="199"/>
  <c r="AM64" i="199" s="1"/>
  <c r="AD64" i="199"/>
  <c r="AL64" i="199" s="1"/>
  <c r="AC64" i="199"/>
  <c r="AK64" i="199" s="1"/>
  <c r="AB64" i="199"/>
  <c r="AJ64" i="199" s="1"/>
  <c r="Z64" i="199"/>
  <c r="AH64" i="199" s="1"/>
  <c r="N64" i="199"/>
  <c r="AF63" i="199"/>
  <c r="AN63" i="199" s="1"/>
  <c r="AE63" i="199"/>
  <c r="AM63" i="199" s="1"/>
  <c r="AD63" i="199"/>
  <c r="AL63" i="199" s="1"/>
  <c r="AC63" i="199"/>
  <c r="AK63" i="199" s="1"/>
  <c r="AB63" i="199"/>
  <c r="AJ63" i="199" s="1"/>
  <c r="Z63" i="199"/>
  <c r="AH63" i="199" s="1"/>
  <c r="N63" i="199"/>
  <c r="AF62" i="199"/>
  <c r="AN62" i="199" s="1"/>
  <c r="AE62" i="199"/>
  <c r="AM62" i="199" s="1"/>
  <c r="AD62" i="199"/>
  <c r="AL62" i="199" s="1"/>
  <c r="AC62" i="199"/>
  <c r="AK62" i="199" s="1"/>
  <c r="AB62" i="199"/>
  <c r="AJ62" i="199" s="1"/>
  <c r="Z62" i="199"/>
  <c r="AH62" i="199" s="1"/>
  <c r="N62" i="199"/>
  <c r="AA62" i="199" s="1"/>
  <c r="AI62" i="199" s="1"/>
  <c r="AF61" i="199"/>
  <c r="AN61" i="199" s="1"/>
  <c r="AE61" i="199"/>
  <c r="AM61" i="199" s="1"/>
  <c r="AD61" i="199"/>
  <c r="AL61" i="199" s="1"/>
  <c r="AC61" i="199"/>
  <c r="AK61" i="199" s="1"/>
  <c r="AB61" i="199"/>
  <c r="AJ61" i="199" s="1"/>
  <c r="Z61" i="199"/>
  <c r="AH61" i="199" s="1"/>
  <c r="N61" i="199"/>
  <c r="T61" i="199" s="1"/>
  <c r="AF60" i="199"/>
  <c r="AN60" i="199" s="1"/>
  <c r="AE60" i="199"/>
  <c r="AM60" i="199" s="1"/>
  <c r="AD60" i="199"/>
  <c r="AL60" i="199" s="1"/>
  <c r="AC60" i="199"/>
  <c r="AK60" i="199" s="1"/>
  <c r="AB60" i="199"/>
  <c r="AJ60" i="199" s="1"/>
  <c r="Z60" i="199"/>
  <c r="AH60" i="199" s="1"/>
  <c r="N60" i="199"/>
  <c r="AF59" i="199"/>
  <c r="AN59" i="199" s="1"/>
  <c r="AE59" i="199"/>
  <c r="AM59" i="199" s="1"/>
  <c r="AD59" i="199"/>
  <c r="AL59" i="199" s="1"/>
  <c r="AC59" i="199"/>
  <c r="AK59" i="199" s="1"/>
  <c r="AB59" i="199"/>
  <c r="AJ59" i="199" s="1"/>
  <c r="Z59" i="199"/>
  <c r="AH59" i="199" s="1"/>
  <c r="N59" i="199"/>
  <c r="AF58" i="199"/>
  <c r="AN58" i="199" s="1"/>
  <c r="AE58" i="199"/>
  <c r="AM58" i="199" s="1"/>
  <c r="AD58" i="199"/>
  <c r="AL58" i="199" s="1"/>
  <c r="AC58" i="199"/>
  <c r="AK58" i="199" s="1"/>
  <c r="AB58" i="199"/>
  <c r="AJ58" i="199" s="1"/>
  <c r="Z58" i="199"/>
  <c r="AH58" i="199" s="1"/>
  <c r="N58" i="199"/>
  <c r="AA58" i="199" s="1"/>
  <c r="AI58" i="199" s="1"/>
  <c r="AF57" i="199"/>
  <c r="AN57" i="199" s="1"/>
  <c r="AE57" i="199"/>
  <c r="AM57" i="199" s="1"/>
  <c r="AD57" i="199"/>
  <c r="AL57" i="199" s="1"/>
  <c r="AC57" i="199"/>
  <c r="AK57" i="199" s="1"/>
  <c r="AB57" i="199"/>
  <c r="AJ57" i="199" s="1"/>
  <c r="Z57" i="199"/>
  <c r="AH57" i="199" s="1"/>
  <c r="N57" i="199"/>
  <c r="AF56" i="199"/>
  <c r="AN56" i="199" s="1"/>
  <c r="AE56" i="199"/>
  <c r="AM56" i="199" s="1"/>
  <c r="AD56" i="199"/>
  <c r="AL56" i="199" s="1"/>
  <c r="AC56" i="199"/>
  <c r="AK56" i="199" s="1"/>
  <c r="AB56" i="199"/>
  <c r="AJ56" i="199" s="1"/>
  <c r="Z56" i="199"/>
  <c r="AH56" i="199" s="1"/>
  <c r="N56" i="199"/>
  <c r="AF55" i="199"/>
  <c r="AN55" i="199" s="1"/>
  <c r="AE55" i="199"/>
  <c r="AM55" i="199" s="1"/>
  <c r="AD55" i="199"/>
  <c r="AL55" i="199" s="1"/>
  <c r="AC55" i="199"/>
  <c r="AK55" i="199" s="1"/>
  <c r="AB55" i="199"/>
  <c r="AJ55" i="199" s="1"/>
  <c r="Z55" i="199"/>
  <c r="AH55" i="199" s="1"/>
  <c r="N55" i="199"/>
  <c r="AF54" i="199"/>
  <c r="AN54" i="199" s="1"/>
  <c r="AE54" i="199"/>
  <c r="AM54" i="199" s="1"/>
  <c r="AD54" i="199"/>
  <c r="AL54" i="199" s="1"/>
  <c r="AC54" i="199"/>
  <c r="AK54" i="199" s="1"/>
  <c r="AB54" i="199"/>
  <c r="AJ54" i="199" s="1"/>
  <c r="Z54" i="199"/>
  <c r="AH54" i="199" s="1"/>
  <c r="N54" i="199"/>
  <c r="AF53" i="199"/>
  <c r="AN53" i="199" s="1"/>
  <c r="AE53" i="199"/>
  <c r="AM53" i="199" s="1"/>
  <c r="AD53" i="199"/>
  <c r="AL53" i="199" s="1"/>
  <c r="AC53" i="199"/>
  <c r="AK53" i="199" s="1"/>
  <c r="AB53" i="199"/>
  <c r="AJ53" i="199" s="1"/>
  <c r="Z53" i="199"/>
  <c r="AH53" i="199" s="1"/>
  <c r="N53" i="199"/>
  <c r="T53" i="199" s="1"/>
  <c r="AF52" i="199"/>
  <c r="AN52" i="199" s="1"/>
  <c r="AE52" i="199"/>
  <c r="AM52" i="199" s="1"/>
  <c r="AD52" i="199"/>
  <c r="AL52" i="199" s="1"/>
  <c r="AC52" i="199"/>
  <c r="AK52" i="199" s="1"/>
  <c r="AB52" i="199"/>
  <c r="AJ52" i="199" s="1"/>
  <c r="Z52" i="199"/>
  <c r="AH52" i="199" s="1"/>
  <c r="N52" i="199"/>
  <c r="AF51" i="199"/>
  <c r="AN51" i="199" s="1"/>
  <c r="AE51" i="199"/>
  <c r="AM51" i="199" s="1"/>
  <c r="AD51" i="199"/>
  <c r="AL51" i="199" s="1"/>
  <c r="AC51" i="199"/>
  <c r="AK51" i="199" s="1"/>
  <c r="AB51" i="199"/>
  <c r="AJ51" i="199" s="1"/>
  <c r="Z51" i="199"/>
  <c r="AH51" i="199" s="1"/>
  <c r="N51" i="199"/>
  <c r="AF50" i="199"/>
  <c r="AN50" i="199" s="1"/>
  <c r="AE50" i="199"/>
  <c r="AM50" i="199" s="1"/>
  <c r="AD50" i="199"/>
  <c r="AL50" i="199" s="1"/>
  <c r="AC50" i="199"/>
  <c r="AK50" i="199" s="1"/>
  <c r="AB50" i="199"/>
  <c r="AJ50" i="199" s="1"/>
  <c r="Z50" i="199"/>
  <c r="AH50" i="199" s="1"/>
  <c r="N50" i="199"/>
  <c r="AA50" i="199" s="1"/>
  <c r="AI50" i="199" s="1"/>
  <c r="AF49" i="199"/>
  <c r="AN49" i="199" s="1"/>
  <c r="AE49" i="199"/>
  <c r="AM49" i="199" s="1"/>
  <c r="AD49" i="199"/>
  <c r="AL49" i="199" s="1"/>
  <c r="AC49" i="199"/>
  <c r="AK49" i="199" s="1"/>
  <c r="AB49" i="199"/>
  <c r="AJ49" i="199" s="1"/>
  <c r="Z49" i="199"/>
  <c r="AH49" i="199" s="1"/>
  <c r="N49" i="199"/>
  <c r="N41" i="189" s="1"/>
  <c r="AF48" i="199"/>
  <c r="AN48" i="199" s="1"/>
  <c r="AE48" i="199"/>
  <c r="AM48" i="199" s="1"/>
  <c r="AD48" i="199"/>
  <c r="AL48" i="199" s="1"/>
  <c r="AC48" i="199"/>
  <c r="AK48" i="199" s="1"/>
  <c r="AB48" i="199"/>
  <c r="AJ48" i="199" s="1"/>
  <c r="Z48" i="199"/>
  <c r="AH48" i="199" s="1"/>
  <c r="N48" i="199"/>
  <c r="AF47" i="199"/>
  <c r="AN47" i="199" s="1"/>
  <c r="AE47" i="199"/>
  <c r="AM47" i="199" s="1"/>
  <c r="AD47" i="199"/>
  <c r="AL47" i="199" s="1"/>
  <c r="AC47" i="199"/>
  <c r="AK47" i="199" s="1"/>
  <c r="AB47" i="199"/>
  <c r="AJ47" i="199" s="1"/>
  <c r="Z47" i="199"/>
  <c r="AH47" i="199" s="1"/>
  <c r="N47" i="199"/>
  <c r="AF46" i="199"/>
  <c r="AN46" i="199" s="1"/>
  <c r="AE46" i="199"/>
  <c r="AM46" i="199" s="1"/>
  <c r="AD46" i="199"/>
  <c r="AL46" i="199" s="1"/>
  <c r="AC46" i="199"/>
  <c r="AK46" i="199" s="1"/>
  <c r="AB46" i="199"/>
  <c r="AJ46" i="199" s="1"/>
  <c r="Z46" i="199"/>
  <c r="AH46" i="199" s="1"/>
  <c r="N46" i="199"/>
  <c r="AA46" i="199" s="1"/>
  <c r="AI46" i="199" s="1"/>
  <c r="AF45" i="199"/>
  <c r="AN45" i="199" s="1"/>
  <c r="AE45" i="199"/>
  <c r="AM45" i="199" s="1"/>
  <c r="AD45" i="199"/>
  <c r="AL45" i="199" s="1"/>
  <c r="AC45" i="199"/>
  <c r="AK45" i="199" s="1"/>
  <c r="AB45" i="199"/>
  <c r="AJ45" i="199" s="1"/>
  <c r="Z45" i="199"/>
  <c r="AH45" i="199" s="1"/>
  <c r="N45" i="199"/>
  <c r="T45" i="199" s="1"/>
  <c r="AF44" i="199"/>
  <c r="AN44" i="199" s="1"/>
  <c r="AE44" i="199"/>
  <c r="AM44" i="199" s="1"/>
  <c r="AD44" i="199"/>
  <c r="AL44" i="199" s="1"/>
  <c r="AC44" i="199"/>
  <c r="AK44" i="199" s="1"/>
  <c r="AB44" i="199"/>
  <c r="AJ44" i="199" s="1"/>
  <c r="Z44" i="199"/>
  <c r="AH44" i="199" s="1"/>
  <c r="N44" i="199"/>
  <c r="AF43" i="199"/>
  <c r="AN43" i="199" s="1"/>
  <c r="AE43" i="199"/>
  <c r="AM43" i="199" s="1"/>
  <c r="AD43" i="199"/>
  <c r="AL43" i="199" s="1"/>
  <c r="AC43" i="199"/>
  <c r="AK43" i="199" s="1"/>
  <c r="AB43" i="199"/>
  <c r="AJ43" i="199" s="1"/>
  <c r="Z43" i="199"/>
  <c r="AH43" i="199" s="1"/>
  <c r="N43" i="199"/>
  <c r="N53" i="189" s="1"/>
  <c r="AF42" i="199"/>
  <c r="AN42" i="199" s="1"/>
  <c r="AE42" i="199"/>
  <c r="AM42" i="199" s="1"/>
  <c r="AD42" i="199"/>
  <c r="AL42" i="199" s="1"/>
  <c r="AC42" i="199"/>
  <c r="AK42" i="199" s="1"/>
  <c r="AB42" i="199"/>
  <c r="AJ42" i="199" s="1"/>
  <c r="Z42" i="199"/>
  <c r="AH42" i="199" s="1"/>
  <c r="N42" i="199"/>
  <c r="AA42" i="199" s="1"/>
  <c r="AI42" i="199" s="1"/>
  <c r="AF41" i="199"/>
  <c r="AN41" i="199" s="1"/>
  <c r="AE41" i="199"/>
  <c r="AM41" i="199" s="1"/>
  <c r="AD41" i="199"/>
  <c r="AL41" i="199" s="1"/>
  <c r="AC41" i="199"/>
  <c r="AK41" i="199" s="1"/>
  <c r="AB41" i="199"/>
  <c r="AJ41" i="199" s="1"/>
  <c r="Z41" i="199"/>
  <c r="AH41" i="199" s="1"/>
  <c r="N41" i="199"/>
  <c r="AF40" i="199"/>
  <c r="AN40" i="199" s="1"/>
  <c r="AE40" i="199"/>
  <c r="AM40" i="199" s="1"/>
  <c r="AD40" i="199"/>
  <c r="AL40" i="199" s="1"/>
  <c r="AC40" i="199"/>
  <c r="AK40" i="199" s="1"/>
  <c r="AB40" i="199"/>
  <c r="AJ40" i="199" s="1"/>
  <c r="Z40" i="199"/>
  <c r="AH40" i="199" s="1"/>
  <c r="N40" i="199"/>
  <c r="AF39" i="199"/>
  <c r="AN39" i="199" s="1"/>
  <c r="AE39" i="199"/>
  <c r="AM39" i="199" s="1"/>
  <c r="AD39" i="199"/>
  <c r="AL39" i="199" s="1"/>
  <c r="AC39" i="199"/>
  <c r="AK39" i="199" s="1"/>
  <c r="AB39" i="199"/>
  <c r="AJ39" i="199" s="1"/>
  <c r="Z39" i="199"/>
  <c r="AH39" i="199" s="1"/>
  <c r="N39" i="199"/>
  <c r="AF38" i="199"/>
  <c r="AN38" i="199" s="1"/>
  <c r="AE38" i="199"/>
  <c r="AM38" i="199" s="1"/>
  <c r="AD38" i="199"/>
  <c r="AL38" i="199" s="1"/>
  <c r="AC38" i="199"/>
  <c r="AK38" i="199" s="1"/>
  <c r="AB38" i="199"/>
  <c r="AJ38" i="199" s="1"/>
  <c r="Z38" i="199"/>
  <c r="AH38" i="199" s="1"/>
  <c r="N38" i="199"/>
  <c r="AA38" i="199" s="1"/>
  <c r="AI38" i="199" s="1"/>
  <c r="AF37" i="199"/>
  <c r="AN37" i="199" s="1"/>
  <c r="AE37" i="199"/>
  <c r="AM37" i="199" s="1"/>
  <c r="AD37" i="199"/>
  <c r="AL37" i="199" s="1"/>
  <c r="AC37" i="199"/>
  <c r="AK37" i="199" s="1"/>
  <c r="AB37" i="199"/>
  <c r="AJ37" i="199" s="1"/>
  <c r="Z37" i="199"/>
  <c r="AH37" i="199" s="1"/>
  <c r="N37" i="199"/>
  <c r="T37" i="199" s="1"/>
  <c r="AF36" i="199"/>
  <c r="AN36" i="199" s="1"/>
  <c r="AE36" i="199"/>
  <c r="AM36" i="199" s="1"/>
  <c r="AD36" i="199"/>
  <c r="AL36" i="199" s="1"/>
  <c r="AC36" i="199"/>
  <c r="AK36" i="199" s="1"/>
  <c r="AB36" i="199"/>
  <c r="AJ36" i="199" s="1"/>
  <c r="Z36" i="199"/>
  <c r="AH36" i="199" s="1"/>
  <c r="N36" i="199"/>
  <c r="AF35" i="199"/>
  <c r="AN35" i="199" s="1"/>
  <c r="AE35" i="199"/>
  <c r="AM35" i="199" s="1"/>
  <c r="AD35" i="199"/>
  <c r="AL35" i="199" s="1"/>
  <c r="AC35" i="199"/>
  <c r="AK35" i="199" s="1"/>
  <c r="AB35" i="199"/>
  <c r="AJ35" i="199" s="1"/>
  <c r="Z35" i="199"/>
  <c r="AH35" i="199" s="1"/>
  <c r="N35" i="199"/>
  <c r="AF34" i="199"/>
  <c r="AN34" i="199" s="1"/>
  <c r="AE34" i="199"/>
  <c r="AM34" i="199" s="1"/>
  <c r="AD34" i="199"/>
  <c r="AL34" i="199" s="1"/>
  <c r="AC34" i="199"/>
  <c r="AK34" i="199" s="1"/>
  <c r="AB34" i="199"/>
  <c r="AJ34" i="199" s="1"/>
  <c r="Z34" i="199"/>
  <c r="AH34" i="199" s="1"/>
  <c r="N34" i="199"/>
  <c r="AA34" i="199" s="1"/>
  <c r="AI34" i="199" s="1"/>
  <c r="AF33" i="199"/>
  <c r="AN33" i="199" s="1"/>
  <c r="AE33" i="199"/>
  <c r="AM33" i="199" s="1"/>
  <c r="AD33" i="199"/>
  <c r="AL33" i="199" s="1"/>
  <c r="AC33" i="199"/>
  <c r="AK33" i="199" s="1"/>
  <c r="AB33" i="199"/>
  <c r="AJ33" i="199" s="1"/>
  <c r="Z33" i="199"/>
  <c r="AH33" i="199" s="1"/>
  <c r="N33" i="199"/>
  <c r="AA33" i="199" s="1"/>
  <c r="AI33" i="199" s="1"/>
  <c r="AF32" i="199"/>
  <c r="AN32" i="199" s="1"/>
  <c r="AE32" i="199"/>
  <c r="AM32" i="199" s="1"/>
  <c r="AD32" i="199"/>
  <c r="AL32" i="199" s="1"/>
  <c r="AC32" i="199"/>
  <c r="AK32" i="199" s="1"/>
  <c r="AB32" i="199"/>
  <c r="AJ32" i="199" s="1"/>
  <c r="Z32" i="199"/>
  <c r="N32" i="199"/>
  <c r="AA32" i="199" s="1"/>
  <c r="AI32" i="199" s="1"/>
  <c r="AF31" i="199"/>
  <c r="AN31" i="199" s="1"/>
  <c r="AE31" i="199"/>
  <c r="AM31" i="199" s="1"/>
  <c r="AD31" i="199"/>
  <c r="AL31" i="199" s="1"/>
  <c r="AC31" i="199"/>
  <c r="AK31" i="199" s="1"/>
  <c r="AB31" i="199"/>
  <c r="AJ31" i="199" s="1"/>
  <c r="Z31" i="199"/>
  <c r="AH31" i="199" s="1"/>
  <c r="N31" i="199"/>
  <c r="T31" i="199" s="1"/>
  <c r="AF30" i="199"/>
  <c r="AN30" i="199" s="1"/>
  <c r="AE30" i="199"/>
  <c r="AM30" i="199" s="1"/>
  <c r="AD30" i="199"/>
  <c r="AL30" i="199" s="1"/>
  <c r="AC30" i="199"/>
  <c r="AK30" i="199" s="1"/>
  <c r="AB30" i="199"/>
  <c r="AJ30" i="199" s="1"/>
  <c r="Z30" i="199"/>
  <c r="AH30" i="199" s="1"/>
  <c r="N30" i="199"/>
  <c r="AF29" i="199"/>
  <c r="AN29" i="199" s="1"/>
  <c r="AE29" i="199"/>
  <c r="AM29" i="199" s="1"/>
  <c r="AD29" i="199"/>
  <c r="AL29" i="199" s="1"/>
  <c r="AC29" i="199"/>
  <c r="AK29" i="199" s="1"/>
  <c r="AB29" i="199"/>
  <c r="AJ29" i="199" s="1"/>
  <c r="Z29" i="199"/>
  <c r="AH29" i="199" s="1"/>
  <c r="N29" i="199"/>
  <c r="AA29" i="199" s="1"/>
  <c r="AI29" i="199" s="1"/>
  <c r="AF28" i="199"/>
  <c r="AN28" i="199" s="1"/>
  <c r="AE28" i="199"/>
  <c r="AM28" i="199" s="1"/>
  <c r="AD28" i="199"/>
  <c r="AL28" i="199" s="1"/>
  <c r="AC28" i="199"/>
  <c r="AK28" i="199" s="1"/>
  <c r="AB28" i="199"/>
  <c r="AJ28" i="199" s="1"/>
  <c r="Z28" i="199"/>
  <c r="N28" i="199"/>
  <c r="AF27" i="199"/>
  <c r="AN27" i="199" s="1"/>
  <c r="AE27" i="199"/>
  <c r="AM27" i="199" s="1"/>
  <c r="AD27" i="199"/>
  <c r="AL27" i="199" s="1"/>
  <c r="AC27" i="199"/>
  <c r="AK27" i="199" s="1"/>
  <c r="AB27" i="199"/>
  <c r="AJ27" i="199" s="1"/>
  <c r="Z27" i="199"/>
  <c r="AH27" i="199" s="1"/>
  <c r="N27" i="199"/>
  <c r="AF26" i="199"/>
  <c r="AN26" i="199" s="1"/>
  <c r="AE26" i="199"/>
  <c r="AM26" i="199" s="1"/>
  <c r="AD26" i="199"/>
  <c r="AL26" i="199" s="1"/>
  <c r="AC26" i="199"/>
  <c r="AK26" i="199" s="1"/>
  <c r="AB26" i="199"/>
  <c r="AJ26" i="199" s="1"/>
  <c r="Z26" i="199"/>
  <c r="AH26" i="199" s="1"/>
  <c r="N26" i="199"/>
  <c r="AF25" i="199"/>
  <c r="AN25" i="199" s="1"/>
  <c r="AE25" i="199"/>
  <c r="AM25" i="199" s="1"/>
  <c r="AD25" i="199"/>
  <c r="AL25" i="199" s="1"/>
  <c r="AC25" i="199"/>
  <c r="AK25" i="199" s="1"/>
  <c r="AB25" i="199"/>
  <c r="AJ25" i="199" s="1"/>
  <c r="Z25" i="199"/>
  <c r="AH25" i="199" s="1"/>
  <c r="N25" i="199"/>
  <c r="AF24" i="199"/>
  <c r="AN24" i="199" s="1"/>
  <c r="AE24" i="199"/>
  <c r="AM24" i="199" s="1"/>
  <c r="AD24" i="199"/>
  <c r="AL24" i="199" s="1"/>
  <c r="AC24" i="199"/>
  <c r="AK24" i="199" s="1"/>
  <c r="AB24" i="199"/>
  <c r="AJ24" i="199" s="1"/>
  <c r="Z24" i="199"/>
  <c r="N24" i="199"/>
  <c r="AA24" i="199" s="1"/>
  <c r="AI24" i="199" s="1"/>
  <c r="AF23" i="199"/>
  <c r="AN23" i="199" s="1"/>
  <c r="AE23" i="199"/>
  <c r="AM23" i="199" s="1"/>
  <c r="AD23" i="199"/>
  <c r="AL23" i="199" s="1"/>
  <c r="AC23" i="199"/>
  <c r="AK23" i="199" s="1"/>
  <c r="AB23" i="199"/>
  <c r="AJ23" i="199" s="1"/>
  <c r="Z23" i="199"/>
  <c r="AH23" i="199" s="1"/>
  <c r="N23" i="199"/>
  <c r="AF22" i="199"/>
  <c r="AN22" i="199" s="1"/>
  <c r="AE22" i="199"/>
  <c r="AM22" i="199" s="1"/>
  <c r="AD22" i="199"/>
  <c r="AL22" i="199" s="1"/>
  <c r="AC22" i="199"/>
  <c r="AK22" i="199" s="1"/>
  <c r="AB22" i="199"/>
  <c r="AJ22" i="199" s="1"/>
  <c r="Z22" i="199"/>
  <c r="AH22" i="199" s="1"/>
  <c r="N22" i="199"/>
  <c r="AF21" i="199"/>
  <c r="AN21" i="199" s="1"/>
  <c r="AE21" i="199"/>
  <c r="AM21" i="199" s="1"/>
  <c r="AD21" i="199"/>
  <c r="AL21" i="199" s="1"/>
  <c r="AC21" i="199"/>
  <c r="AK21" i="199" s="1"/>
  <c r="AB21" i="199"/>
  <c r="AJ21" i="199" s="1"/>
  <c r="Z21" i="199"/>
  <c r="N21" i="199"/>
  <c r="AF20" i="199"/>
  <c r="AN20" i="199" s="1"/>
  <c r="AE20" i="199"/>
  <c r="AM20" i="199" s="1"/>
  <c r="AD20" i="199"/>
  <c r="AL20" i="199" s="1"/>
  <c r="AC20" i="199"/>
  <c r="AK20" i="199" s="1"/>
  <c r="AB20" i="199"/>
  <c r="AJ20" i="199" s="1"/>
  <c r="Z20" i="199"/>
  <c r="AH20" i="199" s="1"/>
  <c r="N20" i="199"/>
  <c r="AF19" i="199"/>
  <c r="AN19" i="199" s="1"/>
  <c r="AE19" i="199"/>
  <c r="AM19" i="199" s="1"/>
  <c r="AD19" i="199"/>
  <c r="AL19" i="199" s="1"/>
  <c r="AC19" i="199"/>
  <c r="AK19" i="199" s="1"/>
  <c r="AB19" i="199"/>
  <c r="AJ19" i="199" s="1"/>
  <c r="Z19" i="199"/>
  <c r="AH19" i="199" s="1"/>
  <c r="N19" i="199"/>
  <c r="AF18" i="199"/>
  <c r="AN18" i="199" s="1"/>
  <c r="AE18" i="199"/>
  <c r="AM18" i="199" s="1"/>
  <c r="AD18" i="199"/>
  <c r="AL18" i="199" s="1"/>
  <c r="AC18" i="199"/>
  <c r="AK18" i="199" s="1"/>
  <c r="AB18" i="199"/>
  <c r="AJ18" i="199" s="1"/>
  <c r="Z18" i="199"/>
  <c r="AH18" i="199" s="1"/>
  <c r="N18" i="199"/>
  <c r="AA18" i="199" s="1"/>
  <c r="AI18" i="199" s="1"/>
  <c r="AF17" i="199"/>
  <c r="AN17" i="199" s="1"/>
  <c r="AE17" i="199"/>
  <c r="AM17" i="199" s="1"/>
  <c r="AD17" i="199"/>
  <c r="AL17" i="199" s="1"/>
  <c r="AC17" i="199"/>
  <c r="AK17" i="199" s="1"/>
  <c r="AB17" i="199"/>
  <c r="AJ17" i="199" s="1"/>
  <c r="Z17" i="199"/>
  <c r="N17" i="199"/>
  <c r="AA17" i="199" s="1"/>
  <c r="AI17" i="199" s="1"/>
  <c r="AF16" i="199"/>
  <c r="AN16" i="199" s="1"/>
  <c r="AE16" i="199"/>
  <c r="AM16" i="199" s="1"/>
  <c r="AD16" i="199"/>
  <c r="AL16" i="199" s="1"/>
  <c r="AC16" i="199"/>
  <c r="AK16" i="199" s="1"/>
  <c r="AB16" i="199"/>
  <c r="AJ16" i="199" s="1"/>
  <c r="Z16" i="199"/>
  <c r="AH16" i="199" s="1"/>
  <c r="N16" i="199"/>
  <c r="T16" i="199" s="1"/>
  <c r="AF15" i="199"/>
  <c r="AN15" i="199" s="1"/>
  <c r="AE15" i="199"/>
  <c r="AM15" i="199" s="1"/>
  <c r="AD15" i="199"/>
  <c r="AL15" i="199" s="1"/>
  <c r="AC15" i="199"/>
  <c r="AK15" i="199" s="1"/>
  <c r="AB15" i="199"/>
  <c r="AJ15" i="199" s="1"/>
  <c r="Z15" i="199"/>
  <c r="AH15" i="199" s="1"/>
  <c r="N15" i="199"/>
  <c r="N49" i="189" s="1"/>
  <c r="AF14" i="199"/>
  <c r="AN14" i="199" s="1"/>
  <c r="AE14" i="199"/>
  <c r="AM14" i="199" s="1"/>
  <c r="AD14" i="199"/>
  <c r="AL14" i="199" s="1"/>
  <c r="AC14" i="199"/>
  <c r="AK14" i="199" s="1"/>
  <c r="AB14" i="199"/>
  <c r="AJ14" i="199" s="1"/>
  <c r="AA14" i="199"/>
  <c r="AI14" i="199" s="1"/>
  <c r="Z14" i="199"/>
  <c r="AH14" i="199" s="1"/>
  <c r="T14" i="199"/>
  <c r="AF13" i="199"/>
  <c r="AN13" i="199" s="1"/>
  <c r="AE13" i="199"/>
  <c r="AM13" i="199" s="1"/>
  <c r="AD13" i="199"/>
  <c r="AL13" i="199" s="1"/>
  <c r="AC13" i="199"/>
  <c r="AK13" i="199" s="1"/>
  <c r="AB13" i="199"/>
  <c r="AJ13" i="199" s="1"/>
  <c r="Z13" i="199"/>
  <c r="AH13" i="199" s="1"/>
  <c r="N13" i="199"/>
  <c r="T13" i="199" s="1"/>
  <c r="AF12" i="199"/>
  <c r="AN12" i="199" s="1"/>
  <c r="AE12" i="199"/>
  <c r="AM12" i="199" s="1"/>
  <c r="AD12" i="199"/>
  <c r="AL12" i="199" s="1"/>
  <c r="AC12" i="199"/>
  <c r="AK12" i="199" s="1"/>
  <c r="AB12" i="199"/>
  <c r="AJ12" i="199" s="1"/>
  <c r="Z12" i="199"/>
  <c r="AH12" i="199" s="1"/>
  <c r="N12" i="199"/>
  <c r="AF11" i="199"/>
  <c r="AN11" i="199" s="1"/>
  <c r="AE11" i="199"/>
  <c r="AM11" i="199" s="1"/>
  <c r="AD11" i="199"/>
  <c r="AL11" i="199" s="1"/>
  <c r="AC11" i="199"/>
  <c r="AK11" i="199" s="1"/>
  <c r="AB11" i="199"/>
  <c r="AJ11" i="199" s="1"/>
  <c r="Z11" i="199"/>
  <c r="AH11" i="199" s="1"/>
  <c r="N11" i="199"/>
  <c r="AF10" i="199"/>
  <c r="AN10" i="199" s="1"/>
  <c r="AE10" i="199"/>
  <c r="AM10" i="199" s="1"/>
  <c r="AD10" i="199"/>
  <c r="AL10" i="199" s="1"/>
  <c r="AC10" i="199"/>
  <c r="AK10" i="199" s="1"/>
  <c r="AB10" i="199"/>
  <c r="AJ10" i="199" s="1"/>
  <c r="Z10" i="199"/>
  <c r="N10" i="199"/>
  <c r="AA10" i="199" s="1"/>
  <c r="AI10" i="199" s="1"/>
  <c r="AF9" i="199"/>
  <c r="AN9" i="199" s="1"/>
  <c r="AE9" i="199"/>
  <c r="AM9" i="199" s="1"/>
  <c r="AD9" i="199"/>
  <c r="AL9" i="199" s="1"/>
  <c r="AC9" i="199"/>
  <c r="AK9" i="199" s="1"/>
  <c r="AB9" i="199"/>
  <c r="AJ9" i="199" s="1"/>
  <c r="Z9" i="199"/>
  <c r="AH9" i="199" s="1"/>
  <c r="N9" i="199"/>
  <c r="AF8" i="199"/>
  <c r="AN8" i="199" s="1"/>
  <c r="AE8" i="199"/>
  <c r="AM8" i="199" s="1"/>
  <c r="AD8" i="199"/>
  <c r="AL8" i="199" s="1"/>
  <c r="AC8" i="199"/>
  <c r="AK8" i="199" s="1"/>
  <c r="AB8" i="199"/>
  <c r="AJ8" i="199" s="1"/>
  <c r="Z8" i="199"/>
  <c r="AH8" i="199" s="1"/>
  <c r="N8" i="199"/>
  <c r="AF7" i="199"/>
  <c r="AN7" i="199" s="1"/>
  <c r="AE7" i="199"/>
  <c r="AM7" i="199" s="1"/>
  <c r="AD7" i="199"/>
  <c r="AL7" i="199" s="1"/>
  <c r="AC7" i="199"/>
  <c r="AK7" i="199" s="1"/>
  <c r="AB7" i="199"/>
  <c r="AJ7" i="199" s="1"/>
  <c r="AA7" i="199"/>
  <c r="AI7" i="199" s="1"/>
  <c r="Z7" i="199"/>
  <c r="AH7" i="199" s="1"/>
  <c r="T7" i="199"/>
  <c r="AF6" i="199"/>
  <c r="AN6" i="199" s="1"/>
  <c r="AE6" i="199"/>
  <c r="AM6" i="199" s="1"/>
  <c r="AD6" i="199"/>
  <c r="AL6" i="199" s="1"/>
  <c r="AC6" i="199"/>
  <c r="AK6" i="199" s="1"/>
  <c r="AB6" i="199"/>
  <c r="AJ6" i="199" s="1"/>
  <c r="AA6" i="199"/>
  <c r="AI6" i="199" s="1"/>
  <c r="Z6" i="199"/>
  <c r="AH6" i="199" s="1"/>
  <c r="T6" i="199"/>
  <c r="AF5" i="199"/>
  <c r="AN5" i="199" s="1"/>
  <c r="AE5" i="199"/>
  <c r="AM5" i="199" s="1"/>
  <c r="AD5" i="199"/>
  <c r="AL5" i="199" s="1"/>
  <c r="AC5" i="199"/>
  <c r="AK5" i="199" s="1"/>
  <c r="AB5" i="199"/>
  <c r="AJ5" i="199" s="1"/>
  <c r="AA5" i="199"/>
  <c r="AI5" i="199" s="1"/>
  <c r="Z5" i="199"/>
  <c r="AH5" i="199" s="1"/>
  <c r="T5" i="199"/>
  <c r="AF4" i="199"/>
  <c r="AN4" i="199" s="1"/>
  <c r="AE4" i="199"/>
  <c r="AM4" i="199" s="1"/>
  <c r="AD4" i="199"/>
  <c r="AL4" i="199" s="1"/>
  <c r="AC4" i="199"/>
  <c r="AK4" i="199" s="1"/>
  <c r="AB4" i="199"/>
  <c r="AJ4" i="199" s="1"/>
  <c r="AA4" i="199"/>
  <c r="AI4" i="199" s="1"/>
  <c r="Z4" i="199"/>
  <c r="AH4" i="199" s="1"/>
  <c r="T4" i="199"/>
  <c r="A4" i="199"/>
  <c r="A5" i="199" s="1"/>
  <c r="A6" i="199" s="1"/>
  <c r="A7" i="199" s="1"/>
  <c r="A8" i="199" s="1"/>
  <c r="A9" i="199" s="1"/>
  <c r="A10" i="199" s="1"/>
  <c r="A463" i="192" l="1"/>
  <c r="A464" i="192" s="1"/>
  <c r="A465" i="192" s="1"/>
  <c r="A466" i="192" s="1"/>
  <c r="A467" i="192" s="1"/>
  <c r="A11" i="199"/>
  <c r="A12" i="199" s="1"/>
  <c r="A13" i="199" s="1"/>
  <c r="A14" i="199" s="1"/>
  <c r="A15" i="199" s="1"/>
  <c r="A16" i="199" s="1"/>
  <c r="A17" i="199" s="1"/>
  <c r="A18" i="199" s="1"/>
  <c r="A19" i="199" s="1"/>
  <c r="A20" i="199" s="1"/>
  <c r="A21" i="199" s="1"/>
  <c r="A22" i="199" s="1"/>
  <c r="A23" i="199" s="1"/>
  <c r="A24" i="199" s="1"/>
  <c r="A25" i="199" s="1"/>
  <c r="A26" i="199" s="1"/>
  <c r="A27" i="199" s="1"/>
  <c r="A28" i="199" s="1"/>
  <c r="A29" i="199" s="1"/>
  <c r="A30" i="199" s="1"/>
  <c r="A31" i="199" s="1"/>
  <c r="A32" i="199" s="1"/>
  <c r="A33" i="199" s="1"/>
  <c r="A34" i="199" s="1"/>
  <c r="A35" i="199" s="1"/>
  <c r="A36" i="199" s="1"/>
  <c r="A37" i="199" s="1"/>
  <c r="A38" i="199" s="1"/>
  <c r="A39" i="199" s="1"/>
  <c r="A40" i="199" s="1"/>
  <c r="A41" i="199" s="1"/>
  <c r="A42" i="199" s="1"/>
  <c r="A43" i="199" s="1"/>
  <c r="A44" i="199" s="1"/>
  <c r="A45" i="199" s="1"/>
  <c r="A46" i="199" s="1"/>
  <c r="A47" i="199" s="1"/>
  <c r="A48" i="199" s="1"/>
  <c r="A49" i="199" s="1"/>
  <c r="A50" i="199" s="1"/>
  <c r="A51" i="199" s="1"/>
  <c r="A52" i="199" s="1"/>
  <c r="A53" i="199" s="1"/>
  <c r="A54" i="199" s="1"/>
  <c r="A55" i="199" s="1"/>
  <c r="A56" i="199" s="1"/>
  <c r="A57" i="199" s="1"/>
  <c r="A58" i="199" s="1"/>
  <c r="A59" i="199" s="1"/>
  <c r="A60" i="199" s="1"/>
  <c r="A61" i="199" s="1"/>
  <c r="A62" i="199" s="1"/>
  <c r="A63" i="199" s="1"/>
  <c r="A64" i="199" s="1"/>
  <c r="A65" i="199" s="1"/>
  <c r="A66" i="199" s="1"/>
  <c r="A67" i="199" s="1"/>
  <c r="A68" i="199" s="1"/>
  <c r="A69" i="199" s="1"/>
  <c r="A70" i="199" s="1"/>
  <c r="A71" i="199" s="1"/>
  <c r="A72" i="199" s="1"/>
  <c r="A73" i="199" s="1"/>
  <c r="A74" i="199" s="1"/>
  <c r="A75" i="199" s="1"/>
  <c r="A76" i="199" s="1"/>
  <c r="A77" i="199" s="1"/>
  <c r="A78" i="199" s="1"/>
  <c r="A79" i="199" s="1"/>
  <c r="A80" i="199" s="1"/>
  <c r="A81" i="199" s="1"/>
  <c r="A82" i="199" s="1"/>
  <c r="A83" i="199" s="1"/>
  <c r="A84" i="199" s="1"/>
  <c r="A85" i="199" s="1"/>
  <c r="A86" i="199" s="1"/>
  <c r="A87" i="199" s="1"/>
  <c r="A88" i="199" s="1"/>
  <c r="A89" i="199" s="1"/>
  <c r="A90" i="199" s="1"/>
  <c r="A91" i="199" s="1"/>
  <c r="A92" i="199" s="1"/>
  <c r="A93" i="199" s="1"/>
  <c r="A94" i="199" s="1"/>
  <c r="A95" i="199" s="1"/>
  <c r="A96" i="199" s="1"/>
  <c r="A97" i="199" s="1"/>
  <c r="A98" i="199" s="1"/>
  <c r="A99" i="199" s="1"/>
  <c r="A100" i="199" s="1"/>
  <c r="A101" i="199" s="1"/>
  <c r="A102" i="199" s="1"/>
  <c r="A103" i="199" s="1"/>
  <c r="A104" i="199" s="1"/>
  <c r="A105" i="199" s="1"/>
  <c r="A106" i="199" s="1"/>
  <c r="A107" i="199" s="1"/>
  <c r="A108" i="199" s="1"/>
  <c r="A109" i="199" s="1"/>
  <c r="A110" i="199" s="1"/>
  <c r="A111" i="199" s="1"/>
  <c r="A112" i="199" s="1"/>
  <c r="A113" i="199" s="1"/>
  <c r="A114" i="199" s="1"/>
  <c r="A115" i="199" s="1"/>
  <c r="A116" i="199" s="1"/>
  <c r="A117" i="199" s="1"/>
  <c r="A118" i="199" s="1"/>
  <c r="A119" i="199" s="1"/>
  <c r="A120" i="199" s="1"/>
  <c r="A121" i="199" s="1"/>
  <c r="A122" i="199" s="1"/>
  <c r="A123" i="199" s="1"/>
  <c r="A124" i="199" s="1"/>
  <c r="A125" i="199" s="1"/>
  <c r="A126" i="199" s="1"/>
  <c r="A127" i="199" s="1"/>
  <c r="A128" i="199" s="1"/>
  <c r="A129" i="199" s="1"/>
  <c r="A130" i="199" s="1"/>
  <c r="A131" i="199" s="1"/>
  <c r="A132" i="199" s="1"/>
  <c r="A133" i="199" s="1"/>
  <c r="A134" i="199" s="1"/>
  <c r="A135" i="199" s="1"/>
  <c r="A136" i="199" s="1"/>
  <c r="A137" i="199" s="1"/>
  <c r="A138" i="199" s="1"/>
  <c r="A139" i="199" s="1"/>
  <c r="A140" i="199" s="1"/>
  <c r="A141" i="199" s="1"/>
  <c r="A142" i="199" s="1"/>
  <c r="A143" i="199" s="1"/>
  <c r="A144" i="199" s="1"/>
  <c r="A145" i="199" s="1"/>
  <c r="A146" i="199" s="1"/>
  <c r="A147" i="199" s="1"/>
  <c r="A148" i="199" s="1"/>
  <c r="A149" i="199" s="1"/>
  <c r="A150" i="199" s="1"/>
  <c r="A151" i="199" s="1"/>
  <c r="A152" i="199" s="1"/>
  <c r="A153" i="199" s="1"/>
  <c r="A154" i="199" s="1"/>
  <c r="A155" i="199" s="1"/>
  <c r="A156" i="199" s="1"/>
  <c r="A157" i="199" s="1"/>
  <c r="A158" i="199" s="1"/>
  <c r="A159" i="199" s="1"/>
  <c r="A160" i="199" s="1"/>
  <c r="A161" i="199" s="1"/>
  <c r="A162" i="199" s="1"/>
  <c r="A163" i="199" s="1"/>
  <c r="A164" i="199" s="1"/>
  <c r="A165" i="199" s="1"/>
  <c r="A166" i="199" s="1"/>
  <c r="A167" i="199" s="1"/>
  <c r="A168" i="199" s="1"/>
  <c r="A169" i="199" s="1"/>
  <c r="A170" i="199" s="1"/>
  <c r="A171" i="199" s="1"/>
  <c r="A172" i="199" s="1"/>
  <c r="A173" i="199" s="1"/>
  <c r="A174" i="199" s="1"/>
  <c r="A175" i="199" s="1"/>
  <c r="A176" i="199" s="1"/>
  <c r="A177" i="199" s="1"/>
  <c r="A178" i="199" s="1"/>
  <c r="A179" i="199" s="1"/>
  <c r="A180" i="199" s="1"/>
  <c r="A181" i="199" s="1"/>
  <c r="A182" i="199" s="1"/>
  <c r="A183" i="199" s="1"/>
  <c r="A184" i="199" s="1"/>
  <c r="A185" i="199" s="1"/>
  <c r="A186" i="199" s="1"/>
  <c r="A187" i="199" s="1"/>
  <c r="A188" i="199" s="1"/>
  <c r="A189" i="199" s="1"/>
  <c r="A190" i="199" s="1"/>
  <c r="A191" i="199" s="1"/>
  <c r="A192" i="199" s="1"/>
  <c r="A193" i="199" s="1"/>
  <c r="A194" i="199" s="1"/>
  <c r="A195" i="199" s="1"/>
  <c r="A196" i="199" s="1"/>
  <c r="A197" i="199" s="1"/>
  <c r="A198" i="199" s="1"/>
  <c r="A199" i="199" s="1"/>
  <c r="A200" i="199" s="1"/>
  <c r="A201" i="199" s="1"/>
  <c r="A202" i="199" s="1"/>
  <c r="A203" i="199" s="1"/>
  <c r="A204" i="199" s="1"/>
  <c r="A205" i="199" s="1"/>
  <c r="A206" i="199" s="1"/>
  <c r="A207" i="199" s="1"/>
  <c r="A208" i="199" s="1"/>
  <c r="A209" i="199" s="1"/>
  <c r="A210" i="199" s="1"/>
  <c r="A211" i="199" s="1"/>
  <c r="A212" i="199" s="1"/>
  <c r="A213" i="199" s="1"/>
  <c r="A214" i="199" s="1"/>
  <c r="A215" i="199" s="1"/>
  <c r="A216" i="199" s="1"/>
  <c r="A217" i="199" s="1"/>
  <c r="A218" i="199" s="1"/>
  <c r="A219" i="199" s="1"/>
  <c r="A220" i="199" s="1"/>
  <c r="A221" i="199" s="1"/>
  <c r="A222" i="199" s="1"/>
  <c r="A223" i="199" s="1"/>
  <c r="A224" i="199" s="1"/>
  <c r="A225" i="199" s="1"/>
  <c r="A226" i="199" s="1"/>
  <c r="A227" i="199" s="1"/>
  <c r="A228" i="199" s="1"/>
  <c r="A229" i="199" s="1"/>
  <c r="A230" i="199" s="1"/>
  <c r="A231" i="199" s="1"/>
  <c r="A232" i="199" s="1"/>
  <c r="A233" i="199" s="1"/>
  <c r="A234" i="199" s="1"/>
  <c r="A235" i="199" s="1"/>
  <c r="A236" i="199" s="1"/>
  <c r="A237" i="199" s="1"/>
  <c r="A238" i="199" s="1"/>
  <c r="A239" i="199" s="1"/>
  <c r="A240" i="199" s="1"/>
  <c r="A241" i="199" s="1"/>
  <c r="A242" i="199" s="1"/>
  <c r="A243" i="199" s="1"/>
  <c r="A244" i="199" s="1"/>
  <c r="A245" i="199" s="1"/>
  <c r="A246" i="199" s="1"/>
  <c r="A247" i="199" s="1"/>
  <c r="A248" i="199" s="1"/>
  <c r="A249" i="199" s="1"/>
  <c r="A250" i="199" s="1"/>
  <c r="A251" i="199" s="1"/>
  <c r="A252" i="199" s="1"/>
  <c r="A253" i="199" s="1"/>
  <c r="A254" i="199" s="1"/>
  <c r="A255" i="199" s="1"/>
  <c r="A256" i="199" s="1"/>
  <c r="A257" i="199" s="1"/>
  <c r="A258" i="199" s="1"/>
  <c r="A259" i="199" s="1"/>
  <c r="A260" i="199" s="1"/>
  <c r="A261" i="199" s="1"/>
  <c r="A262" i="199" s="1"/>
  <c r="A263" i="199" s="1"/>
  <c r="A264" i="199" s="1"/>
  <c r="A265" i="199" s="1"/>
  <c r="A266" i="199" s="1"/>
  <c r="A267" i="199" s="1"/>
  <c r="A268" i="199" s="1"/>
  <c r="A269" i="199" s="1"/>
  <c r="A270" i="199" s="1"/>
  <c r="A271" i="199" s="1"/>
  <c r="A272" i="199" s="1"/>
  <c r="A273" i="199" s="1"/>
  <c r="A274" i="199" s="1"/>
  <c r="A275" i="199" s="1"/>
  <c r="A276" i="199" s="1"/>
  <c r="A277" i="199" s="1"/>
  <c r="A278" i="199" s="1"/>
  <c r="A279" i="199" s="1"/>
  <c r="A280" i="199" s="1"/>
  <c r="A281" i="199" s="1"/>
  <c r="A282" i="199" s="1"/>
  <c r="A283" i="199" s="1"/>
  <c r="A284" i="199" s="1"/>
  <c r="A285" i="199" s="1"/>
  <c r="A286" i="199" s="1"/>
  <c r="A287" i="199" s="1"/>
  <c r="A288" i="199" s="1"/>
  <c r="A289" i="199" s="1"/>
  <c r="A290" i="199" s="1"/>
  <c r="A291" i="199" s="1"/>
  <c r="A292" i="199" s="1"/>
  <c r="A293" i="199" s="1"/>
  <c r="A294" i="199" s="1"/>
  <c r="A295" i="199" s="1"/>
  <c r="A296" i="199" s="1"/>
  <c r="A297" i="199" s="1"/>
  <c r="A298" i="199" s="1"/>
  <c r="A299" i="199" s="1"/>
  <c r="A300" i="199" s="1"/>
  <c r="A301" i="199" s="1"/>
  <c r="A302" i="199" s="1"/>
  <c r="A303" i="199" s="1"/>
  <c r="A304" i="199" s="1"/>
  <c r="A305" i="199" s="1"/>
  <c r="A306" i="199" s="1"/>
  <c r="A307" i="199" s="1"/>
  <c r="A308" i="199" s="1"/>
  <c r="A309" i="199" s="1"/>
  <c r="A310" i="199" s="1"/>
  <c r="A311" i="199" s="1"/>
  <c r="A312" i="199" s="1"/>
  <c r="A313" i="199" s="1"/>
  <c r="A314" i="199" s="1"/>
  <c r="A315" i="199" s="1"/>
  <c r="A316" i="199" s="1"/>
  <c r="A317" i="199" s="1"/>
  <c r="A318" i="199" s="1"/>
  <c r="A319" i="199" s="1"/>
  <c r="A320" i="199" s="1"/>
  <c r="A321" i="199" s="1"/>
  <c r="A322" i="199" s="1"/>
  <c r="A323" i="199" s="1"/>
  <c r="A324" i="199" s="1"/>
  <c r="A325" i="199" s="1"/>
  <c r="A326" i="199" s="1"/>
  <c r="A327" i="199" s="1"/>
  <c r="A328" i="199" s="1"/>
  <c r="A329" i="199" s="1"/>
  <c r="A330" i="199" s="1"/>
  <c r="A331" i="199" s="1"/>
  <c r="A332" i="199" s="1"/>
  <c r="A333" i="199" s="1"/>
  <c r="A334" i="199" s="1"/>
  <c r="A335" i="199" s="1"/>
  <c r="A336" i="199" s="1"/>
  <c r="A337" i="199" s="1"/>
  <c r="A338" i="199" s="1"/>
  <c r="A339" i="199" s="1"/>
  <c r="A340" i="199" s="1"/>
  <c r="A341" i="199" s="1"/>
  <c r="A342" i="199" s="1"/>
  <c r="A343" i="199" s="1"/>
  <c r="A344" i="199" s="1"/>
  <c r="A345" i="199" s="1"/>
  <c r="A346" i="199" s="1"/>
  <c r="A347" i="199" s="1"/>
  <c r="A348" i="199" s="1"/>
  <c r="A349" i="199" s="1"/>
  <c r="A350" i="199" s="1"/>
  <c r="A351" i="199" s="1"/>
  <c r="A352" i="199" s="1"/>
  <c r="A353" i="199" s="1"/>
  <c r="A354" i="199" s="1"/>
  <c r="A355" i="199" s="1"/>
  <c r="A356" i="199" s="1"/>
  <c r="A357" i="199" s="1"/>
  <c r="A358" i="199" s="1"/>
  <c r="A359" i="199" s="1"/>
  <c r="A360" i="199" s="1"/>
  <c r="A361" i="199" s="1"/>
  <c r="A362" i="199" s="1"/>
  <c r="A363" i="199" s="1"/>
  <c r="A364" i="199" s="1"/>
  <c r="A365" i="199" s="1"/>
  <c r="A366" i="199" s="1"/>
  <c r="A367" i="199" s="1"/>
  <c r="A368" i="199" s="1"/>
  <c r="A369" i="199" s="1"/>
  <c r="A370" i="199" s="1"/>
  <c r="A371" i="199" s="1"/>
  <c r="A372" i="199" s="1"/>
  <c r="A373" i="199" s="1"/>
  <c r="A374" i="199" s="1"/>
  <c r="A375" i="199" s="1"/>
  <c r="A376" i="199" s="1"/>
  <c r="A377" i="199" s="1"/>
  <c r="A378" i="199" s="1"/>
  <c r="A379" i="199" s="1"/>
  <c r="A380" i="199" s="1"/>
  <c r="A381" i="199" s="1"/>
  <c r="A382" i="199" s="1"/>
  <c r="A383" i="199" s="1"/>
  <c r="A384" i="199" s="1"/>
  <c r="A385" i="199" s="1"/>
  <c r="A386" i="199" s="1"/>
  <c r="A387" i="199" s="1"/>
  <c r="A388" i="199" s="1"/>
  <c r="A389" i="199" s="1"/>
  <c r="A390" i="199" s="1"/>
  <c r="A391" i="199" s="1"/>
  <c r="A392" i="199" s="1"/>
  <c r="A393" i="199" s="1"/>
  <c r="A394" i="199" s="1"/>
  <c r="A395" i="199" s="1"/>
  <c r="A396" i="199" s="1"/>
  <c r="A397" i="199" s="1"/>
  <c r="A398" i="199" s="1"/>
  <c r="A399" i="199" s="1"/>
  <c r="A400" i="199" s="1"/>
  <c r="A401" i="199" s="1"/>
  <c r="A402" i="199" s="1"/>
  <c r="A403" i="199" s="1"/>
  <c r="A404" i="199" s="1"/>
  <c r="A405" i="199" s="1"/>
  <c r="A406" i="199" s="1"/>
  <c r="A407" i="199" s="1"/>
  <c r="A408" i="199" s="1"/>
  <c r="A409" i="199" s="1"/>
  <c r="A410" i="199" s="1"/>
  <c r="A411" i="199" s="1"/>
  <c r="A412" i="199" s="1"/>
  <c r="A413" i="199" s="1"/>
  <c r="A414" i="199" s="1"/>
  <c r="A415" i="199" s="1"/>
  <c r="A416" i="199" s="1"/>
  <c r="A417" i="199" s="1"/>
  <c r="A418" i="199" s="1"/>
  <c r="A419" i="199" s="1"/>
  <c r="A420" i="199" s="1"/>
  <c r="A421" i="199" s="1"/>
  <c r="A422" i="199" s="1"/>
  <c r="A423" i="199" s="1"/>
  <c r="A424" i="199" s="1"/>
  <c r="A425" i="199" s="1"/>
  <c r="A426" i="199" s="1"/>
  <c r="A427" i="199" s="1"/>
  <c r="A428" i="199" s="1"/>
  <c r="A429" i="199" s="1"/>
  <c r="A430" i="199" s="1"/>
  <c r="A431" i="199" s="1"/>
  <c r="A432" i="199" s="1"/>
  <c r="A433" i="199" s="1"/>
  <c r="A434" i="199" s="1"/>
  <c r="A435" i="199" s="1"/>
  <c r="A436" i="199" s="1"/>
  <c r="A437" i="199" s="1"/>
  <c r="A438" i="199" s="1"/>
  <c r="A439" i="199" s="1"/>
  <c r="A440" i="199" s="1"/>
  <c r="A441" i="199" s="1"/>
  <c r="A442" i="199" s="1"/>
  <c r="A443" i="199" s="1"/>
  <c r="A444" i="199" s="1"/>
  <c r="A445" i="199" s="1"/>
  <c r="A446" i="199" s="1"/>
  <c r="A447" i="199" s="1"/>
  <c r="A448" i="199" s="1"/>
  <c r="A449" i="199" s="1"/>
  <c r="A450" i="199" s="1"/>
  <c r="A451" i="199" s="1"/>
  <c r="A452" i="199" s="1"/>
  <c r="A453" i="199" s="1"/>
  <c r="A454" i="199" s="1"/>
  <c r="A455" i="199" s="1"/>
  <c r="A456" i="199" s="1"/>
  <c r="A457" i="199" s="1"/>
  <c r="A458" i="199" s="1"/>
  <c r="A459" i="199" s="1"/>
  <c r="A460" i="199" s="1"/>
  <c r="A461" i="199" s="1"/>
  <c r="A462" i="199" s="1"/>
  <c r="A463" i="199" s="1"/>
  <c r="A464" i="199" s="1"/>
  <c r="A465" i="199" s="1"/>
  <c r="A466" i="199" s="1"/>
  <c r="A467" i="199" s="1"/>
  <c r="A468" i="199" s="1"/>
  <c r="A469" i="199" s="1"/>
  <c r="A470" i="199" s="1"/>
  <c r="A471" i="199" s="1"/>
  <c r="A472" i="199" s="1"/>
  <c r="A473" i="199" s="1"/>
  <c r="A474" i="199" s="1"/>
  <c r="A475" i="199" s="1"/>
  <c r="A476" i="199" s="1"/>
  <c r="A477" i="199" s="1"/>
  <c r="A478" i="199" s="1"/>
  <c r="A479" i="199" s="1"/>
  <c r="A480" i="199" s="1"/>
  <c r="A481" i="199" s="1"/>
  <c r="A482" i="199" s="1"/>
  <c r="A483" i="199" s="1"/>
  <c r="A484" i="199" s="1"/>
  <c r="A485" i="199" s="1"/>
  <c r="A486" i="199" s="1"/>
  <c r="A487" i="199" s="1"/>
  <c r="A488" i="199" s="1"/>
  <c r="A489" i="199" s="1"/>
  <c r="A490" i="199" s="1"/>
  <c r="A491" i="199" s="1"/>
  <c r="A492" i="199" s="1"/>
  <c r="A493" i="199" s="1"/>
  <c r="A494" i="199" s="1"/>
  <c r="A495" i="199" s="1"/>
  <c r="A496" i="199" s="1"/>
  <c r="A497" i="199" s="1"/>
  <c r="A498" i="199" s="1"/>
  <c r="A499" i="199" s="1"/>
  <c r="A500" i="199" s="1"/>
  <c r="A501" i="199" s="1"/>
  <c r="A502" i="199" s="1"/>
  <c r="A503" i="199" s="1"/>
  <c r="A504" i="199" s="1"/>
  <c r="A505" i="199" s="1"/>
  <c r="A506" i="199" s="1"/>
  <c r="A507" i="199" s="1"/>
  <c r="A508" i="199" s="1"/>
  <c r="A509" i="199" s="1"/>
  <c r="A510" i="199" s="1"/>
  <c r="A511" i="199" s="1"/>
  <c r="A512" i="199" s="1"/>
  <c r="A513" i="199" s="1"/>
  <c r="A514" i="199" s="1"/>
  <c r="A515" i="199" s="1"/>
  <c r="A516" i="199" s="1"/>
  <c r="A517" i="199" s="1"/>
  <c r="A518" i="199" s="1"/>
  <c r="A519" i="199" s="1"/>
  <c r="A520" i="199" s="1"/>
  <c r="A521" i="199" s="1"/>
  <c r="A522" i="199" s="1"/>
  <c r="A523" i="199" s="1"/>
  <c r="A524" i="199" s="1"/>
  <c r="A525" i="199" s="1"/>
  <c r="A526" i="199" s="1"/>
  <c r="A527" i="199" s="1"/>
  <c r="A528" i="199" s="1"/>
  <c r="A529" i="199" s="1"/>
  <c r="A530" i="199" s="1"/>
  <c r="A531" i="199" s="1"/>
  <c r="A532" i="199" s="1"/>
  <c r="A533" i="199" s="1"/>
  <c r="A534" i="199" s="1"/>
  <c r="A535" i="199" s="1"/>
  <c r="A536" i="199" s="1"/>
  <c r="A537" i="199" s="1"/>
  <c r="A538" i="199" s="1"/>
  <c r="A539" i="199" s="1"/>
  <c r="A540" i="199" s="1"/>
  <c r="A541" i="199" s="1"/>
  <c r="A542" i="199" s="1"/>
  <c r="A543" i="199" s="1"/>
  <c r="A544" i="199" s="1"/>
  <c r="A545" i="199" s="1"/>
  <c r="A546" i="199" s="1"/>
  <c r="A547" i="199" s="1"/>
  <c r="A548" i="199" s="1"/>
  <c r="A549" i="199" s="1"/>
  <c r="A550" i="199" s="1"/>
  <c r="A551" i="199" s="1"/>
  <c r="A552" i="199" s="1"/>
  <c r="A553" i="199" s="1"/>
  <c r="A554" i="199" s="1"/>
  <c r="A555" i="199" s="1"/>
  <c r="A556" i="199" s="1"/>
  <c r="A557" i="199" s="1"/>
  <c r="A558" i="199" s="1"/>
  <c r="A559" i="199" s="1"/>
  <c r="A560" i="199" s="1"/>
  <c r="A561" i="199" s="1"/>
  <c r="A562" i="199" s="1"/>
  <c r="A563" i="199" s="1"/>
  <c r="A564" i="199" s="1"/>
  <c r="A565" i="199" s="1"/>
  <c r="A566" i="199" s="1"/>
  <c r="A567" i="199" s="1"/>
  <c r="A568" i="199" s="1"/>
  <c r="A569" i="199" s="1"/>
  <c r="A570" i="199" s="1"/>
  <c r="A571" i="199" s="1"/>
  <c r="A572" i="199" s="1"/>
  <c r="A573" i="199" s="1"/>
  <c r="A574" i="199" s="1"/>
  <c r="A575" i="199" s="1"/>
  <c r="A576" i="199" s="1"/>
  <c r="A577" i="199" s="1"/>
  <c r="A578" i="199" s="1"/>
  <c r="A579" i="199" s="1"/>
  <c r="A580" i="199" s="1"/>
  <c r="A581" i="199" s="1"/>
  <c r="A582" i="199" s="1"/>
  <c r="A583" i="199" s="1"/>
  <c r="A584" i="199" s="1"/>
  <c r="A585" i="199" s="1"/>
  <c r="A586" i="199" s="1"/>
  <c r="A587" i="199" s="1"/>
  <c r="A588" i="199" s="1"/>
  <c r="A589" i="199" s="1"/>
  <c r="A590" i="199" s="1"/>
  <c r="A591" i="199" s="1"/>
  <c r="A592" i="199" s="1"/>
  <c r="A593" i="199" s="1"/>
  <c r="A594" i="199" s="1"/>
  <c r="A595" i="199" s="1"/>
  <c r="A596" i="199" s="1"/>
  <c r="A597" i="199" s="1"/>
  <c r="A598" i="199" s="1"/>
  <c r="A599" i="199" s="1"/>
  <c r="A600" i="199" s="1"/>
  <c r="A601" i="199" s="1"/>
  <c r="A602" i="199" s="1"/>
  <c r="A603" i="199" s="1"/>
  <c r="A604" i="199" s="1"/>
  <c r="A605" i="199" s="1"/>
  <c r="A606" i="199" s="1"/>
  <c r="A607" i="199" s="1"/>
  <c r="A608" i="199" s="1"/>
  <c r="A609" i="199" s="1"/>
  <c r="A610" i="199" s="1"/>
  <c r="A611" i="199" s="1"/>
  <c r="A612" i="199" s="1"/>
  <c r="A613" i="199" s="1"/>
  <c r="A614" i="199" s="1"/>
  <c r="A615" i="199" s="1"/>
  <c r="A616" i="199" s="1"/>
  <c r="A617" i="199" s="1"/>
  <c r="A618" i="199" s="1"/>
  <c r="A619" i="199" s="1"/>
  <c r="T467" i="192"/>
  <c r="AA467" i="192"/>
  <c r="AK58" i="189"/>
  <c r="A39" i="189"/>
  <c r="A40" i="189" s="1"/>
  <c r="A41" i="189" s="1"/>
  <c r="A42" i="189" s="1"/>
  <c r="A43" i="189" s="1"/>
  <c r="A44" i="189" s="1"/>
  <c r="A45" i="189" s="1"/>
  <c r="AA57" i="189"/>
  <c r="T57" i="189"/>
  <c r="AA49" i="189"/>
  <c r="T49" i="189"/>
  <c r="AA44" i="189"/>
  <c r="T44" i="189"/>
  <c r="AA46" i="189"/>
  <c r="T46" i="189"/>
  <c r="AA41" i="189"/>
  <c r="T41" i="189"/>
  <c r="AA48" i="189"/>
  <c r="T48" i="189"/>
  <c r="AA45" i="189"/>
  <c r="T45" i="189"/>
  <c r="AA51" i="189"/>
  <c r="T51" i="189"/>
  <c r="AA40" i="189"/>
  <c r="T40" i="189"/>
  <c r="AA39" i="189"/>
  <c r="T39" i="189"/>
  <c r="AA42" i="189"/>
  <c r="T42" i="189"/>
  <c r="AA52" i="189"/>
  <c r="T52" i="189"/>
  <c r="AA53" i="189"/>
  <c r="T53" i="189"/>
  <c r="AA54" i="189"/>
  <c r="T54" i="189"/>
  <c r="AA50" i="189"/>
  <c r="T50" i="189"/>
  <c r="AA56" i="189"/>
  <c r="AA47" i="189"/>
  <c r="T47" i="189"/>
  <c r="AA43" i="189"/>
  <c r="T43" i="189"/>
  <c r="AA317" i="199"/>
  <c r="AI317" i="199" s="1"/>
  <c r="T27" i="199"/>
  <c r="T266" i="199"/>
  <c r="T435" i="199"/>
  <c r="T174" i="199"/>
  <c r="AA272" i="199"/>
  <c r="AI272" i="199" s="1"/>
  <c r="T271" i="199"/>
  <c r="T379" i="199"/>
  <c r="AA401" i="199"/>
  <c r="AI401" i="199" s="1"/>
  <c r="AA28" i="199"/>
  <c r="AI28" i="199" s="1"/>
  <c r="T277" i="199"/>
  <c r="AG130" i="199"/>
  <c r="AA141" i="199"/>
  <c r="AI141" i="199" s="1"/>
  <c r="AG122" i="199"/>
  <c r="AA310" i="199"/>
  <c r="AI310" i="199" s="1"/>
  <c r="N150" i="192"/>
  <c r="AA150" i="192" s="1"/>
  <c r="AA211" i="199"/>
  <c r="AI211" i="199" s="1"/>
  <c r="T211" i="199"/>
  <c r="N240" i="192"/>
  <c r="AA240" i="192" s="1"/>
  <c r="AA329" i="199"/>
  <c r="AI329" i="199" s="1"/>
  <c r="T329" i="199"/>
  <c r="N106" i="192"/>
  <c r="AA106" i="192" s="1"/>
  <c r="AA149" i="199"/>
  <c r="AI149" i="199" s="1"/>
  <c r="T149" i="199"/>
  <c r="N360" i="192"/>
  <c r="AA360" i="192" s="1"/>
  <c r="AG360" i="192" s="1"/>
  <c r="AA485" i="199"/>
  <c r="AI485" i="199" s="1"/>
  <c r="T485" i="199"/>
  <c r="AG139" i="199"/>
  <c r="N208" i="192"/>
  <c r="AA208" i="192" s="1"/>
  <c r="AA295" i="199"/>
  <c r="AI295" i="199" s="1"/>
  <c r="N232" i="192"/>
  <c r="AA232" i="192" s="1"/>
  <c r="AA321" i="199"/>
  <c r="AI321" i="199" s="1"/>
  <c r="N236" i="192"/>
  <c r="AA236" i="192" s="1"/>
  <c r="AA325" i="199"/>
  <c r="AI325" i="199" s="1"/>
  <c r="AG567" i="199"/>
  <c r="AO567" i="199" s="1"/>
  <c r="AG135" i="199"/>
  <c r="T141" i="199"/>
  <c r="T295" i="199"/>
  <c r="T310" i="199"/>
  <c r="T325" i="199"/>
  <c r="T133" i="199"/>
  <c r="T401" i="199"/>
  <c r="AA140" i="199"/>
  <c r="AI140" i="199" s="1"/>
  <c r="N98" i="192"/>
  <c r="AA98" i="192" s="1"/>
  <c r="T142" i="199"/>
  <c r="N100" i="192"/>
  <c r="AA100" i="192" s="1"/>
  <c r="AA145" i="199"/>
  <c r="AI145" i="199" s="1"/>
  <c r="T146" i="199"/>
  <c r="N104" i="192"/>
  <c r="AA153" i="199"/>
  <c r="AI153" i="199" s="1"/>
  <c r="T155" i="199"/>
  <c r="T157" i="199"/>
  <c r="AG195" i="199"/>
  <c r="AH195" i="199"/>
  <c r="AA198" i="199"/>
  <c r="AI198" i="199" s="1"/>
  <c r="N141" i="192"/>
  <c r="AH211" i="199"/>
  <c r="T219" i="199"/>
  <c r="N157" i="192"/>
  <c r="AA157" i="192" s="1"/>
  <c r="T227" i="199"/>
  <c r="N164" i="192"/>
  <c r="AA164" i="192" s="1"/>
  <c r="AA230" i="199"/>
  <c r="AI230" i="199" s="1"/>
  <c r="N167" i="192"/>
  <c r="AA167" i="192" s="1"/>
  <c r="T230" i="199"/>
  <c r="AA237" i="199"/>
  <c r="AI237" i="199" s="1"/>
  <c r="N172" i="192"/>
  <c r="AA172" i="192" s="1"/>
  <c r="T237" i="199"/>
  <c r="AA244" i="199"/>
  <c r="T244" i="199"/>
  <c r="AA252" i="199"/>
  <c r="AI252" i="199" s="1"/>
  <c r="T252" i="199"/>
  <c r="AA259" i="199"/>
  <c r="AI259" i="199" s="1"/>
  <c r="N185" i="192"/>
  <c r="AA185" i="192" s="1"/>
  <c r="T259" i="199"/>
  <c r="AA274" i="199"/>
  <c r="AI274" i="199" s="1"/>
  <c r="T274" i="199"/>
  <c r="AA286" i="199"/>
  <c r="AI286" i="199" s="1"/>
  <c r="N200" i="192"/>
  <c r="AA200" i="192" s="1"/>
  <c r="T286" i="199"/>
  <c r="AA289" i="199"/>
  <c r="AI289" i="199" s="1"/>
  <c r="N203" i="192"/>
  <c r="T289" i="199"/>
  <c r="AA308" i="199"/>
  <c r="AI308" i="199" s="1"/>
  <c r="N220" i="192"/>
  <c r="AA220" i="192" s="1"/>
  <c r="AH313" i="199"/>
  <c r="AA348" i="199"/>
  <c r="AI348" i="199" s="1"/>
  <c r="N252" i="192"/>
  <c r="AA252" i="192" s="1"/>
  <c r="T348" i="199"/>
  <c r="AA356" i="199"/>
  <c r="AI356" i="199" s="1"/>
  <c r="N260" i="192"/>
  <c r="AA260" i="192" s="1"/>
  <c r="T356" i="199"/>
  <c r="AA364" i="199"/>
  <c r="N267" i="192"/>
  <c r="AA267" i="192" s="1"/>
  <c r="T364" i="199"/>
  <c r="AA372" i="199"/>
  <c r="AI372" i="199" s="1"/>
  <c r="N275" i="192"/>
  <c r="AA275" i="192" s="1"/>
  <c r="T372" i="199"/>
  <c r="N282" i="192"/>
  <c r="AA282" i="192" s="1"/>
  <c r="T380" i="199"/>
  <c r="AA380" i="199"/>
  <c r="AI380" i="199" s="1"/>
  <c r="AA438" i="199"/>
  <c r="AI438" i="199" s="1"/>
  <c r="N328" i="192"/>
  <c r="AA328" i="192" s="1"/>
  <c r="T438" i="199"/>
  <c r="AA479" i="199"/>
  <c r="N356" i="192"/>
  <c r="T479" i="199"/>
  <c r="AA480" i="199"/>
  <c r="AI480" i="199" s="1"/>
  <c r="T480" i="199"/>
  <c r="AA9" i="199"/>
  <c r="AG9" i="199" s="1"/>
  <c r="T11" i="199"/>
  <c r="T25" i="199"/>
  <c r="N10" i="189"/>
  <c r="T35" i="199"/>
  <c r="N17" i="192"/>
  <c r="T43" i="199"/>
  <c r="T51" i="199"/>
  <c r="N25" i="192"/>
  <c r="T54" i="199"/>
  <c r="N28" i="192"/>
  <c r="AA28" i="192" s="1"/>
  <c r="AA57" i="199"/>
  <c r="AI57" i="199" s="1"/>
  <c r="N30" i="192"/>
  <c r="AA30" i="192" s="1"/>
  <c r="T59" i="199"/>
  <c r="N32" i="192"/>
  <c r="AA32" i="192" s="1"/>
  <c r="T67" i="199"/>
  <c r="N39" i="192"/>
  <c r="AA39" i="192" s="1"/>
  <c r="T75" i="199"/>
  <c r="N47" i="192"/>
  <c r="AA47" i="192" s="1"/>
  <c r="T78" i="199"/>
  <c r="N50" i="192"/>
  <c r="AA50" i="192" s="1"/>
  <c r="AA81" i="199"/>
  <c r="AI81" i="199" s="1"/>
  <c r="N16" i="189"/>
  <c r="T83" i="199"/>
  <c r="N54" i="192"/>
  <c r="AA54" i="192" s="1"/>
  <c r="T91" i="199"/>
  <c r="N60" i="192"/>
  <c r="AA60" i="192" s="1"/>
  <c r="T102" i="199"/>
  <c r="N69" i="192"/>
  <c r="T107" i="199"/>
  <c r="N74" i="192"/>
  <c r="AA74" i="192" s="1"/>
  <c r="T110" i="199"/>
  <c r="N77" i="192"/>
  <c r="AA113" i="199"/>
  <c r="AI113" i="199" s="1"/>
  <c r="N80" i="192"/>
  <c r="AA80" i="192" s="1"/>
  <c r="T115" i="199"/>
  <c r="N34" i="189"/>
  <c r="AA20" i="199"/>
  <c r="AG20" i="199" s="1"/>
  <c r="N7" i="192"/>
  <c r="AA7" i="192" s="1"/>
  <c r="T22" i="199"/>
  <c r="N9" i="192"/>
  <c r="AA9" i="192" s="1"/>
  <c r="AG38" i="199"/>
  <c r="AG70" i="199"/>
  <c r="AA72" i="199"/>
  <c r="N44" i="192"/>
  <c r="AA44" i="192" s="1"/>
  <c r="AA80" i="199"/>
  <c r="AI80" i="199" s="1"/>
  <c r="N52" i="192"/>
  <c r="T81" i="199"/>
  <c r="AA96" i="199"/>
  <c r="AI96" i="199" s="1"/>
  <c r="N65" i="192"/>
  <c r="AA65" i="192" s="1"/>
  <c r="AA104" i="199"/>
  <c r="AI104" i="199" s="1"/>
  <c r="N71" i="192"/>
  <c r="AA71" i="192" s="1"/>
  <c r="AG118" i="199"/>
  <c r="T123" i="199"/>
  <c r="N87" i="192"/>
  <c r="AA87" i="192" s="1"/>
  <c r="T131" i="199"/>
  <c r="N93" i="192"/>
  <c r="AA93" i="192" s="1"/>
  <c r="T134" i="199"/>
  <c r="N15" i="189"/>
  <c r="T137" i="199"/>
  <c r="T143" i="199"/>
  <c r="N101" i="192"/>
  <c r="AA101" i="192" s="1"/>
  <c r="AA144" i="199"/>
  <c r="AI144" i="199" s="1"/>
  <c r="N102" i="192"/>
  <c r="AA102" i="192" s="1"/>
  <c r="T158" i="199"/>
  <c r="N110" i="192"/>
  <c r="AA110" i="192" s="1"/>
  <c r="T163" i="199"/>
  <c r="N26" i="189"/>
  <c r="T167" i="199"/>
  <c r="T171" i="199"/>
  <c r="N120" i="192"/>
  <c r="AA120" i="192" s="1"/>
  <c r="T175" i="199"/>
  <c r="N122" i="192"/>
  <c r="AA122" i="192" s="1"/>
  <c r="T179" i="199"/>
  <c r="N126" i="192"/>
  <c r="AA126" i="192" s="1"/>
  <c r="T183" i="199"/>
  <c r="N129" i="192"/>
  <c r="AA129" i="192" s="1"/>
  <c r="AG191" i="199"/>
  <c r="AH191" i="199"/>
  <c r="AA194" i="199"/>
  <c r="N139" i="192"/>
  <c r="AA139" i="192" s="1"/>
  <c r="AG207" i="199"/>
  <c r="AH207" i="199"/>
  <c r="AA210" i="199"/>
  <c r="N149" i="192"/>
  <c r="AA149" i="192" s="1"/>
  <c r="T215" i="199"/>
  <c r="N154" i="192"/>
  <c r="AA154" i="192" s="1"/>
  <c r="T223" i="199"/>
  <c r="N160" i="192"/>
  <c r="T234" i="199"/>
  <c r="N169" i="192"/>
  <c r="AA169" i="192" s="1"/>
  <c r="AA234" i="199"/>
  <c r="AI234" i="199" s="1"/>
  <c r="T241" i="199"/>
  <c r="N5" i="187"/>
  <c r="AA241" i="199"/>
  <c r="AI241" i="199" s="1"/>
  <c r="T249" i="199"/>
  <c r="N180" i="192"/>
  <c r="AA249" i="199"/>
  <c r="AI249" i="199" s="1"/>
  <c r="T257" i="199"/>
  <c r="N184" i="192"/>
  <c r="AA184" i="192" s="1"/>
  <c r="AA257" i="199"/>
  <c r="T284" i="199"/>
  <c r="N23" i="189"/>
  <c r="AA284" i="199"/>
  <c r="AI284" i="199" s="1"/>
  <c r="T338" i="199"/>
  <c r="N247" i="192"/>
  <c r="AA247" i="192" s="1"/>
  <c r="AA338" i="199"/>
  <c r="AI338" i="199" s="1"/>
  <c r="AA340" i="199"/>
  <c r="AI340" i="199" s="1"/>
  <c r="T340" i="199"/>
  <c r="T389" i="199"/>
  <c r="N288" i="192"/>
  <c r="AA288" i="192" s="1"/>
  <c r="AA389" i="199"/>
  <c r="AI389" i="199" s="1"/>
  <c r="AA399" i="199"/>
  <c r="AI399" i="199" s="1"/>
  <c r="N296" i="192"/>
  <c r="AA296" i="192" s="1"/>
  <c r="AA400" i="199"/>
  <c r="AI400" i="199" s="1"/>
  <c r="N297" i="192"/>
  <c r="T400" i="199"/>
  <c r="N324" i="192"/>
  <c r="AA324" i="192" s="1"/>
  <c r="T432" i="199"/>
  <c r="AA432" i="199"/>
  <c r="AA452" i="199"/>
  <c r="AI452" i="199" s="1"/>
  <c r="N339" i="192"/>
  <c r="AA339" i="192" s="1"/>
  <c r="T452" i="199"/>
  <c r="AA453" i="199"/>
  <c r="AI453" i="199" s="1"/>
  <c r="N340" i="192"/>
  <c r="AA340" i="192" s="1"/>
  <c r="T453" i="199"/>
  <c r="T475" i="199"/>
  <c r="AA475" i="199"/>
  <c r="AI475" i="199" s="1"/>
  <c r="AA11" i="199"/>
  <c r="AI11" i="199" s="1"/>
  <c r="AA16" i="199"/>
  <c r="AI16" i="199" s="1"/>
  <c r="N4" i="192"/>
  <c r="AA4" i="192" s="1"/>
  <c r="T17" i="199"/>
  <c r="N5" i="192"/>
  <c r="AA5" i="192" s="1"/>
  <c r="T18" i="199"/>
  <c r="N6" i="192"/>
  <c r="AA19" i="199"/>
  <c r="AG19" i="199" s="1"/>
  <c r="N20" i="189"/>
  <c r="T20" i="199"/>
  <c r="AA25" i="199"/>
  <c r="AI25" i="199" s="1"/>
  <c r="AA31" i="199"/>
  <c r="AG31" i="199" s="1"/>
  <c r="AO31" i="199" s="1"/>
  <c r="N13" i="192"/>
  <c r="AA13" i="192" s="1"/>
  <c r="T32" i="199"/>
  <c r="N14" i="192"/>
  <c r="AA14" i="192" s="1"/>
  <c r="T33" i="199"/>
  <c r="N15" i="192"/>
  <c r="AA15" i="192" s="1"/>
  <c r="T34" i="199"/>
  <c r="N16" i="192"/>
  <c r="AA16" i="192" s="1"/>
  <c r="AA37" i="199"/>
  <c r="AI37" i="199" s="1"/>
  <c r="N4" i="188"/>
  <c r="T39" i="199"/>
  <c r="N20" i="192"/>
  <c r="AA20" i="192" s="1"/>
  <c r="T42" i="199"/>
  <c r="N29" i="189"/>
  <c r="AA45" i="199"/>
  <c r="N23" i="192"/>
  <c r="AA23" i="192" s="1"/>
  <c r="T47" i="199"/>
  <c r="N30" i="189"/>
  <c r="T50" i="199"/>
  <c r="N28" i="189"/>
  <c r="AA53" i="199"/>
  <c r="AI53" i="199" s="1"/>
  <c r="N27" i="192"/>
  <c r="AA27" i="192" s="1"/>
  <c r="AA54" i="199"/>
  <c r="T55" i="199"/>
  <c r="N4" i="185"/>
  <c r="T58" i="199"/>
  <c r="N31" i="192"/>
  <c r="AA31" i="192" s="1"/>
  <c r="AA61" i="199"/>
  <c r="AI61" i="199" s="1"/>
  <c r="N34" i="192"/>
  <c r="AA34" i="192" s="1"/>
  <c r="T63" i="199"/>
  <c r="N36" i="192"/>
  <c r="T66" i="199"/>
  <c r="N17" i="189"/>
  <c r="AA69" i="199"/>
  <c r="AI69" i="199" s="1"/>
  <c r="N41" i="192"/>
  <c r="T71" i="199"/>
  <c r="N43" i="192"/>
  <c r="AA43" i="192" s="1"/>
  <c r="T74" i="199"/>
  <c r="N46" i="192"/>
  <c r="AA46" i="192" s="1"/>
  <c r="AA77" i="199"/>
  <c r="AI77" i="199" s="1"/>
  <c r="N49" i="192"/>
  <c r="AA49" i="192" s="1"/>
  <c r="AA78" i="199"/>
  <c r="AI78" i="199" s="1"/>
  <c r="T79" i="199"/>
  <c r="N51" i="192"/>
  <c r="AA51" i="192" s="1"/>
  <c r="T82" i="199"/>
  <c r="N53" i="192"/>
  <c r="AA53" i="192" s="1"/>
  <c r="AA85" i="199"/>
  <c r="N56" i="192"/>
  <c r="AA56" i="192" s="1"/>
  <c r="T87" i="199"/>
  <c r="N57" i="192"/>
  <c r="AA57" i="192" s="1"/>
  <c r="T90" i="199"/>
  <c r="N59" i="192"/>
  <c r="AA59" i="192" s="1"/>
  <c r="AA93" i="199"/>
  <c r="AI93" i="199" s="1"/>
  <c r="N62" i="192"/>
  <c r="AA62" i="192" s="1"/>
  <c r="T95" i="199"/>
  <c r="N64" i="192"/>
  <c r="AA64" i="192" s="1"/>
  <c r="T98" i="199"/>
  <c r="N21" i="189"/>
  <c r="AA101" i="199"/>
  <c r="N68" i="192"/>
  <c r="AA68" i="192" s="1"/>
  <c r="AA102" i="199"/>
  <c r="AI102" i="199" s="1"/>
  <c r="T103" i="199"/>
  <c r="N70" i="192"/>
  <c r="AA70" i="192" s="1"/>
  <c r="T106" i="199"/>
  <c r="N73" i="192"/>
  <c r="AA73" i="192" s="1"/>
  <c r="AA109" i="199"/>
  <c r="AI109" i="199" s="1"/>
  <c r="N76" i="192"/>
  <c r="AA110" i="199"/>
  <c r="AI110" i="199" s="1"/>
  <c r="T111" i="199"/>
  <c r="N78" i="192"/>
  <c r="AA78" i="192" s="1"/>
  <c r="T114" i="199"/>
  <c r="N81" i="192"/>
  <c r="AA81" i="192" s="1"/>
  <c r="AA117" i="199"/>
  <c r="AI117" i="199" s="1"/>
  <c r="T119" i="199"/>
  <c r="N84" i="192"/>
  <c r="AA84" i="192" s="1"/>
  <c r="AA120" i="199"/>
  <c r="AI120" i="199" s="1"/>
  <c r="N85" i="192"/>
  <c r="AA85" i="192" s="1"/>
  <c r="AA128" i="199"/>
  <c r="AI128" i="199" s="1"/>
  <c r="AA133" i="199"/>
  <c r="AI133" i="199" s="1"/>
  <c r="AA142" i="199"/>
  <c r="AI142" i="199" s="1"/>
  <c r="T145" i="199"/>
  <c r="AK145" i="199"/>
  <c r="AA146" i="199"/>
  <c r="AI146" i="199" s="1"/>
  <c r="T147" i="199"/>
  <c r="N105" i="192"/>
  <c r="AA105" i="192" s="1"/>
  <c r="T150" i="199"/>
  <c r="N24" i="189"/>
  <c r="T153" i="199"/>
  <c r="T154" i="199"/>
  <c r="N108" i="192"/>
  <c r="AA108" i="192" s="1"/>
  <c r="AA155" i="199"/>
  <c r="AG155" i="199" s="1"/>
  <c r="AA157" i="199"/>
  <c r="T159" i="199"/>
  <c r="N111" i="192"/>
  <c r="AA111" i="192" s="1"/>
  <c r="AG187" i="199"/>
  <c r="AH187" i="199"/>
  <c r="AA190" i="199"/>
  <c r="AI190" i="199" s="1"/>
  <c r="N135" i="192"/>
  <c r="AA135" i="192" s="1"/>
  <c r="T194" i="199"/>
  <c r="AG203" i="199"/>
  <c r="AH203" i="199"/>
  <c r="AA206" i="199"/>
  <c r="AI206" i="199" s="1"/>
  <c r="N145" i="192"/>
  <c r="AA145" i="192" s="1"/>
  <c r="T210" i="199"/>
  <c r="AA219" i="199"/>
  <c r="AA227" i="199"/>
  <c r="AI227" i="199" s="1"/>
  <c r="AA263" i="199"/>
  <c r="AI263" i="199" s="1"/>
  <c r="N189" i="192"/>
  <c r="AA189" i="192" s="1"/>
  <c r="T263" i="199"/>
  <c r="T268" i="199"/>
  <c r="N191" i="192"/>
  <c r="AA191" i="192" s="1"/>
  <c r="AA268" i="199"/>
  <c r="AI268" i="199" s="1"/>
  <c r="AA278" i="199"/>
  <c r="N194" i="192"/>
  <c r="AA194" i="192" s="1"/>
  <c r="T278" i="199"/>
  <c r="AA281" i="199"/>
  <c r="AI281" i="199" s="1"/>
  <c r="N196" i="192"/>
  <c r="AA196" i="192" s="1"/>
  <c r="T281" i="199"/>
  <c r="AA294" i="199"/>
  <c r="AI294" i="199" s="1"/>
  <c r="N207" i="192"/>
  <c r="AA207" i="192" s="1"/>
  <c r="T294" i="199"/>
  <c r="T306" i="199"/>
  <c r="N17" i="185"/>
  <c r="AA306" i="199"/>
  <c r="AI306" i="199" s="1"/>
  <c r="AA316" i="199"/>
  <c r="N227" i="192"/>
  <c r="AA227" i="192" s="1"/>
  <c r="T316" i="199"/>
  <c r="N243" i="192"/>
  <c r="AA243" i="192" s="1"/>
  <c r="T333" i="199"/>
  <c r="AA333" i="199"/>
  <c r="AI333" i="199" s="1"/>
  <c r="AA335" i="199"/>
  <c r="AI335" i="199" s="1"/>
  <c r="N245" i="192"/>
  <c r="AA245" i="192" s="1"/>
  <c r="T335" i="199"/>
  <c r="AA483" i="199"/>
  <c r="AI483" i="199" s="1"/>
  <c r="N358" i="192"/>
  <c r="T483" i="199"/>
  <c r="AA484" i="199"/>
  <c r="AI484" i="199" s="1"/>
  <c r="N359" i="192"/>
  <c r="T484" i="199"/>
  <c r="T10" i="199"/>
  <c r="N11" i="193"/>
  <c r="AA12" i="199"/>
  <c r="AG12" i="199" s="1"/>
  <c r="N6" i="189"/>
  <c r="T24" i="199"/>
  <c r="N11" i="192"/>
  <c r="AA11" i="192" s="1"/>
  <c r="AA26" i="199"/>
  <c r="AG26" i="199" s="1"/>
  <c r="N25" i="189"/>
  <c r="T38" i="199"/>
  <c r="AO38" i="199" s="1"/>
  <c r="N19" i="192"/>
  <c r="AA19" i="192" s="1"/>
  <c r="AA41" i="199"/>
  <c r="AI41" i="199" s="1"/>
  <c r="N21" i="192"/>
  <c r="AA21" i="192" s="1"/>
  <c r="T46" i="199"/>
  <c r="N11" i="189"/>
  <c r="AA49" i="199"/>
  <c r="AI49" i="199" s="1"/>
  <c r="T62" i="199"/>
  <c r="N35" i="192"/>
  <c r="AA35" i="192" s="1"/>
  <c r="AA65" i="199"/>
  <c r="AI65" i="199" s="1"/>
  <c r="N38" i="192"/>
  <c r="AA38" i="192" s="1"/>
  <c r="T70" i="199"/>
  <c r="N42" i="192"/>
  <c r="AA42" i="192" s="1"/>
  <c r="AA73" i="199"/>
  <c r="AI73" i="199" s="1"/>
  <c r="N45" i="192"/>
  <c r="AA45" i="192" s="1"/>
  <c r="T86" i="199"/>
  <c r="N37" i="189"/>
  <c r="T94" i="199"/>
  <c r="N63" i="192"/>
  <c r="AA63" i="192" s="1"/>
  <c r="AA97" i="199"/>
  <c r="AI97" i="199" s="1"/>
  <c r="N66" i="192"/>
  <c r="AA66" i="192" s="1"/>
  <c r="T99" i="199"/>
  <c r="N22" i="189"/>
  <c r="AA105" i="199"/>
  <c r="AI105" i="199" s="1"/>
  <c r="N72" i="192"/>
  <c r="AA72" i="192" s="1"/>
  <c r="T118" i="199"/>
  <c r="N83" i="192"/>
  <c r="AA83" i="192" s="1"/>
  <c r="AA124" i="199"/>
  <c r="AI124" i="199" s="1"/>
  <c r="N88" i="192"/>
  <c r="AA88" i="192" s="1"/>
  <c r="AA132" i="199"/>
  <c r="AI132" i="199" s="1"/>
  <c r="N94" i="192"/>
  <c r="AA94" i="192" s="1"/>
  <c r="T135" i="199"/>
  <c r="N5" i="185"/>
  <c r="AA136" i="199"/>
  <c r="AI136" i="199" s="1"/>
  <c r="N96" i="192"/>
  <c r="AA8" i="199"/>
  <c r="AI8" i="199" s="1"/>
  <c r="N5" i="189"/>
  <c r="T9" i="199"/>
  <c r="AG10" i="199"/>
  <c r="T21" i="199"/>
  <c r="N8" i="192"/>
  <c r="AA8" i="192" s="1"/>
  <c r="AA23" i="199"/>
  <c r="AG23" i="199" s="1"/>
  <c r="N10" i="192"/>
  <c r="AG24" i="199"/>
  <c r="AA40" i="199"/>
  <c r="AI40" i="199" s="1"/>
  <c r="T41" i="199"/>
  <c r="AG46" i="199"/>
  <c r="AA48" i="199"/>
  <c r="AI48" i="199" s="1"/>
  <c r="N24" i="192"/>
  <c r="T49" i="199"/>
  <c r="AA56" i="199"/>
  <c r="AI56" i="199" s="1"/>
  <c r="N29" i="192"/>
  <c r="T57" i="199"/>
  <c r="AG62" i="199"/>
  <c r="AA64" i="199"/>
  <c r="AI64" i="199" s="1"/>
  <c r="N37" i="192"/>
  <c r="T65" i="199"/>
  <c r="AG86" i="199"/>
  <c r="AA88" i="199"/>
  <c r="AI88" i="199" s="1"/>
  <c r="N58" i="192"/>
  <c r="AA58" i="192" s="1"/>
  <c r="T89" i="199"/>
  <c r="AG94" i="199"/>
  <c r="AA112" i="199"/>
  <c r="N79" i="192"/>
  <c r="AA79" i="192" s="1"/>
  <c r="T113" i="199"/>
  <c r="AA121" i="199"/>
  <c r="AI121" i="199" s="1"/>
  <c r="N12" i="193"/>
  <c r="T126" i="199"/>
  <c r="N90" i="192"/>
  <c r="AA90" i="192" s="1"/>
  <c r="AA129" i="199"/>
  <c r="AI129" i="199" s="1"/>
  <c r="N91" i="192"/>
  <c r="AA91" i="192" s="1"/>
  <c r="T138" i="199"/>
  <c r="N97" i="192"/>
  <c r="AA97" i="192" s="1"/>
  <c r="AA148" i="199"/>
  <c r="AI148" i="199" s="1"/>
  <c r="N31" i="189"/>
  <c r="T151" i="199"/>
  <c r="N7" i="185"/>
  <c r="AA152" i="199"/>
  <c r="AI152" i="199" s="1"/>
  <c r="N107" i="192"/>
  <c r="AA107" i="192" s="1"/>
  <c r="AA156" i="199"/>
  <c r="AI156" i="199" s="1"/>
  <c r="N109" i="192"/>
  <c r="AA109" i="192" s="1"/>
  <c r="AA13" i="199"/>
  <c r="AG13" i="199" s="1"/>
  <c r="AO13" i="199" s="1"/>
  <c r="N7" i="189"/>
  <c r="AA15" i="199"/>
  <c r="AG15" i="199" s="1"/>
  <c r="AG17" i="199"/>
  <c r="AA21" i="199"/>
  <c r="AI21" i="199" s="1"/>
  <c r="AA22" i="199"/>
  <c r="AI22" i="199" s="1"/>
  <c r="AA27" i="199"/>
  <c r="AI27" i="199" s="1"/>
  <c r="T28" i="199"/>
  <c r="T29" i="199"/>
  <c r="N27" i="189"/>
  <c r="AA30" i="199"/>
  <c r="N12" i="192"/>
  <c r="AA12" i="192" s="1"/>
  <c r="AG32" i="199"/>
  <c r="AG34" i="199"/>
  <c r="AA36" i="199"/>
  <c r="N18" i="192"/>
  <c r="AA18" i="192" s="1"/>
  <c r="AG42" i="199"/>
  <c r="AA44" i="199"/>
  <c r="AI44" i="199" s="1"/>
  <c r="N22" i="192"/>
  <c r="AA22" i="192" s="1"/>
  <c r="AG50" i="199"/>
  <c r="AA52" i="199"/>
  <c r="AI52" i="199" s="1"/>
  <c r="N26" i="192"/>
  <c r="AA26" i="192" s="1"/>
  <c r="AG58" i="199"/>
  <c r="AA60" i="199"/>
  <c r="AI60" i="199" s="1"/>
  <c r="N33" i="192"/>
  <c r="AA33" i="192" s="1"/>
  <c r="AG66" i="199"/>
  <c r="AA68" i="199"/>
  <c r="N40" i="192"/>
  <c r="AA40" i="192" s="1"/>
  <c r="AG74" i="199"/>
  <c r="AA76" i="199"/>
  <c r="AI76" i="199" s="1"/>
  <c r="N48" i="192"/>
  <c r="AG82" i="199"/>
  <c r="AA84" i="199"/>
  <c r="AI84" i="199" s="1"/>
  <c r="N55" i="192"/>
  <c r="AA55" i="192" s="1"/>
  <c r="AG90" i="199"/>
  <c r="AA92" i="199"/>
  <c r="AI92" i="199" s="1"/>
  <c r="N61" i="192"/>
  <c r="AA61" i="192" s="1"/>
  <c r="AG98" i="199"/>
  <c r="AA100" i="199"/>
  <c r="N67" i="192"/>
  <c r="AA67" i="192" s="1"/>
  <c r="AG106" i="199"/>
  <c r="AA108" i="199"/>
  <c r="AI108" i="199" s="1"/>
  <c r="N75" i="192"/>
  <c r="AA75" i="192" s="1"/>
  <c r="AG114" i="199"/>
  <c r="AA116" i="199"/>
  <c r="AI116" i="199" s="1"/>
  <c r="N82" i="192"/>
  <c r="AA82" i="192" s="1"/>
  <c r="T122" i="199"/>
  <c r="N86" i="192"/>
  <c r="AA86" i="192" s="1"/>
  <c r="AH122" i="199"/>
  <c r="AA125" i="199"/>
  <c r="AI125" i="199" s="1"/>
  <c r="N89" i="192"/>
  <c r="AA126" i="199"/>
  <c r="AI126" i="199" s="1"/>
  <c r="T127" i="199"/>
  <c r="T130" i="199"/>
  <c r="N92" i="192"/>
  <c r="AA92" i="192" s="1"/>
  <c r="AH130" i="199"/>
  <c r="AA134" i="199"/>
  <c r="AI134" i="199" s="1"/>
  <c r="AA137" i="199"/>
  <c r="AA138" i="199"/>
  <c r="AI138" i="199" s="1"/>
  <c r="T139" i="199"/>
  <c r="AG150" i="199"/>
  <c r="AA151" i="199"/>
  <c r="AG151" i="199" s="1"/>
  <c r="AA33" i="189"/>
  <c r="T33" i="189"/>
  <c r="AA158" i="199"/>
  <c r="AA162" i="199"/>
  <c r="AI162" i="199" s="1"/>
  <c r="N32" i="189"/>
  <c r="AA163" i="199"/>
  <c r="AI163" i="199" s="1"/>
  <c r="AA166" i="199"/>
  <c r="N116" i="192"/>
  <c r="AA116" i="192" s="1"/>
  <c r="AA167" i="199"/>
  <c r="AI167" i="199" s="1"/>
  <c r="AA170" i="199"/>
  <c r="AI170" i="199" s="1"/>
  <c r="N119" i="192"/>
  <c r="AA119" i="192" s="1"/>
  <c r="AA171" i="199"/>
  <c r="AI171" i="199" s="1"/>
  <c r="AA174" i="199"/>
  <c r="AI174" i="199" s="1"/>
  <c r="AA175" i="199"/>
  <c r="AA178" i="199"/>
  <c r="AI178" i="199" s="1"/>
  <c r="N125" i="192"/>
  <c r="AA125" i="192" s="1"/>
  <c r="AA179" i="199"/>
  <c r="AI179" i="199" s="1"/>
  <c r="AA182" i="199"/>
  <c r="AI182" i="199" s="1"/>
  <c r="N4" i="193"/>
  <c r="AA183" i="199"/>
  <c r="AI183" i="199" s="1"/>
  <c r="AA186" i="199"/>
  <c r="AI186" i="199" s="1"/>
  <c r="N131" i="192"/>
  <c r="AA131" i="192" s="1"/>
  <c r="T190" i="199"/>
  <c r="AG199" i="199"/>
  <c r="AH199" i="199"/>
  <c r="AA202" i="199"/>
  <c r="AI202" i="199" s="1"/>
  <c r="N4" i="187"/>
  <c r="T206" i="199"/>
  <c r="AA214" i="199"/>
  <c r="AI214" i="199" s="1"/>
  <c r="N153" i="192"/>
  <c r="AH214" i="199"/>
  <c r="AA215" i="199"/>
  <c r="AI215" i="199" s="1"/>
  <c r="T216" i="199"/>
  <c r="N35" i="189"/>
  <c r="AA216" i="199"/>
  <c r="AI216" i="199" s="1"/>
  <c r="AA222" i="199"/>
  <c r="AI222" i="199" s="1"/>
  <c r="N159" i="192"/>
  <c r="AA159" i="192" s="1"/>
  <c r="AH222" i="199"/>
  <c r="AA223" i="199"/>
  <c r="AI223" i="199" s="1"/>
  <c r="T276" i="199"/>
  <c r="N193" i="192"/>
  <c r="AA193" i="192" s="1"/>
  <c r="AA276" i="199"/>
  <c r="AI276" i="199" s="1"/>
  <c r="T292" i="199"/>
  <c r="N205" i="192"/>
  <c r="AA205" i="192" s="1"/>
  <c r="AA292" i="199"/>
  <c r="AA298" i="199"/>
  <c r="AI298" i="199" s="1"/>
  <c r="N211" i="192"/>
  <c r="AA211" i="192" s="1"/>
  <c r="T298" i="199"/>
  <c r="AA309" i="199"/>
  <c r="N221" i="192"/>
  <c r="AA221" i="192" s="1"/>
  <c r="T309" i="199"/>
  <c r="AA312" i="199"/>
  <c r="AI312" i="199" s="1"/>
  <c r="N18" i="189"/>
  <c r="T312" i="199"/>
  <c r="AA323" i="199"/>
  <c r="AI323" i="199" s="1"/>
  <c r="N234" i="192"/>
  <c r="AA234" i="192" s="1"/>
  <c r="T323" i="199"/>
  <c r="N302" i="192"/>
  <c r="AA302" i="192" s="1"/>
  <c r="T405" i="199"/>
  <c r="AA405" i="199"/>
  <c r="AI405" i="199" s="1"/>
  <c r="AA416" i="199"/>
  <c r="AI416" i="199" s="1"/>
  <c r="T416" i="199"/>
  <c r="N11" i="187"/>
  <c r="T436" i="199"/>
  <c r="AA436" i="199"/>
  <c r="AI436" i="199" s="1"/>
  <c r="T446" i="199"/>
  <c r="N334" i="192"/>
  <c r="AA334" i="192" s="1"/>
  <c r="AA446" i="199"/>
  <c r="AI446" i="199" s="1"/>
  <c r="T187" i="199"/>
  <c r="N132" i="192"/>
  <c r="AA132" i="192" s="1"/>
  <c r="T191" i="199"/>
  <c r="N136" i="192"/>
  <c r="AA136" i="192" s="1"/>
  <c r="T195" i="199"/>
  <c r="N8" i="193"/>
  <c r="T199" i="199"/>
  <c r="N142" i="192"/>
  <c r="AA142" i="192" s="1"/>
  <c r="T203" i="199"/>
  <c r="N143" i="192"/>
  <c r="AA143" i="192" s="1"/>
  <c r="T207" i="199"/>
  <c r="N146" i="192"/>
  <c r="AA146" i="192" s="1"/>
  <c r="T212" i="199"/>
  <c r="N151" i="192"/>
  <c r="AA151" i="192" s="1"/>
  <c r="AA213" i="199"/>
  <c r="AI213" i="199" s="1"/>
  <c r="N152" i="192"/>
  <c r="AA152" i="192" s="1"/>
  <c r="AA217" i="199"/>
  <c r="AI217" i="199" s="1"/>
  <c r="N155" i="192"/>
  <c r="AA155" i="192" s="1"/>
  <c r="AA218" i="199"/>
  <c r="AI218" i="199" s="1"/>
  <c r="N156" i="192"/>
  <c r="T220" i="199"/>
  <c r="N158" i="192"/>
  <c r="AA158" i="192" s="1"/>
  <c r="AA221" i="199"/>
  <c r="AI221" i="199" s="1"/>
  <c r="N9" i="193"/>
  <c r="AA225" i="199"/>
  <c r="AI225" i="199" s="1"/>
  <c r="N162" i="192"/>
  <c r="AA162" i="192" s="1"/>
  <c r="AA226" i="199"/>
  <c r="AI226" i="199" s="1"/>
  <c r="N163" i="192"/>
  <c r="AA163" i="192" s="1"/>
  <c r="T228" i="199"/>
  <c r="N165" i="192"/>
  <c r="AA165" i="192" s="1"/>
  <c r="AA229" i="199"/>
  <c r="N166" i="192"/>
  <c r="AA166" i="192" s="1"/>
  <c r="AG231" i="199"/>
  <c r="AA232" i="199"/>
  <c r="AI232" i="199" s="1"/>
  <c r="N5" i="196"/>
  <c r="AA233" i="199"/>
  <c r="AI233" i="199" s="1"/>
  <c r="N168" i="192"/>
  <c r="AA168" i="192" s="1"/>
  <c r="T235" i="199"/>
  <c r="N170" i="192"/>
  <c r="AA170" i="192" s="1"/>
  <c r="AA236" i="199"/>
  <c r="AI236" i="199" s="1"/>
  <c r="N171" i="192"/>
  <c r="AA171" i="192" s="1"/>
  <c r="AG238" i="199"/>
  <c r="AA239" i="199"/>
  <c r="AI239" i="199" s="1"/>
  <c r="N173" i="192"/>
  <c r="AA173" i="192" s="1"/>
  <c r="AA240" i="199"/>
  <c r="AI240" i="199" s="1"/>
  <c r="N174" i="192"/>
  <c r="AA174" i="192" s="1"/>
  <c r="T242" i="199"/>
  <c r="N175" i="192"/>
  <c r="AA175" i="192" s="1"/>
  <c r="AA243" i="199"/>
  <c r="AI243" i="199" s="1"/>
  <c r="N14" i="185"/>
  <c r="AG245" i="199"/>
  <c r="AA247" i="199"/>
  <c r="AI247" i="199" s="1"/>
  <c r="N178" i="192"/>
  <c r="AA178" i="192" s="1"/>
  <c r="AA248" i="199"/>
  <c r="AI248" i="199" s="1"/>
  <c r="N179" i="192"/>
  <c r="T250" i="199"/>
  <c r="N181" i="192"/>
  <c r="AA181" i="192" s="1"/>
  <c r="AA251" i="199"/>
  <c r="AI251" i="199" s="1"/>
  <c r="N182" i="192"/>
  <c r="AA182" i="192" s="1"/>
  <c r="AG253" i="199"/>
  <c r="AA255" i="199"/>
  <c r="AI255" i="199" s="1"/>
  <c r="N5" i="188"/>
  <c r="AA256" i="199"/>
  <c r="N15" i="185"/>
  <c r="AA258" i="199"/>
  <c r="AA262" i="199"/>
  <c r="AI262" i="199" s="1"/>
  <c r="N188" i="192"/>
  <c r="AA188" i="192" s="1"/>
  <c r="AA267" i="199"/>
  <c r="N6" i="188"/>
  <c r="T269" i="199"/>
  <c r="N16" i="185"/>
  <c r="AA270" i="199"/>
  <c r="AI270" i="199" s="1"/>
  <c r="N192" i="192"/>
  <c r="AA192" i="192" s="1"/>
  <c r="T275" i="199"/>
  <c r="T280" i="199"/>
  <c r="N7" i="187"/>
  <c r="T283" i="199"/>
  <c r="N198" i="192"/>
  <c r="AA198" i="192" s="1"/>
  <c r="T288" i="199"/>
  <c r="N202" i="192"/>
  <c r="AA202" i="192" s="1"/>
  <c r="T291" i="199"/>
  <c r="N204" i="192"/>
  <c r="AA204" i="192" s="1"/>
  <c r="AA297" i="199"/>
  <c r="N210" i="192"/>
  <c r="AA210" i="192" s="1"/>
  <c r="T303" i="199"/>
  <c r="N216" i="192"/>
  <c r="AA216" i="192" s="1"/>
  <c r="AA304" i="199"/>
  <c r="N217" i="192"/>
  <c r="AA217" i="192" s="1"/>
  <c r="AA305" i="199"/>
  <c r="AI305" i="199" s="1"/>
  <c r="N218" i="192"/>
  <c r="AA218" i="192" s="1"/>
  <c r="T313" i="199"/>
  <c r="T317" i="199"/>
  <c r="AA319" i="199"/>
  <c r="AI319" i="199" s="1"/>
  <c r="N230" i="192"/>
  <c r="AA230" i="192" s="1"/>
  <c r="T321" i="199"/>
  <c r="AA328" i="199"/>
  <c r="AI328" i="199" s="1"/>
  <c r="N239" i="192"/>
  <c r="AA239" i="192" s="1"/>
  <c r="AA331" i="199"/>
  <c r="AI331" i="199" s="1"/>
  <c r="N241" i="192"/>
  <c r="AA241" i="192" s="1"/>
  <c r="AA332" i="199"/>
  <c r="AI332" i="199" s="1"/>
  <c r="N242" i="192"/>
  <c r="AA242" i="192" s="1"/>
  <c r="T334" i="199"/>
  <c r="N244" i="192"/>
  <c r="AA244" i="192" s="1"/>
  <c r="T337" i="199"/>
  <c r="N18" i="185"/>
  <c r="AA343" i="199"/>
  <c r="AI343" i="199" s="1"/>
  <c r="N12" i="189"/>
  <c r="AA351" i="199"/>
  <c r="AI351" i="199" s="1"/>
  <c r="N255" i="192"/>
  <c r="AA255" i="192" s="1"/>
  <c r="AA359" i="199"/>
  <c r="AI359" i="199" s="1"/>
  <c r="N263" i="192"/>
  <c r="AA263" i="192" s="1"/>
  <c r="AA367" i="199"/>
  <c r="AI367" i="199" s="1"/>
  <c r="N270" i="192"/>
  <c r="AA270" i="192" s="1"/>
  <c r="AA375" i="199"/>
  <c r="AI375" i="199" s="1"/>
  <c r="N278" i="192"/>
  <c r="AA278" i="192" s="1"/>
  <c r="T385" i="199"/>
  <c r="N19" i="185"/>
  <c r="T393" i="199"/>
  <c r="AA393" i="199"/>
  <c r="AI393" i="199" s="1"/>
  <c r="AA395" i="199"/>
  <c r="AI395" i="199" s="1"/>
  <c r="N292" i="192"/>
  <c r="AA292" i="192" s="1"/>
  <c r="AA396" i="199"/>
  <c r="AI396" i="199" s="1"/>
  <c r="N293" i="192"/>
  <c r="AA293" i="192" s="1"/>
  <c r="T396" i="199"/>
  <c r="T397" i="199"/>
  <c r="N294" i="192"/>
  <c r="AA294" i="192" s="1"/>
  <c r="N305" i="192"/>
  <c r="AA305" i="192" s="1"/>
  <c r="AA409" i="199"/>
  <c r="AG409" i="199" s="1"/>
  <c r="T413" i="199"/>
  <c r="N309" i="192"/>
  <c r="AA309" i="192" s="1"/>
  <c r="AA427" i="199"/>
  <c r="AI427" i="199" s="1"/>
  <c r="T427" i="199"/>
  <c r="AA431" i="199"/>
  <c r="AI431" i="199" s="1"/>
  <c r="N13" i="189"/>
  <c r="T451" i="199"/>
  <c r="N338" i="192"/>
  <c r="AA456" i="199"/>
  <c r="AI456" i="199" s="1"/>
  <c r="N343" i="192"/>
  <c r="AA343" i="192" s="1"/>
  <c r="T456" i="199"/>
  <c r="AA457" i="199"/>
  <c r="AI457" i="199" s="1"/>
  <c r="N344" i="192"/>
  <c r="AA344" i="192" s="1"/>
  <c r="T457" i="199"/>
  <c r="AA460" i="199"/>
  <c r="AI460" i="199" s="1"/>
  <c r="N346" i="192"/>
  <c r="T460" i="199"/>
  <c r="AA461" i="199"/>
  <c r="AI461" i="199" s="1"/>
  <c r="N347" i="192"/>
  <c r="AA347" i="192" s="1"/>
  <c r="T461" i="199"/>
  <c r="T482" i="199"/>
  <c r="N357" i="192"/>
  <c r="AH489" i="199"/>
  <c r="AA497" i="199"/>
  <c r="AI497" i="199" s="1"/>
  <c r="N371" i="192"/>
  <c r="T497" i="199"/>
  <c r="T224" i="199"/>
  <c r="N161" i="192"/>
  <c r="AA161" i="192" s="1"/>
  <c r="T246" i="199"/>
  <c r="N177" i="192"/>
  <c r="AA177" i="192" s="1"/>
  <c r="T254" i="199"/>
  <c r="N6" i="187"/>
  <c r="T261" i="199"/>
  <c r="N187" i="192"/>
  <c r="T265" i="199"/>
  <c r="N190" i="192"/>
  <c r="AA190" i="192" s="1"/>
  <c r="AA271" i="199"/>
  <c r="AI271" i="199" s="1"/>
  <c r="T273" i="199"/>
  <c r="N5" i="193"/>
  <c r="AA275" i="199"/>
  <c r="AI275" i="199" s="1"/>
  <c r="T279" i="199"/>
  <c r="N195" i="192"/>
  <c r="AA195" i="192" s="1"/>
  <c r="T287" i="199"/>
  <c r="N201" i="192"/>
  <c r="AA201" i="192" s="1"/>
  <c r="T299" i="199"/>
  <c r="N212" i="192"/>
  <c r="AA212" i="192" s="1"/>
  <c r="AA313" i="199"/>
  <c r="AI313" i="199" s="1"/>
  <c r="T314" i="199"/>
  <c r="N225" i="192"/>
  <c r="T318" i="199"/>
  <c r="N229" i="192"/>
  <c r="AA229" i="192" s="1"/>
  <c r="AA320" i="199"/>
  <c r="AI320" i="199" s="1"/>
  <c r="N231" i="192"/>
  <c r="AA231" i="192" s="1"/>
  <c r="AA324" i="199"/>
  <c r="AI324" i="199" s="1"/>
  <c r="N235" i="192"/>
  <c r="AA235" i="192" s="1"/>
  <c r="T330" i="199"/>
  <c r="T341" i="199"/>
  <c r="N249" i="192"/>
  <c r="AA249" i="192" s="1"/>
  <c r="T345" i="199"/>
  <c r="N8" i="187"/>
  <c r="T349" i="199"/>
  <c r="N253" i="192"/>
  <c r="AA253" i="192" s="1"/>
  <c r="T353" i="199"/>
  <c r="N257" i="192"/>
  <c r="AA257" i="192" s="1"/>
  <c r="T357" i="199"/>
  <c r="N261" i="192"/>
  <c r="AA261" i="192" s="1"/>
  <c r="T361" i="199"/>
  <c r="N265" i="192"/>
  <c r="AA265" i="192" s="1"/>
  <c r="T365" i="199"/>
  <c r="N268" i="192"/>
  <c r="AA268" i="192" s="1"/>
  <c r="T369" i="199"/>
  <c r="N272" i="192"/>
  <c r="AA272" i="192" s="1"/>
  <c r="T373" i="199"/>
  <c r="N276" i="192"/>
  <c r="AA276" i="192" s="1"/>
  <c r="T377" i="199"/>
  <c r="N280" i="192"/>
  <c r="AA280" i="192" s="1"/>
  <c r="AA383" i="199"/>
  <c r="AI383" i="199" s="1"/>
  <c r="N10" i="187"/>
  <c r="AA385" i="199"/>
  <c r="AH405" i="199"/>
  <c r="T417" i="199"/>
  <c r="N312" i="192"/>
  <c r="AA312" i="192" s="1"/>
  <c r="AA417" i="199"/>
  <c r="AI417" i="199" s="1"/>
  <c r="AA419" i="199"/>
  <c r="T424" i="199"/>
  <c r="N318" i="192"/>
  <c r="AA318" i="192" s="1"/>
  <c r="AA440" i="199"/>
  <c r="T440" i="199"/>
  <c r="T442" i="199"/>
  <c r="N12" i="187"/>
  <c r="AA448" i="199"/>
  <c r="AI448" i="199" s="1"/>
  <c r="N336" i="192"/>
  <c r="AA336" i="192" s="1"/>
  <c r="T448" i="199"/>
  <c r="N36" i="189"/>
  <c r="AA449" i="199"/>
  <c r="AI449" i="199" s="1"/>
  <c r="T449" i="199"/>
  <c r="T467" i="199"/>
  <c r="N352" i="192"/>
  <c r="AA472" i="199"/>
  <c r="AI472" i="199" s="1"/>
  <c r="N20" i="185"/>
  <c r="T472" i="199"/>
  <c r="AA473" i="199"/>
  <c r="AI473" i="199" s="1"/>
  <c r="N9" i="196"/>
  <c r="T473" i="199"/>
  <c r="AA476" i="199"/>
  <c r="N38" i="189"/>
  <c r="T476" i="199"/>
  <c r="AA477" i="199"/>
  <c r="T477" i="199"/>
  <c r="AA482" i="199"/>
  <c r="AI482" i="199" s="1"/>
  <c r="T491" i="199"/>
  <c r="N366" i="192"/>
  <c r="AA491" i="199"/>
  <c r="AI491" i="199" s="1"/>
  <c r="AG516" i="199"/>
  <c r="AO516" i="199" s="1"/>
  <c r="AH516" i="199"/>
  <c r="AG523" i="199"/>
  <c r="AO523" i="199" s="1"/>
  <c r="AK523" i="199"/>
  <c r="AG529" i="199"/>
  <c r="AO529" i="199" s="1"/>
  <c r="AH529" i="199"/>
  <c r="AG546" i="199"/>
  <c r="AO546" i="199" s="1"/>
  <c r="AH546" i="199"/>
  <c r="T231" i="199"/>
  <c r="N4" i="196"/>
  <c r="T238" i="199"/>
  <c r="N13" i="185"/>
  <c r="T245" i="199"/>
  <c r="N176" i="192"/>
  <c r="AA176" i="192" s="1"/>
  <c r="T253" i="199"/>
  <c r="N183" i="192"/>
  <c r="AA183" i="192" s="1"/>
  <c r="T260" i="199"/>
  <c r="N186" i="192"/>
  <c r="AA186" i="192" s="1"/>
  <c r="T264" i="199"/>
  <c r="N14" i="189"/>
  <c r="AA266" i="199"/>
  <c r="AI266" i="199" s="1"/>
  <c r="T272" i="199"/>
  <c r="AA277" i="199"/>
  <c r="AI277" i="199" s="1"/>
  <c r="AA282" i="199"/>
  <c r="AI282" i="199" s="1"/>
  <c r="N197" i="192"/>
  <c r="AA197" i="192" s="1"/>
  <c r="AA285" i="199"/>
  <c r="AI285" i="199" s="1"/>
  <c r="N199" i="192"/>
  <c r="AA199" i="192" s="1"/>
  <c r="AA290" i="199"/>
  <c r="AI290" i="199" s="1"/>
  <c r="AA293" i="199"/>
  <c r="AI293" i="199" s="1"/>
  <c r="N206" i="192"/>
  <c r="AA206" i="192" s="1"/>
  <c r="AA301" i="199"/>
  <c r="AI301" i="199" s="1"/>
  <c r="N214" i="192"/>
  <c r="AA302" i="199"/>
  <c r="AI302" i="199" s="1"/>
  <c r="N215" i="192"/>
  <c r="AA215" i="192" s="1"/>
  <c r="AA315" i="199"/>
  <c r="AI315" i="199" s="1"/>
  <c r="N226" i="192"/>
  <c r="AA226" i="192" s="1"/>
  <c r="T320" i="199"/>
  <c r="T324" i="199"/>
  <c r="AA336" i="199"/>
  <c r="N246" i="192"/>
  <c r="AA246" i="192" s="1"/>
  <c r="AA339" i="199"/>
  <c r="AI339" i="199" s="1"/>
  <c r="N248" i="192"/>
  <c r="AA248" i="192" s="1"/>
  <c r="T342" i="199"/>
  <c r="N250" i="192"/>
  <c r="AA250" i="192" s="1"/>
  <c r="T346" i="199"/>
  <c r="N9" i="187"/>
  <c r="AA346" i="199"/>
  <c r="AI346" i="199" s="1"/>
  <c r="T350" i="199"/>
  <c r="N254" i="192"/>
  <c r="AA254" i="192" s="1"/>
  <c r="T354" i="199"/>
  <c r="N258" i="192"/>
  <c r="AA258" i="192" s="1"/>
  <c r="AA354" i="199"/>
  <c r="AI354" i="199" s="1"/>
  <c r="T358" i="199"/>
  <c r="N262" i="192"/>
  <c r="AA262" i="192" s="1"/>
  <c r="T362" i="199"/>
  <c r="AA362" i="199"/>
  <c r="AI362" i="199" s="1"/>
  <c r="T366" i="199"/>
  <c r="N269" i="192"/>
  <c r="T370" i="199"/>
  <c r="N273" i="192"/>
  <c r="AA273" i="192" s="1"/>
  <c r="AA370" i="199"/>
  <c r="AI370" i="199" s="1"/>
  <c r="T374" i="199"/>
  <c r="N277" i="192"/>
  <c r="AA277" i="192" s="1"/>
  <c r="T378" i="199"/>
  <c r="N281" i="192"/>
  <c r="AA281" i="192" s="1"/>
  <c r="AA378" i="199"/>
  <c r="AI378" i="199" s="1"/>
  <c r="AA384" i="199"/>
  <c r="AI384" i="199" s="1"/>
  <c r="N284" i="192"/>
  <c r="AA284" i="192" s="1"/>
  <c r="AA392" i="199"/>
  <c r="AI392" i="199" s="1"/>
  <c r="N291" i="192"/>
  <c r="AA291" i="192" s="1"/>
  <c r="AA404" i="199"/>
  <c r="AI404" i="199" s="1"/>
  <c r="N301" i="192"/>
  <c r="AA301" i="192" s="1"/>
  <c r="T406" i="199"/>
  <c r="N303" i="192"/>
  <c r="AA303" i="192" s="1"/>
  <c r="AA411" i="199"/>
  <c r="AI411" i="199" s="1"/>
  <c r="N307" i="192"/>
  <c r="AA307" i="192" s="1"/>
  <c r="AA412" i="199"/>
  <c r="AI412" i="199" s="1"/>
  <c r="N308" i="192"/>
  <c r="AA426" i="199"/>
  <c r="AI426" i="199" s="1"/>
  <c r="N320" i="192"/>
  <c r="AA320" i="192" s="1"/>
  <c r="AA430" i="199"/>
  <c r="AI430" i="199" s="1"/>
  <c r="N323" i="192"/>
  <c r="T459" i="199"/>
  <c r="N7" i="196"/>
  <c r="AA464" i="199"/>
  <c r="AI464" i="199" s="1"/>
  <c r="N349" i="192"/>
  <c r="T464" i="199"/>
  <c r="AA465" i="199"/>
  <c r="AI465" i="199" s="1"/>
  <c r="N350" i="192"/>
  <c r="AA350" i="192" s="1"/>
  <c r="T465" i="199"/>
  <c r="AA468" i="199"/>
  <c r="AI468" i="199" s="1"/>
  <c r="N353" i="192"/>
  <c r="T468" i="199"/>
  <c r="AA469" i="199"/>
  <c r="AI469" i="199" s="1"/>
  <c r="N354" i="192"/>
  <c r="T469" i="199"/>
  <c r="AA488" i="199"/>
  <c r="AI488" i="199" s="1"/>
  <c r="N363" i="192"/>
  <c r="T488" i="199"/>
  <c r="T499" i="199"/>
  <c r="N373" i="192"/>
  <c r="AA499" i="199"/>
  <c r="T503" i="199"/>
  <c r="N377" i="192"/>
  <c r="AA503" i="199"/>
  <c r="AI503" i="199" s="1"/>
  <c r="T507" i="199"/>
  <c r="N381" i="192"/>
  <c r="AA507" i="199"/>
  <c r="AI507" i="199" s="1"/>
  <c r="AG519" i="199"/>
  <c r="AO519" i="199" s="1"/>
  <c r="AK519" i="199"/>
  <c r="AH7" i="189"/>
  <c r="T439" i="199"/>
  <c r="N329" i="192"/>
  <c r="AA445" i="199"/>
  <c r="AI445" i="199" s="1"/>
  <c r="N333" i="192"/>
  <c r="AA333" i="192" s="1"/>
  <c r="T447" i="199"/>
  <c r="N335" i="192"/>
  <c r="T450" i="199"/>
  <c r="N337" i="192"/>
  <c r="AA337" i="192" s="1"/>
  <c r="T455" i="199"/>
  <c r="N342" i="192"/>
  <c r="T458" i="199"/>
  <c r="N345" i="192"/>
  <c r="AA345" i="192" s="1"/>
  <c r="T463" i="199"/>
  <c r="N8" i="196"/>
  <c r="T466" i="199"/>
  <c r="N351" i="192"/>
  <c r="T471" i="199"/>
  <c r="N7" i="193"/>
  <c r="T474" i="199"/>
  <c r="T478" i="199"/>
  <c r="T481" i="199"/>
  <c r="N10" i="193"/>
  <c r="AA487" i="199"/>
  <c r="N362" i="192"/>
  <c r="T489" i="199"/>
  <c r="T494" i="199"/>
  <c r="N368" i="192"/>
  <c r="AA501" i="199"/>
  <c r="AI501" i="199" s="1"/>
  <c r="N375" i="192"/>
  <c r="AA505" i="199"/>
  <c r="AI505" i="199" s="1"/>
  <c r="N379" i="192"/>
  <c r="T509" i="199"/>
  <c r="T510" i="199"/>
  <c r="N383" i="192"/>
  <c r="AG520" i="199"/>
  <c r="AO520" i="199" s="1"/>
  <c r="AG533" i="199"/>
  <c r="AO533" i="199" s="1"/>
  <c r="AG541" i="199"/>
  <c r="AO541" i="199" s="1"/>
  <c r="AG553" i="199"/>
  <c r="AO553" i="199" s="1"/>
  <c r="AG559" i="199"/>
  <c r="AO559" i="199" s="1"/>
  <c r="AG601" i="199"/>
  <c r="AO601" i="199" s="1"/>
  <c r="AG616" i="199"/>
  <c r="AO616" i="199" s="1"/>
  <c r="AH616" i="199"/>
  <c r="T361" i="192"/>
  <c r="AA344" i="199"/>
  <c r="AI344" i="199" s="1"/>
  <c r="N9" i="189"/>
  <c r="AA347" i="199"/>
  <c r="N251" i="192"/>
  <c r="AA251" i="192" s="1"/>
  <c r="AA352" i="199"/>
  <c r="AI352" i="199" s="1"/>
  <c r="N256" i="192"/>
  <c r="AA256" i="192" s="1"/>
  <c r="AA355" i="199"/>
  <c r="N259" i="192"/>
  <c r="AA259" i="192" s="1"/>
  <c r="AA360" i="199"/>
  <c r="AI360" i="199" s="1"/>
  <c r="N264" i="192"/>
  <c r="AA264" i="192" s="1"/>
  <c r="AA363" i="199"/>
  <c r="N266" i="192"/>
  <c r="AA266" i="192" s="1"/>
  <c r="AA368" i="199"/>
  <c r="AI368" i="199" s="1"/>
  <c r="N271" i="192"/>
  <c r="AA271" i="192" s="1"/>
  <c r="AA371" i="199"/>
  <c r="N274" i="192"/>
  <c r="AA274" i="192" s="1"/>
  <c r="AA376" i="199"/>
  <c r="AI376" i="199" s="1"/>
  <c r="N279" i="192"/>
  <c r="AA279" i="192" s="1"/>
  <c r="AA379" i="199"/>
  <c r="T381" i="199"/>
  <c r="N283" i="192"/>
  <c r="AA283" i="192" s="1"/>
  <c r="AA387" i="199"/>
  <c r="N286" i="192"/>
  <c r="AA286" i="192" s="1"/>
  <c r="AA388" i="199"/>
  <c r="AI388" i="199" s="1"/>
  <c r="N287" i="192"/>
  <c r="AA287" i="192" s="1"/>
  <c r="T407" i="199"/>
  <c r="N6" i="196"/>
  <c r="AA408" i="199"/>
  <c r="AI408" i="199" s="1"/>
  <c r="N304" i="192"/>
  <c r="AA304" i="192" s="1"/>
  <c r="AA415" i="199"/>
  <c r="N311" i="192"/>
  <c r="AA311" i="192" s="1"/>
  <c r="T420" i="199"/>
  <c r="N314" i="192"/>
  <c r="AA314" i="192" s="1"/>
  <c r="AA423" i="199"/>
  <c r="N317" i="192"/>
  <c r="AA317" i="192" s="1"/>
  <c r="T428" i="199"/>
  <c r="N321" i="192"/>
  <c r="AA321" i="192" s="1"/>
  <c r="AA435" i="199"/>
  <c r="AA437" i="199"/>
  <c r="AI437" i="199" s="1"/>
  <c r="N327" i="192"/>
  <c r="AA327" i="192" s="1"/>
  <c r="AA439" i="199"/>
  <c r="AI439" i="199" s="1"/>
  <c r="AA441" i="199"/>
  <c r="AI441" i="199" s="1"/>
  <c r="N330" i="192"/>
  <c r="AA330" i="192" s="1"/>
  <c r="T443" i="199"/>
  <c r="N331" i="192"/>
  <c r="AA444" i="199"/>
  <c r="AI444" i="199" s="1"/>
  <c r="N332" i="192"/>
  <c r="AA332" i="192" s="1"/>
  <c r="AA447" i="199"/>
  <c r="AI447" i="199" s="1"/>
  <c r="AA450" i="199"/>
  <c r="T454" i="199"/>
  <c r="N341" i="192"/>
  <c r="AA341" i="192" s="1"/>
  <c r="AA455" i="199"/>
  <c r="AI455" i="199" s="1"/>
  <c r="AA458" i="199"/>
  <c r="T462" i="199"/>
  <c r="N348" i="192"/>
  <c r="AA348" i="192" s="1"/>
  <c r="AA463" i="199"/>
  <c r="AI463" i="199" s="1"/>
  <c r="AA466" i="199"/>
  <c r="T470" i="199"/>
  <c r="N355" i="192"/>
  <c r="AA471" i="199"/>
  <c r="AI471" i="199" s="1"/>
  <c r="AA474" i="199"/>
  <c r="AA478" i="199"/>
  <c r="AI478" i="199" s="1"/>
  <c r="AA481" i="199"/>
  <c r="AA489" i="199"/>
  <c r="AI489" i="199" s="1"/>
  <c r="T490" i="199"/>
  <c r="N365" i="192"/>
  <c r="AA492" i="199"/>
  <c r="N19" i="189"/>
  <c r="AA494" i="199"/>
  <c r="AI494" i="199" s="1"/>
  <c r="T498" i="199"/>
  <c r="N372" i="192"/>
  <c r="AA500" i="199"/>
  <c r="AI500" i="199" s="1"/>
  <c r="N374" i="192"/>
  <c r="T502" i="199"/>
  <c r="N376" i="192"/>
  <c r="T506" i="199"/>
  <c r="N380" i="192"/>
  <c r="AA508" i="199"/>
  <c r="N382" i="192"/>
  <c r="AA509" i="199"/>
  <c r="AI509" i="199" s="1"/>
  <c r="T511" i="199"/>
  <c r="N384" i="192"/>
  <c r="AG513" i="199"/>
  <c r="AO513" i="199" s="1"/>
  <c r="AG515" i="199"/>
  <c r="AO515" i="199" s="1"/>
  <c r="AG521" i="199"/>
  <c r="AO521" i="199" s="1"/>
  <c r="AG537" i="199"/>
  <c r="AO537" i="199" s="1"/>
  <c r="AG543" i="199"/>
  <c r="AO543" i="199" s="1"/>
  <c r="AH567" i="199"/>
  <c r="AG610" i="199"/>
  <c r="AO610" i="199" s="1"/>
  <c r="AJ610" i="199"/>
  <c r="AA364" i="192"/>
  <c r="AG364" i="192" s="1"/>
  <c r="T364" i="192"/>
  <c r="AA493" i="199"/>
  <c r="N367" i="192"/>
  <c r="T495" i="199"/>
  <c r="N369" i="192"/>
  <c r="AA496" i="199"/>
  <c r="N370" i="192"/>
  <c r="AA504" i="199"/>
  <c r="AI504" i="199" s="1"/>
  <c r="N378" i="192"/>
  <c r="AA512" i="199"/>
  <c r="N7" i="188"/>
  <c r="AG549" i="199"/>
  <c r="AO549" i="199" s="1"/>
  <c r="AG577" i="199"/>
  <c r="AO577" i="199" s="1"/>
  <c r="AH577" i="199"/>
  <c r="AG557" i="199"/>
  <c r="AO557" i="199" s="1"/>
  <c r="AG563" i="199"/>
  <c r="AO563" i="199" s="1"/>
  <c r="AG571" i="199"/>
  <c r="AO571" i="199" s="1"/>
  <c r="AJ58" i="189"/>
  <c r="T160" i="199"/>
  <c r="AA160" i="199"/>
  <c r="AI160" i="199" s="1"/>
  <c r="T164" i="199"/>
  <c r="AA164" i="199"/>
  <c r="AI164" i="199" s="1"/>
  <c r="T168" i="199"/>
  <c r="AA168" i="199"/>
  <c r="AI168" i="199" s="1"/>
  <c r="T172" i="199"/>
  <c r="AA172" i="199"/>
  <c r="AI172" i="199" s="1"/>
  <c r="T176" i="199"/>
  <c r="AA176" i="199"/>
  <c r="AI176" i="199" s="1"/>
  <c r="T180" i="199"/>
  <c r="AA180" i="199"/>
  <c r="AI180" i="199" s="1"/>
  <c r="T184" i="199"/>
  <c r="AA184" i="199"/>
  <c r="AI184" i="199" s="1"/>
  <c r="T188" i="199"/>
  <c r="AA188" i="199"/>
  <c r="AI188" i="199" s="1"/>
  <c r="T192" i="199"/>
  <c r="AA192" i="199"/>
  <c r="AI192" i="199" s="1"/>
  <c r="T196" i="199"/>
  <c r="AA196" i="199"/>
  <c r="T200" i="199"/>
  <c r="AA200" i="199"/>
  <c r="AI200" i="199" s="1"/>
  <c r="T204" i="199"/>
  <c r="AA204" i="199"/>
  <c r="AI204" i="199" s="1"/>
  <c r="T208" i="199"/>
  <c r="AA208" i="199"/>
  <c r="AI208" i="199" s="1"/>
  <c r="AH306" i="199"/>
  <c r="T311" i="199"/>
  <c r="AA311" i="199"/>
  <c r="AI311" i="199" s="1"/>
  <c r="AH441" i="199"/>
  <c r="AG570" i="199"/>
  <c r="AO570" i="199" s="1"/>
  <c r="AG4" i="199"/>
  <c r="AO4" i="199" s="1"/>
  <c r="AG6" i="199"/>
  <c r="AO6" i="199" s="1"/>
  <c r="AH17" i="199"/>
  <c r="AH24" i="199"/>
  <c r="AH32" i="199"/>
  <c r="AH149" i="199"/>
  <c r="AA181" i="199"/>
  <c r="T181" i="199"/>
  <c r="AH182" i="199"/>
  <c r="AH186" i="199"/>
  <c r="AA193" i="199"/>
  <c r="T193" i="199"/>
  <c r="AA197" i="199"/>
  <c r="T197" i="199"/>
  <c r="AH198" i="199"/>
  <c r="AA201" i="199"/>
  <c r="T201" i="199"/>
  <c r="AH202" i="199"/>
  <c r="AH206" i="199"/>
  <c r="AA209" i="199"/>
  <c r="T209" i="199"/>
  <c r="AH210" i="199"/>
  <c r="AH321" i="199"/>
  <c r="AG428" i="199"/>
  <c r="AH428" i="199"/>
  <c r="AH497" i="199"/>
  <c r="AJ605" i="199"/>
  <c r="AG605" i="199"/>
  <c r="AO605" i="199" s="1"/>
  <c r="AG5" i="199"/>
  <c r="AO5" i="199" s="1"/>
  <c r="AG7" i="199"/>
  <c r="AO7" i="199" s="1"/>
  <c r="AG14" i="199"/>
  <c r="AO14" i="199" s="1"/>
  <c r="AG18" i="199"/>
  <c r="AG29" i="199"/>
  <c r="AG33" i="199"/>
  <c r="T36" i="199"/>
  <c r="T40" i="199"/>
  <c r="T44" i="199"/>
  <c r="T48" i="199"/>
  <c r="T52" i="199"/>
  <c r="T56" i="199"/>
  <c r="T60" i="199"/>
  <c r="T64" i="199"/>
  <c r="T68" i="199"/>
  <c r="T72" i="199"/>
  <c r="T76" i="199"/>
  <c r="T80" i="199"/>
  <c r="T84" i="199"/>
  <c r="T88" i="199"/>
  <c r="AG89" i="199"/>
  <c r="T92" i="199"/>
  <c r="T96" i="199"/>
  <c r="T100" i="199"/>
  <c r="T104" i="199"/>
  <c r="T108" i="199"/>
  <c r="T112" i="199"/>
  <c r="T116" i="199"/>
  <c r="T120" i="199"/>
  <c r="T124" i="199"/>
  <c r="T128" i="199"/>
  <c r="T132" i="199"/>
  <c r="AI135" i="199"/>
  <c r="AK137" i="199"/>
  <c r="AA143" i="199"/>
  <c r="T148" i="199"/>
  <c r="AK153" i="199"/>
  <c r="AA159" i="199"/>
  <c r="AH271" i="199"/>
  <c r="T296" i="199"/>
  <c r="AA296" i="199"/>
  <c r="AI296" i="199" s="1"/>
  <c r="AG299" i="199"/>
  <c r="AH299" i="199"/>
  <c r="T304" i="199"/>
  <c r="T322" i="199"/>
  <c r="AA322" i="199"/>
  <c r="AI322" i="199" s="1"/>
  <c r="T326" i="199"/>
  <c r="AA326" i="199"/>
  <c r="AI326" i="199" s="1"/>
  <c r="T390" i="199"/>
  <c r="AA390" i="199"/>
  <c r="AI390" i="199" s="1"/>
  <c r="AA391" i="199"/>
  <c r="T391" i="199"/>
  <c r="AH393" i="199"/>
  <c r="T394" i="199"/>
  <c r="AA394" i="199"/>
  <c r="AI394" i="199" s="1"/>
  <c r="T399" i="199"/>
  <c r="AH401" i="199"/>
  <c r="AH404" i="199"/>
  <c r="AH445" i="199"/>
  <c r="AH10" i="199"/>
  <c r="AH21" i="199"/>
  <c r="AH28" i="199"/>
  <c r="AH133" i="199"/>
  <c r="T8" i="199"/>
  <c r="T12" i="199"/>
  <c r="T15" i="199"/>
  <c r="T19" i="199"/>
  <c r="T23" i="199"/>
  <c r="T26" i="199"/>
  <c r="T30" i="199"/>
  <c r="T144" i="199"/>
  <c r="AA161" i="199"/>
  <c r="T161" i="199"/>
  <c r="AH162" i="199"/>
  <c r="AA165" i="199"/>
  <c r="T165" i="199"/>
  <c r="AH166" i="199"/>
  <c r="AA169" i="199"/>
  <c r="T169" i="199"/>
  <c r="AH170" i="199"/>
  <c r="AA173" i="199"/>
  <c r="T173" i="199"/>
  <c r="AH174" i="199"/>
  <c r="AA177" i="199"/>
  <c r="T177" i="199"/>
  <c r="AH178" i="199"/>
  <c r="AA185" i="199"/>
  <c r="T185" i="199"/>
  <c r="AA189" i="199"/>
  <c r="T189" i="199"/>
  <c r="AH190" i="199"/>
  <c r="AH194" i="199"/>
  <c r="AA205" i="199"/>
  <c r="T205" i="199"/>
  <c r="AH295" i="199"/>
  <c r="T301" i="199"/>
  <c r="T307" i="199"/>
  <c r="AA307" i="199"/>
  <c r="AH312" i="199"/>
  <c r="AH493" i="199"/>
  <c r="AG517" i="199"/>
  <c r="AO517" i="199" s="1"/>
  <c r="AJ560" i="199"/>
  <c r="AG560" i="199"/>
  <c r="AO560" i="199" s="1"/>
  <c r="AJ591" i="199"/>
  <c r="AG591" i="199"/>
  <c r="AO591" i="199" s="1"/>
  <c r="AA35" i="199"/>
  <c r="AI35" i="199" s="1"/>
  <c r="AA39" i="199"/>
  <c r="AI39" i="199" s="1"/>
  <c r="AA43" i="199"/>
  <c r="AI43" i="199" s="1"/>
  <c r="AA47" i="199"/>
  <c r="AI47" i="199" s="1"/>
  <c r="AA51" i="199"/>
  <c r="AI51" i="199" s="1"/>
  <c r="AA55" i="199"/>
  <c r="AI55" i="199" s="1"/>
  <c r="AA59" i="199"/>
  <c r="AI59" i="199" s="1"/>
  <c r="AA63" i="199"/>
  <c r="AI63" i="199" s="1"/>
  <c r="AA67" i="199"/>
  <c r="AI67" i="199" s="1"/>
  <c r="AA71" i="199"/>
  <c r="AI71" i="199" s="1"/>
  <c r="AA75" i="199"/>
  <c r="AI75" i="199" s="1"/>
  <c r="AA79" i="199"/>
  <c r="AI79" i="199" s="1"/>
  <c r="AA83" i="199"/>
  <c r="AI83" i="199" s="1"/>
  <c r="AA87" i="199"/>
  <c r="AI87" i="199" s="1"/>
  <c r="AA91" i="199"/>
  <c r="AI91" i="199" s="1"/>
  <c r="AA95" i="199"/>
  <c r="AI95" i="199" s="1"/>
  <c r="AA99" i="199"/>
  <c r="AI99" i="199" s="1"/>
  <c r="AA103" i="199"/>
  <c r="AI103" i="199" s="1"/>
  <c r="AA107" i="199"/>
  <c r="AI107" i="199" s="1"/>
  <c r="AA111" i="199"/>
  <c r="AI111" i="199" s="1"/>
  <c r="AA115" i="199"/>
  <c r="AI115" i="199" s="1"/>
  <c r="AA119" i="199"/>
  <c r="AI119" i="199" s="1"/>
  <c r="AA123" i="199"/>
  <c r="AI123" i="199" s="1"/>
  <c r="AA127" i="199"/>
  <c r="AI127" i="199" s="1"/>
  <c r="AA131" i="199"/>
  <c r="AI131" i="199" s="1"/>
  <c r="T136" i="199"/>
  <c r="AI139" i="199"/>
  <c r="AH142" i="199"/>
  <c r="AA147" i="199"/>
  <c r="T152" i="199"/>
  <c r="AG154" i="199"/>
  <c r="AH158" i="199"/>
  <c r="AH218" i="199"/>
  <c r="AH226" i="199"/>
  <c r="AH233" i="199"/>
  <c r="AH240" i="199"/>
  <c r="AH248" i="199"/>
  <c r="AH256" i="199"/>
  <c r="AH267" i="199"/>
  <c r="T300" i="199"/>
  <c r="AA300" i="199"/>
  <c r="AI300" i="199" s="1"/>
  <c r="AG303" i="199"/>
  <c r="AH303" i="199"/>
  <c r="T308" i="199"/>
  <c r="AH325" i="199"/>
  <c r="AA327" i="199"/>
  <c r="T327" i="199"/>
  <c r="AH328" i="199"/>
  <c r="AH332" i="199"/>
  <c r="AG381" i="199"/>
  <c r="AH381" i="199"/>
  <c r="T387" i="199"/>
  <c r="AA403" i="199"/>
  <c r="T403" i="199"/>
  <c r="AG260" i="199"/>
  <c r="AG264" i="199"/>
  <c r="T382" i="199"/>
  <c r="AA382" i="199"/>
  <c r="AH385" i="199"/>
  <c r="AG397" i="199"/>
  <c r="AH397" i="199"/>
  <c r="T410" i="199"/>
  <c r="AA410" i="199"/>
  <c r="AI410" i="199" s="1"/>
  <c r="T421" i="199"/>
  <c r="AA421" i="199"/>
  <c r="AI421" i="199" s="1"/>
  <c r="AA422" i="199"/>
  <c r="T422" i="199"/>
  <c r="AG424" i="199"/>
  <c r="AH424" i="199"/>
  <c r="T425" i="199"/>
  <c r="AA425" i="199"/>
  <c r="AI425" i="199" s="1"/>
  <c r="AG542" i="199"/>
  <c r="AO542" i="199" s="1"/>
  <c r="AG552" i="199"/>
  <c r="AO552" i="199" s="1"/>
  <c r="T213" i="199"/>
  <c r="T217" i="199"/>
  <c r="T221" i="199"/>
  <c r="T225" i="199"/>
  <c r="T229" i="199"/>
  <c r="T232" i="199"/>
  <c r="T236" i="199"/>
  <c r="T239" i="199"/>
  <c r="T243" i="199"/>
  <c r="T247" i="199"/>
  <c r="T251" i="199"/>
  <c r="T255" i="199"/>
  <c r="T258" i="199"/>
  <c r="AG279" i="199"/>
  <c r="AG283" i="199"/>
  <c r="AG287" i="199"/>
  <c r="AG291" i="199"/>
  <c r="T331" i="199"/>
  <c r="T386" i="199"/>
  <c r="AA386" i="199"/>
  <c r="AI386" i="199" s="1"/>
  <c r="AH389" i="199"/>
  <c r="T395" i="199"/>
  <c r="T398" i="199"/>
  <c r="AA398" i="199"/>
  <c r="AI398" i="199" s="1"/>
  <c r="T402" i="199"/>
  <c r="AA402" i="199"/>
  <c r="AI402" i="199" s="1"/>
  <c r="AG413" i="199"/>
  <c r="AH413" i="199"/>
  <c r="T419" i="199"/>
  <c r="AJ534" i="199"/>
  <c r="AG534" i="199"/>
  <c r="AO534" i="199" s="1"/>
  <c r="AG551" i="199"/>
  <c r="AO551" i="199" s="1"/>
  <c r="AH551" i="199"/>
  <c r="AG212" i="199"/>
  <c r="AG220" i="199"/>
  <c r="AG224" i="199"/>
  <c r="AG228" i="199"/>
  <c r="AG235" i="199"/>
  <c r="AG242" i="199"/>
  <c r="AG246" i="199"/>
  <c r="AG250" i="199"/>
  <c r="AG254" i="199"/>
  <c r="AG261" i="199"/>
  <c r="AG265" i="199"/>
  <c r="AG269" i="199"/>
  <c r="AG273" i="199"/>
  <c r="AG280" i="199"/>
  <c r="AG288" i="199"/>
  <c r="AG314" i="199"/>
  <c r="AG318" i="199"/>
  <c r="AG330" i="199"/>
  <c r="T414" i="199"/>
  <c r="AA414" i="199"/>
  <c r="AI414" i="199" s="1"/>
  <c r="AH417" i="199"/>
  <c r="T429" i="199"/>
  <c r="AA429" i="199"/>
  <c r="AI429" i="199" s="1"/>
  <c r="AH432" i="199"/>
  <c r="T433" i="199"/>
  <c r="AA433" i="199"/>
  <c r="AI433" i="199" s="1"/>
  <c r="AG467" i="199"/>
  <c r="AI467" i="199"/>
  <c r="AH485" i="199"/>
  <c r="AG511" i="199"/>
  <c r="AI511" i="199"/>
  <c r="AG539" i="199"/>
  <c r="AO539" i="199" s="1"/>
  <c r="AH539" i="199"/>
  <c r="AG540" i="199"/>
  <c r="AO540" i="199" s="1"/>
  <c r="AJ547" i="199"/>
  <c r="AG547" i="199"/>
  <c r="AO547" i="199" s="1"/>
  <c r="AG565" i="199"/>
  <c r="AO565" i="199" s="1"/>
  <c r="AH565" i="199"/>
  <c r="AG566" i="199"/>
  <c r="AO566" i="199" s="1"/>
  <c r="AG575" i="199"/>
  <c r="AO575" i="199" s="1"/>
  <c r="AG581" i="199"/>
  <c r="AO581" i="199" s="1"/>
  <c r="AH581" i="199"/>
  <c r="AG337" i="199"/>
  <c r="AG341" i="199"/>
  <c r="AG345" i="199"/>
  <c r="AG349" i="199"/>
  <c r="AG353" i="199"/>
  <c r="AG357" i="199"/>
  <c r="AG361" i="199"/>
  <c r="AG365" i="199"/>
  <c r="AG369" i="199"/>
  <c r="AG373" i="199"/>
  <c r="AG377" i="199"/>
  <c r="T411" i="199"/>
  <c r="T418" i="199"/>
  <c r="AA418" i="199"/>
  <c r="AI418" i="199" s="1"/>
  <c r="AG420" i="199"/>
  <c r="AH420" i="199"/>
  <c r="AA434" i="199"/>
  <c r="T434" i="199"/>
  <c r="AH435" i="199"/>
  <c r="T486" i="199"/>
  <c r="AA486" i="199"/>
  <c r="AI486" i="199" s="1"/>
  <c r="AG524" i="199"/>
  <c r="AO524" i="199" s="1"/>
  <c r="AH524" i="199"/>
  <c r="AG528" i="199"/>
  <c r="AO528" i="199" s="1"/>
  <c r="AG535" i="199"/>
  <c r="AO535" i="199" s="1"/>
  <c r="AH535" i="199"/>
  <c r="AG556" i="199"/>
  <c r="AO556" i="199" s="1"/>
  <c r="AG561" i="199"/>
  <c r="AO561" i="199" s="1"/>
  <c r="AH561" i="199"/>
  <c r="AG334" i="199"/>
  <c r="AG342" i="199"/>
  <c r="AG350" i="199"/>
  <c r="AG358" i="199"/>
  <c r="AG366" i="199"/>
  <c r="AG374" i="199"/>
  <c r="AG406" i="199"/>
  <c r="AG407" i="199"/>
  <c r="AG442" i="199"/>
  <c r="AJ538" i="199"/>
  <c r="AG538" i="199"/>
  <c r="AO538" i="199" s="1"/>
  <c r="AJ550" i="199"/>
  <c r="AG550" i="199"/>
  <c r="AO550" i="199" s="1"/>
  <c r="AJ564" i="199"/>
  <c r="AG564" i="199"/>
  <c r="AO564" i="199" s="1"/>
  <c r="AG454" i="199"/>
  <c r="AG462" i="199"/>
  <c r="AG470" i="199"/>
  <c r="AG525" i="199"/>
  <c r="AO525" i="199" s="1"/>
  <c r="AG443" i="199"/>
  <c r="AG451" i="199"/>
  <c r="AG459" i="199"/>
  <c r="AG490" i="199"/>
  <c r="AG498" i="199"/>
  <c r="AG502" i="199"/>
  <c r="AG506" i="199"/>
  <c r="AJ530" i="199"/>
  <c r="AG530" i="199"/>
  <c r="AO530" i="199" s="1"/>
  <c r="AG531" i="199"/>
  <c r="AO531" i="199" s="1"/>
  <c r="AH531" i="199"/>
  <c r="AG536" i="199"/>
  <c r="AO536" i="199" s="1"/>
  <c r="AJ544" i="199"/>
  <c r="AG544" i="199"/>
  <c r="AO544" i="199" s="1"/>
  <c r="AG548" i="199"/>
  <c r="AO548" i="199" s="1"/>
  <c r="AG562" i="199"/>
  <c r="AO562" i="199" s="1"/>
  <c r="AJ572" i="199"/>
  <c r="AG572" i="199"/>
  <c r="AO572" i="199" s="1"/>
  <c r="AG573" i="199"/>
  <c r="AO573" i="199" s="1"/>
  <c r="AH573" i="199"/>
  <c r="AG510" i="199"/>
  <c r="AG514" i="199"/>
  <c r="AO514" i="199" s="1"/>
  <c r="AG518" i="199"/>
  <c r="AO518" i="199" s="1"/>
  <c r="AG522" i="199"/>
  <c r="AO522" i="199" s="1"/>
  <c r="AG526" i="199"/>
  <c r="AO526" i="199" s="1"/>
  <c r="AG527" i="199"/>
  <c r="AO527" i="199" s="1"/>
  <c r="AH527" i="199"/>
  <c r="AG532" i="199"/>
  <c r="AO532" i="199" s="1"/>
  <c r="AG545" i="199"/>
  <c r="AO545" i="199" s="1"/>
  <c r="AJ554" i="199"/>
  <c r="AG554" i="199"/>
  <c r="AO554" i="199" s="1"/>
  <c r="AG555" i="199"/>
  <c r="AO555" i="199" s="1"/>
  <c r="AH555" i="199"/>
  <c r="AG558" i="199"/>
  <c r="AO558" i="199" s="1"/>
  <c r="AJ568" i="199"/>
  <c r="AG568" i="199"/>
  <c r="AO568" i="199" s="1"/>
  <c r="AG569" i="199"/>
  <c r="AO569" i="199" s="1"/>
  <c r="AH569" i="199"/>
  <c r="AG583" i="199"/>
  <c r="AO583" i="199" s="1"/>
  <c r="AG584" i="199"/>
  <c r="AO584" i="199" s="1"/>
  <c r="AI584" i="199"/>
  <c r="AG588" i="199"/>
  <c r="AO588" i="199" s="1"/>
  <c r="AH588" i="199"/>
  <c r="AG594" i="199"/>
  <c r="AO594" i="199" s="1"/>
  <c r="AH594" i="199"/>
  <c r="AG595" i="199"/>
  <c r="AO595" i="199" s="1"/>
  <c r="AH595" i="199"/>
  <c r="AG603" i="199"/>
  <c r="AO603" i="199" s="1"/>
  <c r="AJ603" i="199"/>
  <c r="AG607" i="199"/>
  <c r="AO607" i="199" s="1"/>
  <c r="AH607" i="199"/>
  <c r="AG608" i="199"/>
  <c r="AO608" i="199" s="1"/>
  <c r="AH608" i="199"/>
  <c r="AG618" i="199"/>
  <c r="AO618" i="199" s="1"/>
  <c r="AJ618" i="199"/>
  <c r="AG495" i="199"/>
  <c r="AG579" i="199"/>
  <c r="AO579" i="199" s="1"/>
  <c r="AG586" i="199"/>
  <c r="AO586" i="199" s="1"/>
  <c r="AG600" i="199"/>
  <c r="AO600" i="199" s="1"/>
  <c r="AH600" i="199"/>
  <c r="AG615" i="199"/>
  <c r="AO615" i="199" s="1"/>
  <c r="AH615" i="199"/>
  <c r="AG587" i="199"/>
  <c r="AO587" i="199" s="1"/>
  <c r="AI587" i="199"/>
  <c r="AJ597" i="199"/>
  <c r="AG597" i="199"/>
  <c r="AO597" i="199" s="1"/>
  <c r="AJ612" i="199"/>
  <c r="AG612" i="199"/>
  <c r="AO612" i="199" s="1"/>
  <c r="AG593" i="199"/>
  <c r="AO593" i="199" s="1"/>
  <c r="AG596" i="199"/>
  <c r="AO596" i="199" s="1"/>
  <c r="AH596" i="199"/>
  <c r="AG599" i="199"/>
  <c r="AO599" i="199" s="1"/>
  <c r="AG602" i="199"/>
  <c r="AO602" i="199" s="1"/>
  <c r="AH602" i="199"/>
  <c r="AG609" i="199"/>
  <c r="AO609" i="199" s="1"/>
  <c r="AH609" i="199"/>
  <c r="AG614" i="199"/>
  <c r="AO614" i="199" s="1"/>
  <c r="AG617" i="199"/>
  <c r="AO617" i="199" s="1"/>
  <c r="AH617" i="199"/>
  <c r="AG582" i="199"/>
  <c r="AO582" i="199" s="1"/>
  <c r="AG585" i="199"/>
  <c r="AO585" i="199" s="1"/>
  <c r="AI589" i="199"/>
  <c r="AG589" i="199"/>
  <c r="AO589" i="199" s="1"/>
  <c r="AG574" i="199"/>
  <c r="AO574" i="199" s="1"/>
  <c r="AG576" i="199"/>
  <c r="AO576" i="199" s="1"/>
  <c r="AG578" i="199"/>
  <c r="AO578" i="199" s="1"/>
  <c r="AG580" i="199"/>
  <c r="AO580" i="199" s="1"/>
  <c r="AG592" i="199"/>
  <c r="AO592" i="199" s="1"/>
  <c r="AG598" i="199"/>
  <c r="AO598" i="199" s="1"/>
  <c r="AG606" i="199"/>
  <c r="AO606" i="199" s="1"/>
  <c r="AG613" i="199"/>
  <c r="AO613" i="199" s="1"/>
  <c r="AG590" i="199"/>
  <c r="AO590" i="199" s="1"/>
  <c r="AG604" i="199"/>
  <c r="AO604" i="199" s="1"/>
  <c r="AG611" i="199"/>
  <c r="AO611" i="199" s="1"/>
  <c r="AG619" i="199"/>
  <c r="AO619" i="199" s="1"/>
  <c r="AH469" i="192"/>
  <c r="AF350" i="192"/>
  <c r="AE350" i="192"/>
  <c r="AF349" i="192"/>
  <c r="AE349" i="192"/>
  <c r="AF348" i="192"/>
  <c r="AE348" i="192"/>
  <c r="AF347" i="192"/>
  <c r="AE347" i="192"/>
  <c r="AF346" i="192"/>
  <c r="AE346" i="192"/>
  <c r="AF345" i="192"/>
  <c r="AE345" i="192"/>
  <c r="AF344" i="192"/>
  <c r="AE344" i="192"/>
  <c r="AF343" i="192"/>
  <c r="AE343" i="192"/>
  <c r="AF342" i="192"/>
  <c r="AE342" i="192"/>
  <c r="AF341" i="192"/>
  <c r="AE341" i="192"/>
  <c r="AF340" i="192"/>
  <c r="AE340" i="192"/>
  <c r="AF339" i="192"/>
  <c r="AE339" i="192"/>
  <c r="AF338" i="192"/>
  <c r="AE338" i="192"/>
  <c r="AF337" i="192"/>
  <c r="AE337" i="192"/>
  <c r="AF336" i="192"/>
  <c r="AE336" i="192"/>
  <c r="AF335" i="192"/>
  <c r="AE335" i="192"/>
  <c r="AF334" i="192"/>
  <c r="AE334" i="192"/>
  <c r="AF333" i="192"/>
  <c r="AE333" i="192"/>
  <c r="AF332" i="192"/>
  <c r="AE332" i="192"/>
  <c r="AF331" i="192"/>
  <c r="AE331" i="192"/>
  <c r="AF330" i="192"/>
  <c r="AE330" i="192"/>
  <c r="AF329" i="192"/>
  <c r="AE329" i="192"/>
  <c r="AF328" i="192"/>
  <c r="AE328" i="192"/>
  <c r="AF327" i="192"/>
  <c r="AE327" i="192"/>
  <c r="AF326" i="192"/>
  <c r="AE326" i="192"/>
  <c r="T326" i="192"/>
  <c r="AF325" i="192"/>
  <c r="AE325" i="192"/>
  <c r="T325" i="192"/>
  <c r="AF324" i="192"/>
  <c r="AE324" i="192"/>
  <c r="AF323" i="192"/>
  <c r="AE323" i="192"/>
  <c r="AF322" i="192"/>
  <c r="AE322" i="192"/>
  <c r="T322" i="192"/>
  <c r="AF321" i="192"/>
  <c r="AE321" i="192"/>
  <c r="AF320" i="192"/>
  <c r="AE320" i="192"/>
  <c r="AF319" i="192"/>
  <c r="AE319" i="192"/>
  <c r="T319" i="192"/>
  <c r="AF318" i="192"/>
  <c r="AE318" i="192"/>
  <c r="AF317" i="192"/>
  <c r="AE317" i="192"/>
  <c r="AF316" i="192"/>
  <c r="AE316" i="192"/>
  <c r="T316" i="192"/>
  <c r="AF315" i="192"/>
  <c r="AE315" i="192"/>
  <c r="T315" i="192"/>
  <c r="AF314" i="192"/>
  <c r="AE314" i="192"/>
  <c r="AF313" i="192"/>
  <c r="AE313" i="192"/>
  <c r="T313" i="192"/>
  <c r="AF312" i="192"/>
  <c r="AE312" i="192"/>
  <c r="AF311" i="192"/>
  <c r="AE311" i="192"/>
  <c r="AF310" i="192"/>
  <c r="AE310" i="192"/>
  <c r="T310" i="192"/>
  <c r="AF309" i="192"/>
  <c r="AE309" i="192"/>
  <c r="AF308" i="192"/>
  <c r="AE308" i="192"/>
  <c r="AF307" i="192"/>
  <c r="AE307" i="192"/>
  <c r="AF306" i="192"/>
  <c r="AE306" i="192"/>
  <c r="T306" i="192"/>
  <c r="AF305" i="192"/>
  <c r="AE305" i="192"/>
  <c r="AF304" i="192"/>
  <c r="AE304" i="192"/>
  <c r="AF303" i="192"/>
  <c r="AE303" i="192"/>
  <c r="AF302" i="192"/>
  <c r="AE302" i="192"/>
  <c r="AF301" i="192"/>
  <c r="AE301" i="192"/>
  <c r="AF300" i="192"/>
  <c r="AE300" i="192"/>
  <c r="T300" i="192"/>
  <c r="AF299" i="192"/>
  <c r="AE299" i="192"/>
  <c r="T299" i="192"/>
  <c r="AF298" i="192"/>
  <c r="AE298" i="192"/>
  <c r="T298" i="192"/>
  <c r="AF297" i="192"/>
  <c r="AE297" i="192"/>
  <c r="AF296" i="192"/>
  <c r="AE296" i="192"/>
  <c r="AF295" i="192"/>
  <c r="AE295" i="192"/>
  <c r="T295" i="192"/>
  <c r="AF294" i="192"/>
  <c r="AE294" i="192"/>
  <c r="AF293" i="192"/>
  <c r="AE293" i="192"/>
  <c r="AF292" i="192"/>
  <c r="AE292" i="192"/>
  <c r="AF291" i="192"/>
  <c r="AE291" i="192"/>
  <c r="AF290" i="192"/>
  <c r="AE290" i="192"/>
  <c r="T290" i="192"/>
  <c r="AF289" i="192"/>
  <c r="AE289" i="192"/>
  <c r="T289" i="192"/>
  <c r="AF288" i="192"/>
  <c r="AE288" i="192"/>
  <c r="AF287" i="192"/>
  <c r="AE287" i="192"/>
  <c r="AF286" i="192"/>
  <c r="AE286" i="192"/>
  <c r="AF285" i="192"/>
  <c r="AE285" i="192"/>
  <c r="T285" i="192"/>
  <c r="AF284" i="192"/>
  <c r="AE284" i="192"/>
  <c r="AF283" i="192"/>
  <c r="AE283" i="192"/>
  <c r="AF282" i="192"/>
  <c r="AE282" i="192"/>
  <c r="AF281" i="192"/>
  <c r="AE281" i="192"/>
  <c r="AF280" i="192"/>
  <c r="AE280" i="192"/>
  <c r="AF279" i="192"/>
  <c r="AE279" i="192"/>
  <c r="AF278" i="192"/>
  <c r="AE278" i="192"/>
  <c r="AF277" i="192"/>
  <c r="AE277" i="192"/>
  <c r="AF276" i="192"/>
  <c r="AE276" i="192"/>
  <c r="AF275" i="192"/>
  <c r="AE275" i="192"/>
  <c r="AF274" i="192"/>
  <c r="AE274" i="192"/>
  <c r="AF273" i="192"/>
  <c r="AE273" i="192"/>
  <c r="AF272" i="192"/>
  <c r="AE272" i="192"/>
  <c r="AF271" i="192"/>
  <c r="AE271" i="192"/>
  <c r="AF270" i="192"/>
  <c r="AE270" i="192"/>
  <c r="AF269" i="192"/>
  <c r="AE269" i="192"/>
  <c r="AF268" i="192"/>
  <c r="AE268" i="192"/>
  <c r="AF267" i="192"/>
  <c r="AE267" i="192"/>
  <c r="AF266" i="192"/>
  <c r="AE266" i="192"/>
  <c r="AF265" i="192"/>
  <c r="AE265" i="192"/>
  <c r="AF264" i="192"/>
  <c r="AE264" i="192"/>
  <c r="AF263" i="192"/>
  <c r="AE263" i="192"/>
  <c r="AF262" i="192"/>
  <c r="AE262" i="192"/>
  <c r="AF261" i="192"/>
  <c r="AE261" i="192"/>
  <c r="AF260" i="192"/>
  <c r="AE260" i="192"/>
  <c r="AF259" i="192"/>
  <c r="AE259" i="192"/>
  <c r="AF258" i="192"/>
  <c r="AE258" i="192"/>
  <c r="AF257" i="192"/>
  <c r="AE257" i="192"/>
  <c r="AF256" i="192"/>
  <c r="AE256" i="192"/>
  <c r="AF255" i="192"/>
  <c r="AE255" i="192"/>
  <c r="AF254" i="192"/>
  <c r="AE254" i="192"/>
  <c r="AF253" i="192"/>
  <c r="AE253" i="192"/>
  <c r="AF252" i="192"/>
  <c r="AE252" i="192"/>
  <c r="AF251" i="192"/>
  <c r="AE251" i="192"/>
  <c r="AF250" i="192"/>
  <c r="AE250" i="192"/>
  <c r="AF249" i="192"/>
  <c r="AE249" i="192"/>
  <c r="AF248" i="192"/>
  <c r="AE248" i="192"/>
  <c r="AF247" i="192"/>
  <c r="AE247" i="192"/>
  <c r="AF246" i="192"/>
  <c r="AE246" i="192"/>
  <c r="AF245" i="192"/>
  <c r="AE245" i="192"/>
  <c r="AF244" i="192"/>
  <c r="AE244" i="192"/>
  <c r="AF243" i="192"/>
  <c r="AE243" i="192"/>
  <c r="AF242" i="192"/>
  <c r="AE242" i="192"/>
  <c r="AF241" i="192"/>
  <c r="AE241" i="192"/>
  <c r="AF240" i="192"/>
  <c r="AE240" i="192"/>
  <c r="AF239" i="192"/>
  <c r="AE239" i="192"/>
  <c r="AF238" i="192"/>
  <c r="AE238" i="192"/>
  <c r="T238" i="192"/>
  <c r="AF237" i="192"/>
  <c r="AE237" i="192"/>
  <c r="T237" i="192"/>
  <c r="AF236" i="192"/>
  <c r="AE236" i="192"/>
  <c r="AF235" i="192"/>
  <c r="AE235" i="192"/>
  <c r="AF234" i="192"/>
  <c r="AE234" i="192"/>
  <c r="AF233" i="192"/>
  <c r="AE233" i="192"/>
  <c r="T233" i="192"/>
  <c r="AF232" i="192"/>
  <c r="AE232" i="192"/>
  <c r="AF231" i="192"/>
  <c r="AE231" i="192"/>
  <c r="AF230" i="192"/>
  <c r="AE230" i="192"/>
  <c r="AF229" i="192"/>
  <c r="AE229" i="192"/>
  <c r="AF228" i="192"/>
  <c r="AE228" i="192"/>
  <c r="T228" i="192"/>
  <c r="AF227" i="192"/>
  <c r="AE227" i="192"/>
  <c r="AF226" i="192"/>
  <c r="AE226" i="192"/>
  <c r="AF225" i="192"/>
  <c r="AE225" i="192"/>
  <c r="AF224" i="192"/>
  <c r="AE224" i="192"/>
  <c r="T224" i="192"/>
  <c r="AF223" i="192"/>
  <c r="AE223" i="192"/>
  <c r="T223" i="192"/>
  <c r="AF222" i="192"/>
  <c r="AE222" i="192"/>
  <c r="T222" i="192"/>
  <c r="AF221" i="192"/>
  <c r="AE221" i="192"/>
  <c r="AF220" i="192"/>
  <c r="AE220" i="192"/>
  <c r="AF219" i="192"/>
  <c r="AE219" i="192"/>
  <c r="T219" i="192"/>
  <c r="AF218" i="192"/>
  <c r="AE218" i="192"/>
  <c r="AF217" i="192"/>
  <c r="AE217" i="192"/>
  <c r="AF216" i="192"/>
  <c r="AE216" i="192"/>
  <c r="AF215" i="192"/>
  <c r="AE215" i="192"/>
  <c r="AF214" i="192"/>
  <c r="AE214" i="192"/>
  <c r="AF213" i="192"/>
  <c r="AE213" i="192"/>
  <c r="T213" i="192"/>
  <c r="AF212" i="192"/>
  <c r="AE212" i="192"/>
  <c r="AF211" i="192"/>
  <c r="AE211" i="192"/>
  <c r="AF210" i="192"/>
  <c r="AE210" i="192"/>
  <c r="AF209" i="192"/>
  <c r="AE209" i="192"/>
  <c r="T209" i="192"/>
  <c r="AF208" i="192"/>
  <c r="AE208" i="192"/>
  <c r="AF207" i="192"/>
  <c r="AE207" i="192"/>
  <c r="AF206" i="192"/>
  <c r="AE206" i="192"/>
  <c r="AF205" i="192"/>
  <c r="AE205" i="192"/>
  <c r="AF204" i="192"/>
  <c r="AE204" i="192"/>
  <c r="AF203" i="192"/>
  <c r="AE203" i="192"/>
  <c r="AF202" i="192"/>
  <c r="AE202" i="192"/>
  <c r="AF201" i="192"/>
  <c r="AE201" i="192"/>
  <c r="AF200" i="192"/>
  <c r="AE200" i="192"/>
  <c r="AF199" i="192"/>
  <c r="AE199" i="192"/>
  <c r="AF198" i="192"/>
  <c r="AE198" i="192"/>
  <c r="AF197" i="192"/>
  <c r="AE197" i="192"/>
  <c r="AF196" i="192"/>
  <c r="AE196" i="192"/>
  <c r="AF195" i="192"/>
  <c r="AE195" i="192"/>
  <c r="AF194" i="192"/>
  <c r="AE194" i="192"/>
  <c r="AF193" i="192"/>
  <c r="AE193" i="192"/>
  <c r="AF192" i="192"/>
  <c r="AE192" i="192"/>
  <c r="AF191" i="192"/>
  <c r="AE191" i="192"/>
  <c r="AF190" i="192"/>
  <c r="AE190" i="192"/>
  <c r="AF189" i="192"/>
  <c r="AE189" i="192"/>
  <c r="AF188" i="192"/>
  <c r="AE188" i="192"/>
  <c r="AF187" i="192"/>
  <c r="AE187" i="192"/>
  <c r="AF186" i="192"/>
  <c r="AE186" i="192"/>
  <c r="AF185" i="192"/>
  <c r="AE185" i="192"/>
  <c r="AF184" i="192"/>
  <c r="AE184" i="192"/>
  <c r="AF183" i="192"/>
  <c r="AE183" i="192"/>
  <c r="AF182" i="192"/>
  <c r="AE182" i="192"/>
  <c r="AF181" i="192"/>
  <c r="AE181" i="192"/>
  <c r="AF180" i="192"/>
  <c r="AE180" i="192"/>
  <c r="AF179" i="192"/>
  <c r="AE179" i="192"/>
  <c r="AF178" i="192"/>
  <c r="AE178" i="192"/>
  <c r="AF177" i="192"/>
  <c r="AE177" i="192"/>
  <c r="AF176" i="192"/>
  <c r="AE176" i="192"/>
  <c r="AF175" i="192"/>
  <c r="AE175" i="192"/>
  <c r="AF174" i="192"/>
  <c r="AE174" i="192"/>
  <c r="AF173" i="192"/>
  <c r="AE173" i="192"/>
  <c r="AF172" i="192"/>
  <c r="AE172" i="192"/>
  <c r="AF171" i="192"/>
  <c r="AE171" i="192"/>
  <c r="AF170" i="192"/>
  <c r="AE170" i="192"/>
  <c r="AF169" i="192"/>
  <c r="AE169" i="192"/>
  <c r="AF168" i="192"/>
  <c r="AE168" i="192"/>
  <c r="AF167" i="192"/>
  <c r="AE167" i="192"/>
  <c r="AF166" i="192"/>
  <c r="AE166" i="192"/>
  <c r="AF165" i="192"/>
  <c r="AE165" i="192"/>
  <c r="AF164" i="192"/>
  <c r="AE164" i="192"/>
  <c r="AF163" i="192"/>
  <c r="AE163" i="192"/>
  <c r="AF162" i="192"/>
  <c r="AE162" i="192"/>
  <c r="AF161" i="192"/>
  <c r="AE161" i="192"/>
  <c r="AF160" i="192"/>
  <c r="AE160" i="192"/>
  <c r="AF159" i="192"/>
  <c r="AE159" i="192"/>
  <c r="AF158" i="192"/>
  <c r="AE158" i="192"/>
  <c r="AF157" i="192"/>
  <c r="AE157" i="192"/>
  <c r="AF156" i="192"/>
  <c r="AE156" i="192"/>
  <c r="AF155" i="192"/>
  <c r="AE155" i="192"/>
  <c r="AF154" i="192"/>
  <c r="AE154" i="192"/>
  <c r="AF153" i="192"/>
  <c r="AE153" i="192"/>
  <c r="AF152" i="192"/>
  <c r="AE152" i="192"/>
  <c r="AF151" i="192"/>
  <c r="AE151" i="192"/>
  <c r="AF150" i="192"/>
  <c r="AE150" i="192"/>
  <c r="AF149" i="192"/>
  <c r="AE149" i="192"/>
  <c r="AF148" i="192"/>
  <c r="AE148" i="192"/>
  <c r="T148" i="192"/>
  <c r="AF147" i="192"/>
  <c r="AE147" i="192"/>
  <c r="T147" i="192"/>
  <c r="AF146" i="192"/>
  <c r="AE146" i="192"/>
  <c r="AF145" i="192"/>
  <c r="AE145" i="192"/>
  <c r="AF144" i="192"/>
  <c r="AE144" i="192"/>
  <c r="T144" i="192"/>
  <c r="AF143" i="192"/>
  <c r="AE143" i="192"/>
  <c r="AF142" i="192"/>
  <c r="AE142" i="192"/>
  <c r="AF141" i="192"/>
  <c r="AE141" i="192"/>
  <c r="AF140" i="192"/>
  <c r="AE140" i="192"/>
  <c r="T140" i="192"/>
  <c r="AF139" i="192"/>
  <c r="AE139" i="192"/>
  <c r="AF138" i="192"/>
  <c r="AE138" i="192"/>
  <c r="T138" i="192"/>
  <c r="AF137" i="192"/>
  <c r="AE137" i="192"/>
  <c r="T137" i="192"/>
  <c r="AF136" i="192"/>
  <c r="AE136" i="192"/>
  <c r="AF135" i="192"/>
  <c r="AE135" i="192"/>
  <c r="AF134" i="192"/>
  <c r="AE134" i="192"/>
  <c r="T134" i="192"/>
  <c r="AF133" i="192"/>
  <c r="AE133" i="192"/>
  <c r="T133" i="192"/>
  <c r="AF132" i="192"/>
  <c r="AE132" i="192"/>
  <c r="AF131" i="192"/>
  <c r="AE131" i="192"/>
  <c r="AF130" i="192"/>
  <c r="AE130" i="192"/>
  <c r="T130" i="192"/>
  <c r="AF129" i="192"/>
  <c r="AE129" i="192"/>
  <c r="AF128" i="192"/>
  <c r="AE128" i="192"/>
  <c r="T128" i="192"/>
  <c r="AF127" i="192"/>
  <c r="AE127" i="192"/>
  <c r="T127" i="192"/>
  <c r="AF126" i="192"/>
  <c r="AE126" i="192"/>
  <c r="AF125" i="192"/>
  <c r="AE125" i="192"/>
  <c r="AF124" i="192"/>
  <c r="AE124" i="192"/>
  <c r="T124" i="192"/>
  <c r="AF123" i="192"/>
  <c r="AE123" i="192"/>
  <c r="T123" i="192"/>
  <c r="AF122" i="192"/>
  <c r="AE122" i="192"/>
  <c r="AF121" i="192"/>
  <c r="AE121" i="192"/>
  <c r="T121" i="192"/>
  <c r="AF120" i="192"/>
  <c r="AE120" i="192"/>
  <c r="AF119" i="192"/>
  <c r="AE119" i="192"/>
  <c r="AF118" i="192"/>
  <c r="AE118" i="192"/>
  <c r="T118" i="192"/>
  <c r="AF117" i="192"/>
  <c r="AE117" i="192"/>
  <c r="T117" i="192"/>
  <c r="AF116" i="192"/>
  <c r="AE116" i="192"/>
  <c r="AF115" i="192"/>
  <c r="AE115" i="192"/>
  <c r="T115" i="192"/>
  <c r="AF114" i="192"/>
  <c r="AE114" i="192"/>
  <c r="T114" i="192"/>
  <c r="AF113" i="192"/>
  <c r="AE113" i="192"/>
  <c r="T113" i="192"/>
  <c r="AF112" i="192"/>
  <c r="AE112" i="192"/>
  <c r="T112" i="192"/>
  <c r="AF111" i="192"/>
  <c r="AE111" i="192"/>
  <c r="AF110" i="192"/>
  <c r="AE110" i="192"/>
  <c r="AF109" i="192"/>
  <c r="AE109" i="192"/>
  <c r="AF108" i="192"/>
  <c r="AE108" i="192"/>
  <c r="AF107" i="192"/>
  <c r="AE107" i="192"/>
  <c r="AF106" i="192"/>
  <c r="AE106" i="192"/>
  <c r="AF105" i="192"/>
  <c r="AE105" i="192"/>
  <c r="AF104" i="192"/>
  <c r="AE104" i="192"/>
  <c r="AF103" i="192"/>
  <c r="AE103" i="192"/>
  <c r="T103" i="192"/>
  <c r="AF102" i="192"/>
  <c r="AE102" i="192"/>
  <c r="AF101" i="192"/>
  <c r="AE101" i="192"/>
  <c r="AF100" i="192"/>
  <c r="AE100" i="192"/>
  <c r="AF99" i="192"/>
  <c r="AE99" i="192"/>
  <c r="T99" i="192"/>
  <c r="AF98" i="192"/>
  <c r="AE98" i="192"/>
  <c r="AF97" i="192"/>
  <c r="AE97" i="192"/>
  <c r="AF96" i="192"/>
  <c r="AE96" i="192"/>
  <c r="AF95" i="192"/>
  <c r="AE95" i="192"/>
  <c r="T95" i="192"/>
  <c r="AF94" i="192"/>
  <c r="AE94" i="192"/>
  <c r="AF93" i="192"/>
  <c r="AE93" i="192"/>
  <c r="AF92" i="192"/>
  <c r="AE92" i="192"/>
  <c r="AF91" i="192"/>
  <c r="AE91" i="192"/>
  <c r="AF90" i="192"/>
  <c r="AE90" i="192"/>
  <c r="AF89" i="192"/>
  <c r="AE89" i="192"/>
  <c r="AF88" i="192"/>
  <c r="AE88" i="192"/>
  <c r="AF87" i="192"/>
  <c r="AE87" i="192"/>
  <c r="AF86" i="192"/>
  <c r="AE86" i="192"/>
  <c r="AF85" i="192"/>
  <c r="AE85" i="192"/>
  <c r="AF84" i="192"/>
  <c r="AE84" i="192"/>
  <c r="AF83" i="192"/>
  <c r="AE83" i="192"/>
  <c r="AF82" i="192"/>
  <c r="AE82" i="192"/>
  <c r="AF81" i="192"/>
  <c r="AE81" i="192"/>
  <c r="AF80" i="192"/>
  <c r="AE80" i="192"/>
  <c r="AF79" i="192"/>
  <c r="AE79" i="192"/>
  <c r="AF78" i="192"/>
  <c r="AE78" i="192"/>
  <c r="AF77" i="192"/>
  <c r="AE77" i="192"/>
  <c r="AF76" i="192"/>
  <c r="AE76" i="192"/>
  <c r="AF75" i="192"/>
  <c r="AE75" i="192"/>
  <c r="AF74" i="192"/>
  <c r="AE74" i="192"/>
  <c r="AF73" i="192"/>
  <c r="AE73" i="192"/>
  <c r="AF72" i="192"/>
  <c r="AE72" i="192"/>
  <c r="AF71" i="192"/>
  <c r="AE71" i="192"/>
  <c r="AF70" i="192"/>
  <c r="AE70" i="192"/>
  <c r="AF69" i="192"/>
  <c r="AE69" i="192"/>
  <c r="AF68" i="192"/>
  <c r="AE68" i="192"/>
  <c r="AF67" i="192"/>
  <c r="AE67" i="192"/>
  <c r="AF66" i="192"/>
  <c r="AE66" i="192"/>
  <c r="AF65" i="192"/>
  <c r="AE65" i="192"/>
  <c r="AF64" i="192"/>
  <c r="AE64" i="192"/>
  <c r="AF63" i="192"/>
  <c r="AE63" i="192"/>
  <c r="AF62" i="192"/>
  <c r="AE62" i="192"/>
  <c r="AF61" i="192"/>
  <c r="AE61" i="192"/>
  <c r="AF60" i="192"/>
  <c r="AE60" i="192"/>
  <c r="AF59" i="192"/>
  <c r="AE59" i="192"/>
  <c r="AF58" i="192"/>
  <c r="AE58" i="192"/>
  <c r="AF57" i="192"/>
  <c r="AE57" i="192"/>
  <c r="AF56" i="192"/>
  <c r="AE56" i="192"/>
  <c r="AF55" i="192"/>
  <c r="AE55" i="192"/>
  <c r="AF54" i="192"/>
  <c r="AE54" i="192"/>
  <c r="AF53" i="192"/>
  <c r="AE53" i="192"/>
  <c r="AF52" i="192"/>
  <c r="AE52" i="192"/>
  <c r="AF51" i="192"/>
  <c r="AE51" i="192"/>
  <c r="AF50" i="192"/>
  <c r="AE50" i="192"/>
  <c r="AF49" i="192"/>
  <c r="AE49" i="192"/>
  <c r="AF48" i="192"/>
  <c r="AE48" i="192"/>
  <c r="AF47" i="192"/>
  <c r="AE47" i="192"/>
  <c r="AF46" i="192"/>
  <c r="AE46" i="192"/>
  <c r="AF45" i="192"/>
  <c r="AE45" i="192"/>
  <c r="AF44" i="192"/>
  <c r="AE44" i="192"/>
  <c r="AF43" i="192"/>
  <c r="AE43" i="192"/>
  <c r="AF42" i="192"/>
  <c r="AE42" i="192"/>
  <c r="AF41" i="192"/>
  <c r="AE41" i="192"/>
  <c r="AF40" i="192"/>
  <c r="AE40" i="192"/>
  <c r="AF39" i="192"/>
  <c r="AE39" i="192"/>
  <c r="AF38" i="192"/>
  <c r="AE38" i="192"/>
  <c r="AF37" i="192"/>
  <c r="AE37" i="192"/>
  <c r="AF36" i="192"/>
  <c r="AE36" i="192"/>
  <c r="AF35" i="192"/>
  <c r="AE35" i="192"/>
  <c r="AF34" i="192"/>
  <c r="AE34" i="192"/>
  <c r="AF33" i="192"/>
  <c r="AE33" i="192"/>
  <c r="AF32" i="192"/>
  <c r="AE32" i="192"/>
  <c r="AF31" i="192"/>
  <c r="AE31" i="192"/>
  <c r="AF30" i="192"/>
  <c r="AE30" i="192"/>
  <c r="AF29" i="192"/>
  <c r="AE29" i="192"/>
  <c r="AF28" i="192"/>
  <c r="AE28" i="192"/>
  <c r="AF27" i="192"/>
  <c r="AE27" i="192"/>
  <c r="AF26" i="192"/>
  <c r="AE26" i="192"/>
  <c r="AF25" i="192"/>
  <c r="AE25" i="192"/>
  <c r="AF24" i="192"/>
  <c r="AE24" i="192"/>
  <c r="AF23" i="192"/>
  <c r="AE23" i="192"/>
  <c r="AF22" i="192"/>
  <c r="AE22" i="192"/>
  <c r="AF21" i="192"/>
  <c r="AE21" i="192"/>
  <c r="AF20" i="192"/>
  <c r="AE20" i="192"/>
  <c r="AF19" i="192"/>
  <c r="AE19" i="192"/>
  <c r="AF18" i="192"/>
  <c r="AE18" i="192"/>
  <c r="AF17" i="192"/>
  <c r="AE17" i="192"/>
  <c r="AF16" i="192"/>
  <c r="AE16" i="192"/>
  <c r="AF15" i="192"/>
  <c r="AE15" i="192"/>
  <c r="AF14" i="192"/>
  <c r="AE14" i="192"/>
  <c r="AF13" i="192"/>
  <c r="AE13" i="192"/>
  <c r="AF12" i="192"/>
  <c r="AE12" i="192"/>
  <c r="AF11" i="192"/>
  <c r="AE11" i="192"/>
  <c r="AF10" i="192"/>
  <c r="AE10" i="192"/>
  <c r="AF9" i="192"/>
  <c r="AE9" i="192"/>
  <c r="AF8" i="192"/>
  <c r="AE8" i="192"/>
  <c r="AF7" i="192"/>
  <c r="AE7" i="192"/>
  <c r="AF6" i="192"/>
  <c r="AE6" i="192"/>
  <c r="AF5" i="192"/>
  <c r="AE5" i="192"/>
  <c r="AF4" i="192"/>
  <c r="AE4" i="192"/>
  <c r="A46" i="189" l="1"/>
  <c r="A47" i="189" s="1"/>
  <c r="A48" i="189" s="1"/>
  <c r="A49" i="189" s="1"/>
  <c r="A50" i="189" s="1"/>
  <c r="A51" i="189" s="1"/>
  <c r="A52" i="189" s="1"/>
  <c r="A53" i="189" s="1"/>
  <c r="A54" i="189" s="1"/>
  <c r="AG22" i="199"/>
  <c r="AO22" i="199" s="1"/>
  <c r="AI467" i="192"/>
  <c r="AG467" i="192"/>
  <c r="AG317" i="199"/>
  <c r="AO317" i="199" s="1"/>
  <c r="AG272" i="199"/>
  <c r="AO272" i="199" s="1"/>
  <c r="AG48" i="199"/>
  <c r="AO48" i="199" s="1"/>
  <c r="AI20" i="199"/>
  <c r="AG80" i="199"/>
  <c r="AO80" i="199" s="1"/>
  <c r="AG401" i="199"/>
  <c r="AO401" i="199" s="1"/>
  <c r="AO135" i="199"/>
  <c r="AG236" i="199"/>
  <c r="AO236" i="199" s="1"/>
  <c r="AG322" i="199"/>
  <c r="AO322" i="199" s="1"/>
  <c r="AI47" i="189"/>
  <c r="AG47" i="189"/>
  <c r="AO47" i="189" s="1"/>
  <c r="AI50" i="189"/>
  <c r="AG50" i="189"/>
  <c r="AO50" i="189" s="1"/>
  <c r="AI53" i="189"/>
  <c r="AG53" i="189"/>
  <c r="AO53" i="189" s="1"/>
  <c r="AI39" i="189"/>
  <c r="AG39" i="189"/>
  <c r="AO39" i="189" s="1"/>
  <c r="AI51" i="189"/>
  <c r="AG51" i="189"/>
  <c r="AO51" i="189" s="1"/>
  <c r="AI48" i="189"/>
  <c r="AG48" i="189"/>
  <c r="AO48" i="189" s="1"/>
  <c r="AI46" i="189"/>
  <c r="AG46" i="189"/>
  <c r="AO46" i="189" s="1"/>
  <c r="AI49" i="189"/>
  <c r="AG49" i="189"/>
  <c r="AO49" i="189" s="1"/>
  <c r="AG310" i="199"/>
  <c r="AO310" i="199" s="1"/>
  <c r="AI43" i="189"/>
  <c r="AG43" i="189"/>
  <c r="AO43" i="189" s="1"/>
  <c r="AI56" i="189"/>
  <c r="AG56" i="189"/>
  <c r="AO56" i="189" s="1"/>
  <c r="AI54" i="189"/>
  <c r="AG54" i="189"/>
  <c r="AO54" i="189" s="1"/>
  <c r="AI52" i="189"/>
  <c r="AG52" i="189"/>
  <c r="AO52" i="189" s="1"/>
  <c r="AI42" i="189"/>
  <c r="AG42" i="189"/>
  <c r="AO42" i="189" s="1"/>
  <c r="AI40" i="189"/>
  <c r="AG40" i="189"/>
  <c r="AO40" i="189" s="1"/>
  <c r="AI45" i="189"/>
  <c r="AG45" i="189"/>
  <c r="AO45" i="189" s="1"/>
  <c r="AI41" i="189"/>
  <c r="AG41" i="189"/>
  <c r="AO41" i="189" s="1"/>
  <c r="AI44" i="189"/>
  <c r="AG44" i="189"/>
  <c r="AO44" i="189" s="1"/>
  <c r="AI57" i="189"/>
  <c r="AG57" i="189"/>
  <c r="AO57" i="189" s="1"/>
  <c r="T205" i="192"/>
  <c r="AO246" i="199"/>
  <c r="T347" i="192"/>
  <c r="AG356" i="199"/>
  <c r="AO356" i="199" s="1"/>
  <c r="AO130" i="199"/>
  <c r="AO228" i="199"/>
  <c r="AG277" i="199"/>
  <c r="AO277" i="199" s="1"/>
  <c r="T257" i="192"/>
  <c r="AG505" i="199"/>
  <c r="AO505" i="199" s="1"/>
  <c r="AO238" i="199"/>
  <c r="AO66" i="199"/>
  <c r="AG182" i="199"/>
  <c r="AO182" i="199" s="1"/>
  <c r="AO10" i="199"/>
  <c r="T193" i="192"/>
  <c r="AO337" i="199"/>
  <c r="AG438" i="199"/>
  <c r="AO438" i="199" s="1"/>
  <c r="AO287" i="199"/>
  <c r="AI19" i="199"/>
  <c r="AO58" i="199"/>
  <c r="T177" i="192"/>
  <c r="AG335" i="199"/>
  <c r="AO335" i="199" s="1"/>
  <c r="AG294" i="199"/>
  <c r="AO294" i="199" s="1"/>
  <c r="AG202" i="199"/>
  <c r="AO202" i="199" s="1"/>
  <c r="AI9" i="199"/>
  <c r="AG184" i="199"/>
  <c r="AO184" i="199" s="1"/>
  <c r="AG28" i="199"/>
  <c r="AO28" i="199" s="1"/>
  <c r="T26" i="192"/>
  <c r="AG465" i="199"/>
  <c r="AO465" i="199" s="1"/>
  <c r="AO273" i="199"/>
  <c r="AG176" i="199"/>
  <c r="AO176" i="199" s="1"/>
  <c r="AG247" i="199"/>
  <c r="AO247" i="199" s="1"/>
  <c r="AG312" i="199"/>
  <c r="AO312" i="199" s="1"/>
  <c r="AG263" i="199"/>
  <c r="AO263" i="199" s="1"/>
  <c r="AG146" i="199"/>
  <c r="AO146" i="199" s="1"/>
  <c r="T163" i="192"/>
  <c r="AG156" i="199"/>
  <c r="AO156" i="199" s="1"/>
  <c r="AG445" i="199"/>
  <c r="AO445" i="199" s="1"/>
  <c r="AO253" i="199"/>
  <c r="AO74" i="199"/>
  <c r="T216" i="192"/>
  <c r="T234" i="192"/>
  <c r="T146" i="192"/>
  <c r="T175" i="192"/>
  <c r="T239" i="192"/>
  <c r="T272" i="192"/>
  <c r="T55" i="192"/>
  <c r="T98" i="192"/>
  <c r="T309" i="192"/>
  <c r="T22" i="192"/>
  <c r="T246" i="192"/>
  <c r="T328" i="192"/>
  <c r="T78" i="192"/>
  <c r="T260" i="192"/>
  <c r="T28" i="192"/>
  <c r="T47" i="192"/>
  <c r="T75" i="192"/>
  <c r="T80" i="192"/>
  <c r="T267" i="192"/>
  <c r="T32" i="192"/>
  <c r="T51" i="192"/>
  <c r="T56" i="192"/>
  <c r="T82" i="192"/>
  <c r="T107" i="192"/>
  <c r="T142" i="192"/>
  <c r="T145" i="192"/>
  <c r="T159" i="192"/>
  <c r="T166" i="192"/>
  <c r="T227" i="192"/>
  <c r="T255" i="192"/>
  <c r="T340" i="192"/>
  <c r="T101" i="192"/>
  <c r="T27" i="192"/>
  <c r="T164" i="192"/>
  <c r="T15" i="192"/>
  <c r="T200" i="192"/>
  <c r="T263" i="192"/>
  <c r="T314" i="192"/>
  <c r="AG115" i="199"/>
  <c r="AO115" i="199" s="1"/>
  <c r="T12" i="192"/>
  <c r="T62" i="192"/>
  <c r="T215" i="192"/>
  <c r="T235" i="192"/>
  <c r="T243" i="192"/>
  <c r="T254" i="192"/>
  <c r="T278" i="192"/>
  <c r="T294" i="192"/>
  <c r="T343" i="192"/>
  <c r="AG507" i="199"/>
  <c r="AO507" i="199" s="1"/>
  <c r="AG472" i="199"/>
  <c r="AO472" i="199" s="1"/>
  <c r="AO358" i="199"/>
  <c r="AG488" i="199"/>
  <c r="AO488" i="199" s="1"/>
  <c r="AO283" i="199"/>
  <c r="AG83" i="199"/>
  <c r="AO83" i="199" s="1"/>
  <c r="AG328" i="199"/>
  <c r="AO328" i="199" s="1"/>
  <c r="AG124" i="199"/>
  <c r="AO124" i="199" s="1"/>
  <c r="AO18" i="199"/>
  <c r="AG321" i="199"/>
  <c r="AO321" i="199" s="1"/>
  <c r="AG16" i="199"/>
  <c r="AO16" i="199" s="1"/>
  <c r="AG329" i="199"/>
  <c r="AO329" i="199" s="1"/>
  <c r="AO195" i="199"/>
  <c r="T42" i="192"/>
  <c r="T320" i="192"/>
  <c r="AG431" i="199"/>
  <c r="AO431" i="199" s="1"/>
  <c r="AG285" i="199"/>
  <c r="AO285" i="199" s="1"/>
  <c r="AO303" i="199"/>
  <c r="AG141" i="199"/>
  <c r="AO141" i="199" s="1"/>
  <c r="T70" i="192"/>
  <c r="T273" i="192"/>
  <c r="AG455" i="199"/>
  <c r="AO455" i="199" s="1"/>
  <c r="AG339" i="199"/>
  <c r="AO339" i="199" s="1"/>
  <c r="AG67" i="199"/>
  <c r="AO67" i="199" s="1"/>
  <c r="AG121" i="199"/>
  <c r="AO121" i="199" s="1"/>
  <c r="AG396" i="199"/>
  <c r="AO396" i="199" s="1"/>
  <c r="AO20" i="199"/>
  <c r="AG8" i="199"/>
  <c r="AO8" i="199" s="1"/>
  <c r="AO122" i="199"/>
  <c r="T129" i="192"/>
  <c r="AO365" i="199"/>
  <c r="AO349" i="199"/>
  <c r="AG64" i="199"/>
  <c r="AO64" i="199" s="1"/>
  <c r="T4" i="192"/>
  <c r="T81" i="192"/>
  <c r="T84" i="192"/>
  <c r="T110" i="192"/>
  <c r="T122" i="192"/>
  <c r="T135" i="192"/>
  <c r="T170" i="192"/>
  <c r="T231" i="192"/>
  <c r="T341" i="192"/>
  <c r="AG402" i="199"/>
  <c r="AO402" i="199" s="1"/>
  <c r="AO511" i="199"/>
  <c r="AG284" i="199"/>
  <c r="AO284" i="199" s="1"/>
  <c r="AG131" i="199"/>
  <c r="AO131" i="199" s="1"/>
  <c r="AG51" i="199"/>
  <c r="AO51" i="199" s="1"/>
  <c r="AG88" i="199"/>
  <c r="AO88" i="199" s="1"/>
  <c r="AI26" i="199"/>
  <c r="T59" i="192"/>
  <c r="T68" i="192"/>
  <c r="T102" i="192"/>
  <c r="T131" i="192"/>
  <c r="T270" i="192"/>
  <c r="AG436" i="199"/>
  <c r="AO436" i="199" s="1"/>
  <c r="AG390" i="199"/>
  <c r="AO390" i="199" s="1"/>
  <c r="AO350" i="199"/>
  <c r="AO373" i="199"/>
  <c r="AG343" i="199"/>
  <c r="AO343" i="199" s="1"/>
  <c r="AG395" i="199"/>
  <c r="AO395" i="199" s="1"/>
  <c r="AG352" i="199"/>
  <c r="AO352" i="199" s="1"/>
  <c r="AG113" i="199"/>
  <c r="AO113" i="199" s="1"/>
  <c r="AG25" i="199"/>
  <c r="AO25" i="199" s="1"/>
  <c r="AG206" i="199"/>
  <c r="AO206" i="199" s="1"/>
  <c r="AG441" i="199"/>
  <c r="AO441" i="199" s="1"/>
  <c r="AO98" i="199"/>
  <c r="T11" i="192"/>
  <c r="T35" i="192"/>
  <c r="T116" i="192"/>
  <c r="T162" i="192"/>
  <c r="T174" i="192"/>
  <c r="T199" i="192"/>
  <c r="T262" i="192"/>
  <c r="AG503" i="199"/>
  <c r="AO503" i="199" s="1"/>
  <c r="AG429" i="199"/>
  <c r="AO429" i="199" s="1"/>
  <c r="AG138" i="199"/>
  <c r="AO138" i="199" s="1"/>
  <c r="AG178" i="199"/>
  <c r="AO178" i="199" s="1"/>
  <c r="AG308" i="199"/>
  <c r="AO308" i="199" s="1"/>
  <c r="AG298" i="199"/>
  <c r="AO298" i="199" s="1"/>
  <c r="AG129" i="199"/>
  <c r="AO129" i="199" s="1"/>
  <c r="AG97" i="199"/>
  <c r="AO97" i="199" s="1"/>
  <c r="AG27" i="199"/>
  <c r="AO27" i="199" s="1"/>
  <c r="T360" i="192"/>
  <c r="AG241" i="199"/>
  <c r="AO241" i="199" s="1"/>
  <c r="AO86" i="199"/>
  <c r="AO62" i="199"/>
  <c r="T7" i="192"/>
  <c r="T16" i="192"/>
  <c r="T19" i="192"/>
  <c r="T34" i="192"/>
  <c r="T60" i="192"/>
  <c r="T74" i="192"/>
  <c r="T90" i="192"/>
  <c r="T100" i="192"/>
  <c r="T119" i="192"/>
  <c r="T150" i="192"/>
  <c r="T161" i="192"/>
  <c r="T172" i="192"/>
  <c r="T181" i="192"/>
  <c r="T190" i="192"/>
  <c r="T196" i="192"/>
  <c r="T206" i="192"/>
  <c r="T221" i="192"/>
  <c r="T230" i="192"/>
  <c r="T242" i="192"/>
  <c r="T284" i="192"/>
  <c r="T287" i="192"/>
  <c r="T301" i="192"/>
  <c r="T307" i="192"/>
  <c r="AG486" i="199"/>
  <c r="AO486" i="199" s="1"/>
  <c r="AG418" i="199"/>
  <c r="AO418" i="199" s="1"/>
  <c r="AG452" i="199"/>
  <c r="AO452" i="199" s="1"/>
  <c r="AG448" i="199"/>
  <c r="AO448" i="199" s="1"/>
  <c r="AO357" i="199"/>
  <c r="AG457" i="199"/>
  <c r="AO457" i="199" s="1"/>
  <c r="AO288" i="199"/>
  <c r="AG164" i="199"/>
  <c r="AO164" i="199" s="1"/>
  <c r="AG293" i="199"/>
  <c r="AO293" i="199" s="1"/>
  <c r="AG255" i="199"/>
  <c r="AO255" i="199" s="1"/>
  <c r="AG232" i="199"/>
  <c r="AO232" i="199" s="1"/>
  <c r="AG99" i="199"/>
  <c r="AO99" i="199" s="1"/>
  <c r="AG35" i="199"/>
  <c r="AO35" i="199" s="1"/>
  <c r="AG302" i="199"/>
  <c r="AO302" i="199" s="1"/>
  <c r="AG105" i="199"/>
  <c r="AO105" i="199" s="1"/>
  <c r="AG57" i="199"/>
  <c r="AO57" i="199" s="1"/>
  <c r="AO29" i="199"/>
  <c r="AG186" i="199"/>
  <c r="AO186" i="199" s="1"/>
  <c r="AG274" i="199"/>
  <c r="AO274" i="199" s="1"/>
  <c r="AG230" i="199"/>
  <c r="AO230" i="199" s="1"/>
  <c r="AG249" i="199"/>
  <c r="AO249" i="199" s="1"/>
  <c r="AO94" i="199"/>
  <c r="AG153" i="199"/>
  <c r="AO153" i="199" s="1"/>
  <c r="AO114" i="199"/>
  <c r="AO34" i="199"/>
  <c r="AG21" i="199"/>
  <c r="AO21" i="199" s="1"/>
  <c r="AG313" i="199"/>
  <c r="AO313" i="199" s="1"/>
  <c r="T18" i="192"/>
  <c r="T87" i="192"/>
  <c r="T108" i="192"/>
  <c r="T183" i="192"/>
  <c r="T208" i="192"/>
  <c r="T229" i="192"/>
  <c r="T271" i="192"/>
  <c r="T279" i="192"/>
  <c r="T321" i="192"/>
  <c r="T324" i="192"/>
  <c r="AG500" i="199"/>
  <c r="AO500" i="199" s="1"/>
  <c r="AG471" i="199"/>
  <c r="AO471" i="199" s="1"/>
  <c r="AG362" i="199"/>
  <c r="AO362" i="199" s="1"/>
  <c r="AG367" i="199"/>
  <c r="AO367" i="199" s="1"/>
  <c r="AO341" i="199"/>
  <c r="AG416" i="199"/>
  <c r="AO416" i="199" s="1"/>
  <c r="AO212" i="199"/>
  <c r="AG484" i="199"/>
  <c r="AO484" i="199" s="1"/>
  <c r="AG383" i="199"/>
  <c r="AO383" i="199" s="1"/>
  <c r="AG266" i="199"/>
  <c r="AO266" i="199" s="1"/>
  <c r="AG217" i="199"/>
  <c r="AO217" i="199" s="1"/>
  <c r="AG412" i="199"/>
  <c r="AO412" i="199" s="1"/>
  <c r="AG259" i="199"/>
  <c r="AO259" i="199" s="1"/>
  <c r="AG190" i="199"/>
  <c r="AO190" i="199" s="1"/>
  <c r="AG93" i="199"/>
  <c r="AO93" i="199" s="1"/>
  <c r="AG237" i="199"/>
  <c r="AO237" i="199" s="1"/>
  <c r="AO191" i="199"/>
  <c r="AO139" i="199"/>
  <c r="AO106" i="199"/>
  <c r="AO42" i="199"/>
  <c r="AO17" i="199"/>
  <c r="AG179" i="199"/>
  <c r="AO179" i="199" s="1"/>
  <c r="AG211" i="199"/>
  <c r="AO211" i="199" s="1"/>
  <c r="AG49" i="199"/>
  <c r="AO49" i="199" s="1"/>
  <c r="T266" i="192"/>
  <c r="T317" i="192"/>
  <c r="T344" i="192"/>
  <c r="AG456" i="199"/>
  <c r="AO456" i="199" s="1"/>
  <c r="AG331" i="199"/>
  <c r="AO331" i="199" s="1"/>
  <c r="AG73" i="199"/>
  <c r="AO73" i="199" s="1"/>
  <c r="AG218" i="199"/>
  <c r="AO218" i="199" s="1"/>
  <c r="AI13" i="199"/>
  <c r="AI12" i="199"/>
  <c r="AG227" i="199"/>
  <c r="AO227" i="199" s="1"/>
  <c r="AO207" i="199"/>
  <c r="T72" i="192"/>
  <c r="T149" i="192"/>
  <c r="T202" i="192"/>
  <c r="T251" i="192"/>
  <c r="T259" i="192"/>
  <c r="T283" i="192"/>
  <c r="AO498" i="199"/>
  <c r="AO459" i="199"/>
  <c r="AG386" i="199"/>
  <c r="AO386" i="199" s="1"/>
  <c r="AG449" i="199"/>
  <c r="AO449" i="199" s="1"/>
  <c r="AG426" i="199"/>
  <c r="AO426" i="199" s="1"/>
  <c r="AO314" i="199"/>
  <c r="AO242" i="199"/>
  <c r="AG208" i="199"/>
  <c r="AO208" i="199" s="1"/>
  <c r="AG389" i="199"/>
  <c r="AO389" i="199" s="1"/>
  <c r="AG333" i="199"/>
  <c r="AO333" i="199" s="1"/>
  <c r="AG127" i="199"/>
  <c r="AO127" i="199" s="1"/>
  <c r="AI155" i="199"/>
  <c r="AG116" i="199"/>
  <c r="AO116" i="199" s="1"/>
  <c r="AG290" i="199"/>
  <c r="AO290" i="199" s="1"/>
  <c r="AO82" i="199"/>
  <c r="AO50" i="199"/>
  <c r="AG134" i="199"/>
  <c r="AO134" i="199" s="1"/>
  <c r="T88" i="192"/>
  <c r="T201" i="192"/>
  <c r="T217" i="192"/>
  <c r="AO490" i="199"/>
  <c r="AG433" i="199"/>
  <c r="AO433" i="199" s="1"/>
  <c r="AO462" i="199"/>
  <c r="AG444" i="199"/>
  <c r="AO444" i="199" s="1"/>
  <c r="AG375" i="199"/>
  <c r="AO375" i="199" s="1"/>
  <c r="AG200" i="199"/>
  <c r="AO200" i="199" s="1"/>
  <c r="AG160" i="199"/>
  <c r="AO160" i="199" s="1"/>
  <c r="AO413" i="199"/>
  <c r="AG270" i="199"/>
  <c r="AO270" i="199" s="1"/>
  <c r="AG128" i="199"/>
  <c r="AO128" i="199" s="1"/>
  <c r="AG56" i="199"/>
  <c r="AO56" i="199" s="1"/>
  <c r="AG65" i="199"/>
  <c r="AO65" i="199" s="1"/>
  <c r="AG497" i="199"/>
  <c r="AO497" i="199" s="1"/>
  <c r="AG282" i="199"/>
  <c r="AO282" i="199" s="1"/>
  <c r="AG489" i="199"/>
  <c r="AO489" i="199" s="1"/>
  <c r="AO90" i="199"/>
  <c r="AO46" i="199"/>
  <c r="AO203" i="199"/>
  <c r="T33" i="192"/>
  <c r="T71" i="192"/>
  <c r="T169" i="192"/>
  <c r="T178" i="192"/>
  <c r="T189" i="192"/>
  <c r="T212" i="192"/>
  <c r="T277" i="192"/>
  <c r="T312" i="192"/>
  <c r="T334" i="192"/>
  <c r="AG460" i="199"/>
  <c r="AO460" i="199" s="1"/>
  <c r="AG408" i="199"/>
  <c r="AO408" i="199" s="1"/>
  <c r="AG411" i="199"/>
  <c r="AO411" i="199" s="1"/>
  <c r="AO269" i="199"/>
  <c r="AG180" i="199"/>
  <c r="AO180" i="199" s="1"/>
  <c r="AG174" i="199"/>
  <c r="AO174" i="199" s="1"/>
  <c r="AG96" i="199"/>
  <c r="AO96" i="199" s="1"/>
  <c r="AG152" i="199"/>
  <c r="AO152" i="199" s="1"/>
  <c r="AG81" i="199"/>
  <c r="AO81" i="199" s="1"/>
  <c r="AI31" i="199"/>
  <c r="AO26" i="199"/>
  <c r="AO12" i="199"/>
  <c r="T111" i="192"/>
  <c r="T126" i="192"/>
  <c r="T265" i="192"/>
  <c r="T305" i="192"/>
  <c r="T337" i="192"/>
  <c r="AO318" i="199"/>
  <c r="AG376" i="199"/>
  <c r="AO376" i="199" s="1"/>
  <c r="AG344" i="199"/>
  <c r="AO344" i="199" s="1"/>
  <c r="AG84" i="199"/>
  <c r="AO84" i="199" s="1"/>
  <c r="AG37" i="199"/>
  <c r="AO37" i="199" s="1"/>
  <c r="AG11" i="199"/>
  <c r="AO11" i="199" s="1"/>
  <c r="AG509" i="199"/>
  <c r="AO509" i="199" s="1"/>
  <c r="AG223" i="199"/>
  <c r="AO223" i="199" s="1"/>
  <c r="T9" i="192"/>
  <c r="T14" i="192"/>
  <c r="T38" i="192"/>
  <c r="T44" i="192"/>
  <c r="T50" i="192"/>
  <c r="T61" i="192"/>
  <c r="T64" i="192"/>
  <c r="T67" i="192"/>
  <c r="T86" i="192"/>
  <c r="T92" i="192"/>
  <c r="T106" i="192"/>
  <c r="T125" i="192"/>
  <c r="T143" i="192"/>
  <c r="T151" i="192"/>
  <c r="T158" i="192"/>
  <c r="T168" i="192"/>
  <c r="T186" i="192"/>
  <c r="T192" i="192"/>
  <c r="T195" i="192"/>
  <c r="T204" i="192"/>
  <c r="T211" i="192"/>
  <c r="T220" i="192"/>
  <c r="T241" i="192"/>
  <c r="T250" i="192"/>
  <c r="T274" i="192"/>
  <c r="T280" i="192"/>
  <c r="T296" i="192"/>
  <c r="T303" i="192"/>
  <c r="T311" i="192"/>
  <c r="T330" i="192"/>
  <c r="T333" i="192"/>
  <c r="T336" i="192"/>
  <c r="T339" i="192"/>
  <c r="AO495" i="199"/>
  <c r="AO510" i="199"/>
  <c r="AO506" i="199"/>
  <c r="AG475" i="199"/>
  <c r="AO475" i="199" s="1"/>
  <c r="AO451" i="199"/>
  <c r="AO470" i="199"/>
  <c r="AO442" i="199"/>
  <c r="AG338" i="199"/>
  <c r="AO338" i="199" s="1"/>
  <c r="AO361" i="199"/>
  <c r="AG351" i="199"/>
  <c r="AO351" i="199" s="1"/>
  <c r="AG485" i="199"/>
  <c r="AO485" i="199" s="1"/>
  <c r="AO330" i="199"/>
  <c r="AO265" i="199"/>
  <c r="AO250" i="199"/>
  <c r="AO220" i="199"/>
  <c r="AG388" i="199"/>
  <c r="AO388" i="199" s="1"/>
  <c r="AO291" i="199"/>
  <c r="AO279" i="199"/>
  <c r="AG384" i="199"/>
  <c r="AO384" i="199" s="1"/>
  <c r="AG368" i="199"/>
  <c r="AO368" i="199" s="1"/>
  <c r="AG262" i="199"/>
  <c r="AO262" i="199" s="1"/>
  <c r="AG243" i="199"/>
  <c r="AO243" i="199" s="1"/>
  <c r="AG213" i="199"/>
  <c r="AO213" i="199" s="1"/>
  <c r="AG63" i="199"/>
  <c r="AO63" i="199" s="1"/>
  <c r="AO381" i="199"/>
  <c r="AG323" i="199"/>
  <c r="AO323" i="199" s="1"/>
  <c r="AG286" i="199"/>
  <c r="AO286" i="199" s="1"/>
  <c r="AG252" i="199"/>
  <c r="AO252" i="199" s="1"/>
  <c r="AG399" i="199"/>
  <c r="AO399" i="199" s="1"/>
  <c r="AG295" i="199"/>
  <c r="AO295" i="199" s="1"/>
  <c r="AG92" i="199"/>
  <c r="AO92" i="199" s="1"/>
  <c r="AG52" i="199"/>
  <c r="AO52" i="199" s="1"/>
  <c r="AG40" i="199"/>
  <c r="AO40" i="199" s="1"/>
  <c r="AG427" i="199"/>
  <c r="AO427" i="199" s="1"/>
  <c r="AG393" i="199"/>
  <c r="AO393" i="199" s="1"/>
  <c r="AG324" i="199"/>
  <c r="AO324" i="199" s="1"/>
  <c r="AI151" i="199"/>
  <c r="AG136" i="199"/>
  <c r="AO136" i="199" s="1"/>
  <c r="AG117" i="199"/>
  <c r="AO117" i="199" s="1"/>
  <c r="AO89" i="199"/>
  <c r="AG61" i="199"/>
  <c r="AO61" i="199" s="1"/>
  <c r="AG53" i="199"/>
  <c r="AO53" i="199" s="1"/>
  <c r="AG240" i="199"/>
  <c r="AO240" i="199" s="1"/>
  <c r="AG198" i="199"/>
  <c r="AO198" i="199" s="1"/>
  <c r="AG469" i="199"/>
  <c r="AO469" i="199" s="1"/>
  <c r="AG380" i="199"/>
  <c r="AO380" i="199" s="1"/>
  <c r="AI23" i="199"/>
  <c r="AG325" i="199"/>
  <c r="AO325" i="199" s="1"/>
  <c r="AO245" i="199"/>
  <c r="AG215" i="199"/>
  <c r="AO215" i="199" s="1"/>
  <c r="AO187" i="199"/>
  <c r="AO199" i="199"/>
  <c r="AO150" i="199"/>
  <c r="AG110" i="199"/>
  <c r="AO110" i="199" s="1"/>
  <c r="AG149" i="199"/>
  <c r="AO149" i="199" s="1"/>
  <c r="AG126" i="199"/>
  <c r="AO126" i="199" s="1"/>
  <c r="AO32" i="199"/>
  <c r="AG102" i="199"/>
  <c r="AO102" i="199" s="1"/>
  <c r="T5" i="192"/>
  <c r="T8" i="192"/>
  <c r="T20" i="192"/>
  <c r="T23" i="192"/>
  <c r="T31" i="192"/>
  <c r="T40" i="192"/>
  <c r="T43" i="192"/>
  <c r="T46" i="192"/>
  <c r="T49" i="192"/>
  <c r="T66" i="192"/>
  <c r="T73" i="192"/>
  <c r="T79" i="192"/>
  <c r="T109" i="192"/>
  <c r="T132" i="192"/>
  <c r="T139" i="192"/>
  <c r="T155" i="192"/>
  <c r="T167" i="192"/>
  <c r="T171" i="192"/>
  <c r="T173" i="192"/>
  <c r="T182" i="192"/>
  <c r="T185" i="192"/>
  <c r="T191" i="192"/>
  <c r="T194" i="192"/>
  <c r="T210" i="192"/>
  <c r="T232" i="192"/>
  <c r="T236" i="192"/>
  <c r="T240" i="192"/>
  <c r="T244" i="192"/>
  <c r="T247" i="192"/>
  <c r="T282" i="192"/>
  <c r="T286" i="192"/>
  <c r="T292" i="192"/>
  <c r="T302" i="192"/>
  <c r="T318" i="192"/>
  <c r="T332" i="192"/>
  <c r="T345" i="192"/>
  <c r="T348" i="192"/>
  <c r="AG491" i="199"/>
  <c r="AO491" i="199" s="1"/>
  <c r="AG504" i="199"/>
  <c r="AO504" i="199" s="1"/>
  <c r="AG494" i="199"/>
  <c r="AO494" i="199" s="1"/>
  <c r="AG425" i="199"/>
  <c r="AO425" i="199" s="1"/>
  <c r="AG483" i="199"/>
  <c r="AO483" i="199" s="1"/>
  <c r="AG468" i="199"/>
  <c r="AO468" i="199" s="1"/>
  <c r="AO454" i="199"/>
  <c r="AG437" i="199"/>
  <c r="AO437" i="199" s="1"/>
  <c r="AO406" i="199"/>
  <c r="AG354" i="199"/>
  <c r="AO354" i="199" s="1"/>
  <c r="AO334" i="199"/>
  <c r="AO420" i="199"/>
  <c r="AO369" i="199"/>
  <c r="AG359" i="199"/>
  <c r="AO359" i="199" s="1"/>
  <c r="AG473" i="199"/>
  <c r="AO473" i="199" s="1"/>
  <c r="AG326" i="199"/>
  <c r="AO326" i="199" s="1"/>
  <c r="AG311" i="199"/>
  <c r="AO311" i="199" s="1"/>
  <c r="AG276" i="199"/>
  <c r="AO276" i="199" s="1"/>
  <c r="AG216" i="199"/>
  <c r="AO216" i="199" s="1"/>
  <c r="AG192" i="199"/>
  <c r="AO192" i="199" s="1"/>
  <c r="AG168" i="199"/>
  <c r="AO168" i="199" s="1"/>
  <c r="AG453" i="199"/>
  <c r="AO453" i="199" s="1"/>
  <c r="AG461" i="199"/>
  <c r="AO461" i="199" s="1"/>
  <c r="AO424" i="199"/>
  <c r="AO397" i="199"/>
  <c r="AG360" i="199"/>
  <c r="AO360" i="199" s="1"/>
  <c r="AG315" i="199"/>
  <c r="AO315" i="199" s="1"/>
  <c r="AG268" i="199"/>
  <c r="AO268" i="199" s="1"/>
  <c r="AO260" i="199"/>
  <c r="AG239" i="199"/>
  <c r="AO239" i="199" s="1"/>
  <c r="AG225" i="199"/>
  <c r="AO225" i="199" s="1"/>
  <c r="AG95" i="199"/>
  <c r="AO95" i="199" s="1"/>
  <c r="AG348" i="199"/>
  <c r="AO348" i="199" s="1"/>
  <c r="AO154" i="199"/>
  <c r="AG140" i="199"/>
  <c r="AO140" i="199" s="1"/>
  <c r="AG332" i="199"/>
  <c r="AO332" i="199" s="1"/>
  <c r="AG233" i="199"/>
  <c r="AO233" i="199" s="1"/>
  <c r="AG162" i="199"/>
  <c r="AO162" i="199" s="1"/>
  <c r="AG148" i="199"/>
  <c r="AO148" i="199" s="1"/>
  <c r="AG120" i="199"/>
  <c r="AO120" i="199" s="1"/>
  <c r="AG104" i="199"/>
  <c r="AO104" i="199" s="1"/>
  <c r="AG60" i="199"/>
  <c r="AO60" i="199" s="1"/>
  <c r="AG144" i="199"/>
  <c r="AO144" i="199" s="1"/>
  <c r="AG404" i="199"/>
  <c r="AO404" i="199" s="1"/>
  <c r="AG77" i="199"/>
  <c r="AO77" i="199" s="1"/>
  <c r="AG41" i="199"/>
  <c r="AO41" i="199" s="1"/>
  <c r="AO33" i="199"/>
  <c r="AO428" i="199"/>
  <c r="AG226" i="199"/>
  <c r="AO226" i="199" s="1"/>
  <c r="AG372" i="199"/>
  <c r="AO372" i="199" s="1"/>
  <c r="AG305" i="199"/>
  <c r="AO305" i="199" s="1"/>
  <c r="AI15" i="199"/>
  <c r="AG501" i="199"/>
  <c r="AO501" i="199" s="1"/>
  <c r="AO231" i="199"/>
  <c r="AG163" i="199"/>
  <c r="AO163" i="199" s="1"/>
  <c r="AO155" i="199"/>
  <c r="AG145" i="199"/>
  <c r="AO145" i="199" s="1"/>
  <c r="AG142" i="199"/>
  <c r="AO142" i="199" s="1"/>
  <c r="AO118" i="199"/>
  <c r="AI307" i="199"/>
  <c r="AG307" i="199"/>
  <c r="AO307" i="199" s="1"/>
  <c r="AA214" i="192"/>
  <c r="AG214" i="192" s="1"/>
  <c r="T214" i="192"/>
  <c r="AA22" i="189"/>
  <c r="T22" i="189"/>
  <c r="AI479" i="199"/>
  <c r="AG479" i="199"/>
  <c r="AO479" i="199" s="1"/>
  <c r="AI364" i="199"/>
  <c r="AG364" i="199"/>
  <c r="AO364" i="199" s="1"/>
  <c r="AA141" i="192"/>
  <c r="AG141" i="192" s="1"/>
  <c r="T141" i="192"/>
  <c r="T83" i="192"/>
  <c r="AA363" i="192"/>
  <c r="AG363" i="192" s="1"/>
  <c r="T363" i="192"/>
  <c r="AA323" i="192"/>
  <c r="AG323" i="192" s="1"/>
  <c r="T323" i="192"/>
  <c r="AA269" i="192"/>
  <c r="AG269" i="192" s="1"/>
  <c r="T269" i="192"/>
  <c r="AI336" i="199"/>
  <c r="AG336" i="199"/>
  <c r="AO336" i="199" s="1"/>
  <c r="AA225" i="192"/>
  <c r="AG225" i="192" s="1"/>
  <c r="T225" i="192"/>
  <c r="AA187" i="192"/>
  <c r="AG187" i="192" s="1"/>
  <c r="T187" i="192"/>
  <c r="AI112" i="199"/>
  <c r="AG112" i="199"/>
  <c r="AO112" i="199" s="1"/>
  <c r="AA37" i="192"/>
  <c r="AG37" i="192" s="1"/>
  <c r="T37" i="192"/>
  <c r="AA34" i="189"/>
  <c r="T34" i="189"/>
  <c r="AA69" i="192"/>
  <c r="AG69" i="192" s="1"/>
  <c r="T69" i="192"/>
  <c r="AA25" i="192"/>
  <c r="AG25" i="192" s="1"/>
  <c r="T25" i="192"/>
  <c r="T30" i="192"/>
  <c r="T154" i="192"/>
  <c r="T275" i="192"/>
  <c r="AO377" i="199"/>
  <c r="AI512" i="199"/>
  <c r="AG512" i="199"/>
  <c r="AO512" i="199" s="1"/>
  <c r="AI496" i="199"/>
  <c r="AG496" i="199"/>
  <c r="AO496" i="199" s="1"/>
  <c r="AI493" i="199"/>
  <c r="AG493" i="199"/>
  <c r="AO493" i="199" s="1"/>
  <c r="AA372" i="192"/>
  <c r="AG372" i="192" s="1"/>
  <c r="T372" i="192"/>
  <c r="AI492" i="199"/>
  <c r="AG492" i="199"/>
  <c r="AO492" i="199" s="1"/>
  <c r="AI481" i="199"/>
  <c r="AG481" i="199"/>
  <c r="AO481" i="199" s="1"/>
  <c r="AI474" i="199"/>
  <c r="AG474" i="199"/>
  <c r="AO474" i="199" s="1"/>
  <c r="AI466" i="199"/>
  <c r="AG466" i="199"/>
  <c r="AO466" i="199" s="1"/>
  <c r="AI458" i="199"/>
  <c r="AG458" i="199"/>
  <c r="AO458" i="199" s="1"/>
  <c r="AI450" i="199"/>
  <c r="AG450" i="199"/>
  <c r="AO450" i="199" s="1"/>
  <c r="AI435" i="199"/>
  <c r="AG435" i="199"/>
  <c r="AO435" i="199" s="1"/>
  <c r="AI415" i="199"/>
  <c r="AG415" i="199"/>
  <c r="AO415" i="199" s="1"/>
  <c r="AI379" i="199"/>
  <c r="AG379" i="199"/>
  <c r="AO379" i="199" s="1"/>
  <c r="AI371" i="199"/>
  <c r="AG371" i="199"/>
  <c r="AO371" i="199" s="1"/>
  <c r="AI355" i="199"/>
  <c r="AG355" i="199"/>
  <c r="AO355" i="199" s="1"/>
  <c r="AI347" i="199"/>
  <c r="AG347" i="199"/>
  <c r="AO347" i="199" s="1"/>
  <c r="AA368" i="192"/>
  <c r="AG368" i="192" s="1"/>
  <c r="T368" i="192"/>
  <c r="AI487" i="199"/>
  <c r="AG487" i="199"/>
  <c r="AO487" i="199" s="1"/>
  <c r="AA342" i="192"/>
  <c r="AG342" i="192" s="1"/>
  <c r="T342" i="192"/>
  <c r="AI419" i="199"/>
  <c r="AG419" i="199"/>
  <c r="AO419" i="199" s="1"/>
  <c r="T39" i="192"/>
  <c r="T54" i="192"/>
  <c r="T91" i="192"/>
  <c r="T94" i="192"/>
  <c r="T258" i="192"/>
  <c r="T291" i="192"/>
  <c r="AG439" i="199"/>
  <c r="AO439" i="199" s="1"/>
  <c r="AG378" i="199"/>
  <c r="AO378" i="199" s="1"/>
  <c r="AO353" i="199"/>
  <c r="AI477" i="199"/>
  <c r="AG477" i="199"/>
  <c r="AO477" i="199" s="1"/>
  <c r="AI476" i="199"/>
  <c r="AG476" i="199"/>
  <c r="AO476" i="199" s="1"/>
  <c r="AI440" i="199"/>
  <c r="AG440" i="199"/>
  <c r="AO440" i="199" s="1"/>
  <c r="AA346" i="192"/>
  <c r="AG346" i="192" s="1"/>
  <c r="T346" i="192"/>
  <c r="AA338" i="192"/>
  <c r="AG338" i="192" s="1"/>
  <c r="T338" i="192"/>
  <c r="AI304" i="199"/>
  <c r="AG304" i="199"/>
  <c r="AO304" i="199" s="1"/>
  <c r="AI297" i="199"/>
  <c r="AG297" i="199"/>
  <c r="AO297" i="199" s="1"/>
  <c r="AI316" i="199"/>
  <c r="AG316" i="199"/>
  <c r="AO316" i="199" s="1"/>
  <c r="AI278" i="199"/>
  <c r="AG278" i="199"/>
  <c r="AO278" i="199" s="1"/>
  <c r="AI219" i="199"/>
  <c r="AG219" i="199"/>
  <c r="AO219" i="199" s="1"/>
  <c r="AI210" i="199"/>
  <c r="AG210" i="199"/>
  <c r="AO210" i="199" s="1"/>
  <c r="AI194" i="199"/>
  <c r="AG194" i="199"/>
  <c r="AO194" i="199" s="1"/>
  <c r="AA24" i="192"/>
  <c r="AG24" i="192" s="1"/>
  <c r="T24" i="192"/>
  <c r="AA10" i="192"/>
  <c r="AG10" i="192" s="1"/>
  <c r="T10" i="192"/>
  <c r="AA96" i="192"/>
  <c r="AG96" i="192" s="1"/>
  <c r="T96" i="192"/>
  <c r="AA203" i="192"/>
  <c r="AG203" i="192" s="1"/>
  <c r="T203" i="192"/>
  <c r="AI244" i="199"/>
  <c r="AG244" i="199"/>
  <c r="AO244" i="199" s="1"/>
  <c r="AA104" i="192"/>
  <c r="AG104" i="192" s="1"/>
  <c r="T104" i="192"/>
  <c r="T63" i="192"/>
  <c r="T226" i="192"/>
  <c r="AI499" i="199"/>
  <c r="AG499" i="199"/>
  <c r="AO499" i="199" s="1"/>
  <c r="AA349" i="192"/>
  <c r="AG349" i="192" s="1"/>
  <c r="T349" i="192"/>
  <c r="AA308" i="192"/>
  <c r="AG308" i="192" s="1"/>
  <c r="T308" i="192"/>
  <c r="AI385" i="199"/>
  <c r="AG385" i="199"/>
  <c r="AO385" i="199" s="1"/>
  <c r="AA29" i="192"/>
  <c r="AG29" i="192" s="1"/>
  <c r="T29" i="192"/>
  <c r="AI72" i="199"/>
  <c r="AG72" i="199"/>
  <c r="AO72" i="199" s="1"/>
  <c r="AA77" i="192"/>
  <c r="AG77" i="192" s="1"/>
  <c r="T77" i="192"/>
  <c r="AA17" i="192"/>
  <c r="AG17" i="192" s="1"/>
  <c r="T17" i="192"/>
  <c r="T58" i="192"/>
  <c r="T197" i="192"/>
  <c r="AG346" i="199"/>
  <c r="AO346" i="199" s="1"/>
  <c r="AO345" i="199"/>
  <c r="AA384" i="192"/>
  <c r="AG384" i="192" s="1"/>
  <c r="T384" i="192"/>
  <c r="AI508" i="199"/>
  <c r="AG508" i="199"/>
  <c r="AO508" i="199" s="1"/>
  <c r="AA331" i="192"/>
  <c r="AG331" i="192" s="1"/>
  <c r="T331" i="192"/>
  <c r="AI423" i="199"/>
  <c r="AG423" i="199"/>
  <c r="AO423" i="199" s="1"/>
  <c r="AI387" i="199"/>
  <c r="AG387" i="199"/>
  <c r="AO387" i="199" s="1"/>
  <c r="AI363" i="199"/>
  <c r="AG363" i="199"/>
  <c r="AO363" i="199" s="1"/>
  <c r="AA379" i="192"/>
  <c r="AG379" i="192" s="1"/>
  <c r="T379" i="192"/>
  <c r="AA335" i="192"/>
  <c r="AG335" i="192" s="1"/>
  <c r="T335" i="192"/>
  <c r="AA329" i="192"/>
  <c r="AG329" i="192" s="1"/>
  <c r="T329" i="192"/>
  <c r="AI267" i="199"/>
  <c r="AG267" i="199"/>
  <c r="AO267" i="199" s="1"/>
  <c r="AI258" i="199"/>
  <c r="AG258" i="199"/>
  <c r="AO258" i="199" s="1"/>
  <c r="AI256" i="199"/>
  <c r="AG256" i="199"/>
  <c r="AO256" i="199" s="1"/>
  <c r="AA179" i="192"/>
  <c r="AG179" i="192" s="1"/>
  <c r="T179" i="192"/>
  <c r="AI229" i="199"/>
  <c r="AG229" i="199"/>
  <c r="AO229" i="199" s="1"/>
  <c r="AA156" i="192"/>
  <c r="AG156" i="192" s="1"/>
  <c r="T156" i="192"/>
  <c r="AA18" i="189"/>
  <c r="T18" i="189"/>
  <c r="AI309" i="199"/>
  <c r="AG309" i="199"/>
  <c r="AO309" i="199" s="1"/>
  <c r="AI292" i="199"/>
  <c r="AG292" i="199"/>
  <c r="AO292" i="199" s="1"/>
  <c r="AA153" i="192"/>
  <c r="AG153" i="192" s="1"/>
  <c r="T153" i="192"/>
  <c r="AI175" i="199"/>
  <c r="AG175" i="199"/>
  <c r="AO175" i="199" s="1"/>
  <c r="AI166" i="199"/>
  <c r="AG166" i="199"/>
  <c r="AO166" i="199" s="1"/>
  <c r="AI158" i="199"/>
  <c r="AG158" i="199"/>
  <c r="AO158" i="199" s="1"/>
  <c r="AI137" i="199"/>
  <c r="AG137" i="199"/>
  <c r="AO137" i="199" s="1"/>
  <c r="AA89" i="192"/>
  <c r="AG89" i="192" s="1"/>
  <c r="T89" i="192"/>
  <c r="AI100" i="199"/>
  <c r="AG100" i="199"/>
  <c r="AO100" i="199" s="1"/>
  <c r="AA48" i="192"/>
  <c r="AG48" i="192" s="1"/>
  <c r="T48" i="192"/>
  <c r="AI68" i="199"/>
  <c r="AG68" i="199"/>
  <c r="AO68" i="199" s="1"/>
  <c r="AI36" i="199"/>
  <c r="AG36" i="199"/>
  <c r="AO36" i="199" s="1"/>
  <c r="AI30" i="199"/>
  <c r="AG30" i="199"/>
  <c r="AO30" i="199" s="1"/>
  <c r="AI157" i="199"/>
  <c r="AG157" i="199"/>
  <c r="AO157" i="199" s="1"/>
  <c r="AA76" i="192"/>
  <c r="AG76" i="192" s="1"/>
  <c r="T76" i="192"/>
  <c r="AI101" i="199"/>
  <c r="AG101" i="199"/>
  <c r="AO101" i="199" s="1"/>
  <c r="AI85" i="199"/>
  <c r="AG85" i="199"/>
  <c r="AO85" i="199" s="1"/>
  <c r="AA41" i="192"/>
  <c r="AG41" i="192" s="1"/>
  <c r="T41" i="192"/>
  <c r="AA36" i="192"/>
  <c r="AG36" i="192" s="1"/>
  <c r="T36" i="192"/>
  <c r="AI54" i="199"/>
  <c r="AG54" i="199"/>
  <c r="AO54" i="199" s="1"/>
  <c r="AI45" i="199"/>
  <c r="AG45" i="199"/>
  <c r="AO45" i="199" s="1"/>
  <c r="AA6" i="192"/>
  <c r="AG6" i="192" s="1"/>
  <c r="T6" i="192"/>
  <c r="AI432" i="199"/>
  <c r="AG432" i="199"/>
  <c r="AO432" i="199" s="1"/>
  <c r="AA297" i="192"/>
  <c r="AG297" i="192" s="1"/>
  <c r="T297" i="192"/>
  <c r="AI257" i="199"/>
  <c r="AG257" i="199"/>
  <c r="AO257" i="199" s="1"/>
  <c r="AA180" i="192"/>
  <c r="AG180" i="192" s="1"/>
  <c r="T180" i="192"/>
  <c r="AA160" i="192"/>
  <c r="AG160" i="192" s="1"/>
  <c r="T160" i="192"/>
  <c r="AA52" i="192"/>
  <c r="AG52" i="192" s="1"/>
  <c r="T52" i="192"/>
  <c r="AO70" i="199"/>
  <c r="AO374" i="199"/>
  <c r="AO342" i="199"/>
  <c r="AO254" i="199"/>
  <c r="AO224" i="199"/>
  <c r="AA378" i="192"/>
  <c r="AG378" i="192" s="1"/>
  <c r="T378" i="192"/>
  <c r="AA380" i="192"/>
  <c r="AG380" i="192" s="1"/>
  <c r="T380" i="192"/>
  <c r="AA9" i="189"/>
  <c r="T9" i="189"/>
  <c r="AA383" i="192"/>
  <c r="AG383" i="192" s="1"/>
  <c r="T383" i="192"/>
  <c r="AA373" i="192"/>
  <c r="AG373" i="192" s="1"/>
  <c r="T373" i="192"/>
  <c r="AA27" i="189"/>
  <c r="T27" i="189"/>
  <c r="AA7" i="189"/>
  <c r="T7" i="189"/>
  <c r="AA31" i="189"/>
  <c r="T31" i="189"/>
  <c r="AA358" i="192"/>
  <c r="AG358" i="192" s="1"/>
  <c r="T358" i="192"/>
  <c r="AA29" i="189"/>
  <c r="T29" i="189"/>
  <c r="T13" i="192"/>
  <c r="T21" i="192"/>
  <c r="T45" i="192"/>
  <c r="T53" i="192"/>
  <c r="T57" i="192"/>
  <c r="T65" i="192"/>
  <c r="T85" i="192"/>
  <c r="T93" i="192"/>
  <c r="T97" i="192"/>
  <c r="T105" i="192"/>
  <c r="T157" i="192"/>
  <c r="T165" i="192"/>
  <c r="T176" i="192"/>
  <c r="T184" i="192"/>
  <c r="T188" i="192"/>
  <c r="T207" i="192"/>
  <c r="T218" i="192"/>
  <c r="T245" i="192"/>
  <c r="T249" i="192"/>
  <c r="T253" i="192"/>
  <c r="T261" i="192"/>
  <c r="T281" i="192"/>
  <c r="T293" i="192"/>
  <c r="T304" i="192"/>
  <c r="T327" i="192"/>
  <c r="T350" i="192"/>
  <c r="AO502" i="199"/>
  <c r="AG482" i="199"/>
  <c r="AO482" i="199" s="1"/>
  <c r="AG463" i="199"/>
  <c r="AO463" i="199" s="1"/>
  <c r="AG447" i="199"/>
  <c r="AO447" i="199" s="1"/>
  <c r="AG414" i="199"/>
  <c r="AO414" i="199" s="1"/>
  <c r="AG370" i="199"/>
  <c r="AO370" i="199" s="1"/>
  <c r="AO467" i="199"/>
  <c r="AO280" i="199"/>
  <c r="AO235" i="199"/>
  <c r="AG275" i="199"/>
  <c r="AO275" i="199" s="1"/>
  <c r="AG251" i="199"/>
  <c r="AO251" i="199" s="1"/>
  <c r="AG221" i="199"/>
  <c r="AO221" i="199" s="1"/>
  <c r="AG111" i="199"/>
  <c r="AO111" i="199" s="1"/>
  <c r="AG79" i="199"/>
  <c r="AO79" i="199" s="1"/>
  <c r="AG47" i="199"/>
  <c r="AO47" i="199" s="1"/>
  <c r="AG248" i="199"/>
  <c r="AO248" i="199" s="1"/>
  <c r="AG170" i="199"/>
  <c r="AO170" i="199" s="1"/>
  <c r="AG340" i="199"/>
  <c r="AO340" i="199" s="1"/>
  <c r="AG306" i="199"/>
  <c r="AO306" i="199" s="1"/>
  <c r="AG301" i="199"/>
  <c r="AO301" i="199" s="1"/>
  <c r="AO9" i="199"/>
  <c r="AA374" i="192"/>
  <c r="AG374" i="192" s="1"/>
  <c r="T374" i="192"/>
  <c r="AA355" i="192"/>
  <c r="AG355" i="192" s="1"/>
  <c r="T355" i="192"/>
  <c r="AA375" i="192"/>
  <c r="AG375" i="192" s="1"/>
  <c r="T375" i="192"/>
  <c r="AA351" i="192"/>
  <c r="AG351" i="192" s="1"/>
  <c r="T351" i="192"/>
  <c r="AA377" i="192"/>
  <c r="AG377" i="192" s="1"/>
  <c r="T377" i="192"/>
  <c r="AA353" i="192"/>
  <c r="AG353" i="192" s="1"/>
  <c r="T353" i="192"/>
  <c r="AA371" i="192"/>
  <c r="AG371" i="192" s="1"/>
  <c r="T371" i="192"/>
  <c r="AA357" i="192"/>
  <c r="AG357" i="192" s="1"/>
  <c r="T357" i="192"/>
  <c r="AA12" i="189"/>
  <c r="T12" i="189"/>
  <c r="AG271" i="199"/>
  <c r="AO271" i="199" s="1"/>
  <c r="AA32" i="189"/>
  <c r="T32" i="189"/>
  <c r="AI33" i="189"/>
  <c r="AG33" i="189"/>
  <c r="AO33" i="189" s="1"/>
  <c r="AO24" i="199"/>
  <c r="AA5" i="189"/>
  <c r="AI5" i="189" s="1"/>
  <c r="T5" i="189"/>
  <c r="AA359" i="192"/>
  <c r="AG359" i="192" s="1"/>
  <c r="T359" i="192"/>
  <c r="AG171" i="199"/>
  <c r="AO171" i="199" s="1"/>
  <c r="AA24" i="189"/>
  <c r="T24" i="189"/>
  <c r="AA17" i="189"/>
  <c r="T17" i="189"/>
  <c r="AA20" i="189"/>
  <c r="T20" i="189"/>
  <c r="AA23" i="189"/>
  <c r="T23" i="189"/>
  <c r="AG222" i="199"/>
  <c r="AO222" i="199" s="1"/>
  <c r="AG214" i="199"/>
  <c r="AO214" i="199" s="1"/>
  <c r="AA26" i="189"/>
  <c r="T26" i="189"/>
  <c r="AG78" i="199"/>
  <c r="AO78" i="199" s="1"/>
  <c r="AA16" i="189"/>
  <c r="T16" i="189"/>
  <c r="AA369" i="192"/>
  <c r="AG369" i="192" s="1"/>
  <c r="T369" i="192"/>
  <c r="AA365" i="192"/>
  <c r="AG365" i="192" s="1"/>
  <c r="T365" i="192"/>
  <c r="AA13" i="189"/>
  <c r="T13" i="189"/>
  <c r="AA25" i="189"/>
  <c r="T25" i="189"/>
  <c r="AA6" i="189"/>
  <c r="AI6" i="189" s="1"/>
  <c r="T6" i="189"/>
  <c r="AA21" i="189"/>
  <c r="T21" i="189"/>
  <c r="AA30" i="189"/>
  <c r="T30" i="189"/>
  <c r="T120" i="192"/>
  <c r="T136" i="192"/>
  <c r="T152" i="192"/>
  <c r="T198" i="192"/>
  <c r="T248" i="192"/>
  <c r="T252" i="192"/>
  <c r="T256" i="192"/>
  <c r="T264" i="192"/>
  <c r="T268" i="192"/>
  <c r="T276" i="192"/>
  <c r="T288" i="192"/>
  <c r="AG478" i="199"/>
  <c r="AO478" i="199" s="1"/>
  <c r="AO443" i="199"/>
  <c r="AG464" i="199"/>
  <c r="AO464" i="199" s="1"/>
  <c r="AG446" i="199"/>
  <c r="AO446" i="199" s="1"/>
  <c r="AO407" i="199"/>
  <c r="AO366" i="199"/>
  <c r="AG430" i="199"/>
  <c r="AO430" i="199" s="1"/>
  <c r="AG480" i="199"/>
  <c r="AO480" i="199" s="1"/>
  <c r="AG417" i="199"/>
  <c r="AO417" i="199" s="1"/>
  <c r="AO261" i="199"/>
  <c r="AG400" i="199"/>
  <c r="AO400" i="199" s="1"/>
  <c r="AG319" i="199"/>
  <c r="AO319" i="199" s="1"/>
  <c r="AG289" i="199"/>
  <c r="AO289" i="199" s="1"/>
  <c r="AG281" i="199"/>
  <c r="AO281" i="199" s="1"/>
  <c r="AO264" i="199"/>
  <c r="AG392" i="199"/>
  <c r="AO392" i="199" s="1"/>
  <c r="AG320" i="199"/>
  <c r="AO320" i="199" s="1"/>
  <c r="AG132" i="199"/>
  <c r="AO132" i="199" s="1"/>
  <c r="AG108" i="199"/>
  <c r="AO108" i="199" s="1"/>
  <c r="AG76" i="199"/>
  <c r="AO76" i="199" s="1"/>
  <c r="AG44" i="199"/>
  <c r="AO44" i="199" s="1"/>
  <c r="AO299" i="199"/>
  <c r="AG125" i="199"/>
  <c r="AO125" i="199" s="1"/>
  <c r="AG109" i="199"/>
  <c r="AO109" i="199" s="1"/>
  <c r="AG69" i="199"/>
  <c r="AO69" i="199" s="1"/>
  <c r="AA370" i="192"/>
  <c r="AG370" i="192" s="1"/>
  <c r="T370" i="192"/>
  <c r="AA367" i="192"/>
  <c r="AG367" i="192" s="1"/>
  <c r="T367" i="192"/>
  <c r="AA382" i="192"/>
  <c r="AG382" i="192" s="1"/>
  <c r="T382" i="192"/>
  <c r="AA376" i="192"/>
  <c r="AG376" i="192" s="1"/>
  <c r="T376" i="192"/>
  <c r="AA19" i="189"/>
  <c r="T19" i="189"/>
  <c r="AA362" i="192"/>
  <c r="AG362" i="192" s="1"/>
  <c r="T362" i="192"/>
  <c r="AA381" i="192"/>
  <c r="AG381" i="192" s="1"/>
  <c r="T381" i="192"/>
  <c r="AA354" i="192"/>
  <c r="AG354" i="192" s="1"/>
  <c r="T354" i="192"/>
  <c r="AA14" i="189"/>
  <c r="T14" i="189"/>
  <c r="AA366" i="192"/>
  <c r="AG366" i="192" s="1"/>
  <c r="T366" i="192"/>
  <c r="AA38" i="189"/>
  <c r="T38" i="189"/>
  <c r="AA352" i="192"/>
  <c r="AG352" i="192" s="1"/>
  <c r="T352" i="192"/>
  <c r="AA36" i="189"/>
  <c r="T36" i="189"/>
  <c r="AG405" i="199"/>
  <c r="AO405" i="199" s="1"/>
  <c r="AG234" i="199"/>
  <c r="AO234" i="199" s="1"/>
  <c r="AA35" i="189"/>
  <c r="T35" i="189"/>
  <c r="AO151" i="199"/>
  <c r="AG133" i="199"/>
  <c r="AO133" i="199" s="1"/>
  <c r="AA37" i="189"/>
  <c r="T37" i="189"/>
  <c r="AA11" i="189"/>
  <c r="T11" i="189"/>
  <c r="AG183" i="199"/>
  <c r="AO183" i="199" s="1"/>
  <c r="AG167" i="199"/>
  <c r="AO167" i="199" s="1"/>
  <c r="AA28" i="189"/>
  <c r="T28" i="189"/>
  <c r="AA15" i="189"/>
  <c r="T15" i="189"/>
  <c r="AA10" i="189"/>
  <c r="T10" i="189"/>
  <c r="AA356" i="192"/>
  <c r="AG356" i="192" s="1"/>
  <c r="T356" i="192"/>
  <c r="AG45" i="192"/>
  <c r="AG13" i="192"/>
  <c r="AI434" i="199"/>
  <c r="AG434" i="199"/>
  <c r="AO434" i="199" s="1"/>
  <c r="AG382" i="199"/>
  <c r="AO382" i="199" s="1"/>
  <c r="AI382" i="199"/>
  <c r="AG147" i="199"/>
  <c r="AO147" i="199" s="1"/>
  <c r="AI147" i="199"/>
  <c r="AG123" i="199"/>
  <c r="AO123" i="199" s="1"/>
  <c r="AG59" i="199"/>
  <c r="AO59" i="199" s="1"/>
  <c r="AG43" i="199"/>
  <c r="AO43" i="199" s="1"/>
  <c r="AI205" i="199"/>
  <c r="AG205" i="199"/>
  <c r="AO205" i="199" s="1"/>
  <c r="AI185" i="199"/>
  <c r="AG185" i="199"/>
  <c r="AO185" i="199" s="1"/>
  <c r="AI173" i="199"/>
  <c r="AG173" i="199"/>
  <c r="AO173" i="199" s="1"/>
  <c r="AI169" i="199"/>
  <c r="AG169" i="199"/>
  <c r="AO169" i="199" s="1"/>
  <c r="AI161" i="199"/>
  <c r="AG161" i="199"/>
  <c r="AO161" i="199" s="1"/>
  <c r="AG159" i="199"/>
  <c r="AO159" i="199" s="1"/>
  <c r="AI159" i="199"/>
  <c r="AI209" i="199"/>
  <c r="AG209" i="199"/>
  <c r="AO209" i="199" s="1"/>
  <c r="AG196" i="199"/>
  <c r="AO196" i="199" s="1"/>
  <c r="AI196" i="199"/>
  <c r="AG410" i="199"/>
  <c r="AO410" i="199" s="1"/>
  <c r="AG398" i="199"/>
  <c r="AO398" i="199" s="1"/>
  <c r="AG300" i="199"/>
  <c r="AO300" i="199" s="1"/>
  <c r="AG188" i="199"/>
  <c r="AO188" i="199" s="1"/>
  <c r="AG172" i="199"/>
  <c r="AO172" i="199" s="1"/>
  <c r="AG119" i="199"/>
  <c r="AO119" i="199" s="1"/>
  <c r="AG103" i="199"/>
  <c r="AO103" i="199" s="1"/>
  <c r="AG87" i="199"/>
  <c r="AO87" i="199" s="1"/>
  <c r="AG71" i="199"/>
  <c r="AO71" i="199" s="1"/>
  <c r="AG55" i="199"/>
  <c r="AO55" i="199" s="1"/>
  <c r="AG39" i="199"/>
  <c r="AO39" i="199" s="1"/>
  <c r="AI403" i="199"/>
  <c r="AG403" i="199"/>
  <c r="AO403" i="199" s="1"/>
  <c r="AI391" i="199"/>
  <c r="AG391" i="199"/>
  <c r="AO391" i="199" s="1"/>
  <c r="AO19" i="199"/>
  <c r="AI422" i="199"/>
  <c r="AG422" i="199"/>
  <c r="AO422" i="199" s="1"/>
  <c r="AI327" i="199"/>
  <c r="AG327" i="199"/>
  <c r="AO327" i="199" s="1"/>
  <c r="AG107" i="199"/>
  <c r="AO107" i="199" s="1"/>
  <c r="AG91" i="199"/>
  <c r="AO91" i="199" s="1"/>
  <c r="AG75" i="199"/>
  <c r="AO75" i="199" s="1"/>
  <c r="AI177" i="199"/>
  <c r="AG177" i="199"/>
  <c r="AO177" i="199" s="1"/>
  <c r="AI165" i="199"/>
  <c r="AG165" i="199"/>
  <c r="AO165" i="199" s="1"/>
  <c r="AI193" i="199"/>
  <c r="AG193" i="199"/>
  <c r="AO193" i="199" s="1"/>
  <c r="AG421" i="199"/>
  <c r="AO421" i="199" s="1"/>
  <c r="AG394" i="199"/>
  <c r="AO394" i="199" s="1"/>
  <c r="AG296" i="199"/>
  <c r="AO296" i="199" s="1"/>
  <c r="AG204" i="199"/>
  <c r="AO204" i="199" s="1"/>
  <c r="AI189" i="199"/>
  <c r="AG189" i="199"/>
  <c r="AO189" i="199" s="1"/>
  <c r="AG143" i="199"/>
  <c r="AO143" i="199" s="1"/>
  <c r="AI143" i="199"/>
  <c r="AI201" i="199"/>
  <c r="AG201" i="199"/>
  <c r="AO201" i="199" s="1"/>
  <c r="AI197" i="199"/>
  <c r="AG197" i="199"/>
  <c r="AO197" i="199" s="1"/>
  <c r="AI181" i="199"/>
  <c r="AG181" i="199"/>
  <c r="AO181" i="199" s="1"/>
  <c r="AO15" i="199"/>
  <c r="AO23" i="199"/>
  <c r="AG283" i="192"/>
  <c r="AG288" i="192"/>
  <c r="AG333" i="192"/>
  <c r="AG340" i="192"/>
  <c r="AG61" i="192"/>
  <c r="AG57" i="192"/>
  <c r="AG74" i="192"/>
  <c r="AG84" i="192"/>
  <c r="AG218" i="192"/>
  <c r="AG248" i="192"/>
  <c r="AG268" i="192"/>
  <c r="AG188" i="192"/>
  <c r="AG83" i="192"/>
  <c r="AG275" i="192"/>
  <c r="AG4" i="192"/>
  <c r="AG81" i="192"/>
  <c r="AG33" i="192"/>
  <c r="AG258" i="192"/>
  <c r="AG312" i="192"/>
  <c r="AG38" i="192"/>
  <c r="AG71" i="192"/>
  <c r="AG148" i="192"/>
  <c r="AG162" i="192"/>
  <c r="AG325" i="192"/>
  <c r="AG20" i="192"/>
  <c r="AG43" i="192"/>
  <c r="AG64" i="192"/>
  <c r="AG78" i="192"/>
  <c r="AG91" i="192"/>
  <c r="AG132" i="192"/>
  <c r="AG230" i="192"/>
  <c r="AG232" i="192"/>
  <c r="AG238" i="192"/>
  <c r="AG240" i="192"/>
  <c r="AG313" i="192"/>
  <c r="AG86" i="192"/>
  <c r="AG90" i="192"/>
  <c r="AG185" i="192"/>
  <c r="AG221" i="192"/>
  <c r="AG227" i="192"/>
  <c r="AG246" i="192"/>
  <c r="AG252" i="192"/>
  <c r="AG282" i="192"/>
  <c r="AG293" i="192"/>
  <c r="AG301" i="192"/>
  <c r="AG307" i="192"/>
  <c r="AG343" i="192"/>
  <c r="AG15" i="192"/>
  <c r="AG19" i="192"/>
  <c r="AG21" i="192"/>
  <c r="AG51" i="192"/>
  <c r="AG59" i="192"/>
  <c r="AG63" i="192"/>
  <c r="AG66" i="192"/>
  <c r="AG103" i="192"/>
  <c r="AG113" i="192"/>
  <c r="AG178" i="192"/>
  <c r="AG192" i="192"/>
  <c r="AG199" i="192"/>
  <c r="AG222" i="192"/>
  <c r="AG280" i="192"/>
  <c r="AG12" i="192"/>
  <c r="AG46" i="192"/>
  <c r="AG73" i="192"/>
  <c r="AG220" i="192"/>
  <c r="AG278" i="192"/>
  <c r="AG304" i="192"/>
  <c r="AG327" i="192"/>
  <c r="AG350" i="192"/>
  <c r="AG8" i="192"/>
  <c r="AG18" i="192"/>
  <c r="AG22" i="192"/>
  <c r="AG26" i="192"/>
  <c r="AG40" i="192"/>
  <c r="AG55" i="192"/>
  <c r="AG75" i="192"/>
  <c r="AG98" i="192"/>
  <c r="AG11" i="192"/>
  <c r="AG28" i="192"/>
  <c r="AG42" i="192"/>
  <c r="AG53" i="192"/>
  <c r="AG120" i="192"/>
  <c r="AG143" i="192"/>
  <c r="AG157" i="192"/>
  <c r="AG169" i="192"/>
  <c r="AG195" i="192"/>
  <c r="AG208" i="192"/>
  <c r="AG249" i="192"/>
  <c r="AG255" i="192"/>
  <c r="AG257" i="192"/>
  <c r="AG263" i="192"/>
  <c r="AG265" i="192"/>
  <c r="AG284" i="192"/>
  <c r="AG291" i="192"/>
  <c r="AG294" i="192"/>
  <c r="AG110" i="192"/>
  <c r="AG116" i="192"/>
  <c r="AG135" i="192"/>
  <c r="AG145" i="192"/>
  <c r="AG159" i="192"/>
  <c r="AG167" i="192"/>
  <c r="AG172" i="192"/>
  <c r="AG197" i="192"/>
  <c r="AG211" i="192"/>
  <c r="AG242" i="192"/>
  <c r="AG271" i="192"/>
  <c r="AG326" i="192"/>
  <c r="AG16" i="192"/>
  <c r="AG31" i="192"/>
  <c r="AG35" i="192"/>
  <c r="AG50" i="192"/>
  <c r="AG58" i="192"/>
  <c r="AG149" i="192"/>
  <c r="AG163" i="192"/>
  <c r="AG200" i="192"/>
  <c r="AG311" i="192"/>
  <c r="AG316" i="192"/>
  <c r="AG85" i="192"/>
  <c r="AG94" i="192"/>
  <c r="AG107" i="192"/>
  <c r="AG125" i="192"/>
  <c r="AG139" i="192"/>
  <c r="AG151" i="192"/>
  <c r="AG174" i="192"/>
  <c r="AG193" i="192"/>
  <c r="AG215" i="192"/>
  <c r="AG224" i="192"/>
  <c r="AG231" i="192"/>
  <c r="AG239" i="192"/>
  <c r="AG243" i="192"/>
  <c r="AG256" i="192"/>
  <c r="AG259" i="192"/>
  <c r="AG264" i="192"/>
  <c r="AG274" i="192"/>
  <c r="AG276" i="192"/>
  <c r="AG290" i="192"/>
  <c r="AG300" i="192"/>
  <c r="AG302" i="192"/>
  <c r="AG310" i="192"/>
  <c r="AG315" i="192"/>
  <c r="AG317" i="192"/>
  <c r="AG330" i="192"/>
  <c r="AG30" i="192"/>
  <c r="AG72" i="192"/>
  <c r="AG80" i="192"/>
  <c r="AG118" i="192"/>
  <c r="AG124" i="192"/>
  <c r="AG138" i="192"/>
  <c r="AG155" i="192"/>
  <c r="AG173" i="192"/>
  <c r="AG206" i="192"/>
  <c r="AG92" i="192"/>
  <c r="AG97" i="192"/>
  <c r="AG108" i="192"/>
  <c r="AG119" i="192"/>
  <c r="AG123" i="192"/>
  <c r="AG131" i="192"/>
  <c r="AG168" i="192"/>
  <c r="AG170" i="192"/>
  <c r="AG189" i="192"/>
  <c r="AG194" i="192"/>
  <c r="AG207" i="192"/>
  <c r="AG209" i="192"/>
  <c r="AG213" i="192"/>
  <c r="AG228" i="192"/>
  <c r="AG236" i="192"/>
  <c r="AG253" i="192"/>
  <c r="AG261" i="192"/>
  <c r="AG279" i="192"/>
  <c r="AG328" i="192"/>
  <c r="AG332" i="192"/>
  <c r="AG339" i="192"/>
  <c r="AG344" i="192"/>
  <c r="AG133" i="192"/>
  <c r="AG137" i="192"/>
  <c r="AG202" i="192"/>
  <c r="AG205" i="192"/>
  <c r="AG337" i="192"/>
  <c r="AG44" i="192"/>
  <c r="AG88" i="192"/>
  <c r="AG102" i="192"/>
  <c r="AG127" i="192"/>
  <c r="AG130" i="192"/>
  <c r="AG144" i="192"/>
  <c r="AG147" i="192"/>
  <c r="AG175" i="192"/>
  <c r="AG177" i="192"/>
  <c r="AG190" i="192"/>
  <c r="AG223" i="192"/>
  <c r="AG241" i="192"/>
  <c r="AG244" i="192"/>
  <c r="AG250" i="192"/>
  <c r="AG262" i="192"/>
  <c r="AG277" i="192"/>
  <c r="AG281" i="192"/>
  <c r="AG292" i="192"/>
  <c r="AG295" i="192"/>
  <c r="AG303" i="192"/>
  <c r="AG305" i="192"/>
  <c r="AG314" i="192"/>
  <c r="AG318" i="192"/>
  <c r="AG321" i="192"/>
  <c r="AG345" i="192"/>
  <c r="AG5" i="192"/>
  <c r="AG67" i="192"/>
  <c r="AG79" i="192"/>
  <c r="AG114" i="192"/>
  <c r="AG117" i="192"/>
  <c r="AG165" i="192"/>
  <c r="AG181" i="192"/>
  <c r="AG237" i="192"/>
  <c r="AG289" i="192"/>
  <c r="AG341" i="192"/>
  <c r="AG14" i="192"/>
  <c r="AG65" i="192"/>
  <c r="AG82" i="192"/>
  <c r="AG109" i="192"/>
  <c r="AG112" i="192"/>
  <c r="AG140" i="192"/>
  <c r="AG158" i="192"/>
  <c r="AG161" i="192"/>
  <c r="AG219" i="192"/>
  <c r="AG226" i="192"/>
  <c r="AG229" i="192"/>
  <c r="AG234" i="192"/>
  <c r="AG245" i="192"/>
  <c r="AG247" i="192"/>
  <c r="AG251" i="192"/>
  <c r="AG254" i="192"/>
  <c r="AG266" i="192"/>
  <c r="AG270" i="192"/>
  <c r="AG273" i="192"/>
  <c r="AG286" i="192"/>
  <c r="AG296" i="192"/>
  <c r="AG299" i="192"/>
  <c r="AG306" i="192"/>
  <c r="AG309" i="192"/>
  <c r="AG319" i="192"/>
  <c r="AG322" i="192"/>
  <c r="AG324" i="192"/>
  <c r="AG348" i="192"/>
  <c r="AG9" i="192"/>
  <c r="AG23" i="192"/>
  <c r="AG27" i="192"/>
  <c r="AG34" i="192"/>
  <c r="AG49" i="192"/>
  <c r="AG56" i="192"/>
  <c r="AG62" i="192"/>
  <c r="AG87" i="192"/>
  <c r="AG7" i="192"/>
  <c r="AG32" i="192"/>
  <c r="AG39" i="192"/>
  <c r="AG47" i="192"/>
  <c r="AG54" i="192"/>
  <c r="AG60" i="192"/>
  <c r="AG70" i="192"/>
  <c r="AG93" i="192"/>
  <c r="AG100" i="192"/>
  <c r="AG105" i="192"/>
  <c r="AG126" i="192"/>
  <c r="AG150" i="192"/>
  <c r="AG164" i="192"/>
  <c r="AG184" i="192"/>
  <c r="AG201" i="192"/>
  <c r="AG216" i="192"/>
  <c r="AG233" i="192"/>
  <c r="AG267" i="192"/>
  <c r="AG285" i="192"/>
  <c r="AG320" i="192"/>
  <c r="AG334" i="192"/>
  <c r="AG101" i="192"/>
  <c r="AG111" i="192"/>
  <c r="AG122" i="192"/>
  <c r="AG129" i="192"/>
  <c r="AG136" i="192"/>
  <c r="AG142" i="192"/>
  <c r="AG146" i="192"/>
  <c r="AG154" i="192"/>
  <c r="AG176" i="192"/>
  <c r="AG183" i="192"/>
  <c r="AG186" i="192"/>
  <c r="AG191" i="192"/>
  <c r="AG198" i="192"/>
  <c r="AG204" i="192"/>
  <c r="AG212" i="192"/>
  <c r="AG68" i="192"/>
  <c r="AG95" i="192"/>
  <c r="AG99" i="192"/>
  <c r="AG106" i="192"/>
  <c r="AG115" i="192"/>
  <c r="AG121" i="192"/>
  <c r="AG128" i="192"/>
  <c r="AG134" i="192"/>
  <c r="AG152" i="192"/>
  <c r="AG166" i="192"/>
  <c r="AG171" i="192"/>
  <c r="AG182" i="192"/>
  <c r="AG196" i="192"/>
  <c r="AG210" i="192"/>
  <c r="AG217" i="192"/>
  <c r="AG235" i="192"/>
  <c r="AG260" i="192"/>
  <c r="AG272" i="192"/>
  <c r="AG287" i="192"/>
  <c r="AG298" i="192"/>
  <c r="AG336" i="192"/>
  <c r="AG347" i="192"/>
  <c r="AO467" i="192" l="1"/>
  <c r="AG469" i="192"/>
  <c r="D8" i="198"/>
  <c r="AI10" i="189"/>
  <c r="AG10" i="189"/>
  <c r="AO10" i="189" s="1"/>
  <c r="AG28" i="189"/>
  <c r="AO28" i="189" s="1"/>
  <c r="AI28" i="189"/>
  <c r="AI11" i="189"/>
  <c r="AG11" i="189"/>
  <c r="AO11" i="189" s="1"/>
  <c r="AI35" i="189"/>
  <c r="AG35" i="189"/>
  <c r="AO35" i="189" s="1"/>
  <c r="AI38" i="189"/>
  <c r="AG38" i="189"/>
  <c r="AO38" i="189" s="1"/>
  <c r="AI19" i="189"/>
  <c r="AG19" i="189"/>
  <c r="AO19" i="189" s="1"/>
  <c r="AG20" i="189"/>
  <c r="AO20" i="189" s="1"/>
  <c r="AI20" i="189"/>
  <c r="AG24" i="189"/>
  <c r="AO24" i="189" s="1"/>
  <c r="AI24" i="189"/>
  <c r="AG34" i="189"/>
  <c r="AO34" i="189" s="1"/>
  <c r="AI34" i="189"/>
  <c r="AI15" i="189"/>
  <c r="AG15" i="189"/>
  <c r="AO15" i="189" s="1"/>
  <c r="AG37" i="189"/>
  <c r="AO37" i="189" s="1"/>
  <c r="AI37" i="189"/>
  <c r="AI26" i="189"/>
  <c r="AG26" i="189"/>
  <c r="AO26" i="189" s="1"/>
  <c r="AG23" i="189"/>
  <c r="AO23" i="189" s="1"/>
  <c r="AI23" i="189"/>
  <c r="AI17" i="189"/>
  <c r="AG17" i="189"/>
  <c r="AO17" i="189" s="1"/>
  <c r="AI32" i="189"/>
  <c r="AG32" i="189"/>
  <c r="AO32" i="189" s="1"/>
  <c r="AI7" i="189"/>
  <c r="AG7" i="189"/>
  <c r="AO7" i="189" s="1"/>
  <c r="AI36" i="189"/>
  <c r="AG36" i="189"/>
  <c r="AO36" i="189" s="1"/>
  <c r="AG14" i="189"/>
  <c r="AO14" i="189" s="1"/>
  <c r="AI14" i="189"/>
  <c r="T58" i="189"/>
  <c r="D10" i="198" s="1"/>
  <c r="AG29" i="189"/>
  <c r="AO29" i="189" s="1"/>
  <c r="AI29" i="189"/>
  <c r="AI31" i="189"/>
  <c r="AG31" i="189"/>
  <c r="AO31" i="189" s="1"/>
  <c r="AI27" i="189"/>
  <c r="AG27" i="189"/>
  <c r="AO27" i="189" s="1"/>
  <c r="AI18" i="189"/>
  <c r="AG18" i="189"/>
  <c r="AO18" i="189" s="1"/>
  <c r="AI30" i="189"/>
  <c r="AG30" i="189"/>
  <c r="AO30" i="189" s="1"/>
  <c r="AG21" i="189"/>
  <c r="AO21" i="189" s="1"/>
  <c r="AI21" i="189"/>
  <c r="AI25" i="189"/>
  <c r="AG25" i="189"/>
  <c r="AO25" i="189" s="1"/>
  <c r="AG13" i="189"/>
  <c r="AO13" i="189" s="1"/>
  <c r="AI13" i="189"/>
  <c r="AG16" i="189"/>
  <c r="AO16" i="189" s="1"/>
  <c r="AI16" i="189"/>
  <c r="AI12" i="189"/>
  <c r="AG12" i="189"/>
  <c r="AO12" i="189" s="1"/>
  <c r="AI9" i="189"/>
  <c r="AG9" i="189"/>
  <c r="AO9" i="189" s="1"/>
  <c r="AG22" i="189"/>
  <c r="AO22" i="189" s="1"/>
  <c r="AI22" i="189"/>
  <c r="E8" i="198" l="1"/>
  <c r="I8" i="198" s="1"/>
  <c r="AI58" i="189"/>
  <c r="AF8" i="193" l="1"/>
  <c r="AN8" i="193" s="1"/>
  <c r="AE8" i="193"/>
  <c r="AM8" i="193" s="1"/>
  <c r="AD8" i="193"/>
  <c r="AL8" i="193" s="1"/>
  <c r="AA8" i="193"/>
  <c r="AI8" i="193" s="1"/>
  <c r="T8" i="193"/>
  <c r="AF5" i="193"/>
  <c r="AN5" i="193" s="1"/>
  <c r="AE5" i="193"/>
  <c r="AM5" i="193" s="1"/>
  <c r="AD5" i="193"/>
  <c r="AL5" i="193" s="1"/>
  <c r="AK5" i="193"/>
  <c r="AA5" i="193"/>
  <c r="AI5" i="193" s="1"/>
  <c r="T5" i="193"/>
  <c r="AF12" i="193"/>
  <c r="AN12" i="193" s="1"/>
  <c r="AE12" i="193"/>
  <c r="AM12" i="193" s="1"/>
  <c r="AD12" i="193"/>
  <c r="AL12" i="193" s="1"/>
  <c r="AK12" i="193"/>
  <c r="AA12" i="193"/>
  <c r="AI12" i="193" s="1"/>
  <c r="T12" i="193"/>
  <c r="AF11" i="193"/>
  <c r="AN11" i="193" s="1"/>
  <c r="AE11" i="193"/>
  <c r="AM11" i="193" s="1"/>
  <c r="AD11" i="193"/>
  <c r="AL11" i="193" s="1"/>
  <c r="AA11" i="193"/>
  <c r="AI11" i="193" s="1"/>
  <c r="T11" i="193"/>
  <c r="AF7" i="193"/>
  <c r="AN7" i="193" s="1"/>
  <c r="AE7" i="193"/>
  <c r="AM7" i="193" s="1"/>
  <c r="AD7" i="193"/>
  <c r="AL7" i="193" s="1"/>
  <c r="AA7" i="193"/>
  <c r="AI7" i="193" s="1"/>
  <c r="T7" i="193"/>
  <c r="AF6" i="193"/>
  <c r="AN6" i="193" s="1"/>
  <c r="AE6" i="193"/>
  <c r="AM6" i="193" s="1"/>
  <c r="AD6" i="193"/>
  <c r="AL6" i="193" s="1"/>
  <c r="AA6" i="193"/>
  <c r="AI6" i="193" s="1"/>
  <c r="T6" i="193"/>
  <c r="AF22" i="185" l="1"/>
  <c r="AE22" i="185"/>
  <c r="AD22" i="185"/>
  <c r="AC22" i="185"/>
  <c r="AB22" i="185"/>
  <c r="AA22" i="185"/>
  <c r="T22" i="185"/>
  <c r="AF20" i="185"/>
  <c r="AE20" i="185"/>
  <c r="AD20" i="185"/>
  <c r="AC20" i="185"/>
  <c r="AB20" i="185"/>
  <c r="AA20" i="185"/>
  <c r="T20" i="185"/>
  <c r="AF19" i="185"/>
  <c r="AE19" i="185"/>
  <c r="AD19" i="185"/>
  <c r="AC19" i="185"/>
  <c r="AB19" i="185"/>
  <c r="AA19" i="185"/>
  <c r="T19" i="185"/>
  <c r="AF8" i="188"/>
  <c r="AE8" i="188"/>
  <c r="AD8" i="188"/>
  <c r="AC8" i="188"/>
  <c r="AB8" i="188"/>
  <c r="AA8" i="188"/>
  <c r="T8" i="188"/>
  <c r="AF7" i="188"/>
  <c r="AE7" i="188"/>
  <c r="AD7" i="188"/>
  <c r="AC7" i="188"/>
  <c r="AB7" i="188"/>
  <c r="AA7" i="188"/>
  <c r="T7" i="188"/>
  <c r="A4" i="188"/>
  <c r="A5" i="188" s="1"/>
  <c r="A6" i="188" s="1"/>
  <c r="A7" i="188" s="1"/>
  <c r="A8" i="188" s="1"/>
  <c r="A9" i="188" s="1"/>
  <c r="A10" i="188" s="1"/>
  <c r="A11" i="188" s="1"/>
  <c r="A12" i="188" s="1"/>
  <c r="AG8" i="188" l="1"/>
  <c r="AG22" i="185"/>
  <c r="AG19" i="185"/>
  <c r="AG20" i="185"/>
  <c r="AG7" i="188"/>
  <c r="T10" i="188"/>
  <c r="T9" i="188"/>
  <c r="T6" i="188"/>
  <c r="T4" i="188"/>
  <c r="T5" i="188"/>
  <c r="T12" i="187"/>
  <c r="T11" i="187"/>
  <c r="T10" i="187"/>
  <c r="T9" i="187"/>
  <c r="T8" i="187"/>
  <c r="T7" i="187"/>
  <c r="T6" i="187"/>
  <c r="T5" i="187"/>
  <c r="T4" i="187"/>
  <c r="T21" i="185"/>
  <c r="T18" i="185"/>
  <c r="T17" i="185"/>
  <c r="T16" i="185"/>
  <c r="T15" i="185"/>
  <c r="T14" i="185"/>
  <c r="T13" i="185"/>
  <c r="T12" i="185"/>
  <c r="T11" i="185"/>
  <c r="T10" i="185"/>
  <c r="T9" i="185"/>
  <c r="T7" i="185"/>
  <c r="T6" i="185"/>
  <c r="T5" i="185"/>
  <c r="T4" i="185"/>
  <c r="T9" i="196"/>
  <c r="T8" i="196"/>
  <c r="T7" i="196"/>
  <c r="T6" i="196"/>
  <c r="T5" i="196"/>
  <c r="T4" i="196"/>
  <c r="T10" i="193"/>
  <c r="T9" i="193"/>
  <c r="T4" i="193"/>
  <c r="T14" i="188" l="1"/>
  <c r="T11" i="196"/>
  <c r="D9" i="198" s="1"/>
  <c r="T16" i="187"/>
  <c r="T14" i="193"/>
  <c r="D11" i="198" s="1"/>
  <c r="T29" i="185"/>
  <c r="AF10" i="193"/>
  <c r="AN10" i="193" s="1"/>
  <c r="AE10" i="193"/>
  <c r="AM10" i="193" s="1"/>
  <c r="AD10" i="193"/>
  <c r="AL10" i="193" s="1"/>
  <c r="AA10" i="193"/>
  <c r="AI10" i="193" s="1"/>
  <c r="AF9" i="193"/>
  <c r="AN9" i="193" s="1"/>
  <c r="AE9" i="193"/>
  <c r="AM9" i="193" s="1"/>
  <c r="AD9" i="193"/>
  <c r="AL9" i="193" s="1"/>
  <c r="AA9" i="193"/>
  <c r="AI9" i="193" s="1"/>
  <c r="AF4" i="193"/>
  <c r="AN4" i="193" s="1"/>
  <c r="AE4" i="193"/>
  <c r="AM4" i="193" s="1"/>
  <c r="AD4" i="193"/>
  <c r="AL4" i="193" s="1"/>
  <c r="AK4" i="193"/>
  <c r="AA4" i="193"/>
  <c r="AI4" i="193" s="1"/>
  <c r="G11" i="198" l="1"/>
  <c r="A5" i="196"/>
  <c r="AF10" i="188"/>
  <c r="AE10" i="188"/>
  <c r="AD10" i="188"/>
  <c r="AC10" i="188"/>
  <c r="AB10" i="188"/>
  <c r="AA10" i="188"/>
  <c r="AF9" i="188"/>
  <c r="AE9" i="188"/>
  <c r="AD9" i="188"/>
  <c r="AC9" i="188"/>
  <c r="AB9" i="188"/>
  <c r="AA9" i="188"/>
  <c r="AF6" i="188"/>
  <c r="AE6" i="188"/>
  <c r="AD6" i="188"/>
  <c r="AC6" i="188"/>
  <c r="AB6" i="188"/>
  <c r="AA6" i="188"/>
  <c r="AF4" i="188"/>
  <c r="AE4" i="188"/>
  <c r="AD4" i="188"/>
  <c r="AC4" i="188"/>
  <c r="AB4" i="188"/>
  <c r="AA4" i="188"/>
  <c r="AF5" i="188"/>
  <c r="AE5" i="188"/>
  <c r="AD5" i="188"/>
  <c r="AC5" i="188"/>
  <c r="AB5" i="188"/>
  <c r="AA5" i="188"/>
  <c r="AF12" i="187"/>
  <c r="AE12" i="187"/>
  <c r="AD12" i="187"/>
  <c r="AC12" i="187"/>
  <c r="AB12" i="187"/>
  <c r="AA12" i="187"/>
  <c r="AF11" i="187"/>
  <c r="AE11" i="187"/>
  <c r="AD11" i="187"/>
  <c r="AC11" i="187"/>
  <c r="AB11" i="187"/>
  <c r="AA11" i="187"/>
  <c r="AF10" i="187"/>
  <c r="AE10" i="187"/>
  <c r="AD10" i="187"/>
  <c r="AC10" i="187"/>
  <c r="AB10" i="187"/>
  <c r="AA10" i="187"/>
  <c r="AF9" i="187"/>
  <c r="AE9" i="187"/>
  <c r="AD9" i="187"/>
  <c r="AC9" i="187"/>
  <c r="AB9" i="187"/>
  <c r="AA9" i="187"/>
  <c r="AF8" i="187"/>
  <c r="AE8" i="187"/>
  <c r="AD8" i="187"/>
  <c r="AC8" i="187"/>
  <c r="AB8" i="187"/>
  <c r="AA8" i="187"/>
  <c r="AF7" i="187"/>
  <c r="AE7" i="187"/>
  <c r="AD7" i="187"/>
  <c r="AC7" i="187"/>
  <c r="AB7" i="187"/>
  <c r="AA7" i="187"/>
  <c r="AF6" i="187"/>
  <c r="AE6" i="187"/>
  <c r="AD6" i="187"/>
  <c r="AC6" i="187"/>
  <c r="AB6" i="187"/>
  <c r="AA6" i="187"/>
  <c r="AF5" i="187"/>
  <c r="AE5" i="187"/>
  <c r="AD5" i="187"/>
  <c r="AC5" i="187"/>
  <c r="AB5" i="187"/>
  <c r="AA5" i="187"/>
  <c r="AF4" i="187"/>
  <c r="AE4" i="187"/>
  <c r="AD4" i="187"/>
  <c r="AC4" i="187"/>
  <c r="AB4" i="187"/>
  <c r="AA4" i="187"/>
  <c r="AF21" i="185"/>
  <c r="AE21" i="185"/>
  <c r="AD21" i="185"/>
  <c r="AC21" i="185"/>
  <c r="AB21" i="185"/>
  <c r="AA21" i="185"/>
  <c r="AF18" i="185"/>
  <c r="AE18" i="185"/>
  <c r="AD18" i="185"/>
  <c r="AC18" i="185"/>
  <c r="AB18" i="185"/>
  <c r="AA18" i="185"/>
  <c r="AF17" i="185"/>
  <c r="AE17" i="185"/>
  <c r="AD17" i="185"/>
  <c r="AC17" i="185"/>
  <c r="AB17" i="185"/>
  <c r="AA17" i="185"/>
  <c r="AF16" i="185"/>
  <c r="AE16" i="185"/>
  <c r="AD16" i="185"/>
  <c r="AC16" i="185"/>
  <c r="AB16" i="185"/>
  <c r="AA16" i="185"/>
  <c r="AF15" i="185"/>
  <c r="AE15" i="185"/>
  <c r="AD15" i="185"/>
  <c r="AC15" i="185"/>
  <c r="AB15" i="185"/>
  <c r="AA15" i="185"/>
  <c r="AF14" i="185"/>
  <c r="AE14" i="185"/>
  <c r="AD14" i="185"/>
  <c r="AC14" i="185"/>
  <c r="AB14" i="185"/>
  <c r="AA14" i="185"/>
  <c r="AF13" i="185"/>
  <c r="AE13" i="185"/>
  <c r="AD13" i="185"/>
  <c r="AC13" i="185"/>
  <c r="AB13" i="185"/>
  <c r="AA13" i="185"/>
  <c r="AF12" i="185"/>
  <c r="AE12" i="185"/>
  <c r="AD12" i="185"/>
  <c r="AC12" i="185"/>
  <c r="AB12" i="185"/>
  <c r="AA12" i="185"/>
  <c r="AF11" i="185"/>
  <c r="AE11" i="185"/>
  <c r="AD11" i="185"/>
  <c r="AC11" i="185"/>
  <c r="AB11" i="185"/>
  <c r="AA11" i="185"/>
  <c r="AF10" i="185"/>
  <c r="AE10" i="185"/>
  <c r="AD10" i="185"/>
  <c r="AC10" i="185"/>
  <c r="AB10" i="185"/>
  <c r="AA10" i="185"/>
  <c r="AF9" i="185"/>
  <c r="AE9" i="185"/>
  <c r="AD9" i="185"/>
  <c r="AC9" i="185"/>
  <c r="AB9" i="185"/>
  <c r="AA9" i="185"/>
  <c r="AF7" i="185"/>
  <c r="AE7" i="185"/>
  <c r="AD7" i="185"/>
  <c r="AC7" i="185"/>
  <c r="AB7" i="185"/>
  <c r="AA7" i="185"/>
  <c r="AF6" i="185"/>
  <c r="AE6" i="185"/>
  <c r="AD6" i="185"/>
  <c r="AC6" i="185"/>
  <c r="AB6" i="185"/>
  <c r="AA6" i="185"/>
  <c r="AF5" i="185"/>
  <c r="AE5" i="185"/>
  <c r="AD5" i="185"/>
  <c r="AC5" i="185"/>
  <c r="AB5" i="185"/>
  <c r="AA5" i="185"/>
  <c r="AF4" i="185"/>
  <c r="AE4" i="185"/>
  <c r="AD4" i="185"/>
  <c r="AC4" i="185"/>
  <c r="AB4" i="185"/>
  <c r="AA4" i="185"/>
  <c r="AF9" i="196"/>
  <c r="AE9" i="196"/>
  <c r="AD9" i="196"/>
  <c r="AC9" i="196"/>
  <c r="AB9" i="196"/>
  <c r="AA9" i="196"/>
  <c r="AF8" i="196"/>
  <c r="AE8" i="196"/>
  <c r="AD8" i="196"/>
  <c r="AC8" i="196"/>
  <c r="AB8" i="196"/>
  <c r="AA8" i="196"/>
  <c r="AF7" i="196"/>
  <c r="AE7" i="196"/>
  <c r="AD7" i="196"/>
  <c r="AC7" i="196"/>
  <c r="AB7" i="196"/>
  <c r="AA7" i="196"/>
  <c r="AF6" i="196"/>
  <c r="AE6" i="196"/>
  <c r="AD6" i="196"/>
  <c r="AC6" i="196"/>
  <c r="AB6" i="196"/>
  <c r="AA6" i="196"/>
  <c r="AF5" i="196"/>
  <c r="AE5" i="196"/>
  <c r="AD5" i="196"/>
  <c r="AC5" i="196"/>
  <c r="AB5" i="196"/>
  <c r="AA5" i="196"/>
  <c r="AF4" i="196"/>
  <c r="AE4" i="196"/>
  <c r="AD4" i="196"/>
  <c r="AC4" i="196"/>
  <c r="AB4" i="196"/>
  <c r="AA4" i="196"/>
  <c r="AI14" i="188"/>
  <c r="AH14" i="188"/>
  <c r="D6" i="198"/>
  <c r="AI16" i="187"/>
  <c r="AH16" i="187"/>
  <c r="AI29" i="185"/>
  <c r="AH29" i="185"/>
  <c r="D7" i="198"/>
  <c r="D5" i="198"/>
  <c r="A5" i="187"/>
  <c r="A6" i="187" s="1"/>
  <c r="A7" i="187" s="1"/>
  <c r="A8" i="187" s="1"/>
  <c r="A9" i="187" s="1"/>
  <c r="A10" i="187" s="1"/>
  <c r="A11" i="187" s="1"/>
  <c r="A12" i="187" s="1"/>
  <c r="A13" i="187" s="1"/>
  <c r="A14" i="187" s="1"/>
  <c r="A6" i="196" l="1"/>
  <c r="A7" i="196" s="1"/>
  <c r="A8" i="196" s="1"/>
  <c r="A9" i="196" s="1"/>
  <c r="C9" i="198" s="1"/>
  <c r="C13" i="198" s="1"/>
  <c r="AG6" i="187"/>
  <c r="AG9" i="196"/>
  <c r="AG10" i="187"/>
  <c r="AG5" i="196"/>
  <c r="AG6" i="185"/>
  <c r="AG10" i="185"/>
  <c r="AG16" i="185"/>
  <c r="AG21" i="185"/>
  <c r="AG5" i="185"/>
  <c r="AG9" i="185"/>
  <c r="AG15" i="185"/>
  <c r="AG12" i="185"/>
  <c r="AG14" i="185"/>
  <c r="AG18" i="185"/>
  <c r="AG4" i="185"/>
  <c r="AG7" i="185"/>
  <c r="AG11" i="185"/>
  <c r="AG13" i="185"/>
  <c r="AG17" i="185"/>
  <c r="AG9" i="187"/>
  <c r="AG4" i="187"/>
  <c r="AG8" i="187"/>
  <c r="AG12" i="187"/>
  <c r="AG7" i="187"/>
  <c r="AG11" i="187"/>
  <c r="AG5" i="187"/>
  <c r="AG6" i="188"/>
  <c r="AG9" i="188"/>
  <c r="AG4" i="188"/>
  <c r="AG5" i="188"/>
  <c r="AG10" i="188"/>
  <c r="AG7" i="196"/>
  <c r="AG4" i="196"/>
  <c r="AG8" i="196"/>
  <c r="AG6" i="196"/>
  <c r="AG14" i="188" l="1"/>
  <c r="AG11" i="196"/>
  <c r="E9" i="198" s="1"/>
  <c r="AG29" i="185"/>
  <c r="E7" i="198" s="1"/>
  <c r="I7" i="198" s="1"/>
  <c r="AG16" i="187"/>
  <c r="E5" i="198" s="1"/>
  <c r="E6" i="198"/>
  <c r="I6" i="198" s="1"/>
  <c r="A4" i="185"/>
  <c r="A5" i="185" s="1"/>
  <c r="A6" i="185" s="1"/>
  <c r="A7" i="185" s="1"/>
  <c r="A8" i="185" s="1"/>
  <c r="A9" i="185" s="1"/>
  <c r="A10" i="185" s="1"/>
  <c r="A11" i="185" s="1"/>
  <c r="A12" i="185" s="1"/>
  <c r="A13" i="185" s="1"/>
  <c r="A14" i="185" s="1"/>
  <c r="A15" i="185" s="1"/>
  <c r="A16" i="185" s="1"/>
  <c r="A17" i="185" s="1"/>
  <c r="A18" i="185" s="1"/>
  <c r="A19" i="185" s="1"/>
  <c r="A20" i="185" s="1"/>
  <c r="A21" i="185" s="1"/>
  <c r="A22" i="185" s="1"/>
  <c r="A23" i="185" s="1"/>
  <c r="A24" i="185" s="1"/>
  <c r="A25" i="185" s="1"/>
  <c r="A26" i="185" s="1"/>
  <c r="A27" i="185" s="1"/>
  <c r="AU1079" i="191" l="1"/>
  <c r="BC1079" i="191"/>
  <c r="BK1079" i="191"/>
  <c r="BD1079" i="191"/>
  <c r="BD4" i="191"/>
  <c r="BE4" i="191"/>
  <c r="BF4" i="191"/>
  <c r="BG4" i="191"/>
  <c r="BH4" i="191"/>
  <c r="BI4" i="191"/>
  <c r="BJ4" i="191"/>
  <c r="BK4" i="191"/>
  <c r="BD5" i="191"/>
  <c r="BE5" i="191"/>
  <c r="BF5" i="191"/>
  <c r="BG5" i="191"/>
  <c r="BH5" i="191"/>
  <c r="BI5" i="191"/>
  <c r="BJ5" i="191"/>
  <c r="BK5" i="191"/>
  <c r="BD6" i="191"/>
  <c r="BE6" i="191"/>
  <c r="BF6" i="191"/>
  <c r="BG6" i="191"/>
  <c r="BH6" i="191"/>
  <c r="BI6" i="191"/>
  <c r="BJ6" i="191"/>
  <c r="BK6" i="191"/>
  <c r="BD7" i="191"/>
  <c r="BE7" i="191"/>
  <c r="BF7" i="191"/>
  <c r="BG7" i="191"/>
  <c r="BH7" i="191"/>
  <c r="BI7" i="191"/>
  <c r="BJ7" i="191"/>
  <c r="BK7" i="191"/>
  <c r="BD8" i="191"/>
  <c r="BE8" i="191"/>
  <c r="BF8" i="191"/>
  <c r="BG8" i="191"/>
  <c r="BH8" i="191"/>
  <c r="BI8" i="191"/>
  <c r="BJ8" i="191"/>
  <c r="BK8" i="191"/>
  <c r="BD9" i="191"/>
  <c r="BE9" i="191"/>
  <c r="BF9" i="191"/>
  <c r="BG9" i="191"/>
  <c r="BH9" i="191"/>
  <c r="BI9" i="191"/>
  <c r="BJ9" i="191"/>
  <c r="BK9" i="191"/>
  <c r="BD10" i="191"/>
  <c r="BE10" i="191"/>
  <c r="BF10" i="191"/>
  <c r="BG10" i="191"/>
  <c r="BH10" i="191"/>
  <c r="BI10" i="191"/>
  <c r="BJ10" i="191"/>
  <c r="BK10" i="191"/>
  <c r="BD11" i="191"/>
  <c r="BE11" i="191"/>
  <c r="BF11" i="191"/>
  <c r="BG11" i="191"/>
  <c r="BH11" i="191"/>
  <c r="BI11" i="191"/>
  <c r="BJ11" i="191"/>
  <c r="BK11" i="191"/>
  <c r="BD12" i="191"/>
  <c r="BE12" i="191"/>
  <c r="BF12" i="191"/>
  <c r="BG12" i="191"/>
  <c r="BH12" i="191"/>
  <c r="BI12" i="191"/>
  <c r="BJ12" i="191"/>
  <c r="BK12" i="191"/>
  <c r="BD13" i="191"/>
  <c r="BE13" i="191"/>
  <c r="BF13" i="191"/>
  <c r="BG13" i="191"/>
  <c r="BH13" i="191"/>
  <c r="BI13" i="191"/>
  <c r="BJ13" i="191"/>
  <c r="BK13" i="191"/>
  <c r="BD14" i="191"/>
  <c r="BE14" i="191"/>
  <c r="BF14" i="191"/>
  <c r="BG14" i="191"/>
  <c r="BH14" i="191"/>
  <c r="BI14" i="191"/>
  <c r="BJ14" i="191"/>
  <c r="BK14" i="191"/>
  <c r="BD15" i="191"/>
  <c r="BE15" i="191"/>
  <c r="BF15" i="191"/>
  <c r="BG15" i="191"/>
  <c r="BH15" i="191"/>
  <c r="BI15" i="191"/>
  <c r="BJ15" i="191"/>
  <c r="BK15" i="191"/>
  <c r="BD16" i="191"/>
  <c r="BE16" i="191"/>
  <c r="BF16" i="191"/>
  <c r="BG16" i="191"/>
  <c r="BH16" i="191"/>
  <c r="BI16" i="191"/>
  <c r="BJ16" i="191"/>
  <c r="BK16" i="191"/>
  <c r="BD17" i="191"/>
  <c r="BE17" i="191"/>
  <c r="BF17" i="191"/>
  <c r="BG17" i="191"/>
  <c r="BH17" i="191"/>
  <c r="BI17" i="191"/>
  <c r="BJ17" i="191"/>
  <c r="BK17" i="191"/>
  <c r="BD18" i="191"/>
  <c r="BE18" i="191"/>
  <c r="BF18" i="191"/>
  <c r="BG18" i="191"/>
  <c r="BH18" i="191"/>
  <c r="BI18" i="191"/>
  <c r="BJ18" i="191"/>
  <c r="BK18" i="191"/>
  <c r="BD19" i="191"/>
  <c r="BE19" i="191"/>
  <c r="BF19" i="191"/>
  <c r="BG19" i="191"/>
  <c r="BH19" i="191"/>
  <c r="BI19" i="191"/>
  <c r="BJ19" i="191"/>
  <c r="BK19" i="191"/>
  <c r="BD20" i="191"/>
  <c r="BE20" i="191"/>
  <c r="BF20" i="191"/>
  <c r="BG20" i="191"/>
  <c r="BH20" i="191"/>
  <c r="BI20" i="191"/>
  <c r="BJ20" i="191"/>
  <c r="BK20" i="191"/>
  <c r="BD21" i="191"/>
  <c r="BE21" i="191"/>
  <c r="BF21" i="191"/>
  <c r="BG21" i="191"/>
  <c r="BH21" i="191"/>
  <c r="BI21" i="191"/>
  <c r="BJ21" i="191"/>
  <c r="BK21" i="191"/>
  <c r="BD22" i="191"/>
  <c r="BE22" i="191"/>
  <c r="BF22" i="191"/>
  <c r="BG22" i="191"/>
  <c r="BH22" i="191"/>
  <c r="BI22" i="191"/>
  <c r="BJ22" i="191"/>
  <c r="BK22" i="191"/>
  <c r="BD23" i="191"/>
  <c r="BE23" i="191"/>
  <c r="BF23" i="191"/>
  <c r="BG23" i="191"/>
  <c r="BH23" i="191"/>
  <c r="BI23" i="191"/>
  <c r="BJ23" i="191"/>
  <c r="BK23" i="191"/>
  <c r="BD24" i="191"/>
  <c r="BE24" i="191"/>
  <c r="BF24" i="191"/>
  <c r="BG24" i="191"/>
  <c r="BH24" i="191"/>
  <c r="BI24" i="191"/>
  <c r="BJ24" i="191"/>
  <c r="BK24" i="191"/>
  <c r="BD25" i="191"/>
  <c r="BE25" i="191"/>
  <c r="BF25" i="191"/>
  <c r="BG25" i="191"/>
  <c r="BH25" i="191"/>
  <c r="BI25" i="191"/>
  <c r="BJ25" i="191"/>
  <c r="BK25" i="191"/>
  <c r="BD26" i="191"/>
  <c r="BE26" i="191"/>
  <c r="BF26" i="191"/>
  <c r="BG26" i="191"/>
  <c r="BH26" i="191"/>
  <c r="BI26" i="191"/>
  <c r="BJ26" i="191"/>
  <c r="BK26" i="191"/>
  <c r="BD27" i="191"/>
  <c r="BE27" i="191"/>
  <c r="BF27" i="191"/>
  <c r="BG27" i="191"/>
  <c r="BH27" i="191"/>
  <c r="BI27" i="191"/>
  <c r="BJ27" i="191"/>
  <c r="BK27" i="191"/>
  <c r="BD28" i="191"/>
  <c r="BE28" i="191"/>
  <c r="BF28" i="191"/>
  <c r="BG28" i="191"/>
  <c r="BH28" i="191"/>
  <c r="BI28" i="191"/>
  <c r="BJ28" i="191"/>
  <c r="BK28" i="191"/>
  <c r="BD29" i="191"/>
  <c r="BE29" i="191"/>
  <c r="BF29" i="191"/>
  <c r="BG29" i="191"/>
  <c r="BH29" i="191"/>
  <c r="BI29" i="191"/>
  <c r="BJ29" i="191"/>
  <c r="BK29" i="191"/>
  <c r="BD30" i="191"/>
  <c r="BE30" i="191"/>
  <c r="BF30" i="191"/>
  <c r="BG30" i="191"/>
  <c r="BH30" i="191"/>
  <c r="BI30" i="191"/>
  <c r="BJ30" i="191"/>
  <c r="BK30" i="191"/>
  <c r="BD31" i="191"/>
  <c r="BE31" i="191"/>
  <c r="BF31" i="191"/>
  <c r="BG31" i="191"/>
  <c r="BH31" i="191"/>
  <c r="BI31" i="191"/>
  <c r="BJ31" i="191"/>
  <c r="BK31" i="191"/>
  <c r="BD32" i="191"/>
  <c r="BE32" i="191"/>
  <c r="BF32" i="191"/>
  <c r="BG32" i="191"/>
  <c r="BH32" i="191"/>
  <c r="BI32" i="191"/>
  <c r="BJ32" i="191"/>
  <c r="BK32" i="191"/>
  <c r="BD33" i="191"/>
  <c r="BE33" i="191"/>
  <c r="BF33" i="191"/>
  <c r="BG33" i="191"/>
  <c r="BH33" i="191"/>
  <c r="BI33" i="191"/>
  <c r="BJ33" i="191"/>
  <c r="BK33" i="191"/>
  <c r="BD34" i="191"/>
  <c r="BE34" i="191"/>
  <c r="BF34" i="191"/>
  <c r="BG34" i="191"/>
  <c r="BH34" i="191"/>
  <c r="BI34" i="191"/>
  <c r="BJ34" i="191"/>
  <c r="BK34" i="191"/>
  <c r="BD35" i="191"/>
  <c r="BE35" i="191"/>
  <c r="BF35" i="191"/>
  <c r="BG35" i="191"/>
  <c r="BH35" i="191"/>
  <c r="BI35" i="191"/>
  <c r="BJ35" i="191"/>
  <c r="BK35" i="191"/>
  <c r="BD36" i="191"/>
  <c r="BE36" i="191"/>
  <c r="BF36" i="191"/>
  <c r="BG36" i="191"/>
  <c r="BH36" i="191"/>
  <c r="BI36" i="191"/>
  <c r="BJ36" i="191"/>
  <c r="BK36" i="191"/>
  <c r="BD37" i="191"/>
  <c r="BE37" i="191"/>
  <c r="BF37" i="191"/>
  <c r="BG37" i="191"/>
  <c r="BH37" i="191"/>
  <c r="BI37" i="191"/>
  <c r="BJ37" i="191"/>
  <c r="BK37" i="191"/>
  <c r="BD38" i="191"/>
  <c r="BE38" i="191"/>
  <c r="BF38" i="191"/>
  <c r="BG38" i="191"/>
  <c r="BH38" i="191"/>
  <c r="BI38" i="191"/>
  <c r="BJ38" i="191"/>
  <c r="BK38" i="191"/>
  <c r="BD39" i="191"/>
  <c r="BE39" i="191"/>
  <c r="BF39" i="191"/>
  <c r="BG39" i="191"/>
  <c r="BH39" i="191"/>
  <c r="BI39" i="191"/>
  <c r="BJ39" i="191"/>
  <c r="BK39" i="191"/>
  <c r="BD40" i="191"/>
  <c r="BE40" i="191"/>
  <c r="BF40" i="191"/>
  <c r="BG40" i="191"/>
  <c r="BH40" i="191"/>
  <c r="BI40" i="191"/>
  <c r="BJ40" i="191"/>
  <c r="BK40" i="191"/>
  <c r="BD41" i="191"/>
  <c r="BE41" i="191"/>
  <c r="BF41" i="191"/>
  <c r="BG41" i="191"/>
  <c r="BH41" i="191"/>
  <c r="BI41" i="191"/>
  <c r="BJ41" i="191"/>
  <c r="BK41" i="191"/>
  <c r="BD42" i="191"/>
  <c r="BE42" i="191"/>
  <c r="BF42" i="191"/>
  <c r="BG42" i="191"/>
  <c r="BH42" i="191"/>
  <c r="BI42" i="191"/>
  <c r="BJ42" i="191"/>
  <c r="BK42" i="191"/>
  <c r="BD43" i="191"/>
  <c r="BE43" i="191"/>
  <c r="BF43" i="191"/>
  <c r="BG43" i="191"/>
  <c r="BH43" i="191"/>
  <c r="BI43" i="191"/>
  <c r="BJ43" i="191"/>
  <c r="BK43" i="191"/>
  <c r="BD44" i="191"/>
  <c r="BE44" i="191"/>
  <c r="BF44" i="191"/>
  <c r="BG44" i="191"/>
  <c r="BH44" i="191"/>
  <c r="BI44" i="191"/>
  <c r="BJ44" i="191"/>
  <c r="BK44" i="191"/>
  <c r="BD45" i="191"/>
  <c r="BE45" i="191"/>
  <c r="BF45" i="191"/>
  <c r="BG45" i="191"/>
  <c r="BH45" i="191"/>
  <c r="BI45" i="191"/>
  <c r="BJ45" i="191"/>
  <c r="BK45" i="191"/>
  <c r="BD46" i="191"/>
  <c r="BE46" i="191"/>
  <c r="BF46" i="191"/>
  <c r="BG46" i="191"/>
  <c r="BH46" i="191"/>
  <c r="BI46" i="191"/>
  <c r="BJ46" i="191"/>
  <c r="BK46" i="191"/>
  <c r="BD47" i="191"/>
  <c r="BE47" i="191"/>
  <c r="BF47" i="191"/>
  <c r="BG47" i="191"/>
  <c r="BH47" i="191"/>
  <c r="BI47" i="191"/>
  <c r="BJ47" i="191"/>
  <c r="BK47" i="191"/>
  <c r="BD48" i="191"/>
  <c r="BE48" i="191"/>
  <c r="BF48" i="191"/>
  <c r="BG48" i="191"/>
  <c r="BH48" i="191"/>
  <c r="BI48" i="191"/>
  <c r="BJ48" i="191"/>
  <c r="BK48" i="191"/>
  <c r="BD49" i="191"/>
  <c r="BE49" i="191"/>
  <c r="BF49" i="191"/>
  <c r="BG49" i="191"/>
  <c r="BH49" i="191"/>
  <c r="BI49" i="191"/>
  <c r="BJ49" i="191"/>
  <c r="BK49" i="191"/>
  <c r="BD50" i="191"/>
  <c r="BE50" i="191"/>
  <c r="BF50" i="191"/>
  <c r="BG50" i="191"/>
  <c r="BH50" i="191"/>
  <c r="BI50" i="191"/>
  <c r="BJ50" i="191"/>
  <c r="BK50" i="191"/>
  <c r="BD51" i="191"/>
  <c r="BE51" i="191"/>
  <c r="BF51" i="191"/>
  <c r="BG51" i="191"/>
  <c r="BH51" i="191"/>
  <c r="BI51" i="191"/>
  <c r="BJ51" i="191"/>
  <c r="BK51" i="191"/>
  <c r="BD52" i="191"/>
  <c r="BE52" i="191"/>
  <c r="BF52" i="191"/>
  <c r="BG52" i="191"/>
  <c r="BH52" i="191"/>
  <c r="BI52" i="191"/>
  <c r="BJ52" i="191"/>
  <c r="BK52" i="191"/>
  <c r="BD53" i="191"/>
  <c r="BE53" i="191"/>
  <c r="BF53" i="191"/>
  <c r="BG53" i="191"/>
  <c r="BH53" i="191"/>
  <c r="BI53" i="191"/>
  <c r="BJ53" i="191"/>
  <c r="BK53" i="191"/>
  <c r="BD54" i="191"/>
  <c r="BE54" i="191"/>
  <c r="BF54" i="191"/>
  <c r="BG54" i="191"/>
  <c r="BH54" i="191"/>
  <c r="BI54" i="191"/>
  <c r="BJ54" i="191"/>
  <c r="BK54" i="191"/>
  <c r="BD55" i="191"/>
  <c r="BE55" i="191"/>
  <c r="BF55" i="191"/>
  <c r="BG55" i="191"/>
  <c r="BH55" i="191"/>
  <c r="BI55" i="191"/>
  <c r="BJ55" i="191"/>
  <c r="BK55" i="191"/>
  <c r="BD56" i="191"/>
  <c r="BE56" i="191"/>
  <c r="BF56" i="191"/>
  <c r="BG56" i="191"/>
  <c r="BH56" i="191"/>
  <c r="BI56" i="191"/>
  <c r="BJ56" i="191"/>
  <c r="BK56" i="191"/>
  <c r="BD57" i="191"/>
  <c r="BE57" i="191"/>
  <c r="BF57" i="191"/>
  <c r="BG57" i="191"/>
  <c r="BH57" i="191"/>
  <c r="BI57" i="191"/>
  <c r="BJ57" i="191"/>
  <c r="BK57" i="191"/>
  <c r="BD58" i="191"/>
  <c r="BE58" i="191"/>
  <c r="BF58" i="191"/>
  <c r="BG58" i="191"/>
  <c r="BH58" i="191"/>
  <c r="BI58" i="191"/>
  <c r="BJ58" i="191"/>
  <c r="BK58" i="191"/>
  <c r="BD59" i="191"/>
  <c r="BE59" i="191"/>
  <c r="BF59" i="191"/>
  <c r="BG59" i="191"/>
  <c r="BH59" i="191"/>
  <c r="BI59" i="191"/>
  <c r="BJ59" i="191"/>
  <c r="BK59" i="191"/>
  <c r="BD60" i="191"/>
  <c r="BE60" i="191"/>
  <c r="BF60" i="191"/>
  <c r="BG60" i="191"/>
  <c r="BH60" i="191"/>
  <c r="BI60" i="191"/>
  <c r="BJ60" i="191"/>
  <c r="BK60" i="191"/>
  <c r="BD61" i="191"/>
  <c r="BE61" i="191"/>
  <c r="BF61" i="191"/>
  <c r="BG61" i="191"/>
  <c r="BH61" i="191"/>
  <c r="BI61" i="191"/>
  <c r="BJ61" i="191"/>
  <c r="BK61" i="191"/>
  <c r="BD62" i="191"/>
  <c r="BE62" i="191"/>
  <c r="BF62" i="191"/>
  <c r="BG62" i="191"/>
  <c r="BH62" i="191"/>
  <c r="BI62" i="191"/>
  <c r="BJ62" i="191"/>
  <c r="BK62" i="191"/>
  <c r="BD63" i="191"/>
  <c r="BE63" i="191"/>
  <c r="BF63" i="191"/>
  <c r="BG63" i="191"/>
  <c r="BH63" i="191"/>
  <c r="BI63" i="191"/>
  <c r="BJ63" i="191"/>
  <c r="BK63" i="191"/>
  <c r="BD64" i="191"/>
  <c r="BE64" i="191"/>
  <c r="BF64" i="191"/>
  <c r="BG64" i="191"/>
  <c r="BH64" i="191"/>
  <c r="BI64" i="191"/>
  <c r="BJ64" i="191"/>
  <c r="BK64" i="191"/>
  <c r="BD65" i="191"/>
  <c r="BE65" i="191"/>
  <c r="BF65" i="191"/>
  <c r="BG65" i="191"/>
  <c r="BH65" i="191"/>
  <c r="BI65" i="191"/>
  <c r="BJ65" i="191"/>
  <c r="BK65" i="191"/>
  <c r="BD66" i="191"/>
  <c r="BE66" i="191"/>
  <c r="BF66" i="191"/>
  <c r="BG66" i="191"/>
  <c r="BH66" i="191"/>
  <c r="BI66" i="191"/>
  <c r="BJ66" i="191"/>
  <c r="BK66" i="191"/>
  <c r="BD67" i="191"/>
  <c r="BE67" i="191"/>
  <c r="BF67" i="191"/>
  <c r="BG67" i="191"/>
  <c r="BH67" i="191"/>
  <c r="BI67" i="191"/>
  <c r="BJ67" i="191"/>
  <c r="BK67" i="191"/>
  <c r="BD68" i="191"/>
  <c r="BE68" i="191"/>
  <c r="BF68" i="191"/>
  <c r="BG68" i="191"/>
  <c r="BH68" i="191"/>
  <c r="BI68" i="191"/>
  <c r="BJ68" i="191"/>
  <c r="BK68" i="191"/>
  <c r="BD69" i="191"/>
  <c r="BE69" i="191"/>
  <c r="BF69" i="191"/>
  <c r="BG69" i="191"/>
  <c r="BH69" i="191"/>
  <c r="BI69" i="191"/>
  <c r="BJ69" i="191"/>
  <c r="BK69" i="191"/>
  <c r="BD70" i="191"/>
  <c r="BE70" i="191"/>
  <c r="BF70" i="191"/>
  <c r="BG70" i="191"/>
  <c r="BH70" i="191"/>
  <c r="BI70" i="191"/>
  <c r="BJ70" i="191"/>
  <c r="BK70" i="191"/>
  <c r="BD71" i="191"/>
  <c r="BE71" i="191"/>
  <c r="BF71" i="191"/>
  <c r="BG71" i="191"/>
  <c r="BH71" i="191"/>
  <c r="BI71" i="191"/>
  <c r="BJ71" i="191"/>
  <c r="BK71" i="191"/>
  <c r="BD72" i="191"/>
  <c r="BE72" i="191"/>
  <c r="BF72" i="191"/>
  <c r="BG72" i="191"/>
  <c r="BH72" i="191"/>
  <c r="BI72" i="191"/>
  <c r="BJ72" i="191"/>
  <c r="BK72" i="191"/>
  <c r="BD73" i="191"/>
  <c r="BE73" i="191"/>
  <c r="BF73" i="191"/>
  <c r="BG73" i="191"/>
  <c r="BH73" i="191"/>
  <c r="BI73" i="191"/>
  <c r="BJ73" i="191"/>
  <c r="BK73" i="191"/>
  <c r="BD74" i="191"/>
  <c r="BE74" i="191"/>
  <c r="BF74" i="191"/>
  <c r="BG74" i="191"/>
  <c r="BH74" i="191"/>
  <c r="BI74" i="191"/>
  <c r="BJ74" i="191"/>
  <c r="BK74" i="191"/>
  <c r="BD75" i="191"/>
  <c r="BE75" i="191"/>
  <c r="BF75" i="191"/>
  <c r="BG75" i="191"/>
  <c r="BH75" i="191"/>
  <c r="BI75" i="191"/>
  <c r="BJ75" i="191"/>
  <c r="BK75" i="191"/>
  <c r="BD76" i="191"/>
  <c r="BE76" i="191"/>
  <c r="BF76" i="191"/>
  <c r="BG76" i="191"/>
  <c r="BH76" i="191"/>
  <c r="BI76" i="191"/>
  <c r="BJ76" i="191"/>
  <c r="BK76" i="191"/>
  <c r="BD77" i="191"/>
  <c r="BE77" i="191"/>
  <c r="BF77" i="191"/>
  <c r="BG77" i="191"/>
  <c r="BH77" i="191"/>
  <c r="BI77" i="191"/>
  <c r="BJ77" i="191"/>
  <c r="BK77" i="191"/>
  <c r="BD78" i="191"/>
  <c r="BE78" i="191"/>
  <c r="BF78" i="191"/>
  <c r="BG78" i="191"/>
  <c r="BH78" i="191"/>
  <c r="BI78" i="191"/>
  <c r="BJ78" i="191"/>
  <c r="BK78" i="191"/>
  <c r="BD79" i="191"/>
  <c r="BE79" i="191"/>
  <c r="BF79" i="191"/>
  <c r="BG79" i="191"/>
  <c r="BH79" i="191"/>
  <c r="BI79" i="191"/>
  <c r="BJ79" i="191"/>
  <c r="BK79" i="191"/>
  <c r="BD80" i="191"/>
  <c r="BE80" i="191"/>
  <c r="BF80" i="191"/>
  <c r="BG80" i="191"/>
  <c r="BH80" i="191"/>
  <c r="BI80" i="191"/>
  <c r="BJ80" i="191"/>
  <c r="BK80" i="191"/>
  <c r="BD81" i="191"/>
  <c r="BE81" i="191"/>
  <c r="BF81" i="191"/>
  <c r="BG81" i="191"/>
  <c r="BH81" i="191"/>
  <c r="BI81" i="191"/>
  <c r="BJ81" i="191"/>
  <c r="BK81" i="191"/>
  <c r="BD82" i="191"/>
  <c r="BE82" i="191"/>
  <c r="BF82" i="191"/>
  <c r="BG82" i="191"/>
  <c r="BH82" i="191"/>
  <c r="BI82" i="191"/>
  <c r="BJ82" i="191"/>
  <c r="BK82" i="191"/>
  <c r="BD83" i="191"/>
  <c r="BE83" i="191"/>
  <c r="BF83" i="191"/>
  <c r="BG83" i="191"/>
  <c r="BH83" i="191"/>
  <c r="BI83" i="191"/>
  <c r="BJ83" i="191"/>
  <c r="BK83" i="191"/>
  <c r="BD84" i="191"/>
  <c r="BE84" i="191"/>
  <c r="BF84" i="191"/>
  <c r="BG84" i="191"/>
  <c r="BH84" i="191"/>
  <c r="BI84" i="191"/>
  <c r="BJ84" i="191"/>
  <c r="BK84" i="191"/>
  <c r="BD85" i="191"/>
  <c r="BE85" i="191"/>
  <c r="BF85" i="191"/>
  <c r="BG85" i="191"/>
  <c r="BH85" i="191"/>
  <c r="BI85" i="191"/>
  <c r="BJ85" i="191"/>
  <c r="BK85" i="191"/>
  <c r="BD86" i="191"/>
  <c r="BE86" i="191"/>
  <c r="BF86" i="191"/>
  <c r="BG86" i="191"/>
  <c r="BH86" i="191"/>
  <c r="BI86" i="191"/>
  <c r="BJ86" i="191"/>
  <c r="BK86" i="191"/>
  <c r="BD87" i="191"/>
  <c r="BE87" i="191"/>
  <c r="BF87" i="191"/>
  <c r="BG87" i="191"/>
  <c r="BH87" i="191"/>
  <c r="BI87" i="191"/>
  <c r="BJ87" i="191"/>
  <c r="BK87" i="191"/>
  <c r="BD88" i="191"/>
  <c r="BE88" i="191"/>
  <c r="BF88" i="191"/>
  <c r="BG88" i="191"/>
  <c r="BH88" i="191"/>
  <c r="BI88" i="191"/>
  <c r="BJ88" i="191"/>
  <c r="BK88" i="191"/>
  <c r="BD89" i="191"/>
  <c r="BE89" i="191"/>
  <c r="BF89" i="191"/>
  <c r="BG89" i="191"/>
  <c r="BH89" i="191"/>
  <c r="BI89" i="191"/>
  <c r="BJ89" i="191"/>
  <c r="BK89" i="191"/>
  <c r="BD90" i="191"/>
  <c r="BE90" i="191"/>
  <c r="BF90" i="191"/>
  <c r="BG90" i="191"/>
  <c r="BH90" i="191"/>
  <c r="BI90" i="191"/>
  <c r="BJ90" i="191"/>
  <c r="BK90" i="191"/>
  <c r="BD91" i="191"/>
  <c r="BE91" i="191"/>
  <c r="BF91" i="191"/>
  <c r="BG91" i="191"/>
  <c r="BH91" i="191"/>
  <c r="BI91" i="191"/>
  <c r="BJ91" i="191"/>
  <c r="BK91" i="191"/>
  <c r="BD92" i="191"/>
  <c r="BE92" i="191"/>
  <c r="BF92" i="191"/>
  <c r="BG92" i="191"/>
  <c r="BH92" i="191"/>
  <c r="BI92" i="191"/>
  <c r="BJ92" i="191"/>
  <c r="BK92" i="191"/>
  <c r="BD93" i="191"/>
  <c r="BE93" i="191"/>
  <c r="BF93" i="191"/>
  <c r="BG93" i="191"/>
  <c r="BH93" i="191"/>
  <c r="BI93" i="191"/>
  <c r="BJ93" i="191"/>
  <c r="BK93" i="191"/>
  <c r="BD94" i="191"/>
  <c r="BE94" i="191"/>
  <c r="BF94" i="191"/>
  <c r="BG94" i="191"/>
  <c r="BH94" i="191"/>
  <c r="BI94" i="191"/>
  <c r="BJ94" i="191"/>
  <c r="BK94" i="191"/>
  <c r="BD95" i="191"/>
  <c r="BE95" i="191"/>
  <c r="BF95" i="191"/>
  <c r="BG95" i="191"/>
  <c r="BH95" i="191"/>
  <c r="BI95" i="191"/>
  <c r="BJ95" i="191"/>
  <c r="BK95" i="191"/>
  <c r="BD96" i="191"/>
  <c r="BE96" i="191"/>
  <c r="BF96" i="191"/>
  <c r="BG96" i="191"/>
  <c r="BH96" i="191"/>
  <c r="BI96" i="191"/>
  <c r="BJ96" i="191"/>
  <c r="BK96" i="191"/>
  <c r="BD97" i="191"/>
  <c r="BE97" i="191"/>
  <c r="BF97" i="191"/>
  <c r="BG97" i="191"/>
  <c r="BH97" i="191"/>
  <c r="BI97" i="191"/>
  <c r="BJ97" i="191"/>
  <c r="BK97" i="191"/>
  <c r="BD98" i="191"/>
  <c r="BE98" i="191"/>
  <c r="BF98" i="191"/>
  <c r="BG98" i="191"/>
  <c r="BH98" i="191"/>
  <c r="BI98" i="191"/>
  <c r="BJ98" i="191"/>
  <c r="BK98" i="191"/>
  <c r="BD99" i="191"/>
  <c r="BE99" i="191"/>
  <c r="BF99" i="191"/>
  <c r="BG99" i="191"/>
  <c r="BH99" i="191"/>
  <c r="BI99" i="191"/>
  <c r="BJ99" i="191"/>
  <c r="BK99" i="191"/>
  <c r="BD100" i="191"/>
  <c r="BE100" i="191"/>
  <c r="BF100" i="191"/>
  <c r="BG100" i="191"/>
  <c r="BH100" i="191"/>
  <c r="BI100" i="191"/>
  <c r="BJ100" i="191"/>
  <c r="BK100" i="191"/>
  <c r="BD101" i="191"/>
  <c r="BE101" i="191"/>
  <c r="BF101" i="191"/>
  <c r="BG101" i="191"/>
  <c r="BH101" i="191"/>
  <c r="BI101" i="191"/>
  <c r="BJ101" i="191"/>
  <c r="BK101" i="191"/>
  <c r="BD102" i="191"/>
  <c r="BE102" i="191"/>
  <c r="BF102" i="191"/>
  <c r="BG102" i="191"/>
  <c r="BH102" i="191"/>
  <c r="BI102" i="191"/>
  <c r="BJ102" i="191"/>
  <c r="BK102" i="191"/>
  <c r="BD103" i="191"/>
  <c r="BE103" i="191"/>
  <c r="BF103" i="191"/>
  <c r="BG103" i="191"/>
  <c r="BH103" i="191"/>
  <c r="BI103" i="191"/>
  <c r="BJ103" i="191"/>
  <c r="BK103" i="191"/>
  <c r="BD104" i="191"/>
  <c r="BE104" i="191"/>
  <c r="BF104" i="191"/>
  <c r="BG104" i="191"/>
  <c r="BH104" i="191"/>
  <c r="BI104" i="191"/>
  <c r="BJ104" i="191"/>
  <c r="BK104" i="191"/>
  <c r="BD105" i="191"/>
  <c r="BE105" i="191"/>
  <c r="BF105" i="191"/>
  <c r="BG105" i="191"/>
  <c r="BH105" i="191"/>
  <c r="BI105" i="191"/>
  <c r="BJ105" i="191"/>
  <c r="BK105" i="191"/>
  <c r="BD106" i="191"/>
  <c r="BE106" i="191"/>
  <c r="BF106" i="191"/>
  <c r="BG106" i="191"/>
  <c r="BH106" i="191"/>
  <c r="BI106" i="191"/>
  <c r="BJ106" i="191"/>
  <c r="BK106" i="191"/>
  <c r="BD107" i="191"/>
  <c r="BE107" i="191"/>
  <c r="BF107" i="191"/>
  <c r="BG107" i="191"/>
  <c r="BH107" i="191"/>
  <c r="BI107" i="191"/>
  <c r="BJ107" i="191"/>
  <c r="BK107" i="191"/>
  <c r="BD108" i="191"/>
  <c r="BE108" i="191"/>
  <c r="BF108" i="191"/>
  <c r="BG108" i="191"/>
  <c r="BH108" i="191"/>
  <c r="BI108" i="191"/>
  <c r="BJ108" i="191"/>
  <c r="BK108" i="191"/>
  <c r="BD109" i="191"/>
  <c r="BE109" i="191"/>
  <c r="BF109" i="191"/>
  <c r="BG109" i="191"/>
  <c r="BH109" i="191"/>
  <c r="BI109" i="191"/>
  <c r="BJ109" i="191"/>
  <c r="BK109" i="191"/>
  <c r="BD110" i="191"/>
  <c r="BE110" i="191"/>
  <c r="BF110" i="191"/>
  <c r="BG110" i="191"/>
  <c r="BH110" i="191"/>
  <c r="BI110" i="191"/>
  <c r="BJ110" i="191"/>
  <c r="BK110" i="191"/>
  <c r="BD111" i="191"/>
  <c r="BE111" i="191"/>
  <c r="BF111" i="191"/>
  <c r="BG111" i="191"/>
  <c r="BH111" i="191"/>
  <c r="BI111" i="191"/>
  <c r="BJ111" i="191"/>
  <c r="BK111" i="191"/>
  <c r="BD112" i="191"/>
  <c r="BE112" i="191"/>
  <c r="BF112" i="191"/>
  <c r="BG112" i="191"/>
  <c r="BH112" i="191"/>
  <c r="BI112" i="191"/>
  <c r="BJ112" i="191"/>
  <c r="BK112" i="191"/>
  <c r="BD113" i="191"/>
  <c r="BE113" i="191"/>
  <c r="BF113" i="191"/>
  <c r="BG113" i="191"/>
  <c r="BH113" i="191"/>
  <c r="BI113" i="191"/>
  <c r="BJ113" i="191"/>
  <c r="BK113" i="191"/>
  <c r="BD114" i="191"/>
  <c r="BE114" i="191"/>
  <c r="BF114" i="191"/>
  <c r="BG114" i="191"/>
  <c r="BH114" i="191"/>
  <c r="BI114" i="191"/>
  <c r="BJ114" i="191"/>
  <c r="BK114" i="191"/>
  <c r="BD115" i="191"/>
  <c r="BE115" i="191"/>
  <c r="BF115" i="191"/>
  <c r="BG115" i="191"/>
  <c r="BH115" i="191"/>
  <c r="BI115" i="191"/>
  <c r="BJ115" i="191"/>
  <c r="BK115" i="191"/>
  <c r="BD116" i="191"/>
  <c r="BE116" i="191"/>
  <c r="BF116" i="191"/>
  <c r="BG116" i="191"/>
  <c r="BH116" i="191"/>
  <c r="BI116" i="191"/>
  <c r="BJ116" i="191"/>
  <c r="BK116" i="191"/>
  <c r="BD117" i="191"/>
  <c r="BE117" i="191"/>
  <c r="BF117" i="191"/>
  <c r="BG117" i="191"/>
  <c r="BH117" i="191"/>
  <c r="BI117" i="191"/>
  <c r="BJ117" i="191"/>
  <c r="BK117" i="191"/>
  <c r="BD118" i="191"/>
  <c r="BE118" i="191"/>
  <c r="BF118" i="191"/>
  <c r="BG118" i="191"/>
  <c r="BH118" i="191"/>
  <c r="BI118" i="191"/>
  <c r="BJ118" i="191"/>
  <c r="BK118" i="191"/>
  <c r="BD119" i="191"/>
  <c r="BE119" i="191"/>
  <c r="BF119" i="191"/>
  <c r="BG119" i="191"/>
  <c r="BH119" i="191"/>
  <c r="BI119" i="191"/>
  <c r="BJ119" i="191"/>
  <c r="BK119" i="191"/>
  <c r="BD120" i="191"/>
  <c r="BE120" i="191"/>
  <c r="BF120" i="191"/>
  <c r="BG120" i="191"/>
  <c r="BH120" i="191"/>
  <c r="BI120" i="191"/>
  <c r="BJ120" i="191"/>
  <c r="BK120" i="191"/>
  <c r="BD121" i="191"/>
  <c r="BE121" i="191"/>
  <c r="BF121" i="191"/>
  <c r="BG121" i="191"/>
  <c r="BH121" i="191"/>
  <c r="BI121" i="191"/>
  <c r="BJ121" i="191"/>
  <c r="BK121" i="191"/>
  <c r="BD122" i="191"/>
  <c r="BE122" i="191"/>
  <c r="BF122" i="191"/>
  <c r="BG122" i="191"/>
  <c r="BH122" i="191"/>
  <c r="BI122" i="191"/>
  <c r="BJ122" i="191"/>
  <c r="BK122" i="191"/>
  <c r="BD123" i="191"/>
  <c r="BE123" i="191"/>
  <c r="BF123" i="191"/>
  <c r="BG123" i="191"/>
  <c r="BH123" i="191"/>
  <c r="BI123" i="191"/>
  <c r="BJ123" i="191"/>
  <c r="BK123" i="191"/>
  <c r="BD124" i="191"/>
  <c r="BE124" i="191"/>
  <c r="BF124" i="191"/>
  <c r="BG124" i="191"/>
  <c r="BH124" i="191"/>
  <c r="BI124" i="191"/>
  <c r="BJ124" i="191"/>
  <c r="BK124" i="191"/>
  <c r="BD125" i="191"/>
  <c r="BE125" i="191"/>
  <c r="BF125" i="191"/>
  <c r="BG125" i="191"/>
  <c r="BH125" i="191"/>
  <c r="BI125" i="191"/>
  <c r="BJ125" i="191"/>
  <c r="BK125" i="191"/>
  <c r="BD126" i="191"/>
  <c r="BE126" i="191"/>
  <c r="BF126" i="191"/>
  <c r="BG126" i="191"/>
  <c r="BH126" i="191"/>
  <c r="BI126" i="191"/>
  <c r="BJ126" i="191"/>
  <c r="BK126" i="191"/>
  <c r="BD127" i="191"/>
  <c r="BE127" i="191"/>
  <c r="BF127" i="191"/>
  <c r="BG127" i="191"/>
  <c r="BH127" i="191"/>
  <c r="BI127" i="191"/>
  <c r="BJ127" i="191"/>
  <c r="BK127" i="191"/>
  <c r="BD128" i="191"/>
  <c r="BE128" i="191"/>
  <c r="BF128" i="191"/>
  <c r="BG128" i="191"/>
  <c r="BH128" i="191"/>
  <c r="BI128" i="191"/>
  <c r="BJ128" i="191"/>
  <c r="BK128" i="191"/>
  <c r="BD129" i="191"/>
  <c r="BE129" i="191"/>
  <c r="BF129" i="191"/>
  <c r="BG129" i="191"/>
  <c r="BH129" i="191"/>
  <c r="BI129" i="191"/>
  <c r="BJ129" i="191"/>
  <c r="BK129" i="191"/>
  <c r="BD130" i="191"/>
  <c r="BE130" i="191"/>
  <c r="BF130" i="191"/>
  <c r="BG130" i="191"/>
  <c r="BH130" i="191"/>
  <c r="BI130" i="191"/>
  <c r="BJ130" i="191"/>
  <c r="BK130" i="191"/>
  <c r="BD131" i="191"/>
  <c r="BE131" i="191"/>
  <c r="BF131" i="191"/>
  <c r="BG131" i="191"/>
  <c r="BH131" i="191"/>
  <c r="BI131" i="191"/>
  <c r="BJ131" i="191"/>
  <c r="BK131" i="191"/>
  <c r="BD132" i="191"/>
  <c r="BE132" i="191"/>
  <c r="BF132" i="191"/>
  <c r="BG132" i="191"/>
  <c r="BH132" i="191"/>
  <c r="BI132" i="191"/>
  <c r="BJ132" i="191"/>
  <c r="BK132" i="191"/>
  <c r="BD133" i="191"/>
  <c r="BE133" i="191"/>
  <c r="BF133" i="191"/>
  <c r="BG133" i="191"/>
  <c r="BH133" i="191"/>
  <c r="BI133" i="191"/>
  <c r="BJ133" i="191"/>
  <c r="BK133" i="191"/>
  <c r="BD134" i="191"/>
  <c r="BE134" i="191"/>
  <c r="BF134" i="191"/>
  <c r="BG134" i="191"/>
  <c r="BH134" i="191"/>
  <c r="BI134" i="191"/>
  <c r="BJ134" i="191"/>
  <c r="BK134" i="191"/>
  <c r="BD135" i="191"/>
  <c r="BE135" i="191"/>
  <c r="BF135" i="191"/>
  <c r="BG135" i="191"/>
  <c r="BH135" i="191"/>
  <c r="BI135" i="191"/>
  <c r="BJ135" i="191"/>
  <c r="BK135" i="191"/>
  <c r="BD136" i="191"/>
  <c r="BE136" i="191"/>
  <c r="BF136" i="191"/>
  <c r="BG136" i="191"/>
  <c r="BH136" i="191"/>
  <c r="BI136" i="191"/>
  <c r="BJ136" i="191"/>
  <c r="BK136" i="191"/>
  <c r="BD137" i="191"/>
  <c r="BE137" i="191"/>
  <c r="BF137" i="191"/>
  <c r="BG137" i="191"/>
  <c r="BH137" i="191"/>
  <c r="BI137" i="191"/>
  <c r="BJ137" i="191"/>
  <c r="BK137" i="191"/>
  <c r="BD138" i="191"/>
  <c r="BE138" i="191"/>
  <c r="BF138" i="191"/>
  <c r="BG138" i="191"/>
  <c r="BH138" i="191"/>
  <c r="BI138" i="191"/>
  <c r="BJ138" i="191"/>
  <c r="BK138" i="191"/>
  <c r="BD139" i="191"/>
  <c r="BE139" i="191"/>
  <c r="BF139" i="191"/>
  <c r="BG139" i="191"/>
  <c r="BH139" i="191"/>
  <c r="BI139" i="191"/>
  <c r="BJ139" i="191"/>
  <c r="BK139" i="191"/>
  <c r="BD140" i="191"/>
  <c r="BE140" i="191"/>
  <c r="BF140" i="191"/>
  <c r="BG140" i="191"/>
  <c r="BH140" i="191"/>
  <c r="BI140" i="191"/>
  <c r="BJ140" i="191"/>
  <c r="BK140" i="191"/>
  <c r="BD141" i="191"/>
  <c r="BE141" i="191"/>
  <c r="BF141" i="191"/>
  <c r="BG141" i="191"/>
  <c r="BH141" i="191"/>
  <c r="BI141" i="191"/>
  <c r="BJ141" i="191"/>
  <c r="BK141" i="191"/>
  <c r="BD142" i="191"/>
  <c r="BE142" i="191"/>
  <c r="BF142" i="191"/>
  <c r="BG142" i="191"/>
  <c r="BH142" i="191"/>
  <c r="BI142" i="191"/>
  <c r="BJ142" i="191"/>
  <c r="BK142" i="191"/>
  <c r="BD143" i="191"/>
  <c r="BE143" i="191"/>
  <c r="BF143" i="191"/>
  <c r="BG143" i="191"/>
  <c r="BH143" i="191"/>
  <c r="BI143" i="191"/>
  <c r="BJ143" i="191"/>
  <c r="BK143" i="191"/>
  <c r="BD144" i="191"/>
  <c r="BE144" i="191"/>
  <c r="BF144" i="191"/>
  <c r="BG144" i="191"/>
  <c r="BH144" i="191"/>
  <c r="BI144" i="191"/>
  <c r="BJ144" i="191"/>
  <c r="BK144" i="191"/>
  <c r="BD145" i="191"/>
  <c r="BE145" i="191"/>
  <c r="BF145" i="191"/>
  <c r="BG145" i="191"/>
  <c r="BH145" i="191"/>
  <c r="BI145" i="191"/>
  <c r="BJ145" i="191"/>
  <c r="BK145" i="191"/>
  <c r="BD146" i="191"/>
  <c r="BE146" i="191"/>
  <c r="BF146" i="191"/>
  <c r="BG146" i="191"/>
  <c r="BH146" i="191"/>
  <c r="BI146" i="191"/>
  <c r="BJ146" i="191"/>
  <c r="BK146" i="191"/>
  <c r="BD147" i="191"/>
  <c r="BE147" i="191"/>
  <c r="BF147" i="191"/>
  <c r="BG147" i="191"/>
  <c r="BH147" i="191"/>
  <c r="BI147" i="191"/>
  <c r="BJ147" i="191"/>
  <c r="BK147" i="191"/>
  <c r="BD148" i="191"/>
  <c r="BE148" i="191"/>
  <c r="BF148" i="191"/>
  <c r="BG148" i="191"/>
  <c r="BH148" i="191"/>
  <c r="BI148" i="191"/>
  <c r="BJ148" i="191"/>
  <c r="BK148" i="191"/>
  <c r="BD149" i="191"/>
  <c r="BE149" i="191"/>
  <c r="BF149" i="191"/>
  <c r="BG149" i="191"/>
  <c r="BH149" i="191"/>
  <c r="BI149" i="191"/>
  <c r="BJ149" i="191"/>
  <c r="BK149" i="191"/>
  <c r="BD150" i="191"/>
  <c r="BE150" i="191"/>
  <c r="BF150" i="191"/>
  <c r="BG150" i="191"/>
  <c r="BH150" i="191"/>
  <c r="BI150" i="191"/>
  <c r="BJ150" i="191"/>
  <c r="BK150" i="191"/>
  <c r="BD151" i="191"/>
  <c r="BE151" i="191"/>
  <c r="BF151" i="191"/>
  <c r="BG151" i="191"/>
  <c r="BH151" i="191"/>
  <c r="BI151" i="191"/>
  <c r="BJ151" i="191"/>
  <c r="BK151" i="191"/>
  <c r="BD152" i="191"/>
  <c r="BE152" i="191"/>
  <c r="BF152" i="191"/>
  <c r="BG152" i="191"/>
  <c r="BH152" i="191"/>
  <c r="BI152" i="191"/>
  <c r="BJ152" i="191"/>
  <c r="BK152" i="191"/>
  <c r="BD153" i="191"/>
  <c r="BE153" i="191"/>
  <c r="BF153" i="191"/>
  <c r="BG153" i="191"/>
  <c r="BH153" i="191"/>
  <c r="BI153" i="191"/>
  <c r="BJ153" i="191"/>
  <c r="BK153" i="191"/>
  <c r="BD154" i="191"/>
  <c r="BE154" i="191"/>
  <c r="BF154" i="191"/>
  <c r="BG154" i="191"/>
  <c r="BH154" i="191"/>
  <c r="BI154" i="191"/>
  <c r="BJ154" i="191"/>
  <c r="BK154" i="191"/>
  <c r="BD155" i="191"/>
  <c r="BE155" i="191"/>
  <c r="BF155" i="191"/>
  <c r="BG155" i="191"/>
  <c r="BH155" i="191"/>
  <c r="BI155" i="191"/>
  <c r="BJ155" i="191"/>
  <c r="BK155" i="191"/>
  <c r="BD156" i="191"/>
  <c r="BE156" i="191"/>
  <c r="BF156" i="191"/>
  <c r="BG156" i="191"/>
  <c r="BH156" i="191"/>
  <c r="BI156" i="191"/>
  <c r="BJ156" i="191"/>
  <c r="BK156" i="191"/>
  <c r="BD157" i="191"/>
  <c r="BE157" i="191"/>
  <c r="BF157" i="191"/>
  <c r="BG157" i="191"/>
  <c r="BH157" i="191"/>
  <c r="BI157" i="191"/>
  <c r="BJ157" i="191"/>
  <c r="BK157" i="191"/>
  <c r="BD158" i="191"/>
  <c r="BE158" i="191"/>
  <c r="BF158" i="191"/>
  <c r="BG158" i="191"/>
  <c r="BH158" i="191"/>
  <c r="BI158" i="191"/>
  <c r="BJ158" i="191"/>
  <c r="BK158" i="191"/>
  <c r="BD159" i="191"/>
  <c r="BE159" i="191"/>
  <c r="BF159" i="191"/>
  <c r="BG159" i="191"/>
  <c r="BH159" i="191"/>
  <c r="BI159" i="191"/>
  <c r="BJ159" i="191"/>
  <c r="BK159" i="191"/>
  <c r="BD160" i="191"/>
  <c r="BE160" i="191"/>
  <c r="BF160" i="191"/>
  <c r="BG160" i="191"/>
  <c r="BH160" i="191"/>
  <c r="BI160" i="191"/>
  <c r="BJ160" i="191"/>
  <c r="BK160" i="191"/>
  <c r="BD161" i="191"/>
  <c r="BE161" i="191"/>
  <c r="BF161" i="191"/>
  <c r="BG161" i="191"/>
  <c r="BH161" i="191"/>
  <c r="BI161" i="191"/>
  <c r="BJ161" i="191"/>
  <c r="BK161" i="191"/>
  <c r="BD162" i="191"/>
  <c r="BE162" i="191"/>
  <c r="BF162" i="191"/>
  <c r="BG162" i="191"/>
  <c r="BH162" i="191"/>
  <c r="BI162" i="191"/>
  <c r="BJ162" i="191"/>
  <c r="BK162" i="191"/>
  <c r="BD163" i="191"/>
  <c r="BE163" i="191"/>
  <c r="BF163" i="191"/>
  <c r="BG163" i="191"/>
  <c r="BH163" i="191"/>
  <c r="BI163" i="191"/>
  <c r="BJ163" i="191"/>
  <c r="BK163" i="191"/>
  <c r="BD164" i="191"/>
  <c r="BE164" i="191"/>
  <c r="BF164" i="191"/>
  <c r="BG164" i="191"/>
  <c r="BH164" i="191"/>
  <c r="BI164" i="191"/>
  <c r="BJ164" i="191"/>
  <c r="BK164" i="191"/>
  <c r="BD165" i="191"/>
  <c r="BE165" i="191"/>
  <c r="BF165" i="191"/>
  <c r="BG165" i="191"/>
  <c r="BH165" i="191"/>
  <c r="BI165" i="191"/>
  <c r="BJ165" i="191"/>
  <c r="BK165" i="191"/>
  <c r="BD166" i="191"/>
  <c r="BE166" i="191"/>
  <c r="BF166" i="191"/>
  <c r="BG166" i="191"/>
  <c r="BH166" i="191"/>
  <c r="BI166" i="191"/>
  <c r="BJ166" i="191"/>
  <c r="BK166" i="191"/>
  <c r="BD167" i="191"/>
  <c r="BE167" i="191"/>
  <c r="BF167" i="191"/>
  <c r="BG167" i="191"/>
  <c r="BH167" i="191"/>
  <c r="BI167" i="191"/>
  <c r="BJ167" i="191"/>
  <c r="BK167" i="191"/>
  <c r="BD168" i="191"/>
  <c r="BE168" i="191"/>
  <c r="BF168" i="191"/>
  <c r="BG168" i="191"/>
  <c r="BH168" i="191"/>
  <c r="BI168" i="191"/>
  <c r="BJ168" i="191"/>
  <c r="BK168" i="191"/>
  <c r="BD169" i="191"/>
  <c r="BE169" i="191"/>
  <c r="BF169" i="191"/>
  <c r="BG169" i="191"/>
  <c r="BH169" i="191"/>
  <c r="BI169" i="191"/>
  <c r="BJ169" i="191"/>
  <c r="BK169" i="191"/>
  <c r="BD170" i="191"/>
  <c r="BE170" i="191"/>
  <c r="BF170" i="191"/>
  <c r="BG170" i="191"/>
  <c r="BH170" i="191"/>
  <c r="BI170" i="191"/>
  <c r="BJ170" i="191"/>
  <c r="BK170" i="191"/>
  <c r="BD171" i="191"/>
  <c r="BE171" i="191"/>
  <c r="BF171" i="191"/>
  <c r="BG171" i="191"/>
  <c r="BH171" i="191"/>
  <c r="BI171" i="191"/>
  <c r="BJ171" i="191"/>
  <c r="BK171" i="191"/>
  <c r="BD172" i="191"/>
  <c r="BE172" i="191"/>
  <c r="BF172" i="191"/>
  <c r="BG172" i="191"/>
  <c r="BH172" i="191"/>
  <c r="BI172" i="191"/>
  <c r="BJ172" i="191"/>
  <c r="BK172" i="191"/>
  <c r="BD173" i="191"/>
  <c r="BE173" i="191"/>
  <c r="BF173" i="191"/>
  <c r="BG173" i="191"/>
  <c r="BH173" i="191"/>
  <c r="BI173" i="191"/>
  <c r="BJ173" i="191"/>
  <c r="BK173" i="191"/>
  <c r="BD174" i="191"/>
  <c r="BE174" i="191"/>
  <c r="BF174" i="191"/>
  <c r="BG174" i="191"/>
  <c r="BH174" i="191"/>
  <c r="BI174" i="191"/>
  <c r="BJ174" i="191"/>
  <c r="BK174" i="191"/>
  <c r="BD175" i="191"/>
  <c r="BE175" i="191"/>
  <c r="BF175" i="191"/>
  <c r="BG175" i="191"/>
  <c r="BH175" i="191"/>
  <c r="BI175" i="191"/>
  <c r="BJ175" i="191"/>
  <c r="BK175" i="191"/>
  <c r="BD176" i="191"/>
  <c r="BE176" i="191"/>
  <c r="BF176" i="191"/>
  <c r="BG176" i="191"/>
  <c r="BH176" i="191"/>
  <c r="BI176" i="191"/>
  <c r="BJ176" i="191"/>
  <c r="BK176" i="191"/>
  <c r="BD177" i="191"/>
  <c r="BE177" i="191"/>
  <c r="BF177" i="191"/>
  <c r="BG177" i="191"/>
  <c r="BH177" i="191"/>
  <c r="BI177" i="191"/>
  <c r="BJ177" i="191"/>
  <c r="BK177" i="191"/>
  <c r="BD178" i="191"/>
  <c r="BE178" i="191"/>
  <c r="BF178" i="191"/>
  <c r="BG178" i="191"/>
  <c r="BH178" i="191"/>
  <c r="BI178" i="191"/>
  <c r="BJ178" i="191"/>
  <c r="BK178" i="191"/>
  <c r="BD179" i="191"/>
  <c r="BE179" i="191"/>
  <c r="BF179" i="191"/>
  <c r="BG179" i="191"/>
  <c r="BH179" i="191"/>
  <c r="BI179" i="191"/>
  <c r="BJ179" i="191"/>
  <c r="BK179" i="191"/>
  <c r="BD180" i="191"/>
  <c r="BE180" i="191"/>
  <c r="BF180" i="191"/>
  <c r="BG180" i="191"/>
  <c r="BH180" i="191"/>
  <c r="BI180" i="191"/>
  <c r="BJ180" i="191"/>
  <c r="BK180" i="191"/>
  <c r="BD181" i="191"/>
  <c r="BE181" i="191"/>
  <c r="BF181" i="191"/>
  <c r="BG181" i="191"/>
  <c r="BH181" i="191"/>
  <c r="BI181" i="191"/>
  <c r="BJ181" i="191"/>
  <c r="BK181" i="191"/>
  <c r="BD182" i="191"/>
  <c r="BE182" i="191"/>
  <c r="BF182" i="191"/>
  <c r="BG182" i="191"/>
  <c r="BH182" i="191"/>
  <c r="BI182" i="191"/>
  <c r="BJ182" i="191"/>
  <c r="BK182" i="191"/>
  <c r="BD183" i="191"/>
  <c r="BE183" i="191"/>
  <c r="BF183" i="191"/>
  <c r="BG183" i="191"/>
  <c r="BH183" i="191"/>
  <c r="BI183" i="191"/>
  <c r="BJ183" i="191"/>
  <c r="BK183" i="191"/>
  <c r="BD184" i="191"/>
  <c r="BE184" i="191"/>
  <c r="BF184" i="191"/>
  <c r="BG184" i="191"/>
  <c r="BH184" i="191"/>
  <c r="BI184" i="191"/>
  <c r="BJ184" i="191"/>
  <c r="BK184" i="191"/>
  <c r="BD185" i="191"/>
  <c r="BE185" i="191"/>
  <c r="BF185" i="191"/>
  <c r="BG185" i="191"/>
  <c r="BH185" i="191"/>
  <c r="BI185" i="191"/>
  <c r="BJ185" i="191"/>
  <c r="BK185" i="191"/>
  <c r="BD186" i="191"/>
  <c r="BE186" i="191"/>
  <c r="BF186" i="191"/>
  <c r="BG186" i="191"/>
  <c r="BH186" i="191"/>
  <c r="BI186" i="191"/>
  <c r="BJ186" i="191"/>
  <c r="BK186" i="191"/>
  <c r="BD187" i="191"/>
  <c r="BE187" i="191"/>
  <c r="BF187" i="191"/>
  <c r="BG187" i="191"/>
  <c r="BH187" i="191"/>
  <c r="BI187" i="191"/>
  <c r="BJ187" i="191"/>
  <c r="BK187" i="191"/>
  <c r="BD188" i="191"/>
  <c r="BE188" i="191"/>
  <c r="BF188" i="191"/>
  <c r="BG188" i="191"/>
  <c r="BH188" i="191"/>
  <c r="BI188" i="191"/>
  <c r="BJ188" i="191"/>
  <c r="BK188" i="191"/>
  <c r="BD189" i="191"/>
  <c r="BE189" i="191"/>
  <c r="BF189" i="191"/>
  <c r="BG189" i="191"/>
  <c r="BH189" i="191"/>
  <c r="BI189" i="191"/>
  <c r="BJ189" i="191"/>
  <c r="BK189" i="191"/>
  <c r="BD190" i="191"/>
  <c r="BE190" i="191"/>
  <c r="BF190" i="191"/>
  <c r="BG190" i="191"/>
  <c r="BH190" i="191"/>
  <c r="BI190" i="191"/>
  <c r="BJ190" i="191"/>
  <c r="BK190" i="191"/>
  <c r="BD191" i="191"/>
  <c r="BE191" i="191"/>
  <c r="BF191" i="191"/>
  <c r="BG191" i="191"/>
  <c r="BH191" i="191"/>
  <c r="BI191" i="191"/>
  <c r="BJ191" i="191"/>
  <c r="BK191" i="191"/>
  <c r="BD192" i="191"/>
  <c r="BE192" i="191"/>
  <c r="BF192" i="191"/>
  <c r="BG192" i="191"/>
  <c r="BH192" i="191"/>
  <c r="BI192" i="191"/>
  <c r="BJ192" i="191"/>
  <c r="BK192" i="191"/>
  <c r="BD193" i="191"/>
  <c r="BE193" i="191"/>
  <c r="BF193" i="191"/>
  <c r="BG193" i="191"/>
  <c r="BH193" i="191"/>
  <c r="BI193" i="191"/>
  <c r="BJ193" i="191"/>
  <c r="BK193" i="191"/>
  <c r="BD194" i="191"/>
  <c r="BE194" i="191"/>
  <c r="BF194" i="191"/>
  <c r="BG194" i="191"/>
  <c r="BH194" i="191"/>
  <c r="BI194" i="191"/>
  <c r="BJ194" i="191"/>
  <c r="BK194" i="191"/>
  <c r="BD195" i="191"/>
  <c r="BE195" i="191"/>
  <c r="BF195" i="191"/>
  <c r="BG195" i="191"/>
  <c r="BH195" i="191"/>
  <c r="BI195" i="191"/>
  <c r="BJ195" i="191"/>
  <c r="BK195" i="191"/>
  <c r="BD196" i="191"/>
  <c r="BE196" i="191"/>
  <c r="BF196" i="191"/>
  <c r="BG196" i="191"/>
  <c r="BH196" i="191"/>
  <c r="BI196" i="191"/>
  <c r="BJ196" i="191"/>
  <c r="BK196" i="191"/>
  <c r="BD197" i="191"/>
  <c r="BE197" i="191"/>
  <c r="BF197" i="191"/>
  <c r="BG197" i="191"/>
  <c r="BH197" i="191"/>
  <c r="BI197" i="191"/>
  <c r="BJ197" i="191"/>
  <c r="BK197" i="191"/>
  <c r="BD198" i="191"/>
  <c r="BE198" i="191"/>
  <c r="BF198" i="191"/>
  <c r="BG198" i="191"/>
  <c r="BH198" i="191"/>
  <c r="BI198" i="191"/>
  <c r="BJ198" i="191"/>
  <c r="BK198" i="191"/>
  <c r="BD199" i="191"/>
  <c r="BE199" i="191"/>
  <c r="BF199" i="191"/>
  <c r="BG199" i="191"/>
  <c r="BH199" i="191"/>
  <c r="BI199" i="191"/>
  <c r="BJ199" i="191"/>
  <c r="BK199" i="191"/>
  <c r="BD200" i="191"/>
  <c r="BE200" i="191"/>
  <c r="BF200" i="191"/>
  <c r="BG200" i="191"/>
  <c r="BH200" i="191"/>
  <c r="BI200" i="191"/>
  <c r="BJ200" i="191"/>
  <c r="BK200" i="191"/>
  <c r="BD201" i="191"/>
  <c r="BE201" i="191"/>
  <c r="BF201" i="191"/>
  <c r="BG201" i="191"/>
  <c r="BH201" i="191"/>
  <c r="BI201" i="191"/>
  <c r="BJ201" i="191"/>
  <c r="BK201" i="191"/>
  <c r="BD202" i="191"/>
  <c r="BE202" i="191"/>
  <c r="BF202" i="191"/>
  <c r="BG202" i="191"/>
  <c r="BH202" i="191"/>
  <c r="BI202" i="191"/>
  <c r="BJ202" i="191"/>
  <c r="BK202" i="191"/>
  <c r="BD203" i="191"/>
  <c r="BE203" i="191"/>
  <c r="BF203" i="191"/>
  <c r="BG203" i="191"/>
  <c r="BH203" i="191"/>
  <c r="BI203" i="191"/>
  <c r="BJ203" i="191"/>
  <c r="BK203" i="191"/>
  <c r="BD204" i="191"/>
  <c r="BE204" i="191"/>
  <c r="BF204" i="191"/>
  <c r="BG204" i="191"/>
  <c r="BH204" i="191"/>
  <c r="BI204" i="191"/>
  <c r="BJ204" i="191"/>
  <c r="BK204" i="191"/>
  <c r="BD205" i="191"/>
  <c r="BE205" i="191"/>
  <c r="BF205" i="191"/>
  <c r="BG205" i="191"/>
  <c r="BH205" i="191"/>
  <c r="BI205" i="191"/>
  <c r="BJ205" i="191"/>
  <c r="BK205" i="191"/>
  <c r="BD206" i="191"/>
  <c r="BE206" i="191"/>
  <c r="BF206" i="191"/>
  <c r="BG206" i="191"/>
  <c r="BH206" i="191"/>
  <c r="BI206" i="191"/>
  <c r="BJ206" i="191"/>
  <c r="BK206" i="191"/>
  <c r="BD207" i="191"/>
  <c r="BE207" i="191"/>
  <c r="BF207" i="191"/>
  <c r="BG207" i="191"/>
  <c r="BH207" i="191"/>
  <c r="BI207" i="191"/>
  <c r="BJ207" i="191"/>
  <c r="BK207" i="191"/>
  <c r="BD208" i="191"/>
  <c r="BE208" i="191"/>
  <c r="BF208" i="191"/>
  <c r="BG208" i="191"/>
  <c r="BH208" i="191"/>
  <c r="BI208" i="191"/>
  <c r="BJ208" i="191"/>
  <c r="BK208" i="191"/>
  <c r="BD209" i="191"/>
  <c r="BE209" i="191"/>
  <c r="BF209" i="191"/>
  <c r="BG209" i="191"/>
  <c r="BH209" i="191"/>
  <c r="BI209" i="191"/>
  <c r="BJ209" i="191"/>
  <c r="BK209" i="191"/>
  <c r="BD210" i="191"/>
  <c r="BE210" i="191"/>
  <c r="BF210" i="191"/>
  <c r="BG210" i="191"/>
  <c r="BH210" i="191"/>
  <c r="BI210" i="191"/>
  <c r="BJ210" i="191"/>
  <c r="BK210" i="191"/>
  <c r="BD211" i="191"/>
  <c r="BE211" i="191"/>
  <c r="BF211" i="191"/>
  <c r="BG211" i="191"/>
  <c r="BH211" i="191"/>
  <c r="BI211" i="191"/>
  <c r="BJ211" i="191"/>
  <c r="BK211" i="191"/>
  <c r="BD212" i="191"/>
  <c r="BE212" i="191"/>
  <c r="BF212" i="191"/>
  <c r="BG212" i="191"/>
  <c r="BH212" i="191"/>
  <c r="BI212" i="191"/>
  <c r="BJ212" i="191"/>
  <c r="BK212" i="191"/>
  <c r="BD213" i="191"/>
  <c r="BE213" i="191"/>
  <c r="BF213" i="191"/>
  <c r="BG213" i="191"/>
  <c r="BH213" i="191"/>
  <c r="BI213" i="191"/>
  <c r="BJ213" i="191"/>
  <c r="BK213" i="191"/>
  <c r="BD214" i="191"/>
  <c r="BE214" i="191"/>
  <c r="BF214" i="191"/>
  <c r="BG214" i="191"/>
  <c r="BH214" i="191"/>
  <c r="BI214" i="191"/>
  <c r="BJ214" i="191"/>
  <c r="BK214" i="191"/>
  <c r="BD215" i="191"/>
  <c r="BE215" i="191"/>
  <c r="BF215" i="191"/>
  <c r="BG215" i="191"/>
  <c r="BH215" i="191"/>
  <c r="BI215" i="191"/>
  <c r="BJ215" i="191"/>
  <c r="BK215" i="191"/>
  <c r="BD216" i="191"/>
  <c r="BE216" i="191"/>
  <c r="BF216" i="191"/>
  <c r="BG216" i="191"/>
  <c r="BH216" i="191"/>
  <c r="BI216" i="191"/>
  <c r="BJ216" i="191"/>
  <c r="BK216" i="191"/>
  <c r="BD217" i="191"/>
  <c r="BE217" i="191"/>
  <c r="BF217" i="191"/>
  <c r="BG217" i="191"/>
  <c r="BH217" i="191"/>
  <c r="BI217" i="191"/>
  <c r="BJ217" i="191"/>
  <c r="BK217" i="191"/>
  <c r="BD218" i="191"/>
  <c r="BE218" i="191"/>
  <c r="BF218" i="191"/>
  <c r="BG218" i="191"/>
  <c r="BH218" i="191"/>
  <c r="BI218" i="191"/>
  <c r="BJ218" i="191"/>
  <c r="BK218" i="191"/>
  <c r="BD219" i="191"/>
  <c r="BE219" i="191"/>
  <c r="BF219" i="191"/>
  <c r="BG219" i="191"/>
  <c r="BH219" i="191"/>
  <c r="BI219" i="191"/>
  <c r="BJ219" i="191"/>
  <c r="BK219" i="191"/>
  <c r="BD220" i="191"/>
  <c r="BE220" i="191"/>
  <c r="BF220" i="191"/>
  <c r="BG220" i="191"/>
  <c r="BH220" i="191"/>
  <c r="BI220" i="191"/>
  <c r="BJ220" i="191"/>
  <c r="BK220" i="191"/>
  <c r="BD221" i="191"/>
  <c r="BE221" i="191"/>
  <c r="BF221" i="191"/>
  <c r="BG221" i="191"/>
  <c r="BH221" i="191"/>
  <c r="BI221" i="191"/>
  <c r="BJ221" i="191"/>
  <c r="BK221" i="191"/>
  <c r="BD222" i="191"/>
  <c r="BE222" i="191"/>
  <c r="BF222" i="191"/>
  <c r="BG222" i="191"/>
  <c r="BH222" i="191"/>
  <c r="BI222" i="191"/>
  <c r="BJ222" i="191"/>
  <c r="BK222" i="191"/>
  <c r="BD223" i="191"/>
  <c r="BE223" i="191"/>
  <c r="BF223" i="191"/>
  <c r="BG223" i="191"/>
  <c r="BH223" i="191"/>
  <c r="BI223" i="191"/>
  <c r="BJ223" i="191"/>
  <c r="BK223" i="191"/>
  <c r="BD224" i="191"/>
  <c r="BE224" i="191"/>
  <c r="BF224" i="191"/>
  <c r="BG224" i="191"/>
  <c r="BH224" i="191"/>
  <c r="BI224" i="191"/>
  <c r="BJ224" i="191"/>
  <c r="BK224" i="191"/>
  <c r="BD225" i="191"/>
  <c r="BE225" i="191"/>
  <c r="BF225" i="191"/>
  <c r="BG225" i="191"/>
  <c r="BH225" i="191"/>
  <c r="BI225" i="191"/>
  <c r="BJ225" i="191"/>
  <c r="BK225" i="191"/>
  <c r="BD226" i="191"/>
  <c r="BE226" i="191"/>
  <c r="BF226" i="191"/>
  <c r="BG226" i="191"/>
  <c r="BH226" i="191"/>
  <c r="BI226" i="191"/>
  <c r="BJ226" i="191"/>
  <c r="BK226" i="191"/>
  <c r="BD227" i="191"/>
  <c r="BE227" i="191"/>
  <c r="BF227" i="191"/>
  <c r="BG227" i="191"/>
  <c r="BH227" i="191"/>
  <c r="BI227" i="191"/>
  <c r="BJ227" i="191"/>
  <c r="BK227" i="191"/>
  <c r="BD228" i="191"/>
  <c r="BE228" i="191"/>
  <c r="BF228" i="191"/>
  <c r="BG228" i="191"/>
  <c r="BH228" i="191"/>
  <c r="BI228" i="191"/>
  <c r="BJ228" i="191"/>
  <c r="BK228" i="191"/>
  <c r="BD229" i="191"/>
  <c r="BE229" i="191"/>
  <c r="BF229" i="191"/>
  <c r="BG229" i="191"/>
  <c r="BH229" i="191"/>
  <c r="BI229" i="191"/>
  <c r="BJ229" i="191"/>
  <c r="BK229" i="191"/>
  <c r="BD230" i="191"/>
  <c r="BE230" i="191"/>
  <c r="BF230" i="191"/>
  <c r="BG230" i="191"/>
  <c r="BH230" i="191"/>
  <c r="BI230" i="191"/>
  <c r="BJ230" i="191"/>
  <c r="BK230" i="191"/>
  <c r="BD231" i="191"/>
  <c r="BE231" i="191"/>
  <c r="BF231" i="191"/>
  <c r="BG231" i="191"/>
  <c r="BH231" i="191"/>
  <c r="BI231" i="191"/>
  <c r="BJ231" i="191"/>
  <c r="BK231" i="191"/>
  <c r="BD232" i="191"/>
  <c r="BE232" i="191"/>
  <c r="BF232" i="191"/>
  <c r="BG232" i="191"/>
  <c r="BH232" i="191"/>
  <c r="BI232" i="191"/>
  <c r="BJ232" i="191"/>
  <c r="BK232" i="191"/>
  <c r="BD233" i="191"/>
  <c r="BE233" i="191"/>
  <c r="BF233" i="191"/>
  <c r="BG233" i="191"/>
  <c r="BH233" i="191"/>
  <c r="BI233" i="191"/>
  <c r="BJ233" i="191"/>
  <c r="BK233" i="191"/>
  <c r="BD234" i="191"/>
  <c r="BE234" i="191"/>
  <c r="BF234" i="191"/>
  <c r="BG234" i="191"/>
  <c r="BH234" i="191"/>
  <c r="BI234" i="191"/>
  <c r="BJ234" i="191"/>
  <c r="BK234" i="191"/>
  <c r="BD235" i="191"/>
  <c r="BE235" i="191"/>
  <c r="BF235" i="191"/>
  <c r="BG235" i="191"/>
  <c r="BH235" i="191"/>
  <c r="BI235" i="191"/>
  <c r="BJ235" i="191"/>
  <c r="BK235" i="191"/>
  <c r="BD236" i="191"/>
  <c r="BE236" i="191"/>
  <c r="BF236" i="191"/>
  <c r="BG236" i="191"/>
  <c r="BH236" i="191"/>
  <c r="BI236" i="191"/>
  <c r="BJ236" i="191"/>
  <c r="BK236" i="191"/>
  <c r="BD237" i="191"/>
  <c r="BE237" i="191"/>
  <c r="BF237" i="191"/>
  <c r="BG237" i="191"/>
  <c r="BH237" i="191"/>
  <c r="BI237" i="191"/>
  <c r="BJ237" i="191"/>
  <c r="BK237" i="191"/>
  <c r="BD238" i="191"/>
  <c r="BE238" i="191"/>
  <c r="BF238" i="191"/>
  <c r="BG238" i="191"/>
  <c r="BH238" i="191"/>
  <c r="BI238" i="191"/>
  <c r="BJ238" i="191"/>
  <c r="BK238" i="191"/>
  <c r="BD239" i="191"/>
  <c r="BE239" i="191"/>
  <c r="BF239" i="191"/>
  <c r="BG239" i="191"/>
  <c r="BH239" i="191"/>
  <c r="BI239" i="191"/>
  <c r="BJ239" i="191"/>
  <c r="BK239" i="191"/>
  <c r="BD240" i="191"/>
  <c r="BE240" i="191"/>
  <c r="BF240" i="191"/>
  <c r="BG240" i="191"/>
  <c r="BH240" i="191"/>
  <c r="BI240" i="191"/>
  <c r="BJ240" i="191"/>
  <c r="BK240" i="191"/>
  <c r="BD241" i="191"/>
  <c r="BE241" i="191"/>
  <c r="BF241" i="191"/>
  <c r="BG241" i="191"/>
  <c r="BH241" i="191"/>
  <c r="BI241" i="191"/>
  <c r="BJ241" i="191"/>
  <c r="BK241" i="191"/>
  <c r="BD242" i="191"/>
  <c r="BE242" i="191"/>
  <c r="BF242" i="191"/>
  <c r="BG242" i="191"/>
  <c r="BH242" i="191"/>
  <c r="BI242" i="191"/>
  <c r="BJ242" i="191"/>
  <c r="BK242" i="191"/>
  <c r="BD243" i="191"/>
  <c r="BE243" i="191"/>
  <c r="BF243" i="191"/>
  <c r="BG243" i="191"/>
  <c r="BH243" i="191"/>
  <c r="BI243" i="191"/>
  <c r="BJ243" i="191"/>
  <c r="BK243" i="191"/>
  <c r="BD244" i="191"/>
  <c r="BE244" i="191"/>
  <c r="BF244" i="191"/>
  <c r="BG244" i="191"/>
  <c r="BH244" i="191"/>
  <c r="BI244" i="191"/>
  <c r="BJ244" i="191"/>
  <c r="BK244" i="191"/>
  <c r="BD245" i="191"/>
  <c r="BE245" i="191"/>
  <c r="BF245" i="191"/>
  <c r="BG245" i="191"/>
  <c r="BH245" i="191"/>
  <c r="BI245" i="191"/>
  <c r="BJ245" i="191"/>
  <c r="BK245" i="191"/>
  <c r="BD246" i="191"/>
  <c r="BE246" i="191"/>
  <c r="BF246" i="191"/>
  <c r="BG246" i="191"/>
  <c r="BH246" i="191"/>
  <c r="BI246" i="191"/>
  <c r="BJ246" i="191"/>
  <c r="BK246" i="191"/>
  <c r="BD247" i="191"/>
  <c r="BE247" i="191"/>
  <c r="BF247" i="191"/>
  <c r="BG247" i="191"/>
  <c r="BH247" i="191"/>
  <c r="BI247" i="191"/>
  <c r="BJ247" i="191"/>
  <c r="BK247" i="191"/>
  <c r="BD248" i="191"/>
  <c r="BE248" i="191"/>
  <c r="BF248" i="191"/>
  <c r="BG248" i="191"/>
  <c r="BH248" i="191"/>
  <c r="BI248" i="191"/>
  <c r="BJ248" i="191"/>
  <c r="BK248" i="191"/>
  <c r="BD249" i="191"/>
  <c r="BE249" i="191"/>
  <c r="BF249" i="191"/>
  <c r="BG249" i="191"/>
  <c r="BH249" i="191"/>
  <c r="BI249" i="191"/>
  <c r="BJ249" i="191"/>
  <c r="BK249" i="191"/>
  <c r="BD250" i="191"/>
  <c r="BE250" i="191"/>
  <c r="BF250" i="191"/>
  <c r="BG250" i="191"/>
  <c r="BH250" i="191"/>
  <c r="BI250" i="191"/>
  <c r="BJ250" i="191"/>
  <c r="BK250" i="191"/>
  <c r="BD251" i="191"/>
  <c r="BE251" i="191"/>
  <c r="BF251" i="191"/>
  <c r="BG251" i="191"/>
  <c r="BH251" i="191"/>
  <c r="BI251" i="191"/>
  <c r="BJ251" i="191"/>
  <c r="BK251" i="191"/>
  <c r="BD252" i="191"/>
  <c r="BE252" i="191"/>
  <c r="BF252" i="191"/>
  <c r="BG252" i="191"/>
  <c r="BH252" i="191"/>
  <c r="BI252" i="191"/>
  <c r="BJ252" i="191"/>
  <c r="BK252" i="191"/>
  <c r="BD253" i="191"/>
  <c r="BE253" i="191"/>
  <c r="BF253" i="191"/>
  <c r="BG253" i="191"/>
  <c r="BH253" i="191"/>
  <c r="BI253" i="191"/>
  <c r="BJ253" i="191"/>
  <c r="BK253" i="191"/>
  <c r="BD254" i="191"/>
  <c r="BE254" i="191"/>
  <c r="BF254" i="191"/>
  <c r="BG254" i="191"/>
  <c r="BH254" i="191"/>
  <c r="BI254" i="191"/>
  <c r="BJ254" i="191"/>
  <c r="BK254" i="191"/>
  <c r="BD255" i="191"/>
  <c r="BE255" i="191"/>
  <c r="BF255" i="191"/>
  <c r="BG255" i="191"/>
  <c r="BH255" i="191"/>
  <c r="BI255" i="191"/>
  <c r="BJ255" i="191"/>
  <c r="BK255" i="191"/>
  <c r="BD256" i="191"/>
  <c r="BE256" i="191"/>
  <c r="BF256" i="191"/>
  <c r="BG256" i="191"/>
  <c r="BH256" i="191"/>
  <c r="BI256" i="191"/>
  <c r="BJ256" i="191"/>
  <c r="BK256" i="191"/>
  <c r="BD257" i="191"/>
  <c r="BE257" i="191"/>
  <c r="BF257" i="191"/>
  <c r="BG257" i="191"/>
  <c r="BH257" i="191"/>
  <c r="BI257" i="191"/>
  <c r="BJ257" i="191"/>
  <c r="BK257" i="191"/>
  <c r="BD258" i="191"/>
  <c r="BE258" i="191"/>
  <c r="BF258" i="191"/>
  <c r="BG258" i="191"/>
  <c r="BH258" i="191"/>
  <c r="BI258" i="191"/>
  <c r="BJ258" i="191"/>
  <c r="BK258" i="191"/>
  <c r="BD259" i="191"/>
  <c r="BE259" i="191"/>
  <c r="BF259" i="191"/>
  <c r="BG259" i="191"/>
  <c r="BH259" i="191"/>
  <c r="BI259" i="191"/>
  <c r="BJ259" i="191"/>
  <c r="BK259" i="191"/>
  <c r="BD260" i="191"/>
  <c r="BE260" i="191"/>
  <c r="BF260" i="191"/>
  <c r="BG260" i="191"/>
  <c r="BH260" i="191"/>
  <c r="BI260" i="191"/>
  <c r="BJ260" i="191"/>
  <c r="BK260" i="191"/>
  <c r="BD261" i="191"/>
  <c r="BE261" i="191"/>
  <c r="BF261" i="191"/>
  <c r="BG261" i="191"/>
  <c r="BH261" i="191"/>
  <c r="BI261" i="191"/>
  <c r="BJ261" i="191"/>
  <c r="BK261" i="191"/>
  <c r="BD262" i="191"/>
  <c r="BE262" i="191"/>
  <c r="BF262" i="191"/>
  <c r="BG262" i="191"/>
  <c r="BH262" i="191"/>
  <c r="BI262" i="191"/>
  <c r="BJ262" i="191"/>
  <c r="BK262" i="191"/>
  <c r="BD263" i="191"/>
  <c r="BE263" i="191"/>
  <c r="BF263" i="191"/>
  <c r="BG263" i="191"/>
  <c r="BH263" i="191"/>
  <c r="BI263" i="191"/>
  <c r="BJ263" i="191"/>
  <c r="BK263" i="191"/>
  <c r="BD264" i="191"/>
  <c r="BE264" i="191"/>
  <c r="BF264" i="191"/>
  <c r="BG264" i="191"/>
  <c r="BH264" i="191"/>
  <c r="BI264" i="191"/>
  <c r="BJ264" i="191"/>
  <c r="BK264" i="191"/>
  <c r="BD265" i="191"/>
  <c r="BE265" i="191"/>
  <c r="BF265" i="191"/>
  <c r="BG265" i="191"/>
  <c r="BH265" i="191"/>
  <c r="BI265" i="191"/>
  <c r="BJ265" i="191"/>
  <c r="BK265" i="191"/>
  <c r="BD266" i="191"/>
  <c r="BE266" i="191"/>
  <c r="BF266" i="191"/>
  <c r="BG266" i="191"/>
  <c r="BH266" i="191"/>
  <c r="BI266" i="191"/>
  <c r="BJ266" i="191"/>
  <c r="BK266" i="191"/>
  <c r="BD267" i="191"/>
  <c r="BE267" i="191"/>
  <c r="BF267" i="191"/>
  <c r="BG267" i="191"/>
  <c r="BH267" i="191"/>
  <c r="BI267" i="191"/>
  <c r="BJ267" i="191"/>
  <c r="BK267" i="191"/>
  <c r="BD268" i="191"/>
  <c r="BE268" i="191"/>
  <c r="BF268" i="191"/>
  <c r="BG268" i="191"/>
  <c r="BH268" i="191"/>
  <c r="BI268" i="191"/>
  <c r="BJ268" i="191"/>
  <c r="BK268" i="191"/>
  <c r="BD269" i="191"/>
  <c r="BE269" i="191"/>
  <c r="BF269" i="191"/>
  <c r="BG269" i="191"/>
  <c r="BH269" i="191"/>
  <c r="BI269" i="191"/>
  <c r="BJ269" i="191"/>
  <c r="BK269" i="191"/>
  <c r="BD270" i="191"/>
  <c r="BE270" i="191"/>
  <c r="BF270" i="191"/>
  <c r="BG270" i="191"/>
  <c r="BH270" i="191"/>
  <c r="BI270" i="191"/>
  <c r="BJ270" i="191"/>
  <c r="BK270" i="191"/>
  <c r="BD271" i="191"/>
  <c r="BE271" i="191"/>
  <c r="BF271" i="191"/>
  <c r="BG271" i="191"/>
  <c r="BH271" i="191"/>
  <c r="BI271" i="191"/>
  <c r="BJ271" i="191"/>
  <c r="BK271" i="191"/>
  <c r="BD272" i="191"/>
  <c r="BE272" i="191"/>
  <c r="BF272" i="191"/>
  <c r="BG272" i="191"/>
  <c r="BH272" i="191"/>
  <c r="BI272" i="191"/>
  <c r="BJ272" i="191"/>
  <c r="BK272" i="191"/>
  <c r="BD273" i="191"/>
  <c r="BE273" i="191"/>
  <c r="BF273" i="191"/>
  <c r="BG273" i="191"/>
  <c r="BH273" i="191"/>
  <c r="BI273" i="191"/>
  <c r="BJ273" i="191"/>
  <c r="BK273" i="191"/>
  <c r="BD274" i="191"/>
  <c r="BE274" i="191"/>
  <c r="BF274" i="191"/>
  <c r="BG274" i="191"/>
  <c r="BH274" i="191"/>
  <c r="BI274" i="191"/>
  <c r="BJ274" i="191"/>
  <c r="BK274" i="191"/>
  <c r="BD275" i="191"/>
  <c r="BE275" i="191"/>
  <c r="BF275" i="191"/>
  <c r="BG275" i="191"/>
  <c r="BH275" i="191"/>
  <c r="BI275" i="191"/>
  <c r="BJ275" i="191"/>
  <c r="BK275" i="191"/>
  <c r="BD276" i="191"/>
  <c r="BE276" i="191"/>
  <c r="BF276" i="191"/>
  <c r="BG276" i="191"/>
  <c r="BH276" i="191"/>
  <c r="BI276" i="191"/>
  <c r="BJ276" i="191"/>
  <c r="BK276" i="191"/>
  <c r="BD277" i="191"/>
  <c r="BE277" i="191"/>
  <c r="BF277" i="191"/>
  <c r="BG277" i="191"/>
  <c r="BH277" i="191"/>
  <c r="BI277" i="191"/>
  <c r="BJ277" i="191"/>
  <c r="BK277" i="191"/>
  <c r="BD278" i="191"/>
  <c r="BE278" i="191"/>
  <c r="BF278" i="191"/>
  <c r="BG278" i="191"/>
  <c r="BH278" i="191"/>
  <c r="BI278" i="191"/>
  <c r="BJ278" i="191"/>
  <c r="BK278" i="191"/>
  <c r="BD279" i="191"/>
  <c r="BE279" i="191"/>
  <c r="BF279" i="191"/>
  <c r="BG279" i="191"/>
  <c r="BH279" i="191"/>
  <c r="BI279" i="191"/>
  <c r="BJ279" i="191"/>
  <c r="BK279" i="191"/>
  <c r="BD280" i="191"/>
  <c r="BE280" i="191"/>
  <c r="BF280" i="191"/>
  <c r="BG280" i="191"/>
  <c r="BH280" i="191"/>
  <c r="BI280" i="191"/>
  <c r="BJ280" i="191"/>
  <c r="BK280" i="191"/>
  <c r="BD281" i="191"/>
  <c r="BE281" i="191"/>
  <c r="BF281" i="191"/>
  <c r="BG281" i="191"/>
  <c r="BH281" i="191"/>
  <c r="BI281" i="191"/>
  <c r="BJ281" i="191"/>
  <c r="BK281" i="191"/>
  <c r="BD282" i="191"/>
  <c r="BE282" i="191"/>
  <c r="BF282" i="191"/>
  <c r="BG282" i="191"/>
  <c r="BH282" i="191"/>
  <c r="BI282" i="191"/>
  <c r="BJ282" i="191"/>
  <c r="BK282" i="191"/>
  <c r="BD283" i="191"/>
  <c r="BE283" i="191"/>
  <c r="BF283" i="191"/>
  <c r="BG283" i="191"/>
  <c r="BH283" i="191"/>
  <c r="BI283" i="191"/>
  <c r="BJ283" i="191"/>
  <c r="BK283" i="191"/>
  <c r="BD284" i="191"/>
  <c r="BE284" i="191"/>
  <c r="BF284" i="191"/>
  <c r="BG284" i="191"/>
  <c r="BH284" i="191"/>
  <c r="BI284" i="191"/>
  <c r="BJ284" i="191"/>
  <c r="BK284" i="191"/>
  <c r="BD285" i="191"/>
  <c r="BE285" i="191"/>
  <c r="BF285" i="191"/>
  <c r="BG285" i="191"/>
  <c r="BH285" i="191"/>
  <c r="BI285" i="191"/>
  <c r="BJ285" i="191"/>
  <c r="BK285" i="191"/>
  <c r="BD286" i="191"/>
  <c r="BE286" i="191"/>
  <c r="BF286" i="191"/>
  <c r="BG286" i="191"/>
  <c r="BH286" i="191"/>
  <c r="BI286" i="191"/>
  <c r="BJ286" i="191"/>
  <c r="BK286" i="191"/>
  <c r="BD287" i="191"/>
  <c r="BE287" i="191"/>
  <c r="BF287" i="191"/>
  <c r="BG287" i="191"/>
  <c r="BH287" i="191"/>
  <c r="BI287" i="191"/>
  <c r="BJ287" i="191"/>
  <c r="BK287" i="191"/>
  <c r="BD288" i="191"/>
  <c r="BE288" i="191"/>
  <c r="BF288" i="191"/>
  <c r="BG288" i="191"/>
  <c r="BH288" i="191"/>
  <c r="BI288" i="191"/>
  <c r="BJ288" i="191"/>
  <c r="BK288" i="191"/>
  <c r="BD289" i="191"/>
  <c r="BE289" i="191"/>
  <c r="BF289" i="191"/>
  <c r="BG289" i="191"/>
  <c r="BH289" i="191"/>
  <c r="BI289" i="191"/>
  <c r="BJ289" i="191"/>
  <c r="BK289" i="191"/>
  <c r="BD290" i="191"/>
  <c r="BE290" i="191"/>
  <c r="BF290" i="191"/>
  <c r="BG290" i="191"/>
  <c r="BH290" i="191"/>
  <c r="BI290" i="191"/>
  <c r="BJ290" i="191"/>
  <c r="BK290" i="191"/>
  <c r="BD291" i="191"/>
  <c r="BE291" i="191"/>
  <c r="BF291" i="191"/>
  <c r="BG291" i="191"/>
  <c r="BH291" i="191"/>
  <c r="BI291" i="191"/>
  <c r="BJ291" i="191"/>
  <c r="BK291" i="191"/>
  <c r="BD292" i="191"/>
  <c r="BE292" i="191"/>
  <c r="BF292" i="191"/>
  <c r="BG292" i="191"/>
  <c r="BH292" i="191"/>
  <c r="BI292" i="191"/>
  <c r="BJ292" i="191"/>
  <c r="BK292" i="191"/>
  <c r="BD293" i="191"/>
  <c r="BE293" i="191"/>
  <c r="BF293" i="191"/>
  <c r="BG293" i="191"/>
  <c r="BH293" i="191"/>
  <c r="BI293" i="191"/>
  <c r="BJ293" i="191"/>
  <c r="BK293" i="191"/>
  <c r="BD294" i="191"/>
  <c r="BE294" i="191"/>
  <c r="BF294" i="191"/>
  <c r="BG294" i="191"/>
  <c r="BH294" i="191"/>
  <c r="BI294" i="191"/>
  <c r="BJ294" i="191"/>
  <c r="BK294" i="191"/>
  <c r="BD295" i="191"/>
  <c r="BE295" i="191"/>
  <c r="BF295" i="191"/>
  <c r="BG295" i="191"/>
  <c r="BH295" i="191"/>
  <c r="BI295" i="191"/>
  <c r="BJ295" i="191"/>
  <c r="BK295" i="191"/>
  <c r="BD296" i="191"/>
  <c r="BE296" i="191"/>
  <c r="BF296" i="191"/>
  <c r="BG296" i="191"/>
  <c r="BH296" i="191"/>
  <c r="BI296" i="191"/>
  <c r="BJ296" i="191"/>
  <c r="BK296" i="191"/>
  <c r="BD297" i="191"/>
  <c r="BE297" i="191"/>
  <c r="BF297" i="191"/>
  <c r="BG297" i="191"/>
  <c r="BH297" i="191"/>
  <c r="BI297" i="191"/>
  <c r="BJ297" i="191"/>
  <c r="BK297" i="191"/>
  <c r="BD298" i="191"/>
  <c r="BE298" i="191"/>
  <c r="BF298" i="191"/>
  <c r="BG298" i="191"/>
  <c r="BH298" i="191"/>
  <c r="BI298" i="191"/>
  <c r="BJ298" i="191"/>
  <c r="BK298" i="191"/>
  <c r="BD299" i="191"/>
  <c r="BE299" i="191"/>
  <c r="BF299" i="191"/>
  <c r="BG299" i="191"/>
  <c r="BH299" i="191"/>
  <c r="BI299" i="191"/>
  <c r="BJ299" i="191"/>
  <c r="BK299" i="191"/>
  <c r="BD300" i="191"/>
  <c r="BE300" i="191"/>
  <c r="BF300" i="191"/>
  <c r="BG300" i="191"/>
  <c r="BH300" i="191"/>
  <c r="BI300" i="191"/>
  <c r="BJ300" i="191"/>
  <c r="BK300" i="191"/>
  <c r="BD301" i="191"/>
  <c r="BE301" i="191"/>
  <c r="BF301" i="191"/>
  <c r="BG301" i="191"/>
  <c r="BH301" i="191"/>
  <c r="BI301" i="191"/>
  <c r="BJ301" i="191"/>
  <c r="BK301" i="191"/>
  <c r="BD302" i="191"/>
  <c r="BE302" i="191"/>
  <c r="BF302" i="191"/>
  <c r="BG302" i="191"/>
  <c r="BH302" i="191"/>
  <c r="BI302" i="191"/>
  <c r="BJ302" i="191"/>
  <c r="BK302" i="191"/>
  <c r="BD303" i="191"/>
  <c r="BE303" i="191"/>
  <c r="BF303" i="191"/>
  <c r="BG303" i="191"/>
  <c r="BH303" i="191"/>
  <c r="BI303" i="191"/>
  <c r="BJ303" i="191"/>
  <c r="BK303" i="191"/>
  <c r="BD304" i="191"/>
  <c r="BE304" i="191"/>
  <c r="BF304" i="191"/>
  <c r="BG304" i="191"/>
  <c r="BH304" i="191"/>
  <c r="BI304" i="191"/>
  <c r="BJ304" i="191"/>
  <c r="BK304" i="191"/>
  <c r="BD305" i="191"/>
  <c r="BE305" i="191"/>
  <c r="BF305" i="191"/>
  <c r="BG305" i="191"/>
  <c r="BH305" i="191"/>
  <c r="BI305" i="191"/>
  <c r="BJ305" i="191"/>
  <c r="BK305" i="191"/>
  <c r="BD306" i="191"/>
  <c r="BE306" i="191"/>
  <c r="BF306" i="191"/>
  <c r="BG306" i="191"/>
  <c r="BH306" i="191"/>
  <c r="BI306" i="191"/>
  <c r="BJ306" i="191"/>
  <c r="BK306" i="191"/>
  <c r="BD307" i="191"/>
  <c r="BE307" i="191"/>
  <c r="BF307" i="191"/>
  <c r="BG307" i="191"/>
  <c r="BH307" i="191"/>
  <c r="BI307" i="191"/>
  <c r="BJ307" i="191"/>
  <c r="BK307" i="191"/>
  <c r="BD308" i="191"/>
  <c r="BE308" i="191"/>
  <c r="BF308" i="191"/>
  <c r="BG308" i="191"/>
  <c r="BH308" i="191"/>
  <c r="BI308" i="191"/>
  <c r="BJ308" i="191"/>
  <c r="BK308" i="191"/>
  <c r="BD309" i="191"/>
  <c r="BE309" i="191"/>
  <c r="BF309" i="191"/>
  <c r="BG309" i="191"/>
  <c r="BH309" i="191"/>
  <c r="BI309" i="191"/>
  <c r="BJ309" i="191"/>
  <c r="BK309" i="191"/>
  <c r="BD310" i="191"/>
  <c r="BE310" i="191"/>
  <c r="BF310" i="191"/>
  <c r="BG310" i="191"/>
  <c r="BH310" i="191"/>
  <c r="BI310" i="191"/>
  <c r="BJ310" i="191"/>
  <c r="BK310" i="191"/>
  <c r="BD311" i="191"/>
  <c r="BE311" i="191"/>
  <c r="BF311" i="191"/>
  <c r="BG311" i="191"/>
  <c r="BH311" i="191"/>
  <c r="BI311" i="191"/>
  <c r="BJ311" i="191"/>
  <c r="BK311" i="191"/>
  <c r="BD312" i="191"/>
  <c r="BE312" i="191"/>
  <c r="BF312" i="191"/>
  <c r="BG312" i="191"/>
  <c r="BH312" i="191"/>
  <c r="BI312" i="191"/>
  <c r="BJ312" i="191"/>
  <c r="BK312" i="191"/>
  <c r="BD313" i="191"/>
  <c r="BE313" i="191"/>
  <c r="BF313" i="191"/>
  <c r="BG313" i="191"/>
  <c r="BH313" i="191"/>
  <c r="BI313" i="191"/>
  <c r="BJ313" i="191"/>
  <c r="BK313" i="191"/>
  <c r="BD314" i="191"/>
  <c r="BE314" i="191"/>
  <c r="BF314" i="191"/>
  <c r="BG314" i="191"/>
  <c r="BH314" i="191"/>
  <c r="BI314" i="191"/>
  <c r="BJ314" i="191"/>
  <c r="BK314" i="191"/>
  <c r="BD315" i="191"/>
  <c r="BE315" i="191"/>
  <c r="BF315" i="191"/>
  <c r="BG315" i="191"/>
  <c r="BH315" i="191"/>
  <c r="BI315" i="191"/>
  <c r="BJ315" i="191"/>
  <c r="BK315" i="191"/>
  <c r="BD316" i="191"/>
  <c r="BE316" i="191"/>
  <c r="BF316" i="191"/>
  <c r="BG316" i="191"/>
  <c r="BH316" i="191"/>
  <c r="BI316" i="191"/>
  <c r="BJ316" i="191"/>
  <c r="BK316" i="191"/>
  <c r="BD317" i="191"/>
  <c r="BE317" i="191"/>
  <c r="BF317" i="191"/>
  <c r="BG317" i="191"/>
  <c r="BH317" i="191"/>
  <c r="BI317" i="191"/>
  <c r="BJ317" i="191"/>
  <c r="BK317" i="191"/>
  <c r="BD318" i="191"/>
  <c r="BE318" i="191"/>
  <c r="BF318" i="191"/>
  <c r="BG318" i="191"/>
  <c r="BH318" i="191"/>
  <c r="BI318" i="191"/>
  <c r="BJ318" i="191"/>
  <c r="BK318" i="191"/>
  <c r="BD319" i="191"/>
  <c r="BE319" i="191"/>
  <c r="BF319" i="191"/>
  <c r="BG319" i="191"/>
  <c r="BH319" i="191"/>
  <c r="BI319" i="191"/>
  <c r="BJ319" i="191"/>
  <c r="BK319" i="191"/>
  <c r="BD320" i="191"/>
  <c r="BE320" i="191"/>
  <c r="BF320" i="191"/>
  <c r="BG320" i="191"/>
  <c r="BH320" i="191"/>
  <c r="BI320" i="191"/>
  <c r="BJ320" i="191"/>
  <c r="BK320" i="191"/>
  <c r="BD321" i="191"/>
  <c r="BE321" i="191"/>
  <c r="BF321" i="191"/>
  <c r="BG321" i="191"/>
  <c r="BH321" i="191"/>
  <c r="BI321" i="191"/>
  <c r="BJ321" i="191"/>
  <c r="BK321" i="191"/>
  <c r="BD322" i="191"/>
  <c r="BE322" i="191"/>
  <c r="BF322" i="191"/>
  <c r="BG322" i="191"/>
  <c r="BH322" i="191"/>
  <c r="BI322" i="191"/>
  <c r="BJ322" i="191"/>
  <c r="BK322" i="191"/>
  <c r="BD323" i="191"/>
  <c r="BE323" i="191"/>
  <c r="BF323" i="191"/>
  <c r="BG323" i="191"/>
  <c r="BH323" i="191"/>
  <c r="BI323" i="191"/>
  <c r="BJ323" i="191"/>
  <c r="BK323" i="191"/>
  <c r="BD324" i="191"/>
  <c r="BE324" i="191"/>
  <c r="BF324" i="191"/>
  <c r="BG324" i="191"/>
  <c r="BH324" i="191"/>
  <c r="BI324" i="191"/>
  <c r="BJ324" i="191"/>
  <c r="BK324" i="191"/>
  <c r="BD325" i="191"/>
  <c r="BE325" i="191"/>
  <c r="BF325" i="191"/>
  <c r="BG325" i="191"/>
  <c r="BH325" i="191"/>
  <c r="BI325" i="191"/>
  <c r="BJ325" i="191"/>
  <c r="BK325" i="191"/>
  <c r="BD326" i="191"/>
  <c r="BE326" i="191"/>
  <c r="BF326" i="191"/>
  <c r="BG326" i="191"/>
  <c r="BH326" i="191"/>
  <c r="BI326" i="191"/>
  <c r="BJ326" i="191"/>
  <c r="BK326" i="191"/>
  <c r="BD327" i="191"/>
  <c r="BE327" i="191"/>
  <c r="BF327" i="191"/>
  <c r="BG327" i="191"/>
  <c r="BH327" i="191"/>
  <c r="BI327" i="191"/>
  <c r="BJ327" i="191"/>
  <c r="BK327" i="191"/>
  <c r="BD328" i="191"/>
  <c r="BE328" i="191"/>
  <c r="BF328" i="191"/>
  <c r="BG328" i="191"/>
  <c r="BH328" i="191"/>
  <c r="BI328" i="191"/>
  <c r="BJ328" i="191"/>
  <c r="BK328" i="191"/>
  <c r="BD329" i="191"/>
  <c r="BE329" i="191"/>
  <c r="BF329" i="191"/>
  <c r="BG329" i="191"/>
  <c r="BH329" i="191"/>
  <c r="BI329" i="191"/>
  <c r="BJ329" i="191"/>
  <c r="BK329" i="191"/>
  <c r="BD330" i="191"/>
  <c r="BE330" i="191"/>
  <c r="BF330" i="191"/>
  <c r="BG330" i="191"/>
  <c r="BH330" i="191"/>
  <c r="BI330" i="191"/>
  <c r="BJ330" i="191"/>
  <c r="BK330" i="191"/>
  <c r="BD331" i="191"/>
  <c r="BE331" i="191"/>
  <c r="BF331" i="191"/>
  <c r="BG331" i="191"/>
  <c r="BH331" i="191"/>
  <c r="BI331" i="191"/>
  <c r="BJ331" i="191"/>
  <c r="BK331" i="191"/>
  <c r="BD332" i="191"/>
  <c r="BE332" i="191"/>
  <c r="BF332" i="191"/>
  <c r="BG332" i="191"/>
  <c r="BH332" i="191"/>
  <c r="BI332" i="191"/>
  <c r="BJ332" i="191"/>
  <c r="BK332" i="191"/>
  <c r="BD333" i="191"/>
  <c r="BE333" i="191"/>
  <c r="BF333" i="191"/>
  <c r="BG333" i="191"/>
  <c r="BH333" i="191"/>
  <c r="BI333" i="191"/>
  <c r="BJ333" i="191"/>
  <c r="BK333" i="191"/>
  <c r="BD334" i="191"/>
  <c r="BE334" i="191"/>
  <c r="BF334" i="191"/>
  <c r="BG334" i="191"/>
  <c r="BH334" i="191"/>
  <c r="BI334" i="191"/>
  <c r="BJ334" i="191"/>
  <c r="BK334" i="191"/>
  <c r="BD335" i="191"/>
  <c r="BE335" i="191"/>
  <c r="BF335" i="191"/>
  <c r="BG335" i="191"/>
  <c r="BH335" i="191"/>
  <c r="BI335" i="191"/>
  <c r="BJ335" i="191"/>
  <c r="BK335" i="191"/>
  <c r="BD336" i="191"/>
  <c r="BE336" i="191"/>
  <c r="BF336" i="191"/>
  <c r="BG336" i="191"/>
  <c r="BH336" i="191"/>
  <c r="BI336" i="191"/>
  <c r="BJ336" i="191"/>
  <c r="BK336" i="191"/>
  <c r="BD337" i="191"/>
  <c r="BE337" i="191"/>
  <c r="BF337" i="191"/>
  <c r="BG337" i="191"/>
  <c r="BH337" i="191"/>
  <c r="BI337" i="191"/>
  <c r="BJ337" i="191"/>
  <c r="BK337" i="191"/>
  <c r="BD338" i="191"/>
  <c r="BE338" i="191"/>
  <c r="BF338" i="191"/>
  <c r="BG338" i="191"/>
  <c r="BH338" i="191"/>
  <c r="BI338" i="191"/>
  <c r="BJ338" i="191"/>
  <c r="BK338" i="191"/>
  <c r="BD339" i="191"/>
  <c r="BE339" i="191"/>
  <c r="BF339" i="191"/>
  <c r="BG339" i="191"/>
  <c r="BH339" i="191"/>
  <c r="BI339" i="191"/>
  <c r="BJ339" i="191"/>
  <c r="BK339" i="191"/>
  <c r="BD340" i="191"/>
  <c r="BE340" i="191"/>
  <c r="BF340" i="191"/>
  <c r="BG340" i="191"/>
  <c r="BH340" i="191"/>
  <c r="BI340" i="191"/>
  <c r="BJ340" i="191"/>
  <c r="BK340" i="191"/>
  <c r="BD341" i="191"/>
  <c r="BE341" i="191"/>
  <c r="BF341" i="191"/>
  <c r="BG341" i="191"/>
  <c r="BH341" i="191"/>
  <c r="BI341" i="191"/>
  <c r="BJ341" i="191"/>
  <c r="BK341" i="191"/>
  <c r="BD342" i="191"/>
  <c r="BE342" i="191"/>
  <c r="BF342" i="191"/>
  <c r="BG342" i="191"/>
  <c r="BH342" i="191"/>
  <c r="BI342" i="191"/>
  <c r="BJ342" i="191"/>
  <c r="BK342" i="191"/>
  <c r="BD343" i="191"/>
  <c r="BE343" i="191"/>
  <c r="BF343" i="191"/>
  <c r="BG343" i="191"/>
  <c r="BH343" i="191"/>
  <c r="BI343" i="191"/>
  <c r="BJ343" i="191"/>
  <c r="BK343" i="191"/>
  <c r="BD344" i="191"/>
  <c r="BE344" i="191"/>
  <c r="BF344" i="191"/>
  <c r="BG344" i="191"/>
  <c r="BH344" i="191"/>
  <c r="BI344" i="191"/>
  <c r="BJ344" i="191"/>
  <c r="BK344" i="191"/>
  <c r="BD345" i="191"/>
  <c r="BE345" i="191"/>
  <c r="BF345" i="191"/>
  <c r="BG345" i="191"/>
  <c r="BH345" i="191"/>
  <c r="BI345" i="191"/>
  <c r="BJ345" i="191"/>
  <c r="BK345" i="191"/>
  <c r="BD346" i="191"/>
  <c r="BE346" i="191"/>
  <c r="BF346" i="191"/>
  <c r="BG346" i="191"/>
  <c r="BH346" i="191"/>
  <c r="BI346" i="191"/>
  <c r="BJ346" i="191"/>
  <c r="BK346" i="191"/>
  <c r="BD347" i="191"/>
  <c r="BE347" i="191"/>
  <c r="BF347" i="191"/>
  <c r="BG347" i="191"/>
  <c r="BH347" i="191"/>
  <c r="BI347" i="191"/>
  <c r="BJ347" i="191"/>
  <c r="BK347" i="191"/>
  <c r="BD348" i="191"/>
  <c r="BE348" i="191"/>
  <c r="BF348" i="191"/>
  <c r="BG348" i="191"/>
  <c r="BH348" i="191"/>
  <c r="BI348" i="191"/>
  <c r="BJ348" i="191"/>
  <c r="BK348" i="191"/>
  <c r="BD349" i="191"/>
  <c r="BE349" i="191"/>
  <c r="BF349" i="191"/>
  <c r="BG349" i="191"/>
  <c r="BH349" i="191"/>
  <c r="BI349" i="191"/>
  <c r="BJ349" i="191"/>
  <c r="BK349" i="191"/>
  <c r="BD350" i="191"/>
  <c r="BE350" i="191"/>
  <c r="BF350" i="191"/>
  <c r="BG350" i="191"/>
  <c r="BH350" i="191"/>
  <c r="BI350" i="191"/>
  <c r="BJ350" i="191"/>
  <c r="BK350" i="191"/>
  <c r="BD351" i="191"/>
  <c r="BE351" i="191"/>
  <c r="BF351" i="191"/>
  <c r="BG351" i="191"/>
  <c r="BH351" i="191"/>
  <c r="BI351" i="191"/>
  <c r="BJ351" i="191"/>
  <c r="BK351" i="191"/>
  <c r="BD352" i="191"/>
  <c r="BE352" i="191"/>
  <c r="BF352" i="191"/>
  <c r="BG352" i="191"/>
  <c r="BH352" i="191"/>
  <c r="BI352" i="191"/>
  <c r="BJ352" i="191"/>
  <c r="BK352" i="191"/>
  <c r="BD353" i="191"/>
  <c r="BE353" i="191"/>
  <c r="BF353" i="191"/>
  <c r="BG353" i="191"/>
  <c r="BH353" i="191"/>
  <c r="BI353" i="191"/>
  <c r="BJ353" i="191"/>
  <c r="BK353" i="191"/>
  <c r="BD354" i="191"/>
  <c r="BE354" i="191"/>
  <c r="BF354" i="191"/>
  <c r="BG354" i="191"/>
  <c r="BH354" i="191"/>
  <c r="BI354" i="191"/>
  <c r="BJ354" i="191"/>
  <c r="BK354" i="191"/>
  <c r="BD355" i="191"/>
  <c r="BE355" i="191"/>
  <c r="BF355" i="191"/>
  <c r="BG355" i="191"/>
  <c r="BH355" i="191"/>
  <c r="BI355" i="191"/>
  <c r="BJ355" i="191"/>
  <c r="BK355" i="191"/>
  <c r="BD356" i="191"/>
  <c r="BE356" i="191"/>
  <c r="BF356" i="191"/>
  <c r="BG356" i="191"/>
  <c r="BH356" i="191"/>
  <c r="BI356" i="191"/>
  <c r="BJ356" i="191"/>
  <c r="BK356" i="191"/>
  <c r="BD357" i="191"/>
  <c r="BE357" i="191"/>
  <c r="BF357" i="191"/>
  <c r="BG357" i="191"/>
  <c r="BH357" i="191"/>
  <c r="BI357" i="191"/>
  <c r="BJ357" i="191"/>
  <c r="BK357" i="191"/>
  <c r="BD358" i="191"/>
  <c r="BE358" i="191"/>
  <c r="BF358" i="191"/>
  <c r="BG358" i="191"/>
  <c r="BH358" i="191"/>
  <c r="BI358" i="191"/>
  <c r="BJ358" i="191"/>
  <c r="BK358" i="191"/>
  <c r="BD359" i="191"/>
  <c r="BE359" i="191"/>
  <c r="BF359" i="191"/>
  <c r="BG359" i="191"/>
  <c r="BH359" i="191"/>
  <c r="BI359" i="191"/>
  <c r="BJ359" i="191"/>
  <c r="BK359" i="191"/>
  <c r="BD360" i="191"/>
  <c r="BE360" i="191"/>
  <c r="BF360" i="191"/>
  <c r="BG360" i="191"/>
  <c r="BH360" i="191"/>
  <c r="BI360" i="191"/>
  <c r="BJ360" i="191"/>
  <c r="BK360" i="191"/>
  <c r="BD361" i="191"/>
  <c r="BE361" i="191"/>
  <c r="BF361" i="191"/>
  <c r="BG361" i="191"/>
  <c r="BH361" i="191"/>
  <c r="BI361" i="191"/>
  <c r="BJ361" i="191"/>
  <c r="BK361" i="191"/>
  <c r="BD362" i="191"/>
  <c r="BE362" i="191"/>
  <c r="BF362" i="191"/>
  <c r="BG362" i="191"/>
  <c r="BH362" i="191"/>
  <c r="BI362" i="191"/>
  <c r="BJ362" i="191"/>
  <c r="BK362" i="191"/>
  <c r="BD363" i="191"/>
  <c r="BE363" i="191"/>
  <c r="BF363" i="191"/>
  <c r="BG363" i="191"/>
  <c r="BH363" i="191"/>
  <c r="BI363" i="191"/>
  <c r="BJ363" i="191"/>
  <c r="BK363" i="191"/>
  <c r="BD364" i="191"/>
  <c r="BE364" i="191"/>
  <c r="BF364" i="191"/>
  <c r="BG364" i="191"/>
  <c r="BH364" i="191"/>
  <c r="BI364" i="191"/>
  <c r="BJ364" i="191"/>
  <c r="BK364" i="191"/>
  <c r="BD365" i="191"/>
  <c r="BE365" i="191"/>
  <c r="BF365" i="191"/>
  <c r="BG365" i="191"/>
  <c r="BH365" i="191"/>
  <c r="BI365" i="191"/>
  <c r="BJ365" i="191"/>
  <c r="BK365" i="191"/>
  <c r="BD366" i="191"/>
  <c r="BE366" i="191"/>
  <c r="BF366" i="191"/>
  <c r="BG366" i="191"/>
  <c r="BH366" i="191"/>
  <c r="BI366" i="191"/>
  <c r="BJ366" i="191"/>
  <c r="BK366" i="191"/>
  <c r="BD367" i="191"/>
  <c r="BE367" i="191"/>
  <c r="BF367" i="191"/>
  <c r="BG367" i="191"/>
  <c r="BH367" i="191"/>
  <c r="BI367" i="191"/>
  <c r="BJ367" i="191"/>
  <c r="BK367" i="191"/>
  <c r="BD368" i="191"/>
  <c r="BE368" i="191"/>
  <c r="BF368" i="191"/>
  <c r="BG368" i="191"/>
  <c r="BH368" i="191"/>
  <c r="BI368" i="191"/>
  <c r="BJ368" i="191"/>
  <c r="BK368" i="191"/>
  <c r="BD369" i="191"/>
  <c r="BE369" i="191"/>
  <c r="BF369" i="191"/>
  <c r="BG369" i="191"/>
  <c r="BH369" i="191"/>
  <c r="BI369" i="191"/>
  <c r="BJ369" i="191"/>
  <c r="BK369" i="191"/>
  <c r="BD370" i="191"/>
  <c r="BE370" i="191"/>
  <c r="BF370" i="191"/>
  <c r="BG370" i="191"/>
  <c r="BH370" i="191"/>
  <c r="BI370" i="191"/>
  <c r="BJ370" i="191"/>
  <c r="BK370" i="191"/>
  <c r="BD371" i="191"/>
  <c r="BE371" i="191"/>
  <c r="BF371" i="191"/>
  <c r="BG371" i="191"/>
  <c r="BH371" i="191"/>
  <c r="BI371" i="191"/>
  <c r="BJ371" i="191"/>
  <c r="BK371" i="191"/>
  <c r="BD372" i="191"/>
  <c r="BE372" i="191"/>
  <c r="BF372" i="191"/>
  <c r="BG372" i="191"/>
  <c r="BH372" i="191"/>
  <c r="BI372" i="191"/>
  <c r="BJ372" i="191"/>
  <c r="BK372" i="191"/>
  <c r="BD373" i="191"/>
  <c r="BE373" i="191"/>
  <c r="BF373" i="191"/>
  <c r="BG373" i="191"/>
  <c r="BH373" i="191"/>
  <c r="BI373" i="191"/>
  <c r="BJ373" i="191"/>
  <c r="BK373" i="191"/>
  <c r="BD374" i="191"/>
  <c r="BE374" i="191"/>
  <c r="BF374" i="191"/>
  <c r="BG374" i="191"/>
  <c r="BH374" i="191"/>
  <c r="BI374" i="191"/>
  <c r="BJ374" i="191"/>
  <c r="BK374" i="191"/>
  <c r="BD375" i="191"/>
  <c r="BE375" i="191"/>
  <c r="BF375" i="191"/>
  <c r="BG375" i="191"/>
  <c r="BH375" i="191"/>
  <c r="BI375" i="191"/>
  <c r="BJ375" i="191"/>
  <c r="BK375" i="191"/>
  <c r="BD376" i="191"/>
  <c r="BE376" i="191"/>
  <c r="BF376" i="191"/>
  <c r="BG376" i="191"/>
  <c r="BH376" i="191"/>
  <c r="BI376" i="191"/>
  <c r="BJ376" i="191"/>
  <c r="BK376" i="191"/>
  <c r="BD377" i="191"/>
  <c r="BE377" i="191"/>
  <c r="BF377" i="191"/>
  <c r="BG377" i="191"/>
  <c r="BH377" i="191"/>
  <c r="BI377" i="191"/>
  <c r="BJ377" i="191"/>
  <c r="BK377" i="191"/>
  <c r="BD378" i="191"/>
  <c r="BE378" i="191"/>
  <c r="BF378" i="191"/>
  <c r="BG378" i="191"/>
  <c r="BH378" i="191"/>
  <c r="BI378" i="191"/>
  <c r="BJ378" i="191"/>
  <c r="BK378" i="191"/>
  <c r="BD379" i="191"/>
  <c r="BE379" i="191"/>
  <c r="BF379" i="191"/>
  <c r="BG379" i="191"/>
  <c r="BH379" i="191"/>
  <c r="BI379" i="191"/>
  <c r="BJ379" i="191"/>
  <c r="BK379" i="191"/>
  <c r="BD380" i="191"/>
  <c r="BE380" i="191"/>
  <c r="BF380" i="191"/>
  <c r="BG380" i="191"/>
  <c r="BH380" i="191"/>
  <c r="BI380" i="191"/>
  <c r="BJ380" i="191"/>
  <c r="BK380" i="191"/>
  <c r="BD381" i="191"/>
  <c r="BE381" i="191"/>
  <c r="BF381" i="191"/>
  <c r="BG381" i="191"/>
  <c r="BH381" i="191"/>
  <c r="BI381" i="191"/>
  <c r="BJ381" i="191"/>
  <c r="BK381" i="191"/>
  <c r="BD382" i="191"/>
  <c r="BE382" i="191"/>
  <c r="BF382" i="191"/>
  <c r="BG382" i="191"/>
  <c r="BH382" i="191"/>
  <c r="BI382" i="191"/>
  <c r="BJ382" i="191"/>
  <c r="BK382" i="191"/>
  <c r="BD383" i="191"/>
  <c r="BE383" i="191"/>
  <c r="BF383" i="191"/>
  <c r="BG383" i="191"/>
  <c r="BH383" i="191"/>
  <c r="BI383" i="191"/>
  <c r="BJ383" i="191"/>
  <c r="BK383" i="191"/>
  <c r="BD384" i="191"/>
  <c r="BE384" i="191"/>
  <c r="BF384" i="191"/>
  <c r="BG384" i="191"/>
  <c r="BH384" i="191"/>
  <c r="BI384" i="191"/>
  <c r="BJ384" i="191"/>
  <c r="BK384" i="191"/>
  <c r="BD385" i="191"/>
  <c r="BE385" i="191"/>
  <c r="BF385" i="191"/>
  <c r="BG385" i="191"/>
  <c r="BH385" i="191"/>
  <c r="BI385" i="191"/>
  <c r="BJ385" i="191"/>
  <c r="BK385" i="191"/>
  <c r="BD386" i="191"/>
  <c r="BE386" i="191"/>
  <c r="BF386" i="191"/>
  <c r="BG386" i="191"/>
  <c r="BH386" i="191"/>
  <c r="BI386" i="191"/>
  <c r="BJ386" i="191"/>
  <c r="BK386" i="191"/>
  <c r="BD387" i="191"/>
  <c r="BE387" i="191"/>
  <c r="BF387" i="191"/>
  <c r="BG387" i="191"/>
  <c r="BH387" i="191"/>
  <c r="BI387" i="191"/>
  <c r="BJ387" i="191"/>
  <c r="BK387" i="191"/>
  <c r="BD388" i="191"/>
  <c r="BE388" i="191"/>
  <c r="BF388" i="191"/>
  <c r="BG388" i="191"/>
  <c r="BH388" i="191"/>
  <c r="BI388" i="191"/>
  <c r="BJ388" i="191"/>
  <c r="BK388" i="191"/>
  <c r="BD389" i="191"/>
  <c r="BE389" i="191"/>
  <c r="BF389" i="191"/>
  <c r="BG389" i="191"/>
  <c r="BH389" i="191"/>
  <c r="BI389" i="191"/>
  <c r="BJ389" i="191"/>
  <c r="BK389" i="191"/>
  <c r="BD390" i="191"/>
  <c r="BE390" i="191"/>
  <c r="BF390" i="191"/>
  <c r="BG390" i="191"/>
  <c r="BH390" i="191"/>
  <c r="BI390" i="191"/>
  <c r="BJ390" i="191"/>
  <c r="BK390" i="191"/>
  <c r="BD391" i="191"/>
  <c r="BE391" i="191"/>
  <c r="BF391" i="191"/>
  <c r="BG391" i="191"/>
  <c r="BH391" i="191"/>
  <c r="BI391" i="191"/>
  <c r="BJ391" i="191"/>
  <c r="BK391" i="191"/>
  <c r="BD392" i="191"/>
  <c r="BE392" i="191"/>
  <c r="BF392" i="191"/>
  <c r="BG392" i="191"/>
  <c r="BH392" i="191"/>
  <c r="BI392" i="191"/>
  <c r="BJ392" i="191"/>
  <c r="BK392" i="191"/>
  <c r="BD393" i="191"/>
  <c r="BE393" i="191"/>
  <c r="BF393" i="191"/>
  <c r="BG393" i="191"/>
  <c r="BH393" i="191"/>
  <c r="BI393" i="191"/>
  <c r="BJ393" i="191"/>
  <c r="BK393" i="191"/>
  <c r="BD394" i="191"/>
  <c r="BE394" i="191"/>
  <c r="BF394" i="191"/>
  <c r="BG394" i="191"/>
  <c r="BH394" i="191"/>
  <c r="BI394" i="191"/>
  <c r="BJ394" i="191"/>
  <c r="BK394" i="191"/>
  <c r="BD395" i="191"/>
  <c r="BE395" i="191"/>
  <c r="BF395" i="191"/>
  <c r="BG395" i="191"/>
  <c r="BH395" i="191"/>
  <c r="BI395" i="191"/>
  <c r="BJ395" i="191"/>
  <c r="BK395" i="191"/>
  <c r="BD396" i="191"/>
  <c r="BE396" i="191"/>
  <c r="BF396" i="191"/>
  <c r="BG396" i="191"/>
  <c r="BH396" i="191"/>
  <c r="BI396" i="191"/>
  <c r="BJ396" i="191"/>
  <c r="BK396" i="191"/>
  <c r="BD397" i="191"/>
  <c r="BE397" i="191"/>
  <c r="BF397" i="191"/>
  <c r="BG397" i="191"/>
  <c r="BH397" i="191"/>
  <c r="BI397" i="191"/>
  <c r="BJ397" i="191"/>
  <c r="BK397" i="191"/>
  <c r="BD398" i="191"/>
  <c r="BE398" i="191"/>
  <c r="BF398" i="191"/>
  <c r="BG398" i="191"/>
  <c r="BH398" i="191"/>
  <c r="BI398" i="191"/>
  <c r="BJ398" i="191"/>
  <c r="BK398" i="191"/>
  <c r="BD399" i="191"/>
  <c r="BE399" i="191"/>
  <c r="BF399" i="191"/>
  <c r="BG399" i="191"/>
  <c r="BH399" i="191"/>
  <c r="BI399" i="191"/>
  <c r="BJ399" i="191"/>
  <c r="BK399" i="191"/>
  <c r="BD400" i="191"/>
  <c r="BE400" i="191"/>
  <c r="BF400" i="191"/>
  <c r="BG400" i="191"/>
  <c r="BH400" i="191"/>
  <c r="BI400" i="191"/>
  <c r="BJ400" i="191"/>
  <c r="BK400" i="191"/>
  <c r="BD401" i="191"/>
  <c r="BE401" i="191"/>
  <c r="BF401" i="191"/>
  <c r="BG401" i="191"/>
  <c r="BH401" i="191"/>
  <c r="BI401" i="191"/>
  <c r="BJ401" i="191"/>
  <c r="BK401" i="191"/>
  <c r="BD402" i="191"/>
  <c r="BE402" i="191"/>
  <c r="BF402" i="191"/>
  <c r="BG402" i="191"/>
  <c r="BH402" i="191"/>
  <c r="BI402" i="191"/>
  <c r="BJ402" i="191"/>
  <c r="BK402" i="191"/>
  <c r="BD403" i="191"/>
  <c r="BE403" i="191"/>
  <c r="BF403" i="191"/>
  <c r="BG403" i="191"/>
  <c r="BH403" i="191"/>
  <c r="BI403" i="191"/>
  <c r="BJ403" i="191"/>
  <c r="BK403" i="191"/>
  <c r="BD404" i="191"/>
  <c r="BE404" i="191"/>
  <c r="BF404" i="191"/>
  <c r="BG404" i="191"/>
  <c r="BH404" i="191"/>
  <c r="BI404" i="191"/>
  <c r="BJ404" i="191"/>
  <c r="BK404" i="191"/>
  <c r="BD405" i="191"/>
  <c r="BE405" i="191"/>
  <c r="BF405" i="191"/>
  <c r="BG405" i="191"/>
  <c r="BH405" i="191"/>
  <c r="BI405" i="191"/>
  <c r="BJ405" i="191"/>
  <c r="BK405" i="191"/>
  <c r="BD406" i="191"/>
  <c r="BE406" i="191"/>
  <c r="BF406" i="191"/>
  <c r="BG406" i="191"/>
  <c r="BH406" i="191"/>
  <c r="BI406" i="191"/>
  <c r="BJ406" i="191"/>
  <c r="BK406" i="191"/>
  <c r="BD407" i="191"/>
  <c r="BE407" i="191"/>
  <c r="BF407" i="191"/>
  <c r="BG407" i="191"/>
  <c r="BH407" i="191"/>
  <c r="BI407" i="191"/>
  <c r="BJ407" i="191"/>
  <c r="BK407" i="191"/>
  <c r="BD408" i="191"/>
  <c r="BE408" i="191"/>
  <c r="BF408" i="191"/>
  <c r="BG408" i="191"/>
  <c r="BH408" i="191"/>
  <c r="BI408" i="191"/>
  <c r="BJ408" i="191"/>
  <c r="BK408" i="191"/>
  <c r="BD409" i="191"/>
  <c r="BE409" i="191"/>
  <c r="BF409" i="191"/>
  <c r="BG409" i="191"/>
  <c r="BH409" i="191"/>
  <c r="BI409" i="191"/>
  <c r="BJ409" i="191"/>
  <c r="BK409" i="191"/>
  <c r="BD410" i="191"/>
  <c r="BE410" i="191"/>
  <c r="BF410" i="191"/>
  <c r="BG410" i="191"/>
  <c r="BH410" i="191"/>
  <c r="BI410" i="191"/>
  <c r="BJ410" i="191"/>
  <c r="BK410" i="191"/>
  <c r="BD411" i="191"/>
  <c r="BE411" i="191"/>
  <c r="BF411" i="191"/>
  <c r="BG411" i="191"/>
  <c r="BH411" i="191"/>
  <c r="BI411" i="191"/>
  <c r="BJ411" i="191"/>
  <c r="BK411" i="191"/>
  <c r="BD412" i="191"/>
  <c r="BE412" i="191"/>
  <c r="BF412" i="191"/>
  <c r="BG412" i="191"/>
  <c r="BH412" i="191"/>
  <c r="BI412" i="191"/>
  <c r="BJ412" i="191"/>
  <c r="BK412" i="191"/>
  <c r="BD413" i="191"/>
  <c r="BE413" i="191"/>
  <c r="BF413" i="191"/>
  <c r="BG413" i="191"/>
  <c r="BH413" i="191"/>
  <c r="BI413" i="191"/>
  <c r="BJ413" i="191"/>
  <c r="BK413" i="191"/>
  <c r="BD414" i="191"/>
  <c r="BE414" i="191"/>
  <c r="BF414" i="191"/>
  <c r="BG414" i="191"/>
  <c r="BH414" i="191"/>
  <c r="BI414" i="191"/>
  <c r="BJ414" i="191"/>
  <c r="BK414" i="191"/>
  <c r="BD415" i="191"/>
  <c r="BE415" i="191"/>
  <c r="BF415" i="191"/>
  <c r="BG415" i="191"/>
  <c r="BH415" i="191"/>
  <c r="BI415" i="191"/>
  <c r="BJ415" i="191"/>
  <c r="BK415" i="191"/>
  <c r="BD416" i="191"/>
  <c r="BE416" i="191"/>
  <c r="BF416" i="191"/>
  <c r="BG416" i="191"/>
  <c r="BH416" i="191"/>
  <c r="BI416" i="191"/>
  <c r="BJ416" i="191"/>
  <c r="BK416" i="191"/>
  <c r="BD417" i="191"/>
  <c r="BE417" i="191"/>
  <c r="BF417" i="191"/>
  <c r="BG417" i="191"/>
  <c r="BH417" i="191"/>
  <c r="BI417" i="191"/>
  <c r="BJ417" i="191"/>
  <c r="BK417" i="191"/>
  <c r="BD418" i="191"/>
  <c r="BE418" i="191"/>
  <c r="BF418" i="191"/>
  <c r="BG418" i="191"/>
  <c r="BH418" i="191"/>
  <c r="BI418" i="191"/>
  <c r="BJ418" i="191"/>
  <c r="BK418" i="191"/>
  <c r="BD419" i="191"/>
  <c r="BE419" i="191"/>
  <c r="BF419" i="191"/>
  <c r="BG419" i="191"/>
  <c r="BH419" i="191"/>
  <c r="BI419" i="191"/>
  <c r="BJ419" i="191"/>
  <c r="BK419" i="191"/>
  <c r="BD420" i="191"/>
  <c r="BE420" i="191"/>
  <c r="BF420" i="191"/>
  <c r="BG420" i="191"/>
  <c r="BH420" i="191"/>
  <c r="BI420" i="191"/>
  <c r="BJ420" i="191"/>
  <c r="BK420" i="191"/>
  <c r="BD421" i="191"/>
  <c r="BE421" i="191"/>
  <c r="BF421" i="191"/>
  <c r="BG421" i="191"/>
  <c r="BH421" i="191"/>
  <c r="BI421" i="191"/>
  <c r="BJ421" i="191"/>
  <c r="BK421" i="191"/>
  <c r="BD422" i="191"/>
  <c r="BE422" i="191"/>
  <c r="BF422" i="191"/>
  <c r="BG422" i="191"/>
  <c r="BH422" i="191"/>
  <c r="BI422" i="191"/>
  <c r="BJ422" i="191"/>
  <c r="BK422" i="191"/>
  <c r="BD423" i="191"/>
  <c r="BE423" i="191"/>
  <c r="BF423" i="191"/>
  <c r="BG423" i="191"/>
  <c r="BH423" i="191"/>
  <c r="BI423" i="191"/>
  <c r="BJ423" i="191"/>
  <c r="BK423" i="191"/>
  <c r="BD424" i="191"/>
  <c r="BE424" i="191"/>
  <c r="BF424" i="191"/>
  <c r="BG424" i="191"/>
  <c r="BH424" i="191"/>
  <c r="BI424" i="191"/>
  <c r="BJ424" i="191"/>
  <c r="BK424" i="191"/>
  <c r="BD425" i="191"/>
  <c r="BE425" i="191"/>
  <c r="BF425" i="191"/>
  <c r="BG425" i="191"/>
  <c r="BH425" i="191"/>
  <c r="BI425" i="191"/>
  <c r="BJ425" i="191"/>
  <c r="BK425" i="191"/>
  <c r="BD426" i="191"/>
  <c r="BE426" i="191"/>
  <c r="BF426" i="191"/>
  <c r="BG426" i="191"/>
  <c r="BH426" i="191"/>
  <c r="BI426" i="191"/>
  <c r="BJ426" i="191"/>
  <c r="BK426" i="191"/>
  <c r="BD427" i="191"/>
  <c r="BE427" i="191"/>
  <c r="BF427" i="191"/>
  <c r="BG427" i="191"/>
  <c r="BH427" i="191"/>
  <c r="BI427" i="191"/>
  <c r="BJ427" i="191"/>
  <c r="BK427" i="191"/>
  <c r="BD428" i="191"/>
  <c r="BE428" i="191"/>
  <c r="BF428" i="191"/>
  <c r="BG428" i="191"/>
  <c r="BH428" i="191"/>
  <c r="BI428" i="191"/>
  <c r="BJ428" i="191"/>
  <c r="BK428" i="191"/>
  <c r="BD429" i="191"/>
  <c r="BE429" i="191"/>
  <c r="BF429" i="191"/>
  <c r="BG429" i="191"/>
  <c r="BH429" i="191"/>
  <c r="BI429" i="191"/>
  <c r="BJ429" i="191"/>
  <c r="BK429" i="191"/>
  <c r="BD430" i="191"/>
  <c r="BE430" i="191"/>
  <c r="BF430" i="191"/>
  <c r="BG430" i="191"/>
  <c r="BH430" i="191"/>
  <c r="BI430" i="191"/>
  <c r="BJ430" i="191"/>
  <c r="BK430" i="191"/>
  <c r="BD431" i="191"/>
  <c r="BE431" i="191"/>
  <c r="BF431" i="191"/>
  <c r="BG431" i="191"/>
  <c r="BH431" i="191"/>
  <c r="BI431" i="191"/>
  <c r="BJ431" i="191"/>
  <c r="BK431" i="191"/>
  <c r="BD432" i="191"/>
  <c r="BE432" i="191"/>
  <c r="BF432" i="191"/>
  <c r="BG432" i="191"/>
  <c r="BH432" i="191"/>
  <c r="BI432" i="191"/>
  <c r="BJ432" i="191"/>
  <c r="BK432" i="191"/>
  <c r="BD433" i="191"/>
  <c r="BE433" i="191"/>
  <c r="BF433" i="191"/>
  <c r="BG433" i="191"/>
  <c r="BH433" i="191"/>
  <c r="BI433" i="191"/>
  <c r="BJ433" i="191"/>
  <c r="BK433" i="191"/>
  <c r="BD434" i="191"/>
  <c r="BE434" i="191"/>
  <c r="BF434" i="191"/>
  <c r="BG434" i="191"/>
  <c r="BH434" i="191"/>
  <c r="BI434" i="191"/>
  <c r="BJ434" i="191"/>
  <c r="BK434" i="191"/>
  <c r="BD435" i="191"/>
  <c r="BE435" i="191"/>
  <c r="BF435" i="191"/>
  <c r="BG435" i="191"/>
  <c r="BH435" i="191"/>
  <c r="BI435" i="191"/>
  <c r="BJ435" i="191"/>
  <c r="BK435" i="191"/>
  <c r="BD436" i="191"/>
  <c r="BE436" i="191"/>
  <c r="BF436" i="191"/>
  <c r="BG436" i="191"/>
  <c r="BH436" i="191"/>
  <c r="BI436" i="191"/>
  <c r="BJ436" i="191"/>
  <c r="BK436" i="191"/>
  <c r="BD437" i="191"/>
  <c r="BE437" i="191"/>
  <c r="BF437" i="191"/>
  <c r="BG437" i="191"/>
  <c r="BH437" i="191"/>
  <c r="BI437" i="191"/>
  <c r="BJ437" i="191"/>
  <c r="BK437" i="191"/>
  <c r="BD438" i="191"/>
  <c r="BE438" i="191"/>
  <c r="BF438" i="191"/>
  <c r="BG438" i="191"/>
  <c r="BH438" i="191"/>
  <c r="BI438" i="191"/>
  <c r="BJ438" i="191"/>
  <c r="BK438" i="191"/>
  <c r="BD439" i="191"/>
  <c r="BE439" i="191"/>
  <c r="BF439" i="191"/>
  <c r="BG439" i="191"/>
  <c r="BH439" i="191"/>
  <c r="BI439" i="191"/>
  <c r="BJ439" i="191"/>
  <c r="BK439" i="191"/>
  <c r="BD440" i="191"/>
  <c r="BE440" i="191"/>
  <c r="BF440" i="191"/>
  <c r="BG440" i="191"/>
  <c r="BH440" i="191"/>
  <c r="BI440" i="191"/>
  <c r="BJ440" i="191"/>
  <c r="BK440" i="191"/>
  <c r="BD441" i="191"/>
  <c r="BE441" i="191"/>
  <c r="BF441" i="191"/>
  <c r="BG441" i="191"/>
  <c r="BH441" i="191"/>
  <c r="BI441" i="191"/>
  <c r="BJ441" i="191"/>
  <c r="BK441" i="191"/>
  <c r="BD442" i="191"/>
  <c r="BE442" i="191"/>
  <c r="BF442" i="191"/>
  <c r="BG442" i="191"/>
  <c r="BH442" i="191"/>
  <c r="BI442" i="191"/>
  <c r="BJ442" i="191"/>
  <c r="BK442" i="191"/>
  <c r="BD443" i="191"/>
  <c r="BE443" i="191"/>
  <c r="BF443" i="191"/>
  <c r="BG443" i="191"/>
  <c r="BH443" i="191"/>
  <c r="BI443" i="191"/>
  <c r="BJ443" i="191"/>
  <c r="BK443" i="191"/>
  <c r="BD444" i="191"/>
  <c r="BE444" i="191"/>
  <c r="BF444" i="191"/>
  <c r="BG444" i="191"/>
  <c r="BH444" i="191"/>
  <c r="BI444" i="191"/>
  <c r="BJ444" i="191"/>
  <c r="BK444" i="191"/>
  <c r="BD445" i="191"/>
  <c r="BE445" i="191"/>
  <c r="BF445" i="191"/>
  <c r="BG445" i="191"/>
  <c r="BH445" i="191"/>
  <c r="BI445" i="191"/>
  <c r="BJ445" i="191"/>
  <c r="BK445" i="191"/>
  <c r="BD446" i="191"/>
  <c r="BE446" i="191"/>
  <c r="BF446" i="191"/>
  <c r="BG446" i="191"/>
  <c r="BH446" i="191"/>
  <c r="BI446" i="191"/>
  <c r="BJ446" i="191"/>
  <c r="BK446" i="191"/>
  <c r="BD447" i="191"/>
  <c r="BE447" i="191"/>
  <c r="BF447" i="191"/>
  <c r="BG447" i="191"/>
  <c r="BH447" i="191"/>
  <c r="BI447" i="191"/>
  <c r="BJ447" i="191"/>
  <c r="BK447" i="191"/>
  <c r="BD448" i="191"/>
  <c r="BE448" i="191"/>
  <c r="BF448" i="191"/>
  <c r="BG448" i="191"/>
  <c r="BH448" i="191"/>
  <c r="BI448" i="191"/>
  <c r="BJ448" i="191"/>
  <c r="BK448" i="191"/>
  <c r="BD449" i="191"/>
  <c r="BE449" i="191"/>
  <c r="BF449" i="191"/>
  <c r="BG449" i="191"/>
  <c r="BH449" i="191"/>
  <c r="BI449" i="191"/>
  <c r="BJ449" i="191"/>
  <c r="BK449" i="191"/>
  <c r="BD450" i="191"/>
  <c r="BE450" i="191"/>
  <c r="BF450" i="191"/>
  <c r="BG450" i="191"/>
  <c r="BH450" i="191"/>
  <c r="BI450" i="191"/>
  <c r="BJ450" i="191"/>
  <c r="BK450" i="191"/>
  <c r="BD451" i="191"/>
  <c r="BE451" i="191"/>
  <c r="BF451" i="191"/>
  <c r="BG451" i="191"/>
  <c r="BH451" i="191"/>
  <c r="BI451" i="191"/>
  <c r="BJ451" i="191"/>
  <c r="BK451" i="191"/>
  <c r="BD452" i="191"/>
  <c r="BE452" i="191"/>
  <c r="BF452" i="191"/>
  <c r="BG452" i="191"/>
  <c r="BH452" i="191"/>
  <c r="BI452" i="191"/>
  <c r="BJ452" i="191"/>
  <c r="BK452" i="191"/>
  <c r="BD453" i="191"/>
  <c r="BE453" i="191"/>
  <c r="BF453" i="191"/>
  <c r="BG453" i="191"/>
  <c r="BH453" i="191"/>
  <c r="BI453" i="191"/>
  <c r="BJ453" i="191"/>
  <c r="BK453" i="191"/>
  <c r="BD454" i="191"/>
  <c r="BE454" i="191"/>
  <c r="BF454" i="191"/>
  <c r="BG454" i="191"/>
  <c r="BH454" i="191"/>
  <c r="BI454" i="191"/>
  <c r="BJ454" i="191"/>
  <c r="BK454" i="191"/>
  <c r="BD455" i="191"/>
  <c r="BE455" i="191"/>
  <c r="BF455" i="191"/>
  <c r="BG455" i="191"/>
  <c r="BH455" i="191"/>
  <c r="BI455" i="191"/>
  <c r="BJ455" i="191"/>
  <c r="BK455" i="191"/>
  <c r="BD456" i="191"/>
  <c r="BE456" i="191"/>
  <c r="BF456" i="191"/>
  <c r="BG456" i="191"/>
  <c r="BH456" i="191"/>
  <c r="BI456" i="191"/>
  <c r="BJ456" i="191"/>
  <c r="BK456" i="191"/>
  <c r="BD457" i="191"/>
  <c r="BE457" i="191"/>
  <c r="BF457" i="191"/>
  <c r="BG457" i="191"/>
  <c r="BH457" i="191"/>
  <c r="BI457" i="191"/>
  <c r="BJ457" i="191"/>
  <c r="BK457" i="191"/>
  <c r="BD458" i="191"/>
  <c r="BE458" i="191"/>
  <c r="BF458" i="191"/>
  <c r="BG458" i="191"/>
  <c r="BH458" i="191"/>
  <c r="BI458" i="191"/>
  <c r="BJ458" i="191"/>
  <c r="BK458" i="191"/>
  <c r="BD459" i="191"/>
  <c r="BE459" i="191"/>
  <c r="BF459" i="191"/>
  <c r="BG459" i="191"/>
  <c r="BH459" i="191"/>
  <c r="BI459" i="191"/>
  <c r="BJ459" i="191"/>
  <c r="BK459" i="191"/>
  <c r="BD460" i="191"/>
  <c r="BE460" i="191"/>
  <c r="BF460" i="191"/>
  <c r="BG460" i="191"/>
  <c r="BH460" i="191"/>
  <c r="BI460" i="191"/>
  <c r="BJ460" i="191"/>
  <c r="BK460" i="191"/>
  <c r="BD461" i="191"/>
  <c r="BE461" i="191"/>
  <c r="BF461" i="191"/>
  <c r="BG461" i="191"/>
  <c r="BH461" i="191"/>
  <c r="BI461" i="191"/>
  <c r="BJ461" i="191"/>
  <c r="BK461" i="191"/>
  <c r="BD462" i="191"/>
  <c r="BE462" i="191"/>
  <c r="BF462" i="191"/>
  <c r="BG462" i="191"/>
  <c r="BH462" i="191"/>
  <c r="BI462" i="191"/>
  <c r="BJ462" i="191"/>
  <c r="BK462" i="191"/>
  <c r="BD463" i="191"/>
  <c r="BE463" i="191"/>
  <c r="BF463" i="191"/>
  <c r="BG463" i="191"/>
  <c r="BH463" i="191"/>
  <c r="BI463" i="191"/>
  <c r="BJ463" i="191"/>
  <c r="BK463" i="191"/>
  <c r="BD464" i="191"/>
  <c r="BE464" i="191"/>
  <c r="BF464" i="191"/>
  <c r="BG464" i="191"/>
  <c r="BH464" i="191"/>
  <c r="BI464" i="191"/>
  <c r="BJ464" i="191"/>
  <c r="BK464" i="191"/>
  <c r="BD465" i="191"/>
  <c r="BE465" i="191"/>
  <c r="BF465" i="191"/>
  <c r="BG465" i="191"/>
  <c r="BH465" i="191"/>
  <c r="BI465" i="191"/>
  <c r="BJ465" i="191"/>
  <c r="BK465" i="191"/>
  <c r="BD466" i="191"/>
  <c r="BE466" i="191"/>
  <c r="BF466" i="191"/>
  <c r="BG466" i="191"/>
  <c r="BH466" i="191"/>
  <c r="BI466" i="191"/>
  <c r="BJ466" i="191"/>
  <c r="BK466" i="191"/>
  <c r="BD467" i="191"/>
  <c r="BE467" i="191"/>
  <c r="BF467" i="191"/>
  <c r="BG467" i="191"/>
  <c r="BH467" i="191"/>
  <c r="BI467" i="191"/>
  <c r="BJ467" i="191"/>
  <c r="BK467" i="191"/>
  <c r="BD468" i="191"/>
  <c r="BE468" i="191"/>
  <c r="BF468" i="191"/>
  <c r="BG468" i="191"/>
  <c r="BH468" i="191"/>
  <c r="BI468" i="191"/>
  <c r="BJ468" i="191"/>
  <c r="BK468" i="191"/>
  <c r="BD469" i="191"/>
  <c r="BE469" i="191"/>
  <c r="BF469" i="191"/>
  <c r="BG469" i="191"/>
  <c r="BH469" i="191"/>
  <c r="BI469" i="191"/>
  <c r="BJ469" i="191"/>
  <c r="BK469" i="191"/>
  <c r="BD470" i="191"/>
  <c r="BE470" i="191"/>
  <c r="BF470" i="191"/>
  <c r="BG470" i="191"/>
  <c r="BH470" i="191"/>
  <c r="BI470" i="191"/>
  <c r="BJ470" i="191"/>
  <c r="BK470" i="191"/>
  <c r="BD471" i="191"/>
  <c r="BE471" i="191"/>
  <c r="BF471" i="191"/>
  <c r="BG471" i="191"/>
  <c r="BH471" i="191"/>
  <c r="BI471" i="191"/>
  <c r="BJ471" i="191"/>
  <c r="BK471" i="191"/>
  <c r="BD472" i="191"/>
  <c r="BE472" i="191"/>
  <c r="BF472" i="191"/>
  <c r="BG472" i="191"/>
  <c r="BH472" i="191"/>
  <c r="BI472" i="191"/>
  <c r="BJ472" i="191"/>
  <c r="BK472" i="191"/>
  <c r="BD473" i="191"/>
  <c r="BE473" i="191"/>
  <c r="BF473" i="191"/>
  <c r="BG473" i="191"/>
  <c r="BH473" i="191"/>
  <c r="BI473" i="191"/>
  <c r="BJ473" i="191"/>
  <c r="BK473" i="191"/>
  <c r="BD474" i="191"/>
  <c r="BE474" i="191"/>
  <c r="BF474" i="191"/>
  <c r="BG474" i="191"/>
  <c r="BH474" i="191"/>
  <c r="BI474" i="191"/>
  <c r="BJ474" i="191"/>
  <c r="BK474" i="191"/>
  <c r="BD475" i="191"/>
  <c r="BE475" i="191"/>
  <c r="BF475" i="191"/>
  <c r="BG475" i="191"/>
  <c r="BH475" i="191"/>
  <c r="BI475" i="191"/>
  <c r="BJ475" i="191"/>
  <c r="BK475" i="191"/>
  <c r="BD476" i="191"/>
  <c r="BE476" i="191"/>
  <c r="BF476" i="191"/>
  <c r="BG476" i="191"/>
  <c r="BH476" i="191"/>
  <c r="BI476" i="191"/>
  <c r="BJ476" i="191"/>
  <c r="BK476" i="191"/>
  <c r="BD477" i="191"/>
  <c r="BE477" i="191"/>
  <c r="BF477" i="191"/>
  <c r="BG477" i="191"/>
  <c r="BH477" i="191"/>
  <c r="BI477" i="191"/>
  <c r="BJ477" i="191"/>
  <c r="BK477" i="191"/>
  <c r="BD478" i="191"/>
  <c r="BE478" i="191"/>
  <c r="BF478" i="191"/>
  <c r="BG478" i="191"/>
  <c r="BH478" i="191"/>
  <c r="BI478" i="191"/>
  <c r="BJ478" i="191"/>
  <c r="BK478" i="191"/>
  <c r="BD479" i="191"/>
  <c r="BE479" i="191"/>
  <c r="BF479" i="191"/>
  <c r="BG479" i="191"/>
  <c r="BH479" i="191"/>
  <c r="BI479" i="191"/>
  <c r="BJ479" i="191"/>
  <c r="BK479" i="191"/>
  <c r="BD480" i="191"/>
  <c r="BE480" i="191"/>
  <c r="BF480" i="191"/>
  <c r="BG480" i="191"/>
  <c r="BH480" i="191"/>
  <c r="BI480" i="191"/>
  <c r="BJ480" i="191"/>
  <c r="BK480" i="191"/>
  <c r="BD481" i="191"/>
  <c r="BE481" i="191"/>
  <c r="BF481" i="191"/>
  <c r="BG481" i="191"/>
  <c r="BH481" i="191"/>
  <c r="BI481" i="191"/>
  <c r="BJ481" i="191"/>
  <c r="BK481" i="191"/>
  <c r="BD482" i="191"/>
  <c r="BE482" i="191"/>
  <c r="BF482" i="191"/>
  <c r="BG482" i="191"/>
  <c r="BH482" i="191"/>
  <c r="BI482" i="191"/>
  <c r="BJ482" i="191"/>
  <c r="BK482" i="191"/>
  <c r="BD483" i="191"/>
  <c r="BE483" i="191"/>
  <c r="BF483" i="191"/>
  <c r="BG483" i="191"/>
  <c r="BH483" i="191"/>
  <c r="BI483" i="191"/>
  <c r="BJ483" i="191"/>
  <c r="BK483" i="191"/>
  <c r="BD484" i="191"/>
  <c r="BE484" i="191"/>
  <c r="BF484" i="191"/>
  <c r="BG484" i="191"/>
  <c r="BH484" i="191"/>
  <c r="BI484" i="191"/>
  <c r="BJ484" i="191"/>
  <c r="BK484" i="191"/>
  <c r="BD485" i="191"/>
  <c r="BE485" i="191"/>
  <c r="BF485" i="191"/>
  <c r="BG485" i="191"/>
  <c r="BH485" i="191"/>
  <c r="BI485" i="191"/>
  <c r="BJ485" i="191"/>
  <c r="BK485" i="191"/>
  <c r="BD486" i="191"/>
  <c r="BE486" i="191"/>
  <c r="BF486" i="191"/>
  <c r="BG486" i="191"/>
  <c r="BH486" i="191"/>
  <c r="BI486" i="191"/>
  <c r="BJ486" i="191"/>
  <c r="BK486" i="191"/>
  <c r="BD487" i="191"/>
  <c r="BE487" i="191"/>
  <c r="BF487" i="191"/>
  <c r="BG487" i="191"/>
  <c r="BH487" i="191"/>
  <c r="BI487" i="191"/>
  <c r="BJ487" i="191"/>
  <c r="BK487" i="191"/>
  <c r="BD488" i="191"/>
  <c r="BE488" i="191"/>
  <c r="BF488" i="191"/>
  <c r="BG488" i="191"/>
  <c r="BH488" i="191"/>
  <c r="BI488" i="191"/>
  <c r="BJ488" i="191"/>
  <c r="BK488" i="191"/>
  <c r="BD489" i="191"/>
  <c r="BE489" i="191"/>
  <c r="BF489" i="191"/>
  <c r="BG489" i="191"/>
  <c r="BH489" i="191"/>
  <c r="BI489" i="191"/>
  <c r="BJ489" i="191"/>
  <c r="BK489" i="191"/>
  <c r="BD490" i="191"/>
  <c r="BE490" i="191"/>
  <c r="BF490" i="191"/>
  <c r="BG490" i="191"/>
  <c r="BH490" i="191"/>
  <c r="BI490" i="191"/>
  <c r="BJ490" i="191"/>
  <c r="BK490" i="191"/>
  <c r="BD491" i="191"/>
  <c r="BE491" i="191"/>
  <c r="BF491" i="191"/>
  <c r="BG491" i="191"/>
  <c r="BH491" i="191"/>
  <c r="BI491" i="191"/>
  <c r="BJ491" i="191"/>
  <c r="BK491" i="191"/>
  <c r="BD492" i="191"/>
  <c r="BE492" i="191"/>
  <c r="BF492" i="191"/>
  <c r="BG492" i="191"/>
  <c r="BH492" i="191"/>
  <c r="BI492" i="191"/>
  <c r="BJ492" i="191"/>
  <c r="BK492" i="191"/>
  <c r="BD493" i="191"/>
  <c r="BE493" i="191"/>
  <c r="BF493" i="191"/>
  <c r="BG493" i="191"/>
  <c r="BH493" i="191"/>
  <c r="BI493" i="191"/>
  <c r="BJ493" i="191"/>
  <c r="BK493" i="191"/>
  <c r="BD494" i="191"/>
  <c r="BE494" i="191"/>
  <c r="BF494" i="191"/>
  <c r="BG494" i="191"/>
  <c r="BH494" i="191"/>
  <c r="BI494" i="191"/>
  <c r="BJ494" i="191"/>
  <c r="BK494" i="191"/>
  <c r="BD495" i="191"/>
  <c r="BE495" i="191"/>
  <c r="BF495" i="191"/>
  <c r="BG495" i="191"/>
  <c r="BH495" i="191"/>
  <c r="BI495" i="191"/>
  <c r="BJ495" i="191"/>
  <c r="BK495" i="191"/>
  <c r="BD496" i="191"/>
  <c r="BE496" i="191"/>
  <c r="BF496" i="191"/>
  <c r="BG496" i="191"/>
  <c r="BH496" i="191"/>
  <c r="BI496" i="191"/>
  <c r="BJ496" i="191"/>
  <c r="BK496" i="191"/>
  <c r="BD497" i="191"/>
  <c r="BE497" i="191"/>
  <c r="BF497" i="191"/>
  <c r="BG497" i="191"/>
  <c r="BH497" i="191"/>
  <c r="BI497" i="191"/>
  <c r="BJ497" i="191"/>
  <c r="BK497" i="191"/>
  <c r="BD498" i="191"/>
  <c r="BE498" i="191"/>
  <c r="BF498" i="191"/>
  <c r="BG498" i="191"/>
  <c r="BH498" i="191"/>
  <c r="BI498" i="191"/>
  <c r="BJ498" i="191"/>
  <c r="BK498" i="191"/>
  <c r="BD499" i="191"/>
  <c r="BE499" i="191"/>
  <c r="BF499" i="191"/>
  <c r="BG499" i="191"/>
  <c r="BH499" i="191"/>
  <c r="BI499" i="191"/>
  <c r="BJ499" i="191"/>
  <c r="BK499" i="191"/>
  <c r="BD500" i="191"/>
  <c r="BE500" i="191"/>
  <c r="BF500" i="191"/>
  <c r="BG500" i="191"/>
  <c r="BH500" i="191"/>
  <c r="BI500" i="191"/>
  <c r="BJ500" i="191"/>
  <c r="BK500" i="191"/>
  <c r="BD501" i="191"/>
  <c r="BE501" i="191"/>
  <c r="BF501" i="191"/>
  <c r="BG501" i="191"/>
  <c r="BH501" i="191"/>
  <c r="BI501" i="191"/>
  <c r="BJ501" i="191"/>
  <c r="BK501" i="191"/>
  <c r="BD502" i="191"/>
  <c r="BE502" i="191"/>
  <c r="BF502" i="191"/>
  <c r="BG502" i="191"/>
  <c r="BH502" i="191"/>
  <c r="BI502" i="191"/>
  <c r="BJ502" i="191"/>
  <c r="BK502" i="191"/>
  <c r="BD503" i="191"/>
  <c r="BE503" i="191"/>
  <c r="BF503" i="191"/>
  <c r="BG503" i="191"/>
  <c r="BH503" i="191"/>
  <c r="BI503" i="191"/>
  <c r="BJ503" i="191"/>
  <c r="BK503" i="191"/>
  <c r="BD504" i="191"/>
  <c r="BE504" i="191"/>
  <c r="BF504" i="191"/>
  <c r="BG504" i="191"/>
  <c r="BH504" i="191"/>
  <c r="BI504" i="191"/>
  <c r="BJ504" i="191"/>
  <c r="BK504" i="191"/>
  <c r="BD505" i="191"/>
  <c r="BE505" i="191"/>
  <c r="BF505" i="191"/>
  <c r="BG505" i="191"/>
  <c r="BH505" i="191"/>
  <c r="BI505" i="191"/>
  <c r="BJ505" i="191"/>
  <c r="BK505" i="191"/>
  <c r="BD506" i="191"/>
  <c r="BE506" i="191"/>
  <c r="BF506" i="191"/>
  <c r="BG506" i="191"/>
  <c r="BH506" i="191"/>
  <c r="BI506" i="191"/>
  <c r="BJ506" i="191"/>
  <c r="BK506" i="191"/>
  <c r="BD507" i="191"/>
  <c r="BE507" i="191"/>
  <c r="BF507" i="191"/>
  <c r="BG507" i="191"/>
  <c r="BH507" i="191"/>
  <c r="BI507" i="191"/>
  <c r="BJ507" i="191"/>
  <c r="BK507" i="191"/>
  <c r="BD508" i="191"/>
  <c r="BE508" i="191"/>
  <c r="BF508" i="191"/>
  <c r="BG508" i="191"/>
  <c r="BH508" i="191"/>
  <c r="BI508" i="191"/>
  <c r="BJ508" i="191"/>
  <c r="BK508" i="191"/>
  <c r="BD509" i="191"/>
  <c r="BE509" i="191"/>
  <c r="BF509" i="191"/>
  <c r="BG509" i="191"/>
  <c r="BH509" i="191"/>
  <c r="BI509" i="191"/>
  <c r="BJ509" i="191"/>
  <c r="BK509" i="191"/>
  <c r="BD510" i="191"/>
  <c r="BE510" i="191"/>
  <c r="BF510" i="191"/>
  <c r="BG510" i="191"/>
  <c r="BH510" i="191"/>
  <c r="BI510" i="191"/>
  <c r="BJ510" i="191"/>
  <c r="BK510" i="191"/>
  <c r="BD511" i="191"/>
  <c r="BE511" i="191"/>
  <c r="BF511" i="191"/>
  <c r="BG511" i="191"/>
  <c r="BH511" i="191"/>
  <c r="BI511" i="191"/>
  <c r="BJ511" i="191"/>
  <c r="BK511" i="191"/>
  <c r="BD512" i="191"/>
  <c r="BE512" i="191"/>
  <c r="BF512" i="191"/>
  <c r="BG512" i="191"/>
  <c r="BH512" i="191"/>
  <c r="BI512" i="191"/>
  <c r="BJ512" i="191"/>
  <c r="BK512" i="191"/>
  <c r="BD513" i="191"/>
  <c r="BE513" i="191"/>
  <c r="BF513" i="191"/>
  <c r="BG513" i="191"/>
  <c r="BH513" i="191"/>
  <c r="BI513" i="191"/>
  <c r="BJ513" i="191"/>
  <c r="BK513" i="191"/>
  <c r="BD514" i="191"/>
  <c r="BE514" i="191"/>
  <c r="BF514" i="191"/>
  <c r="BG514" i="191"/>
  <c r="BH514" i="191"/>
  <c r="BI514" i="191"/>
  <c r="BJ514" i="191"/>
  <c r="BK514" i="191"/>
  <c r="BD515" i="191"/>
  <c r="BE515" i="191"/>
  <c r="BF515" i="191"/>
  <c r="BG515" i="191"/>
  <c r="BH515" i="191"/>
  <c r="BI515" i="191"/>
  <c r="BJ515" i="191"/>
  <c r="BK515" i="191"/>
  <c r="BD516" i="191"/>
  <c r="BE516" i="191"/>
  <c r="BF516" i="191"/>
  <c r="BG516" i="191"/>
  <c r="BH516" i="191"/>
  <c r="BI516" i="191"/>
  <c r="BJ516" i="191"/>
  <c r="BK516" i="191"/>
  <c r="BD517" i="191"/>
  <c r="BE517" i="191"/>
  <c r="BF517" i="191"/>
  <c r="BG517" i="191"/>
  <c r="BH517" i="191"/>
  <c r="BI517" i="191"/>
  <c r="BJ517" i="191"/>
  <c r="BK517" i="191"/>
  <c r="BD518" i="191"/>
  <c r="BE518" i="191"/>
  <c r="BF518" i="191"/>
  <c r="BG518" i="191"/>
  <c r="BH518" i="191"/>
  <c r="BI518" i="191"/>
  <c r="BJ518" i="191"/>
  <c r="BK518" i="191"/>
  <c r="BD519" i="191"/>
  <c r="BE519" i="191"/>
  <c r="BF519" i="191"/>
  <c r="BG519" i="191"/>
  <c r="BH519" i="191"/>
  <c r="BI519" i="191"/>
  <c r="BJ519" i="191"/>
  <c r="BK519" i="191"/>
  <c r="BD520" i="191"/>
  <c r="BE520" i="191"/>
  <c r="BF520" i="191"/>
  <c r="BG520" i="191"/>
  <c r="BH520" i="191"/>
  <c r="BI520" i="191"/>
  <c r="BJ520" i="191"/>
  <c r="BK520" i="191"/>
  <c r="BD521" i="191"/>
  <c r="BE521" i="191"/>
  <c r="BF521" i="191"/>
  <c r="BG521" i="191"/>
  <c r="BH521" i="191"/>
  <c r="BI521" i="191"/>
  <c r="BJ521" i="191"/>
  <c r="BK521" i="191"/>
  <c r="BD522" i="191"/>
  <c r="BE522" i="191"/>
  <c r="BF522" i="191"/>
  <c r="BG522" i="191"/>
  <c r="BH522" i="191"/>
  <c r="BI522" i="191"/>
  <c r="BJ522" i="191"/>
  <c r="BK522" i="191"/>
  <c r="BD523" i="191"/>
  <c r="BE523" i="191"/>
  <c r="BF523" i="191"/>
  <c r="BG523" i="191"/>
  <c r="BH523" i="191"/>
  <c r="BI523" i="191"/>
  <c r="BJ523" i="191"/>
  <c r="BK523" i="191"/>
  <c r="BD524" i="191"/>
  <c r="BE524" i="191"/>
  <c r="BF524" i="191"/>
  <c r="BG524" i="191"/>
  <c r="BH524" i="191"/>
  <c r="BI524" i="191"/>
  <c r="BJ524" i="191"/>
  <c r="BK524" i="191"/>
  <c r="BD525" i="191"/>
  <c r="BE525" i="191"/>
  <c r="BF525" i="191"/>
  <c r="BG525" i="191"/>
  <c r="BH525" i="191"/>
  <c r="BI525" i="191"/>
  <c r="BJ525" i="191"/>
  <c r="BK525" i="191"/>
  <c r="BD526" i="191"/>
  <c r="BE526" i="191"/>
  <c r="BF526" i="191"/>
  <c r="BG526" i="191"/>
  <c r="BH526" i="191"/>
  <c r="BI526" i="191"/>
  <c r="BJ526" i="191"/>
  <c r="BK526" i="191"/>
  <c r="BD527" i="191"/>
  <c r="BE527" i="191"/>
  <c r="BF527" i="191"/>
  <c r="BG527" i="191"/>
  <c r="BH527" i="191"/>
  <c r="BI527" i="191"/>
  <c r="BJ527" i="191"/>
  <c r="BK527" i="191"/>
  <c r="BD528" i="191"/>
  <c r="BE528" i="191"/>
  <c r="BF528" i="191"/>
  <c r="BG528" i="191"/>
  <c r="BH528" i="191"/>
  <c r="BI528" i="191"/>
  <c r="BJ528" i="191"/>
  <c r="BK528" i="191"/>
  <c r="BD529" i="191"/>
  <c r="BE529" i="191"/>
  <c r="BF529" i="191"/>
  <c r="BG529" i="191"/>
  <c r="BH529" i="191"/>
  <c r="BI529" i="191"/>
  <c r="BJ529" i="191"/>
  <c r="BK529" i="191"/>
  <c r="BD530" i="191"/>
  <c r="BE530" i="191"/>
  <c r="BF530" i="191"/>
  <c r="BG530" i="191"/>
  <c r="BH530" i="191"/>
  <c r="BI530" i="191"/>
  <c r="BJ530" i="191"/>
  <c r="BK530" i="191"/>
  <c r="BD531" i="191"/>
  <c r="BE531" i="191"/>
  <c r="BF531" i="191"/>
  <c r="BG531" i="191"/>
  <c r="BH531" i="191"/>
  <c r="BI531" i="191"/>
  <c r="BJ531" i="191"/>
  <c r="BK531" i="191"/>
  <c r="BD532" i="191"/>
  <c r="BE532" i="191"/>
  <c r="BF532" i="191"/>
  <c r="BG532" i="191"/>
  <c r="BH532" i="191"/>
  <c r="BI532" i="191"/>
  <c r="BJ532" i="191"/>
  <c r="BK532" i="191"/>
  <c r="BD533" i="191"/>
  <c r="BE533" i="191"/>
  <c r="BF533" i="191"/>
  <c r="BG533" i="191"/>
  <c r="BH533" i="191"/>
  <c r="BI533" i="191"/>
  <c r="BJ533" i="191"/>
  <c r="BK533" i="191"/>
  <c r="BD534" i="191"/>
  <c r="BE534" i="191"/>
  <c r="BF534" i="191"/>
  <c r="BG534" i="191"/>
  <c r="BH534" i="191"/>
  <c r="BI534" i="191"/>
  <c r="BJ534" i="191"/>
  <c r="BK534" i="191"/>
  <c r="BD535" i="191"/>
  <c r="BE535" i="191"/>
  <c r="BF535" i="191"/>
  <c r="BG535" i="191"/>
  <c r="BH535" i="191"/>
  <c r="BI535" i="191"/>
  <c r="BJ535" i="191"/>
  <c r="BK535" i="191"/>
  <c r="BD536" i="191"/>
  <c r="BE536" i="191"/>
  <c r="BF536" i="191"/>
  <c r="BG536" i="191"/>
  <c r="BH536" i="191"/>
  <c r="BI536" i="191"/>
  <c r="BJ536" i="191"/>
  <c r="BK536" i="191"/>
  <c r="BD537" i="191"/>
  <c r="BE537" i="191"/>
  <c r="BF537" i="191"/>
  <c r="BG537" i="191"/>
  <c r="BH537" i="191"/>
  <c r="BI537" i="191"/>
  <c r="BJ537" i="191"/>
  <c r="BK537" i="191"/>
  <c r="BD538" i="191"/>
  <c r="BE538" i="191"/>
  <c r="BF538" i="191"/>
  <c r="BG538" i="191"/>
  <c r="BH538" i="191"/>
  <c r="BI538" i="191"/>
  <c r="BJ538" i="191"/>
  <c r="BK538" i="191"/>
  <c r="BD539" i="191"/>
  <c r="BE539" i="191"/>
  <c r="BF539" i="191"/>
  <c r="BG539" i="191"/>
  <c r="BH539" i="191"/>
  <c r="BI539" i="191"/>
  <c r="BJ539" i="191"/>
  <c r="BK539" i="191"/>
  <c r="BD540" i="191"/>
  <c r="BE540" i="191"/>
  <c r="BF540" i="191"/>
  <c r="BG540" i="191"/>
  <c r="BH540" i="191"/>
  <c r="BI540" i="191"/>
  <c r="BJ540" i="191"/>
  <c r="BK540" i="191"/>
  <c r="BD541" i="191"/>
  <c r="BE541" i="191"/>
  <c r="BF541" i="191"/>
  <c r="BG541" i="191"/>
  <c r="BH541" i="191"/>
  <c r="BI541" i="191"/>
  <c r="BJ541" i="191"/>
  <c r="BK541" i="191"/>
  <c r="BD542" i="191"/>
  <c r="BE542" i="191"/>
  <c r="BF542" i="191"/>
  <c r="BG542" i="191"/>
  <c r="BH542" i="191"/>
  <c r="BI542" i="191"/>
  <c r="BJ542" i="191"/>
  <c r="BK542" i="191"/>
  <c r="BD543" i="191"/>
  <c r="BE543" i="191"/>
  <c r="BF543" i="191"/>
  <c r="BG543" i="191"/>
  <c r="BH543" i="191"/>
  <c r="BI543" i="191"/>
  <c r="BJ543" i="191"/>
  <c r="BK543" i="191"/>
  <c r="BD544" i="191"/>
  <c r="BE544" i="191"/>
  <c r="BF544" i="191"/>
  <c r="BG544" i="191"/>
  <c r="BH544" i="191"/>
  <c r="BI544" i="191"/>
  <c r="BJ544" i="191"/>
  <c r="BK544" i="191"/>
  <c r="BD545" i="191"/>
  <c r="BE545" i="191"/>
  <c r="BF545" i="191"/>
  <c r="BG545" i="191"/>
  <c r="BH545" i="191"/>
  <c r="BI545" i="191"/>
  <c r="BJ545" i="191"/>
  <c r="BK545" i="191"/>
  <c r="BD546" i="191"/>
  <c r="BE546" i="191"/>
  <c r="BF546" i="191"/>
  <c r="BG546" i="191"/>
  <c r="BH546" i="191"/>
  <c r="BI546" i="191"/>
  <c r="BJ546" i="191"/>
  <c r="BK546" i="191"/>
  <c r="BD547" i="191"/>
  <c r="BE547" i="191"/>
  <c r="BF547" i="191"/>
  <c r="BG547" i="191"/>
  <c r="BH547" i="191"/>
  <c r="BI547" i="191"/>
  <c r="BJ547" i="191"/>
  <c r="BK547" i="191"/>
  <c r="BD548" i="191"/>
  <c r="BE548" i="191"/>
  <c r="BF548" i="191"/>
  <c r="BG548" i="191"/>
  <c r="BH548" i="191"/>
  <c r="BI548" i="191"/>
  <c r="BJ548" i="191"/>
  <c r="BK548" i="191"/>
  <c r="BD549" i="191"/>
  <c r="BE549" i="191"/>
  <c r="BF549" i="191"/>
  <c r="BG549" i="191"/>
  <c r="BH549" i="191"/>
  <c r="BI549" i="191"/>
  <c r="BJ549" i="191"/>
  <c r="BK549" i="191"/>
  <c r="BD550" i="191"/>
  <c r="BE550" i="191"/>
  <c r="BF550" i="191"/>
  <c r="BG550" i="191"/>
  <c r="BH550" i="191"/>
  <c r="BI550" i="191"/>
  <c r="BJ550" i="191"/>
  <c r="BK550" i="191"/>
  <c r="BD551" i="191"/>
  <c r="BE551" i="191"/>
  <c r="BF551" i="191"/>
  <c r="BG551" i="191"/>
  <c r="BH551" i="191"/>
  <c r="BI551" i="191"/>
  <c r="BJ551" i="191"/>
  <c r="BK551" i="191"/>
  <c r="BD552" i="191"/>
  <c r="BE552" i="191"/>
  <c r="BF552" i="191"/>
  <c r="BG552" i="191"/>
  <c r="BH552" i="191"/>
  <c r="BI552" i="191"/>
  <c r="BJ552" i="191"/>
  <c r="BK552" i="191"/>
  <c r="BD553" i="191"/>
  <c r="BE553" i="191"/>
  <c r="BF553" i="191"/>
  <c r="BG553" i="191"/>
  <c r="BH553" i="191"/>
  <c r="BI553" i="191"/>
  <c r="BJ553" i="191"/>
  <c r="BK553" i="191"/>
  <c r="BD554" i="191"/>
  <c r="BE554" i="191"/>
  <c r="BF554" i="191"/>
  <c r="BG554" i="191"/>
  <c r="BH554" i="191"/>
  <c r="BI554" i="191"/>
  <c r="BJ554" i="191"/>
  <c r="BK554" i="191"/>
  <c r="BD555" i="191"/>
  <c r="BE555" i="191"/>
  <c r="BF555" i="191"/>
  <c r="BG555" i="191"/>
  <c r="BH555" i="191"/>
  <c r="BI555" i="191"/>
  <c r="BJ555" i="191"/>
  <c r="BK555" i="191"/>
  <c r="BD556" i="191"/>
  <c r="BE556" i="191"/>
  <c r="BF556" i="191"/>
  <c r="BG556" i="191"/>
  <c r="BH556" i="191"/>
  <c r="BI556" i="191"/>
  <c r="BJ556" i="191"/>
  <c r="BK556" i="191"/>
  <c r="BD557" i="191"/>
  <c r="BE557" i="191"/>
  <c r="BF557" i="191"/>
  <c r="BG557" i="191"/>
  <c r="BH557" i="191"/>
  <c r="BI557" i="191"/>
  <c r="BJ557" i="191"/>
  <c r="BK557" i="191"/>
  <c r="BD558" i="191"/>
  <c r="BE558" i="191"/>
  <c r="BF558" i="191"/>
  <c r="BG558" i="191"/>
  <c r="BH558" i="191"/>
  <c r="BI558" i="191"/>
  <c r="BJ558" i="191"/>
  <c r="BK558" i="191"/>
  <c r="BD559" i="191"/>
  <c r="BE559" i="191"/>
  <c r="BF559" i="191"/>
  <c r="BG559" i="191"/>
  <c r="BH559" i="191"/>
  <c r="BI559" i="191"/>
  <c r="BJ559" i="191"/>
  <c r="BK559" i="191"/>
  <c r="BD560" i="191"/>
  <c r="BE560" i="191"/>
  <c r="BF560" i="191"/>
  <c r="BG560" i="191"/>
  <c r="BH560" i="191"/>
  <c r="BI560" i="191"/>
  <c r="BJ560" i="191"/>
  <c r="BK560" i="191"/>
  <c r="BD561" i="191"/>
  <c r="BE561" i="191"/>
  <c r="BF561" i="191"/>
  <c r="BG561" i="191"/>
  <c r="BH561" i="191"/>
  <c r="BI561" i="191"/>
  <c r="BJ561" i="191"/>
  <c r="BK561" i="191"/>
  <c r="BD562" i="191"/>
  <c r="BE562" i="191"/>
  <c r="BF562" i="191"/>
  <c r="BG562" i="191"/>
  <c r="BH562" i="191"/>
  <c r="BI562" i="191"/>
  <c r="BJ562" i="191"/>
  <c r="BK562" i="191"/>
  <c r="BD563" i="191"/>
  <c r="BE563" i="191"/>
  <c r="BF563" i="191"/>
  <c r="BG563" i="191"/>
  <c r="BH563" i="191"/>
  <c r="BI563" i="191"/>
  <c r="BJ563" i="191"/>
  <c r="BK563" i="191"/>
  <c r="BD564" i="191"/>
  <c r="BE564" i="191"/>
  <c r="BF564" i="191"/>
  <c r="BG564" i="191"/>
  <c r="BH564" i="191"/>
  <c r="BI564" i="191"/>
  <c r="BJ564" i="191"/>
  <c r="BK564" i="191"/>
  <c r="BD565" i="191"/>
  <c r="BE565" i="191"/>
  <c r="BF565" i="191"/>
  <c r="BG565" i="191"/>
  <c r="BH565" i="191"/>
  <c r="BI565" i="191"/>
  <c r="BJ565" i="191"/>
  <c r="BK565" i="191"/>
  <c r="BD566" i="191"/>
  <c r="BE566" i="191"/>
  <c r="BF566" i="191"/>
  <c r="BG566" i="191"/>
  <c r="BH566" i="191"/>
  <c r="BI566" i="191"/>
  <c r="BJ566" i="191"/>
  <c r="BK566" i="191"/>
  <c r="BD567" i="191"/>
  <c r="BE567" i="191"/>
  <c r="BF567" i="191"/>
  <c r="BG567" i="191"/>
  <c r="BH567" i="191"/>
  <c r="BI567" i="191"/>
  <c r="BJ567" i="191"/>
  <c r="BK567" i="191"/>
  <c r="BD568" i="191"/>
  <c r="BE568" i="191"/>
  <c r="BF568" i="191"/>
  <c r="BG568" i="191"/>
  <c r="BH568" i="191"/>
  <c r="BI568" i="191"/>
  <c r="BJ568" i="191"/>
  <c r="BK568" i="191"/>
  <c r="BD569" i="191"/>
  <c r="BE569" i="191"/>
  <c r="BF569" i="191"/>
  <c r="BG569" i="191"/>
  <c r="BH569" i="191"/>
  <c r="BI569" i="191"/>
  <c r="BJ569" i="191"/>
  <c r="BK569" i="191"/>
  <c r="BD570" i="191"/>
  <c r="BE570" i="191"/>
  <c r="BF570" i="191"/>
  <c r="BG570" i="191"/>
  <c r="BH570" i="191"/>
  <c r="BI570" i="191"/>
  <c r="BJ570" i="191"/>
  <c r="BK570" i="191"/>
  <c r="BD571" i="191"/>
  <c r="BE571" i="191"/>
  <c r="BF571" i="191"/>
  <c r="BG571" i="191"/>
  <c r="BH571" i="191"/>
  <c r="BI571" i="191"/>
  <c r="BJ571" i="191"/>
  <c r="BK571" i="191"/>
  <c r="BD572" i="191"/>
  <c r="BE572" i="191"/>
  <c r="BF572" i="191"/>
  <c r="BG572" i="191"/>
  <c r="BH572" i="191"/>
  <c r="BI572" i="191"/>
  <c r="BJ572" i="191"/>
  <c r="BK572" i="191"/>
  <c r="BD573" i="191"/>
  <c r="BE573" i="191"/>
  <c r="BF573" i="191"/>
  <c r="BG573" i="191"/>
  <c r="BH573" i="191"/>
  <c r="BI573" i="191"/>
  <c r="BJ573" i="191"/>
  <c r="BK573" i="191"/>
  <c r="BD574" i="191"/>
  <c r="BE574" i="191"/>
  <c r="BF574" i="191"/>
  <c r="BG574" i="191"/>
  <c r="BH574" i="191"/>
  <c r="BI574" i="191"/>
  <c r="BJ574" i="191"/>
  <c r="BK574" i="191"/>
  <c r="BD575" i="191"/>
  <c r="BE575" i="191"/>
  <c r="BF575" i="191"/>
  <c r="BG575" i="191"/>
  <c r="BH575" i="191"/>
  <c r="BI575" i="191"/>
  <c r="BJ575" i="191"/>
  <c r="BK575" i="191"/>
  <c r="BD576" i="191"/>
  <c r="BE576" i="191"/>
  <c r="BF576" i="191"/>
  <c r="BG576" i="191"/>
  <c r="BH576" i="191"/>
  <c r="BI576" i="191"/>
  <c r="BJ576" i="191"/>
  <c r="BK576" i="191"/>
  <c r="BD577" i="191"/>
  <c r="BE577" i="191"/>
  <c r="BF577" i="191"/>
  <c r="BG577" i="191"/>
  <c r="BH577" i="191"/>
  <c r="BI577" i="191"/>
  <c r="BJ577" i="191"/>
  <c r="BK577" i="191"/>
  <c r="BD578" i="191"/>
  <c r="BE578" i="191"/>
  <c r="BF578" i="191"/>
  <c r="BG578" i="191"/>
  <c r="BH578" i="191"/>
  <c r="BI578" i="191"/>
  <c r="BJ578" i="191"/>
  <c r="BK578" i="191"/>
  <c r="BD579" i="191"/>
  <c r="BE579" i="191"/>
  <c r="BF579" i="191"/>
  <c r="BG579" i="191"/>
  <c r="BH579" i="191"/>
  <c r="BI579" i="191"/>
  <c r="BJ579" i="191"/>
  <c r="BK579" i="191"/>
  <c r="BD580" i="191"/>
  <c r="BE580" i="191"/>
  <c r="BF580" i="191"/>
  <c r="BG580" i="191"/>
  <c r="BH580" i="191"/>
  <c r="BI580" i="191"/>
  <c r="BJ580" i="191"/>
  <c r="BK580" i="191"/>
  <c r="BD581" i="191"/>
  <c r="BE581" i="191"/>
  <c r="BF581" i="191"/>
  <c r="BG581" i="191"/>
  <c r="BH581" i="191"/>
  <c r="BI581" i="191"/>
  <c r="BJ581" i="191"/>
  <c r="BK581" i="191"/>
  <c r="BD582" i="191"/>
  <c r="BE582" i="191"/>
  <c r="BF582" i="191"/>
  <c r="BG582" i="191"/>
  <c r="BH582" i="191"/>
  <c r="BI582" i="191"/>
  <c r="BJ582" i="191"/>
  <c r="BK582" i="191"/>
  <c r="BD583" i="191"/>
  <c r="BE583" i="191"/>
  <c r="BF583" i="191"/>
  <c r="BG583" i="191"/>
  <c r="BH583" i="191"/>
  <c r="BI583" i="191"/>
  <c r="BJ583" i="191"/>
  <c r="BK583" i="191"/>
  <c r="BD584" i="191"/>
  <c r="BE584" i="191"/>
  <c r="BF584" i="191"/>
  <c r="BG584" i="191"/>
  <c r="BH584" i="191"/>
  <c r="BI584" i="191"/>
  <c r="BJ584" i="191"/>
  <c r="BK584" i="191"/>
  <c r="BD585" i="191"/>
  <c r="BE585" i="191"/>
  <c r="BF585" i="191"/>
  <c r="BG585" i="191"/>
  <c r="BH585" i="191"/>
  <c r="BI585" i="191"/>
  <c r="BJ585" i="191"/>
  <c r="BK585" i="191"/>
  <c r="BD586" i="191"/>
  <c r="BE586" i="191"/>
  <c r="BF586" i="191"/>
  <c r="BG586" i="191"/>
  <c r="BH586" i="191"/>
  <c r="BI586" i="191"/>
  <c r="BJ586" i="191"/>
  <c r="BK586" i="191"/>
  <c r="BD587" i="191"/>
  <c r="BE587" i="191"/>
  <c r="BF587" i="191"/>
  <c r="BG587" i="191"/>
  <c r="BH587" i="191"/>
  <c r="BI587" i="191"/>
  <c r="BJ587" i="191"/>
  <c r="BK587" i="191"/>
  <c r="BD588" i="191"/>
  <c r="BE588" i="191"/>
  <c r="BF588" i="191"/>
  <c r="BG588" i="191"/>
  <c r="BH588" i="191"/>
  <c r="BI588" i="191"/>
  <c r="BJ588" i="191"/>
  <c r="BK588" i="191"/>
  <c r="BD589" i="191"/>
  <c r="BE589" i="191"/>
  <c r="BF589" i="191"/>
  <c r="BG589" i="191"/>
  <c r="BH589" i="191"/>
  <c r="BI589" i="191"/>
  <c r="BJ589" i="191"/>
  <c r="BK589" i="191"/>
  <c r="BD590" i="191"/>
  <c r="BE590" i="191"/>
  <c r="BF590" i="191"/>
  <c r="BG590" i="191"/>
  <c r="BH590" i="191"/>
  <c r="BI590" i="191"/>
  <c r="BJ590" i="191"/>
  <c r="BK590" i="191"/>
  <c r="BD591" i="191"/>
  <c r="BE591" i="191"/>
  <c r="BF591" i="191"/>
  <c r="BG591" i="191"/>
  <c r="BH591" i="191"/>
  <c r="BI591" i="191"/>
  <c r="BJ591" i="191"/>
  <c r="BK591" i="191"/>
  <c r="BD592" i="191"/>
  <c r="BE592" i="191"/>
  <c r="BF592" i="191"/>
  <c r="BG592" i="191"/>
  <c r="BH592" i="191"/>
  <c r="BI592" i="191"/>
  <c r="BJ592" i="191"/>
  <c r="BK592" i="191"/>
  <c r="BD593" i="191"/>
  <c r="BE593" i="191"/>
  <c r="BF593" i="191"/>
  <c r="BG593" i="191"/>
  <c r="BH593" i="191"/>
  <c r="BI593" i="191"/>
  <c r="BJ593" i="191"/>
  <c r="BK593" i="191"/>
  <c r="BD594" i="191"/>
  <c r="BE594" i="191"/>
  <c r="BF594" i="191"/>
  <c r="BG594" i="191"/>
  <c r="BH594" i="191"/>
  <c r="BI594" i="191"/>
  <c r="BJ594" i="191"/>
  <c r="BK594" i="191"/>
  <c r="BD595" i="191"/>
  <c r="BE595" i="191"/>
  <c r="BF595" i="191"/>
  <c r="BG595" i="191"/>
  <c r="BH595" i="191"/>
  <c r="BI595" i="191"/>
  <c r="BJ595" i="191"/>
  <c r="BK595" i="191"/>
  <c r="BD596" i="191"/>
  <c r="BE596" i="191"/>
  <c r="BF596" i="191"/>
  <c r="BG596" i="191"/>
  <c r="BH596" i="191"/>
  <c r="BI596" i="191"/>
  <c r="BJ596" i="191"/>
  <c r="BK596" i="191"/>
  <c r="BD597" i="191"/>
  <c r="BE597" i="191"/>
  <c r="BF597" i="191"/>
  <c r="BG597" i="191"/>
  <c r="BH597" i="191"/>
  <c r="BI597" i="191"/>
  <c r="BJ597" i="191"/>
  <c r="BK597" i="191"/>
  <c r="BD598" i="191"/>
  <c r="BE598" i="191"/>
  <c r="BF598" i="191"/>
  <c r="BG598" i="191"/>
  <c r="BH598" i="191"/>
  <c r="BI598" i="191"/>
  <c r="BJ598" i="191"/>
  <c r="BK598" i="191"/>
  <c r="BD599" i="191"/>
  <c r="BE599" i="191"/>
  <c r="BF599" i="191"/>
  <c r="BG599" i="191"/>
  <c r="BH599" i="191"/>
  <c r="BI599" i="191"/>
  <c r="BJ599" i="191"/>
  <c r="BK599" i="191"/>
  <c r="BD600" i="191"/>
  <c r="BE600" i="191"/>
  <c r="BF600" i="191"/>
  <c r="BG600" i="191"/>
  <c r="BH600" i="191"/>
  <c r="BI600" i="191"/>
  <c r="BJ600" i="191"/>
  <c r="BK600" i="191"/>
  <c r="BD601" i="191"/>
  <c r="BE601" i="191"/>
  <c r="BF601" i="191"/>
  <c r="BG601" i="191"/>
  <c r="BH601" i="191"/>
  <c r="BI601" i="191"/>
  <c r="BJ601" i="191"/>
  <c r="BK601" i="191"/>
  <c r="BD602" i="191"/>
  <c r="BE602" i="191"/>
  <c r="BF602" i="191"/>
  <c r="BG602" i="191"/>
  <c r="BH602" i="191"/>
  <c r="BI602" i="191"/>
  <c r="BJ602" i="191"/>
  <c r="BK602" i="191"/>
  <c r="BD603" i="191"/>
  <c r="BE603" i="191"/>
  <c r="BF603" i="191"/>
  <c r="BG603" i="191"/>
  <c r="BH603" i="191"/>
  <c r="BI603" i="191"/>
  <c r="BJ603" i="191"/>
  <c r="BK603" i="191"/>
  <c r="BD604" i="191"/>
  <c r="BE604" i="191"/>
  <c r="BF604" i="191"/>
  <c r="BG604" i="191"/>
  <c r="BH604" i="191"/>
  <c r="BI604" i="191"/>
  <c r="BJ604" i="191"/>
  <c r="BK604" i="191"/>
  <c r="BD605" i="191"/>
  <c r="BE605" i="191"/>
  <c r="BF605" i="191"/>
  <c r="BG605" i="191"/>
  <c r="BH605" i="191"/>
  <c r="BI605" i="191"/>
  <c r="BJ605" i="191"/>
  <c r="BK605" i="191"/>
  <c r="BD606" i="191"/>
  <c r="BE606" i="191"/>
  <c r="BF606" i="191"/>
  <c r="BG606" i="191"/>
  <c r="BH606" i="191"/>
  <c r="BI606" i="191"/>
  <c r="BJ606" i="191"/>
  <c r="BK606" i="191"/>
  <c r="BD607" i="191"/>
  <c r="BE607" i="191"/>
  <c r="BF607" i="191"/>
  <c r="BG607" i="191"/>
  <c r="BH607" i="191"/>
  <c r="BI607" i="191"/>
  <c r="BJ607" i="191"/>
  <c r="BK607" i="191"/>
  <c r="BD608" i="191"/>
  <c r="BE608" i="191"/>
  <c r="BF608" i="191"/>
  <c r="BG608" i="191"/>
  <c r="BH608" i="191"/>
  <c r="BI608" i="191"/>
  <c r="BJ608" i="191"/>
  <c r="BK608" i="191"/>
  <c r="BD609" i="191"/>
  <c r="BE609" i="191"/>
  <c r="BF609" i="191"/>
  <c r="BG609" i="191"/>
  <c r="BH609" i="191"/>
  <c r="BI609" i="191"/>
  <c r="BJ609" i="191"/>
  <c r="BK609" i="191"/>
  <c r="BD610" i="191"/>
  <c r="BE610" i="191"/>
  <c r="BF610" i="191"/>
  <c r="BG610" i="191"/>
  <c r="BH610" i="191"/>
  <c r="BI610" i="191"/>
  <c r="BJ610" i="191"/>
  <c r="BK610" i="191"/>
  <c r="BD611" i="191"/>
  <c r="BE611" i="191"/>
  <c r="BF611" i="191"/>
  <c r="BG611" i="191"/>
  <c r="BH611" i="191"/>
  <c r="BI611" i="191"/>
  <c r="BJ611" i="191"/>
  <c r="BK611" i="191"/>
  <c r="BD612" i="191"/>
  <c r="BE612" i="191"/>
  <c r="BF612" i="191"/>
  <c r="BG612" i="191"/>
  <c r="BH612" i="191"/>
  <c r="BI612" i="191"/>
  <c r="BJ612" i="191"/>
  <c r="BK612" i="191"/>
  <c r="BD613" i="191"/>
  <c r="BE613" i="191"/>
  <c r="BF613" i="191"/>
  <c r="BG613" i="191"/>
  <c r="BH613" i="191"/>
  <c r="BI613" i="191"/>
  <c r="BJ613" i="191"/>
  <c r="BK613" i="191"/>
  <c r="BD614" i="191"/>
  <c r="BE614" i="191"/>
  <c r="BF614" i="191"/>
  <c r="BG614" i="191"/>
  <c r="BH614" i="191"/>
  <c r="BI614" i="191"/>
  <c r="BJ614" i="191"/>
  <c r="BK614" i="191"/>
  <c r="BD615" i="191"/>
  <c r="BE615" i="191"/>
  <c r="BF615" i="191"/>
  <c r="BG615" i="191"/>
  <c r="BH615" i="191"/>
  <c r="BI615" i="191"/>
  <c r="BJ615" i="191"/>
  <c r="BK615" i="191"/>
  <c r="BD616" i="191"/>
  <c r="BE616" i="191"/>
  <c r="BF616" i="191"/>
  <c r="BG616" i="191"/>
  <c r="BH616" i="191"/>
  <c r="BI616" i="191"/>
  <c r="BJ616" i="191"/>
  <c r="BK616" i="191"/>
  <c r="BD617" i="191"/>
  <c r="BE617" i="191"/>
  <c r="BF617" i="191"/>
  <c r="BG617" i="191"/>
  <c r="BH617" i="191"/>
  <c r="BI617" i="191"/>
  <c r="BJ617" i="191"/>
  <c r="BK617" i="191"/>
  <c r="BD618" i="191"/>
  <c r="BE618" i="191"/>
  <c r="BF618" i="191"/>
  <c r="BG618" i="191"/>
  <c r="BH618" i="191"/>
  <c r="BI618" i="191"/>
  <c r="BJ618" i="191"/>
  <c r="BK618" i="191"/>
  <c r="BD619" i="191"/>
  <c r="BE619" i="191"/>
  <c r="BF619" i="191"/>
  <c r="BG619" i="191"/>
  <c r="BH619" i="191"/>
  <c r="BI619" i="191"/>
  <c r="BJ619" i="191"/>
  <c r="BK619" i="191"/>
  <c r="BD620" i="191"/>
  <c r="BE620" i="191"/>
  <c r="BF620" i="191"/>
  <c r="BG620" i="191"/>
  <c r="BH620" i="191"/>
  <c r="BI620" i="191"/>
  <c r="BJ620" i="191"/>
  <c r="BK620" i="191"/>
  <c r="BD621" i="191"/>
  <c r="BE621" i="191"/>
  <c r="BF621" i="191"/>
  <c r="BG621" i="191"/>
  <c r="BH621" i="191"/>
  <c r="BI621" i="191"/>
  <c r="BJ621" i="191"/>
  <c r="BK621" i="191"/>
  <c r="BD622" i="191"/>
  <c r="BE622" i="191"/>
  <c r="BF622" i="191"/>
  <c r="BG622" i="191"/>
  <c r="BH622" i="191"/>
  <c r="BI622" i="191"/>
  <c r="BJ622" i="191"/>
  <c r="BK622" i="191"/>
  <c r="BD623" i="191"/>
  <c r="BE623" i="191"/>
  <c r="BF623" i="191"/>
  <c r="BG623" i="191"/>
  <c r="BH623" i="191"/>
  <c r="BI623" i="191"/>
  <c r="BJ623" i="191"/>
  <c r="BK623" i="191"/>
  <c r="BD624" i="191"/>
  <c r="BE624" i="191"/>
  <c r="BF624" i="191"/>
  <c r="BG624" i="191"/>
  <c r="BH624" i="191"/>
  <c r="BI624" i="191"/>
  <c r="BJ624" i="191"/>
  <c r="BK624" i="191"/>
  <c r="BD625" i="191"/>
  <c r="BE625" i="191"/>
  <c r="BF625" i="191"/>
  <c r="BG625" i="191"/>
  <c r="BH625" i="191"/>
  <c r="BI625" i="191"/>
  <c r="BJ625" i="191"/>
  <c r="BK625" i="191"/>
  <c r="BD626" i="191"/>
  <c r="BE626" i="191"/>
  <c r="BF626" i="191"/>
  <c r="BG626" i="191"/>
  <c r="BH626" i="191"/>
  <c r="BI626" i="191"/>
  <c r="BJ626" i="191"/>
  <c r="BK626" i="191"/>
  <c r="BD627" i="191"/>
  <c r="BE627" i="191"/>
  <c r="BF627" i="191"/>
  <c r="BG627" i="191"/>
  <c r="BH627" i="191"/>
  <c r="BI627" i="191"/>
  <c r="BJ627" i="191"/>
  <c r="BK627" i="191"/>
  <c r="BD628" i="191"/>
  <c r="BE628" i="191"/>
  <c r="BF628" i="191"/>
  <c r="BG628" i="191"/>
  <c r="BH628" i="191"/>
  <c r="BI628" i="191"/>
  <c r="BJ628" i="191"/>
  <c r="BK628" i="191"/>
  <c r="BD629" i="191"/>
  <c r="BE629" i="191"/>
  <c r="BF629" i="191"/>
  <c r="BG629" i="191"/>
  <c r="BH629" i="191"/>
  <c r="BI629" i="191"/>
  <c r="BJ629" i="191"/>
  <c r="BK629" i="191"/>
  <c r="BD630" i="191"/>
  <c r="BE630" i="191"/>
  <c r="BF630" i="191"/>
  <c r="BG630" i="191"/>
  <c r="BH630" i="191"/>
  <c r="BI630" i="191"/>
  <c r="BJ630" i="191"/>
  <c r="BK630" i="191"/>
  <c r="BD631" i="191"/>
  <c r="BE631" i="191"/>
  <c r="BF631" i="191"/>
  <c r="BG631" i="191"/>
  <c r="BH631" i="191"/>
  <c r="BI631" i="191"/>
  <c r="BJ631" i="191"/>
  <c r="BK631" i="191"/>
  <c r="BD632" i="191"/>
  <c r="BE632" i="191"/>
  <c r="BF632" i="191"/>
  <c r="BG632" i="191"/>
  <c r="BH632" i="191"/>
  <c r="BI632" i="191"/>
  <c r="BJ632" i="191"/>
  <c r="BK632" i="191"/>
  <c r="BD633" i="191"/>
  <c r="BE633" i="191"/>
  <c r="BF633" i="191"/>
  <c r="BG633" i="191"/>
  <c r="BH633" i="191"/>
  <c r="BI633" i="191"/>
  <c r="BJ633" i="191"/>
  <c r="BK633" i="191"/>
  <c r="BD634" i="191"/>
  <c r="BE634" i="191"/>
  <c r="BF634" i="191"/>
  <c r="BG634" i="191"/>
  <c r="BH634" i="191"/>
  <c r="BI634" i="191"/>
  <c r="BJ634" i="191"/>
  <c r="BK634" i="191"/>
  <c r="BD635" i="191"/>
  <c r="BE635" i="191"/>
  <c r="BF635" i="191"/>
  <c r="BG635" i="191"/>
  <c r="BH635" i="191"/>
  <c r="BI635" i="191"/>
  <c r="BJ635" i="191"/>
  <c r="BK635" i="191"/>
  <c r="BD636" i="191"/>
  <c r="BE636" i="191"/>
  <c r="BF636" i="191"/>
  <c r="BG636" i="191"/>
  <c r="BH636" i="191"/>
  <c r="BI636" i="191"/>
  <c r="BJ636" i="191"/>
  <c r="BK636" i="191"/>
  <c r="BD637" i="191"/>
  <c r="BE637" i="191"/>
  <c r="BF637" i="191"/>
  <c r="BG637" i="191"/>
  <c r="BH637" i="191"/>
  <c r="BI637" i="191"/>
  <c r="BJ637" i="191"/>
  <c r="BK637" i="191"/>
  <c r="BD638" i="191"/>
  <c r="BE638" i="191"/>
  <c r="BF638" i="191"/>
  <c r="BG638" i="191"/>
  <c r="BH638" i="191"/>
  <c r="BI638" i="191"/>
  <c r="BJ638" i="191"/>
  <c r="BK638" i="191"/>
  <c r="BD639" i="191"/>
  <c r="BE639" i="191"/>
  <c r="BF639" i="191"/>
  <c r="BG639" i="191"/>
  <c r="BH639" i="191"/>
  <c r="BI639" i="191"/>
  <c r="BJ639" i="191"/>
  <c r="BK639" i="191"/>
  <c r="BD640" i="191"/>
  <c r="BE640" i="191"/>
  <c r="BF640" i="191"/>
  <c r="BG640" i="191"/>
  <c r="BH640" i="191"/>
  <c r="BI640" i="191"/>
  <c r="BJ640" i="191"/>
  <c r="BK640" i="191"/>
  <c r="BD641" i="191"/>
  <c r="BE641" i="191"/>
  <c r="BF641" i="191"/>
  <c r="BG641" i="191"/>
  <c r="BH641" i="191"/>
  <c r="BI641" i="191"/>
  <c r="BJ641" i="191"/>
  <c r="BK641" i="191"/>
  <c r="BD642" i="191"/>
  <c r="BE642" i="191"/>
  <c r="BF642" i="191"/>
  <c r="BG642" i="191"/>
  <c r="BH642" i="191"/>
  <c r="BI642" i="191"/>
  <c r="BJ642" i="191"/>
  <c r="BK642" i="191"/>
  <c r="BD643" i="191"/>
  <c r="BE643" i="191"/>
  <c r="BF643" i="191"/>
  <c r="BG643" i="191"/>
  <c r="BH643" i="191"/>
  <c r="BI643" i="191"/>
  <c r="BJ643" i="191"/>
  <c r="BK643" i="191"/>
  <c r="BD644" i="191"/>
  <c r="BE644" i="191"/>
  <c r="BF644" i="191"/>
  <c r="BG644" i="191"/>
  <c r="BH644" i="191"/>
  <c r="BI644" i="191"/>
  <c r="BJ644" i="191"/>
  <c r="BK644" i="191"/>
  <c r="BD645" i="191"/>
  <c r="BE645" i="191"/>
  <c r="BF645" i="191"/>
  <c r="BG645" i="191"/>
  <c r="BH645" i="191"/>
  <c r="BI645" i="191"/>
  <c r="BJ645" i="191"/>
  <c r="BK645" i="191"/>
  <c r="BD646" i="191"/>
  <c r="BE646" i="191"/>
  <c r="BF646" i="191"/>
  <c r="BG646" i="191"/>
  <c r="BH646" i="191"/>
  <c r="BI646" i="191"/>
  <c r="BJ646" i="191"/>
  <c r="BK646" i="191"/>
  <c r="BD647" i="191"/>
  <c r="BE647" i="191"/>
  <c r="BF647" i="191"/>
  <c r="BG647" i="191"/>
  <c r="BH647" i="191"/>
  <c r="BI647" i="191"/>
  <c r="BJ647" i="191"/>
  <c r="BK647" i="191"/>
  <c r="BD648" i="191"/>
  <c r="BE648" i="191"/>
  <c r="BF648" i="191"/>
  <c r="BG648" i="191"/>
  <c r="BH648" i="191"/>
  <c r="BI648" i="191"/>
  <c r="BJ648" i="191"/>
  <c r="BK648" i="191"/>
  <c r="BD649" i="191"/>
  <c r="BE649" i="191"/>
  <c r="BF649" i="191"/>
  <c r="BG649" i="191"/>
  <c r="BH649" i="191"/>
  <c r="BI649" i="191"/>
  <c r="BJ649" i="191"/>
  <c r="BK649" i="191"/>
  <c r="BD650" i="191"/>
  <c r="BE650" i="191"/>
  <c r="BF650" i="191"/>
  <c r="BG650" i="191"/>
  <c r="BH650" i="191"/>
  <c r="BI650" i="191"/>
  <c r="BJ650" i="191"/>
  <c r="BK650" i="191"/>
  <c r="BD651" i="191"/>
  <c r="BE651" i="191"/>
  <c r="BF651" i="191"/>
  <c r="BG651" i="191"/>
  <c r="BH651" i="191"/>
  <c r="BI651" i="191"/>
  <c r="BJ651" i="191"/>
  <c r="BK651" i="191"/>
  <c r="BD652" i="191"/>
  <c r="BE652" i="191"/>
  <c r="BF652" i="191"/>
  <c r="BG652" i="191"/>
  <c r="BH652" i="191"/>
  <c r="BI652" i="191"/>
  <c r="BJ652" i="191"/>
  <c r="BK652" i="191"/>
  <c r="BD653" i="191"/>
  <c r="BE653" i="191"/>
  <c r="BF653" i="191"/>
  <c r="BG653" i="191"/>
  <c r="BH653" i="191"/>
  <c r="BI653" i="191"/>
  <c r="BJ653" i="191"/>
  <c r="BK653" i="191"/>
  <c r="BD654" i="191"/>
  <c r="BE654" i="191"/>
  <c r="BF654" i="191"/>
  <c r="BG654" i="191"/>
  <c r="BH654" i="191"/>
  <c r="BI654" i="191"/>
  <c r="BJ654" i="191"/>
  <c r="BK654" i="191"/>
  <c r="BD655" i="191"/>
  <c r="BE655" i="191"/>
  <c r="BF655" i="191"/>
  <c r="BG655" i="191"/>
  <c r="BH655" i="191"/>
  <c r="BI655" i="191"/>
  <c r="BJ655" i="191"/>
  <c r="BK655" i="191"/>
  <c r="BD656" i="191"/>
  <c r="BE656" i="191"/>
  <c r="BF656" i="191"/>
  <c r="BG656" i="191"/>
  <c r="BH656" i="191"/>
  <c r="BI656" i="191"/>
  <c r="BJ656" i="191"/>
  <c r="BK656" i="191"/>
  <c r="BD657" i="191"/>
  <c r="BE657" i="191"/>
  <c r="BF657" i="191"/>
  <c r="BG657" i="191"/>
  <c r="BH657" i="191"/>
  <c r="BI657" i="191"/>
  <c r="BJ657" i="191"/>
  <c r="BK657" i="191"/>
  <c r="BD658" i="191"/>
  <c r="BE658" i="191"/>
  <c r="BF658" i="191"/>
  <c r="BG658" i="191"/>
  <c r="BH658" i="191"/>
  <c r="BI658" i="191"/>
  <c r="BJ658" i="191"/>
  <c r="BK658" i="191"/>
  <c r="BD659" i="191"/>
  <c r="BE659" i="191"/>
  <c r="BF659" i="191"/>
  <c r="BG659" i="191"/>
  <c r="BH659" i="191"/>
  <c r="BI659" i="191"/>
  <c r="BJ659" i="191"/>
  <c r="BK659" i="191"/>
  <c r="BD660" i="191"/>
  <c r="BE660" i="191"/>
  <c r="BF660" i="191"/>
  <c r="BG660" i="191"/>
  <c r="BH660" i="191"/>
  <c r="BI660" i="191"/>
  <c r="BJ660" i="191"/>
  <c r="BK660" i="191"/>
  <c r="BD661" i="191"/>
  <c r="BE661" i="191"/>
  <c r="BF661" i="191"/>
  <c r="BG661" i="191"/>
  <c r="BH661" i="191"/>
  <c r="BI661" i="191"/>
  <c r="BJ661" i="191"/>
  <c r="BK661" i="191"/>
  <c r="BD662" i="191"/>
  <c r="BE662" i="191"/>
  <c r="BF662" i="191"/>
  <c r="BG662" i="191"/>
  <c r="BH662" i="191"/>
  <c r="BI662" i="191"/>
  <c r="BJ662" i="191"/>
  <c r="BK662" i="191"/>
  <c r="BD663" i="191"/>
  <c r="BE663" i="191"/>
  <c r="BF663" i="191"/>
  <c r="BG663" i="191"/>
  <c r="BH663" i="191"/>
  <c r="BI663" i="191"/>
  <c r="BJ663" i="191"/>
  <c r="BK663" i="191"/>
  <c r="BD664" i="191"/>
  <c r="BE664" i="191"/>
  <c r="BF664" i="191"/>
  <c r="BG664" i="191"/>
  <c r="BH664" i="191"/>
  <c r="BI664" i="191"/>
  <c r="BJ664" i="191"/>
  <c r="BK664" i="191"/>
  <c r="BD665" i="191"/>
  <c r="BE665" i="191"/>
  <c r="BF665" i="191"/>
  <c r="BG665" i="191"/>
  <c r="BH665" i="191"/>
  <c r="BI665" i="191"/>
  <c r="BJ665" i="191"/>
  <c r="BK665" i="191"/>
  <c r="BD666" i="191"/>
  <c r="BE666" i="191"/>
  <c r="BF666" i="191"/>
  <c r="BG666" i="191"/>
  <c r="BH666" i="191"/>
  <c r="BI666" i="191"/>
  <c r="BJ666" i="191"/>
  <c r="BK666" i="191"/>
  <c r="BD667" i="191"/>
  <c r="BE667" i="191"/>
  <c r="BF667" i="191"/>
  <c r="BG667" i="191"/>
  <c r="BH667" i="191"/>
  <c r="BI667" i="191"/>
  <c r="BJ667" i="191"/>
  <c r="BK667" i="191"/>
  <c r="BD668" i="191"/>
  <c r="BE668" i="191"/>
  <c r="BF668" i="191"/>
  <c r="BG668" i="191"/>
  <c r="BH668" i="191"/>
  <c r="BI668" i="191"/>
  <c r="BJ668" i="191"/>
  <c r="BK668" i="191"/>
  <c r="BD669" i="191"/>
  <c r="BE669" i="191"/>
  <c r="BF669" i="191"/>
  <c r="BG669" i="191"/>
  <c r="BH669" i="191"/>
  <c r="BI669" i="191"/>
  <c r="BJ669" i="191"/>
  <c r="BK669" i="191"/>
  <c r="BD670" i="191"/>
  <c r="BE670" i="191"/>
  <c r="BF670" i="191"/>
  <c r="BG670" i="191"/>
  <c r="BH670" i="191"/>
  <c r="BI670" i="191"/>
  <c r="BJ670" i="191"/>
  <c r="BK670" i="191"/>
  <c r="BD671" i="191"/>
  <c r="BE671" i="191"/>
  <c r="BF671" i="191"/>
  <c r="BG671" i="191"/>
  <c r="BH671" i="191"/>
  <c r="BI671" i="191"/>
  <c r="BJ671" i="191"/>
  <c r="BK671" i="191"/>
  <c r="BD672" i="191"/>
  <c r="BE672" i="191"/>
  <c r="BF672" i="191"/>
  <c r="BG672" i="191"/>
  <c r="BH672" i="191"/>
  <c r="BI672" i="191"/>
  <c r="BJ672" i="191"/>
  <c r="BK672" i="191"/>
  <c r="BD673" i="191"/>
  <c r="BE673" i="191"/>
  <c r="BF673" i="191"/>
  <c r="BG673" i="191"/>
  <c r="BH673" i="191"/>
  <c r="BI673" i="191"/>
  <c r="BJ673" i="191"/>
  <c r="BK673" i="191"/>
  <c r="BD674" i="191"/>
  <c r="BE674" i="191"/>
  <c r="BF674" i="191"/>
  <c r="BG674" i="191"/>
  <c r="BH674" i="191"/>
  <c r="BI674" i="191"/>
  <c r="BJ674" i="191"/>
  <c r="BK674" i="191"/>
  <c r="BD675" i="191"/>
  <c r="BE675" i="191"/>
  <c r="BF675" i="191"/>
  <c r="BG675" i="191"/>
  <c r="BH675" i="191"/>
  <c r="BI675" i="191"/>
  <c r="BJ675" i="191"/>
  <c r="BK675" i="191"/>
  <c r="BD676" i="191"/>
  <c r="BE676" i="191"/>
  <c r="BF676" i="191"/>
  <c r="BG676" i="191"/>
  <c r="BH676" i="191"/>
  <c r="BI676" i="191"/>
  <c r="BJ676" i="191"/>
  <c r="BK676" i="191"/>
  <c r="BD677" i="191"/>
  <c r="BE677" i="191"/>
  <c r="BF677" i="191"/>
  <c r="BG677" i="191"/>
  <c r="BH677" i="191"/>
  <c r="BI677" i="191"/>
  <c r="BJ677" i="191"/>
  <c r="BK677" i="191"/>
  <c r="BD678" i="191"/>
  <c r="BE678" i="191"/>
  <c r="BF678" i="191"/>
  <c r="BG678" i="191"/>
  <c r="BH678" i="191"/>
  <c r="BI678" i="191"/>
  <c r="BJ678" i="191"/>
  <c r="BK678" i="191"/>
  <c r="BD679" i="191"/>
  <c r="BE679" i="191"/>
  <c r="BF679" i="191"/>
  <c r="BG679" i="191"/>
  <c r="BH679" i="191"/>
  <c r="BI679" i="191"/>
  <c r="BJ679" i="191"/>
  <c r="BK679" i="191"/>
  <c r="BD680" i="191"/>
  <c r="BE680" i="191"/>
  <c r="BF680" i="191"/>
  <c r="BG680" i="191"/>
  <c r="BH680" i="191"/>
  <c r="BI680" i="191"/>
  <c r="BJ680" i="191"/>
  <c r="BK680" i="191"/>
  <c r="BD681" i="191"/>
  <c r="BE681" i="191"/>
  <c r="BF681" i="191"/>
  <c r="BG681" i="191"/>
  <c r="BH681" i="191"/>
  <c r="BI681" i="191"/>
  <c r="BJ681" i="191"/>
  <c r="BK681" i="191"/>
  <c r="BD682" i="191"/>
  <c r="BE682" i="191"/>
  <c r="BF682" i="191"/>
  <c r="BG682" i="191"/>
  <c r="BH682" i="191"/>
  <c r="BI682" i="191"/>
  <c r="BJ682" i="191"/>
  <c r="BK682" i="191"/>
  <c r="BD683" i="191"/>
  <c r="BE683" i="191"/>
  <c r="BF683" i="191"/>
  <c r="BG683" i="191"/>
  <c r="BH683" i="191"/>
  <c r="BI683" i="191"/>
  <c r="BJ683" i="191"/>
  <c r="BK683" i="191"/>
  <c r="BD684" i="191"/>
  <c r="BE684" i="191"/>
  <c r="BF684" i="191"/>
  <c r="BG684" i="191"/>
  <c r="BH684" i="191"/>
  <c r="BI684" i="191"/>
  <c r="BJ684" i="191"/>
  <c r="BK684" i="191"/>
  <c r="BD685" i="191"/>
  <c r="BE685" i="191"/>
  <c r="BF685" i="191"/>
  <c r="BG685" i="191"/>
  <c r="BH685" i="191"/>
  <c r="BI685" i="191"/>
  <c r="BJ685" i="191"/>
  <c r="BK685" i="191"/>
  <c r="BD686" i="191"/>
  <c r="BE686" i="191"/>
  <c r="BF686" i="191"/>
  <c r="BG686" i="191"/>
  <c r="BH686" i="191"/>
  <c r="BI686" i="191"/>
  <c r="BJ686" i="191"/>
  <c r="BK686" i="191"/>
  <c r="BD687" i="191"/>
  <c r="BE687" i="191"/>
  <c r="BF687" i="191"/>
  <c r="BG687" i="191"/>
  <c r="BH687" i="191"/>
  <c r="BI687" i="191"/>
  <c r="BJ687" i="191"/>
  <c r="BK687" i="191"/>
  <c r="BD688" i="191"/>
  <c r="BE688" i="191"/>
  <c r="BF688" i="191"/>
  <c r="BG688" i="191"/>
  <c r="BH688" i="191"/>
  <c r="BI688" i="191"/>
  <c r="BJ688" i="191"/>
  <c r="BK688" i="191"/>
  <c r="BD689" i="191"/>
  <c r="BE689" i="191"/>
  <c r="BF689" i="191"/>
  <c r="BG689" i="191"/>
  <c r="BH689" i="191"/>
  <c r="BI689" i="191"/>
  <c r="BJ689" i="191"/>
  <c r="BK689" i="191"/>
  <c r="BD690" i="191"/>
  <c r="BE690" i="191"/>
  <c r="BF690" i="191"/>
  <c r="BG690" i="191"/>
  <c r="BH690" i="191"/>
  <c r="BI690" i="191"/>
  <c r="BJ690" i="191"/>
  <c r="BK690" i="191"/>
  <c r="BD691" i="191"/>
  <c r="BE691" i="191"/>
  <c r="BF691" i="191"/>
  <c r="BG691" i="191"/>
  <c r="BH691" i="191"/>
  <c r="BI691" i="191"/>
  <c r="BJ691" i="191"/>
  <c r="BK691" i="191"/>
  <c r="BD692" i="191"/>
  <c r="BE692" i="191"/>
  <c r="BF692" i="191"/>
  <c r="BG692" i="191"/>
  <c r="BH692" i="191"/>
  <c r="BI692" i="191"/>
  <c r="BJ692" i="191"/>
  <c r="BK692" i="191"/>
  <c r="BD693" i="191"/>
  <c r="BE693" i="191"/>
  <c r="BF693" i="191"/>
  <c r="BG693" i="191"/>
  <c r="BH693" i="191"/>
  <c r="BI693" i="191"/>
  <c r="BJ693" i="191"/>
  <c r="BK693" i="191"/>
  <c r="BD694" i="191"/>
  <c r="BE694" i="191"/>
  <c r="BF694" i="191"/>
  <c r="BG694" i="191"/>
  <c r="BH694" i="191"/>
  <c r="BI694" i="191"/>
  <c r="BJ694" i="191"/>
  <c r="BK694" i="191"/>
  <c r="BD695" i="191"/>
  <c r="BE695" i="191"/>
  <c r="BF695" i="191"/>
  <c r="BG695" i="191"/>
  <c r="BH695" i="191"/>
  <c r="BI695" i="191"/>
  <c r="BJ695" i="191"/>
  <c r="BK695" i="191"/>
  <c r="BD696" i="191"/>
  <c r="BE696" i="191"/>
  <c r="BF696" i="191"/>
  <c r="BG696" i="191"/>
  <c r="BH696" i="191"/>
  <c r="BI696" i="191"/>
  <c r="BJ696" i="191"/>
  <c r="BK696" i="191"/>
  <c r="BD697" i="191"/>
  <c r="BE697" i="191"/>
  <c r="BF697" i="191"/>
  <c r="BG697" i="191"/>
  <c r="BH697" i="191"/>
  <c r="BI697" i="191"/>
  <c r="BJ697" i="191"/>
  <c r="BK697" i="191"/>
  <c r="BD698" i="191"/>
  <c r="BE698" i="191"/>
  <c r="BF698" i="191"/>
  <c r="BG698" i="191"/>
  <c r="BH698" i="191"/>
  <c r="BI698" i="191"/>
  <c r="BJ698" i="191"/>
  <c r="BK698" i="191"/>
  <c r="BD699" i="191"/>
  <c r="BE699" i="191"/>
  <c r="BF699" i="191"/>
  <c r="BG699" i="191"/>
  <c r="BH699" i="191"/>
  <c r="BI699" i="191"/>
  <c r="BJ699" i="191"/>
  <c r="BK699" i="191"/>
  <c r="BD700" i="191"/>
  <c r="BE700" i="191"/>
  <c r="BF700" i="191"/>
  <c r="BG700" i="191"/>
  <c r="BH700" i="191"/>
  <c r="BI700" i="191"/>
  <c r="BJ700" i="191"/>
  <c r="BK700" i="191"/>
  <c r="BD701" i="191"/>
  <c r="BE701" i="191"/>
  <c r="BF701" i="191"/>
  <c r="BG701" i="191"/>
  <c r="BH701" i="191"/>
  <c r="BI701" i="191"/>
  <c r="BJ701" i="191"/>
  <c r="BK701" i="191"/>
  <c r="BD702" i="191"/>
  <c r="BE702" i="191"/>
  <c r="BF702" i="191"/>
  <c r="BG702" i="191"/>
  <c r="BH702" i="191"/>
  <c r="BI702" i="191"/>
  <c r="BJ702" i="191"/>
  <c r="BK702" i="191"/>
  <c r="BD703" i="191"/>
  <c r="BE703" i="191"/>
  <c r="BF703" i="191"/>
  <c r="BG703" i="191"/>
  <c r="BH703" i="191"/>
  <c r="BI703" i="191"/>
  <c r="BJ703" i="191"/>
  <c r="BK703" i="191"/>
  <c r="BD704" i="191"/>
  <c r="BE704" i="191"/>
  <c r="BF704" i="191"/>
  <c r="BG704" i="191"/>
  <c r="BH704" i="191"/>
  <c r="BI704" i="191"/>
  <c r="BJ704" i="191"/>
  <c r="BK704" i="191"/>
  <c r="BD705" i="191"/>
  <c r="BE705" i="191"/>
  <c r="BF705" i="191"/>
  <c r="BG705" i="191"/>
  <c r="BH705" i="191"/>
  <c r="BI705" i="191"/>
  <c r="BJ705" i="191"/>
  <c r="BK705" i="191"/>
  <c r="BD706" i="191"/>
  <c r="BE706" i="191"/>
  <c r="BF706" i="191"/>
  <c r="BG706" i="191"/>
  <c r="BH706" i="191"/>
  <c r="BI706" i="191"/>
  <c r="BJ706" i="191"/>
  <c r="BK706" i="191"/>
  <c r="BD707" i="191"/>
  <c r="BE707" i="191"/>
  <c r="BF707" i="191"/>
  <c r="BG707" i="191"/>
  <c r="BH707" i="191"/>
  <c r="BI707" i="191"/>
  <c r="BJ707" i="191"/>
  <c r="BK707" i="191"/>
  <c r="BD708" i="191"/>
  <c r="BE708" i="191"/>
  <c r="BF708" i="191"/>
  <c r="BG708" i="191"/>
  <c r="BH708" i="191"/>
  <c r="BI708" i="191"/>
  <c r="BJ708" i="191"/>
  <c r="BK708" i="191"/>
  <c r="BD709" i="191"/>
  <c r="BE709" i="191"/>
  <c r="BF709" i="191"/>
  <c r="BG709" i="191"/>
  <c r="BH709" i="191"/>
  <c r="BI709" i="191"/>
  <c r="BJ709" i="191"/>
  <c r="BK709" i="191"/>
  <c r="BD710" i="191"/>
  <c r="BE710" i="191"/>
  <c r="BF710" i="191"/>
  <c r="BG710" i="191"/>
  <c r="BH710" i="191"/>
  <c r="BI710" i="191"/>
  <c r="BJ710" i="191"/>
  <c r="BK710" i="191"/>
  <c r="BD711" i="191"/>
  <c r="BE711" i="191"/>
  <c r="BF711" i="191"/>
  <c r="BG711" i="191"/>
  <c r="BH711" i="191"/>
  <c r="BI711" i="191"/>
  <c r="BJ711" i="191"/>
  <c r="BK711" i="191"/>
  <c r="BD712" i="191"/>
  <c r="BE712" i="191"/>
  <c r="BF712" i="191"/>
  <c r="BG712" i="191"/>
  <c r="BH712" i="191"/>
  <c r="BI712" i="191"/>
  <c r="BJ712" i="191"/>
  <c r="BK712" i="191"/>
  <c r="BD713" i="191"/>
  <c r="BE713" i="191"/>
  <c r="BF713" i="191"/>
  <c r="BG713" i="191"/>
  <c r="BH713" i="191"/>
  <c r="BI713" i="191"/>
  <c r="BJ713" i="191"/>
  <c r="BK713" i="191"/>
  <c r="BD714" i="191"/>
  <c r="BE714" i="191"/>
  <c r="BF714" i="191"/>
  <c r="BG714" i="191"/>
  <c r="BH714" i="191"/>
  <c r="BI714" i="191"/>
  <c r="BJ714" i="191"/>
  <c r="BK714" i="191"/>
  <c r="BD715" i="191"/>
  <c r="BE715" i="191"/>
  <c r="BF715" i="191"/>
  <c r="BG715" i="191"/>
  <c r="BH715" i="191"/>
  <c r="BI715" i="191"/>
  <c r="BJ715" i="191"/>
  <c r="BK715" i="191"/>
  <c r="BD716" i="191"/>
  <c r="BE716" i="191"/>
  <c r="BF716" i="191"/>
  <c r="BG716" i="191"/>
  <c r="BH716" i="191"/>
  <c r="BI716" i="191"/>
  <c r="BJ716" i="191"/>
  <c r="BK716" i="191"/>
  <c r="BD717" i="191"/>
  <c r="BE717" i="191"/>
  <c r="BF717" i="191"/>
  <c r="BG717" i="191"/>
  <c r="BH717" i="191"/>
  <c r="BI717" i="191"/>
  <c r="BJ717" i="191"/>
  <c r="BK717" i="191"/>
  <c r="BD718" i="191"/>
  <c r="BE718" i="191"/>
  <c r="BF718" i="191"/>
  <c r="BG718" i="191"/>
  <c r="BH718" i="191"/>
  <c r="BI718" i="191"/>
  <c r="BJ718" i="191"/>
  <c r="BK718" i="191"/>
  <c r="BD719" i="191"/>
  <c r="BE719" i="191"/>
  <c r="BF719" i="191"/>
  <c r="BG719" i="191"/>
  <c r="BH719" i="191"/>
  <c r="BI719" i="191"/>
  <c r="BJ719" i="191"/>
  <c r="BK719" i="191"/>
  <c r="BD720" i="191"/>
  <c r="BE720" i="191"/>
  <c r="BF720" i="191"/>
  <c r="BG720" i="191"/>
  <c r="BH720" i="191"/>
  <c r="BI720" i="191"/>
  <c r="BJ720" i="191"/>
  <c r="BK720" i="191"/>
  <c r="BD721" i="191"/>
  <c r="BE721" i="191"/>
  <c r="BF721" i="191"/>
  <c r="BG721" i="191"/>
  <c r="BH721" i="191"/>
  <c r="BI721" i="191"/>
  <c r="BJ721" i="191"/>
  <c r="BK721" i="191"/>
  <c r="BD722" i="191"/>
  <c r="BE722" i="191"/>
  <c r="BF722" i="191"/>
  <c r="BG722" i="191"/>
  <c r="BH722" i="191"/>
  <c r="BI722" i="191"/>
  <c r="BJ722" i="191"/>
  <c r="BK722" i="191"/>
  <c r="BD723" i="191"/>
  <c r="BE723" i="191"/>
  <c r="BF723" i="191"/>
  <c r="BG723" i="191"/>
  <c r="BH723" i="191"/>
  <c r="BI723" i="191"/>
  <c r="BJ723" i="191"/>
  <c r="BK723" i="191"/>
  <c r="BD724" i="191"/>
  <c r="BE724" i="191"/>
  <c r="BF724" i="191"/>
  <c r="BG724" i="191"/>
  <c r="BH724" i="191"/>
  <c r="BI724" i="191"/>
  <c r="BJ724" i="191"/>
  <c r="BK724" i="191"/>
  <c r="BD725" i="191"/>
  <c r="BE725" i="191"/>
  <c r="BF725" i="191"/>
  <c r="BG725" i="191"/>
  <c r="BH725" i="191"/>
  <c r="BI725" i="191"/>
  <c r="BJ725" i="191"/>
  <c r="BK725" i="191"/>
  <c r="BD726" i="191"/>
  <c r="BE726" i="191"/>
  <c r="BF726" i="191"/>
  <c r="BG726" i="191"/>
  <c r="BH726" i="191"/>
  <c r="BI726" i="191"/>
  <c r="BJ726" i="191"/>
  <c r="BK726" i="191"/>
  <c r="BD727" i="191"/>
  <c r="BE727" i="191"/>
  <c r="BF727" i="191"/>
  <c r="BG727" i="191"/>
  <c r="BH727" i="191"/>
  <c r="BI727" i="191"/>
  <c r="BJ727" i="191"/>
  <c r="BK727" i="191"/>
  <c r="BD728" i="191"/>
  <c r="BE728" i="191"/>
  <c r="BF728" i="191"/>
  <c r="BG728" i="191"/>
  <c r="BH728" i="191"/>
  <c r="BI728" i="191"/>
  <c r="BJ728" i="191"/>
  <c r="BK728" i="191"/>
  <c r="BD729" i="191"/>
  <c r="BE729" i="191"/>
  <c r="BF729" i="191"/>
  <c r="BG729" i="191"/>
  <c r="BH729" i="191"/>
  <c r="BI729" i="191"/>
  <c r="BJ729" i="191"/>
  <c r="BK729" i="191"/>
  <c r="BD730" i="191"/>
  <c r="BE730" i="191"/>
  <c r="BF730" i="191"/>
  <c r="BG730" i="191"/>
  <c r="BH730" i="191"/>
  <c r="BI730" i="191"/>
  <c r="BJ730" i="191"/>
  <c r="BK730" i="191"/>
  <c r="BD731" i="191"/>
  <c r="BE731" i="191"/>
  <c r="BF731" i="191"/>
  <c r="BG731" i="191"/>
  <c r="BH731" i="191"/>
  <c r="BI731" i="191"/>
  <c r="BJ731" i="191"/>
  <c r="BK731" i="191"/>
  <c r="BD732" i="191"/>
  <c r="BE732" i="191"/>
  <c r="BF732" i="191"/>
  <c r="BG732" i="191"/>
  <c r="BH732" i="191"/>
  <c r="BI732" i="191"/>
  <c r="BJ732" i="191"/>
  <c r="BK732" i="191"/>
  <c r="BD733" i="191"/>
  <c r="BE733" i="191"/>
  <c r="BF733" i="191"/>
  <c r="BG733" i="191"/>
  <c r="BH733" i="191"/>
  <c r="BI733" i="191"/>
  <c r="BJ733" i="191"/>
  <c r="BK733" i="191"/>
  <c r="BD734" i="191"/>
  <c r="BE734" i="191"/>
  <c r="BF734" i="191"/>
  <c r="BG734" i="191"/>
  <c r="BH734" i="191"/>
  <c r="BI734" i="191"/>
  <c r="BJ734" i="191"/>
  <c r="BK734" i="191"/>
  <c r="BD735" i="191"/>
  <c r="BE735" i="191"/>
  <c r="BF735" i="191"/>
  <c r="BG735" i="191"/>
  <c r="BH735" i="191"/>
  <c r="BI735" i="191"/>
  <c r="BJ735" i="191"/>
  <c r="BK735" i="191"/>
  <c r="BD736" i="191"/>
  <c r="BE736" i="191"/>
  <c r="BF736" i="191"/>
  <c r="BG736" i="191"/>
  <c r="BH736" i="191"/>
  <c r="BI736" i="191"/>
  <c r="BJ736" i="191"/>
  <c r="BK736" i="191"/>
  <c r="BD737" i="191"/>
  <c r="BE737" i="191"/>
  <c r="BF737" i="191"/>
  <c r="BG737" i="191"/>
  <c r="BH737" i="191"/>
  <c r="BI737" i="191"/>
  <c r="BJ737" i="191"/>
  <c r="BK737" i="191"/>
  <c r="BD738" i="191"/>
  <c r="BE738" i="191"/>
  <c r="BF738" i="191"/>
  <c r="BG738" i="191"/>
  <c r="BH738" i="191"/>
  <c r="BI738" i="191"/>
  <c r="BJ738" i="191"/>
  <c r="BK738" i="191"/>
  <c r="BD739" i="191"/>
  <c r="BE739" i="191"/>
  <c r="BF739" i="191"/>
  <c r="BG739" i="191"/>
  <c r="BH739" i="191"/>
  <c r="BI739" i="191"/>
  <c r="BJ739" i="191"/>
  <c r="BK739" i="191"/>
  <c r="BD740" i="191"/>
  <c r="BE740" i="191"/>
  <c r="BF740" i="191"/>
  <c r="BG740" i="191"/>
  <c r="BH740" i="191"/>
  <c r="BI740" i="191"/>
  <c r="BJ740" i="191"/>
  <c r="BK740" i="191"/>
  <c r="BD741" i="191"/>
  <c r="BE741" i="191"/>
  <c r="BF741" i="191"/>
  <c r="BG741" i="191"/>
  <c r="BH741" i="191"/>
  <c r="BI741" i="191"/>
  <c r="BJ741" i="191"/>
  <c r="BK741" i="191"/>
  <c r="BD742" i="191"/>
  <c r="BE742" i="191"/>
  <c r="BF742" i="191"/>
  <c r="BG742" i="191"/>
  <c r="BH742" i="191"/>
  <c r="BI742" i="191"/>
  <c r="BJ742" i="191"/>
  <c r="BK742" i="191"/>
  <c r="BD743" i="191"/>
  <c r="BE743" i="191"/>
  <c r="BF743" i="191"/>
  <c r="BG743" i="191"/>
  <c r="BH743" i="191"/>
  <c r="BI743" i="191"/>
  <c r="BJ743" i="191"/>
  <c r="BK743" i="191"/>
  <c r="BD744" i="191"/>
  <c r="BE744" i="191"/>
  <c r="BF744" i="191"/>
  <c r="BG744" i="191"/>
  <c r="BH744" i="191"/>
  <c r="BI744" i="191"/>
  <c r="BJ744" i="191"/>
  <c r="BK744" i="191"/>
  <c r="BD745" i="191"/>
  <c r="BE745" i="191"/>
  <c r="BF745" i="191"/>
  <c r="BG745" i="191"/>
  <c r="BH745" i="191"/>
  <c r="BI745" i="191"/>
  <c r="BJ745" i="191"/>
  <c r="BK745" i="191"/>
  <c r="BD746" i="191"/>
  <c r="BE746" i="191"/>
  <c r="BF746" i="191"/>
  <c r="BG746" i="191"/>
  <c r="BH746" i="191"/>
  <c r="BI746" i="191"/>
  <c r="BJ746" i="191"/>
  <c r="BK746" i="191"/>
  <c r="BD747" i="191"/>
  <c r="BE747" i="191"/>
  <c r="BF747" i="191"/>
  <c r="BG747" i="191"/>
  <c r="BH747" i="191"/>
  <c r="BI747" i="191"/>
  <c r="BJ747" i="191"/>
  <c r="BK747" i="191"/>
  <c r="BD748" i="191"/>
  <c r="BE748" i="191"/>
  <c r="BF748" i="191"/>
  <c r="BG748" i="191"/>
  <c r="BH748" i="191"/>
  <c r="BI748" i="191"/>
  <c r="BJ748" i="191"/>
  <c r="BK748" i="191"/>
  <c r="BD749" i="191"/>
  <c r="BE749" i="191"/>
  <c r="BF749" i="191"/>
  <c r="BG749" i="191"/>
  <c r="BH749" i="191"/>
  <c r="BI749" i="191"/>
  <c r="BJ749" i="191"/>
  <c r="BK749" i="191"/>
  <c r="BD750" i="191"/>
  <c r="BE750" i="191"/>
  <c r="BF750" i="191"/>
  <c r="BG750" i="191"/>
  <c r="BH750" i="191"/>
  <c r="BI750" i="191"/>
  <c r="BJ750" i="191"/>
  <c r="BK750" i="191"/>
  <c r="BD751" i="191"/>
  <c r="BE751" i="191"/>
  <c r="BF751" i="191"/>
  <c r="BG751" i="191"/>
  <c r="BH751" i="191"/>
  <c r="BI751" i="191"/>
  <c r="BJ751" i="191"/>
  <c r="BK751" i="191"/>
  <c r="BD752" i="191"/>
  <c r="BE752" i="191"/>
  <c r="BF752" i="191"/>
  <c r="BG752" i="191"/>
  <c r="BH752" i="191"/>
  <c r="BI752" i="191"/>
  <c r="BJ752" i="191"/>
  <c r="BK752" i="191"/>
  <c r="BD753" i="191"/>
  <c r="BE753" i="191"/>
  <c r="BF753" i="191"/>
  <c r="BG753" i="191"/>
  <c r="BH753" i="191"/>
  <c r="BI753" i="191"/>
  <c r="BJ753" i="191"/>
  <c r="BK753" i="191"/>
  <c r="BD754" i="191"/>
  <c r="BE754" i="191"/>
  <c r="BF754" i="191"/>
  <c r="BG754" i="191"/>
  <c r="BH754" i="191"/>
  <c r="BI754" i="191"/>
  <c r="BJ754" i="191"/>
  <c r="BK754" i="191"/>
  <c r="BD755" i="191"/>
  <c r="BE755" i="191"/>
  <c r="BF755" i="191"/>
  <c r="BG755" i="191"/>
  <c r="BH755" i="191"/>
  <c r="BI755" i="191"/>
  <c r="BJ755" i="191"/>
  <c r="BK755" i="191"/>
  <c r="BD756" i="191"/>
  <c r="BE756" i="191"/>
  <c r="BF756" i="191"/>
  <c r="BG756" i="191"/>
  <c r="BH756" i="191"/>
  <c r="BI756" i="191"/>
  <c r="BJ756" i="191"/>
  <c r="BK756" i="191"/>
  <c r="BD757" i="191"/>
  <c r="BE757" i="191"/>
  <c r="BF757" i="191"/>
  <c r="BG757" i="191"/>
  <c r="BH757" i="191"/>
  <c r="BI757" i="191"/>
  <c r="BJ757" i="191"/>
  <c r="BK757" i="191"/>
  <c r="BD758" i="191"/>
  <c r="BE758" i="191"/>
  <c r="BF758" i="191"/>
  <c r="BG758" i="191"/>
  <c r="BH758" i="191"/>
  <c r="BI758" i="191"/>
  <c r="BJ758" i="191"/>
  <c r="BK758" i="191"/>
  <c r="BD759" i="191"/>
  <c r="BE759" i="191"/>
  <c r="BF759" i="191"/>
  <c r="BG759" i="191"/>
  <c r="BH759" i="191"/>
  <c r="BI759" i="191"/>
  <c r="BJ759" i="191"/>
  <c r="BK759" i="191"/>
  <c r="BD760" i="191"/>
  <c r="BE760" i="191"/>
  <c r="BF760" i="191"/>
  <c r="BG760" i="191"/>
  <c r="BH760" i="191"/>
  <c r="BI760" i="191"/>
  <c r="BJ760" i="191"/>
  <c r="BK760" i="191"/>
  <c r="BD761" i="191"/>
  <c r="BE761" i="191"/>
  <c r="BF761" i="191"/>
  <c r="BG761" i="191"/>
  <c r="BH761" i="191"/>
  <c r="BI761" i="191"/>
  <c r="BJ761" i="191"/>
  <c r="BK761" i="191"/>
  <c r="BD762" i="191"/>
  <c r="BE762" i="191"/>
  <c r="BF762" i="191"/>
  <c r="BG762" i="191"/>
  <c r="BH762" i="191"/>
  <c r="BI762" i="191"/>
  <c r="BJ762" i="191"/>
  <c r="BK762" i="191"/>
  <c r="BD763" i="191"/>
  <c r="BE763" i="191"/>
  <c r="BF763" i="191"/>
  <c r="BG763" i="191"/>
  <c r="BH763" i="191"/>
  <c r="BI763" i="191"/>
  <c r="BJ763" i="191"/>
  <c r="BK763" i="191"/>
  <c r="BD764" i="191"/>
  <c r="BE764" i="191"/>
  <c r="BF764" i="191"/>
  <c r="BG764" i="191"/>
  <c r="BH764" i="191"/>
  <c r="BI764" i="191"/>
  <c r="BJ764" i="191"/>
  <c r="BK764" i="191"/>
  <c r="BD765" i="191"/>
  <c r="BE765" i="191"/>
  <c r="BF765" i="191"/>
  <c r="BG765" i="191"/>
  <c r="BH765" i="191"/>
  <c r="BI765" i="191"/>
  <c r="BJ765" i="191"/>
  <c r="BK765" i="191"/>
  <c r="BD766" i="191"/>
  <c r="BE766" i="191"/>
  <c r="BF766" i="191"/>
  <c r="BG766" i="191"/>
  <c r="BH766" i="191"/>
  <c r="BI766" i="191"/>
  <c r="BJ766" i="191"/>
  <c r="BK766" i="191"/>
  <c r="BD767" i="191"/>
  <c r="BE767" i="191"/>
  <c r="BF767" i="191"/>
  <c r="BG767" i="191"/>
  <c r="BH767" i="191"/>
  <c r="BI767" i="191"/>
  <c r="BJ767" i="191"/>
  <c r="BK767" i="191"/>
  <c r="BD768" i="191"/>
  <c r="BE768" i="191"/>
  <c r="BF768" i="191"/>
  <c r="BG768" i="191"/>
  <c r="BH768" i="191"/>
  <c r="BI768" i="191"/>
  <c r="BJ768" i="191"/>
  <c r="BK768" i="191"/>
  <c r="BD769" i="191"/>
  <c r="BE769" i="191"/>
  <c r="BF769" i="191"/>
  <c r="BG769" i="191"/>
  <c r="BH769" i="191"/>
  <c r="BI769" i="191"/>
  <c r="BJ769" i="191"/>
  <c r="BK769" i="191"/>
  <c r="BD770" i="191"/>
  <c r="BE770" i="191"/>
  <c r="BF770" i="191"/>
  <c r="BG770" i="191"/>
  <c r="BH770" i="191"/>
  <c r="BI770" i="191"/>
  <c r="BJ770" i="191"/>
  <c r="BK770" i="191"/>
  <c r="BD771" i="191"/>
  <c r="BE771" i="191"/>
  <c r="BF771" i="191"/>
  <c r="BG771" i="191"/>
  <c r="BH771" i="191"/>
  <c r="BI771" i="191"/>
  <c r="BJ771" i="191"/>
  <c r="BK771" i="191"/>
  <c r="BD772" i="191"/>
  <c r="BE772" i="191"/>
  <c r="BF772" i="191"/>
  <c r="BG772" i="191"/>
  <c r="BH772" i="191"/>
  <c r="BI772" i="191"/>
  <c r="BJ772" i="191"/>
  <c r="BK772" i="191"/>
  <c r="BD773" i="191"/>
  <c r="BE773" i="191"/>
  <c r="BF773" i="191"/>
  <c r="BG773" i="191"/>
  <c r="BH773" i="191"/>
  <c r="BI773" i="191"/>
  <c r="BJ773" i="191"/>
  <c r="BK773" i="191"/>
  <c r="BD774" i="191"/>
  <c r="BE774" i="191"/>
  <c r="BF774" i="191"/>
  <c r="BG774" i="191"/>
  <c r="BH774" i="191"/>
  <c r="BI774" i="191"/>
  <c r="BJ774" i="191"/>
  <c r="BK774" i="191"/>
  <c r="BD775" i="191"/>
  <c r="BE775" i="191"/>
  <c r="BF775" i="191"/>
  <c r="BG775" i="191"/>
  <c r="BH775" i="191"/>
  <c r="BI775" i="191"/>
  <c r="BJ775" i="191"/>
  <c r="BK775" i="191"/>
  <c r="BD776" i="191"/>
  <c r="BE776" i="191"/>
  <c r="BF776" i="191"/>
  <c r="BG776" i="191"/>
  <c r="BH776" i="191"/>
  <c r="BI776" i="191"/>
  <c r="BJ776" i="191"/>
  <c r="BK776" i="191"/>
  <c r="BD777" i="191"/>
  <c r="BE777" i="191"/>
  <c r="BF777" i="191"/>
  <c r="BG777" i="191"/>
  <c r="BH777" i="191"/>
  <c r="BI777" i="191"/>
  <c r="BJ777" i="191"/>
  <c r="BK777" i="191"/>
  <c r="BD778" i="191"/>
  <c r="BE778" i="191"/>
  <c r="BF778" i="191"/>
  <c r="BG778" i="191"/>
  <c r="BH778" i="191"/>
  <c r="BI778" i="191"/>
  <c r="BJ778" i="191"/>
  <c r="BK778" i="191"/>
  <c r="BD779" i="191"/>
  <c r="BE779" i="191"/>
  <c r="BF779" i="191"/>
  <c r="BG779" i="191"/>
  <c r="BH779" i="191"/>
  <c r="BI779" i="191"/>
  <c r="BJ779" i="191"/>
  <c r="BK779" i="191"/>
  <c r="BD780" i="191"/>
  <c r="BE780" i="191"/>
  <c r="BF780" i="191"/>
  <c r="BG780" i="191"/>
  <c r="BH780" i="191"/>
  <c r="BI780" i="191"/>
  <c r="BJ780" i="191"/>
  <c r="BK780" i="191"/>
  <c r="BD781" i="191"/>
  <c r="BE781" i="191"/>
  <c r="BF781" i="191"/>
  <c r="BG781" i="191"/>
  <c r="BH781" i="191"/>
  <c r="BI781" i="191"/>
  <c r="BJ781" i="191"/>
  <c r="BK781" i="191"/>
  <c r="BD782" i="191"/>
  <c r="BE782" i="191"/>
  <c r="BF782" i="191"/>
  <c r="BG782" i="191"/>
  <c r="BH782" i="191"/>
  <c r="BI782" i="191"/>
  <c r="BJ782" i="191"/>
  <c r="BK782" i="191"/>
  <c r="BD783" i="191"/>
  <c r="BE783" i="191"/>
  <c r="BF783" i="191"/>
  <c r="BG783" i="191"/>
  <c r="BH783" i="191"/>
  <c r="BI783" i="191"/>
  <c r="BJ783" i="191"/>
  <c r="BK783" i="191"/>
  <c r="BD784" i="191"/>
  <c r="BE784" i="191"/>
  <c r="BF784" i="191"/>
  <c r="BG784" i="191"/>
  <c r="BH784" i="191"/>
  <c r="BI784" i="191"/>
  <c r="BJ784" i="191"/>
  <c r="BK784" i="191"/>
  <c r="BD785" i="191"/>
  <c r="BE785" i="191"/>
  <c r="BF785" i="191"/>
  <c r="BG785" i="191"/>
  <c r="BH785" i="191"/>
  <c r="BI785" i="191"/>
  <c r="BJ785" i="191"/>
  <c r="BK785" i="191"/>
  <c r="BD786" i="191"/>
  <c r="BE786" i="191"/>
  <c r="BF786" i="191"/>
  <c r="BG786" i="191"/>
  <c r="BH786" i="191"/>
  <c r="BI786" i="191"/>
  <c r="BJ786" i="191"/>
  <c r="BK786" i="191"/>
  <c r="BD787" i="191"/>
  <c r="BE787" i="191"/>
  <c r="BF787" i="191"/>
  <c r="BG787" i="191"/>
  <c r="BH787" i="191"/>
  <c r="BI787" i="191"/>
  <c r="BJ787" i="191"/>
  <c r="BK787" i="191"/>
  <c r="BD788" i="191"/>
  <c r="BE788" i="191"/>
  <c r="BF788" i="191"/>
  <c r="BG788" i="191"/>
  <c r="BH788" i="191"/>
  <c r="BI788" i="191"/>
  <c r="BJ788" i="191"/>
  <c r="BK788" i="191"/>
  <c r="BD789" i="191"/>
  <c r="BE789" i="191"/>
  <c r="BF789" i="191"/>
  <c r="BG789" i="191"/>
  <c r="BH789" i="191"/>
  <c r="BI789" i="191"/>
  <c r="BJ789" i="191"/>
  <c r="BK789" i="191"/>
  <c r="BD790" i="191"/>
  <c r="BE790" i="191"/>
  <c r="BF790" i="191"/>
  <c r="BG790" i="191"/>
  <c r="BH790" i="191"/>
  <c r="BI790" i="191"/>
  <c r="BJ790" i="191"/>
  <c r="BK790" i="191"/>
  <c r="BD791" i="191"/>
  <c r="BE791" i="191"/>
  <c r="BF791" i="191"/>
  <c r="BG791" i="191"/>
  <c r="BH791" i="191"/>
  <c r="BI791" i="191"/>
  <c r="BJ791" i="191"/>
  <c r="BK791" i="191"/>
  <c r="BD792" i="191"/>
  <c r="BE792" i="191"/>
  <c r="BF792" i="191"/>
  <c r="BG792" i="191"/>
  <c r="BH792" i="191"/>
  <c r="BI792" i="191"/>
  <c r="BJ792" i="191"/>
  <c r="BK792" i="191"/>
  <c r="BD793" i="191"/>
  <c r="BE793" i="191"/>
  <c r="BF793" i="191"/>
  <c r="BG793" i="191"/>
  <c r="BH793" i="191"/>
  <c r="BI793" i="191"/>
  <c r="BJ793" i="191"/>
  <c r="BK793" i="191"/>
  <c r="BD794" i="191"/>
  <c r="BE794" i="191"/>
  <c r="BF794" i="191"/>
  <c r="BG794" i="191"/>
  <c r="BH794" i="191"/>
  <c r="BI794" i="191"/>
  <c r="BJ794" i="191"/>
  <c r="BK794" i="191"/>
  <c r="BD795" i="191"/>
  <c r="BE795" i="191"/>
  <c r="BF795" i="191"/>
  <c r="BG795" i="191"/>
  <c r="BH795" i="191"/>
  <c r="BI795" i="191"/>
  <c r="BJ795" i="191"/>
  <c r="BK795" i="191"/>
  <c r="BD796" i="191"/>
  <c r="BE796" i="191"/>
  <c r="BF796" i="191"/>
  <c r="BG796" i="191"/>
  <c r="BH796" i="191"/>
  <c r="BI796" i="191"/>
  <c r="BJ796" i="191"/>
  <c r="BK796" i="191"/>
  <c r="BD797" i="191"/>
  <c r="BE797" i="191"/>
  <c r="BF797" i="191"/>
  <c r="BG797" i="191"/>
  <c r="BH797" i="191"/>
  <c r="BI797" i="191"/>
  <c r="BJ797" i="191"/>
  <c r="BK797" i="191"/>
  <c r="BD798" i="191"/>
  <c r="BE798" i="191"/>
  <c r="BF798" i="191"/>
  <c r="BG798" i="191"/>
  <c r="BH798" i="191"/>
  <c r="BI798" i="191"/>
  <c r="BJ798" i="191"/>
  <c r="BK798" i="191"/>
  <c r="BD799" i="191"/>
  <c r="BE799" i="191"/>
  <c r="BF799" i="191"/>
  <c r="BG799" i="191"/>
  <c r="BH799" i="191"/>
  <c r="BI799" i="191"/>
  <c r="BJ799" i="191"/>
  <c r="BK799" i="191"/>
  <c r="BD800" i="191"/>
  <c r="BE800" i="191"/>
  <c r="BF800" i="191"/>
  <c r="BG800" i="191"/>
  <c r="BH800" i="191"/>
  <c r="BI800" i="191"/>
  <c r="BJ800" i="191"/>
  <c r="BK800" i="191"/>
  <c r="BD801" i="191"/>
  <c r="BE801" i="191"/>
  <c r="BF801" i="191"/>
  <c r="BG801" i="191"/>
  <c r="BH801" i="191"/>
  <c r="BI801" i="191"/>
  <c r="BJ801" i="191"/>
  <c r="BK801" i="191"/>
  <c r="BD802" i="191"/>
  <c r="BE802" i="191"/>
  <c r="BF802" i="191"/>
  <c r="BG802" i="191"/>
  <c r="BH802" i="191"/>
  <c r="BI802" i="191"/>
  <c r="BJ802" i="191"/>
  <c r="BK802" i="191"/>
  <c r="BD803" i="191"/>
  <c r="BE803" i="191"/>
  <c r="BF803" i="191"/>
  <c r="BG803" i="191"/>
  <c r="BH803" i="191"/>
  <c r="BI803" i="191"/>
  <c r="BJ803" i="191"/>
  <c r="BK803" i="191"/>
  <c r="BD804" i="191"/>
  <c r="BE804" i="191"/>
  <c r="BF804" i="191"/>
  <c r="BG804" i="191"/>
  <c r="BH804" i="191"/>
  <c r="BI804" i="191"/>
  <c r="BJ804" i="191"/>
  <c r="BK804" i="191"/>
  <c r="BD805" i="191"/>
  <c r="BE805" i="191"/>
  <c r="BF805" i="191"/>
  <c r="BG805" i="191"/>
  <c r="BH805" i="191"/>
  <c r="BI805" i="191"/>
  <c r="BJ805" i="191"/>
  <c r="BK805" i="191"/>
  <c r="BD806" i="191"/>
  <c r="BE806" i="191"/>
  <c r="BF806" i="191"/>
  <c r="BG806" i="191"/>
  <c r="BH806" i="191"/>
  <c r="BI806" i="191"/>
  <c r="BJ806" i="191"/>
  <c r="BK806" i="191"/>
  <c r="BD807" i="191"/>
  <c r="BE807" i="191"/>
  <c r="BF807" i="191"/>
  <c r="BG807" i="191"/>
  <c r="BH807" i="191"/>
  <c r="BI807" i="191"/>
  <c r="BJ807" i="191"/>
  <c r="BK807" i="191"/>
  <c r="BD808" i="191"/>
  <c r="BE808" i="191"/>
  <c r="BF808" i="191"/>
  <c r="BG808" i="191"/>
  <c r="BH808" i="191"/>
  <c r="BI808" i="191"/>
  <c r="BJ808" i="191"/>
  <c r="BK808" i="191"/>
  <c r="BD809" i="191"/>
  <c r="BE809" i="191"/>
  <c r="BF809" i="191"/>
  <c r="BG809" i="191"/>
  <c r="BH809" i="191"/>
  <c r="BI809" i="191"/>
  <c r="BJ809" i="191"/>
  <c r="BK809" i="191"/>
  <c r="BD810" i="191"/>
  <c r="BE810" i="191"/>
  <c r="BF810" i="191"/>
  <c r="BG810" i="191"/>
  <c r="BH810" i="191"/>
  <c r="BI810" i="191"/>
  <c r="BJ810" i="191"/>
  <c r="BK810" i="191"/>
  <c r="BD811" i="191"/>
  <c r="BE811" i="191"/>
  <c r="BF811" i="191"/>
  <c r="BG811" i="191"/>
  <c r="BH811" i="191"/>
  <c r="BI811" i="191"/>
  <c r="BJ811" i="191"/>
  <c r="BK811" i="191"/>
  <c r="BD812" i="191"/>
  <c r="BE812" i="191"/>
  <c r="BF812" i="191"/>
  <c r="BG812" i="191"/>
  <c r="BH812" i="191"/>
  <c r="BI812" i="191"/>
  <c r="BJ812" i="191"/>
  <c r="BK812" i="191"/>
  <c r="BD813" i="191"/>
  <c r="BE813" i="191"/>
  <c r="BF813" i="191"/>
  <c r="BG813" i="191"/>
  <c r="BH813" i="191"/>
  <c r="BI813" i="191"/>
  <c r="BJ813" i="191"/>
  <c r="BK813" i="191"/>
  <c r="BD814" i="191"/>
  <c r="BE814" i="191"/>
  <c r="BF814" i="191"/>
  <c r="BG814" i="191"/>
  <c r="BH814" i="191"/>
  <c r="BI814" i="191"/>
  <c r="BJ814" i="191"/>
  <c r="BK814" i="191"/>
  <c r="BD815" i="191"/>
  <c r="BE815" i="191"/>
  <c r="BF815" i="191"/>
  <c r="BG815" i="191"/>
  <c r="BH815" i="191"/>
  <c r="BI815" i="191"/>
  <c r="BJ815" i="191"/>
  <c r="BK815" i="191"/>
  <c r="BD816" i="191"/>
  <c r="BE816" i="191"/>
  <c r="BF816" i="191"/>
  <c r="BG816" i="191"/>
  <c r="BH816" i="191"/>
  <c r="BI816" i="191"/>
  <c r="BJ816" i="191"/>
  <c r="BK816" i="191"/>
  <c r="BD817" i="191"/>
  <c r="BE817" i="191"/>
  <c r="BF817" i="191"/>
  <c r="BG817" i="191"/>
  <c r="BH817" i="191"/>
  <c r="BI817" i="191"/>
  <c r="BJ817" i="191"/>
  <c r="BK817" i="191"/>
  <c r="BD818" i="191"/>
  <c r="BE818" i="191"/>
  <c r="BF818" i="191"/>
  <c r="BG818" i="191"/>
  <c r="BH818" i="191"/>
  <c r="BI818" i="191"/>
  <c r="BJ818" i="191"/>
  <c r="BK818" i="191"/>
  <c r="BD819" i="191"/>
  <c r="BE819" i="191"/>
  <c r="BF819" i="191"/>
  <c r="BG819" i="191"/>
  <c r="BH819" i="191"/>
  <c r="BI819" i="191"/>
  <c r="BJ819" i="191"/>
  <c r="BK819" i="191"/>
  <c r="BD820" i="191"/>
  <c r="BE820" i="191"/>
  <c r="BF820" i="191"/>
  <c r="BG820" i="191"/>
  <c r="BH820" i="191"/>
  <c r="BI820" i="191"/>
  <c r="BJ820" i="191"/>
  <c r="BK820" i="191"/>
  <c r="BD821" i="191"/>
  <c r="BE821" i="191"/>
  <c r="BF821" i="191"/>
  <c r="BG821" i="191"/>
  <c r="BH821" i="191"/>
  <c r="BI821" i="191"/>
  <c r="BJ821" i="191"/>
  <c r="BK821" i="191"/>
  <c r="BD822" i="191"/>
  <c r="BE822" i="191"/>
  <c r="BF822" i="191"/>
  <c r="BG822" i="191"/>
  <c r="BH822" i="191"/>
  <c r="BI822" i="191"/>
  <c r="BJ822" i="191"/>
  <c r="BK822" i="191"/>
  <c r="BD823" i="191"/>
  <c r="BE823" i="191"/>
  <c r="BF823" i="191"/>
  <c r="BG823" i="191"/>
  <c r="BH823" i="191"/>
  <c r="BI823" i="191"/>
  <c r="BJ823" i="191"/>
  <c r="BK823" i="191"/>
  <c r="BD824" i="191"/>
  <c r="BE824" i="191"/>
  <c r="BF824" i="191"/>
  <c r="BG824" i="191"/>
  <c r="BH824" i="191"/>
  <c r="BI824" i="191"/>
  <c r="BJ824" i="191"/>
  <c r="BK824" i="191"/>
  <c r="BD825" i="191"/>
  <c r="BE825" i="191"/>
  <c r="BF825" i="191"/>
  <c r="BG825" i="191"/>
  <c r="BH825" i="191"/>
  <c r="BI825" i="191"/>
  <c r="BJ825" i="191"/>
  <c r="BK825" i="191"/>
  <c r="BD826" i="191"/>
  <c r="BE826" i="191"/>
  <c r="BF826" i="191"/>
  <c r="BG826" i="191"/>
  <c r="BH826" i="191"/>
  <c r="BI826" i="191"/>
  <c r="BJ826" i="191"/>
  <c r="BK826" i="191"/>
  <c r="BD827" i="191"/>
  <c r="BE827" i="191"/>
  <c r="BF827" i="191"/>
  <c r="BG827" i="191"/>
  <c r="BH827" i="191"/>
  <c r="BI827" i="191"/>
  <c r="BJ827" i="191"/>
  <c r="BK827" i="191"/>
  <c r="BD828" i="191"/>
  <c r="BE828" i="191"/>
  <c r="BF828" i="191"/>
  <c r="BG828" i="191"/>
  <c r="BH828" i="191"/>
  <c r="BI828" i="191"/>
  <c r="BJ828" i="191"/>
  <c r="BK828" i="191"/>
  <c r="BD829" i="191"/>
  <c r="BE829" i="191"/>
  <c r="BF829" i="191"/>
  <c r="BG829" i="191"/>
  <c r="BH829" i="191"/>
  <c r="BI829" i="191"/>
  <c r="BJ829" i="191"/>
  <c r="BK829" i="191"/>
  <c r="BD830" i="191"/>
  <c r="BE830" i="191"/>
  <c r="BF830" i="191"/>
  <c r="BG830" i="191"/>
  <c r="BH830" i="191"/>
  <c r="BI830" i="191"/>
  <c r="BJ830" i="191"/>
  <c r="BK830" i="191"/>
  <c r="BD831" i="191"/>
  <c r="BE831" i="191"/>
  <c r="BF831" i="191"/>
  <c r="BG831" i="191"/>
  <c r="BH831" i="191"/>
  <c r="BI831" i="191"/>
  <c r="BJ831" i="191"/>
  <c r="BK831" i="191"/>
  <c r="BD832" i="191"/>
  <c r="BE832" i="191"/>
  <c r="BF832" i="191"/>
  <c r="BG832" i="191"/>
  <c r="BH832" i="191"/>
  <c r="BI832" i="191"/>
  <c r="BJ832" i="191"/>
  <c r="BK832" i="191"/>
  <c r="BD833" i="191"/>
  <c r="BE833" i="191"/>
  <c r="BF833" i="191"/>
  <c r="BG833" i="191"/>
  <c r="BH833" i="191"/>
  <c r="BI833" i="191"/>
  <c r="BJ833" i="191"/>
  <c r="BK833" i="191"/>
  <c r="BD834" i="191"/>
  <c r="BE834" i="191"/>
  <c r="BF834" i="191"/>
  <c r="BG834" i="191"/>
  <c r="BH834" i="191"/>
  <c r="BI834" i="191"/>
  <c r="BJ834" i="191"/>
  <c r="BK834" i="191"/>
  <c r="BD835" i="191"/>
  <c r="BE835" i="191"/>
  <c r="BF835" i="191"/>
  <c r="BG835" i="191"/>
  <c r="BH835" i="191"/>
  <c r="BI835" i="191"/>
  <c r="BJ835" i="191"/>
  <c r="BK835" i="191"/>
  <c r="BD836" i="191"/>
  <c r="BE836" i="191"/>
  <c r="BF836" i="191"/>
  <c r="BG836" i="191"/>
  <c r="BH836" i="191"/>
  <c r="BI836" i="191"/>
  <c r="BJ836" i="191"/>
  <c r="BK836" i="191"/>
  <c r="BD837" i="191"/>
  <c r="BE837" i="191"/>
  <c r="BF837" i="191"/>
  <c r="BG837" i="191"/>
  <c r="BH837" i="191"/>
  <c r="BI837" i="191"/>
  <c r="BJ837" i="191"/>
  <c r="BK837" i="191"/>
  <c r="BD838" i="191"/>
  <c r="BE838" i="191"/>
  <c r="BF838" i="191"/>
  <c r="BG838" i="191"/>
  <c r="BH838" i="191"/>
  <c r="BI838" i="191"/>
  <c r="BJ838" i="191"/>
  <c r="BK838" i="191"/>
  <c r="BD839" i="191"/>
  <c r="BE839" i="191"/>
  <c r="BF839" i="191"/>
  <c r="BG839" i="191"/>
  <c r="BH839" i="191"/>
  <c r="BI839" i="191"/>
  <c r="BJ839" i="191"/>
  <c r="BK839" i="191"/>
  <c r="BD840" i="191"/>
  <c r="BE840" i="191"/>
  <c r="BF840" i="191"/>
  <c r="BG840" i="191"/>
  <c r="BH840" i="191"/>
  <c r="BI840" i="191"/>
  <c r="BJ840" i="191"/>
  <c r="BK840" i="191"/>
  <c r="BD841" i="191"/>
  <c r="BE841" i="191"/>
  <c r="BF841" i="191"/>
  <c r="BG841" i="191"/>
  <c r="BH841" i="191"/>
  <c r="BI841" i="191"/>
  <c r="BJ841" i="191"/>
  <c r="BK841" i="191"/>
  <c r="BD842" i="191"/>
  <c r="BE842" i="191"/>
  <c r="BF842" i="191"/>
  <c r="BG842" i="191"/>
  <c r="BH842" i="191"/>
  <c r="BI842" i="191"/>
  <c r="BJ842" i="191"/>
  <c r="BK842" i="191"/>
  <c r="BD843" i="191"/>
  <c r="BE843" i="191"/>
  <c r="BF843" i="191"/>
  <c r="BG843" i="191"/>
  <c r="BH843" i="191"/>
  <c r="BI843" i="191"/>
  <c r="BJ843" i="191"/>
  <c r="BK843" i="191"/>
  <c r="BD844" i="191"/>
  <c r="BE844" i="191"/>
  <c r="BF844" i="191"/>
  <c r="BG844" i="191"/>
  <c r="BH844" i="191"/>
  <c r="BI844" i="191"/>
  <c r="BJ844" i="191"/>
  <c r="BK844" i="191"/>
  <c r="BD845" i="191"/>
  <c r="BE845" i="191"/>
  <c r="BF845" i="191"/>
  <c r="BG845" i="191"/>
  <c r="BH845" i="191"/>
  <c r="BI845" i="191"/>
  <c r="BJ845" i="191"/>
  <c r="BK845" i="191"/>
  <c r="BD846" i="191"/>
  <c r="BE846" i="191"/>
  <c r="BF846" i="191"/>
  <c r="BG846" i="191"/>
  <c r="BH846" i="191"/>
  <c r="BI846" i="191"/>
  <c r="BJ846" i="191"/>
  <c r="BK846" i="191"/>
  <c r="BD847" i="191"/>
  <c r="BE847" i="191"/>
  <c r="BF847" i="191"/>
  <c r="BG847" i="191"/>
  <c r="BH847" i="191"/>
  <c r="BI847" i="191"/>
  <c r="BJ847" i="191"/>
  <c r="BK847" i="191"/>
  <c r="BD848" i="191"/>
  <c r="BE848" i="191"/>
  <c r="BF848" i="191"/>
  <c r="BG848" i="191"/>
  <c r="BH848" i="191"/>
  <c r="BI848" i="191"/>
  <c r="BJ848" i="191"/>
  <c r="BK848" i="191"/>
  <c r="BD849" i="191"/>
  <c r="BE849" i="191"/>
  <c r="BF849" i="191"/>
  <c r="BG849" i="191"/>
  <c r="BH849" i="191"/>
  <c r="BI849" i="191"/>
  <c r="BJ849" i="191"/>
  <c r="BK849" i="191"/>
  <c r="BD850" i="191"/>
  <c r="BE850" i="191"/>
  <c r="BF850" i="191"/>
  <c r="BG850" i="191"/>
  <c r="BH850" i="191"/>
  <c r="BI850" i="191"/>
  <c r="BJ850" i="191"/>
  <c r="BK850" i="191"/>
  <c r="BD851" i="191"/>
  <c r="BE851" i="191"/>
  <c r="BF851" i="191"/>
  <c r="BG851" i="191"/>
  <c r="BH851" i="191"/>
  <c r="BI851" i="191"/>
  <c r="BJ851" i="191"/>
  <c r="BK851" i="191"/>
  <c r="BD852" i="191"/>
  <c r="BE852" i="191"/>
  <c r="BF852" i="191"/>
  <c r="BG852" i="191"/>
  <c r="BH852" i="191"/>
  <c r="BI852" i="191"/>
  <c r="BJ852" i="191"/>
  <c r="BK852" i="191"/>
  <c r="BD853" i="191"/>
  <c r="BE853" i="191"/>
  <c r="BF853" i="191"/>
  <c r="BG853" i="191"/>
  <c r="BH853" i="191"/>
  <c r="BI853" i="191"/>
  <c r="BJ853" i="191"/>
  <c r="BK853" i="191"/>
  <c r="BD854" i="191"/>
  <c r="BE854" i="191"/>
  <c r="BF854" i="191"/>
  <c r="BG854" i="191"/>
  <c r="BH854" i="191"/>
  <c r="BI854" i="191"/>
  <c r="BJ854" i="191"/>
  <c r="BK854" i="191"/>
  <c r="BD855" i="191"/>
  <c r="BE855" i="191"/>
  <c r="BF855" i="191"/>
  <c r="BG855" i="191"/>
  <c r="BH855" i="191"/>
  <c r="BI855" i="191"/>
  <c r="BJ855" i="191"/>
  <c r="BK855" i="191"/>
  <c r="BD856" i="191"/>
  <c r="BE856" i="191"/>
  <c r="BF856" i="191"/>
  <c r="BG856" i="191"/>
  <c r="BH856" i="191"/>
  <c r="BI856" i="191"/>
  <c r="BJ856" i="191"/>
  <c r="BK856" i="191"/>
  <c r="BD857" i="191"/>
  <c r="BE857" i="191"/>
  <c r="BF857" i="191"/>
  <c r="BG857" i="191"/>
  <c r="BH857" i="191"/>
  <c r="BI857" i="191"/>
  <c r="BJ857" i="191"/>
  <c r="BK857" i="191"/>
  <c r="BD858" i="191"/>
  <c r="BE858" i="191"/>
  <c r="BF858" i="191"/>
  <c r="BG858" i="191"/>
  <c r="BH858" i="191"/>
  <c r="BI858" i="191"/>
  <c r="BJ858" i="191"/>
  <c r="BK858" i="191"/>
  <c r="BD859" i="191"/>
  <c r="BE859" i="191"/>
  <c r="BF859" i="191"/>
  <c r="BG859" i="191"/>
  <c r="BH859" i="191"/>
  <c r="BI859" i="191"/>
  <c r="BJ859" i="191"/>
  <c r="BK859" i="191"/>
  <c r="BD860" i="191"/>
  <c r="BE860" i="191"/>
  <c r="BF860" i="191"/>
  <c r="BG860" i="191"/>
  <c r="BH860" i="191"/>
  <c r="BI860" i="191"/>
  <c r="BJ860" i="191"/>
  <c r="BK860" i="191"/>
  <c r="BD861" i="191"/>
  <c r="BE861" i="191"/>
  <c r="BF861" i="191"/>
  <c r="BG861" i="191"/>
  <c r="BH861" i="191"/>
  <c r="BI861" i="191"/>
  <c r="BJ861" i="191"/>
  <c r="BK861" i="191"/>
  <c r="BD862" i="191"/>
  <c r="BE862" i="191"/>
  <c r="BF862" i="191"/>
  <c r="BG862" i="191"/>
  <c r="BH862" i="191"/>
  <c r="BI862" i="191"/>
  <c r="BJ862" i="191"/>
  <c r="BK862" i="191"/>
  <c r="BD863" i="191"/>
  <c r="BE863" i="191"/>
  <c r="BF863" i="191"/>
  <c r="BG863" i="191"/>
  <c r="BH863" i="191"/>
  <c r="BI863" i="191"/>
  <c r="BJ863" i="191"/>
  <c r="BK863" i="191"/>
  <c r="BD864" i="191"/>
  <c r="BE864" i="191"/>
  <c r="BF864" i="191"/>
  <c r="BG864" i="191"/>
  <c r="BH864" i="191"/>
  <c r="BI864" i="191"/>
  <c r="BJ864" i="191"/>
  <c r="BK864" i="191"/>
  <c r="BD865" i="191"/>
  <c r="BE865" i="191"/>
  <c r="BF865" i="191"/>
  <c r="BG865" i="191"/>
  <c r="BH865" i="191"/>
  <c r="BI865" i="191"/>
  <c r="BJ865" i="191"/>
  <c r="BK865" i="191"/>
  <c r="BD866" i="191"/>
  <c r="BE866" i="191"/>
  <c r="BF866" i="191"/>
  <c r="BG866" i="191"/>
  <c r="BH866" i="191"/>
  <c r="BI866" i="191"/>
  <c r="BJ866" i="191"/>
  <c r="BK866" i="191"/>
  <c r="BD867" i="191"/>
  <c r="BE867" i="191"/>
  <c r="BF867" i="191"/>
  <c r="BG867" i="191"/>
  <c r="BH867" i="191"/>
  <c r="BI867" i="191"/>
  <c r="BJ867" i="191"/>
  <c r="BK867" i="191"/>
  <c r="BD868" i="191"/>
  <c r="BE868" i="191"/>
  <c r="BF868" i="191"/>
  <c r="BG868" i="191"/>
  <c r="BH868" i="191"/>
  <c r="BI868" i="191"/>
  <c r="BJ868" i="191"/>
  <c r="BK868" i="191"/>
  <c r="BD869" i="191"/>
  <c r="BE869" i="191"/>
  <c r="BF869" i="191"/>
  <c r="BG869" i="191"/>
  <c r="BH869" i="191"/>
  <c r="BI869" i="191"/>
  <c r="BJ869" i="191"/>
  <c r="BK869" i="191"/>
  <c r="BD870" i="191"/>
  <c r="BE870" i="191"/>
  <c r="BF870" i="191"/>
  <c r="BG870" i="191"/>
  <c r="BH870" i="191"/>
  <c r="BI870" i="191"/>
  <c r="BJ870" i="191"/>
  <c r="BK870" i="191"/>
  <c r="BD871" i="191"/>
  <c r="BE871" i="191"/>
  <c r="BF871" i="191"/>
  <c r="BG871" i="191"/>
  <c r="BH871" i="191"/>
  <c r="BI871" i="191"/>
  <c r="BJ871" i="191"/>
  <c r="BK871" i="191"/>
  <c r="BD872" i="191"/>
  <c r="BE872" i="191"/>
  <c r="BF872" i="191"/>
  <c r="BG872" i="191"/>
  <c r="BH872" i="191"/>
  <c r="BI872" i="191"/>
  <c r="BJ872" i="191"/>
  <c r="BK872" i="191"/>
  <c r="BD873" i="191"/>
  <c r="BE873" i="191"/>
  <c r="BF873" i="191"/>
  <c r="BG873" i="191"/>
  <c r="BH873" i="191"/>
  <c r="BI873" i="191"/>
  <c r="BJ873" i="191"/>
  <c r="BK873" i="191"/>
  <c r="BD874" i="191"/>
  <c r="BE874" i="191"/>
  <c r="BF874" i="191"/>
  <c r="BG874" i="191"/>
  <c r="BH874" i="191"/>
  <c r="BI874" i="191"/>
  <c r="BJ874" i="191"/>
  <c r="BK874" i="191"/>
  <c r="BD875" i="191"/>
  <c r="BE875" i="191"/>
  <c r="BF875" i="191"/>
  <c r="BG875" i="191"/>
  <c r="BH875" i="191"/>
  <c r="BI875" i="191"/>
  <c r="BJ875" i="191"/>
  <c r="BK875" i="191"/>
  <c r="BD876" i="191"/>
  <c r="BE876" i="191"/>
  <c r="BF876" i="191"/>
  <c r="BG876" i="191"/>
  <c r="BH876" i="191"/>
  <c r="BI876" i="191"/>
  <c r="BJ876" i="191"/>
  <c r="BK876" i="191"/>
  <c r="BD877" i="191"/>
  <c r="BE877" i="191"/>
  <c r="BF877" i="191"/>
  <c r="BG877" i="191"/>
  <c r="BH877" i="191"/>
  <c r="BI877" i="191"/>
  <c r="BJ877" i="191"/>
  <c r="BK877" i="191"/>
  <c r="BD878" i="191"/>
  <c r="BE878" i="191"/>
  <c r="BF878" i="191"/>
  <c r="BG878" i="191"/>
  <c r="BH878" i="191"/>
  <c r="BI878" i="191"/>
  <c r="BJ878" i="191"/>
  <c r="BK878" i="191"/>
  <c r="BD879" i="191"/>
  <c r="BE879" i="191"/>
  <c r="BF879" i="191"/>
  <c r="BG879" i="191"/>
  <c r="BH879" i="191"/>
  <c r="BI879" i="191"/>
  <c r="BJ879" i="191"/>
  <c r="BK879" i="191"/>
  <c r="BD880" i="191"/>
  <c r="BE880" i="191"/>
  <c r="BF880" i="191"/>
  <c r="BG880" i="191"/>
  <c r="BH880" i="191"/>
  <c r="BI880" i="191"/>
  <c r="BJ880" i="191"/>
  <c r="BK880" i="191"/>
  <c r="BD881" i="191"/>
  <c r="BE881" i="191"/>
  <c r="BF881" i="191"/>
  <c r="BG881" i="191"/>
  <c r="BH881" i="191"/>
  <c r="BI881" i="191"/>
  <c r="BJ881" i="191"/>
  <c r="BK881" i="191"/>
  <c r="BD882" i="191"/>
  <c r="BE882" i="191"/>
  <c r="BF882" i="191"/>
  <c r="BG882" i="191"/>
  <c r="BH882" i="191"/>
  <c r="BI882" i="191"/>
  <c r="BJ882" i="191"/>
  <c r="BK882" i="191"/>
  <c r="BD883" i="191"/>
  <c r="BE883" i="191"/>
  <c r="BF883" i="191"/>
  <c r="BG883" i="191"/>
  <c r="BH883" i="191"/>
  <c r="BI883" i="191"/>
  <c r="BJ883" i="191"/>
  <c r="BK883" i="191"/>
  <c r="BD884" i="191"/>
  <c r="BE884" i="191"/>
  <c r="BF884" i="191"/>
  <c r="BG884" i="191"/>
  <c r="BH884" i="191"/>
  <c r="BI884" i="191"/>
  <c r="BJ884" i="191"/>
  <c r="BK884" i="191"/>
  <c r="BD885" i="191"/>
  <c r="BE885" i="191"/>
  <c r="BF885" i="191"/>
  <c r="BG885" i="191"/>
  <c r="BH885" i="191"/>
  <c r="BI885" i="191"/>
  <c r="BJ885" i="191"/>
  <c r="BK885" i="191"/>
  <c r="BD886" i="191"/>
  <c r="BE886" i="191"/>
  <c r="BF886" i="191"/>
  <c r="BG886" i="191"/>
  <c r="BH886" i="191"/>
  <c r="BI886" i="191"/>
  <c r="BJ886" i="191"/>
  <c r="BK886" i="191"/>
  <c r="BD887" i="191"/>
  <c r="BE887" i="191"/>
  <c r="BF887" i="191"/>
  <c r="BG887" i="191"/>
  <c r="BH887" i="191"/>
  <c r="BI887" i="191"/>
  <c r="BJ887" i="191"/>
  <c r="BK887" i="191"/>
  <c r="BD888" i="191"/>
  <c r="BE888" i="191"/>
  <c r="BF888" i="191"/>
  <c r="BG888" i="191"/>
  <c r="BH888" i="191"/>
  <c r="BI888" i="191"/>
  <c r="BJ888" i="191"/>
  <c r="BK888" i="191"/>
  <c r="BD889" i="191"/>
  <c r="BE889" i="191"/>
  <c r="BF889" i="191"/>
  <c r="BG889" i="191"/>
  <c r="BH889" i="191"/>
  <c r="BI889" i="191"/>
  <c r="BJ889" i="191"/>
  <c r="BK889" i="191"/>
  <c r="BD890" i="191"/>
  <c r="BE890" i="191"/>
  <c r="BF890" i="191"/>
  <c r="BG890" i="191"/>
  <c r="BH890" i="191"/>
  <c r="BI890" i="191"/>
  <c r="BJ890" i="191"/>
  <c r="BK890" i="191"/>
  <c r="BD891" i="191"/>
  <c r="BE891" i="191"/>
  <c r="BF891" i="191"/>
  <c r="BG891" i="191"/>
  <c r="BH891" i="191"/>
  <c r="BI891" i="191"/>
  <c r="BJ891" i="191"/>
  <c r="BK891" i="191"/>
  <c r="BD892" i="191"/>
  <c r="BE892" i="191"/>
  <c r="BF892" i="191"/>
  <c r="BG892" i="191"/>
  <c r="BH892" i="191"/>
  <c r="BI892" i="191"/>
  <c r="BJ892" i="191"/>
  <c r="BK892" i="191"/>
  <c r="BD893" i="191"/>
  <c r="BE893" i="191"/>
  <c r="BF893" i="191"/>
  <c r="BG893" i="191"/>
  <c r="BH893" i="191"/>
  <c r="BI893" i="191"/>
  <c r="BJ893" i="191"/>
  <c r="BK893" i="191"/>
  <c r="BD894" i="191"/>
  <c r="BE894" i="191"/>
  <c r="BF894" i="191"/>
  <c r="BG894" i="191"/>
  <c r="BH894" i="191"/>
  <c r="BI894" i="191"/>
  <c r="BJ894" i="191"/>
  <c r="BK894" i="191"/>
  <c r="BD895" i="191"/>
  <c r="BE895" i="191"/>
  <c r="BF895" i="191"/>
  <c r="BG895" i="191"/>
  <c r="BH895" i="191"/>
  <c r="BI895" i="191"/>
  <c r="BJ895" i="191"/>
  <c r="BK895" i="191"/>
  <c r="BD896" i="191"/>
  <c r="BE896" i="191"/>
  <c r="BF896" i="191"/>
  <c r="BG896" i="191"/>
  <c r="BH896" i="191"/>
  <c r="BI896" i="191"/>
  <c r="BJ896" i="191"/>
  <c r="BK896" i="191"/>
  <c r="BD897" i="191"/>
  <c r="BE897" i="191"/>
  <c r="BF897" i="191"/>
  <c r="BG897" i="191"/>
  <c r="BH897" i="191"/>
  <c r="BI897" i="191"/>
  <c r="BJ897" i="191"/>
  <c r="BK897" i="191"/>
  <c r="BD898" i="191"/>
  <c r="BE898" i="191"/>
  <c r="BF898" i="191"/>
  <c r="BG898" i="191"/>
  <c r="BH898" i="191"/>
  <c r="BI898" i="191"/>
  <c r="BJ898" i="191"/>
  <c r="BK898" i="191"/>
  <c r="BD899" i="191"/>
  <c r="BE899" i="191"/>
  <c r="BF899" i="191"/>
  <c r="BG899" i="191"/>
  <c r="BH899" i="191"/>
  <c r="BI899" i="191"/>
  <c r="BJ899" i="191"/>
  <c r="BK899" i="191"/>
  <c r="BD900" i="191"/>
  <c r="BE900" i="191"/>
  <c r="BF900" i="191"/>
  <c r="BG900" i="191"/>
  <c r="BH900" i="191"/>
  <c r="BI900" i="191"/>
  <c r="BJ900" i="191"/>
  <c r="BK900" i="191"/>
  <c r="BD901" i="191"/>
  <c r="BE901" i="191"/>
  <c r="BF901" i="191"/>
  <c r="BG901" i="191"/>
  <c r="BH901" i="191"/>
  <c r="BI901" i="191"/>
  <c r="BJ901" i="191"/>
  <c r="BK901" i="191"/>
  <c r="BD902" i="191"/>
  <c r="BE902" i="191"/>
  <c r="BF902" i="191"/>
  <c r="BG902" i="191"/>
  <c r="BH902" i="191"/>
  <c r="BI902" i="191"/>
  <c r="BJ902" i="191"/>
  <c r="BK902" i="191"/>
  <c r="BD903" i="191"/>
  <c r="BE903" i="191"/>
  <c r="BF903" i="191"/>
  <c r="BG903" i="191"/>
  <c r="BH903" i="191"/>
  <c r="BI903" i="191"/>
  <c r="BJ903" i="191"/>
  <c r="BK903" i="191"/>
  <c r="BD904" i="191"/>
  <c r="BE904" i="191"/>
  <c r="BF904" i="191"/>
  <c r="BG904" i="191"/>
  <c r="BH904" i="191"/>
  <c r="BI904" i="191"/>
  <c r="BJ904" i="191"/>
  <c r="BK904" i="191"/>
  <c r="BD905" i="191"/>
  <c r="BE905" i="191"/>
  <c r="BF905" i="191"/>
  <c r="BG905" i="191"/>
  <c r="BH905" i="191"/>
  <c r="BI905" i="191"/>
  <c r="BJ905" i="191"/>
  <c r="BK905" i="191"/>
  <c r="BD906" i="191"/>
  <c r="BE906" i="191"/>
  <c r="BF906" i="191"/>
  <c r="BG906" i="191"/>
  <c r="BH906" i="191"/>
  <c r="BI906" i="191"/>
  <c r="BJ906" i="191"/>
  <c r="BK906" i="191"/>
  <c r="BD907" i="191"/>
  <c r="BE907" i="191"/>
  <c r="BF907" i="191"/>
  <c r="BG907" i="191"/>
  <c r="BH907" i="191"/>
  <c r="BI907" i="191"/>
  <c r="BJ907" i="191"/>
  <c r="BK907" i="191"/>
  <c r="BD908" i="191"/>
  <c r="BE908" i="191"/>
  <c r="BF908" i="191"/>
  <c r="BG908" i="191"/>
  <c r="BH908" i="191"/>
  <c r="BI908" i="191"/>
  <c r="BJ908" i="191"/>
  <c r="BK908" i="191"/>
  <c r="BD909" i="191"/>
  <c r="BE909" i="191"/>
  <c r="BF909" i="191"/>
  <c r="BG909" i="191"/>
  <c r="BH909" i="191"/>
  <c r="BI909" i="191"/>
  <c r="BJ909" i="191"/>
  <c r="BK909" i="191"/>
  <c r="BD910" i="191"/>
  <c r="BE910" i="191"/>
  <c r="BF910" i="191"/>
  <c r="BG910" i="191"/>
  <c r="BH910" i="191"/>
  <c r="BI910" i="191"/>
  <c r="BJ910" i="191"/>
  <c r="BK910" i="191"/>
  <c r="BD911" i="191"/>
  <c r="BE911" i="191"/>
  <c r="BF911" i="191"/>
  <c r="BG911" i="191"/>
  <c r="BH911" i="191"/>
  <c r="BI911" i="191"/>
  <c r="BJ911" i="191"/>
  <c r="BK911" i="191"/>
  <c r="BD912" i="191"/>
  <c r="BE912" i="191"/>
  <c r="BF912" i="191"/>
  <c r="BG912" i="191"/>
  <c r="BH912" i="191"/>
  <c r="BI912" i="191"/>
  <c r="BJ912" i="191"/>
  <c r="BK912" i="191"/>
  <c r="BD913" i="191"/>
  <c r="BE913" i="191"/>
  <c r="BF913" i="191"/>
  <c r="BG913" i="191"/>
  <c r="BH913" i="191"/>
  <c r="BI913" i="191"/>
  <c r="BJ913" i="191"/>
  <c r="BK913" i="191"/>
  <c r="BD914" i="191"/>
  <c r="BE914" i="191"/>
  <c r="BF914" i="191"/>
  <c r="BG914" i="191"/>
  <c r="BH914" i="191"/>
  <c r="BI914" i="191"/>
  <c r="BJ914" i="191"/>
  <c r="BK914" i="191"/>
  <c r="BD915" i="191"/>
  <c r="BE915" i="191"/>
  <c r="BF915" i="191"/>
  <c r="BG915" i="191"/>
  <c r="BH915" i="191"/>
  <c r="BI915" i="191"/>
  <c r="BJ915" i="191"/>
  <c r="BK915" i="191"/>
  <c r="BD916" i="191"/>
  <c r="BE916" i="191"/>
  <c r="BF916" i="191"/>
  <c r="BG916" i="191"/>
  <c r="BH916" i="191"/>
  <c r="BI916" i="191"/>
  <c r="BJ916" i="191"/>
  <c r="BK916" i="191"/>
  <c r="BD917" i="191"/>
  <c r="BE917" i="191"/>
  <c r="BF917" i="191"/>
  <c r="BG917" i="191"/>
  <c r="BH917" i="191"/>
  <c r="BI917" i="191"/>
  <c r="BJ917" i="191"/>
  <c r="BK917" i="191"/>
  <c r="BD918" i="191"/>
  <c r="BE918" i="191"/>
  <c r="BF918" i="191"/>
  <c r="BG918" i="191"/>
  <c r="BH918" i="191"/>
  <c r="BI918" i="191"/>
  <c r="BJ918" i="191"/>
  <c r="BK918" i="191"/>
  <c r="BD919" i="191"/>
  <c r="BE919" i="191"/>
  <c r="BF919" i="191"/>
  <c r="BG919" i="191"/>
  <c r="BH919" i="191"/>
  <c r="BI919" i="191"/>
  <c r="BJ919" i="191"/>
  <c r="BK919" i="191"/>
  <c r="BD920" i="191"/>
  <c r="BE920" i="191"/>
  <c r="BF920" i="191"/>
  <c r="BG920" i="191"/>
  <c r="BH920" i="191"/>
  <c r="BI920" i="191"/>
  <c r="BJ920" i="191"/>
  <c r="BK920" i="191"/>
  <c r="BD921" i="191"/>
  <c r="BE921" i="191"/>
  <c r="BF921" i="191"/>
  <c r="BG921" i="191"/>
  <c r="BH921" i="191"/>
  <c r="BI921" i="191"/>
  <c r="BJ921" i="191"/>
  <c r="BK921" i="191"/>
  <c r="BD922" i="191"/>
  <c r="BE922" i="191"/>
  <c r="BF922" i="191"/>
  <c r="BG922" i="191"/>
  <c r="BH922" i="191"/>
  <c r="BI922" i="191"/>
  <c r="BJ922" i="191"/>
  <c r="BK922" i="191"/>
  <c r="BD923" i="191"/>
  <c r="BE923" i="191"/>
  <c r="BF923" i="191"/>
  <c r="BG923" i="191"/>
  <c r="BH923" i="191"/>
  <c r="BI923" i="191"/>
  <c r="BJ923" i="191"/>
  <c r="BK923" i="191"/>
  <c r="BD924" i="191"/>
  <c r="BE924" i="191"/>
  <c r="BF924" i="191"/>
  <c r="BG924" i="191"/>
  <c r="BH924" i="191"/>
  <c r="BI924" i="191"/>
  <c r="BJ924" i="191"/>
  <c r="BK924" i="191"/>
  <c r="BD925" i="191"/>
  <c r="BE925" i="191"/>
  <c r="BF925" i="191"/>
  <c r="BG925" i="191"/>
  <c r="BH925" i="191"/>
  <c r="BI925" i="191"/>
  <c r="BJ925" i="191"/>
  <c r="BK925" i="191"/>
  <c r="BD926" i="191"/>
  <c r="BE926" i="191"/>
  <c r="BF926" i="191"/>
  <c r="BG926" i="191"/>
  <c r="BH926" i="191"/>
  <c r="BI926" i="191"/>
  <c r="BJ926" i="191"/>
  <c r="BK926" i="191"/>
  <c r="BD927" i="191"/>
  <c r="BE927" i="191"/>
  <c r="BF927" i="191"/>
  <c r="BG927" i="191"/>
  <c r="BH927" i="191"/>
  <c r="BI927" i="191"/>
  <c r="BJ927" i="191"/>
  <c r="BK927" i="191"/>
  <c r="BD928" i="191"/>
  <c r="BE928" i="191"/>
  <c r="BF928" i="191"/>
  <c r="BG928" i="191"/>
  <c r="BH928" i="191"/>
  <c r="BI928" i="191"/>
  <c r="BJ928" i="191"/>
  <c r="BK928" i="191"/>
  <c r="BD929" i="191"/>
  <c r="BE929" i="191"/>
  <c r="BF929" i="191"/>
  <c r="BG929" i="191"/>
  <c r="BH929" i="191"/>
  <c r="BI929" i="191"/>
  <c r="BJ929" i="191"/>
  <c r="BK929" i="191"/>
  <c r="BD930" i="191"/>
  <c r="BE930" i="191"/>
  <c r="BF930" i="191"/>
  <c r="BG930" i="191"/>
  <c r="BH930" i="191"/>
  <c r="BI930" i="191"/>
  <c r="BJ930" i="191"/>
  <c r="BK930" i="191"/>
  <c r="BD931" i="191"/>
  <c r="BE931" i="191"/>
  <c r="BF931" i="191"/>
  <c r="BG931" i="191"/>
  <c r="BH931" i="191"/>
  <c r="BI931" i="191"/>
  <c r="BJ931" i="191"/>
  <c r="BK931" i="191"/>
  <c r="BD932" i="191"/>
  <c r="BE932" i="191"/>
  <c r="BF932" i="191"/>
  <c r="BG932" i="191"/>
  <c r="BH932" i="191"/>
  <c r="BI932" i="191"/>
  <c r="BJ932" i="191"/>
  <c r="BK932" i="191"/>
  <c r="BD933" i="191"/>
  <c r="BE933" i="191"/>
  <c r="BF933" i="191"/>
  <c r="BG933" i="191"/>
  <c r="BH933" i="191"/>
  <c r="BI933" i="191"/>
  <c r="BJ933" i="191"/>
  <c r="BK933" i="191"/>
  <c r="BD934" i="191"/>
  <c r="BE934" i="191"/>
  <c r="BF934" i="191"/>
  <c r="BG934" i="191"/>
  <c r="BH934" i="191"/>
  <c r="BI934" i="191"/>
  <c r="BJ934" i="191"/>
  <c r="BK934" i="191"/>
  <c r="BD935" i="191"/>
  <c r="BE935" i="191"/>
  <c r="BF935" i="191"/>
  <c r="BG935" i="191"/>
  <c r="BH935" i="191"/>
  <c r="BI935" i="191"/>
  <c r="BJ935" i="191"/>
  <c r="BK935" i="191"/>
  <c r="BD936" i="191"/>
  <c r="BE936" i="191"/>
  <c r="BF936" i="191"/>
  <c r="BG936" i="191"/>
  <c r="BH936" i="191"/>
  <c r="BI936" i="191"/>
  <c r="BJ936" i="191"/>
  <c r="BK936" i="191"/>
  <c r="BD937" i="191"/>
  <c r="BE937" i="191"/>
  <c r="BF937" i="191"/>
  <c r="BG937" i="191"/>
  <c r="BH937" i="191"/>
  <c r="BI937" i="191"/>
  <c r="BJ937" i="191"/>
  <c r="BK937" i="191"/>
  <c r="BD938" i="191"/>
  <c r="BE938" i="191"/>
  <c r="BF938" i="191"/>
  <c r="BG938" i="191"/>
  <c r="BH938" i="191"/>
  <c r="BI938" i="191"/>
  <c r="BJ938" i="191"/>
  <c r="BK938" i="191"/>
  <c r="BD939" i="191"/>
  <c r="BE939" i="191"/>
  <c r="BF939" i="191"/>
  <c r="BG939" i="191"/>
  <c r="BH939" i="191"/>
  <c r="BI939" i="191"/>
  <c r="BJ939" i="191"/>
  <c r="BK939" i="191"/>
  <c r="BD940" i="191"/>
  <c r="BE940" i="191"/>
  <c r="BF940" i="191"/>
  <c r="BG940" i="191"/>
  <c r="BH940" i="191"/>
  <c r="BI940" i="191"/>
  <c r="BJ940" i="191"/>
  <c r="BK940" i="191"/>
  <c r="BD941" i="191"/>
  <c r="BE941" i="191"/>
  <c r="BF941" i="191"/>
  <c r="BG941" i="191"/>
  <c r="BH941" i="191"/>
  <c r="BI941" i="191"/>
  <c r="BJ941" i="191"/>
  <c r="BK941" i="191"/>
  <c r="BD942" i="191"/>
  <c r="BE942" i="191"/>
  <c r="BF942" i="191"/>
  <c r="BG942" i="191"/>
  <c r="BH942" i="191"/>
  <c r="BI942" i="191"/>
  <c r="BJ942" i="191"/>
  <c r="BK942" i="191"/>
  <c r="BD943" i="191"/>
  <c r="BE943" i="191"/>
  <c r="BF943" i="191"/>
  <c r="BG943" i="191"/>
  <c r="BH943" i="191"/>
  <c r="BI943" i="191"/>
  <c r="BJ943" i="191"/>
  <c r="BK943" i="191"/>
  <c r="BD944" i="191"/>
  <c r="BE944" i="191"/>
  <c r="BF944" i="191"/>
  <c r="BG944" i="191"/>
  <c r="BH944" i="191"/>
  <c r="BI944" i="191"/>
  <c r="BJ944" i="191"/>
  <c r="BK944" i="191"/>
  <c r="BD945" i="191"/>
  <c r="BE945" i="191"/>
  <c r="BF945" i="191"/>
  <c r="BG945" i="191"/>
  <c r="BH945" i="191"/>
  <c r="BI945" i="191"/>
  <c r="BJ945" i="191"/>
  <c r="BK945" i="191"/>
  <c r="BD946" i="191"/>
  <c r="BE946" i="191"/>
  <c r="BF946" i="191"/>
  <c r="BG946" i="191"/>
  <c r="BH946" i="191"/>
  <c r="BI946" i="191"/>
  <c r="BJ946" i="191"/>
  <c r="BK946" i="191"/>
  <c r="BD947" i="191"/>
  <c r="BE947" i="191"/>
  <c r="BF947" i="191"/>
  <c r="BG947" i="191"/>
  <c r="BH947" i="191"/>
  <c r="BI947" i="191"/>
  <c r="BJ947" i="191"/>
  <c r="BK947" i="191"/>
  <c r="BD948" i="191"/>
  <c r="BE948" i="191"/>
  <c r="BF948" i="191"/>
  <c r="BG948" i="191"/>
  <c r="BH948" i="191"/>
  <c r="BI948" i="191"/>
  <c r="BJ948" i="191"/>
  <c r="BK948" i="191"/>
  <c r="BD949" i="191"/>
  <c r="BE949" i="191"/>
  <c r="BF949" i="191"/>
  <c r="BG949" i="191"/>
  <c r="BH949" i="191"/>
  <c r="BI949" i="191"/>
  <c r="BJ949" i="191"/>
  <c r="BK949" i="191"/>
  <c r="BD950" i="191"/>
  <c r="BE950" i="191"/>
  <c r="BF950" i="191"/>
  <c r="BG950" i="191"/>
  <c r="BH950" i="191"/>
  <c r="BI950" i="191"/>
  <c r="BJ950" i="191"/>
  <c r="BK950" i="191"/>
  <c r="BD951" i="191"/>
  <c r="BE951" i="191"/>
  <c r="BF951" i="191"/>
  <c r="BG951" i="191"/>
  <c r="BH951" i="191"/>
  <c r="BI951" i="191"/>
  <c r="BJ951" i="191"/>
  <c r="BK951" i="191"/>
  <c r="BD952" i="191"/>
  <c r="BE952" i="191"/>
  <c r="BF952" i="191"/>
  <c r="BG952" i="191"/>
  <c r="BH952" i="191"/>
  <c r="BI952" i="191"/>
  <c r="BJ952" i="191"/>
  <c r="BK952" i="191"/>
  <c r="BD953" i="191"/>
  <c r="BE953" i="191"/>
  <c r="BF953" i="191"/>
  <c r="BG953" i="191"/>
  <c r="BH953" i="191"/>
  <c r="BI953" i="191"/>
  <c r="BJ953" i="191"/>
  <c r="BK953" i="191"/>
  <c r="BD954" i="191"/>
  <c r="BE954" i="191"/>
  <c r="BF954" i="191"/>
  <c r="BG954" i="191"/>
  <c r="BH954" i="191"/>
  <c r="BI954" i="191"/>
  <c r="BJ954" i="191"/>
  <c r="BK954" i="191"/>
  <c r="BD955" i="191"/>
  <c r="BE955" i="191"/>
  <c r="BF955" i="191"/>
  <c r="BG955" i="191"/>
  <c r="BH955" i="191"/>
  <c r="BI955" i="191"/>
  <c r="BJ955" i="191"/>
  <c r="BK955" i="191"/>
  <c r="BD956" i="191"/>
  <c r="BE956" i="191"/>
  <c r="BF956" i="191"/>
  <c r="BG956" i="191"/>
  <c r="BH956" i="191"/>
  <c r="BI956" i="191"/>
  <c r="BJ956" i="191"/>
  <c r="BK956" i="191"/>
  <c r="BD957" i="191"/>
  <c r="BE957" i="191"/>
  <c r="BF957" i="191"/>
  <c r="BG957" i="191"/>
  <c r="BH957" i="191"/>
  <c r="BI957" i="191"/>
  <c r="BJ957" i="191"/>
  <c r="BK957" i="191"/>
  <c r="BD958" i="191"/>
  <c r="BE958" i="191"/>
  <c r="BF958" i="191"/>
  <c r="BG958" i="191"/>
  <c r="BH958" i="191"/>
  <c r="BI958" i="191"/>
  <c r="BJ958" i="191"/>
  <c r="BK958" i="191"/>
  <c r="BD959" i="191"/>
  <c r="BE959" i="191"/>
  <c r="BF959" i="191"/>
  <c r="BG959" i="191"/>
  <c r="BH959" i="191"/>
  <c r="BI959" i="191"/>
  <c r="BJ959" i="191"/>
  <c r="BK959" i="191"/>
  <c r="BD960" i="191"/>
  <c r="BE960" i="191"/>
  <c r="BF960" i="191"/>
  <c r="BG960" i="191"/>
  <c r="BH960" i="191"/>
  <c r="BI960" i="191"/>
  <c r="BJ960" i="191"/>
  <c r="BK960" i="191"/>
  <c r="BD961" i="191"/>
  <c r="BE961" i="191"/>
  <c r="BF961" i="191"/>
  <c r="BG961" i="191"/>
  <c r="BH961" i="191"/>
  <c r="BI961" i="191"/>
  <c r="BJ961" i="191"/>
  <c r="BK961" i="191"/>
  <c r="BD962" i="191"/>
  <c r="BE962" i="191"/>
  <c r="BF962" i="191"/>
  <c r="BG962" i="191"/>
  <c r="BH962" i="191"/>
  <c r="BI962" i="191"/>
  <c r="BJ962" i="191"/>
  <c r="BK962" i="191"/>
  <c r="BD963" i="191"/>
  <c r="BE963" i="191"/>
  <c r="BF963" i="191"/>
  <c r="BG963" i="191"/>
  <c r="BH963" i="191"/>
  <c r="BI963" i="191"/>
  <c r="BJ963" i="191"/>
  <c r="BK963" i="191"/>
  <c r="BD964" i="191"/>
  <c r="BE964" i="191"/>
  <c r="BF964" i="191"/>
  <c r="BG964" i="191"/>
  <c r="BH964" i="191"/>
  <c r="BI964" i="191"/>
  <c r="BJ964" i="191"/>
  <c r="BK964" i="191"/>
  <c r="BD965" i="191"/>
  <c r="BE965" i="191"/>
  <c r="BF965" i="191"/>
  <c r="BG965" i="191"/>
  <c r="BH965" i="191"/>
  <c r="BI965" i="191"/>
  <c r="BJ965" i="191"/>
  <c r="BK965" i="191"/>
  <c r="BD966" i="191"/>
  <c r="BE966" i="191"/>
  <c r="BF966" i="191"/>
  <c r="BG966" i="191"/>
  <c r="BH966" i="191"/>
  <c r="BI966" i="191"/>
  <c r="BJ966" i="191"/>
  <c r="BK966" i="191"/>
  <c r="BD967" i="191"/>
  <c r="BE967" i="191"/>
  <c r="BF967" i="191"/>
  <c r="BG967" i="191"/>
  <c r="BH967" i="191"/>
  <c r="BI967" i="191"/>
  <c r="BJ967" i="191"/>
  <c r="BK967" i="191"/>
  <c r="BD968" i="191"/>
  <c r="BE968" i="191"/>
  <c r="BF968" i="191"/>
  <c r="BG968" i="191"/>
  <c r="BH968" i="191"/>
  <c r="BI968" i="191"/>
  <c r="BJ968" i="191"/>
  <c r="BK968" i="191"/>
  <c r="BD969" i="191"/>
  <c r="BE969" i="191"/>
  <c r="BF969" i="191"/>
  <c r="BG969" i="191"/>
  <c r="BH969" i="191"/>
  <c r="BI969" i="191"/>
  <c r="BJ969" i="191"/>
  <c r="BK969" i="191"/>
  <c r="BD970" i="191"/>
  <c r="BE970" i="191"/>
  <c r="BF970" i="191"/>
  <c r="BG970" i="191"/>
  <c r="BH970" i="191"/>
  <c r="BI970" i="191"/>
  <c r="BJ970" i="191"/>
  <c r="BK970" i="191"/>
  <c r="BD971" i="191"/>
  <c r="BE971" i="191"/>
  <c r="BF971" i="191"/>
  <c r="BG971" i="191"/>
  <c r="BH971" i="191"/>
  <c r="BI971" i="191"/>
  <c r="BJ971" i="191"/>
  <c r="BK971" i="191"/>
  <c r="BD972" i="191"/>
  <c r="BE972" i="191"/>
  <c r="BF972" i="191"/>
  <c r="BG972" i="191"/>
  <c r="BH972" i="191"/>
  <c r="BI972" i="191"/>
  <c r="BJ972" i="191"/>
  <c r="BK972" i="191"/>
  <c r="BD973" i="191"/>
  <c r="BE973" i="191"/>
  <c r="BF973" i="191"/>
  <c r="BG973" i="191"/>
  <c r="BH973" i="191"/>
  <c r="BI973" i="191"/>
  <c r="BJ973" i="191"/>
  <c r="BK973" i="191"/>
  <c r="BD974" i="191"/>
  <c r="BE974" i="191"/>
  <c r="BF974" i="191"/>
  <c r="BG974" i="191"/>
  <c r="BH974" i="191"/>
  <c r="BI974" i="191"/>
  <c r="BJ974" i="191"/>
  <c r="BK974" i="191"/>
  <c r="BD975" i="191"/>
  <c r="BE975" i="191"/>
  <c r="BF975" i="191"/>
  <c r="BG975" i="191"/>
  <c r="BH975" i="191"/>
  <c r="BI975" i="191"/>
  <c r="BJ975" i="191"/>
  <c r="BK975" i="191"/>
  <c r="BD976" i="191"/>
  <c r="BE976" i="191"/>
  <c r="BF976" i="191"/>
  <c r="BG976" i="191"/>
  <c r="BH976" i="191"/>
  <c r="BI976" i="191"/>
  <c r="BJ976" i="191"/>
  <c r="BK976" i="191"/>
  <c r="BD977" i="191"/>
  <c r="BE977" i="191"/>
  <c r="BF977" i="191"/>
  <c r="BG977" i="191"/>
  <c r="BH977" i="191"/>
  <c r="BI977" i="191"/>
  <c r="BJ977" i="191"/>
  <c r="BK977" i="191"/>
  <c r="BD978" i="191"/>
  <c r="BE978" i="191"/>
  <c r="BF978" i="191"/>
  <c r="BG978" i="191"/>
  <c r="BH978" i="191"/>
  <c r="BI978" i="191"/>
  <c r="BJ978" i="191"/>
  <c r="BK978" i="191"/>
  <c r="BD979" i="191"/>
  <c r="BE979" i="191"/>
  <c r="BF979" i="191"/>
  <c r="BG979" i="191"/>
  <c r="BH979" i="191"/>
  <c r="BI979" i="191"/>
  <c r="BJ979" i="191"/>
  <c r="BK979" i="191"/>
  <c r="BD980" i="191"/>
  <c r="BE980" i="191"/>
  <c r="BF980" i="191"/>
  <c r="BG980" i="191"/>
  <c r="BH980" i="191"/>
  <c r="BI980" i="191"/>
  <c r="BJ980" i="191"/>
  <c r="BK980" i="191"/>
  <c r="BD981" i="191"/>
  <c r="BE981" i="191"/>
  <c r="BF981" i="191"/>
  <c r="BG981" i="191"/>
  <c r="BH981" i="191"/>
  <c r="BI981" i="191"/>
  <c r="BJ981" i="191"/>
  <c r="BK981" i="191"/>
  <c r="BD982" i="191"/>
  <c r="BE982" i="191"/>
  <c r="BF982" i="191"/>
  <c r="BG982" i="191"/>
  <c r="BH982" i="191"/>
  <c r="BI982" i="191"/>
  <c r="BJ982" i="191"/>
  <c r="BK982" i="191"/>
  <c r="BD983" i="191"/>
  <c r="BE983" i="191"/>
  <c r="BF983" i="191"/>
  <c r="BG983" i="191"/>
  <c r="BH983" i="191"/>
  <c r="BI983" i="191"/>
  <c r="BJ983" i="191"/>
  <c r="BK983" i="191"/>
  <c r="BD984" i="191"/>
  <c r="BE984" i="191"/>
  <c r="BF984" i="191"/>
  <c r="BG984" i="191"/>
  <c r="BH984" i="191"/>
  <c r="BI984" i="191"/>
  <c r="BJ984" i="191"/>
  <c r="BK984" i="191"/>
  <c r="BD985" i="191"/>
  <c r="BE985" i="191"/>
  <c r="BF985" i="191"/>
  <c r="BG985" i="191"/>
  <c r="BH985" i="191"/>
  <c r="BI985" i="191"/>
  <c r="BJ985" i="191"/>
  <c r="BK985" i="191"/>
  <c r="BD986" i="191"/>
  <c r="BE986" i="191"/>
  <c r="BF986" i="191"/>
  <c r="BG986" i="191"/>
  <c r="BH986" i="191"/>
  <c r="BI986" i="191"/>
  <c r="BJ986" i="191"/>
  <c r="BK986" i="191"/>
  <c r="BD987" i="191"/>
  <c r="BE987" i="191"/>
  <c r="BF987" i="191"/>
  <c r="BG987" i="191"/>
  <c r="BH987" i="191"/>
  <c r="BI987" i="191"/>
  <c r="BJ987" i="191"/>
  <c r="BK987" i="191"/>
  <c r="BD988" i="191"/>
  <c r="BE988" i="191"/>
  <c r="BF988" i="191"/>
  <c r="BG988" i="191"/>
  <c r="BH988" i="191"/>
  <c r="BI988" i="191"/>
  <c r="BJ988" i="191"/>
  <c r="BK988" i="191"/>
  <c r="BD989" i="191"/>
  <c r="BE989" i="191"/>
  <c r="BF989" i="191"/>
  <c r="BG989" i="191"/>
  <c r="BH989" i="191"/>
  <c r="BI989" i="191"/>
  <c r="BJ989" i="191"/>
  <c r="BK989" i="191"/>
  <c r="BD990" i="191"/>
  <c r="BE990" i="191"/>
  <c r="BF990" i="191"/>
  <c r="BG990" i="191"/>
  <c r="BH990" i="191"/>
  <c r="BI990" i="191"/>
  <c r="BJ990" i="191"/>
  <c r="BK990" i="191"/>
  <c r="BD991" i="191"/>
  <c r="BE991" i="191"/>
  <c r="BF991" i="191"/>
  <c r="BG991" i="191"/>
  <c r="BH991" i="191"/>
  <c r="BI991" i="191"/>
  <c r="BJ991" i="191"/>
  <c r="BK991" i="191"/>
  <c r="BD992" i="191"/>
  <c r="BE992" i="191"/>
  <c r="BF992" i="191"/>
  <c r="BG992" i="191"/>
  <c r="BH992" i="191"/>
  <c r="BI992" i="191"/>
  <c r="BJ992" i="191"/>
  <c r="BK992" i="191"/>
  <c r="BD993" i="191"/>
  <c r="BE993" i="191"/>
  <c r="BF993" i="191"/>
  <c r="BG993" i="191"/>
  <c r="BH993" i="191"/>
  <c r="BI993" i="191"/>
  <c r="BJ993" i="191"/>
  <c r="BK993" i="191"/>
  <c r="BD994" i="191"/>
  <c r="BE994" i="191"/>
  <c r="BF994" i="191"/>
  <c r="BG994" i="191"/>
  <c r="BH994" i="191"/>
  <c r="BI994" i="191"/>
  <c r="BJ994" i="191"/>
  <c r="BK994" i="191"/>
  <c r="BD995" i="191"/>
  <c r="BE995" i="191"/>
  <c r="BF995" i="191"/>
  <c r="BG995" i="191"/>
  <c r="BH995" i="191"/>
  <c r="BI995" i="191"/>
  <c r="BJ995" i="191"/>
  <c r="BK995" i="191"/>
  <c r="BD996" i="191"/>
  <c r="BE996" i="191"/>
  <c r="BF996" i="191"/>
  <c r="BG996" i="191"/>
  <c r="BH996" i="191"/>
  <c r="BI996" i="191"/>
  <c r="BJ996" i="191"/>
  <c r="BK996" i="191"/>
  <c r="BD997" i="191"/>
  <c r="BE997" i="191"/>
  <c r="BF997" i="191"/>
  <c r="BG997" i="191"/>
  <c r="BH997" i="191"/>
  <c r="BI997" i="191"/>
  <c r="BJ997" i="191"/>
  <c r="BK997" i="191"/>
  <c r="BD998" i="191"/>
  <c r="BE998" i="191"/>
  <c r="BF998" i="191"/>
  <c r="BG998" i="191"/>
  <c r="BH998" i="191"/>
  <c r="BI998" i="191"/>
  <c r="BJ998" i="191"/>
  <c r="BK998" i="191"/>
  <c r="BD999" i="191"/>
  <c r="BE999" i="191"/>
  <c r="BF999" i="191"/>
  <c r="BG999" i="191"/>
  <c r="BH999" i="191"/>
  <c r="BI999" i="191"/>
  <c r="BJ999" i="191"/>
  <c r="BK999" i="191"/>
  <c r="BD1000" i="191"/>
  <c r="BE1000" i="191"/>
  <c r="BF1000" i="191"/>
  <c r="BG1000" i="191"/>
  <c r="BH1000" i="191"/>
  <c r="BI1000" i="191"/>
  <c r="BJ1000" i="191"/>
  <c r="BK1000" i="191"/>
  <c r="BD1001" i="191"/>
  <c r="BE1001" i="191"/>
  <c r="BF1001" i="191"/>
  <c r="BG1001" i="191"/>
  <c r="BH1001" i="191"/>
  <c r="BI1001" i="191"/>
  <c r="BJ1001" i="191"/>
  <c r="BK1001" i="191"/>
  <c r="BD1002" i="191"/>
  <c r="BE1002" i="191"/>
  <c r="BF1002" i="191"/>
  <c r="BG1002" i="191"/>
  <c r="BH1002" i="191"/>
  <c r="BI1002" i="191"/>
  <c r="BJ1002" i="191"/>
  <c r="BK1002" i="191"/>
  <c r="BD1003" i="191"/>
  <c r="BE1003" i="191"/>
  <c r="BF1003" i="191"/>
  <c r="BG1003" i="191"/>
  <c r="BH1003" i="191"/>
  <c r="BI1003" i="191"/>
  <c r="BJ1003" i="191"/>
  <c r="BK1003" i="191"/>
  <c r="BD1004" i="191"/>
  <c r="BE1004" i="191"/>
  <c r="BF1004" i="191"/>
  <c r="BG1004" i="191"/>
  <c r="BH1004" i="191"/>
  <c r="BI1004" i="191"/>
  <c r="BJ1004" i="191"/>
  <c r="BK1004" i="191"/>
  <c r="BD1005" i="191"/>
  <c r="BE1005" i="191"/>
  <c r="BF1005" i="191"/>
  <c r="BG1005" i="191"/>
  <c r="BH1005" i="191"/>
  <c r="BI1005" i="191"/>
  <c r="BJ1005" i="191"/>
  <c r="BK1005" i="191"/>
  <c r="BD1006" i="191"/>
  <c r="BE1006" i="191"/>
  <c r="BF1006" i="191"/>
  <c r="BG1006" i="191"/>
  <c r="BH1006" i="191"/>
  <c r="BI1006" i="191"/>
  <c r="BJ1006" i="191"/>
  <c r="BK1006" i="191"/>
  <c r="BD1007" i="191"/>
  <c r="BE1007" i="191"/>
  <c r="BF1007" i="191"/>
  <c r="BG1007" i="191"/>
  <c r="BH1007" i="191"/>
  <c r="BI1007" i="191"/>
  <c r="BJ1007" i="191"/>
  <c r="BK1007" i="191"/>
  <c r="BD1008" i="191"/>
  <c r="BE1008" i="191"/>
  <c r="BF1008" i="191"/>
  <c r="BG1008" i="191"/>
  <c r="BH1008" i="191"/>
  <c r="BI1008" i="191"/>
  <c r="BJ1008" i="191"/>
  <c r="BK1008" i="191"/>
  <c r="BD1009" i="191"/>
  <c r="BE1009" i="191"/>
  <c r="BF1009" i="191"/>
  <c r="BG1009" i="191"/>
  <c r="BH1009" i="191"/>
  <c r="BI1009" i="191"/>
  <c r="BJ1009" i="191"/>
  <c r="BK1009" i="191"/>
  <c r="BD1010" i="191"/>
  <c r="BE1010" i="191"/>
  <c r="BF1010" i="191"/>
  <c r="BG1010" i="191"/>
  <c r="BH1010" i="191"/>
  <c r="BI1010" i="191"/>
  <c r="BJ1010" i="191"/>
  <c r="BK1010" i="191"/>
  <c r="BD1011" i="191"/>
  <c r="BE1011" i="191"/>
  <c r="BF1011" i="191"/>
  <c r="BG1011" i="191"/>
  <c r="BH1011" i="191"/>
  <c r="BI1011" i="191"/>
  <c r="BJ1011" i="191"/>
  <c r="BK1011" i="191"/>
  <c r="BD1012" i="191"/>
  <c r="BE1012" i="191"/>
  <c r="BF1012" i="191"/>
  <c r="BG1012" i="191"/>
  <c r="BH1012" i="191"/>
  <c r="BI1012" i="191"/>
  <c r="BJ1012" i="191"/>
  <c r="BK1012" i="191"/>
  <c r="BD1013" i="191"/>
  <c r="BE1013" i="191"/>
  <c r="BF1013" i="191"/>
  <c r="BG1013" i="191"/>
  <c r="BH1013" i="191"/>
  <c r="BI1013" i="191"/>
  <c r="BJ1013" i="191"/>
  <c r="BK1013" i="191"/>
  <c r="BD1014" i="191"/>
  <c r="BE1014" i="191"/>
  <c r="BF1014" i="191"/>
  <c r="BG1014" i="191"/>
  <c r="BH1014" i="191"/>
  <c r="BI1014" i="191"/>
  <c r="BJ1014" i="191"/>
  <c r="BK1014" i="191"/>
  <c r="BD1015" i="191"/>
  <c r="BE1015" i="191"/>
  <c r="BF1015" i="191"/>
  <c r="BG1015" i="191"/>
  <c r="BH1015" i="191"/>
  <c r="BI1015" i="191"/>
  <c r="BJ1015" i="191"/>
  <c r="BK1015" i="191"/>
  <c r="BD1016" i="191"/>
  <c r="BE1016" i="191"/>
  <c r="BF1016" i="191"/>
  <c r="BG1016" i="191"/>
  <c r="BH1016" i="191"/>
  <c r="BI1016" i="191"/>
  <c r="BJ1016" i="191"/>
  <c r="BK1016" i="191"/>
  <c r="BD1017" i="191"/>
  <c r="BE1017" i="191"/>
  <c r="BF1017" i="191"/>
  <c r="BG1017" i="191"/>
  <c r="BH1017" i="191"/>
  <c r="BI1017" i="191"/>
  <c r="BJ1017" i="191"/>
  <c r="BK1017" i="191"/>
  <c r="BD1018" i="191"/>
  <c r="BE1018" i="191"/>
  <c r="BF1018" i="191"/>
  <c r="BG1018" i="191"/>
  <c r="BH1018" i="191"/>
  <c r="BI1018" i="191"/>
  <c r="BJ1018" i="191"/>
  <c r="BK1018" i="191"/>
  <c r="BD1019" i="191"/>
  <c r="BE1019" i="191"/>
  <c r="BF1019" i="191"/>
  <c r="BG1019" i="191"/>
  <c r="BH1019" i="191"/>
  <c r="BI1019" i="191"/>
  <c r="BJ1019" i="191"/>
  <c r="BK1019" i="191"/>
  <c r="BD1020" i="191"/>
  <c r="BE1020" i="191"/>
  <c r="BF1020" i="191"/>
  <c r="BG1020" i="191"/>
  <c r="BH1020" i="191"/>
  <c r="BI1020" i="191"/>
  <c r="BJ1020" i="191"/>
  <c r="BK1020" i="191"/>
  <c r="BD1021" i="191"/>
  <c r="BE1021" i="191"/>
  <c r="BF1021" i="191"/>
  <c r="BG1021" i="191"/>
  <c r="BH1021" i="191"/>
  <c r="BI1021" i="191"/>
  <c r="BJ1021" i="191"/>
  <c r="BK1021" i="191"/>
  <c r="BD1022" i="191"/>
  <c r="BE1022" i="191"/>
  <c r="BF1022" i="191"/>
  <c r="BG1022" i="191"/>
  <c r="BH1022" i="191"/>
  <c r="BI1022" i="191"/>
  <c r="BJ1022" i="191"/>
  <c r="BK1022" i="191"/>
  <c r="BD1023" i="191"/>
  <c r="BE1023" i="191"/>
  <c r="BF1023" i="191"/>
  <c r="BG1023" i="191"/>
  <c r="BH1023" i="191"/>
  <c r="BI1023" i="191"/>
  <c r="BJ1023" i="191"/>
  <c r="BK1023" i="191"/>
  <c r="BD1024" i="191"/>
  <c r="BE1024" i="191"/>
  <c r="BF1024" i="191"/>
  <c r="BG1024" i="191"/>
  <c r="BH1024" i="191"/>
  <c r="BI1024" i="191"/>
  <c r="BJ1024" i="191"/>
  <c r="BK1024" i="191"/>
  <c r="BD1025" i="191"/>
  <c r="BE1025" i="191"/>
  <c r="BF1025" i="191"/>
  <c r="BG1025" i="191"/>
  <c r="BH1025" i="191"/>
  <c r="BI1025" i="191"/>
  <c r="BJ1025" i="191"/>
  <c r="BK1025" i="191"/>
  <c r="BD1026" i="191"/>
  <c r="BE1026" i="191"/>
  <c r="BF1026" i="191"/>
  <c r="BG1026" i="191"/>
  <c r="BH1026" i="191"/>
  <c r="BI1026" i="191"/>
  <c r="BJ1026" i="191"/>
  <c r="BK1026" i="191"/>
  <c r="BD1027" i="191"/>
  <c r="BE1027" i="191"/>
  <c r="BF1027" i="191"/>
  <c r="BG1027" i="191"/>
  <c r="BH1027" i="191"/>
  <c r="BI1027" i="191"/>
  <c r="BJ1027" i="191"/>
  <c r="BK1027" i="191"/>
  <c r="BD1028" i="191"/>
  <c r="BE1028" i="191"/>
  <c r="BF1028" i="191"/>
  <c r="BG1028" i="191"/>
  <c r="BH1028" i="191"/>
  <c r="BI1028" i="191"/>
  <c r="BJ1028" i="191"/>
  <c r="BK1028" i="191"/>
  <c r="BD1029" i="191"/>
  <c r="BE1029" i="191"/>
  <c r="BF1029" i="191"/>
  <c r="BG1029" i="191"/>
  <c r="BH1029" i="191"/>
  <c r="BI1029" i="191"/>
  <c r="BJ1029" i="191"/>
  <c r="BK1029" i="191"/>
  <c r="BD1030" i="191"/>
  <c r="BE1030" i="191"/>
  <c r="BF1030" i="191"/>
  <c r="BG1030" i="191"/>
  <c r="BH1030" i="191"/>
  <c r="BI1030" i="191"/>
  <c r="BJ1030" i="191"/>
  <c r="BK1030" i="191"/>
  <c r="BD1031" i="191"/>
  <c r="BE1031" i="191"/>
  <c r="BF1031" i="191"/>
  <c r="BG1031" i="191"/>
  <c r="BH1031" i="191"/>
  <c r="BI1031" i="191"/>
  <c r="BJ1031" i="191"/>
  <c r="BK1031" i="191"/>
  <c r="BD1032" i="191"/>
  <c r="BE1032" i="191"/>
  <c r="BF1032" i="191"/>
  <c r="BG1032" i="191"/>
  <c r="BH1032" i="191"/>
  <c r="BI1032" i="191"/>
  <c r="BJ1032" i="191"/>
  <c r="BK1032" i="191"/>
  <c r="BD1033" i="191"/>
  <c r="BE1033" i="191"/>
  <c r="BF1033" i="191"/>
  <c r="BG1033" i="191"/>
  <c r="BH1033" i="191"/>
  <c r="BI1033" i="191"/>
  <c r="BJ1033" i="191"/>
  <c r="BK1033" i="191"/>
  <c r="BD1034" i="191"/>
  <c r="BE1034" i="191"/>
  <c r="BF1034" i="191"/>
  <c r="BG1034" i="191"/>
  <c r="BH1034" i="191"/>
  <c r="BI1034" i="191"/>
  <c r="BJ1034" i="191"/>
  <c r="BK1034" i="191"/>
  <c r="BD1035" i="191"/>
  <c r="BE1035" i="191"/>
  <c r="BF1035" i="191"/>
  <c r="BG1035" i="191"/>
  <c r="BH1035" i="191"/>
  <c r="BI1035" i="191"/>
  <c r="BJ1035" i="191"/>
  <c r="BK1035" i="191"/>
  <c r="BD1036" i="191"/>
  <c r="BE1036" i="191"/>
  <c r="BF1036" i="191"/>
  <c r="BG1036" i="191"/>
  <c r="BH1036" i="191"/>
  <c r="BI1036" i="191"/>
  <c r="BJ1036" i="191"/>
  <c r="BK1036" i="191"/>
  <c r="BD1037" i="191"/>
  <c r="BE1037" i="191"/>
  <c r="BF1037" i="191"/>
  <c r="BG1037" i="191"/>
  <c r="BH1037" i="191"/>
  <c r="BI1037" i="191"/>
  <c r="BJ1037" i="191"/>
  <c r="BK1037" i="191"/>
  <c r="BD1038" i="191"/>
  <c r="BE1038" i="191"/>
  <c r="BF1038" i="191"/>
  <c r="BG1038" i="191"/>
  <c r="BH1038" i="191"/>
  <c r="BI1038" i="191"/>
  <c r="BJ1038" i="191"/>
  <c r="BK1038" i="191"/>
  <c r="BD1039" i="191"/>
  <c r="BE1039" i="191"/>
  <c r="BF1039" i="191"/>
  <c r="BG1039" i="191"/>
  <c r="BH1039" i="191"/>
  <c r="BI1039" i="191"/>
  <c r="BJ1039" i="191"/>
  <c r="BK1039" i="191"/>
  <c r="BD1040" i="191"/>
  <c r="BE1040" i="191"/>
  <c r="BF1040" i="191"/>
  <c r="BG1040" i="191"/>
  <c r="BH1040" i="191"/>
  <c r="BI1040" i="191"/>
  <c r="BJ1040" i="191"/>
  <c r="BK1040" i="191"/>
  <c r="BD1041" i="191"/>
  <c r="BE1041" i="191"/>
  <c r="BF1041" i="191"/>
  <c r="BG1041" i="191"/>
  <c r="BH1041" i="191"/>
  <c r="BI1041" i="191"/>
  <c r="BJ1041" i="191"/>
  <c r="BK1041" i="191"/>
  <c r="BD1042" i="191"/>
  <c r="BE1042" i="191"/>
  <c r="BF1042" i="191"/>
  <c r="BG1042" i="191"/>
  <c r="BH1042" i="191"/>
  <c r="BI1042" i="191"/>
  <c r="BJ1042" i="191"/>
  <c r="BK1042" i="191"/>
  <c r="BD1043" i="191"/>
  <c r="BE1043" i="191"/>
  <c r="BF1043" i="191"/>
  <c r="BG1043" i="191"/>
  <c r="BH1043" i="191"/>
  <c r="BI1043" i="191"/>
  <c r="BJ1043" i="191"/>
  <c r="BK1043" i="191"/>
  <c r="BD1044" i="191"/>
  <c r="BE1044" i="191"/>
  <c r="BF1044" i="191"/>
  <c r="BG1044" i="191"/>
  <c r="BH1044" i="191"/>
  <c r="BI1044" i="191"/>
  <c r="BJ1044" i="191"/>
  <c r="BK1044" i="191"/>
  <c r="BD1045" i="191"/>
  <c r="BE1045" i="191"/>
  <c r="BF1045" i="191"/>
  <c r="BG1045" i="191"/>
  <c r="BH1045" i="191"/>
  <c r="BI1045" i="191"/>
  <c r="BJ1045" i="191"/>
  <c r="BK1045" i="191"/>
  <c r="BD1046" i="191"/>
  <c r="BE1046" i="191"/>
  <c r="BF1046" i="191"/>
  <c r="BG1046" i="191"/>
  <c r="BH1046" i="191"/>
  <c r="BI1046" i="191"/>
  <c r="BJ1046" i="191"/>
  <c r="BK1046" i="191"/>
  <c r="BD1047" i="191"/>
  <c r="BE1047" i="191"/>
  <c r="BF1047" i="191"/>
  <c r="BG1047" i="191"/>
  <c r="BH1047" i="191"/>
  <c r="BI1047" i="191"/>
  <c r="BJ1047" i="191"/>
  <c r="BK1047" i="191"/>
  <c r="BD1048" i="191"/>
  <c r="BE1048" i="191"/>
  <c r="BF1048" i="191"/>
  <c r="BG1048" i="191"/>
  <c r="BH1048" i="191"/>
  <c r="BI1048" i="191"/>
  <c r="BJ1048" i="191"/>
  <c r="BK1048" i="191"/>
  <c r="BD1049" i="191"/>
  <c r="BE1049" i="191"/>
  <c r="BF1049" i="191"/>
  <c r="BG1049" i="191"/>
  <c r="BH1049" i="191"/>
  <c r="BI1049" i="191"/>
  <c r="BJ1049" i="191"/>
  <c r="BK1049" i="191"/>
  <c r="BD1050" i="191"/>
  <c r="BE1050" i="191"/>
  <c r="BF1050" i="191"/>
  <c r="BG1050" i="191"/>
  <c r="BH1050" i="191"/>
  <c r="BI1050" i="191"/>
  <c r="BJ1050" i="191"/>
  <c r="BK1050" i="191"/>
  <c r="BD1051" i="191"/>
  <c r="BE1051" i="191"/>
  <c r="BF1051" i="191"/>
  <c r="BG1051" i="191"/>
  <c r="BH1051" i="191"/>
  <c r="BI1051" i="191"/>
  <c r="BJ1051" i="191"/>
  <c r="BK1051" i="191"/>
  <c r="BD1052" i="191"/>
  <c r="BE1052" i="191"/>
  <c r="BF1052" i="191"/>
  <c r="BG1052" i="191"/>
  <c r="BH1052" i="191"/>
  <c r="BI1052" i="191"/>
  <c r="BJ1052" i="191"/>
  <c r="BK1052" i="191"/>
  <c r="BD1053" i="191"/>
  <c r="BE1053" i="191"/>
  <c r="BF1053" i="191"/>
  <c r="BG1053" i="191"/>
  <c r="BH1053" i="191"/>
  <c r="BI1053" i="191"/>
  <c r="BJ1053" i="191"/>
  <c r="BK1053" i="191"/>
  <c r="BD1054" i="191"/>
  <c r="BE1054" i="191"/>
  <c r="BF1054" i="191"/>
  <c r="BG1054" i="191"/>
  <c r="BH1054" i="191"/>
  <c r="BI1054" i="191"/>
  <c r="BJ1054" i="191"/>
  <c r="BK1054" i="191"/>
  <c r="BD1055" i="191"/>
  <c r="BE1055" i="191"/>
  <c r="BF1055" i="191"/>
  <c r="BG1055" i="191"/>
  <c r="BH1055" i="191"/>
  <c r="BI1055" i="191"/>
  <c r="BJ1055" i="191"/>
  <c r="BK1055" i="191"/>
  <c r="BD1056" i="191"/>
  <c r="BE1056" i="191"/>
  <c r="BF1056" i="191"/>
  <c r="BG1056" i="191"/>
  <c r="BH1056" i="191"/>
  <c r="BI1056" i="191"/>
  <c r="BJ1056" i="191"/>
  <c r="BK1056" i="191"/>
  <c r="BD1057" i="191"/>
  <c r="BE1057" i="191"/>
  <c r="BF1057" i="191"/>
  <c r="BG1057" i="191"/>
  <c r="BH1057" i="191"/>
  <c r="BI1057" i="191"/>
  <c r="BJ1057" i="191"/>
  <c r="BK1057" i="191"/>
  <c r="BD1058" i="191"/>
  <c r="BE1058" i="191"/>
  <c r="BF1058" i="191"/>
  <c r="BG1058" i="191"/>
  <c r="BH1058" i="191"/>
  <c r="BI1058" i="191"/>
  <c r="BJ1058" i="191"/>
  <c r="BK1058" i="191"/>
  <c r="BD1059" i="191"/>
  <c r="BE1059" i="191"/>
  <c r="BF1059" i="191"/>
  <c r="BG1059" i="191"/>
  <c r="BH1059" i="191"/>
  <c r="BI1059" i="191"/>
  <c r="BJ1059" i="191"/>
  <c r="BK1059" i="191"/>
  <c r="BD1060" i="191"/>
  <c r="BE1060" i="191"/>
  <c r="BF1060" i="191"/>
  <c r="BG1060" i="191"/>
  <c r="BH1060" i="191"/>
  <c r="BI1060" i="191"/>
  <c r="BJ1060" i="191"/>
  <c r="BK1060" i="191"/>
  <c r="BD1061" i="191"/>
  <c r="BE1061" i="191"/>
  <c r="BF1061" i="191"/>
  <c r="BG1061" i="191"/>
  <c r="BH1061" i="191"/>
  <c r="BI1061" i="191"/>
  <c r="BJ1061" i="191"/>
  <c r="BK1061" i="191"/>
  <c r="BD1062" i="191"/>
  <c r="BE1062" i="191"/>
  <c r="BF1062" i="191"/>
  <c r="BG1062" i="191"/>
  <c r="BH1062" i="191"/>
  <c r="BI1062" i="191"/>
  <c r="BJ1062" i="191"/>
  <c r="BK1062" i="191"/>
  <c r="BD1063" i="191"/>
  <c r="BE1063" i="191"/>
  <c r="BF1063" i="191"/>
  <c r="BG1063" i="191"/>
  <c r="BH1063" i="191"/>
  <c r="BI1063" i="191"/>
  <c r="BJ1063" i="191"/>
  <c r="BK1063" i="191"/>
  <c r="BD1064" i="191"/>
  <c r="BE1064" i="191"/>
  <c r="BF1064" i="191"/>
  <c r="BG1064" i="191"/>
  <c r="BH1064" i="191"/>
  <c r="BI1064" i="191"/>
  <c r="BJ1064" i="191"/>
  <c r="BK1064" i="191"/>
  <c r="BD1065" i="191"/>
  <c r="BE1065" i="191"/>
  <c r="BF1065" i="191"/>
  <c r="BG1065" i="191"/>
  <c r="BH1065" i="191"/>
  <c r="BI1065" i="191"/>
  <c r="BJ1065" i="191"/>
  <c r="BK1065" i="191"/>
  <c r="BD1066" i="191"/>
  <c r="BE1066" i="191"/>
  <c r="BF1066" i="191"/>
  <c r="BG1066" i="191"/>
  <c r="BH1066" i="191"/>
  <c r="BI1066" i="191"/>
  <c r="BJ1066" i="191"/>
  <c r="BK1066" i="191"/>
  <c r="BD1067" i="191"/>
  <c r="BE1067" i="191"/>
  <c r="BF1067" i="191"/>
  <c r="BG1067" i="191"/>
  <c r="BH1067" i="191"/>
  <c r="BI1067" i="191"/>
  <c r="BJ1067" i="191"/>
  <c r="BK1067" i="191"/>
  <c r="BD1068" i="191"/>
  <c r="BE1068" i="191"/>
  <c r="BF1068" i="191"/>
  <c r="BG1068" i="191"/>
  <c r="BH1068" i="191"/>
  <c r="BI1068" i="191"/>
  <c r="BJ1068" i="191"/>
  <c r="BK1068" i="191"/>
  <c r="BD1069" i="191"/>
  <c r="BE1069" i="191"/>
  <c r="BF1069" i="191"/>
  <c r="BG1069" i="191"/>
  <c r="BH1069" i="191"/>
  <c r="BI1069" i="191"/>
  <c r="BJ1069" i="191"/>
  <c r="BK1069" i="191"/>
  <c r="BD1070" i="191"/>
  <c r="BE1070" i="191"/>
  <c r="BF1070" i="191"/>
  <c r="BG1070" i="191"/>
  <c r="BH1070" i="191"/>
  <c r="BI1070" i="191"/>
  <c r="BJ1070" i="191"/>
  <c r="BK1070" i="191"/>
  <c r="BD1071" i="191"/>
  <c r="BE1071" i="191"/>
  <c r="BF1071" i="191"/>
  <c r="BG1071" i="191"/>
  <c r="BH1071" i="191"/>
  <c r="BI1071" i="191"/>
  <c r="BJ1071" i="191"/>
  <c r="BK1071" i="191"/>
  <c r="BD1072" i="191"/>
  <c r="BE1072" i="191"/>
  <c r="BF1072" i="191"/>
  <c r="BG1072" i="191"/>
  <c r="BH1072" i="191"/>
  <c r="BI1072" i="191"/>
  <c r="BJ1072" i="191"/>
  <c r="BK1072" i="191"/>
  <c r="BD1073" i="191"/>
  <c r="BE1073" i="191"/>
  <c r="BF1073" i="191"/>
  <c r="BG1073" i="191"/>
  <c r="BH1073" i="191"/>
  <c r="BI1073" i="191"/>
  <c r="BJ1073" i="191"/>
  <c r="BK1073" i="191"/>
  <c r="BD1074" i="191"/>
  <c r="BE1074" i="191"/>
  <c r="BF1074" i="191"/>
  <c r="BG1074" i="191"/>
  <c r="BH1074" i="191"/>
  <c r="BI1074" i="191"/>
  <c r="BJ1074" i="191"/>
  <c r="BK1074" i="191"/>
  <c r="BD1075" i="191"/>
  <c r="BE1075" i="191"/>
  <c r="BF1075" i="191"/>
  <c r="BG1075" i="191"/>
  <c r="BH1075" i="191"/>
  <c r="BI1075" i="191"/>
  <c r="BJ1075" i="191"/>
  <c r="BK1075" i="191"/>
  <c r="BD1076" i="191"/>
  <c r="BE1076" i="191"/>
  <c r="BF1076" i="191"/>
  <c r="BG1076" i="191"/>
  <c r="BH1076" i="191"/>
  <c r="BI1076" i="191"/>
  <c r="BJ1076" i="191"/>
  <c r="BK1076" i="191"/>
  <c r="BD1077" i="191"/>
  <c r="BE1077" i="191"/>
  <c r="BF1077" i="191"/>
  <c r="BG1077" i="191"/>
  <c r="BH1077" i="191"/>
  <c r="BI1077" i="191"/>
  <c r="BJ1077" i="191"/>
  <c r="BK1077" i="191"/>
  <c r="BD1078" i="191"/>
  <c r="BE1078" i="191"/>
  <c r="BF1078" i="191"/>
  <c r="BG1078" i="191"/>
  <c r="BH1078" i="191"/>
  <c r="BI1078" i="191"/>
  <c r="BJ1078" i="191"/>
  <c r="BK1078" i="191"/>
  <c r="BK3" i="191"/>
  <c r="BJ3" i="191"/>
  <c r="BI3" i="191"/>
  <c r="BH3" i="191"/>
  <c r="BG3" i="191"/>
  <c r="BF3" i="191"/>
  <c r="BE3" i="191"/>
  <c r="BD3" i="191"/>
  <c r="G9" i="198" l="1"/>
  <c r="H9" i="198" l="1"/>
  <c r="M9" i="198" s="1"/>
  <c r="I9" i="198"/>
  <c r="I5" i="198" l="1"/>
  <c r="BC1078" i="191"/>
  <c r="BC1077" i="191"/>
  <c r="BC1076" i="191"/>
  <c r="BC1075" i="191"/>
  <c r="BC1074" i="191"/>
  <c r="BC1073" i="191"/>
  <c r="BC1072" i="191"/>
  <c r="BC1071" i="191"/>
  <c r="BC1070" i="191"/>
  <c r="BC1069" i="191"/>
  <c r="BC1068" i="191"/>
  <c r="BC1067" i="191"/>
  <c r="BC1066" i="191"/>
  <c r="BC1065" i="191"/>
  <c r="BC1064" i="191"/>
  <c r="BC1063" i="191"/>
  <c r="BC1062" i="191"/>
  <c r="BC1061" i="191"/>
  <c r="BC1060" i="191"/>
  <c r="BC1059" i="191"/>
  <c r="BC1058" i="191"/>
  <c r="BC1057" i="191"/>
  <c r="BC1056" i="191"/>
  <c r="BC1055" i="191"/>
  <c r="BC1054" i="191"/>
  <c r="BC1053" i="191"/>
  <c r="BC1052" i="191"/>
  <c r="BC1051" i="191"/>
  <c r="BC1050" i="191"/>
  <c r="BC1049" i="191"/>
  <c r="BC1048" i="191"/>
  <c r="BC1047" i="191"/>
  <c r="BC1046" i="191"/>
  <c r="BC1045" i="191"/>
  <c r="BC1044" i="191"/>
  <c r="BC1043" i="191"/>
  <c r="BC1042" i="191"/>
  <c r="BC1041" i="191"/>
  <c r="BC1040" i="191"/>
  <c r="BC1039" i="191"/>
  <c r="BC1038" i="191"/>
  <c r="BC1037" i="191"/>
  <c r="BC1036" i="191"/>
  <c r="BC1035" i="191"/>
  <c r="BC1034" i="191"/>
  <c r="BC1033" i="191"/>
  <c r="BC1032" i="191"/>
  <c r="BC1031" i="191"/>
  <c r="BC1030" i="191"/>
  <c r="BC1029" i="191"/>
  <c r="BC1028" i="191"/>
  <c r="BC1027" i="191"/>
  <c r="BC1026" i="191"/>
  <c r="BC1025" i="191"/>
  <c r="BC1024" i="191"/>
  <c r="BC1023" i="191"/>
  <c r="BC1022" i="191"/>
  <c r="BC1021" i="191"/>
  <c r="BC1020" i="191"/>
  <c r="BC1019" i="191"/>
  <c r="BC1018" i="191"/>
  <c r="BC1017" i="191"/>
  <c r="BC1016" i="191"/>
  <c r="BC1015" i="191"/>
  <c r="BC1014" i="191"/>
  <c r="BC1013" i="191"/>
  <c r="BC1012" i="191"/>
  <c r="BC1011" i="191"/>
  <c r="BC1010" i="191"/>
  <c r="BC1009" i="191"/>
  <c r="BC1008" i="191"/>
  <c r="BC1007" i="191"/>
  <c r="BC1006" i="191"/>
  <c r="BC1005" i="191"/>
  <c r="BC1004" i="191"/>
  <c r="BC1003" i="191"/>
  <c r="BC1002" i="191"/>
  <c r="BC1001" i="191"/>
  <c r="BC1000" i="191"/>
  <c r="BC999" i="191"/>
  <c r="BC998" i="191"/>
  <c r="BC997" i="191"/>
  <c r="BC996" i="191"/>
  <c r="BC995" i="191"/>
  <c r="BC994" i="191"/>
  <c r="BC993" i="191"/>
  <c r="BC992" i="191"/>
  <c r="BC991" i="191"/>
  <c r="BC990" i="191"/>
  <c r="BC989" i="191"/>
  <c r="BC988" i="191"/>
  <c r="BC987" i="191"/>
  <c r="BC986" i="191"/>
  <c r="BC985" i="191"/>
  <c r="BC984" i="191"/>
  <c r="BC983" i="191"/>
  <c r="BC982" i="191"/>
  <c r="BC981" i="191"/>
  <c r="BC980" i="191"/>
  <c r="BC979" i="191"/>
  <c r="BC978" i="191"/>
  <c r="BC977" i="191"/>
  <c r="BC976" i="191"/>
  <c r="BC975" i="191"/>
  <c r="BC974" i="191"/>
  <c r="BC973" i="191"/>
  <c r="BC972" i="191"/>
  <c r="BC971" i="191"/>
  <c r="BC970" i="191"/>
  <c r="BC969" i="191"/>
  <c r="BC968" i="191"/>
  <c r="BC967" i="191"/>
  <c r="BC966" i="191"/>
  <c r="BC965" i="191"/>
  <c r="BC964" i="191"/>
  <c r="BC963" i="191"/>
  <c r="BC962" i="191"/>
  <c r="BC961" i="191"/>
  <c r="BC960" i="191"/>
  <c r="BC959" i="191"/>
  <c r="BC958" i="191"/>
  <c r="BC957" i="191"/>
  <c r="BC956" i="191"/>
  <c r="BC955" i="191"/>
  <c r="BC954" i="191"/>
  <c r="BC953" i="191"/>
  <c r="BC952" i="191"/>
  <c r="BC951" i="191"/>
  <c r="BC950" i="191"/>
  <c r="BC949" i="191"/>
  <c r="BC948" i="191"/>
  <c r="BC947" i="191"/>
  <c r="BC946" i="191"/>
  <c r="BC945" i="191"/>
  <c r="BC944" i="191"/>
  <c r="BC943" i="191"/>
  <c r="BC942" i="191"/>
  <c r="BC941" i="191"/>
  <c r="BC940" i="191"/>
  <c r="BC939" i="191"/>
  <c r="BC938" i="191"/>
  <c r="BC937" i="191"/>
  <c r="BC936" i="191"/>
  <c r="BC935" i="191"/>
  <c r="BC934" i="191"/>
  <c r="BC933" i="191"/>
  <c r="BC932" i="191"/>
  <c r="BC931" i="191"/>
  <c r="BC930" i="191"/>
  <c r="BC929" i="191"/>
  <c r="BC928" i="191"/>
  <c r="BC927" i="191"/>
  <c r="BC926" i="191"/>
  <c r="BC925" i="191"/>
  <c r="BC924" i="191"/>
  <c r="BC923" i="191"/>
  <c r="BC922" i="191"/>
  <c r="BC921" i="191"/>
  <c r="BC920" i="191"/>
  <c r="BC919" i="191"/>
  <c r="BC918" i="191"/>
  <c r="BC917" i="191"/>
  <c r="BC916" i="191"/>
  <c r="BC915" i="191"/>
  <c r="BC914" i="191"/>
  <c r="BC913" i="191"/>
  <c r="BC912" i="191"/>
  <c r="BC911" i="191"/>
  <c r="BC910" i="191"/>
  <c r="BC909" i="191"/>
  <c r="BC908" i="191"/>
  <c r="BC907" i="191"/>
  <c r="BC906" i="191"/>
  <c r="BC905" i="191"/>
  <c r="BC904" i="191"/>
  <c r="BC903" i="191"/>
  <c r="BC902" i="191"/>
  <c r="BC901" i="191"/>
  <c r="BC900" i="191"/>
  <c r="BC899" i="191"/>
  <c r="BC898" i="191"/>
  <c r="BC897" i="191"/>
  <c r="BC896" i="191"/>
  <c r="BC895" i="191"/>
  <c r="BC894" i="191"/>
  <c r="BC893" i="191"/>
  <c r="BC892" i="191"/>
  <c r="BC891" i="191"/>
  <c r="BC890" i="191"/>
  <c r="BC889" i="191"/>
  <c r="BC888" i="191"/>
  <c r="BC887" i="191"/>
  <c r="BC886" i="191"/>
  <c r="BC885" i="191"/>
  <c r="BC884" i="191"/>
  <c r="BC883" i="191"/>
  <c r="BC882" i="191"/>
  <c r="BC881" i="191"/>
  <c r="BC880" i="191"/>
  <c r="BC879" i="191"/>
  <c r="BC878" i="191"/>
  <c r="BC877" i="191"/>
  <c r="BC876" i="191"/>
  <c r="BC875" i="191"/>
  <c r="BC874" i="191"/>
  <c r="BC873" i="191"/>
  <c r="BC872" i="191"/>
  <c r="BC871" i="191"/>
  <c r="BC870" i="191"/>
  <c r="BC869" i="191"/>
  <c r="BC868" i="191"/>
  <c r="BC867" i="191"/>
  <c r="BC866" i="191"/>
  <c r="BC865" i="191"/>
  <c r="BC864" i="191"/>
  <c r="BC863" i="191"/>
  <c r="BC862" i="191"/>
  <c r="BC861" i="191"/>
  <c r="BC860" i="191"/>
  <c r="BC859" i="191"/>
  <c r="BC858" i="191"/>
  <c r="BC857" i="191"/>
  <c r="BC856" i="191"/>
  <c r="BC855" i="191"/>
  <c r="BC854" i="191"/>
  <c r="BC853" i="191"/>
  <c r="BC852" i="191"/>
  <c r="BC851" i="191"/>
  <c r="BC850" i="191"/>
  <c r="BC849" i="191"/>
  <c r="BC848" i="191"/>
  <c r="BC847" i="191"/>
  <c r="BC846" i="191"/>
  <c r="BC845" i="191"/>
  <c r="BC844" i="191"/>
  <c r="BC843" i="191"/>
  <c r="BC842" i="191"/>
  <c r="BC841" i="191"/>
  <c r="BC840" i="191"/>
  <c r="BC839" i="191"/>
  <c r="BC838" i="191"/>
  <c r="BC837" i="191"/>
  <c r="BC836" i="191"/>
  <c r="BC835" i="191"/>
  <c r="BC834" i="191"/>
  <c r="BC833" i="191"/>
  <c r="BC832" i="191"/>
  <c r="BC831" i="191"/>
  <c r="BC830" i="191"/>
  <c r="BC829" i="191"/>
  <c r="BC828" i="191"/>
  <c r="BC827" i="191"/>
  <c r="BC826" i="191"/>
  <c r="BC825" i="191"/>
  <c r="BC824" i="191"/>
  <c r="BC823" i="191"/>
  <c r="BC822" i="191"/>
  <c r="BC821" i="191"/>
  <c r="BC820" i="191"/>
  <c r="BC819" i="191"/>
  <c r="BC818" i="191"/>
  <c r="BC817" i="191"/>
  <c r="BC816" i="191"/>
  <c r="BC815" i="191"/>
  <c r="BC814" i="191"/>
  <c r="BC813" i="191"/>
  <c r="BC812" i="191"/>
  <c r="BC811" i="191"/>
  <c r="BC810" i="191"/>
  <c r="BC809" i="191"/>
  <c r="BC808" i="191"/>
  <c r="BC807" i="191"/>
  <c r="BC806" i="191"/>
  <c r="BC805" i="191"/>
  <c r="BC804" i="191"/>
  <c r="BC803" i="191"/>
  <c r="BC802" i="191"/>
  <c r="BC801" i="191"/>
  <c r="BC800" i="191"/>
  <c r="BC799" i="191"/>
  <c r="BC798" i="191"/>
  <c r="BC797" i="191"/>
  <c r="BC796" i="191"/>
  <c r="BC795" i="191"/>
  <c r="BC794" i="191"/>
  <c r="BC793" i="191"/>
  <c r="BC792" i="191"/>
  <c r="BC791" i="191"/>
  <c r="BC790" i="191"/>
  <c r="BC789" i="191"/>
  <c r="BC788" i="191"/>
  <c r="BC787" i="191"/>
  <c r="BC786" i="191"/>
  <c r="BC785" i="191"/>
  <c r="BC784" i="191"/>
  <c r="BC783" i="191"/>
  <c r="BC782" i="191"/>
  <c r="BC781" i="191"/>
  <c r="BC780" i="191"/>
  <c r="BC779" i="191"/>
  <c r="BC778" i="191"/>
  <c r="BC777" i="191"/>
  <c r="BC776" i="191"/>
  <c r="BC775" i="191"/>
  <c r="BC774" i="191"/>
  <c r="BC773" i="191"/>
  <c r="BC772" i="191"/>
  <c r="BC771" i="191"/>
  <c r="BC770" i="191"/>
  <c r="BC769" i="191"/>
  <c r="BC768" i="191"/>
  <c r="BC767" i="191"/>
  <c r="BC766" i="191"/>
  <c r="BC765" i="191"/>
  <c r="BC764" i="191"/>
  <c r="BC763" i="191"/>
  <c r="BC762" i="191"/>
  <c r="BC761" i="191"/>
  <c r="BC760" i="191"/>
  <c r="BC759" i="191"/>
  <c r="BC758" i="191"/>
  <c r="BC757" i="191"/>
  <c r="BC756" i="191"/>
  <c r="BC755" i="191"/>
  <c r="BC754" i="191"/>
  <c r="BC753" i="191"/>
  <c r="BC752" i="191"/>
  <c r="BC751" i="191"/>
  <c r="BC750" i="191"/>
  <c r="BC749" i="191"/>
  <c r="BC748" i="191"/>
  <c r="BC747" i="191"/>
  <c r="BC746" i="191"/>
  <c r="BC745" i="191"/>
  <c r="BC744" i="191"/>
  <c r="BC743" i="191"/>
  <c r="BC742" i="191"/>
  <c r="BC741" i="191"/>
  <c r="BC740" i="191"/>
  <c r="BC739" i="191"/>
  <c r="BC738" i="191"/>
  <c r="BC737" i="191"/>
  <c r="BC736" i="191"/>
  <c r="BC735" i="191"/>
  <c r="BC734" i="191"/>
  <c r="BC733" i="191"/>
  <c r="BC732" i="191"/>
  <c r="BC731" i="191"/>
  <c r="BC730" i="191"/>
  <c r="BC729" i="191"/>
  <c r="BC728" i="191"/>
  <c r="BC727" i="191"/>
  <c r="BC726" i="191"/>
  <c r="BC725" i="191"/>
  <c r="BC724" i="191"/>
  <c r="BC723" i="191"/>
  <c r="BC722" i="191"/>
  <c r="BC721" i="191"/>
  <c r="BC720" i="191"/>
  <c r="BC719" i="191"/>
  <c r="BC718" i="191"/>
  <c r="BC717" i="191"/>
  <c r="BC716" i="191"/>
  <c r="BC715" i="191"/>
  <c r="BC714" i="191"/>
  <c r="BC713" i="191"/>
  <c r="BC712" i="191"/>
  <c r="BC711" i="191"/>
  <c r="BC710" i="191"/>
  <c r="BC709" i="191"/>
  <c r="BC708" i="191"/>
  <c r="BC707" i="191"/>
  <c r="BC706" i="191"/>
  <c r="BC705" i="191"/>
  <c r="BC704" i="191"/>
  <c r="BC703" i="191"/>
  <c r="BC702" i="191"/>
  <c r="BC701" i="191"/>
  <c r="BC700" i="191"/>
  <c r="BC699" i="191"/>
  <c r="BC698" i="191"/>
  <c r="BC697" i="191"/>
  <c r="BC696" i="191"/>
  <c r="BC695" i="191"/>
  <c r="BC694" i="191"/>
  <c r="BC693" i="191"/>
  <c r="BC692" i="191"/>
  <c r="BC691" i="191"/>
  <c r="BC690" i="191"/>
  <c r="BC689" i="191"/>
  <c r="BC688" i="191"/>
  <c r="BC687" i="191"/>
  <c r="BC686" i="191"/>
  <c r="BC685" i="191"/>
  <c r="BC684" i="191"/>
  <c r="BC683" i="191"/>
  <c r="BC682" i="191"/>
  <c r="BC681" i="191"/>
  <c r="BC680" i="191"/>
  <c r="BC679" i="191"/>
  <c r="BC678" i="191"/>
  <c r="BC677" i="191"/>
  <c r="BC676" i="191"/>
  <c r="BC675" i="191"/>
  <c r="BC674" i="191"/>
  <c r="BC673" i="191"/>
  <c r="BC672" i="191"/>
  <c r="BC671" i="191"/>
  <c r="BC670" i="191"/>
  <c r="BC669" i="191"/>
  <c r="BC668" i="191"/>
  <c r="BC667" i="191"/>
  <c r="BC666" i="191"/>
  <c r="BC665" i="191"/>
  <c r="BC664" i="191"/>
  <c r="BC663" i="191"/>
  <c r="BC662" i="191"/>
  <c r="BC661" i="191"/>
  <c r="BC660" i="191"/>
  <c r="BC659" i="191"/>
  <c r="BC658" i="191"/>
  <c r="BC657" i="191"/>
  <c r="BC656" i="191"/>
  <c r="BC655" i="191"/>
  <c r="BC654" i="191"/>
  <c r="BC653" i="191"/>
  <c r="BC652" i="191"/>
  <c r="BC651" i="191"/>
  <c r="BC650" i="191"/>
  <c r="BC649" i="191"/>
  <c r="BC648" i="191"/>
  <c r="BC647" i="191"/>
  <c r="BC646" i="191"/>
  <c r="BC645" i="191"/>
  <c r="BC644" i="191"/>
  <c r="BC643" i="191"/>
  <c r="BC642" i="191"/>
  <c r="BC641" i="191"/>
  <c r="BC640" i="191"/>
  <c r="BC639" i="191"/>
  <c r="BC638" i="191"/>
  <c r="BC637" i="191"/>
  <c r="BC636" i="191"/>
  <c r="BC635" i="191"/>
  <c r="BC634" i="191"/>
  <c r="BC633" i="191"/>
  <c r="BC632" i="191"/>
  <c r="BC631" i="191"/>
  <c r="BC630" i="191"/>
  <c r="BC629" i="191"/>
  <c r="BC628" i="191"/>
  <c r="BC627" i="191"/>
  <c r="BC626" i="191"/>
  <c r="BC625" i="191"/>
  <c r="BC624" i="191"/>
  <c r="BC623" i="191"/>
  <c r="BC622" i="191"/>
  <c r="BC621" i="191"/>
  <c r="BC620" i="191"/>
  <c r="BC619" i="191"/>
  <c r="BC618" i="191"/>
  <c r="BC617" i="191"/>
  <c r="BC616" i="191"/>
  <c r="BC615" i="191"/>
  <c r="BC614" i="191"/>
  <c r="BC613" i="191"/>
  <c r="BC612" i="191"/>
  <c r="BC611" i="191"/>
  <c r="BC610" i="191"/>
  <c r="BC609" i="191"/>
  <c r="BC608" i="191"/>
  <c r="BC607" i="191"/>
  <c r="BC606" i="191"/>
  <c r="BC605" i="191"/>
  <c r="BC604" i="191"/>
  <c r="BC603" i="191"/>
  <c r="BC602" i="191"/>
  <c r="BC601" i="191"/>
  <c r="BC600" i="191"/>
  <c r="BC599" i="191"/>
  <c r="BC598" i="191"/>
  <c r="BC597" i="191"/>
  <c r="BC596" i="191"/>
  <c r="BC595" i="191"/>
  <c r="BC594" i="191"/>
  <c r="BC593" i="191"/>
  <c r="BC592" i="191"/>
  <c r="BC591" i="191"/>
  <c r="BC590" i="191"/>
  <c r="BC589" i="191"/>
  <c r="BC588" i="191"/>
  <c r="BC587" i="191"/>
  <c r="BC586" i="191"/>
  <c r="BC585" i="191"/>
  <c r="BC584" i="191"/>
  <c r="BC583" i="191"/>
  <c r="BC582" i="191"/>
  <c r="BC581" i="191"/>
  <c r="BC580" i="191"/>
  <c r="BC579" i="191"/>
  <c r="BC578" i="191"/>
  <c r="BC577" i="191"/>
  <c r="BC576" i="191"/>
  <c r="BC575" i="191"/>
  <c r="BC574" i="191"/>
  <c r="BC573" i="191"/>
  <c r="BC572" i="191"/>
  <c r="BC571" i="191"/>
  <c r="BC570" i="191"/>
  <c r="BC569" i="191"/>
  <c r="BC568" i="191"/>
  <c r="BC567" i="191"/>
  <c r="BC566" i="191"/>
  <c r="BC565" i="191"/>
  <c r="BC564" i="191"/>
  <c r="BC563" i="191"/>
  <c r="BC562" i="191"/>
  <c r="BC561" i="191"/>
  <c r="BC560" i="191"/>
  <c r="BC559" i="191"/>
  <c r="BC558" i="191"/>
  <c r="BC557" i="191"/>
  <c r="BC556" i="191"/>
  <c r="BC555" i="191"/>
  <c r="BC554" i="191"/>
  <c r="BC553" i="191"/>
  <c r="BC552" i="191"/>
  <c r="BC551" i="191"/>
  <c r="BC550" i="191"/>
  <c r="BC549" i="191"/>
  <c r="BC548" i="191"/>
  <c r="BC547" i="191"/>
  <c r="BC546" i="191"/>
  <c r="BC545" i="191"/>
  <c r="BC544" i="191"/>
  <c r="BC543" i="191"/>
  <c r="BC542" i="191"/>
  <c r="BC541" i="191"/>
  <c r="BC540" i="191"/>
  <c r="BC539" i="191"/>
  <c r="BC538" i="191"/>
  <c r="BC537" i="191"/>
  <c r="BC536" i="191"/>
  <c r="BC535" i="191"/>
  <c r="BC534" i="191"/>
  <c r="BC533" i="191"/>
  <c r="BC532" i="191"/>
  <c r="BC531" i="191"/>
  <c r="BC530" i="191"/>
  <c r="BC529" i="191"/>
  <c r="BC528" i="191"/>
  <c r="BC527" i="191"/>
  <c r="BC526" i="191"/>
  <c r="BC525" i="191"/>
  <c r="BC524" i="191"/>
  <c r="BC523" i="191"/>
  <c r="BC522" i="191"/>
  <c r="BC521" i="191"/>
  <c r="BC520" i="191"/>
  <c r="BC519" i="191"/>
  <c r="BC518" i="191"/>
  <c r="BC517" i="191"/>
  <c r="BC516" i="191"/>
  <c r="BC515" i="191"/>
  <c r="BC514" i="191"/>
  <c r="BC513" i="191"/>
  <c r="BC512" i="191"/>
  <c r="BC511" i="191"/>
  <c r="BC510" i="191"/>
  <c r="BC509" i="191"/>
  <c r="BC508" i="191"/>
  <c r="BC507" i="191"/>
  <c r="BC506" i="191"/>
  <c r="BC505" i="191"/>
  <c r="BC504" i="191"/>
  <c r="BC503" i="191"/>
  <c r="BC502" i="191"/>
  <c r="BC501" i="191"/>
  <c r="BC500" i="191"/>
  <c r="BC499" i="191"/>
  <c r="BC498" i="191"/>
  <c r="BC497" i="191"/>
  <c r="BC496" i="191"/>
  <c r="BC495" i="191"/>
  <c r="BC494" i="191"/>
  <c r="BC493" i="191"/>
  <c r="BC492" i="191"/>
  <c r="BC491" i="191"/>
  <c r="BC490" i="191"/>
  <c r="BC489" i="191"/>
  <c r="BC488" i="191"/>
  <c r="BC487" i="191"/>
  <c r="BC486" i="191"/>
  <c r="BC485" i="191"/>
  <c r="BC484" i="191"/>
  <c r="BC483" i="191"/>
  <c r="BC482" i="191"/>
  <c r="BC481" i="191"/>
  <c r="BC480" i="191"/>
  <c r="BC479" i="191"/>
  <c r="BC478" i="191"/>
  <c r="BC477" i="191"/>
  <c r="BC476" i="191"/>
  <c r="BC475" i="191"/>
  <c r="BC474" i="191"/>
  <c r="BC473" i="191"/>
  <c r="BC472" i="191"/>
  <c r="BC471" i="191"/>
  <c r="BC470" i="191"/>
  <c r="BC469" i="191"/>
  <c r="BC468" i="191"/>
  <c r="BC467" i="191"/>
  <c r="BC466" i="191"/>
  <c r="BC465" i="191"/>
  <c r="BC464" i="191"/>
  <c r="BC463" i="191"/>
  <c r="BC462" i="191"/>
  <c r="BC461" i="191"/>
  <c r="BC460" i="191"/>
  <c r="BC459" i="191"/>
  <c r="BC458" i="191"/>
  <c r="BC457" i="191"/>
  <c r="BC456" i="191"/>
  <c r="BC455" i="191"/>
  <c r="BC454" i="191"/>
  <c r="BC453" i="191"/>
  <c r="BC452" i="191"/>
  <c r="BC451" i="191"/>
  <c r="BC450" i="191"/>
  <c r="BC449" i="191"/>
  <c r="BC448" i="191"/>
  <c r="BC447" i="191"/>
  <c r="BC446" i="191"/>
  <c r="BC445" i="191"/>
  <c r="BC444" i="191"/>
  <c r="BC443" i="191"/>
  <c r="BC442" i="191"/>
  <c r="BC441" i="191"/>
  <c r="BC440" i="191"/>
  <c r="BC439" i="191"/>
  <c r="BC438" i="191"/>
  <c r="BC437" i="191"/>
  <c r="BC436" i="191"/>
  <c r="BC435" i="191"/>
  <c r="BC434" i="191"/>
  <c r="BC433" i="191"/>
  <c r="BC432" i="191"/>
  <c r="BC431" i="191"/>
  <c r="BC430" i="191"/>
  <c r="BC429" i="191"/>
  <c r="BC428" i="191"/>
  <c r="BC427" i="191"/>
  <c r="BC426" i="191"/>
  <c r="BC425" i="191"/>
  <c r="BC424" i="191"/>
  <c r="BC423" i="191"/>
  <c r="BC422" i="191"/>
  <c r="BC421" i="191"/>
  <c r="BC420" i="191"/>
  <c r="BC419" i="191"/>
  <c r="BC418" i="191"/>
  <c r="BC417" i="191"/>
  <c r="BC416" i="191"/>
  <c r="BC415" i="191"/>
  <c r="BC414" i="191"/>
  <c r="BC413" i="191"/>
  <c r="BC412" i="191"/>
  <c r="BC411" i="191"/>
  <c r="BC410" i="191"/>
  <c r="BC409" i="191"/>
  <c r="BC408" i="191"/>
  <c r="BC407" i="191"/>
  <c r="BC406" i="191"/>
  <c r="BC405" i="191"/>
  <c r="BC404" i="191"/>
  <c r="BC403" i="191"/>
  <c r="BC402" i="191"/>
  <c r="BC401" i="191"/>
  <c r="BC400" i="191"/>
  <c r="BC399" i="191"/>
  <c r="BC398" i="191"/>
  <c r="BC397" i="191"/>
  <c r="BC396" i="191"/>
  <c r="BC395" i="191"/>
  <c r="BC394" i="191"/>
  <c r="BC393" i="191"/>
  <c r="BC392" i="191"/>
  <c r="BC391" i="191"/>
  <c r="BC390" i="191"/>
  <c r="BC389" i="191"/>
  <c r="BC388" i="191"/>
  <c r="BC387" i="191"/>
  <c r="BC386" i="191"/>
  <c r="BC385" i="191"/>
  <c r="BC384" i="191"/>
  <c r="BC383" i="191"/>
  <c r="BC382" i="191"/>
  <c r="BC381" i="191"/>
  <c r="BC380" i="191"/>
  <c r="BC379" i="191"/>
  <c r="BC378" i="191"/>
  <c r="BC377" i="191"/>
  <c r="BC376" i="191"/>
  <c r="BC375" i="191"/>
  <c r="BC374" i="191"/>
  <c r="BC373" i="191"/>
  <c r="BC372" i="191"/>
  <c r="BC371" i="191"/>
  <c r="BC370" i="191"/>
  <c r="BC369" i="191"/>
  <c r="BC368" i="191"/>
  <c r="BC367" i="191"/>
  <c r="BC366" i="191"/>
  <c r="BC365" i="191"/>
  <c r="BC364" i="191"/>
  <c r="BC363" i="191"/>
  <c r="BC362" i="191"/>
  <c r="BC361" i="191"/>
  <c r="BC360" i="191"/>
  <c r="BC359" i="191"/>
  <c r="BC358" i="191"/>
  <c r="BC357" i="191"/>
  <c r="BC356" i="191"/>
  <c r="BC355" i="191"/>
  <c r="BC354" i="191"/>
  <c r="BC353" i="191"/>
  <c r="BC352" i="191"/>
  <c r="BC351" i="191"/>
  <c r="BC350" i="191"/>
  <c r="BC349" i="191"/>
  <c r="BC348" i="191"/>
  <c r="BC347" i="191"/>
  <c r="BC346" i="191"/>
  <c r="BC345" i="191"/>
  <c r="BC344" i="191"/>
  <c r="BC343" i="191"/>
  <c r="BC342" i="191"/>
  <c r="BC341" i="191"/>
  <c r="BC340" i="191"/>
  <c r="BC339" i="191"/>
  <c r="BC338" i="191"/>
  <c r="BC337" i="191"/>
  <c r="BC336" i="191"/>
  <c r="BC335" i="191"/>
  <c r="BC334" i="191"/>
  <c r="BC333" i="191"/>
  <c r="BC332" i="191"/>
  <c r="BC331" i="191"/>
  <c r="BC330" i="191"/>
  <c r="BC329" i="191"/>
  <c r="BC328" i="191"/>
  <c r="BC327" i="191"/>
  <c r="BC326" i="191"/>
  <c r="BC325" i="191"/>
  <c r="BC324" i="191"/>
  <c r="BC323" i="191"/>
  <c r="BC322" i="191"/>
  <c r="BC321" i="191"/>
  <c r="BC320" i="191"/>
  <c r="BC319" i="191"/>
  <c r="BC318" i="191"/>
  <c r="BC317" i="191"/>
  <c r="BC316" i="191"/>
  <c r="BC315" i="191"/>
  <c r="BC314" i="191"/>
  <c r="BC313" i="191"/>
  <c r="BC312" i="191"/>
  <c r="BC311" i="191"/>
  <c r="BC310" i="191"/>
  <c r="BC309" i="191"/>
  <c r="BC308" i="191"/>
  <c r="BC307" i="191"/>
  <c r="BC306" i="191"/>
  <c r="BC305" i="191"/>
  <c r="BC304" i="191"/>
  <c r="BC303" i="191"/>
  <c r="BC302" i="191"/>
  <c r="BC301" i="191"/>
  <c r="BC300" i="191"/>
  <c r="BC299" i="191"/>
  <c r="BC298" i="191"/>
  <c r="BC297" i="191"/>
  <c r="BC296" i="191"/>
  <c r="BC295" i="191"/>
  <c r="BC294" i="191"/>
  <c r="BC293" i="191"/>
  <c r="BC292" i="191"/>
  <c r="BC291" i="191"/>
  <c r="BC290" i="191"/>
  <c r="BC289" i="191"/>
  <c r="BC288" i="191"/>
  <c r="BC287" i="191"/>
  <c r="BC286" i="191"/>
  <c r="BC285" i="191"/>
  <c r="BC284" i="191"/>
  <c r="BC283" i="191"/>
  <c r="BC282" i="191"/>
  <c r="BC281" i="191"/>
  <c r="BC280" i="191"/>
  <c r="BC279" i="191"/>
  <c r="BC278" i="191"/>
  <c r="BC277" i="191"/>
  <c r="BC276" i="191"/>
  <c r="BC275" i="191"/>
  <c r="BC274" i="191"/>
  <c r="BC273" i="191"/>
  <c r="BC272" i="191"/>
  <c r="BC271" i="191"/>
  <c r="BC270" i="191"/>
  <c r="BC269" i="191"/>
  <c r="BC268" i="191"/>
  <c r="BC267" i="191"/>
  <c r="BC266" i="191"/>
  <c r="BC265" i="191"/>
  <c r="BC264" i="191"/>
  <c r="BC263" i="191"/>
  <c r="BC262" i="191"/>
  <c r="BC261" i="191"/>
  <c r="BC260" i="191"/>
  <c r="BC259" i="191"/>
  <c r="BC258" i="191"/>
  <c r="BC257" i="191"/>
  <c r="BC256" i="191"/>
  <c r="BC255" i="191"/>
  <c r="BC254" i="191"/>
  <c r="BC253" i="191"/>
  <c r="BC252" i="191"/>
  <c r="BC251" i="191"/>
  <c r="BC250" i="191"/>
  <c r="BC249" i="191"/>
  <c r="BC248" i="191"/>
  <c r="BC247" i="191"/>
  <c r="BC246" i="191"/>
  <c r="BC245" i="191"/>
  <c r="BC244" i="191"/>
  <c r="BC243" i="191"/>
  <c r="BC242" i="191"/>
  <c r="BC241" i="191"/>
  <c r="BC240" i="191"/>
  <c r="BC239" i="191"/>
  <c r="BC238" i="191"/>
  <c r="BC237" i="191"/>
  <c r="BC236" i="191"/>
  <c r="BC235" i="191"/>
  <c r="BC234" i="191"/>
  <c r="BC233" i="191"/>
  <c r="BC232" i="191"/>
  <c r="BC231" i="191"/>
  <c r="BC230" i="191"/>
  <c r="BC229" i="191"/>
  <c r="BC228" i="191"/>
  <c r="BC227" i="191"/>
  <c r="BC226" i="191"/>
  <c r="BC225" i="191"/>
  <c r="BC224" i="191"/>
  <c r="BC223" i="191"/>
  <c r="BC222" i="191"/>
  <c r="BC221" i="191"/>
  <c r="BC220" i="191"/>
  <c r="BC219" i="191"/>
  <c r="BC218" i="191"/>
  <c r="BC217" i="191"/>
  <c r="BC216" i="191"/>
  <c r="BC215" i="191"/>
  <c r="BC214" i="191"/>
  <c r="BC213" i="191"/>
  <c r="BC212" i="191"/>
  <c r="BC211" i="191"/>
  <c r="BC210" i="191"/>
  <c r="BC209" i="191"/>
  <c r="BC208" i="191"/>
  <c r="BC207" i="191"/>
  <c r="BC206" i="191"/>
  <c r="BC205" i="191"/>
  <c r="BC204" i="191"/>
  <c r="BC203" i="191"/>
  <c r="BC202" i="191"/>
  <c r="BC201" i="191"/>
  <c r="BC200" i="191"/>
  <c r="BC199" i="191"/>
  <c r="BC198" i="191"/>
  <c r="BC197" i="191"/>
  <c r="BC196" i="191"/>
  <c r="BC195" i="191"/>
  <c r="BC194" i="191"/>
  <c r="BC193" i="191"/>
  <c r="BC192" i="191"/>
  <c r="BC191" i="191"/>
  <c r="BC190" i="191"/>
  <c r="BC189" i="191"/>
  <c r="BC188" i="191"/>
  <c r="BC187" i="191"/>
  <c r="BC186" i="191"/>
  <c r="BC185" i="191"/>
  <c r="BC184" i="191"/>
  <c r="BC183" i="191"/>
  <c r="BC182" i="191"/>
  <c r="BC181" i="191"/>
  <c r="BC180" i="191"/>
  <c r="BC179" i="191"/>
  <c r="BC178" i="191"/>
  <c r="BC177" i="191"/>
  <c r="BC176" i="191"/>
  <c r="BC175" i="191"/>
  <c r="BC174" i="191"/>
  <c r="BC173" i="191"/>
  <c r="BC172" i="191"/>
  <c r="BC171" i="191"/>
  <c r="BC170" i="191"/>
  <c r="BC169" i="191"/>
  <c r="BC168" i="191"/>
  <c r="BC167" i="191"/>
  <c r="BC166" i="191"/>
  <c r="BC165" i="191"/>
  <c r="BC164" i="191"/>
  <c r="BC163" i="191"/>
  <c r="BC162" i="191"/>
  <c r="BC161" i="191"/>
  <c r="BC160" i="191"/>
  <c r="BC159" i="191"/>
  <c r="BC158" i="191"/>
  <c r="BC157" i="191"/>
  <c r="BC156" i="191"/>
  <c r="BC155" i="191"/>
  <c r="BC154" i="191"/>
  <c r="BC153" i="191"/>
  <c r="BC152" i="191"/>
  <c r="BC151" i="191"/>
  <c r="BC150" i="191"/>
  <c r="BC149" i="191"/>
  <c r="BC148" i="191"/>
  <c r="BC147" i="191"/>
  <c r="BC146" i="191"/>
  <c r="BC145" i="191"/>
  <c r="BC144" i="191"/>
  <c r="BC143" i="191"/>
  <c r="BC142" i="191"/>
  <c r="BC141" i="191"/>
  <c r="BC140" i="191"/>
  <c r="BC139" i="191"/>
  <c r="BC138" i="191"/>
  <c r="BC137" i="191"/>
  <c r="BC136" i="191"/>
  <c r="BC135" i="191"/>
  <c r="BC134" i="191"/>
  <c r="BC133" i="191"/>
  <c r="BC132" i="191"/>
  <c r="BC131" i="191"/>
  <c r="BC130" i="191"/>
  <c r="BC129" i="191"/>
  <c r="BC128" i="191"/>
  <c r="BC127" i="191"/>
  <c r="BC126" i="191"/>
  <c r="BC125" i="191"/>
  <c r="BC124" i="191"/>
  <c r="BC123" i="191"/>
  <c r="BC122" i="191"/>
  <c r="BC121" i="191"/>
  <c r="BC120" i="191"/>
  <c r="BC119" i="191"/>
  <c r="BC118" i="191"/>
  <c r="BC117" i="191"/>
  <c r="BC116" i="191"/>
  <c r="BC115" i="191"/>
  <c r="BC114" i="191"/>
  <c r="BC113" i="191"/>
  <c r="BC112" i="191"/>
  <c r="BC111" i="191"/>
  <c r="BC110" i="191"/>
  <c r="BC109" i="191"/>
  <c r="BC108" i="191"/>
  <c r="BC107" i="191"/>
  <c r="BC106" i="191"/>
  <c r="BC105" i="191"/>
  <c r="BC104" i="191"/>
  <c r="BC103" i="191"/>
  <c r="BC102" i="191"/>
  <c r="BC101" i="191"/>
  <c r="BC100" i="191"/>
  <c r="BC99" i="191"/>
  <c r="BC98" i="191"/>
  <c r="BC97" i="191"/>
  <c r="BC96" i="191"/>
  <c r="BC95" i="191"/>
  <c r="BC94" i="191"/>
  <c r="BC93" i="191"/>
  <c r="BC92" i="191"/>
  <c r="BC91" i="191"/>
  <c r="BC90" i="191"/>
  <c r="BC89" i="191"/>
  <c r="BC88" i="191"/>
  <c r="BC87" i="191"/>
  <c r="BC86" i="191"/>
  <c r="BC85" i="191"/>
  <c r="BC84" i="191"/>
  <c r="BC83" i="191"/>
  <c r="BC82" i="191"/>
  <c r="BC81" i="191"/>
  <c r="BC80" i="191"/>
  <c r="BC79" i="191"/>
  <c r="BC78" i="191"/>
  <c r="BC77" i="191"/>
  <c r="BC76" i="191"/>
  <c r="BC75" i="191"/>
  <c r="BC74" i="191"/>
  <c r="BC73" i="191"/>
  <c r="BC72" i="191"/>
  <c r="BC71" i="191"/>
  <c r="BC70" i="191"/>
  <c r="BC69" i="191"/>
  <c r="BC68" i="191"/>
  <c r="BC67" i="191"/>
  <c r="BC66" i="191"/>
  <c r="BC65" i="191"/>
  <c r="BC64" i="191"/>
  <c r="BC63" i="191"/>
  <c r="BC62" i="191"/>
  <c r="BC61" i="191"/>
  <c r="BC60" i="191"/>
  <c r="BC59" i="191"/>
  <c r="BC58" i="191"/>
  <c r="BC57" i="191"/>
  <c r="BC56" i="191"/>
  <c r="BC55" i="191"/>
  <c r="BC54" i="191"/>
  <c r="BC53" i="191"/>
  <c r="BC52" i="191"/>
  <c r="BC51" i="191"/>
  <c r="BC50" i="191"/>
  <c r="BC49" i="191"/>
  <c r="BC48" i="191"/>
  <c r="BC47" i="191"/>
  <c r="BC46" i="191"/>
  <c r="BC45" i="191"/>
  <c r="BC44" i="191"/>
  <c r="BC43" i="191"/>
  <c r="BC42" i="191"/>
  <c r="BC41" i="191"/>
  <c r="BC40" i="191"/>
  <c r="BC39" i="191"/>
  <c r="BC38" i="191"/>
  <c r="BC37" i="191"/>
  <c r="BC36" i="191"/>
  <c r="BC35" i="191"/>
  <c r="BC34" i="191"/>
  <c r="BC33" i="191"/>
  <c r="BC32" i="191"/>
  <c r="BC31" i="191"/>
  <c r="BC30" i="191"/>
  <c r="BC29" i="191"/>
  <c r="BC28" i="191"/>
  <c r="BC27" i="191"/>
  <c r="BC26" i="191"/>
  <c r="BC25" i="191"/>
  <c r="BC24" i="191"/>
  <c r="BC23" i="191"/>
  <c r="BC22" i="191"/>
  <c r="BC21" i="191"/>
  <c r="BC20" i="191"/>
  <c r="BC19" i="191"/>
  <c r="BC18" i="191"/>
  <c r="BC17" i="191"/>
  <c r="BC16" i="191"/>
  <c r="BC15" i="191"/>
  <c r="BC14" i="191"/>
  <c r="BC13" i="191"/>
  <c r="BC12" i="191"/>
  <c r="BC11" i="191"/>
  <c r="BC10" i="191"/>
  <c r="BC9" i="191"/>
  <c r="BC8" i="191"/>
  <c r="BC7" i="191"/>
  <c r="BC6" i="191"/>
  <c r="BC5" i="191"/>
  <c r="BC4" i="191"/>
  <c r="BC3" i="191"/>
  <c r="AU1078" i="191" l="1"/>
  <c r="AU1077" i="191"/>
  <c r="AU1076" i="191"/>
  <c r="AU1075" i="191"/>
  <c r="AU1074" i="191"/>
  <c r="AU1073" i="191"/>
  <c r="AU1072" i="191"/>
  <c r="AU1071" i="191"/>
  <c r="AU1070" i="191"/>
  <c r="AU1069" i="191"/>
  <c r="AU1068" i="191"/>
  <c r="AU1067" i="191"/>
  <c r="AU1066" i="191"/>
  <c r="AU1065" i="191"/>
  <c r="AU1064" i="191"/>
  <c r="AU1063" i="191"/>
  <c r="AU1062" i="191"/>
  <c r="AU1061" i="191"/>
  <c r="AU1060" i="191"/>
  <c r="AU1059" i="191"/>
  <c r="AU1058" i="191"/>
  <c r="AU1057" i="191"/>
  <c r="AU1056" i="191"/>
  <c r="AU1055" i="191"/>
  <c r="AU1054" i="191"/>
  <c r="AU1053" i="191"/>
  <c r="AU1052" i="191"/>
  <c r="AU1051" i="191"/>
  <c r="AU1050" i="191"/>
  <c r="AU1049" i="191"/>
  <c r="AU1048" i="191"/>
  <c r="AU1047" i="191"/>
  <c r="AU1046" i="191"/>
  <c r="AU1045" i="191"/>
  <c r="AU1044" i="191"/>
  <c r="AU1043" i="191"/>
  <c r="AU1042" i="191"/>
  <c r="AU1041" i="191"/>
  <c r="AU1040" i="191"/>
  <c r="AU1039" i="191"/>
  <c r="AU1038" i="191"/>
  <c r="AU1037" i="191"/>
  <c r="AU1036" i="191"/>
  <c r="AU1035" i="191"/>
  <c r="AU1034" i="191"/>
  <c r="AU1033" i="191"/>
  <c r="AU1032" i="191"/>
  <c r="AU1031" i="191"/>
  <c r="AU1030" i="191"/>
  <c r="AU1029" i="191"/>
  <c r="AU1028" i="191"/>
  <c r="AU1027" i="191"/>
  <c r="AU1026" i="191"/>
  <c r="AU1025" i="191"/>
  <c r="AU1024" i="191"/>
  <c r="AU1023" i="191"/>
  <c r="AU1022" i="191"/>
  <c r="AU1021" i="191"/>
  <c r="AU1020" i="191"/>
  <c r="AU1019" i="191"/>
  <c r="AU1018" i="191"/>
  <c r="AU1017" i="191"/>
  <c r="AU1016" i="191"/>
  <c r="AU1015" i="191"/>
  <c r="AU1014" i="191"/>
  <c r="AU1013" i="191"/>
  <c r="AU1012" i="191"/>
  <c r="AU1011" i="191"/>
  <c r="AU1010" i="191"/>
  <c r="AU1009" i="191"/>
  <c r="AU1008" i="191"/>
  <c r="AU1007" i="191"/>
  <c r="AU1006" i="191"/>
  <c r="AU1005" i="191"/>
  <c r="AU1004" i="191"/>
  <c r="AU1003" i="191"/>
  <c r="AU1002" i="191"/>
  <c r="AU1001" i="191"/>
  <c r="AU1000" i="191"/>
  <c r="AU999" i="191"/>
  <c r="AU998" i="191"/>
  <c r="AU997" i="191"/>
  <c r="AU996" i="191"/>
  <c r="AU995" i="191"/>
  <c r="AU994" i="191"/>
  <c r="AU993" i="191"/>
  <c r="AU992" i="191"/>
  <c r="AU991" i="191"/>
  <c r="AU990" i="191"/>
  <c r="AU989" i="191"/>
  <c r="AU988" i="191"/>
  <c r="AU987" i="191"/>
  <c r="AU986" i="191"/>
  <c r="AU985" i="191"/>
  <c r="AU984" i="191"/>
  <c r="AU983" i="191"/>
  <c r="AU982" i="191"/>
  <c r="AU981" i="191"/>
  <c r="AU980" i="191"/>
  <c r="AU979" i="191"/>
  <c r="AU978" i="191"/>
  <c r="AU977" i="191"/>
  <c r="AU976" i="191"/>
  <c r="AU975" i="191"/>
  <c r="AU974" i="191"/>
  <c r="AU973" i="191"/>
  <c r="AU972" i="191"/>
  <c r="AU971" i="191"/>
  <c r="AU970" i="191"/>
  <c r="AU969" i="191"/>
  <c r="AU968" i="191"/>
  <c r="AU967" i="191"/>
  <c r="AU966" i="191"/>
  <c r="AU965" i="191"/>
  <c r="AU964" i="191"/>
  <c r="AU963" i="191"/>
  <c r="AU962" i="191"/>
  <c r="AU961" i="191"/>
  <c r="AU960" i="191"/>
  <c r="AU959" i="191"/>
  <c r="AU958" i="191"/>
  <c r="AU957" i="191"/>
  <c r="AU956" i="191"/>
  <c r="AU955" i="191"/>
  <c r="AU954" i="191"/>
  <c r="AU953" i="191"/>
  <c r="AU952" i="191"/>
  <c r="AU951" i="191"/>
  <c r="AU950" i="191"/>
  <c r="AU949" i="191"/>
  <c r="AU948" i="191"/>
  <c r="AU947" i="191"/>
  <c r="AU946" i="191"/>
  <c r="AU945" i="191"/>
  <c r="AU944" i="191"/>
  <c r="AU943" i="191"/>
  <c r="AU942" i="191"/>
  <c r="AU941" i="191"/>
  <c r="AU940" i="191"/>
  <c r="AU939" i="191"/>
  <c r="AU938" i="191"/>
  <c r="AU937" i="191"/>
  <c r="AU936" i="191"/>
  <c r="AU935" i="191"/>
  <c r="AU934" i="191"/>
  <c r="AU933" i="191"/>
  <c r="AU932" i="191"/>
  <c r="AU931" i="191"/>
  <c r="AU930" i="191"/>
  <c r="AU929" i="191"/>
  <c r="AU928" i="191"/>
  <c r="AU927" i="191"/>
  <c r="AU926" i="191"/>
  <c r="AU925" i="191"/>
  <c r="AU924" i="191"/>
  <c r="AU923" i="191"/>
  <c r="AU922" i="191"/>
  <c r="AU921" i="191"/>
  <c r="AU920" i="191"/>
  <c r="AU919" i="191"/>
  <c r="AU918" i="191"/>
  <c r="AU917" i="191"/>
  <c r="AU916" i="191"/>
  <c r="AU915" i="191"/>
  <c r="AU914" i="191"/>
  <c r="AU913" i="191"/>
  <c r="AU912" i="191"/>
  <c r="AU911" i="191"/>
  <c r="AU910" i="191"/>
  <c r="AU909" i="191"/>
  <c r="AU908" i="191"/>
  <c r="AU907" i="191"/>
  <c r="AU906" i="191"/>
  <c r="AU905" i="191"/>
  <c r="AU904" i="191"/>
  <c r="AU903" i="191"/>
  <c r="AU902" i="191"/>
  <c r="AU901" i="191"/>
  <c r="AU900" i="191"/>
  <c r="AU899" i="191"/>
  <c r="AU898" i="191"/>
  <c r="AU897" i="191"/>
  <c r="AU896" i="191"/>
  <c r="AU895" i="191"/>
  <c r="AU894" i="191"/>
  <c r="AU893" i="191"/>
  <c r="AU892" i="191"/>
  <c r="AU891" i="191"/>
  <c r="AU890" i="191"/>
  <c r="AU889" i="191"/>
  <c r="AU888" i="191"/>
  <c r="AU887" i="191"/>
  <c r="AU886" i="191"/>
  <c r="AU885" i="191"/>
  <c r="AU884" i="191"/>
  <c r="AU883" i="191"/>
  <c r="AU882" i="191"/>
  <c r="AU881" i="191"/>
  <c r="AU880" i="191"/>
  <c r="AU879" i="191"/>
  <c r="AU878" i="191"/>
  <c r="AU877" i="191"/>
  <c r="AU876" i="191"/>
  <c r="AU875" i="191"/>
  <c r="AU874" i="191"/>
  <c r="AU873" i="191"/>
  <c r="AU872" i="191"/>
  <c r="AU871" i="191"/>
  <c r="AU870" i="191"/>
  <c r="AU869" i="191"/>
  <c r="AU868" i="191"/>
  <c r="AU867" i="191"/>
  <c r="AU866" i="191"/>
  <c r="AU865" i="191"/>
  <c r="AU864" i="191"/>
  <c r="AU863" i="191"/>
  <c r="AU862" i="191"/>
  <c r="AU861" i="191"/>
  <c r="AU860" i="191"/>
  <c r="AU859" i="191"/>
  <c r="AU858" i="191"/>
  <c r="AU857" i="191"/>
  <c r="AU856" i="191"/>
  <c r="AU855" i="191"/>
  <c r="AU854" i="191"/>
  <c r="AU853" i="191"/>
  <c r="AU852" i="191"/>
  <c r="AU851" i="191"/>
  <c r="AU850" i="191"/>
  <c r="AU849" i="191"/>
  <c r="AU848" i="191"/>
  <c r="AU847" i="191"/>
  <c r="AU846" i="191"/>
  <c r="AU845" i="191"/>
  <c r="AU844" i="191"/>
  <c r="AU843" i="191"/>
  <c r="AU842" i="191"/>
  <c r="AU841" i="191"/>
  <c r="AU840" i="191"/>
  <c r="AU839" i="191"/>
  <c r="AU838" i="191"/>
  <c r="AU837" i="191"/>
  <c r="AU836" i="191"/>
  <c r="AU835" i="191"/>
  <c r="AU834" i="191"/>
  <c r="AU833" i="191"/>
  <c r="AU832" i="191"/>
  <c r="AU831" i="191"/>
  <c r="AU830" i="191"/>
  <c r="AU829" i="191"/>
  <c r="AU828" i="191"/>
  <c r="AU827" i="191"/>
  <c r="AU826" i="191"/>
  <c r="AU825" i="191"/>
  <c r="AU824" i="191"/>
  <c r="AU823" i="191"/>
  <c r="AU822" i="191"/>
  <c r="AU821" i="191"/>
  <c r="AU820" i="191"/>
  <c r="AU819" i="191"/>
  <c r="AU818" i="191"/>
  <c r="AU817" i="191"/>
  <c r="AU816" i="191"/>
  <c r="AU815" i="191"/>
  <c r="AU814" i="191"/>
  <c r="AU813" i="191"/>
  <c r="AU812" i="191"/>
  <c r="AU811" i="191"/>
  <c r="AU810" i="191"/>
  <c r="AU809" i="191"/>
  <c r="AU808" i="191"/>
  <c r="AU807" i="191"/>
  <c r="AU806" i="191"/>
  <c r="AU805" i="191"/>
  <c r="AU804" i="191"/>
  <c r="AU803" i="191"/>
  <c r="AU802" i="191"/>
  <c r="AU801" i="191"/>
  <c r="AU800" i="191"/>
  <c r="AU799" i="191"/>
  <c r="AU798" i="191"/>
  <c r="AU797" i="191"/>
  <c r="AU796" i="191"/>
  <c r="AU795" i="191"/>
  <c r="AU794" i="191"/>
  <c r="AU793" i="191"/>
  <c r="AU792" i="191"/>
  <c r="AU791" i="191"/>
  <c r="AU790" i="191"/>
  <c r="AU789" i="191"/>
  <c r="AU788" i="191"/>
  <c r="AU787" i="191"/>
  <c r="AU786" i="191"/>
  <c r="AU785" i="191"/>
  <c r="AU784" i="191"/>
  <c r="AU783" i="191"/>
  <c r="AU782" i="191"/>
  <c r="AU781" i="191"/>
  <c r="AU780" i="191"/>
  <c r="AU779" i="191"/>
  <c r="AU778" i="191"/>
  <c r="AU777" i="191"/>
  <c r="AU776" i="191"/>
  <c r="AU775" i="191"/>
  <c r="AU774" i="191"/>
  <c r="AU773" i="191"/>
  <c r="AU772" i="191"/>
  <c r="AU771" i="191"/>
  <c r="AU770" i="191"/>
  <c r="AU769" i="191"/>
  <c r="AU768" i="191"/>
  <c r="AU767" i="191"/>
  <c r="AU766" i="191"/>
  <c r="AU765" i="191"/>
  <c r="AU764" i="191"/>
  <c r="AU763" i="191"/>
  <c r="AU762" i="191"/>
  <c r="AU761" i="191"/>
  <c r="AU760" i="191"/>
  <c r="AU759" i="191"/>
  <c r="AU758" i="191"/>
  <c r="AU757" i="191"/>
  <c r="AU756" i="191"/>
  <c r="AU755" i="191"/>
  <c r="AU754" i="191"/>
  <c r="AU753" i="191"/>
  <c r="AU752" i="191"/>
  <c r="AU751" i="191"/>
  <c r="AU750" i="191"/>
  <c r="AU749" i="191"/>
  <c r="AU748" i="191"/>
  <c r="AU747" i="191"/>
  <c r="AU746" i="191"/>
  <c r="AU745" i="191"/>
  <c r="AU744" i="191"/>
  <c r="AU743" i="191"/>
  <c r="AU742" i="191"/>
  <c r="AU741" i="191"/>
  <c r="AU740" i="191"/>
  <c r="AU739" i="191"/>
  <c r="AU738" i="191"/>
  <c r="AU737" i="191"/>
  <c r="AU736" i="191"/>
  <c r="AU735" i="191"/>
  <c r="AU734" i="191"/>
  <c r="AU733" i="191"/>
  <c r="AU732" i="191"/>
  <c r="AU731" i="191"/>
  <c r="AU730" i="191"/>
  <c r="AU729" i="191"/>
  <c r="AU728" i="191"/>
  <c r="AU727" i="191"/>
  <c r="AU726" i="191"/>
  <c r="AU725" i="191"/>
  <c r="AU724" i="191"/>
  <c r="AU723" i="191"/>
  <c r="AU722" i="191"/>
  <c r="AU721" i="191"/>
  <c r="AU720" i="191"/>
  <c r="AU719" i="191"/>
  <c r="AU718" i="191"/>
  <c r="AU717" i="191"/>
  <c r="AU716" i="191"/>
  <c r="AU715" i="191"/>
  <c r="AU714" i="191"/>
  <c r="AU713" i="191"/>
  <c r="AU712" i="191"/>
  <c r="AU711" i="191"/>
  <c r="AU710" i="191"/>
  <c r="AU709" i="191"/>
  <c r="AU708" i="191"/>
  <c r="AU707" i="191"/>
  <c r="AU706" i="191"/>
  <c r="AU705" i="191"/>
  <c r="AU704" i="191"/>
  <c r="AU703" i="191"/>
  <c r="AU702" i="191"/>
  <c r="AU701" i="191"/>
  <c r="AU700" i="191"/>
  <c r="AU699" i="191"/>
  <c r="AU698" i="191"/>
  <c r="AU697" i="191"/>
  <c r="AU696" i="191"/>
  <c r="AU695" i="191"/>
  <c r="AU694" i="191"/>
  <c r="AU693" i="191"/>
  <c r="AU692" i="191"/>
  <c r="AU691" i="191"/>
  <c r="AU690" i="191"/>
  <c r="AU689" i="191"/>
  <c r="AU688" i="191"/>
  <c r="AU687" i="191"/>
  <c r="AU686" i="191"/>
  <c r="AU685" i="191"/>
  <c r="AU684" i="191"/>
  <c r="AU683" i="191"/>
  <c r="AU682" i="191"/>
  <c r="AU681" i="191"/>
  <c r="AU680" i="191"/>
  <c r="AU679" i="191"/>
  <c r="AU678" i="191"/>
  <c r="AU677" i="191"/>
  <c r="AU676" i="191"/>
  <c r="AU675" i="191"/>
  <c r="AU674" i="191"/>
  <c r="AU673" i="191"/>
  <c r="AU672" i="191"/>
  <c r="AU671" i="191"/>
  <c r="AU670" i="191"/>
  <c r="AU669" i="191"/>
  <c r="AU668" i="191"/>
  <c r="AU667" i="191"/>
  <c r="AU666" i="191"/>
  <c r="AU665" i="191"/>
  <c r="AU664" i="191"/>
  <c r="AU663" i="191"/>
  <c r="AU662" i="191"/>
  <c r="AU661" i="191"/>
  <c r="AU660" i="191"/>
  <c r="AU659" i="191"/>
  <c r="AU658" i="191"/>
  <c r="AU657" i="191"/>
  <c r="AU656" i="191"/>
  <c r="AU655" i="191"/>
  <c r="AU654" i="191"/>
  <c r="AU653" i="191"/>
  <c r="AU652" i="191"/>
  <c r="AU651" i="191"/>
  <c r="AU650" i="191"/>
  <c r="AU649" i="191"/>
  <c r="AU648" i="191"/>
  <c r="AU647" i="191"/>
  <c r="AU646" i="191"/>
  <c r="AU645" i="191"/>
  <c r="AU644" i="191"/>
  <c r="AU643" i="191"/>
  <c r="AU642" i="191"/>
  <c r="AU641" i="191"/>
  <c r="AU640" i="191"/>
  <c r="AU639" i="191"/>
  <c r="AU638" i="191"/>
  <c r="AU637" i="191"/>
  <c r="AU636" i="191"/>
  <c r="AU635" i="191"/>
  <c r="AU634" i="191"/>
  <c r="AU633" i="191"/>
  <c r="AU632" i="191"/>
  <c r="AU631" i="191"/>
  <c r="AU630" i="191"/>
  <c r="AU629" i="191"/>
  <c r="AU628" i="191"/>
  <c r="AU627" i="191"/>
  <c r="AU626" i="191"/>
  <c r="AU625" i="191"/>
  <c r="AU624" i="191"/>
  <c r="AU623" i="191"/>
  <c r="AU622" i="191"/>
  <c r="AU621" i="191"/>
  <c r="AU620" i="191"/>
  <c r="AU619" i="191"/>
  <c r="AU618" i="191"/>
  <c r="AU617" i="191"/>
  <c r="AU616" i="191"/>
  <c r="AU615" i="191"/>
  <c r="AU614" i="191"/>
  <c r="AU613" i="191"/>
  <c r="AU612" i="191"/>
  <c r="AU611" i="191"/>
  <c r="AU610" i="191"/>
  <c r="AU609" i="191"/>
  <c r="AU608" i="191"/>
  <c r="AU607" i="191"/>
  <c r="AU606" i="191"/>
  <c r="AU605" i="191"/>
  <c r="AU604" i="191"/>
  <c r="AU603" i="191"/>
  <c r="AU602" i="191"/>
  <c r="AU601" i="191"/>
  <c r="AU600" i="191"/>
  <c r="AU599" i="191"/>
  <c r="AU598" i="191"/>
  <c r="AU597" i="191"/>
  <c r="AU596" i="191"/>
  <c r="AU595" i="191"/>
  <c r="AU594" i="191"/>
  <c r="AU593" i="191"/>
  <c r="AU592" i="191"/>
  <c r="AU591" i="191"/>
  <c r="AU590" i="191"/>
  <c r="AU589" i="191"/>
  <c r="AU588" i="191"/>
  <c r="AU587" i="191"/>
  <c r="AU586" i="191"/>
  <c r="AU585" i="191"/>
  <c r="AU584" i="191"/>
  <c r="AU583" i="191"/>
  <c r="AU582" i="191"/>
  <c r="AU581" i="191"/>
  <c r="AU580" i="191"/>
  <c r="AU579" i="191"/>
  <c r="AU578" i="191"/>
  <c r="AU577" i="191"/>
  <c r="AU576" i="191"/>
  <c r="AU575" i="191"/>
  <c r="AU574" i="191"/>
  <c r="AU573" i="191"/>
  <c r="AU572" i="191"/>
  <c r="AU571" i="191"/>
  <c r="AU570" i="191"/>
  <c r="AU569" i="191"/>
  <c r="AU568" i="191"/>
  <c r="AU567" i="191"/>
  <c r="AU566" i="191"/>
  <c r="AU565" i="191"/>
  <c r="AU564" i="191"/>
  <c r="AU563" i="191"/>
  <c r="AU562" i="191"/>
  <c r="AU561" i="191"/>
  <c r="AU560" i="191"/>
  <c r="AU559" i="191"/>
  <c r="AU558" i="191"/>
  <c r="AU557" i="191"/>
  <c r="AU556" i="191"/>
  <c r="AU555" i="191"/>
  <c r="AU554" i="191"/>
  <c r="AU553" i="191"/>
  <c r="AU552" i="191"/>
  <c r="AU551" i="191"/>
  <c r="AU550" i="191"/>
  <c r="AU549" i="191"/>
  <c r="AU548" i="191"/>
  <c r="AU547" i="191"/>
  <c r="AU546" i="191"/>
  <c r="AU545" i="191"/>
  <c r="AU544" i="191"/>
  <c r="AU543" i="191"/>
  <c r="AU542" i="191"/>
  <c r="AU541" i="191"/>
  <c r="AU540" i="191"/>
  <c r="AU539" i="191"/>
  <c r="AU538" i="191"/>
  <c r="AU537" i="191"/>
  <c r="AU536" i="191"/>
  <c r="AU535" i="191"/>
  <c r="AU534" i="191"/>
  <c r="AU533" i="191"/>
  <c r="AU532" i="191"/>
  <c r="AU531" i="191"/>
  <c r="AU530" i="191"/>
  <c r="AU529" i="191"/>
  <c r="AU528" i="191"/>
  <c r="AU527" i="191"/>
  <c r="AU526" i="191"/>
  <c r="AU525" i="191"/>
  <c r="AU524" i="191"/>
  <c r="AU523" i="191"/>
  <c r="AU522" i="191"/>
  <c r="AU521" i="191"/>
  <c r="AU520" i="191"/>
  <c r="AU519" i="191"/>
  <c r="AU518" i="191"/>
  <c r="AU517" i="191"/>
  <c r="AU516" i="191"/>
  <c r="AU515" i="191"/>
  <c r="AU514" i="191"/>
  <c r="AU513" i="191"/>
  <c r="AU512" i="191"/>
  <c r="AU511" i="191"/>
  <c r="AU510" i="191"/>
  <c r="AU509" i="191"/>
  <c r="AU508" i="191"/>
  <c r="AU507" i="191"/>
  <c r="AU506" i="191"/>
  <c r="AU505" i="191"/>
  <c r="AU504" i="191"/>
  <c r="AU503" i="191"/>
  <c r="AU502" i="191"/>
  <c r="AU501" i="191"/>
  <c r="AU500" i="191"/>
  <c r="AU499" i="191"/>
  <c r="AU498" i="191"/>
  <c r="AU497" i="191"/>
  <c r="AU496" i="191"/>
  <c r="AU495" i="191"/>
  <c r="AU494" i="191"/>
  <c r="AU493" i="191"/>
  <c r="AU492" i="191"/>
  <c r="AU491" i="191"/>
  <c r="AU490" i="191"/>
  <c r="AU489" i="191"/>
  <c r="AU488" i="191"/>
  <c r="AU487" i="191"/>
  <c r="AU486" i="191"/>
  <c r="AU485" i="191"/>
  <c r="AU484" i="191"/>
  <c r="AU483" i="191"/>
  <c r="AU482" i="191"/>
  <c r="AU481" i="191"/>
  <c r="AU480" i="191"/>
  <c r="AU479" i="191"/>
  <c r="AU478" i="191"/>
  <c r="AU477" i="191"/>
  <c r="AU476" i="191"/>
  <c r="AU475" i="191"/>
  <c r="AU474" i="191"/>
  <c r="AU473" i="191"/>
  <c r="AU472" i="191"/>
  <c r="AU471" i="191"/>
  <c r="AU470" i="191"/>
  <c r="AU469" i="191"/>
  <c r="AU468" i="191"/>
  <c r="AU467" i="191"/>
  <c r="AU466" i="191"/>
  <c r="AU465" i="191"/>
  <c r="AU464" i="191"/>
  <c r="AU463" i="191"/>
  <c r="AU462" i="191"/>
  <c r="AU461" i="191"/>
  <c r="AU460" i="191"/>
  <c r="AU459" i="191"/>
  <c r="AU458" i="191"/>
  <c r="AU457" i="191"/>
  <c r="AU456" i="191"/>
  <c r="AU455" i="191"/>
  <c r="AU454" i="191"/>
  <c r="AU453" i="191"/>
  <c r="AU452" i="191"/>
  <c r="AU451" i="191"/>
  <c r="AU450" i="191"/>
  <c r="AU449" i="191"/>
  <c r="AU448" i="191"/>
  <c r="AU447" i="191"/>
  <c r="AU446" i="191"/>
  <c r="AU445" i="191"/>
  <c r="AU444" i="191"/>
  <c r="AU443" i="191"/>
  <c r="AU442" i="191"/>
  <c r="AU441" i="191"/>
  <c r="AU440" i="191"/>
  <c r="AU439" i="191"/>
  <c r="AU438" i="191"/>
  <c r="AU437" i="191"/>
  <c r="AU436" i="191"/>
  <c r="AU435" i="191"/>
  <c r="AU434" i="191"/>
  <c r="AU433" i="191"/>
  <c r="AU432" i="191"/>
  <c r="AU431" i="191"/>
  <c r="AU430" i="191"/>
  <c r="AU429" i="191"/>
  <c r="AU428" i="191"/>
  <c r="AU427" i="191"/>
  <c r="AU426" i="191"/>
  <c r="AU425" i="191"/>
  <c r="AU424" i="191"/>
  <c r="AU423" i="191"/>
  <c r="AU422" i="191"/>
  <c r="AU421" i="191"/>
  <c r="AU420" i="191"/>
  <c r="AU419" i="191"/>
  <c r="AU418" i="191"/>
  <c r="AU417" i="191"/>
  <c r="AU416" i="191"/>
  <c r="AU415" i="191"/>
  <c r="AU414" i="191"/>
  <c r="AU413" i="191"/>
  <c r="AU412" i="191"/>
  <c r="AU411" i="191"/>
  <c r="AU410" i="191"/>
  <c r="AU409" i="191"/>
  <c r="AU408" i="191"/>
  <c r="AU407" i="191"/>
  <c r="AU406" i="191"/>
  <c r="AU405" i="191"/>
  <c r="AU404" i="191"/>
  <c r="AU403" i="191"/>
  <c r="AU402" i="191"/>
  <c r="AU401" i="191"/>
  <c r="AU400" i="191"/>
  <c r="AU399" i="191"/>
  <c r="AU398" i="191"/>
  <c r="AU397" i="191"/>
  <c r="AU396" i="191"/>
  <c r="AU395" i="191"/>
  <c r="AU394" i="191"/>
  <c r="AU393" i="191"/>
  <c r="AU392" i="191"/>
  <c r="AU391" i="191"/>
  <c r="AU390" i="191"/>
  <c r="AU389" i="191"/>
  <c r="AU388" i="191"/>
  <c r="AU387" i="191"/>
  <c r="AU386" i="191"/>
  <c r="AU385" i="191"/>
  <c r="AU384" i="191"/>
  <c r="AU383" i="191"/>
  <c r="AU382" i="191"/>
  <c r="AU381" i="191"/>
  <c r="AU380" i="191"/>
  <c r="AU379" i="191"/>
  <c r="AU378" i="191"/>
  <c r="AU377" i="191"/>
  <c r="AU376" i="191"/>
  <c r="AU375" i="191"/>
  <c r="AU374" i="191"/>
  <c r="AU373" i="191"/>
  <c r="AU372" i="191"/>
  <c r="AU371" i="191"/>
  <c r="AU370" i="191"/>
  <c r="AU369" i="191"/>
  <c r="AU368" i="191"/>
  <c r="AU367" i="191"/>
  <c r="AU366" i="191"/>
  <c r="AU365" i="191"/>
  <c r="AU364" i="191"/>
  <c r="AU363" i="191"/>
  <c r="AU362" i="191"/>
  <c r="AU361" i="191"/>
  <c r="AU360" i="191"/>
  <c r="AU359" i="191"/>
  <c r="AU358" i="191"/>
  <c r="AU357" i="191"/>
  <c r="AU356" i="191"/>
  <c r="AU355" i="191"/>
  <c r="AU354" i="191"/>
  <c r="AU353" i="191"/>
  <c r="AU352" i="191"/>
  <c r="AU351" i="191"/>
  <c r="AU350" i="191"/>
  <c r="AU349" i="191"/>
  <c r="AU348" i="191"/>
  <c r="AU347" i="191"/>
  <c r="AU346" i="191"/>
  <c r="AU345" i="191"/>
  <c r="AU344" i="191"/>
  <c r="AU343" i="191"/>
  <c r="AU342" i="191"/>
  <c r="AU341" i="191"/>
  <c r="AU340" i="191"/>
  <c r="AU339" i="191"/>
  <c r="AU338" i="191"/>
  <c r="AU337" i="191"/>
  <c r="AU336" i="191"/>
  <c r="AU335" i="191"/>
  <c r="AU334" i="191"/>
  <c r="AU333" i="191"/>
  <c r="AU332" i="191"/>
  <c r="AU331" i="191"/>
  <c r="AU330" i="191"/>
  <c r="AU329" i="191"/>
  <c r="AU328" i="191"/>
  <c r="AU327" i="191"/>
  <c r="AU326" i="191"/>
  <c r="AU325" i="191"/>
  <c r="AU324" i="191"/>
  <c r="AU323" i="191"/>
  <c r="AU322" i="191"/>
  <c r="AU321" i="191"/>
  <c r="AU320" i="191"/>
  <c r="AU319" i="191"/>
  <c r="AU318" i="191"/>
  <c r="AU317" i="191"/>
  <c r="AU316" i="191"/>
  <c r="AU315" i="191"/>
  <c r="AU314" i="191"/>
  <c r="AU313" i="191"/>
  <c r="AU312" i="191"/>
  <c r="AU311" i="191"/>
  <c r="AU310" i="191"/>
  <c r="AU309" i="191"/>
  <c r="AU308" i="191"/>
  <c r="AU307" i="191"/>
  <c r="AU306" i="191"/>
  <c r="AU305" i="191"/>
  <c r="AU304" i="191"/>
  <c r="AU303" i="191"/>
  <c r="AU302" i="191"/>
  <c r="AU301" i="191"/>
  <c r="AU300" i="191"/>
  <c r="AU299" i="191"/>
  <c r="AU298" i="191"/>
  <c r="AU297" i="191"/>
  <c r="AU296" i="191"/>
  <c r="AU295" i="191"/>
  <c r="AU294" i="191"/>
  <c r="AU293" i="191"/>
  <c r="AU292" i="191"/>
  <c r="AU291" i="191"/>
  <c r="AU290" i="191"/>
  <c r="AU289" i="191"/>
  <c r="AU288" i="191"/>
  <c r="AU287" i="191"/>
  <c r="AU286" i="191"/>
  <c r="AU285" i="191"/>
  <c r="AU284" i="191"/>
  <c r="AU283" i="191"/>
  <c r="AU282" i="191"/>
  <c r="AU281" i="191"/>
  <c r="AU280" i="191"/>
  <c r="AU279" i="191"/>
  <c r="AU278" i="191"/>
  <c r="AU277" i="191"/>
  <c r="AU276" i="191"/>
  <c r="AU275" i="191"/>
  <c r="AU274" i="191"/>
  <c r="AU273" i="191"/>
  <c r="AU272" i="191"/>
  <c r="AU271" i="191"/>
  <c r="AU270" i="191"/>
  <c r="AU269" i="191"/>
  <c r="AU268" i="191"/>
  <c r="AU267" i="191"/>
  <c r="AU266" i="191"/>
  <c r="AU265" i="191"/>
  <c r="AU264" i="191"/>
  <c r="AU263" i="191"/>
  <c r="AU262" i="191"/>
  <c r="AU261" i="191"/>
  <c r="AU260" i="191"/>
  <c r="AU259" i="191"/>
  <c r="AU258" i="191"/>
  <c r="AU257" i="191"/>
  <c r="AU256" i="191"/>
  <c r="AU255" i="191"/>
  <c r="AU254" i="191"/>
  <c r="AU253" i="191"/>
  <c r="AU252" i="191"/>
  <c r="AU251" i="191"/>
  <c r="AU250" i="191"/>
  <c r="AU249" i="191"/>
  <c r="AU248" i="191"/>
  <c r="AU247" i="191"/>
  <c r="AU246" i="191"/>
  <c r="AU245" i="191"/>
  <c r="AU244" i="191"/>
  <c r="AU243" i="191"/>
  <c r="AU242" i="191"/>
  <c r="AU241" i="191"/>
  <c r="AU240" i="191"/>
  <c r="AU239" i="191"/>
  <c r="AU238" i="191"/>
  <c r="AU237" i="191"/>
  <c r="AU236" i="191"/>
  <c r="AU235" i="191"/>
  <c r="AU234" i="191"/>
  <c r="AU233" i="191"/>
  <c r="AU232" i="191"/>
  <c r="AU231" i="191"/>
  <c r="AU230" i="191"/>
  <c r="AU229" i="191"/>
  <c r="AU228" i="191"/>
  <c r="AU227" i="191"/>
  <c r="AU226" i="191"/>
  <c r="AU225" i="191"/>
  <c r="AU224" i="191"/>
  <c r="AU223" i="191"/>
  <c r="AU222" i="191"/>
  <c r="AU221" i="191"/>
  <c r="AU220" i="191"/>
  <c r="AU219" i="191"/>
  <c r="AU218" i="191"/>
  <c r="AU217" i="191"/>
  <c r="AU216" i="191"/>
  <c r="AU215" i="191"/>
  <c r="AU214" i="191"/>
  <c r="AU213" i="191"/>
  <c r="AU212" i="191"/>
  <c r="AU211" i="191"/>
  <c r="AU210" i="191"/>
  <c r="AU209" i="191"/>
  <c r="AU208" i="191"/>
  <c r="AU207" i="191"/>
  <c r="AU206" i="191"/>
  <c r="AU205" i="191"/>
  <c r="AU204" i="191"/>
  <c r="AU203" i="191"/>
  <c r="AU202" i="191"/>
  <c r="AU201" i="191"/>
  <c r="AU200" i="191"/>
  <c r="AU199" i="191"/>
  <c r="AU198" i="191"/>
  <c r="AU197" i="191"/>
  <c r="AU196" i="191"/>
  <c r="AU195" i="191"/>
  <c r="AU194" i="191"/>
  <c r="AU193" i="191"/>
  <c r="AU192" i="191"/>
  <c r="AU191" i="191"/>
  <c r="AU190" i="191"/>
  <c r="AU189" i="191"/>
  <c r="AU188" i="191"/>
  <c r="AU187" i="191"/>
  <c r="AU186" i="191"/>
  <c r="AU185" i="191"/>
  <c r="AU184" i="191"/>
  <c r="AU183" i="191"/>
  <c r="AU182" i="191"/>
  <c r="AU181" i="191"/>
  <c r="AU180" i="191"/>
  <c r="AU179" i="191"/>
  <c r="AU178" i="191"/>
  <c r="AU177" i="191"/>
  <c r="AU176" i="191"/>
  <c r="AU175" i="191"/>
  <c r="AU174" i="191"/>
  <c r="AU173" i="191"/>
  <c r="AU172" i="191"/>
  <c r="AU171" i="191"/>
  <c r="AU170" i="191"/>
  <c r="AU169" i="191"/>
  <c r="AU168" i="191"/>
  <c r="AU167" i="191"/>
  <c r="AU166" i="191"/>
  <c r="AU165" i="191"/>
  <c r="AU164" i="191"/>
  <c r="AU163" i="191"/>
  <c r="AU162" i="191"/>
  <c r="AU161" i="191"/>
  <c r="AU160" i="191"/>
  <c r="AU159" i="191"/>
  <c r="AU158" i="191"/>
  <c r="AU157" i="191"/>
  <c r="AU156" i="191"/>
  <c r="AU155" i="191"/>
  <c r="AU154" i="191"/>
  <c r="AU153" i="191"/>
  <c r="AU152" i="191"/>
  <c r="AU151" i="191"/>
  <c r="AU150" i="191"/>
  <c r="AU149" i="191"/>
  <c r="AU148" i="191"/>
  <c r="AU147" i="191"/>
  <c r="AU146" i="191"/>
  <c r="AU145" i="191"/>
  <c r="AU144" i="191"/>
  <c r="AU143" i="191"/>
  <c r="AU142" i="191"/>
  <c r="AU141" i="191"/>
  <c r="AU140" i="191"/>
  <c r="AU139" i="191"/>
  <c r="AU138" i="191"/>
  <c r="AU137" i="191"/>
  <c r="AU136" i="191"/>
  <c r="AU135" i="191"/>
  <c r="AU134" i="191"/>
  <c r="AU133" i="191"/>
  <c r="AU132" i="191"/>
  <c r="AU131" i="191"/>
  <c r="AU130" i="191"/>
  <c r="AU129" i="191"/>
  <c r="AU128" i="191"/>
  <c r="AU127" i="191"/>
  <c r="AU126" i="191"/>
  <c r="AU125" i="191"/>
  <c r="AU124" i="191"/>
  <c r="AU123" i="191"/>
  <c r="AU122" i="191"/>
  <c r="AU121" i="191"/>
  <c r="AU120" i="191"/>
  <c r="AU119" i="191"/>
  <c r="AU118" i="191"/>
  <c r="AU117" i="191"/>
  <c r="AU116" i="191"/>
  <c r="AU115" i="191"/>
  <c r="AU114" i="191"/>
  <c r="AU113" i="191"/>
  <c r="AU112" i="191"/>
  <c r="AU111" i="191"/>
  <c r="AU110" i="191"/>
  <c r="AU109" i="191"/>
  <c r="AU108" i="191"/>
  <c r="AU107" i="191"/>
  <c r="AU106" i="191"/>
  <c r="AU105" i="191"/>
  <c r="AU104" i="191"/>
  <c r="AU103" i="191"/>
  <c r="AU102" i="191"/>
  <c r="AU101" i="191"/>
  <c r="AU100" i="191"/>
  <c r="AU99" i="191"/>
  <c r="AU98" i="191"/>
  <c r="AU97" i="191"/>
  <c r="AU96" i="191"/>
  <c r="AU95" i="191"/>
  <c r="AU94" i="191"/>
  <c r="AU93" i="191"/>
  <c r="AU92" i="191"/>
  <c r="AU91" i="191"/>
  <c r="AU90" i="191"/>
  <c r="AU89" i="191"/>
  <c r="AU88" i="191"/>
  <c r="AU87" i="191"/>
  <c r="AU86" i="191"/>
  <c r="AU85" i="191"/>
  <c r="AU84" i="191"/>
  <c r="AU83" i="191"/>
  <c r="AU82" i="191"/>
  <c r="AU81" i="191"/>
  <c r="AU80" i="191"/>
  <c r="AU79" i="191"/>
  <c r="AU78" i="191"/>
  <c r="AU77" i="191"/>
  <c r="AU76" i="191"/>
  <c r="AU75" i="191"/>
  <c r="AU74" i="191"/>
  <c r="AU73" i="191"/>
  <c r="AU72" i="191"/>
  <c r="AU71" i="191"/>
  <c r="AU70" i="191"/>
  <c r="AU69" i="191"/>
  <c r="AU68" i="191"/>
  <c r="AU67" i="191"/>
  <c r="AU66" i="191"/>
  <c r="AU65" i="191"/>
  <c r="AU64" i="191"/>
  <c r="AU63" i="191"/>
  <c r="AU62" i="191"/>
  <c r="AU61" i="191"/>
  <c r="AU60" i="191"/>
  <c r="AU59" i="191"/>
  <c r="AU58" i="191"/>
  <c r="AU57" i="191"/>
  <c r="AU56" i="191"/>
  <c r="AU55" i="191"/>
  <c r="AU54" i="191"/>
  <c r="AU53" i="191"/>
  <c r="AU52" i="191"/>
  <c r="AU51" i="191"/>
  <c r="AU50" i="191"/>
  <c r="AU49" i="191"/>
  <c r="AU48" i="191"/>
  <c r="AU47" i="191"/>
  <c r="AU46" i="191"/>
  <c r="AU45" i="191"/>
  <c r="AU44" i="191"/>
  <c r="AU43" i="191"/>
  <c r="AU42" i="191"/>
  <c r="AU41" i="191"/>
  <c r="AU40" i="191"/>
  <c r="AU39" i="191"/>
  <c r="AU38" i="191"/>
  <c r="AU37" i="191"/>
  <c r="AU36" i="191"/>
  <c r="AU35" i="191"/>
  <c r="AU34" i="191"/>
  <c r="AU33" i="191"/>
  <c r="AU32" i="191"/>
  <c r="AU31" i="191"/>
  <c r="AU30" i="191"/>
  <c r="AU29" i="191"/>
  <c r="AU28" i="191"/>
  <c r="AU27" i="191"/>
  <c r="AU26" i="191"/>
  <c r="AU25" i="191"/>
  <c r="AU24" i="191"/>
  <c r="AU23" i="191"/>
  <c r="AU22" i="191"/>
  <c r="AU21" i="191"/>
  <c r="AU20" i="191"/>
  <c r="AU19" i="191"/>
  <c r="AU18" i="191"/>
  <c r="AU17" i="191"/>
  <c r="AU16" i="191"/>
  <c r="AU15" i="191"/>
  <c r="AU14" i="191"/>
  <c r="AU13" i="191"/>
  <c r="AU12" i="191"/>
  <c r="AU11" i="191"/>
  <c r="AU10" i="191"/>
  <c r="AU9" i="191"/>
  <c r="AU8" i="191"/>
  <c r="AU7" i="191"/>
  <c r="AU6" i="191"/>
  <c r="AU5" i="191"/>
  <c r="AU4" i="191"/>
  <c r="AU3" i="191"/>
  <c r="A4" i="191"/>
  <c r="A5" i="191" s="1"/>
  <c r="A6" i="191" s="1"/>
  <c r="A7" i="191" s="1"/>
  <c r="A8" i="191" s="1"/>
  <c r="A9" i="191" s="1"/>
  <c r="A10" i="191" s="1"/>
  <c r="A11" i="191" s="1"/>
  <c r="A12" i="191" s="1"/>
  <c r="A13" i="191" s="1"/>
  <c r="A14" i="191" s="1"/>
  <c r="A15" i="191" s="1"/>
  <c r="A16" i="191" s="1"/>
  <c r="A17" i="191" s="1"/>
  <c r="A18" i="191" s="1"/>
  <c r="A19" i="191" s="1"/>
  <c r="A20" i="191" s="1"/>
  <c r="A21" i="191" s="1"/>
  <c r="A22" i="191" s="1"/>
  <c r="A23" i="191" s="1"/>
  <c r="A24" i="191" s="1"/>
  <c r="A25" i="191" s="1"/>
  <c r="A26" i="191" s="1"/>
  <c r="A27" i="191" s="1"/>
  <c r="A28" i="191" s="1"/>
  <c r="A29" i="191" s="1"/>
  <c r="A30" i="191" s="1"/>
  <c r="A31" i="191" s="1"/>
  <c r="A32" i="191" s="1"/>
  <c r="A33" i="191" s="1"/>
  <c r="A34" i="191" s="1"/>
  <c r="A35" i="191" s="1"/>
  <c r="A36" i="191" s="1"/>
  <c r="A37" i="191" s="1"/>
  <c r="A38" i="191" s="1"/>
  <c r="A39" i="191" s="1"/>
  <c r="A40" i="191" s="1"/>
  <c r="A41" i="191" s="1"/>
  <c r="A42" i="191" s="1"/>
  <c r="A43" i="191" s="1"/>
  <c r="A44" i="191" s="1"/>
  <c r="A45" i="191" s="1"/>
  <c r="A46" i="191" s="1"/>
  <c r="A47" i="191" s="1"/>
  <c r="A48" i="191" s="1"/>
  <c r="A49" i="191" s="1"/>
  <c r="A50" i="191" s="1"/>
  <c r="A51" i="191" s="1"/>
  <c r="A52" i="191" s="1"/>
  <c r="A53" i="191" s="1"/>
  <c r="A54" i="191" s="1"/>
  <c r="A55" i="191" s="1"/>
  <c r="A56" i="191" s="1"/>
  <c r="A57" i="191" s="1"/>
  <c r="A58" i="191" s="1"/>
  <c r="A59" i="191" s="1"/>
  <c r="A60" i="191" s="1"/>
  <c r="A61" i="191" s="1"/>
  <c r="A62" i="191" s="1"/>
  <c r="A63" i="191" s="1"/>
  <c r="A64" i="191" s="1"/>
  <c r="A65" i="191" s="1"/>
  <c r="A66" i="191" s="1"/>
  <c r="A67" i="191" s="1"/>
  <c r="A68" i="191" s="1"/>
  <c r="A69" i="191" s="1"/>
  <c r="A70" i="191" s="1"/>
  <c r="A71" i="191" s="1"/>
  <c r="A72" i="191" s="1"/>
  <c r="A73" i="191" s="1"/>
  <c r="A74" i="191" s="1"/>
  <c r="A75" i="191" s="1"/>
  <c r="A76" i="191" s="1"/>
  <c r="A77" i="191" s="1"/>
  <c r="A78" i="191" s="1"/>
  <c r="A79" i="191" s="1"/>
  <c r="A80" i="191" s="1"/>
  <c r="A81" i="191" s="1"/>
  <c r="A82" i="191" s="1"/>
  <c r="A83" i="191" s="1"/>
  <c r="A84" i="191" s="1"/>
  <c r="A85" i="191" s="1"/>
  <c r="A86" i="191" s="1"/>
  <c r="A87" i="191" s="1"/>
  <c r="A88" i="191" s="1"/>
  <c r="A89" i="191" s="1"/>
  <c r="A90" i="191" s="1"/>
  <c r="A91" i="191" s="1"/>
  <c r="A92" i="191" s="1"/>
  <c r="A93" i="191" s="1"/>
  <c r="A94" i="191" s="1"/>
  <c r="A95" i="191" s="1"/>
  <c r="A96" i="191" s="1"/>
  <c r="A97" i="191" s="1"/>
  <c r="A98" i="191" s="1"/>
  <c r="A99" i="191" s="1"/>
  <c r="A100" i="191" s="1"/>
  <c r="A101" i="191" s="1"/>
  <c r="A102" i="191" s="1"/>
  <c r="A103" i="191" s="1"/>
  <c r="A104" i="191" s="1"/>
  <c r="A105" i="191" s="1"/>
  <c r="A106" i="191" s="1"/>
  <c r="A107" i="191" s="1"/>
  <c r="A108" i="191" s="1"/>
  <c r="A109" i="191" s="1"/>
  <c r="A110" i="191" s="1"/>
  <c r="A111" i="191" s="1"/>
  <c r="A112" i="191" s="1"/>
  <c r="A113" i="191" s="1"/>
  <c r="A114" i="191" s="1"/>
  <c r="A115" i="191" s="1"/>
  <c r="A116" i="191" s="1"/>
  <c r="A117" i="191" s="1"/>
  <c r="A118" i="191" s="1"/>
  <c r="A119" i="191" s="1"/>
  <c r="A120" i="191" s="1"/>
  <c r="A121" i="191" s="1"/>
  <c r="A122" i="191" s="1"/>
  <c r="A123" i="191" s="1"/>
  <c r="A124" i="191" s="1"/>
  <c r="A125" i="191" s="1"/>
  <c r="A126" i="191" s="1"/>
  <c r="A127" i="191" s="1"/>
  <c r="A128" i="191" s="1"/>
  <c r="A129" i="191" s="1"/>
  <c r="A130" i="191" s="1"/>
  <c r="A131" i="191" s="1"/>
  <c r="A132" i="191" s="1"/>
  <c r="A133" i="191" s="1"/>
  <c r="A134" i="191" s="1"/>
  <c r="A135" i="191" s="1"/>
  <c r="A136" i="191" s="1"/>
  <c r="A137" i="191" s="1"/>
  <c r="A138" i="191" s="1"/>
  <c r="A139" i="191" s="1"/>
  <c r="A140" i="191" s="1"/>
  <c r="A141" i="191" s="1"/>
  <c r="A142" i="191" s="1"/>
  <c r="A143" i="191" s="1"/>
  <c r="A144" i="191" s="1"/>
  <c r="A145" i="191" s="1"/>
  <c r="A146" i="191" s="1"/>
  <c r="A147" i="191" s="1"/>
  <c r="A148" i="191" s="1"/>
  <c r="A149" i="191" s="1"/>
  <c r="A150" i="191" s="1"/>
  <c r="A151" i="191" s="1"/>
  <c r="A152" i="191" s="1"/>
  <c r="A153" i="191" s="1"/>
  <c r="A154" i="191" s="1"/>
  <c r="A155" i="191" s="1"/>
  <c r="A156" i="191" s="1"/>
  <c r="A157" i="191" s="1"/>
  <c r="A158" i="191" s="1"/>
  <c r="A159" i="191" s="1"/>
  <c r="A160" i="191" s="1"/>
  <c r="A161" i="191" s="1"/>
  <c r="A162" i="191" s="1"/>
  <c r="A163" i="191" s="1"/>
  <c r="A164" i="191" s="1"/>
  <c r="A165" i="191" s="1"/>
  <c r="A166" i="191" s="1"/>
  <c r="A167" i="191" s="1"/>
  <c r="A168" i="191" s="1"/>
  <c r="A169" i="191" s="1"/>
  <c r="A170" i="191" s="1"/>
  <c r="A171" i="191" s="1"/>
  <c r="A172" i="191" s="1"/>
  <c r="A173" i="191" s="1"/>
  <c r="A174" i="191" s="1"/>
  <c r="A175" i="191" s="1"/>
  <c r="A176" i="191" s="1"/>
  <c r="A177" i="191" s="1"/>
  <c r="A178" i="191" s="1"/>
  <c r="A179" i="191" s="1"/>
  <c r="A180" i="191" s="1"/>
  <c r="A181" i="191" s="1"/>
  <c r="A182" i="191" s="1"/>
  <c r="A183" i="191" s="1"/>
  <c r="A184" i="191" s="1"/>
  <c r="A185" i="191" s="1"/>
  <c r="A186" i="191" s="1"/>
  <c r="A187" i="191" s="1"/>
  <c r="A188" i="191" s="1"/>
  <c r="A189" i="191" s="1"/>
  <c r="A190" i="191" s="1"/>
  <c r="A191" i="191" s="1"/>
  <c r="A192" i="191" s="1"/>
  <c r="A193" i="191" s="1"/>
  <c r="A194" i="191" s="1"/>
  <c r="A195" i="191" s="1"/>
  <c r="A196" i="191" s="1"/>
  <c r="A197" i="191" s="1"/>
  <c r="A198" i="191" s="1"/>
  <c r="A199" i="191" s="1"/>
  <c r="A200" i="191" s="1"/>
  <c r="A201" i="191" s="1"/>
  <c r="A202" i="191" s="1"/>
  <c r="A203" i="191" s="1"/>
  <c r="A204" i="191" s="1"/>
  <c r="A205" i="191" s="1"/>
  <c r="A206" i="191" s="1"/>
  <c r="A207" i="191" s="1"/>
  <c r="A208" i="191" s="1"/>
  <c r="A209" i="191" s="1"/>
  <c r="A210" i="191" s="1"/>
  <c r="A211" i="191" s="1"/>
  <c r="A212" i="191" s="1"/>
  <c r="A213" i="191" s="1"/>
  <c r="A214" i="191" s="1"/>
  <c r="A215" i="191" s="1"/>
  <c r="A216" i="191" s="1"/>
  <c r="A217" i="191" s="1"/>
  <c r="A218" i="191" s="1"/>
  <c r="A219" i="191" s="1"/>
  <c r="A220" i="191" s="1"/>
  <c r="A221" i="191" s="1"/>
  <c r="A222" i="191" s="1"/>
  <c r="A223" i="191" s="1"/>
  <c r="A224" i="191" s="1"/>
  <c r="A225" i="191" s="1"/>
  <c r="A226" i="191" s="1"/>
  <c r="A227" i="191" s="1"/>
  <c r="A228" i="191" s="1"/>
  <c r="A229" i="191" s="1"/>
  <c r="A230" i="191" s="1"/>
  <c r="A231" i="191" s="1"/>
  <c r="A232" i="191" s="1"/>
  <c r="A233" i="191" s="1"/>
  <c r="A234" i="191" s="1"/>
  <c r="A235" i="191" s="1"/>
  <c r="A236" i="191" s="1"/>
  <c r="A237" i="191" s="1"/>
  <c r="A238" i="191" s="1"/>
  <c r="A239" i="191" s="1"/>
  <c r="A240" i="191" s="1"/>
  <c r="A241" i="191" s="1"/>
  <c r="A242" i="191" s="1"/>
  <c r="A243" i="191" s="1"/>
  <c r="A244" i="191" s="1"/>
  <c r="A245" i="191" s="1"/>
  <c r="A246" i="191" s="1"/>
  <c r="A247" i="191" s="1"/>
  <c r="A248" i="191" s="1"/>
  <c r="A249" i="191" s="1"/>
  <c r="A250" i="191" s="1"/>
  <c r="A251" i="191" s="1"/>
  <c r="A252" i="191" s="1"/>
  <c r="A253" i="191" s="1"/>
  <c r="A254" i="191" s="1"/>
  <c r="A255" i="191" s="1"/>
  <c r="A256" i="191" s="1"/>
  <c r="A257" i="191" s="1"/>
  <c r="A258" i="191" s="1"/>
  <c r="A259" i="191" s="1"/>
  <c r="A260" i="191" s="1"/>
  <c r="A261" i="191" s="1"/>
  <c r="A262" i="191" s="1"/>
  <c r="A263" i="191" s="1"/>
  <c r="A264" i="191" s="1"/>
  <c r="A265" i="191" s="1"/>
  <c r="A266" i="191" s="1"/>
  <c r="A267" i="191" s="1"/>
  <c r="A268" i="191" s="1"/>
  <c r="A269" i="191" s="1"/>
  <c r="A270" i="191" s="1"/>
  <c r="A271" i="191" s="1"/>
  <c r="A272" i="191" s="1"/>
  <c r="A273" i="191" s="1"/>
  <c r="A274" i="191" s="1"/>
  <c r="A275" i="191" s="1"/>
  <c r="A276" i="191" s="1"/>
  <c r="A277" i="191" s="1"/>
  <c r="A278" i="191" s="1"/>
  <c r="A279" i="191" s="1"/>
  <c r="A280" i="191" s="1"/>
  <c r="A281" i="191" s="1"/>
  <c r="A282" i="191" s="1"/>
  <c r="A283" i="191" s="1"/>
  <c r="A284" i="191" s="1"/>
  <c r="A285" i="191" s="1"/>
  <c r="A286" i="191" s="1"/>
  <c r="A287" i="191" s="1"/>
  <c r="A288" i="191" s="1"/>
  <c r="A289" i="191" s="1"/>
  <c r="A290" i="191" s="1"/>
  <c r="A291" i="191" s="1"/>
  <c r="A292" i="191" s="1"/>
  <c r="A293" i="191" s="1"/>
  <c r="A294" i="191" s="1"/>
  <c r="A295" i="191" s="1"/>
  <c r="A296" i="191" s="1"/>
  <c r="A297" i="191" s="1"/>
  <c r="A298" i="191" s="1"/>
  <c r="A299" i="191" s="1"/>
  <c r="A300" i="191" s="1"/>
  <c r="A301" i="191" s="1"/>
  <c r="A302" i="191" s="1"/>
  <c r="A303" i="191" s="1"/>
  <c r="A304" i="191" s="1"/>
  <c r="A305" i="191" s="1"/>
  <c r="A306" i="191" s="1"/>
  <c r="A307" i="191" s="1"/>
  <c r="A308" i="191" s="1"/>
  <c r="A309" i="191" s="1"/>
  <c r="A310" i="191" s="1"/>
  <c r="A311" i="191" s="1"/>
  <c r="A312" i="191" s="1"/>
  <c r="A313" i="191" s="1"/>
  <c r="A314" i="191" s="1"/>
  <c r="A315" i="191" s="1"/>
  <c r="A316" i="191" s="1"/>
  <c r="A317" i="191" s="1"/>
  <c r="A318" i="191" s="1"/>
  <c r="A319" i="191" s="1"/>
  <c r="A320" i="191" s="1"/>
  <c r="A321" i="191" s="1"/>
  <c r="A322" i="191" s="1"/>
  <c r="A323" i="191" s="1"/>
  <c r="A324" i="191" s="1"/>
  <c r="A325" i="191" s="1"/>
  <c r="A326" i="191" s="1"/>
  <c r="A327" i="191" s="1"/>
  <c r="A328" i="191" s="1"/>
  <c r="A329" i="191" s="1"/>
  <c r="A330" i="191" s="1"/>
  <c r="A331" i="191" s="1"/>
  <c r="A332" i="191" s="1"/>
  <c r="A333" i="191" s="1"/>
  <c r="A334" i="191" s="1"/>
  <c r="A335" i="191" s="1"/>
  <c r="A336" i="191" s="1"/>
  <c r="A337" i="191" s="1"/>
  <c r="A338" i="191" s="1"/>
  <c r="A339" i="191" s="1"/>
  <c r="A340" i="191" s="1"/>
  <c r="A341" i="191" s="1"/>
  <c r="A342" i="191" s="1"/>
  <c r="A343" i="191" s="1"/>
  <c r="A344" i="191" s="1"/>
  <c r="A345" i="191" s="1"/>
  <c r="A346" i="191" s="1"/>
  <c r="A347" i="191" s="1"/>
  <c r="A348" i="191" s="1"/>
  <c r="A349" i="191" s="1"/>
  <c r="A350" i="191" s="1"/>
  <c r="A351" i="191" s="1"/>
  <c r="A352" i="191" s="1"/>
  <c r="A353" i="191" s="1"/>
  <c r="A354" i="191" s="1"/>
  <c r="A355" i="191" s="1"/>
  <c r="A356" i="191" s="1"/>
  <c r="A357" i="191" s="1"/>
  <c r="A358" i="191" s="1"/>
  <c r="A359" i="191" s="1"/>
  <c r="A360" i="191" s="1"/>
  <c r="A361" i="191" s="1"/>
  <c r="A362" i="191" s="1"/>
  <c r="A363" i="191" s="1"/>
  <c r="A364" i="191" s="1"/>
  <c r="A365" i="191" s="1"/>
  <c r="A366" i="191" s="1"/>
  <c r="A367" i="191" s="1"/>
  <c r="A368" i="191" s="1"/>
  <c r="A369" i="191" s="1"/>
  <c r="A370" i="191" s="1"/>
  <c r="A371" i="191" s="1"/>
  <c r="A372" i="191" s="1"/>
  <c r="A373" i="191" s="1"/>
  <c r="A374" i="191" s="1"/>
  <c r="A375" i="191" s="1"/>
  <c r="A376" i="191" s="1"/>
  <c r="A377" i="191" s="1"/>
  <c r="A378" i="191" s="1"/>
  <c r="A379" i="191" s="1"/>
  <c r="A380" i="191" s="1"/>
  <c r="A381" i="191" s="1"/>
  <c r="A382" i="191" s="1"/>
  <c r="A383" i="191" s="1"/>
  <c r="A384" i="191" s="1"/>
  <c r="A385" i="191" s="1"/>
  <c r="A386" i="191" s="1"/>
  <c r="A387" i="191" s="1"/>
  <c r="A388" i="191" s="1"/>
  <c r="A389" i="191" s="1"/>
  <c r="A390" i="191" s="1"/>
  <c r="A391" i="191" s="1"/>
  <c r="A392" i="191" s="1"/>
  <c r="A393" i="191" s="1"/>
  <c r="A394" i="191" s="1"/>
  <c r="A395" i="191" s="1"/>
  <c r="A396" i="191" s="1"/>
  <c r="A397" i="191" s="1"/>
  <c r="A398" i="191" s="1"/>
  <c r="A399" i="191" s="1"/>
  <c r="A400" i="191" s="1"/>
  <c r="A401" i="191" s="1"/>
  <c r="A402" i="191" s="1"/>
  <c r="A403" i="191" s="1"/>
  <c r="A404" i="191" s="1"/>
  <c r="A405" i="191" s="1"/>
  <c r="A406" i="191" s="1"/>
  <c r="A407" i="191" s="1"/>
  <c r="A408" i="191" s="1"/>
  <c r="A409" i="191" s="1"/>
  <c r="A410" i="191" s="1"/>
  <c r="A411" i="191" s="1"/>
  <c r="A412" i="191" s="1"/>
  <c r="A413" i="191" s="1"/>
  <c r="A414" i="191" s="1"/>
  <c r="A415" i="191" s="1"/>
  <c r="A416" i="191" s="1"/>
  <c r="A417" i="191" s="1"/>
  <c r="A418" i="191" s="1"/>
  <c r="A419" i="191" s="1"/>
  <c r="A420" i="191" s="1"/>
  <c r="A421" i="191" s="1"/>
  <c r="A422" i="191" s="1"/>
  <c r="A423" i="191" s="1"/>
  <c r="A424" i="191" s="1"/>
  <c r="A425" i="191" s="1"/>
  <c r="A426" i="191" s="1"/>
  <c r="A427" i="191" s="1"/>
  <c r="A428" i="191" s="1"/>
  <c r="A429" i="191" s="1"/>
  <c r="A430" i="191" s="1"/>
  <c r="A431" i="191" s="1"/>
  <c r="A432" i="191" s="1"/>
  <c r="A433" i="191" s="1"/>
  <c r="A434" i="191" s="1"/>
  <c r="A435" i="191" s="1"/>
  <c r="A436" i="191" s="1"/>
  <c r="A437" i="191" s="1"/>
  <c r="A438" i="191" s="1"/>
  <c r="A439" i="191" s="1"/>
  <c r="A440" i="191" s="1"/>
  <c r="A441" i="191" s="1"/>
  <c r="A442" i="191" s="1"/>
  <c r="A443" i="191" s="1"/>
  <c r="A444" i="191" s="1"/>
  <c r="A445" i="191" s="1"/>
  <c r="A446" i="191" s="1"/>
  <c r="A447" i="191" s="1"/>
  <c r="A448" i="191" s="1"/>
  <c r="A449" i="191" s="1"/>
  <c r="A450" i="191" s="1"/>
  <c r="A451" i="191" s="1"/>
  <c r="A452" i="191" s="1"/>
  <c r="A453" i="191" s="1"/>
  <c r="A454" i="191" s="1"/>
  <c r="A455" i="191" s="1"/>
  <c r="A456" i="191" s="1"/>
  <c r="A457" i="191" s="1"/>
  <c r="A458" i="191" s="1"/>
  <c r="A459" i="191" s="1"/>
  <c r="A460" i="191" s="1"/>
  <c r="A461" i="191" s="1"/>
  <c r="A462" i="191" s="1"/>
  <c r="A463" i="191" s="1"/>
  <c r="A464" i="191" s="1"/>
  <c r="A465" i="191" s="1"/>
  <c r="A466" i="191" s="1"/>
  <c r="A467" i="191" s="1"/>
  <c r="A468" i="191" s="1"/>
  <c r="A469" i="191" s="1"/>
  <c r="A470" i="191" s="1"/>
  <c r="A471" i="191" s="1"/>
  <c r="A472" i="191" s="1"/>
  <c r="A473" i="191" s="1"/>
  <c r="A474" i="191" s="1"/>
  <c r="A475" i="191" s="1"/>
  <c r="A476" i="191" s="1"/>
  <c r="A477" i="191" s="1"/>
  <c r="A478" i="191" s="1"/>
  <c r="A479" i="191" s="1"/>
  <c r="A480" i="191" s="1"/>
  <c r="A481" i="191" s="1"/>
  <c r="A482" i="191" s="1"/>
  <c r="A483" i="191" s="1"/>
  <c r="A484" i="191" s="1"/>
  <c r="A485" i="191" s="1"/>
  <c r="A486" i="191" s="1"/>
  <c r="A487" i="191" s="1"/>
  <c r="A488" i="191" s="1"/>
  <c r="A489" i="191" s="1"/>
  <c r="A490" i="191" s="1"/>
  <c r="A491" i="191" s="1"/>
  <c r="A492" i="191" s="1"/>
  <c r="A493" i="191" s="1"/>
  <c r="A494" i="191" s="1"/>
  <c r="A495" i="191" s="1"/>
  <c r="A496" i="191" s="1"/>
  <c r="A497" i="191" s="1"/>
  <c r="A498" i="191" s="1"/>
  <c r="A499" i="191" s="1"/>
  <c r="A500" i="191" s="1"/>
  <c r="A501" i="191" s="1"/>
  <c r="A502" i="191" s="1"/>
  <c r="A503" i="191" s="1"/>
  <c r="A504" i="191" s="1"/>
  <c r="A505" i="191" s="1"/>
  <c r="A506" i="191" s="1"/>
  <c r="A507" i="191" s="1"/>
  <c r="A508" i="191" s="1"/>
  <c r="A509" i="191" s="1"/>
  <c r="A510" i="191" s="1"/>
  <c r="A511" i="191" s="1"/>
  <c r="A512" i="191" s="1"/>
  <c r="A513" i="191" s="1"/>
  <c r="A514" i="191" s="1"/>
  <c r="A515" i="191" s="1"/>
  <c r="A516" i="191" s="1"/>
  <c r="A517" i="191" s="1"/>
  <c r="A518" i="191" s="1"/>
  <c r="A519" i="191" s="1"/>
  <c r="A520" i="191" s="1"/>
  <c r="A521" i="191" s="1"/>
  <c r="A522" i="191" s="1"/>
  <c r="A523" i="191" s="1"/>
  <c r="A524" i="191" s="1"/>
  <c r="A525" i="191" s="1"/>
  <c r="A526" i="191" s="1"/>
  <c r="A527" i="191" s="1"/>
  <c r="A528" i="191" s="1"/>
  <c r="A529" i="191" s="1"/>
  <c r="A530" i="191" s="1"/>
  <c r="A531" i="191" s="1"/>
  <c r="A532" i="191" s="1"/>
  <c r="A533" i="191" s="1"/>
  <c r="A534" i="191" s="1"/>
  <c r="A535" i="191" s="1"/>
  <c r="A536" i="191" s="1"/>
  <c r="A537" i="191" s="1"/>
  <c r="A538" i="191" s="1"/>
  <c r="A539" i="191" s="1"/>
  <c r="A540" i="191" s="1"/>
  <c r="A541" i="191" s="1"/>
  <c r="A542" i="191" s="1"/>
  <c r="A543" i="191" s="1"/>
  <c r="A544" i="191" s="1"/>
  <c r="A545" i="191" s="1"/>
  <c r="A546" i="191" s="1"/>
  <c r="A547" i="191" s="1"/>
  <c r="A548" i="191" s="1"/>
  <c r="A549" i="191" s="1"/>
  <c r="A550" i="191" s="1"/>
  <c r="A551" i="191" s="1"/>
  <c r="A552" i="191" s="1"/>
  <c r="A553" i="191" s="1"/>
  <c r="A554" i="191" s="1"/>
  <c r="A555" i="191" s="1"/>
  <c r="A556" i="191" s="1"/>
  <c r="A557" i="191" s="1"/>
  <c r="A558" i="191" s="1"/>
  <c r="A559" i="191" s="1"/>
  <c r="A560" i="191" s="1"/>
  <c r="A561" i="191" s="1"/>
  <c r="A562" i="191" s="1"/>
  <c r="A563" i="191" s="1"/>
  <c r="A564" i="191" s="1"/>
  <c r="A565" i="191" s="1"/>
  <c r="A566" i="191" s="1"/>
  <c r="A567" i="191" s="1"/>
  <c r="A568" i="191" s="1"/>
  <c r="A569" i="191" s="1"/>
  <c r="A570" i="191" s="1"/>
  <c r="A571" i="191" s="1"/>
  <c r="A572" i="191" s="1"/>
  <c r="A573" i="191" s="1"/>
  <c r="A574" i="191" s="1"/>
  <c r="A575" i="191" s="1"/>
  <c r="A576" i="191" s="1"/>
  <c r="A577" i="191" s="1"/>
  <c r="A578" i="191" s="1"/>
  <c r="A579" i="191" s="1"/>
  <c r="A580" i="191" s="1"/>
  <c r="A581" i="191" s="1"/>
  <c r="A582" i="191" s="1"/>
  <c r="A583" i="191" s="1"/>
  <c r="A584" i="191" s="1"/>
  <c r="A585" i="191" s="1"/>
  <c r="A586" i="191" s="1"/>
  <c r="A587" i="191" s="1"/>
  <c r="A588" i="191" s="1"/>
  <c r="A589" i="191" s="1"/>
  <c r="A590" i="191" s="1"/>
  <c r="A591" i="191" s="1"/>
  <c r="A592" i="191" s="1"/>
  <c r="A593" i="191" s="1"/>
  <c r="A594" i="191" s="1"/>
  <c r="A595" i="191" s="1"/>
  <c r="A596" i="191" s="1"/>
  <c r="A597" i="191" s="1"/>
  <c r="A598" i="191" s="1"/>
  <c r="A599" i="191" s="1"/>
  <c r="A600" i="191" s="1"/>
  <c r="A601" i="191" s="1"/>
  <c r="A602" i="191" s="1"/>
  <c r="A603" i="191" s="1"/>
  <c r="A604" i="191" s="1"/>
  <c r="A605" i="191" s="1"/>
  <c r="A606" i="191" s="1"/>
  <c r="A607" i="191" s="1"/>
  <c r="A608" i="191" s="1"/>
  <c r="A609" i="191" s="1"/>
  <c r="A610" i="191" s="1"/>
  <c r="A611" i="191" s="1"/>
  <c r="A612" i="191" s="1"/>
  <c r="A613" i="191" s="1"/>
  <c r="A614" i="191" s="1"/>
  <c r="A615" i="191" s="1"/>
  <c r="A616" i="191" s="1"/>
  <c r="A617" i="191" s="1"/>
  <c r="A618" i="191" s="1"/>
  <c r="A619" i="191" s="1"/>
  <c r="A620" i="191" s="1"/>
  <c r="A621" i="191" s="1"/>
  <c r="A622" i="191" s="1"/>
  <c r="A623" i="191" s="1"/>
  <c r="A624" i="191" s="1"/>
  <c r="A625" i="191" s="1"/>
  <c r="A626" i="191" s="1"/>
  <c r="A627" i="191" s="1"/>
  <c r="A628" i="191" s="1"/>
  <c r="A629" i="191" s="1"/>
  <c r="A630" i="191" s="1"/>
  <c r="A631" i="191" s="1"/>
  <c r="A632" i="191" s="1"/>
  <c r="A633" i="191" s="1"/>
  <c r="A634" i="191" s="1"/>
  <c r="A635" i="191" s="1"/>
  <c r="A636" i="191" s="1"/>
  <c r="A637" i="191" s="1"/>
  <c r="A638" i="191" s="1"/>
  <c r="A639" i="191" s="1"/>
  <c r="A640" i="191" s="1"/>
  <c r="A641" i="191" s="1"/>
  <c r="A642" i="191" s="1"/>
  <c r="A643" i="191" s="1"/>
  <c r="A644" i="191" s="1"/>
  <c r="A645" i="191" s="1"/>
  <c r="A646" i="191" s="1"/>
  <c r="A647" i="191" s="1"/>
  <c r="A648" i="191" s="1"/>
  <c r="A649" i="191" s="1"/>
  <c r="A650" i="191" s="1"/>
  <c r="A651" i="191" s="1"/>
  <c r="A652" i="191" s="1"/>
  <c r="A653" i="191" s="1"/>
  <c r="A654" i="191" s="1"/>
  <c r="A655" i="191" s="1"/>
  <c r="A656" i="191" s="1"/>
  <c r="A657" i="191" s="1"/>
  <c r="A658" i="191" s="1"/>
  <c r="A659" i="191" s="1"/>
  <c r="A660" i="191" s="1"/>
  <c r="A661" i="191" s="1"/>
  <c r="A662" i="191" s="1"/>
  <c r="A663" i="191" s="1"/>
  <c r="A664" i="191" s="1"/>
  <c r="A665" i="191" s="1"/>
  <c r="A666" i="191" s="1"/>
  <c r="A667" i="191" s="1"/>
  <c r="A668" i="191" s="1"/>
  <c r="A669" i="191" s="1"/>
  <c r="A670" i="191" s="1"/>
  <c r="A671" i="191" s="1"/>
  <c r="A672" i="191" s="1"/>
  <c r="A673" i="191" s="1"/>
  <c r="A674" i="191" s="1"/>
  <c r="A675" i="191" s="1"/>
  <c r="A676" i="191" s="1"/>
  <c r="A677" i="191" s="1"/>
  <c r="A678" i="191" s="1"/>
  <c r="A679" i="191" s="1"/>
  <c r="A680" i="191" s="1"/>
  <c r="A681" i="191" s="1"/>
  <c r="A682" i="191" s="1"/>
  <c r="A683" i="191" s="1"/>
  <c r="A684" i="191" s="1"/>
  <c r="A685" i="191" s="1"/>
  <c r="A686" i="191" s="1"/>
  <c r="A687" i="191" s="1"/>
  <c r="A688" i="191" s="1"/>
  <c r="A689" i="191" s="1"/>
  <c r="A690" i="191" s="1"/>
  <c r="A691" i="191" s="1"/>
  <c r="A692" i="191" s="1"/>
  <c r="A693" i="191" s="1"/>
  <c r="A694" i="191" s="1"/>
  <c r="A695" i="191" s="1"/>
  <c r="A696" i="191" s="1"/>
  <c r="A697" i="191" s="1"/>
  <c r="A698" i="191" s="1"/>
  <c r="A699" i="191" s="1"/>
  <c r="A700" i="191" s="1"/>
  <c r="A701" i="191" s="1"/>
  <c r="A702" i="191" s="1"/>
  <c r="A703" i="191" s="1"/>
  <c r="A704" i="191" s="1"/>
  <c r="A705" i="191" s="1"/>
  <c r="A706" i="191" s="1"/>
  <c r="A707" i="191" s="1"/>
  <c r="A708" i="191" s="1"/>
  <c r="A709" i="191" s="1"/>
  <c r="A710" i="191" s="1"/>
  <c r="A711" i="191" s="1"/>
  <c r="A712" i="191" s="1"/>
  <c r="A713" i="191" s="1"/>
  <c r="A714" i="191" s="1"/>
  <c r="A715" i="191" s="1"/>
  <c r="A716" i="191" s="1"/>
  <c r="A717" i="191" s="1"/>
  <c r="A718" i="191" s="1"/>
  <c r="A719" i="191" s="1"/>
  <c r="A720" i="191" s="1"/>
  <c r="A721" i="191" s="1"/>
  <c r="A722" i="191" s="1"/>
  <c r="A723" i="191" s="1"/>
  <c r="A724" i="191" s="1"/>
  <c r="A725" i="191" s="1"/>
  <c r="A726" i="191" s="1"/>
  <c r="A727" i="191" s="1"/>
  <c r="A728" i="191" s="1"/>
  <c r="A729" i="191" s="1"/>
  <c r="A730" i="191" s="1"/>
  <c r="A731" i="191" s="1"/>
  <c r="A732" i="191" s="1"/>
  <c r="A733" i="191" s="1"/>
  <c r="A734" i="191" s="1"/>
  <c r="A735" i="191" s="1"/>
  <c r="A736" i="191" s="1"/>
  <c r="A737" i="191" s="1"/>
  <c r="A738" i="191" s="1"/>
  <c r="A739" i="191" s="1"/>
  <c r="A740" i="191" s="1"/>
  <c r="A741" i="191" s="1"/>
  <c r="A742" i="191" s="1"/>
  <c r="A743" i="191" s="1"/>
  <c r="A744" i="191" s="1"/>
  <c r="A745" i="191" s="1"/>
  <c r="A746" i="191" s="1"/>
  <c r="A747" i="191" s="1"/>
  <c r="A748" i="191" s="1"/>
  <c r="A749" i="191" s="1"/>
  <c r="A750" i="191" s="1"/>
  <c r="A751" i="191" s="1"/>
  <c r="A752" i="191" s="1"/>
  <c r="A753" i="191" s="1"/>
  <c r="A754" i="191" s="1"/>
  <c r="A755" i="191" s="1"/>
  <c r="A756" i="191" s="1"/>
  <c r="A757" i="191" s="1"/>
  <c r="A758" i="191" s="1"/>
  <c r="A759" i="191" s="1"/>
  <c r="A760" i="191" s="1"/>
  <c r="A761" i="191" s="1"/>
  <c r="A762" i="191" s="1"/>
  <c r="A763" i="191" s="1"/>
  <c r="A764" i="191" s="1"/>
  <c r="A765" i="191" s="1"/>
  <c r="A766" i="191" s="1"/>
  <c r="A767" i="191" s="1"/>
  <c r="A768" i="191" s="1"/>
  <c r="A769" i="191" s="1"/>
  <c r="A770" i="191" s="1"/>
  <c r="A771" i="191" s="1"/>
  <c r="A772" i="191" s="1"/>
  <c r="A773" i="191" s="1"/>
  <c r="A774" i="191" s="1"/>
  <c r="A775" i="191" s="1"/>
  <c r="A776" i="191" s="1"/>
  <c r="A777" i="191" s="1"/>
  <c r="A778" i="191" s="1"/>
  <c r="A779" i="191" s="1"/>
  <c r="A780" i="191" s="1"/>
  <c r="A781" i="191" s="1"/>
  <c r="A782" i="191" s="1"/>
  <c r="A783" i="191" s="1"/>
  <c r="A784" i="191" s="1"/>
  <c r="A785" i="191" s="1"/>
  <c r="A786" i="191" s="1"/>
  <c r="A787" i="191" s="1"/>
  <c r="A788" i="191" s="1"/>
  <c r="A789" i="191" s="1"/>
  <c r="A790" i="191" s="1"/>
  <c r="A791" i="191" s="1"/>
  <c r="A792" i="191" s="1"/>
  <c r="A793" i="191" s="1"/>
  <c r="A794" i="191" s="1"/>
  <c r="A795" i="191" s="1"/>
  <c r="A796" i="191" s="1"/>
  <c r="A797" i="191" s="1"/>
  <c r="A798" i="191" s="1"/>
  <c r="A799" i="191" s="1"/>
  <c r="A800" i="191" s="1"/>
  <c r="A801" i="191" s="1"/>
  <c r="A802" i="191" s="1"/>
  <c r="A803" i="191" s="1"/>
  <c r="A804" i="191" s="1"/>
  <c r="A805" i="191" s="1"/>
  <c r="A806" i="191" s="1"/>
  <c r="A807" i="191" s="1"/>
  <c r="A808" i="191" s="1"/>
  <c r="A809" i="191" s="1"/>
  <c r="A810" i="191" s="1"/>
  <c r="A811" i="191" s="1"/>
  <c r="A812" i="191" s="1"/>
  <c r="A813" i="191" s="1"/>
  <c r="A814" i="191" s="1"/>
  <c r="A815" i="191" s="1"/>
  <c r="A816" i="191" s="1"/>
  <c r="A817" i="191" s="1"/>
  <c r="A818" i="191" s="1"/>
  <c r="A819" i="191" s="1"/>
  <c r="A820" i="191" s="1"/>
  <c r="A821" i="191" s="1"/>
  <c r="A822" i="191" s="1"/>
  <c r="A823" i="191" s="1"/>
  <c r="A824" i="191" s="1"/>
  <c r="A825" i="191" s="1"/>
  <c r="A826" i="191" s="1"/>
  <c r="A827" i="191" s="1"/>
  <c r="A828" i="191" s="1"/>
  <c r="A829" i="191" s="1"/>
  <c r="A830" i="191" s="1"/>
  <c r="A831" i="191" s="1"/>
  <c r="A832" i="191" s="1"/>
  <c r="A833" i="191" s="1"/>
  <c r="A834" i="191" s="1"/>
  <c r="A835" i="191" s="1"/>
  <c r="A836" i="191" s="1"/>
  <c r="A837" i="191" s="1"/>
  <c r="A838" i="191" s="1"/>
  <c r="A839" i="191" s="1"/>
  <c r="A840" i="191" s="1"/>
  <c r="A841" i="191" s="1"/>
  <c r="A842" i="191" s="1"/>
  <c r="A843" i="191" s="1"/>
  <c r="A844" i="191" s="1"/>
  <c r="A845" i="191" s="1"/>
  <c r="A846" i="191" s="1"/>
  <c r="A847" i="191" s="1"/>
  <c r="A848" i="191" s="1"/>
  <c r="A849" i="191" s="1"/>
  <c r="A850" i="191" s="1"/>
  <c r="A851" i="191" s="1"/>
  <c r="A852" i="191" s="1"/>
  <c r="A853" i="191" s="1"/>
  <c r="A854" i="191" s="1"/>
  <c r="A855" i="191" s="1"/>
  <c r="A856" i="191" s="1"/>
  <c r="A857" i="191" s="1"/>
  <c r="A858" i="191" s="1"/>
  <c r="A859" i="191" s="1"/>
  <c r="A860" i="191" s="1"/>
  <c r="A861" i="191" s="1"/>
  <c r="A862" i="191" s="1"/>
  <c r="A863" i="191" s="1"/>
  <c r="A864" i="191" s="1"/>
  <c r="A865" i="191" s="1"/>
  <c r="A866" i="191" s="1"/>
  <c r="A867" i="191" s="1"/>
  <c r="A868" i="191" s="1"/>
  <c r="A869" i="191" s="1"/>
  <c r="A870" i="191" s="1"/>
  <c r="A871" i="191" s="1"/>
  <c r="A872" i="191" s="1"/>
  <c r="A873" i="191" s="1"/>
  <c r="A874" i="191" s="1"/>
  <c r="A875" i="191" s="1"/>
  <c r="A876" i="191" s="1"/>
  <c r="A877" i="191" s="1"/>
  <c r="A878" i="191" s="1"/>
  <c r="A879" i="191" s="1"/>
  <c r="A880" i="191" s="1"/>
  <c r="A881" i="191" s="1"/>
  <c r="A882" i="191" s="1"/>
  <c r="A883" i="191" s="1"/>
  <c r="A884" i="191" s="1"/>
  <c r="A885" i="191" s="1"/>
  <c r="A886" i="191" s="1"/>
  <c r="A887" i="191" s="1"/>
  <c r="A888" i="191" s="1"/>
  <c r="A889" i="191" s="1"/>
  <c r="A890" i="191" s="1"/>
  <c r="A891" i="191" s="1"/>
  <c r="A892" i="191" s="1"/>
  <c r="A893" i="191" s="1"/>
  <c r="A894" i="191" s="1"/>
  <c r="A895" i="191" s="1"/>
  <c r="A896" i="191" s="1"/>
  <c r="A897" i="191" s="1"/>
  <c r="A898" i="191" s="1"/>
  <c r="A899" i="191" s="1"/>
  <c r="A900" i="191" s="1"/>
  <c r="A901" i="191" s="1"/>
  <c r="A902" i="191" s="1"/>
  <c r="A903" i="191" s="1"/>
  <c r="A904" i="191" s="1"/>
  <c r="A905" i="191" s="1"/>
  <c r="A906" i="191" s="1"/>
  <c r="A907" i="191" s="1"/>
  <c r="A908" i="191" s="1"/>
  <c r="A909" i="191" s="1"/>
  <c r="A910" i="191" s="1"/>
  <c r="A911" i="191" s="1"/>
  <c r="A912" i="191" s="1"/>
  <c r="A913" i="191" s="1"/>
  <c r="A914" i="191" s="1"/>
  <c r="A915" i="191" s="1"/>
  <c r="A916" i="191" s="1"/>
  <c r="A917" i="191" s="1"/>
  <c r="A918" i="191" s="1"/>
  <c r="A919" i="191" s="1"/>
  <c r="A920" i="191" s="1"/>
  <c r="A921" i="191" s="1"/>
  <c r="A922" i="191" s="1"/>
  <c r="A923" i="191" s="1"/>
  <c r="A924" i="191" s="1"/>
  <c r="A925" i="191" s="1"/>
  <c r="A926" i="191" s="1"/>
  <c r="A927" i="191" s="1"/>
  <c r="A928" i="191" s="1"/>
  <c r="A929" i="191" s="1"/>
  <c r="A930" i="191" s="1"/>
  <c r="A931" i="191" s="1"/>
  <c r="A932" i="191" s="1"/>
  <c r="A933" i="191" s="1"/>
  <c r="A934" i="191" s="1"/>
  <c r="A935" i="191" s="1"/>
  <c r="A936" i="191" s="1"/>
  <c r="A937" i="191" s="1"/>
  <c r="A938" i="191" s="1"/>
  <c r="A939" i="191" s="1"/>
  <c r="A940" i="191" s="1"/>
  <c r="A941" i="191" s="1"/>
  <c r="A942" i="191" s="1"/>
  <c r="A943" i="191" s="1"/>
  <c r="A944" i="191" s="1"/>
  <c r="A945" i="191" s="1"/>
  <c r="A946" i="191" s="1"/>
  <c r="A947" i="191" s="1"/>
  <c r="A948" i="191" s="1"/>
  <c r="A949" i="191" s="1"/>
  <c r="A950" i="191" s="1"/>
  <c r="A951" i="191" s="1"/>
  <c r="A952" i="191" s="1"/>
  <c r="A953" i="191" s="1"/>
  <c r="A954" i="191" s="1"/>
  <c r="A955" i="191" s="1"/>
  <c r="A956" i="191" s="1"/>
  <c r="A957" i="191" s="1"/>
  <c r="A958" i="191" s="1"/>
  <c r="A959" i="191" s="1"/>
  <c r="A960" i="191" s="1"/>
  <c r="A961" i="191" s="1"/>
  <c r="A962" i="191" s="1"/>
  <c r="A963" i="191" s="1"/>
  <c r="A964" i="191" s="1"/>
  <c r="A965" i="191" s="1"/>
  <c r="A966" i="191" s="1"/>
  <c r="A967" i="191" s="1"/>
  <c r="A968" i="191" s="1"/>
  <c r="A969" i="191" s="1"/>
  <c r="A970" i="191" s="1"/>
  <c r="A971" i="191" s="1"/>
  <c r="A972" i="191" s="1"/>
  <c r="A973" i="191" s="1"/>
  <c r="A974" i="191" s="1"/>
  <c r="A975" i="191" s="1"/>
  <c r="A976" i="191" s="1"/>
  <c r="A977" i="191" s="1"/>
  <c r="A978" i="191" s="1"/>
  <c r="A979" i="191" s="1"/>
  <c r="A980" i="191" s="1"/>
  <c r="A981" i="191" s="1"/>
  <c r="A982" i="191" s="1"/>
  <c r="A983" i="191" s="1"/>
  <c r="A984" i="191" s="1"/>
  <c r="A985" i="191" s="1"/>
  <c r="A986" i="191" s="1"/>
  <c r="A987" i="191" s="1"/>
  <c r="A988" i="191" s="1"/>
  <c r="A989" i="191" s="1"/>
  <c r="A990" i="191" s="1"/>
  <c r="A991" i="191" s="1"/>
  <c r="A992" i="191" s="1"/>
  <c r="A993" i="191" s="1"/>
  <c r="A994" i="191" s="1"/>
  <c r="A995" i="191" s="1"/>
  <c r="A996" i="191" s="1"/>
  <c r="A997" i="191" s="1"/>
  <c r="A998" i="191" s="1"/>
  <c r="A999" i="191" s="1"/>
  <c r="A1000" i="191" s="1"/>
  <c r="A1001" i="191" s="1"/>
  <c r="A1002" i="191" s="1"/>
  <c r="A1003" i="191" s="1"/>
  <c r="A1004" i="191" s="1"/>
  <c r="A1005" i="191" s="1"/>
  <c r="A1006" i="191" s="1"/>
  <c r="A1007" i="191" s="1"/>
  <c r="A1008" i="191" s="1"/>
  <c r="A1009" i="191" s="1"/>
  <c r="A1010" i="191" s="1"/>
  <c r="A1011" i="191" s="1"/>
  <c r="A1012" i="191" s="1"/>
  <c r="A1013" i="191" s="1"/>
  <c r="A1014" i="191" s="1"/>
  <c r="A1015" i="191" s="1"/>
  <c r="A1016" i="191" s="1"/>
  <c r="A1017" i="191" s="1"/>
  <c r="A1018" i="191" s="1"/>
  <c r="A1019" i="191" s="1"/>
  <c r="A1020" i="191" s="1"/>
  <c r="A1021" i="191" s="1"/>
  <c r="A1022" i="191" s="1"/>
  <c r="A1023" i="191" s="1"/>
  <c r="A1024" i="191" s="1"/>
  <c r="A1025" i="191" s="1"/>
  <c r="A1026" i="191" s="1"/>
  <c r="A1027" i="191" s="1"/>
  <c r="A1028" i="191" s="1"/>
  <c r="A1029" i="191" s="1"/>
  <c r="A1030" i="191" s="1"/>
  <c r="A1031" i="191" s="1"/>
  <c r="A1032" i="191" s="1"/>
  <c r="A1033" i="191" s="1"/>
  <c r="A1034" i="191" s="1"/>
  <c r="A1035" i="191" s="1"/>
  <c r="A1036" i="191" s="1"/>
  <c r="A1037" i="191" s="1"/>
  <c r="A1038" i="191" s="1"/>
  <c r="A1039" i="191" s="1"/>
  <c r="A1040" i="191" s="1"/>
  <c r="A1041" i="191" s="1"/>
  <c r="A1042" i="191" s="1"/>
  <c r="A1043" i="191" s="1"/>
  <c r="A1044" i="191" s="1"/>
  <c r="A1045" i="191" s="1"/>
  <c r="A1046" i="191" s="1"/>
  <c r="A1047" i="191" s="1"/>
  <c r="A1048" i="191" s="1"/>
  <c r="A1049" i="191" s="1"/>
  <c r="A1050" i="191" s="1"/>
  <c r="A1051" i="191" s="1"/>
  <c r="A1052" i="191" s="1"/>
  <c r="A1053" i="191" s="1"/>
  <c r="A1054" i="191" s="1"/>
  <c r="A1055" i="191" s="1"/>
  <c r="A1056" i="191" s="1"/>
  <c r="A1057" i="191" s="1"/>
  <c r="A1058" i="191" s="1"/>
  <c r="A1059" i="191" s="1"/>
  <c r="A1060" i="191" s="1"/>
  <c r="A1061" i="191" s="1"/>
  <c r="A1062" i="191" s="1"/>
  <c r="A1063" i="191" s="1"/>
  <c r="A1064" i="191" s="1"/>
  <c r="A1065" i="191" s="1"/>
  <c r="A1066" i="191" s="1"/>
  <c r="A1067" i="191" s="1"/>
  <c r="A1068" i="191" s="1"/>
  <c r="A1069" i="191" s="1"/>
  <c r="A1070" i="191" s="1"/>
  <c r="A1071" i="191" s="1"/>
  <c r="A1072" i="191" s="1"/>
  <c r="A1073" i="191" s="1"/>
  <c r="A1074" i="191" s="1"/>
  <c r="A1075" i="191" s="1"/>
  <c r="A1076" i="191" s="1"/>
  <c r="A1077" i="191" s="1"/>
  <c r="A1078" i="191" s="1"/>
  <c r="G8" i="198" l="1"/>
  <c r="H8" i="198" l="1"/>
  <c r="M8" i="198" s="1"/>
  <c r="D13" i="198"/>
  <c r="J11" i="198" l="1"/>
  <c r="J10" i="198"/>
  <c r="J8" i="198"/>
  <c r="J9" i="198"/>
  <c r="G6" i="198"/>
  <c r="H6" i="198"/>
  <c r="J6" i="198"/>
  <c r="J7" i="198"/>
  <c r="J5" i="198"/>
  <c r="M6" i="198" l="1"/>
  <c r="G7" i="198"/>
  <c r="H7" i="198"/>
  <c r="J13" i="198"/>
  <c r="M7" i="198" l="1"/>
  <c r="G5" i="198"/>
  <c r="H5" i="198"/>
  <c r="M5" i="198" l="1"/>
  <c r="G13" i="198"/>
  <c r="AG6" i="189" l="1"/>
  <c r="AO6" i="189" s="1"/>
  <c r="AH5" i="189"/>
  <c r="AG5" i="189"/>
  <c r="AH6" i="189"/>
  <c r="AG58" i="189" l="1"/>
  <c r="E10" i="198" s="1"/>
  <c r="AH58" i="189"/>
  <c r="AO5" i="189"/>
  <c r="Z4" i="193" l="1"/>
  <c r="AG4" i="193" s="1"/>
  <c r="AO4" i="193" l="1"/>
  <c r="AH14" i="193"/>
  <c r="Z7" i="193"/>
  <c r="AG7" i="193" s="1"/>
  <c r="AO7" i="193" s="1"/>
  <c r="Z8" i="193"/>
  <c r="AG8" i="193" s="1"/>
  <c r="AO8" i="193" s="1"/>
  <c r="Z11" i="193"/>
  <c r="AG11" i="193" s="1"/>
  <c r="AO11" i="193" s="1"/>
  <c r="Z5" i="193"/>
  <c r="AG5" i="193" s="1"/>
  <c r="AO5" i="193" s="1"/>
  <c r="Z9" i="193"/>
  <c r="AG9" i="193" s="1"/>
  <c r="AO9" i="193" s="1"/>
  <c r="Z10" i="193"/>
  <c r="AG10" i="193" s="1"/>
  <c r="AO10" i="193" s="1"/>
  <c r="Z12" i="193"/>
  <c r="AG12" i="193" s="1"/>
  <c r="AO12" i="193" s="1"/>
  <c r="Z6" i="193"/>
  <c r="AG6" i="193" s="1"/>
  <c r="AO6" i="193" s="1"/>
  <c r="AG14" i="193" l="1"/>
  <c r="E11" i="198" s="1"/>
  <c r="H11" i="198" l="1"/>
  <c r="E13" i="198"/>
  <c r="E15" i="198" s="1"/>
  <c r="M11" i="198" l="1"/>
  <c r="H13" i="198"/>
  <c r="H15" i="198" s="1"/>
  <c r="K8" i="198"/>
  <c r="K9" i="198"/>
  <c r="K10" i="198"/>
  <c r="K7" i="198"/>
  <c r="K5" i="198"/>
  <c r="K6" i="198"/>
  <c r="K11" i="198"/>
  <c r="F13" i="198"/>
  <c r="K13" i="198" l="1"/>
</calcChain>
</file>

<file path=xl/comments1.xml><?xml version="1.0" encoding="utf-8"?>
<comments xmlns="http://schemas.openxmlformats.org/spreadsheetml/2006/main">
  <authors>
    <author>Yin Phary</author>
    <author>HR01</author>
  </authors>
  <commentList>
    <comment ref="B48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ឈិវ ទុំ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CHANGED NAME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</t>
        </r>
      </text>
    </comment>
    <comment ref="B281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Yin Phary</author>
  </authors>
  <commentList>
    <comment ref="B12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</t>
        </r>
      </text>
    </comment>
  </commentList>
</comments>
</file>

<file path=xl/comments3.xml><?xml version="1.0" encoding="utf-8"?>
<comments xmlns="http://schemas.openxmlformats.org/spreadsheetml/2006/main">
  <authors>
    <author>Yin Phary</author>
  </authors>
  <commentList>
    <comment ref="B28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</commentList>
</comments>
</file>

<file path=xl/comments4.xml><?xml version="1.0" encoding="utf-8"?>
<comments xmlns="http://schemas.openxmlformats.org/spreadsheetml/2006/main">
  <authors>
    <author>Yin Phary</author>
    <author>HR01</author>
  </authors>
  <commentList>
    <comment ref="B24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ឈិវ ទុំ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CHANGED NAME</t>
        </r>
      </text>
    </comment>
    <comment ref="B196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Yin Phary</author>
    <author>HR01</author>
    <author>HR04</author>
  </authors>
  <commentList>
    <comment ref="C57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ឈិវ ទុំ</t>
        </r>
      </text>
    </comment>
    <comment ref="C64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C151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</t>
        </r>
      </text>
    </comment>
    <comment ref="C155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CHANGED NAME</t>
        </r>
      </text>
    </comment>
    <comment ref="C157" authorId="0" shapeId="0">
      <text>
        <r>
          <rPr>
            <b/>
            <sz val="9"/>
            <color indexed="81"/>
            <rFont val="Tahoma"/>
            <family val="2"/>
          </rPr>
          <t>Yin Phary:</t>
        </r>
        <r>
          <rPr>
            <sz val="9"/>
            <color indexed="81"/>
            <rFont val="Tahoma"/>
            <family val="2"/>
          </rPr>
          <t xml:space="preserve">
Change name </t>
        </r>
      </text>
    </comment>
    <comment ref="C578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</text>
    </comment>
    <comment ref="C579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0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0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C581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1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2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2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3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4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5" authorId="1" shapeId="0">
      <text>
        <r>
          <rPr>
            <b/>
            <sz val="9"/>
            <color indexed="81"/>
            <rFont val="Tahoma"/>
            <family val="2"/>
          </rPr>
          <t>Create new personal history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59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68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H697" authorId="1" shapeId="0">
      <text>
        <r>
          <rPr>
            <sz val="9"/>
            <color indexed="81"/>
            <rFont val="Tahoma"/>
            <family val="2"/>
          </rPr>
          <t xml:space="preserve">WRONG SPELLING IN KHMER ID
</t>
        </r>
      </text>
    </comment>
    <comment ref="D702" authorId="1" shapeId="0">
      <text>
        <r>
          <rPr>
            <b/>
            <sz val="9"/>
            <color indexed="81"/>
            <rFont val="Tahoma"/>
            <family val="2"/>
          </rPr>
          <t>CANNOT 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15" authorId="1" shapeId="0">
      <text>
        <r>
          <rPr>
            <b/>
            <sz val="9"/>
            <color indexed="81"/>
            <rFont val="Tahoma"/>
            <family val="2"/>
          </rPr>
          <t>CANNOT SEE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27" authorId="2" shapeId="0">
      <text>
        <r>
          <rPr>
            <b/>
            <sz val="9"/>
            <color indexed="81"/>
            <rFont val="Tahoma"/>
            <family val="2"/>
          </rPr>
          <t>ចុង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44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758" authorId="1" shapeId="0">
      <text>
        <r>
          <rPr>
            <b/>
            <sz val="9"/>
            <color indexed="81"/>
            <rFont val="Tahoma"/>
            <family val="2"/>
          </rPr>
          <t>CODE 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59" authorId="1" shapeId="0">
      <text>
        <r>
          <rPr>
            <b/>
            <sz val="9"/>
            <color indexed="81"/>
            <rFont val="Tahoma"/>
            <family val="2"/>
          </rPr>
          <t>CODE 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02" authorId="1" shapeId="0">
      <text>
        <r>
          <rPr>
            <b/>
            <sz val="9"/>
            <color indexed="81"/>
            <rFont val="Tahoma"/>
            <family val="2"/>
          </rPr>
          <t>FROM KHMER ID</t>
        </r>
      </text>
    </comment>
    <comment ref="D811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820" authorId="1" shapeId="0">
      <text>
        <r>
          <rPr>
            <sz val="9"/>
            <color indexed="81"/>
            <rFont val="Tahoma"/>
            <family val="2"/>
          </rPr>
          <t xml:space="preserve">CANNOT SEE CODE
</t>
        </r>
      </text>
    </comment>
    <comment ref="D878" authorId="1" shapeId="0">
      <text>
        <r>
          <rPr>
            <b/>
            <sz val="9"/>
            <color indexed="81"/>
            <rFont val="Tahoma"/>
            <family val="2"/>
          </rPr>
          <t>NOT CLEAR</t>
        </r>
      </text>
    </comment>
    <comment ref="D890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8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E994" authorId="1" shapeId="0">
      <text>
        <r>
          <rPr>
            <sz val="9"/>
            <color indexed="81"/>
            <rFont val="Tahoma"/>
            <family val="2"/>
          </rPr>
          <t xml:space="preserve">CANNOT SEE IN khmer id. Get from application form
</t>
        </r>
      </text>
    </comment>
    <comment ref="D1029" authorId="1" shapeId="0">
      <text>
        <r>
          <rPr>
            <sz val="9"/>
            <color indexed="81"/>
            <rFont val="Tahoma"/>
            <family val="2"/>
          </rPr>
          <t xml:space="preserve">NOT CLEAR
</t>
        </r>
      </text>
    </comment>
    <comment ref="D1052" authorId="1" shapeId="0">
      <text>
        <r>
          <rPr>
            <b/>
            <sz val="9"/>
            <color indexed="81"/>
            <rFont val="Tahoma"/>
            <family val="2"/>
          </rPr>
          <t>NOT CLEAR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59" authorId="1" shapeId="0">
      <text>
        <r>
          <rPr>
            <b/>
            <sz val="9"/>
            <color indexed="81"/>
            <rFont val="Tahoma"/>
            <family val="2"/>
          </rPr>
          <t xml:space="preserve">TAKE TO SHOP 2 TO COMPLETE TO FIND OUT THE APPLICATION FORM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76" authorId="1" shapeId="0">
      <text>
        <r>
          <rPr>
            <sz val="9"/>
            <color indexed="81"/>
            <rFont val="Tahoma"/>
            <family val="2"/>
          </rPr>
          <t xml:space="preserve">3764/3686
</t>
        </r>
      </text>
    </comment>
  </commentList>
</comments>
</file>

<file path=xl/sharedStrings.xml><?xml version="1.0" encoding="utf-8"?>
<sst xmlns="http://schemas.openxmlformats.org/spreadsheetml/2006/main" count="28373" uniqueCount="6618">
  <si>
    <t>Position</t>
  </si>
  <si>
    <t>Join Date</t>
  </si>
  <si>
    <t>Seniority</t>
  </si>
  <si>
    <t>Skill</t>
  </si>
  <si>
    <t>Language</t>
  </si>
  <si>
    <t>Leader Cutting</t>
  </si>
  <si>
    <t>Assist. Cutting</t>
  </si>
  <si>
    <t>Leader Sample</t>
  </si>
  <si>
    <t>Doctor</t>
  </si>
  <si>
    <t>IT</t>
  </si>
  <si>
    <t>Thouk</t>
  </si>
  <si>
    <t>Thy</t>
  </si>
  <si>
    <t>Cutting Table</t>
  </si>
  <si>
    <t>Cutting  A</t>
  </si>
  <si>
    <t>MENG</t>
  </si>
  <si>
    <t>RATHA</t>
  </si>
  <si>
    <t>BUN</t>
  </si>
  <si>
    <t>SREI  KHIM</t>
  </si>
  <si>
    <t>YAUN</t>
  </si>
  <si>
    <t>SAMOEUN</t>
  </si>
  <si>
    <t>SOUY</t>
  </si>
  <si>
    <t>VANDY</t>
  </si>
  <si>
    <t>NEANG</t>
  </si>
  <si>
    <t>POCH</t>
  </si>
  <si>
    <t>QC</t>
  </si>
  <si>
    <t>QC Garment A</t>
  </si>
  <si>
    <t>LEAM</t>
  </si>
  <si>
    <t>VY</t>
  </si>
  <si>
    <t>SRY</t>
  </si>
  <si>
    <t>LEANG</t>
  </si>
  <si>
    <t>Ngy</t>
  </si>
  <si>
    <t>Lady</t>
  </si>
  <si>
    <t>Cut and Sew</t>
  </si>
  <si>
    <t>LOCH</t>
  </si>
  <si>
    <t>TAB</t>
  </si>
  <si>
    <t>MEN</t>
  </si>
  <si>
    <t>Ra</t>
  </si>
  <si>
    <t>Kuy</t>
  </si>
  <si>
    <t>Khley</t>
  </si>
  <si>
    <t>Prom</t>
  </si>
  <si>
    <t>Boeun</t>
  </si>
  <si>
    <t>Sao</t>
  </si>
  <si>
    <t>Tap</t>
  </si>
  <si>
    <t>Seng</t>
  </si>
  <si>
    <t>Sokha</t>
  </si>
  <si>
    <t xml:space="preserve">Cutting  </t>
  </si>
  <si>
    <t>Bou</t>
  </si>
  <si>
    <t>Sak</t>
  </si>
  <si>
    <t>Chan</t>
  </si>
  <si>
    <t>Ty</t>
  </si>
  <si>
    <t>Born</t>
  </si>
  <si>
    <t>Rikreay</t>
  </si>
  <si>
    <t>Sov</t>
  </si>
  <si>
    <t>Van</t>
  </si>
  <si>
    <t>Lau</t>
  </si>
  <si>
    <t>Leak</t>
  </si>
  <si>
    <t>Man</t>
  </si>
  <si>
    <t>Sary</t>
  </si>
  <si>
    <t>Dy</t>
  </si>
  <si>
    <t>Sina</t>
  </si>
  <si>
    <t>ល.រ</t>
  </si>
  <si>
    <t>គោត្តនាមឡាតាំង</t>
  </si>
  <si>
    <t>នាមឡាតាំង</t>
  </si>
  <si>
    <t>ថ្ងៃខែឆ្នាំកំណើត</t>
  </si>
  <si>
    <t>កាលបរិ. ចូលធ្វើការ</t>
  </si>
  <si>
    <t>ក្រុម</t>
  </si>
  <si>
    <t>តួនាទី</t>
  </si>
  <si>
    <t>Nº</t>
  </si>
  <si>
    <t>Factory ID</t>
  </si>
  <si>
    <t>Khmer Name</t>
  </si>
  <si>
    <t>English Sure name</t>
  </si>
  <si>
    <t>Birth of Date</t>
  </si>
  <si>
    <t>Department</t>
  </si>
  <si>
    <t>Basic</t>
  </si>
  <si>
    <t>Housing &amp;Transportation</t>
  </si>
  <si>
    <t>Motivation</t>
  </si>
  <si>
    <t>Total</t>
  </si>
  <si>
    <t>NOL</t>
  </si>
  <si>
    <t>MEGNHOUY</t>
  </si>
  <si>
    <t>Administration</t>
  </si>
  <si>
    <t>Warehouse Trims</t>
  </si>
  <si>
    <t>PHON</t>
  </si>
  <si>
    <t>PHEARA</t>
  </si>
  <si>
    <t>Loading</t>
  </si>
  <si>
    <t>Oem</t>
  </si>
  <si>
    <t>The</t>
  </si>
  <si>
    <t>Warehouse</t>
  </si>
  <si>
    <t>Phang</t>
  </si>
  <si>
    <t>Huy</t>
  </si>
  <si>
    <t>Ly</t>
  </si>
  <si>
    <t>Rang</t>
  </si>
  <si>
    <t>Long</t>
  </si>
  <si>
    <t>Sokun</t>
  </si>
  <si>
    <t>Srey</t>
  </si>
  <si>
    <t>Phearun</t>
  </si>
  <si>
    <t>Kim</t>
  </si>
  <si>
    <t>Srey Houch</t>
  </si>
  <si>
    <t>RIN</t>
  </si>
  <si>
    <t>CHANTHA</t>
  </si>
  <si>
    <t>Ouk</t>
  </si>
  <si>
    <t>Molika</t>
  </si>
  <si>
    <t>Admin &amp; Nurse</t>
  </si>
  <si>
    <t>chhorn</t>
  </si>
  <si>
    <t>Vay</t>
  </si>
  <si>
    <t>Sum</t>
  </si>
  <si>
    <t>Hing</t>
  </si>
  <si>
    <t>Sorn</t>
  </si>
  <si>
    <t>Phary</t>
  </si>
  <si>
    <t>Chivkun</t>
  </si>
  <si>
    <t>Han</t>
  </si>
  <si>
    <t>Nak</t>
  </si>
  <si>
    <t>Sann</t>
  </si>
  <si>
    <t>Sodom</t>
  </si>
  <si>
    <t>Hang</t>
  </si>
  <si>
    <t>Vanna</t>
  </si>
  <si>
    <t>Yan</t>
  </si>
  <si>
    <t>Salary Report 2019</t>
  </si>
  <si>
    <t>姓名</t>
  </si>
  <si>
    <t>底薪</t>
    <phoneticPr fontId="8" type="noConversion"/>
  </si>
  <si>
    <t>工齡</t>
    <phoneticPr fontId="8" type="noConversion"/>
  </si>
  <si>
    <t>技能</t>
    <phoneticPr fontId="8" type="noConversion"/>
  </si>
  <si>
    <t>職位</t>
    <phoneticPr fontId="8" type="noConversion"/>
  </si>
  <si>
    <t>全勤</t>
    <phoneticPr fontId="8" type="noConversion"/>
  </si>
  <si>
    <t>入職日期</t>
    <phoneticPr fontId="8" type="noConversion"/>
  </si>
  <si>
    <t>崗位名稱</t>
    <phoneticPr fontId="8" type="noConversion"/>
  </si>
  <si>
    <t>លេខកូត VRT</t>
  </si>
  <si>
    <t>អត្ត.ប.ស.ស</t>
  </si>
  <si>
    <t>អត្ត.ប្រជាពលរដ្ឋ</t>
  </si>
  <si>
    <t>គោត្តនាម</t>
  </si>
  <si>
    <t>នាម</t>
  </si>
  <si>
    <t>ភេទ</t>
  </si>
  <si>
    <t>សញ្ជាតិ</t>
  </si>
  <si>
    <t>កាលបរិ. កិច្ចសន្យាចាស់</t>
  </si>
  <si>
    <t>រោងចក្រ</t>
  </si>
  <si>
    <t>ស្ថានភាព</t>
  </si>
  <si>
    <t>កន្លែងកំណើត</t>
  </si>
  <si>
    <t>Reason of leave</t>
  </si>
  <si>
    <t>Resigned Date</t>
  </si>
  <si>
    <t>Family book</t>
  </si>
  <si>
    <t>Birth Certificate Nº</t>
  </si>
  <si>
    <t>Education</t>
  </si>
  <si>
    <t>Phone</t>
  </si>
  <si>
    <t>sßanPaBRKYsar</t>
  </si>
  <si>
    <t>Health Certificate</t>
  </si>
  <si>
    <t>Health Certificate Number</t>
  </si>
  <si>
    <t>Work book</t>
  </si>
  <si>
    <t>Address</t>
  </si>
  <si>
    <t>VRT Code</t>
  </si>
  <si>
    <t>Nssf Code</t>
  </si>
  <si>
    <t>ID/Pass Port No.</t>
  </si>
  <si>
    <t>Khmer Sure name</t>
  </si>
  <si>
    <t>Sex</t>
  </si>
  <si>
    <t>Nationality</t>
  </si>
  <si>
    <t>Contract date old</t>
  </si>
  <si>
    <t xml:space="preserve">Factory </t>
  </si>
  <si>
    <t>Status</t>
  </si>
  <si>
    <t>Place of Bith</t>
  </si>
  <si>
    <t>នៅលីវ</t>
  </si>
  <si>
    <t>រៀបការ</t>
  </si>
  <si>
    <t>លែងលះ</t>
  </si>
  <si>
    <t>muxrbrbþI rWRbBn§</t>
  </si>
  <si>
    <t>ទី១</t>
  </si>
  <si>
    <t>ទី២</t>
  </si>
  <si>
    <t>ទី៣</t>
  </si>
  <si>
    <t>ទី៤</t>
  </si>
  <si>
    <t>ទី៥</t>
  </si>
  <si>
    <t>ទី៦</t>
  </si>
  <si>
    <t>VRT8</t>
  </si>
  <si>
    <t>28210160398812ធ</t>
  </si>
  <si>
    <t>ញ៉ិល</t>
  </si>
  <si>
    <t>ចន័្នធា</t>
  </si>
  <si>
    <t>NHEL</t>
  </si>
  <si>
    <t>CHANTHEA</t>
  </si>
  <si>
    <t>ស្រី</t>
  </si>
  <si>
    <t>ខ្មែរ</t>
  </si>
  <si>
    <t>Cut &amp; Sew</t>
  </si>
  <si>
    <t>A</t>
  </si>
  <si>
    <t>កំពុងធ្វើការ</t>
  </si>
  <si>
    <t>ខេត្តកំពង់ចាម</t>
  </si>
  <si>
    <t>គ្មាន</t>
  </si>
  <si>
    <t>097 965 409 6</t>
  </si>
  <si>
    <t>a</t>
  </si>
  <si>
    <t>កម្មករ</t>
  </si>
  <si>
    <t>សិស្ស</t>
  </si>
  <si>
    <t>បន្ទុក</t>
  </si>
  <si>
    <t>No</t>
  </si>
  <si>
    <t xml:space="preserve">Yes </t>
  </si>
  <si>
    <t>Group13, Phum3, Sangkat1, Sihanouk ville, Sihanouk province</t>
  </si>
  <si>
    <t>VRT12</t>
  </si>
  <si>
    <t>27510160384785ម</t>
  </si>
  <si>
    <t>គឹម</t>
  </si>
  <si>
    <t>សារិន</t>
  </si>
  <si>
    <t>Koem</t>
  </si>
  <si>
    <t>Sarim</t>
  </si>
  <si>
    <t>Cleaner</t>
  </si>
  <si>
    <t>មាន</t>
  </si>
  <si>
    <t>088 909 588 0</t>
  </si>
  <si>
    <t>រត់ម៉ូតូ</t>
  </si>
  <si>
    <t>Yes</t>
  </si>
  <si>
    <t>Phum5, Sangkat4, Sihanouk ville, Sihanouk province</t>
  </si>
  <si>
    <t>VRT16</t>
  </si>
  <si>
    <t>19210160397622ថ</t>
  </si>
  <si>
    <t>ច័ន្ទថុនា</t>
  </si>
  <si>
    <t>Chanthuna</t>
  </si>
  <si>
    <t>ប្រុស</t>
  </si>
  <si>
    <t>Maker Office</t>
  </si>
  <si>
    <t>ខេត្តតាកែវ</t>
  </si>
  <si>
    <t>069 433 482</t>
  </si>
  <si>
    <t>ធ្វើការរោងចក្រ</t>
  </si>
  <si>
    <t>Group18, Phum1, Sangkat1, Khan Mittapheap, Sihanouk ville</t>
  </si>
  <si>
    <t>VRT18</t>
  </si>
  <si>
    <t>18603170680554ផ</t>
  </si>
  <si>
    <t>ធួក</t>
  </si>
  <si>
    <t>ធី</t>
  </si>
  <si>
    <t>ខេត្តព្រៃវែង</t>
  </si>
  <si>
    <t>Phum2, Sangkat1, Khan Mittapheap, Sihanouk ville</t>
  </si>
  <si>
    <t>VRT22</t>
  </si>
  <si>
    <t>28210160384722ឍ</t>
  </si>
  <si>
    <t>អ៊ឹម</t>
  </si>
  <si>
    <t>ផានី</t>
  </si>
  <si>
    <t>Im</t>
  </si>
  <si>
    <t>Phany</t>
  </si>
  <si>
    <t>Garment Line A4</t>
  </si>
  <si>
    <t>ខេត្តកំពត</t>
  </si>
  <si>
    <t>Rent house</t>
  </si>
  <si>
    <t>VRT26</t>
  </si>
  <si>
    <t>28610160384673ព</t>
  </si>
  <si>
    <t>ស្រីហួច</t>
  </si>
  <si>
    <t>097 800 3 448</t>
  </si>
  <si>
    <t>VRT28</t>
  </si>
  <si>
    <t>28203170680369ព</t>
  </si>
  <si>
    <t>ភោក</t>
  </si>
  <si>
    <t>ស៊ីណា</t>
  </si>
  <si>
    <t>Phouk</t>
  </si>
  <si>
    <t>097 738 800 9</t>
  </si>
  <si>
    <t>ពេទ្យ</t>
  </si>
  <si>
    <t>Phum2, Sangkat1, Sihanouk ville, Sihanouk province</t>
  </si>
  <si>
    <t>VRT30</t>
  </si>
  <si>
    <t>27610160397666ល</t>
  </si>
  <si>
    <t>ហៀ</t>
  </si>
  <si>
    <t>ហឿង</t>
  </si>
  <si>
    <t>Hear</t>
  </si>
  <si>
    <t>Hoeung</t>
  </si>
  <si>
    <t xml:space="preserve"> leader  apron line</t>
  </si>
  <si>
    <t>B</t>
  </si>
  <si>
    <t>087 70 99 58</t>
  </si>
  <si>
    <t>Group8, Phum3, Sangkat3, Sihanouk ville, Sihanouk province</t>
  </si>
  <si>
    <t>VRT37</t>
  </si>
  <si>
    <t>28910160384483ម</t>
  </si>
  <si>
    <t>ស្រីល័ក្ខ</t>
  </si>
  <si>
    <t>Srey Leak</t>
  </si>
  <si>
    <t>ខេត្តព្រះសីហនុ</t>
  </si>
  <si>
    <t>016 996 916</t>
  </si>
  <si>
    <t>Group19, Phum3, Sangkat1, Sihanouk ville, Sihanouk province</t>
  </si>
  <si>
    <t>VRT42</t>
  </si>
  <si>
    <t>28703170680339ម</t>
  </si>
  <si>
    <t>ប៊ុន</t>
  </si>
  <si>
    <t>គឹមសែ</t>
  </si>
  <si>
    <t>Bun</t>
  </si>
  <si>
    <t>Kimse</t>
  </si>
  <si>
    <t>Garment Line A9</t>
  </si>
  <si>
    <t xml:space="preserve"> Phum3, Sangkat3, Sihanouk ville, Sihanouk province</t>
  </si>
  <si>
    <t>VRT45</t>
  </si>
  <si>
    <t>26603170680300ញ</t>
  </si>
  <si>
    <t>ឃុន</t>
  </si>
  <si>
    <t>សាខន</t>
  </si>
  <si>
    <t>Khun</t>
  </si>
  <si>
    <t>Sakhân</t>
  </si>
  <si>
    <t>Apron A4</t>
  </si>
  <si>
    <t>070 794 565</t>
  </si>
  <si>
    <t>Group10, Phum3, Sangkat1, Sihanouk ville, Sihanouk province</t>
  </si>
  <si>
    <t>VRT63</t>
  </si>
  <si>
    <t>27610160384746ព</t>
  </si>
  <si>
    <t>ទុន</t>
  </si>
  <si>
    <t>សុខុន</t>
  </si>
  <si>
    <t>Tun</t>
  </si>
  <si>
    <t>sokhon</t>
  </si>
  <si>
    <t>Apron B1</t>
  </si>
  <si>
    <t>015 78 72 83</t>
  </si>
  <si>
    <t>ជាងថ្នាំ</t>
  </si>
  <si>
    <t>VRT64</t>
  </si>
  <si>
    <t>28310160397648យ</t>
  </si>
  <si>
    <t>ហុង</t>
  </si>
  <si>
    <t>សេងចន្នី</t>
  </si>
  <si>
    <t>HONG</t>
  </si>
  <si>
    <t>SENG CHANNY</t>
  </si>
  <si>
    <t>Packing</t>
  </si>
  <si>
    <t>Apron A5</t>
  </si>
  <si>
    <t>រត់ម៉ូឌុប</t>
  </si>
  <si>
    <t>VRT66</t>
  </si>
  <si>
    <t>28010160397394ប</t>
  </si>
  <si>
    <t>0</t>
  </si>
  <si>
    <t>ធង</t>
  </si>
  <si>
    <t>អួន</t>
  </si>
  <si>
    <t>THORNG</t>
  </si>
  <si>
    <t>UON</t>
  </si>
  <si>
    <t>Garment lineA6</t>
  </si>
  <si>
    <t>Sihanouk ville, Sihanouk province</t>
  </si>
  <si>
    <t>VRT71</t>
  </si>
  <si>
    <t>27903170680453ព</t>
  </si>
  <si>
    <t>ពេជ</t>
  </si>
  <si>
    <t>សោភា</t>
  </si>
  <si>
    <t>Pich</t>
  </si>
  <si>
    <t>Sophea</t>
  </si>
  <si>
    <t>Garment lineA7</t>
  </si>
  <si>
    <t>ខេត្តកំពង់ស្ពឺ</t>
  </si>
  <si>
    <t>093 426 672</t>
  </si>
  <si>
    <t>VRT75</t>
  </si>
  <si>
    <t>28610160384552ធ</t>
  </si>
  <si>
    <t>ម៉ូវ</t>
  </si>
  <si>
    <t>សុធឿន</t>
  </si>
  <si>
    <t>MOUV</t>
  </si>
  <si>
    <t>SOTHOEUNRN</t>
  </si>
  <si>
    <t>Apron B2</t>
  </si>
  <si>
    <t>VRT78</t>
  </si>
  <si>
    <t>27710160397970រ</t>
  </si>
  <si>
    <t>វ៉ន</t>
  </si>
  <si>
    <t>ភា</t>
  </si>
  <si>
    <t>Vorn</t>
  </si>
  <si>
    <t>Phea</t>
  </si>
  <si>
    <t>កំព​ង់ផែ</t>
  </si>
  <si>
    <t>VRT85</t>
  </si>
  <si>
    <t>29110160384661ត</t>
  </si>
  <si>
    <t>សុខឡាង</t>
  </si>
  <si>
    <t>HOEUNG</t>
  </si>
  <si>
    <t>SOK LANG</t>
  </si>
  <si>
    <t>ខេត្តកណ្តាល</t>
  </si>
  <si>
    <t>Phum1, Sangkat2, Sihanouk ville, Sihanouk province</t>
  </si>
  <si>
    <t>VRT102</t>
  </si>
  <si>
    <t>28010160397454ទ</t>
  </si>
  <si>
    <t>ណុច</t>
  </si>
  <si>
    <t>ចន្ធី</t>
  </si>
  <si>
    <t>Noch</t>
  </si>
  <si>
    <t>Chanthy</t>
  </si>
  <si>
    <t>Fhoss&amp; Garment A10</t>
  </si>
  <si>
    <t>Maternity leave</t>
  </si>
  <si>
    <t>1/6/2016-1/9/2016</t>
  </si>
  <si>
    <t>VRT105</t>
  </si>
  <si>
    <t>28010160397458ផ</t>
  </si>
  <si>
    <t>អៀម</t>
  </si>
  <si>
    <t>សារីម</t>
  </si>
  <si>
    <t>IEM</t>
  </si>
  <si>
    <t>SARIM</t>
  </si>
  <si>
    <t>Garment A2</t>
  </si>
  <si>
    <t>VRT106</t>
  </si>
  <si>
    <t>28203170680431ឌ</t>
  </si>
  <si>
    <t>ខាត់</t>
  </si>
  <si>
    <t>ឈុំ</t>
  </si>
  <si>
    <t>Khat</t>
  </si>
  <si>
    <t>Chhum</t>
  </si>
  <si>
    <t>1/9/2016-1/12/2016</t>
  </si>
  <si>
    <t>កសិករ</t>
  </si>
  <si>
    <t xml:space="preserve"> Sihanouk ville, Sihanouk province</t>
  </si>
  <si>
    <t>VRT113</t>
  </si>
  <si>
    <t>28203170680340ឋ</t>
  </si>
  <si>
    <t>គ្រី</t>
  </si>
  <si>
    <t>គុន្ធា</t>
  </si>
  <si>
    <t>Kri</t>
  </si>
  <si>
    <t>kunthea</t>
  </si>
  <si>
    <t>ជាងភ្លើង</t>
  </si>
  <si>
    <t>VRT126</t>
  </si>
  <si>
    <t>28410160397631ធ</t>
  </si>
  <si>
    <t>សឿង</t>
  </si>
  <si>
    <t>សុភក្តិ</t>
  </si>
  <si>
    <t>SOEURNG</t>
  </si>
  <si>
    <t>SOPHEAK</t>
  </si>
  <si>
    <t>នៅផ្ទះ</t>
  </si>
  <si>
    <t xml:space="preserve"> Phum1,Sangkat2, Sihanouk ville, Sihanouk province</t>
  </si>
  <si>
    <t>VRT132</t>
  </si>
  <si>
    <t>28010160384998រ</t>
  </si>
  <si>
    <t>ពេជ្យ</t>
  </si>
  <si>
    <t>សាបាន</t>
  </si>
  <si>
    <t>PICH</t>
  </si>
  <si>
    <t>SAMBAN</t>
  </si>
  <si>
    <t>ធ្វើការនៅសណ្ឋាគា</t>
  </si>
  <si>
    <t>VRT136</t>
  </si>
  <si>
    <t>27110160397843ន</t>
  </si>
  <si>
    <t>ទៀប</t>
  </si>
  <si>
    <t>សូនី</t>
  </si>
  <si>
    <t>Teab</t>
  </si>
  <si>
    <t>sony</t>
  </si>
  <si>
    <t>Garment A3</t>
  </si>
  <si>
    <t>រត់ម៉ូតូឌុប</t>
  </si>
  <si>
    <t>Phum4, Sangkat4, Sihanouk ville, Sihanouk province</t>
  </si>
  <si>
    <t>VRT150</t>
  </si>
  <si>
    <t>29510160397854ល</t>
  </si>
  <si>
    <t>សែត</t>
  </si>
  <si>
    <t>មឿន</t>
  </si>
  <si>
    <t>Set</t>
  </si>
  <si>
    <t>moeun</t>
  </si>
  <si>
    <t>086 587 204</t>
  </si>
  <si>
    <t>VRT152</t>
  </si>
  <si>
    <t>28210160397764ភ</t>
  </si>
  <si>
    <t>ខៀវ</t>
  </si>
  <si>
    <t>ចាន់នួន</t>
  </si>
  <si>
    <t>keav</t>
  </si>
  <si>
    <t>channoun</t>
  </si>
  <si>
    <t>Sample</t>
  </si>
  <si>
    <t>1/11/2016-1/2/2017</t>
  </si>
  <si>
    <t>096 794 53 48</t>
  </si>
  <si>
    <t>VRT158</t>
  </si>
  <si>
    <t>28910160385371ផ</t>
  </si>
  <si>
    <t>សោម</t>
  </si>
  <si>
    <t>Som</t>
  </si>
  <si>
    <t>Bachelor</t>
  </si>
  <si>
    <t>VRT162</t>
  </si>
  <si>
    <t>28010160397400ឈ</t>
  </si>
  <si>
    <t>ឃុំ</t>
  </si>
  <si>
    <t>ផល្លី</t>
  </si>
  <si>
    <t>khom</t>
  </si>
  <si>
    <t>pholy</t>
  </si>
  <si>
    <t>Garment Line A1</t>
  </si>
  <si>
    <t>97 3424865</t>
  </si>
  <si>
    <t>VRT181</t>
  </si>
  <si>
    <t>27310160384809ន</t>
  </si>
  <si>
    <t>លឹម</t>
  </si>
  <si>
    <t>រី</t>
  </si>
  <si>
    <t>Lim</t>
  </si>
  <si>
    <t xml:space="preserve">ry </t>
  </si>
  <si>
    <t>Take leave one month</t>
  </si>
  <si>
    <t>សំណង់</t>
  </si>
  <si>
    <t>Phum19, Sangkat1, Sihanouk ville, Sihanouk province</t>
  </si>
  <si>
    <t>VRT196</t>
  </si>
  <si>
    <t>27810160384671ផ</t>
  </si>
  <si>
    <t>ជឿន</t>
  </si>
  <si>
    <t>រឿម</t>
  </si>
  <si>
    <t>Choeun</t>
  </si>
  <si>
    <t>Roeum</t>
  </si>
  <si>
    <t>ខេត្តបាត់ដំបង</t>
  </si>
  <si>
    <t>VRT198</t>
  </si>
  <si>
    <t>28210160384469ផ</t>
  </si>
  <si>
    <t>រស់</t>
  </si>
  <si>
    <t>Ros</t>
  </si>
  <si>
    <t>Poly</t>
  </si>
  <si>
    <t>ប៉ូលីស</t>
  </si>
  <si>
    <t>Phum3, Sangkat4, Sihanouk ville, Sihanouk province</t>
  </si>
  <si>
    <t>VRT211</t>
  </si>
  <si>
    <t>28507170817791ហ</t>
  </si>
  <si>
    <t>សុក</t>
  </si>
  <si>
    <t>សារឿន</t>
  </si>
  <si>
    <t>Sut</t>
  </si>
  <si>
    <t>saroeun</t>
  </si>
  <si>
    <t>1/1/2017-1/4/2017</t>
  </si>
  <si>
    <t>VRT236</t>
  </si>
  <si>
    <t>27910160384634ផ</t>
  </si>
  <si>
    <t>វុន</t>
  </si>
  <si>
    <t>តាំង</t>
  </si>
  <si>
    <t>VUN</t>
  </si>
  <si>
    <t>TAING</t>
  </si>
  <si>
    <t>ភូមិ 1សង្កាត់ 01 ខ័ណ្ឌមិត្តភាព ខេត្តព្រះសីហនុ</t>
  </si>
  <si>
    <t>VRT242</t>
  </si>
  <si>
    <t>29310160384657ព</t>
  </si>
  <si>
    <t>កែវ</t>
  </si>
  <si>
    <t>ពុទ្ធា</t>
  </si>
  <si>
    <t>KEO</t>
  </si>
  <si>
    <t>PUTHEA</t>
  </si>
  <si>
    <t>ក្រុម 18 ភូមិ 04 សង្កាត់ 04 ខេត្តព្រះសីហនុ</t>
  </si>
  <si>
    <t>VRT244</t>
  </si>
  <si>
    <t>27310160397529ព</t>
  </si>
  <si>
    <t>ម៉ិល</t>
  </si>
  <si>
    <t>វី</t>
  </si>
  <si>
    <t>MIL</t>
  </si>
  <si>
    <t>søab;</t>
  </si>
  <si>
    <t>bnÞúk</t>
  </si>
  <si>
    <t>PUmi 12 sgáat; 03 extþRBHsIhnu</t>
  </si>
  <si>
    <t>VRT253</t>
  </si>
  <si>
    <t>27310160384539ន</t>
  </si>
  <si>
    <t>ស</t>
  </si>
  <si>
    <t>សាវន</t>
  </si>
  <si>
    <t>SOR</t>
  </si>
  <si>
    <t>SAVORN</t>
  </si>
  <si>
    <t>enApÞH</t>
  </si>
  <si>
    <t>sisS</t>
  </si>
  <si>
    <t>PUmi  2 sgáat; 01 extþRBHsIhnu</t>
  </si>
  <si>
    <t>VRT264</t>
  </si>
  <si>
    <t>28410160384792ព</t>
  </si>
  <si>
    <t>នាក់</t>
  </si>
  <si>
    <t>នួន</t>
  </si>
  <si>
    <t>NAK</t>
  </si>
  <si>
    <t>NGUON</t>
  </si>
  <si>
    <t>PUmi 5 sgáat;4extþRBHsIhnu</t>
  </si>
  <si>
    <t>VRT267</t>
  </si>
  <si>
    <t>29510160398175ម</t>
  </si>
  <si>
    <t>រិន</t>
  </si>
  <si>
    <t>ចាន់ថា</t>
  </si>
  <si>
    <t>PUmi 3 sgáat ;3 extþRBHsIhnu</t>
  </si>
  <si>
    <t>VRT277</t>
  </si>
  <si>
    <t>28403170680331ឍ</t>
  </si>
  <si>
    <t>ផង់</t>
  </si>
  <si>
    <t>ហៃ</t>
  </si>
  <si>
    <t>PHANG</t>
  </si>
  <si>
    <t>HEY</t>
  </si>
  <si>
    <t>rt;m:UtU</t>
  </si>
  <si>
    <t>VRT281</t>
  </si>
  <si>
    <t>28110160384759ព</t>
  </si>
  <si>
    <t>ហង្ស</t>
  </si>
  <si>
    <t>ភារុន</t>
  </si>
  <si>
    <t>SARUN</t>
  </si>
  <si>
    <t>ខេត្តក្រចេះ</t>
  </si>
  <si>
    <t>15 533722</t>
  </si>
  <si>
    <t>PUmi 2 sgáat; 1 extþRBHsIhnu</t>
  </si>
  <si>
    <t>VRT296</t>
  </si>
  <si>
    <t>28210160384410ជ</t>
  </si>
  <si>
    <t>ផល</t>
  </si>
  <si>
    <t>សុខា</t>
  </si>
  <si>
    <t>POL</t>
  </si>
  <si>
    <t>SOKHA</t>
  </si>
  <si>
    <t>Garment Line A5</t>
  </si>
  <si>
    <t>16 941334</t>
  </si>
  <si>
    <t>sMNg;</t>
  </si>
  <si>
    <t>PUmi 12 sgáat; 3 extþRBHsIhnu</t>
  </si>
  <si>
    <t>VRT298</t>
  </si>
  <si>
    <t>28910160398527វ</t>
  </si>
  <si>
    <t>និត</t>
  </si>
  <si>
    <t>ស្រីនាង</t>
  </si>
  <si>
    <t>NIT</t>
  </si>
  <si>
    <t>SREYNEANG</t>
  </si>
  <si>
    <t>Take leave one month April/16</t>
  </si>
  <si>
    <t>88 7659397</t>
  </si>
  <si>
    <t>PUmi 5 sgáat; 4 extþRBHsIhnu</t>
  </si>
  <si>
    <t>VRT311</t>
  </si>
  <si>
    <t>18310160384706ត</t>
  </si>
  <si>
    <t>លី</t>
  </si>
  <si>
    <t>ប៊ុនរិទ្ធ</t>
  </si>
  <si>
    <t>LY</t>
  </si>
  <si>
    <t>BONRETH</t>
  </si>
  <si>
    <t>Genset</t>
  </si>
  <si>
    <t>Generator</t>
  </si>
  <si>
    <t>ខេត្តកំពង់ធំ</t>
  </si>
  <si>
    <t>Take leave just back to work on May/1/2015</t>
  </si>
  <si>
    <t>16 263307</t>
  </si>
  <si>
    <t>pÞH</t>
  </si>
  <si>
    <t>PUmi 3 sgáat; 3extþRBHsIhnu</t>
  </si>
  <si>
    <t>VRT313</t>
  </si>
  <si>
    <t>27810160384523ទ</t>
  </si>
  <si>
    <t>ផាន់</t>
  </si>
  <si>
    <t>ផេន</t>
  </si>
  <si>
    <t>PHAN</t>
  </si>
  <si>
    <t>PHEN</t>
  </si>
  <si>
    <t>92 806058</t>
  </si>
  <si>
    <t>Cag m:UtU</t>
  </si>
  <si>
    <t>VRT344</t>
  </si>
  <si>
    <t>19010160397693ព</t>
  </si>
  <si>
    <t>ដេង</t>
  </si>
  <si>
    <t>តេង</t>
  </si>
  <si>
    <t>DANG</t>
  </si>
  <si>
    <t>TANG</t>
  </si>
  <si>
    <t>Packing  Apron</t>
  </si>
  <si>
    <t>93 95 86 12</t>
  </si>
  <si>
    <t>Pumi 1 sgáat;  1 extþRBHsIhnu</t>
  </si>
  <si>
    <t>VRT4</t>
  </si>
  <si>
    <t>29310160384703ណ</t>
  </si>
  <si>
    <t>គង់</t>
  </si>
  <si>
    <t>ស្រស់</t>
  </si>
  <si>
    <t>KONG</t>
  </si>
  <si>
    <t>SROS</t>
  </si>
  <si>
    <t>Packing  Garment</t>
  </si>
  <si>
    <t>eragcRk</t>
  </si>
  <si>
    <t>bnÞuk</t>
  </si>
  <si>
    <t>Pumi 2 sgáat;  2 extþRBHsIhnu</t>
  </si>
  <si>
    <t>VRT5</t>
  </si>
  <si>
    <t>29110160398134ត</t>
  </si>
  <si>
    <t>ស្រីនី</t>
  </si>
  <si>
    <t>SREYNY</t>
  </si>
  <si>
    <t>Pumi 4 sgáat;  4 extþRBHsIhnu</t>
  </si>
  <si>
    <t>VRT122</t>
  </si>
  <si>
    <t>28210160384689យ</t>
  </si>
  <si>
    <t>វ៉ែន</t>
  </si>
  <si>
    <t>ផាន</t>
  </si>
  <si>
    <t>VEN</t>
  </si>
  <si>
    <t>093 352 502</t>
  </si>
  <si>
    <t>kmµkr</t>
  </si>
  <si>
    <t>PUumi  3 sgáat; 1 x½NÐmitþPaB extþRBHsIhnu</t>
  </si>
  <si>
    <t>VRT130</t>
  </si>
  <si>
    <t>29303170680345ធ</t>
  </si>
  <si>
    <t>ណាវី</t>
  </si>
  <si>
    <t>KRY</t>
  </si>
  <si>
    <t>NAVY</t>
  </si>
  <si>
    <t>97 24 30 445</t>
  </si>
  <si>
    <t>PUumi  5 sgáat; 4 x½NÐmitþPaB  extþRBHsIhnu</t>
  </si>
  <si>
    <t>VRT191</t>
  </si>
  <si>
    <t>28010160397378ព</t>
  </si>
  <si>
    <t>ប៊ិញ</t>
  </si>
  <si>
    <t>លូត</t>
  </si>
  <si>
    <t>BICH</t>
  </si>
  <si>
    <t>LOT</t>
  </si>
  <si>
    <t>ksikr</t>
  </si>
  <si>
    <t>PUumi GU 2x½NÐmitþPaB  extþRBHsIhnu</t>
  </si>
  <si>
    <t>VRT220</t>
  </si>
  <si>
    <t>29210160397637ភ</t>
  </si>
  <si>
    <t>ទន</t>
  </si>
  <si>
    <t>PHEA</t>
  </si>
  <si>
    <t>THHON</t>
  </si>
  <si>
    <t>010 355 851</t>
  </si>
  <si>
    <t>PUumi 3 sgáat; 4x½NÐmitþPaB  extþRBHsIhnu</t>
  </si>
  <si>
    <t>VRT222</t>
  </si>
  <si>
    <t>28803170680337ភ</t>
  </si>
  <si>
    <t>ឈួន</t>
  </si>
  <si>
    <t>CHHOUN</t>
  </si>
  <si>
    <t>Apron A7</t>
  </si>
  <si>
    <t>PUumi 2 sgáat; 4x½NÐmitþPaB  extþRBHsIhnu</t>
  </si>
  <si>
    <t>VRT239</t>
  </si>
  <si>
    <t>29310160397777ស</t>
  </si>
  <si>
    <t>ធិនា</t>
  </si>
  <si>
    <t>SORM</t>
  </si>
  <si>
    <t>THINEA</t>
  </si>
  <si>
    <t>093 422 198</t>
  </si>
  <si>
    <t>PUumi 3 sgáat; 1x½NÐmitþPaB  extþRBHsIhnu</t>
  </si>
  <si>
    <t>VRT293</t>
  </si>
  <si>
    <t>28603170680308ន</t>
  </si>
  <si>
    <t>ខែក</t>
  </si>
  <si>
    <t>ក្អួក</t>
  </si>
  <si>
    <t xml:space="preserve">KHEK </t>
  </si>
  <si>
    <t>KA UOK</t>
  </si>
  <si>
    <t>3/10/2016-3/1/2017</t>
  </si>
  <si>
    <t>016 53 73 97</t>
  </si>
  <si>
    <t>PUumi 5 sgáat; 4x½NÐmitþPaB  extþRBHsIhnu</t>
  </si>
  <si>
    <t>VRT302</t>
  </si>
  <si>
    <t>28610160397679អ</t>
  </si>
  <si>
    <t>ងាវ</t>
  </si>
  <si>
    <t>ណាគ្រី</t>
  </si>
  <si>
    <t>NGEAV</t>
  </si>
  <si>
    <t>NAKRY</t>
  </si>
  <si>
    <t>93 93 73 44</t>
  </si>
  <si>
    <t>sNæaKa</t>
  </si>
  <si>
    <t>PUumi 2 sgáat; 2x½NÐmitþPaB  extþRBHsIhnu</t>
  </si>
  <si>
    <t>VRT331</t>
  </si>
  <si>
    <t>28710160384762ព</t>
  </si>
  <si>
    <t>ស៊ីឌឿន</t>
  </si>
  <si>
    <t>MOEUN</t>
  </si>
  <si>
    <t xml:space="preserve">SYDOEUN </t>
  </si>
  <si>
    <t>QC Apron</t>
  </si>
  <si>
    <t>97 62 81 414</t>
  </si>
  <si>
    <t>RKUbeRgon</t>
  </si>
  <si>
    <t xml:space="preserve"> PUumi 3 sgáat; 3x½NÐmitþPaB  extþRBHsIhnu</t>
  </si>
  <si>
    <t>VRT354</t>
  </si>
  <si>
    <t>29610160384817ភ</t>
  </si>
  <si>
    <t xml:space="preserve">ខេង </t>
  </si>
  <si>
    <t>មួយគៀង</t>
  </si>
  <si>
    <t>KHENG</t>
  </si>
  <si>
    <t>MOUY KEAN</t>
  </si>
  <si>
    <t xml:space="preserve"> PUumi 2 sgáat; 1x½NÐmitþPaB  extþRBHsIhnu</t>
  </si>
  <si>
    <t>VRT357</t>
  </si>
  <si>
    <t>27910160398768ខ</t>
  </si>
  <si>
    <t>សេង</t>
  </si>
  <si>
    <t>ប៊ុនថា</t>
  </si>
  <si>
    <t>SANG</t>
  </si>
  <si>
    <t>BUNTHA</t>
  </si>
  <si>
    <t>15 4444 57</t>
  </si>
  <si>
    <t xml:space="preserve"> PUumi 1 sgáat; 2x½NÐmitþPaB  extþRBHsIhnu</t>
  </si>
  <si>
    <t>VRT375</t>
  </si>
  <si>
    <t>28010160384562ឍ</t>
  </si>
  <si>
    <t>សារ៉េន</t>
  </si>
  <si>
    <t>EM</t>
  </si>
  <si>
    <t>SARAT</t>
  </si>
  <si>
    <t>16 55 78 18</t>
  </si>
  <si>
    <t xml:space="preserve"> Puumi 5 sgáat; 4x½NÐmitþPaB  extþRBHsIhnu</t>
  </si>
  <si>
    <t>VRT377</t>
  </si>
  <si>
    <t>29110160384642ណ</t>
  </si>
  <si>
    <t>ប៉ែត</t>
  </si>
  <si>
    <t>គឹមស្រស់</t>
  </si>
  <si>
    <t>PHET</t>
  </si>
  <si>
    <t>KIMSROS</t>
  </si>
  <si>
    <t>VRT382</t>
  </si>
  <si>
    <t>29703170680327ព</t>
  </si>
  <si>
    <t>ធីណាច</t>
  </si>
  <si>
    <t>THYNACH</t>
  </si>
  <si>
    <t xml:space="preserve"> Puumi 1x½NÐmitþPaB  extþRBHsIhnu</t>
  </si>
  <si>
    <t>VRT383</t>
  </si>
  <si>
    <t>28810160384427ផ</t>
  </si>
  <si>
    <t>ហេង</t>
  </si>
  <si>
    <t>ឡៃស៊ា</t>
  </si>
  <si>
    <t>HANG</t>
  </si>
  <si>
    <t>LEASEANG</t>
  </si>
  <si>
    <t>VRT396</t>
  </si>
  <si>
    <t>28110160384788ម</t>
  </si>
  <si>
    <t>ភោគ</t>
  </si>
  <si>
    <t>ចាន់រដ្ឋធានី</t>
  </si>
  <si>
    <t>PHOUK</t>
  </si>
  <si>
    <t>CHANROTHEANY</t>
  </si>
  <si>
    <t>097 7514 289</t>
  </si>
  <si>
    <t xml:space="preserve"> Puumi 3 sgáat; 2 x½NÐmitþPaB  extþRBHsIhnu</t>
  </si>
  <si>
    <t>VRT397</t>
  </si>
  <si>
    <t>28403170680383ប</t>
  </si>
  <si>
    <t>ទុយ</t>
  </si>
  <si>
    <t>ស្រីម៉ៅ</t>
  </si>
  <si>
    <t>TUY</t>
  </si>
  <si>
    <t>SREYMAO</t>
  </si>
  <si>
    <t>015 563 789</t>
  </si>
  <si>
    <t>គ្រូបង្រៀន</t>
  </si>
  <si>
    <t xml:space="preserve"> Puumi 5 sgáat; 4 x½NÐmitþPaB  extþRBHsIhnu</t>
  </si>
  <si>
    <t>VRT400</t>
  </si>
  <si>
    <t>28410160397675រ</t>
  </si>
  <si>
    <t>ចាន់ដា</t>
  </si>
  <si>
    <t>KIM</t>
  </si>
  <si>
    <t>CHANDA</t>
  </si>
  <si>
    <t xml:space="preserve"> Puumi 1 sgáat; 1 x½NÐmitþPaB  extþRBHsIhnu</t>
  </si>
  <si>
    <t>VRT13</t>
  </si>
  <si>
    <t>19410160385343ត</t>
  </si>
  <si>
    <t>ម៉េង</t>
  </si>
  <si>
    <t>រដ្ឋា</t>
  </si>
  <si>
    <t>ខេត្តកែប</t>
  </si>
  <si>
    <t>087 896798</t>
  </si>
  <si>
    <t>VRT14</t>
  </si>
  <si>
    <t>29010160384594ន</t>
  </si>
  <si>
    <t>តាវ</t>
  </si>
  <si>
    <t>TAV</t>
  </si>
  <si>
    <t>096 9614 908</t>
  </si>
  <si>
    <t xml:space="preserve"> Puumi 3 sgáat; 3 x½NÐmitþPaB  extþRBHsIhnu</t>
  </si>
  <si>
    <t>VRT50</t>
  </si>
  <si>
    <t>29610160397907ល</t>
  </si>
  <si>
    <t>លន</t>
  </si>
  <si>
    <t>ស្រីលីន</t>
  </si>
  <si>
    <t>LOAN</t>
  </si>
  <si>
    <t>SREYLIN</t>
  </si>
  <si>
    <t>093 390680</t>
  </si>
  <si>
    <t>VRT97</t>
  </si>
  <si>
    <t>28310160397720ថ</t>
  </si>
  <si>
    <t>ឈិន</t>
  </si>
  <si>
    <t>ដាវី</t>
  </si>
  <si>
    <t>CHIN</t>
  </si>
  <si>
    <t>DAVY</t>
  </si>
  <si>
    <t>ខេត្តស្វាយរៀង</t>
  </si>
  <si>
    <t>017 74 95 25</t>
  </si>
  <si>
    <t>eron</t>
  </si>
  <si>
    <t>VRT194</t>
  </si>
  <si>
    <t>28410160398198ល</t>
  </si>
  <si>
    <t>សឿន</t>
  </si>
  <si>
    <t>សុខនី</t>
  </si>
  <si>
    <t>SOEUN</t>
  </si>
  <si>
    <t>SOKNY</t>
  </si>
  <si>
    <t>87 218012</t>
  </si>
  <si>
    <t xml:space="preserve">Yes  </t>
  </si>
  <si>
    <t xml:space="preserve"> Puumi 2 sgáat; 2 x½NÐmitþPaB  extþRBHsIhnu</t>
  </si>
  <si>
    <t>VRT207</t>
  </si>
  <si>
    <t>28210160397455ប</t>
  </si>
  <si>
    <t>សើន</t>
  </si>
  <si>
    <t>នាង</t>
  </si>
  <si>
    <t>SEUN</t>
  </si>
  <si>
    <t>096 25 388 79</t>
  </si>
  <si>
    <t>VRT294</t>
  </si>
  <si>
    <t>28610160384818ភ</t>
  </si>
  <si>
    <t>ទឹម</t>
  </si>
  <si>
    <t>ស្រីរ៉ា</t>
  </si>
  <si>
    <t>TEUM</t>
  </si>
  <si>
    <t>SREY RA</t>
  </si>
  <si>
    <t>VRT337</t>
  </si>
  <si>
    <t>28010160384855ធ</t>
  </si>
  <si>
    <t>ខេន</t>
  </si>
  <si>
    <t>KHEN</t>
  </si>
  <si>
    <t>16 63 68 18</t>
  </si>
  <si>
    <t xml:space="preserve"> Puumi 5sgáat; 4x½NÐmitþPaB  extþRBHsIhnu</t>
  </si>
  <si>
    <t>VRT117</t>
  </si>
  <si>
    <t>27703170680417ប</t>
  </si>
  <si>
    <t>អ៊ុយ</t>
  </si>
  <si>
    <t>PHUK</t>
  </si>
  <si>
    <t>UY</t>
  </si>
  <si>
    <t>017 72 16 77</t>
  </si>
  <si>
    <t>eFIVEhþs</t>
  </si>
  <si>
    <t>Pumi 1 sgáat;elx 20 extþRBHsIhnu</t>
  </si>
  <si>
    <t>VRT120</t>
  </si>
  <si>
    <t>28310160398482ព</t>
  </si>
  <si>
    <t>ឆង</t>
  </si>
  <si>
    <t>តយ</t>
  </si>
  <si>
    <t>TAY</t>
  </si>
  <si>
    <t>Pum i03 sgáat;elx 01 extþRBHsIhnu</t>
  </si>
  <si>
    <t>VRT123</t>
  </si>
  <si>
    <t>28110160397597រ</t>
  </si>
  <si>
    <t>ម៉ាលី</t>
  </si>
  <si>
    <t>MALY</t>
  </si>
  <si>
    <t>097 800 227</t>
  </si>
  <si>
    <t>Pum i01 sgáat;elx 01 extþRBHsIhnu</t>
  </si>
  <si>
    <t>VRT129</t>
  </si>
  <si>
    <t>28410160384701ឌ</t>
  </si>
  <si>
    <t>បន</t>
  </si>
  <si>
    <t>BORN</t>
  </si>
  <si>
    <t>SREY MAO</t>
  </si>
  <si>
    <t>016 960 828</t>
  </si>
  <si>
    <t>Rkum 11 Pumi 03 extþRBHsIhnu</t>
  </si>
  <si>
    <t>VRT139</t>
  </si>
  <si>
    <t>29003170680355ថ</t>
  </si>
  <si>
    <t>ស្រីធី</t>
  </si>
  <si>
    <t>SREYTHY</t>
  </si>
  <si>
    <t>96 22 69 373</t>
  </si>
  <si>
    <t>VRT148</t>
  </si>
  <si>
    <t>28310160397986ហ</t>
  </si>
  <si>
    <t>ម៉ី</t>
  </si>
  <si>
    <t>លក្ខិណា</t>
  </si>
  <si>
    <t>MEY</t>
  </si>
  <si>
    <t>LEAKHENA</t>
  </si>
  <si>
    <t>extþRBHsIhnu</t>
  </si>
  <si>
    <t>VRT172</t>
  </si>
  <si>
    <t>28510160398400ណ</t>
  </si>
  <si>
    <t>ថុន</t>
  </si>
  <si>
    <t>ថាវី</t>
  </si>
  <si>
    <t>THON</t>
  </si>
  <si>
    <t>THAVY</t>
  </si>
  <si>
    <t>097 77 30 019</t>
  </si>
  <si>
    <t xml:space="preserve"> eset sgáat; 2 extþRBHsIhnu</t>
  </si>
  <si>
    <t>VRT173</t>
  </si>
  <si>
    <t>28810160397518រ</t>
  </si>
  <si>
    <t>កន</t>
  </si>
  <si>
    <t>កើត</t>
  </si>
  <si>
    <t>KORN</t>
  </si>
  <si>
    <t>KOET</t>
  </si>
  <si>
    <t>088 78 93 832</t>
  </si>
  <si>
    <t>Pumi 5 sgáat; 4 extþRBHsIhnu</t>
  </si>
  <si>
    <t>VRT285</t>
  </si>
  <si>
    <t>29510160397931ភ</t>
  </si>
  <si>
    <t>គៀន</t>
  </si>
  <si>
    <t>យូរី</t>
  </si>
  <si>
    <t>KIEN</t>
  </si>
  <si>
    <t>YORI</t>
  </si>
  <si>
    <t>016-617 099</t>
  </si>
  <si>
    <t>Pumi 02 sgáat; 02 extþRBHsIhnu</t>
  </si>
  <si>
    <t>VRT321</t>
  </si>
  <si>
    <t>29002160057958ផ</t>
  </si>
  <si>
    <t>យុន</t>
  </si>
  <si>
    <t>ម៉េងជូ</t>
  </si>
  <si>
    <t>YUN</t>
  </si>
  <si>
    <t>MENG CHOU</t>
  </si>
  <si>
    <t>CagEdk</t>
  </si>
  <si>
    <t>GUmYy extþRBHsIhnu</t>
  </si>
  <si>
    <t>VRT322</t>
  </si>
  <si>
    <t>29210160384603ឌ</t>
  </si>
  <si>
    <t>សំ</t>
  </si>
  <si>
    <t>ចិន្តា</t>
  </si>
  <si>
    <t>SOM</t>
  </si>
  <si>
    <t>93 4520 42</t>
  </si>
  <si>
    <t>Pumi 01 sgáat; 04 extþRBHsIhnu</t>
  </si>
  <si>
    <t>VRT327</t>
  </si>
  <si>
    <t>29303170680393ផ</t>
  </si>
  <si>
    <t>ម៉េ</t>
  </si>
  <si>
    <t>សុគា</t>
  </si>
  <si>
    <t>MA</t>
  </si>
  <si>
    <t>SOKEA</t>
  </si>
  <si>
    <t>រាជធានីភ្នំពេញ</t>
  </si>
  <si>
    <t>88 51 83 142</t>
  </si>
  <si>
    <t xml:space="preserve"> XøaMgelI extþRBHsIhnu</t>
  </si>
  <si>
    <t>VRT342</t>
  </si>
  <si>
    <t>28610160397659ហ</t>
  </si>
  <si>
    <t>ជៃ</t>
  </si>
  <si>
    <t>នីម</t>
  </si>
  <si>
    <t>CHAI</t>
  </si>
  <si>
    <t>NIM</t>
  </si>
  <si>
    <t>Pumi 46 sgáat; 04 XøaMgelI extþRBHsIhnu</t>
  </si>
  <si>
    <t>VRT345</t>
  </si>
  <si>
    <t>28310160398443ន</t>
  </si>
  <si>
    <t>សុខន</t>
  </si>
  <si>
    <t>SOKHAN</t>
  </si>
  <si>
    <t>16 529 599</t>
  </si>
  <si>
    <t>Pumi 05 sgáat; 04 XøaMgelI extþRBHsIhnu</t>
  </si>
  <si>
    <t>VRT403</t>
  </si>
  <si>
    <t>28610160384587រ</t>
  </si>
  <si>
    <t>រុន</t>
  </si>
  <si>
    <t>រ៉េត</t>
  </si>
  <si>
    <t>RUN</t>
  </si>
  <si>
    <t>RETH</t>
  </si>
  <si>
    <t>96 752 6557</t>
  </si>
  <si>
    <t>Pumi 01 sgáat; 04  extþRBHsIhnu</t>
  </si>
  <si>
    <t>VRT404</t>
  </si>
  <si>
    <t>28010160398582ប</t>
  </si>
  <si>
    <t>រ៉ាត</t>
  </si>
  <si>
    <t>RAT</t>
  </si>
  <si>
    <t>10 573 042</t>
  </si>
  <si>
    <t>GU 2 extþRBHsIhnu</t>
  </si>
  <si>
    <t>VRT406</t>
  </si>
  <si>
    <t>29410160398174ព</t>
  </si>
  <si>
    <t>យុង</t>
  </si>
  <si>
    <t>ចិន</t>
  </si>
  <si>
    <t>YONG</t>
  </si>
  <si>
    <t xml:space="preserve">CHIN </t>
  </si>
  <si>
    <t>68 595 562</t>
  </si>
  <si>
    <t>Rkum 27 sgáat; 05  extþRBHsIhnu</t>
  </si>
  <si>
    <t>VRT407</t>
  </si>
  <si>
    <t>28010160384625ឍ</t>
  </si>
  <si>
    <t>ទូច</t>
  </si>
  <si>
    <t>TOUCH</t>
  </si>
  <si>
    <t xml:space="preserve">NEANG </t>
  </si>
  <si>
    <t>95 661 488</t>
  </si>
  <si>
    <t>CagePøIg</t>
  </si>
  <si>
    <t>Rkum 34 sgáat; 04  extþRBHsIhnu</t>
  </si>
  <si>
    <t>VRT410</t>
  </si>
  <si>
    <t>27410160397882យ</t>
  </si>
  <si>
    <t>លាក់</t>
  </si>
  <si>
    <t>ឌីន</t>
  </si>
  <si>
    <t>LEAK</t>
  </si>
  <si>
    <t>DIN</t>
  </si>
  <si>
    <t>PUmi  5 sgáat; 04 extþRBHsIhnu</t>
  </si>
  <si>
    <t>VRT412</t>
  </si>
  <si>
    <t>27510160397381ប</t>
  </si>
  <si>
    <t>សូ</t>
  </si>
  <si>
    <t>ភាព</t>
  </si>
  <si>
    <t>SO</t>
  </si>
  <si>
    <t>PHEAP</t>
  </si>
  <si>
    <t>071-97 85 878</t>
  </si>
  <si>
    <t>PUmi  3 sgáat; 02  extþRBHsIhnu</t>
  </si>
  <si>
    <t>VRT419</t>
  </si>
  <si>
    <t>28110160397753ប</t>
  </si>
  <si>
    <t>ង៉ែត</t>
  </si>
  <si>
    <t>សូភា</t>
  </si>
  <si>
    <t>NGET</t>
  </si>
  <si>
    <t>SOPHEA</t>
  </si>
  <si>
    <t>12/12/2016-12/3/2017</t>
  </si>
  <si>
    <t>PUmi  02 sgáat; 01  extþRBHsIhnu</t>
  </si>
  <si>
    <t>VRT422</t>
  </si>
  <si>
    <t>29410160384447ប</t>
  </si>
  <si>
    <t>រ៉ាន់</t>
  </si>
  <si>
    <t>RAN</t>
  </si>
  <si>
    <t>PUmi  05 sgáat; 04  extþRBHsIhnu</t>
  </si>
  <si>
    <t>VRT432</t>
  </si>
  <si>
    <t>28610160385004ឋ</t>
  </si>
  <si>
    <t>ចេក</t>
  </si>
  <si>
    <t>NUON</t>
  </si>
  <si>
    <t>CHEK</t>
  </si>
  <si>
    <t>eFVIkarEp</t>
  </si>
  <si>
    <t>PUmi  05 sgáat; 04 extþRBHsIhnu</t>
  </si>
  <si>
    <t>VRT436</t>
  </si>
  <si>
    <t>29210160397776ល</t>
  </si>
  <si>
    <t>អ៊ុត</t>
  </si>
  <si>
    <t>រតនា</t>
  </si>
  <si>
    <t>UT</t>
  </si>
  <si>
    <t>ROTHANA</t>
  </si>
  <si>
    <t>97 2608110</t>
  </si>
  <si>
    <t>rt;tuktuk</t>
  </si>
  <si>
    <t>VRT440</t>
  </si>
  <si>
    <t>28710160397771រ</t>
  </si>
  <si>
    <t>ភឹម</t>
  </si>
  <si>
    <t>ឡាន</t>
  </si>
  <si>
    <t>PHOEM</t>
  </si>
  <si>
    <t>LAN</t>
  </si>
  <si>
    <t>071 94 90 862</t>
  </si>
  <si>
    <t>PUmi  01 sgáat; 01 extþRBHsIhnu</t>
  </si>
  <si>
    <t>VRT457</t>
  </si>
  <si>
    <t>28010160384601ជ</t>
  </si>
  <si>
    <t>វង់</t>
  </si>
  <si>
    <t>សុខចាន់</t>
  </si>
  <si>
    <t>VONG</t>
  </si>
  <si>
    <t>SOKCHAN</t>
  </si>
  <si>
    <t>PUmi  03  sgáat; 01 extþRBHsIhnu</t>
  </si>
  <si>
    <t>VRT458</t>
  </si>
  <si>
    <t>28710160397526ម</t>
  </si>
  <si>
    <t>សិន</t>
  </si>
  <si>
    <t>ស៊ីថាត</t>
  </si>
  <si>
    <t>SIN</t>
  </si>
  <si>
    <t>SITHAT</t>
  </si>
  <si>
    <t>97 2265386</t>
  </si>
  <si>
    <t>PUmi  02  sgáat; 02 extþRBHsIhnu</t>
  </si>
  <si>
    <t>VRT459</t>
  </si>
  <si>
    <t>28310160397949ស</t>
  </si>
  <si>
    <t>អៀត</t>
  </si>
  <si>
    <t>ឈុនហេង</t>
  </si>
  <si>
    <t>IET</t>
  </si>
  <si>
    <t>CHHUNHENG</t>
  </si>
  <si>
    <t>rt;m:UtUDub</t>
  </si>
  <si>
    <t>PUmi  01  sgáat; 02 extþRBHsIhnu</t>
  </si>
  <si>
    <t>VRT461</t>
  </si>
  <si>
    <t>28510160384874ម</t>
  </si>
  <si>
    <t>សុខ</t>
  </si>
  <si>
    <t>SOK</t>
  </si>
  <si>
    <t>PUmi  03  sgáat; 02 extþRBHsIhnu</t>
  </si>
  <si>
    <t>VRT462</t>
  </si>
  <si>
    <t>28610160397205ទ</t>
  </si>
  <si>
    <t>ខូវ</t>
  </si>
  <si>
    <t>សុខខេ</t>
  </si>
  <si>
    <t>KHOV</t>
  </si>
  <si>
    <t>SOKKHE</t>
  </si>
  <si>
    <t>97 57 64 188</t>
  </si>
  <si>
    <t>eFVIERs</t>
  </si>
  <si>
    <t>VRT463</t>
  </si>
  <si>
    <t>28110160397605ថ</t>
  </si>
  <si>
    <t>ពៅ</t>
  </si>
  <si>
    <t>POV</t>
  </si>
  <si>
    <t>97 67 33 241</t>
  </si>
  <si>
    <t>PUmi  05  sgáat; 04 extþRBHsIhnu</t>
  </si>
  <si>
    <t>VRT469</t>
  </si>
  <si>
    <t>19610160385310ឋ</t>
  </si>
  <si>
    <t>ណុល</t>
  </si>
  <si>
    <t>ម៉េងហួយ</t>
  </si>
  <si>
    <t>PUmi  03  sgáat; 03 extþRBHsIhnu</t>
  </si>
  <si>
    <t>VRT473</t>
  </si>
  <si>
    <t>27910160397339ល</t>
  </si>
  <si>
    <t>សុខ​</t>
  </si>
  <si>
    <t>សាវិន</t>
  </si>
  <si>
    <t>SAVIN</t>
  </si>
  <si>
    <t>XøaMgelI extþRBHsIhnu</t>
  </si>
  <si>
    <t>VRT475</t>
  </si>
  <si>
    <t>29010160397754ផ</t>
  </si>
  <si>
    <t>យ៉ែន​</t>
  </si>
  <si>
    <t>ហ៊ុយ</t>
  </si>
  <si>
    <t>YEN</t>
  </si>
  <si>
    <t>HUY</t>
  </si>
  <si>
    <t>96 74 71 802</t>
  </si>
  <si>
    <t>VRT482</t>
  </si>
  <si>
    <t>28110160397530ឍ</t>
  </si>
  <si>
    <t>សារឹម</t>
  </si>
  <si>
    <t>SAREM</t>
  </si>
  <si>
    <t>Pumi 05 sgáat; 04 extþRBHsIhnu</t>
  </si>
  <si>
    <t>VRT483</t>
  </si>
  <si>
    <t>28210160384641ឍ</t>
  </si>
  <si>
    <t>សេន</t>
  </si>
  <si>
    <t>ធាវី</t>
  </si>
  <si>
    <t>SEN</t>
  </si>
  <si>
    <t>THEAVY</t>
  </si>
  <si>
    <t>88 633 611</t>
  </si>
  <si>
    <t xml:space="preserve"> extþRBHsIhnu</t>
  </si>
  <si>
    <t>VRT488</t>
  </si>
  <si>
    <t>27310160398336ន</t>
  </si>
  <si>
    <t>អា</t>
  </si>
  <si>
    <t>លាប</t>
  </si>
  <si>
    <t>KEAP</t>
  </si>
  <si>
    <t>77 73 90 79</t>
  </si>
  <si>
    <t>kMBugEpr</t>
  </si>
  <si>
    <t>VRT494</t>
  </si>
  <si>
    <t>28810160384802ធ</t>
  </si>
  <si>
    <t>សៀក</t>
  </si>
  <si>
    <t>សុខលី</t>
  </si>
  <si>
    <t>SEAK</t>
  </si>
  <si>
    <t>SOK LY</t>
  </si>
  <si>
    <t>015 326840</t>
  </si>
  <si>
    <t>eFVIsMNg;</t>
  </si>
  <si>
    <t>VRT505</t>
  </si>
  <si>
    <t>28710160397639ស</t>
  </si>
  <si>
    <t>តឿ</t>
  </si>
  <si>
    <t>វណ្ណៈ</t>
  </si>
  <si>
    <t>TOEUN</t>
  </si>
  <si>
    <t>VANNAK</t>
  </si>
  <si>
    <t>1/1/2016-1/4/2016</t>
  </si>
  <si>
    <t xml:space="preserve">96 80 48 808 </t>
  </si>
  <si>
    <t>Pumi 1 sgáat; 02 extþRBHsIhnu</t>
  </si>
  <si>
    <t>VRT532</t>
  </si>
  <si>
    <t>28710160398114ធ</t>
  </si>
  <si>
    <t>មុំ</t>
  </si>
  <si>
    <t>សាភាន់</t>
  </si>
  <si>
    <t>MUM</t>
  </si>
  <si>
    <t>SAPHORN</t>
  </si>
  <si>
    <t>1/2/2017-1/5/2017</t>
  </si>
  <si>
    <t>88 27 15 175</t>
  </si>
  <si>
    <t>Pumi 5 sgáat; 04 extþRBHsIhnu</t>
  </si>
  <si>
    <t>VRT533</t>
  </si>
  <si>
    <t>29310160397688ហ</t>
  </si>
  <si>
    <t>សុគន្ធា</t>
  </si>
  <si>
    <t>TEM</t>
  </si>
  <si>
    <t>SOKUNTHEA</t>
  </si>
  <si>
    <t>10 234 661</t>
  </si>
  <si>
    <t>Pumi 12 sgáat; 03 extþRBHsIhnu</t>
  </si>
  <si>
    <t>VRT539</t>
  </si>
  <si>
    <t>28010160384861ត</t>
  </si>
  <si>
    <t>ប៉ុន</t>
  </si>
  <si>
    <t>សូណា</t>
  </si>
  <si>
    <t>SONA</t>
  </si>
  <si>
    <t>71 80 11 753</t>
  </si>
  <si>
    <t>Pumi 3 sgáat; 03 extþRBHsIhnu</t>
  </si>
  <si>
    <t>VRT21</t>
  </si>
  <si>
    <t>28210160384735ទ</t>
  </si>
  <si>
    <t>សុវណ្ណារី</t>
  </si>
  <si>
    <t>NEAK</t>
  </si>
  <si>
    <t>SOVANNARY</t>
  </si>
  <si>
    <t>70 40 97 75</t>
  </si>
  <si>
    <t>VRT103</t>
  </si>
  <si>
    <t>28010160398531ណ</t>
  </si>
  <si>
    <t>ជា</t>
  </si>
  <si>
    <t>សារ៉ុន</t>
  </si>
  <si>
    <t>CHEA</t>
  </si>
  <si>
    <t>SARON</t>
  </si>
  <si>
    <t>69 79 34 22</t>
  </si>
  <si>
    <t>Pumi 02 sgáat; 01 extþRBHsIhnu</t>
  </si>
  <si>
    <t>VRT115</t>
  </si>
  <si>
    <t>28510160384579រ</t>
  </si>
  <si>
    <t>ម៉េន</t>
  </si>
  <si>
    <t>ចាន់មេសា</t>
  </si>
  <si>
    <t>MAN</t>
  </si>
  <si>
    <t>CHANMASA</t>
  </si>
  <si>
    <t>Pumi 03 sgáat; 03 extþRBHsIhnu</t>
  </si>
  <si>
    <t>VRT140</t>
  </si>
  <si>
    <t>28810160398068ល</t>
  </si>
  <si>
    <t>ញ៉ែម</t>
  </si>
  <si>
    <t>សុវណ្ណឧស្សាហ៍</t>
  </si>
  <si>
    <t>NHEM</t>
  </si>
  <si>
    <t>SOVANUKSA</t>
  </si>
  <si>
    <t>Garment Line A8</t>
  </si>
  <si>
    <t>96 91 22 213</t>
  </si>
  <si>
    <t>Pumi 03 sgáat; 02 extþRBHsIhnu</t>
  </si>
  <si>
    <t>VRT187</t>
  </si>
  <si>
    <t>28810160398136ភ</t>
  </si>
  <si>
    <t>អ៊ុន</t>
  </si>
  <si>
    <t>តី</t>
  </si>
  <si>
    <t>UN</t>
  </si>
  <si>
    <t>TEY</t>
  </si>
  <si>
    <t>96 59 29 145</t>
  </si>
  <si>
    <t>ចុះទូក</t>
  </si>
  <si>
    <t>Pumi kascar sgáat; 01 extþRBHsIhnu</t>
  </si>
  <si>
    <t>VRT202</t>
  </si>
  <si>
    <t>28710160384586រ</t>
  </si>
  <si>
    <t>ឈីវ</t>
  </si>
  <si>
    <t>CHAOV</t>
  </si>
  <si>
    <t>POLY</t>
  </si>
  <si>
    <t>70 80 63 26</t>
  </si>
  <si>
    <t>VRT335</t>
  </si>
  <si>
    <t>27610160397770ភ</t>
  </si>
  <si>
    <t>សយ</t>
  </si>
  <si>
    <t>ស្រីឌី</t>
  </si>
  <si>
    <t>SOY</t>
  </si>
  <si>
    <t>SREYDY</t>
  </si>
  <si>
    <t>ខេត្តពោធិសាត់</t>
  </si>
  <si>
    <t>លក់ដូរ</t>
  </si>
  <si>
    <t>Pumi​06 sgáat; 01extþRBHsIhnu</t>
  </si>
  <si>
    <t>VRT347</t>
  </si>
  <si>
    <t>28610160398080ន</t>
  </si>
  <si>
    <t>ហ៊ន</t>
  </si>
  <si>
    <t>ផារ៉េម</t>
  </si>
  <si>
    <t>HORN</t>
  </si>
  <si>
    <t>PHAREM</t>
  </si>
  <si>
    <t>ខេត្តកំពង់ឆ្នាំង</t>
  </si>
  <si>
    <t>81 93 78 66</t>
  </si>
  <si>
    <t>Pumi​​3 sgáat; 01extþRBHsIhnu</t>
  </si>
  <si>
    <t>VRT351</t>
  </si>
  <si>
    <t>28110160384826ទ</t>
  </si>
  <si>
    <t>យ៉ែម</t>
  </si>
  <si>
    <t>សុខុម</t>
  </si>
  <si>
    <t>YEM</t>
  </si>
  <si>
    <t>SOKHOM</t>
  </si>
  <si>
    <t>81 320063</t>
  </si>
  <si>
    <t>Pumi​05 sgáat; 04extþRBHsIhnu</t>
  </si>
  <si>
    <t>VRT387</t>
  </si>
  <si>
    <t>28210160398253ទ</t>
  </si>
  <si>
    <t>អោម​</t>
  </si>
  <si>
    <t>ស៊ីដា</t>
  </si>
  <si>
    <t>ORM</t>
  </si>
  <si>
    <t>SIDA</t>
  </si>
  <si>
    <t>70​​​​ 754362</t>
  </si>
  <si>
    <t>Pumi 3 sgáat; 03extþRBHsIhnu</t>
  </si>
  <si>
    <t>VRT389</t>
  </si>
  <si>
    <t>28310160384666ផ</t>
  </si>
  <si>
    <t>សុត</t>
  </si>
  <si>
    <t>ស៊ាងហាក់</t>
  </si>
  <si>
    <t>SOTH</t>
  </si>
  <si>
    <t>SEANGHAK</t>
  </si>
  <si>
    <t>096 4117 147</t>
  </si>
  <si>
    <t>VRT426</t>
  </si>
  <si>
    <t>28110160398309ធ</t>
  </si>
  <si>
    <t>អូម</t>
  </si>
  <si>
    <t>ចាន់ធូ</t>
  </si>
  <si>
    <t>AUM</t>
  </si>
  <si>
    <t>CHANTHOU</t>
  </si>
  <si>
    <t>096 64 95 945</t>
  </si>
  <si>
    <t>Pumi 5 sgáat; 04extþRBHsIhnu</t>
  </si>
  <si>
    <t>VRT438</t>
  </si>
  <si>
    <t>28910160397674ហ</t>
  </si>
  <si>
    <t>ភី</t>
  </si>
  <si>
    <t>សាវី</t>
  </si>
  <si>
    <t>PHY</t>
  </si>
  <si>
    <t>SAVY</t>
  </si>
  <si>
    <t>016 80 88 84</t>
  </si>
  <si>
    <t>ភូមិ 01 សង្កាត់ 04  ក្រុងព្រះសីហនុ ខេត្តព្រះសីហនុ</t>
  </si>
  <si>
    <t>VRT450</t>
  </si>
  <si>
    <t>28110160398211ដ</t>
  </si>
  <si>
    <t>វ៉ាន់</t>
  </si>
  <si>
    <t>សុធា</t>
  </si>
  <si>
    <t>VAN</t>
  </si>
  <si>
    <t>SOTHEA</t>
  </si>
  <si>
    <t>88​ 79 29 930</t>
  </si>
  <si>
    <t>Pumi 1 sgáat; 02extþRBHsIhnu</t>
  </si>
  <si>
    <t>VRT456</t>
  </si>
  <si>
    <t>28310160398473ព</t>
  </si>
  <si>
    <t>ឡាច</t>
  </si>
  <si>
    <t>ឈុន</t>
  </si>
  <si>
    <t>LACH</t>
  </si>
  <si>
    <t>CHHUN</t>
  </si>
  <si>
    <t>កាត់ដេរ</t>
  </si>
  <si>
    <t>Pumiesetr sgáat; 02extþRBHsIhnu</t>
  </si>
  <si>
    <t>VRT511</t>
  </si>
  <si>
    <t>27510160398284ភ</t>
  </si>
  <si>
    <t>អ៊ុក</t>
  </si>
  <si>
    <t>ចាន់ធឿន</t>
  </si>
  <si>
    <t>UK</t>
  </si>
  <si>
    <t>CHANTHOEUN</t>
  </si>
  <si>
    <t>081 68 71 62</t>
  </si>
  <si>
    <t>មន្រ្តីរាជាការ</t>
  </si>
  <si>
    <t>ភូមិ 03 សង្កាត់ 03  ក្រុងព្រះសីហនុ ខេត្តព្រះសីហនុ</t>
  </si>
  <si>
    <t>VRT527</t>
  </si>
  <si>
    <t>28310160397900ថ</t>
  </si>
  <si>
    <t>ណាត</t>
  </si>
  <si>
    <t>ROS</t>
  </si>
  <si>
    <t>NATH</t>
  </si>
  <si>
    <t>016 32 52 30</t>
  </si>
  <si>
    <t>ជាងសំណង់</t>
  </si>
  <si>
    <t>ភូមិ 03 សង្កាត់ 01  ក្រុងព្រះសីហនុ ខេត្តព្រះសីហនុ</t>
  </si>
  <si>
    <t>VRT529</t>
  </si>
  <si>
    <t>28410160397325ធ</t>
  </si>
  <si>
    <t>ឆាយ</t>
  </si>
  <si>
    <t>ឆៃលាង</t>
  </si>
  <si>
    <t>CHHAY</t>
  </si>
  <si>
    <t>CHHAILEANG</t>
  </si>
  <si>
    <t>ភូមិ 05 សង្កាត់ 04  ក្រុងព្រះសីហនុ ខេត្តព្រះសីហនុ</t>
  </si>
  <si>
    <t>VRT530</t>
  </si>
  <si>
    <t>29110160384907ធ</t>
  </si>
  <si>
    <t>កៃ</t>
  </si>
  <si>
    <t>គឹមលី</t>
  </si>
  <si>
    <t>KAI</t>
  </si>
  <si>
    <t>KIMLY</t>
  </si>
  <si>
    <t>ខេត្តកោះកុង</t>
  </si>
  <si>
    <t>015 899 677</t>
  </si>
  <si>
    <t>ចិញ្ចឹមសត្វ</t>
  </si>
  <si>
    <t>ភូមិ 04 សង្កាត់ 04 ក្រុងព្រះសីហនុ ខេត្តព្រះសីហនុ</t>
  </si>
  <si>
    <t>VRT544</t>
  </si>
  <si>
    <t>29410160397944រ</t>
  </si>
  <si>
    <t>ឃួន</t>
  </si>
  <si>
    <t>សុភាស់</t>
  </si>
  <si>
    <t>KHUON</t>
  </si>
  <si>
    <t>SOPHOIS</t>
  </si>
  <si>
    <t>096 568 4325</t>
  </si>
  <si>
    <t xml:space="preserve"> ភូមិ 03 សង្កាត់ 05 ក្រុងព្រះសីហនុ ខេត្តព្រះសីហនុ</t>
  </si>
  <si>
    <t>VRT547</t>
  </si>
  <si>
    <t>28510160397784វ</t>
  </si>
  <si>
    <t>NOCH</t>
  </si>
  <si>
    <t>VRT553</t>
  </si>
  <si>
    <t>28910160397584ហ</t>
  </si>
  <si>
    <t>ហាក់</t>
  </si>
  <si>
    <t>សាលឹម</t>
  </si>
  <si>
    <t>HAK</t>
  </si>
  <si>
    <t>SALIM</t>
  </si>
  <si>
    <t>ក្រុម 68 ភូមិ01 សង្កាត់ 4 ក្រុងព្រះសីហនុ ខេត្តព្រះសីហនុ</t>
  </si>
  <si>
    <t>VRT555</t>
  </si>
  <si>
    <t>29210160397521ត</t>
  </si>
  <si>
    <t>ផន</t>
  </si>
  <si>
    <t>សារុំ</t>
  </si>
  <si>
    <t>SAROM</t>
  </si>
  <si>
    <t>096 45 78 898</t>
  </si>
  <si>
    <t>ភូមិ 05 សង្កាត់ 04 ក្រុងព្រះសីហនុ ខេត្តព្រះសីហនុ</t>
  </si>
  <si>
    <t>VRT560</t>
  </si>
  <si>
    <t>29410160397146ប</t>
  </si>
  <si>
    <t>ហៀន</t>
  </si>
  <si>
    <t>ពៅល័ក្ខណ</t>
  </si>
  <si>
    <t>HIEN</t>
  </si>
  <si>
    <t>POVLEAK</t>
  </si>
  <si>
    <t>096 47 77 121</t>
  </si>
  <si>
    <t>ក្រុម 20 ភូមិ 03 សង្កាត់ 01  ក្រុងព្រះសីហនុ ខេត្តព្រះសីហនុ</t>
  </si>
  <si>
    <t>VRT574</t>
  </si>
  <si>
    <t>28210160397790ព</t>
  </si>
  <si>
    <t>ងីម</t>
  </si>
  <si>
    <t>ស្រ៊ីម</t>
  </si>
  <si>
    <t>NGIM</t>
  </si>
  <si>
    <t>SRIM</t>
  </si>
  <si>
    <t>097 6667829</t>
  </si>
  <si>
    <t>ភូមិ 02 សង្កាត់ 03  ក្រុងព្រះសីហនុ ខេត្តព្រះសីហនុ</t>
  </si>
  <si>
    <t>VRT575</t>
  </si>
  <si>
    <t>28210160385274ថ</t>
  </si>
  <si>
    <t>នី</t>
  </si>
  <si>
    <t>គន្ធា</t>
  </si>
  <si>
    <t>NY</t>
  </si>
  <si>
    <t>KUNTHEA</t>
  </si>
  <si>
    <t>087 41 8618</t>
  </si>
  <si>
    <t>រត់ឡាន</t>
  </si>
  <si>
    <t>ភូមិ អូរមួយ សង្កាត់ 04  ក្រុងព្រះសីហនុ ខេត្តព្រះសីហនុ</t>
  </si>
  <si>
    <t>VRT585</t>
  </si>
  <si>
    <t>28310160397800ត</t>
  </si>
  <si>
    <t>ហែម</t>
  </si>
  <si>
    <t>ចាន់បូផា</t>
  </si>
  <si>
    <t>HEM</t>
  </si>
  <si>
    <t>CHAN BOPHA</t>
  </si>
  <si>
    <t>ធ្វើស្រែ</t>
  </si>
  <si>
    <t>VRT595</t>
  </si>
  <si>
    <t>28410160385058ធ</t>
  </si>
  <si>
    <t>នុន</t>
  </si>
  <si>
    <t xml:space="preserve">NON </t>
  </si>
  <si>
    <t xml:space="preserve"> សង្កាត់ 04  ក្រុងព្រះសីហនុ ខេត្តព្រះសីហនុ</t>
  </si>
  <si>
    <t>VRT599</t>
  </si>
  <si>
    <t>29110160384668ព</t>
  </si>
  <si>
    <t>96 7267500</t>
  </si>
  <si>
    <t>VRT600</t>
  </si>
  <si>
    <t>27610160397939ហ</t>
  </si>
  <si>
    <t>ប្រាក់</t>
  </si>
  <si>
    <t>ភាន</t>
  </si>
  <si>
    <t>PRAK</t>
  </si>
  <si>
    <t>PHEAN</t>
  </si>
  <si>
    <t>Apron A3</t>
  </si>
  <si>
    <t>អត់</t>
  </si>
  <si>
    <t>VRT121</t>
  </si>
  <si>
    <t>18910160385390ផ</t>
  </si>
  <si>
    <t>ភូ</t>
  </si>
  <si>
    <t>ពុទ្រា</t>
  </si>
  <si>
    <t>PHOU</t>
  </si>
  <si>
    <t>PUTREA</t>
  </si>
  <si>
    <t>016 519 221</t>
  </si>
  <si>
    <t>ភូមិ 01 សង្កាត់ 03  ក្រុងព្រះសីហនុ ខេត្តព្រះសីហនុ</t>
  </si>
  <si>
    <t>VRT263</t>
  </si>
  <si>
    <t>28910160384707ភ</t>
  </si>
  <si>
    <t>ពិ</t>
  </si>
  <si>
    <t>PE</t>
  </si>
  <si>
    <t>VRT480</t>
  </si>
  <si>
    <t>29810160384540ធ</t>
  </si>
  <si>
    <t>នេត</t>
  </si>
  <si>
    <t>សុភាព</t>
  </si>
  <si>
    <t>NET</t>
  </si>
  <si>
    <t>SOPHEAP</t>
  </si>
  <si>
    <t>ភូមិ 04 សង្កាត់ 04  ក្រុងព្រះសីហនុ ខេត្តព្រះសីហនុ</t>
  </si>
  <si>
    <t>VRT558</t>
  </si>
  <si>
    <t>28403170680264ធ</t>
  </si>
  <si>
    <t>រ៉ន</t>
  </si>
  <si>
    <t>PHAUK</t>
  </si>
  <si>
    <t>VRT572</t>
  </si>
  <si>
    <t>19510160397636ម</t>
  </si>
  <si>
    <t>ឌឿន</t>
  </si>
  <si>
    <t>DOEUN</t>
  </si>
  <si>
    <t>VRT603</t>
  </si>
  <si>
    <t>28610160397811ប</t>
  </si>
  <si>
    <t>យ៉ុង</t>
  </si>
  <si>
    <t>ថានី</t>
  </si>
  <si>
    <t xml:space="preserve">YONG </t>
  </si>
  <si>
    <t>THANY</t>
  </si>
  <si>
    <t>093 552151</t>
  </si>
  <si>
    <t>VRT605</t>
  </si>
  <si>
    <t>29610160397488ឡ</t>
  </si>
  <si>
    <t>NO</t>
  </si>
  <si>
    <t>ស្រីអូន</t>
  </si>
  <si>
    <t>SREY OUN</t>
  </si>
  <si>
    <t>096 6032433</t>
  </si>
  <si>
    <t>VRT611</t>
  </si>
  <si>
    <t>29710160397801ផ</t>
  </si>
  <si>
    <t>សាន់</t>
  </si>
  <si>
    <t>សម្ផស្ស</t>
  </si>
  <si>
    <t>SANN</t>
  </si>
  <si>
    <t>SAMPHORS</t>
  </si>
  <si>
    <t>093 449594</t>
  </si>
  <si>
    <t>VRT613</t>
  </si>
  <si>
    <t>29810160384464ភ</t>
  </si>
  <si>
    <t>រូ</t>
  </si>
  <si>
    <t>និច</t>
  </si>
  <si>
    <t>Ro</t>
  </si>
  <si>
    <t>Nich</t>
  </si>
  <si>
    <t>ភូមិ 02 សង្កាត់ 01  ក្រុងព្រះសីហនុ ខេត្តព្រះសីហនុ</t>
  </si>
  <si>
    <t>VRT617</t>
  </si>
  <si>
    <t>27510160397797ឡ</t>
  </si>
  <si>
    <t>អ៊ុំ</t>
  </si>
  <si>
    <t>ហ៊ុន</t>
  </si>
  <si>
    <t>UM</t>
  </si>
  <si>
    <t>HUN</t>
  </si>
  <si>
    <t xml:space="preserve">Cleaning Garment </t>
  </si>
  <si>
    <t>ជាងកាត់សក់</t>
  </si>
  <si>
    <t>VRT624</t>
  </si>
  <si>
    <t>28910160384833ភ</t>
  </si>
  <si>
    <t xml:space="preserve">KIM </t>
  </si>
  <si>
    <t>RATHNA</t>
  </si>
  <si>
    <t>071 9582585</t>
  </si>
  <si>
    <t>VRT630</t>
  </si>
  <si>
    <t>28010160398039ទ</t>
  </si>
  <si>
    <t>ចាន់ថន</t>
  </si>
  <si>
    <t xml:space="preserve">SET </t>
  </si>
  <si>
    <t>CHANTHAN</t>
  </si>
  <si>
    <t>នេសាទ</t>
  </si>
  <si>
    <t>VRT640</t>
  </si>
  <si>
    <t>27910160384984ស</t>
  </si>
  <si>
    <t>មឿង</t>
  </si>
  <si>
    <t>តារា</t>
  </si>
  <si>
    <t>MOEUNG</t>
  </si>
  <si>
    <t>DARA</t>
  </si>
  <si>
    <t>087 863598</t>
  </si>
  <si>
    <t>ជាងដែក</t>
  </si>
  <si>
    <t>VRT655</t>
  </si>
  <si>
    <t>28910160397471យ</t>
  </si>
  <si>
    <t>ផារី</t>
  </si>
  <si>
    <t>PHARY</t>
  </si>
  <si>
    <t>087 770573</t>
  </si>
  <si>
    <t>បើកឡាន</t>
  </si>
  <si>
    <t>VRT669</t>
  </si>
  <si>
    <t>28510160384831ទ</t>
  </si>
  <si>
    <t>ចន្នា</t>
  </si>
  <si>
    <t>CHANNA</t>
  </si>
  <si>
    <t>ពោធិ៍សាត់</t>
  </si>
  <si>
    <t>069 627 819</t>
  </si>
  <si>
    <t>ភូមិ 02 សង្កាត់ 02  ក្រុងព្រះសីហនុ ខេត្តព្រះសីហនុ</t>
  </si>
  <si>
    <t>VRT672</t>
  </si>
  <si>
    <t>29110160398204ឍ</t>
  </si>
  <si>
    <t>រ័ត្ន</t>
  </si>
  <si>
    <t>ROTH</t>
  </si>
  <si>
    <t>VRT91</t>
  </si>
  <si>
    <t>29510160397755ល</t>
  </si>
  <si>
    <t>គា</t>
  </si>
  <si>
    <t>KEA</t>
  </si>
  <si>
    <t>QC Apron B</t>
  </si>
  <si>
    <t>096 099 7021</t>
  </si>
  <si>
    <t>VRT114</t>
  </si>
  <si>
    <t>27210160384750ឍ</t>
  </si>
  <si>
    <t>ពេជ្រ</t>
  </si>
  <si>
    <t>សុផល</t>
  </si>
  <si>
    <t>PECH</t>
  </si>
  <si>
    <t>SOPHAL</t>
  </si>
  <si>
    <t>086 511 967</t>
  </si>
  <si>
    <t>VRT165</t>
  </si>
  <si>
    <t>16910160387080ទ</t>
  </si>
  <si>
    <t>ឆឹម</t>
  </si>
  <si>
    <t>ម៉ុងហួត</t>
  </si>
  <si>
    <t>CHHE</t>
  </si>
  <si>
    <t>MONG HOURT</t>
  </si>
  <si>
    <t>ក្រុងព្រះសីហនុ</t>
  </si>
  <si>
    <t>016 258111</t>
  </si>
  <si>
    <t>VRT175</t>
  </si>
  <si>
    <t>29010160384712ឋ</t>
  </si>
  <si>
    <t>ញ៉យ</t>
  </si>
  <si>
    <t>ញឹម</t>
  </si>
  <si>
    <t>NHORY</t>
  </si>
  <si>
    <t>NHOEM</t>
  </si>
  <si>
    <t>096 352 1383</t>
  </si>
  <si>
    <t>VRT319</t>
  </si>
  <si>
    <t>29110160397775យ</t>
  </si>
  <si>
    <t>ប៉ាន់</t>
  </si>
  <si>
    <t>PANN</t>
  </si>
  <si>
    <t>SIDOEUN</t>
  </si>
  <si>
    <t>VRT376</t>
  </si>
  <si>
    <t>29110160397589វ</t>
  </si>
  <si>
    <t>សាយ</t>
  </si>
  <si>
    <t>វន្នី</t>
  </si>
  <si>
    <t>SAY</t>
  </si>
  <si>
    <t>VANNY</t>
  </si>
  <si>
    <t>088 62 18 181</t>
  </si>
  <si>
    <t>VRT386</t>
  </si>
  <si>
    <t>29410160384734ន</t>
  </si>
  <si>
    <t>ផេង</t>
  </si>
  <si>
    <t>ដានី</t>
  </si>
  <si>
    <t>PHENG</t>
  </si>
  <si>
    <t>DANY</t>
  </si>
  <si>
    <t>086 98 1026</t>
  </si>
  <si>
    <t>ជាងឡាន</t>
  </si>
  <si>
    <t>ភូមិ ភ្នំខៀវ សង្កាត់ 02  ក្រុងព្រះសីហនុ ខេត្តព្រះសីហនុ</t>
  </si>
  <si>
    <t>VRT486</t>
  </si>
  <si>
    <t>29410160397682យ</t>
  </si>
  <si>
    <t>ស្រីនិច្ច</t>
  </si>
  <si>
    <t>SREYNECH</t>
  </si>
  <si>
    <t>ភូមិ ទំនប់រលក សង្កាត់ 02  ក្រុងព្រះសីហនុ ខេត្តព្រះសីហនុ</t>
  </si>
  <si>
    <t>VRT565</t>
  </si>
  <si>
    <t>28510160398164ផ</t>
  </si>
  <si>
    <t>សាក់</t>
  </si>
  <si>
    <t>ចាន់រ៉ា</t>
  </si>
  <si>
    <t>SAK</t>
  </si>
  <si>
    <t>CHANRA</t>
  </si>
  <si>
    <t>010 36 89 49</t>
  </si>
  <si>
    <t>VRT582</t>
  </si>
  <si>
    <t>28610160384975ល</t>
  </si>
  <si>
    <t>ដៀប</t>
  </si>
  <si>
    <t>អន</t>
  </si>
  <si>
    <t>DIEB</t>
  </si>
  <si>
    <t>ON</t>
  </si>
  <si>
    <t>ក្រុម12 សង្កាត់ 04  ក្រុងព្រះសីហនុ ខេត្តព្រះសីហនុ</t>
  </si>
  <si>
    <t>VRT49</t>
  </si>
  <si>
    <t>28610160384920ទ</t>
  </si>
  <si>
    <t>សន</t>
  </si>
  <si>
    <t>ស៊ីណាត</t>
  </si>
  <si>
    <t>SORN</t>
  </si>
  <si>
    <t>SINAT</t>
  </si>
  <si>
    <t>015 55 83 60</t>
  </si>
  <si>
    <t>កម្មករផែរ</t>
  </si>
  <si>
    <t>VRT92</t>
  </si>
  <si>
    <t>29010160397099ភ</t>
  </si>
  <si>
    <t>ស៊ាង</t>
  </si>
  <si>
    <t>ពុទ្ធី</t>
  </si>
  <si>
    <t xml:space="preserve">SEANG </t>
  </si>
  <si>
    <t>PUTHY</t>
  </si>
  <si>
    <t>096 680 6964</t>
  </si>
  <si>
    <t>តុកាត់</t>
  </si>
  <si>
    <t>ភូមិ ឃ្លាំងលើ សង្កាត់ 01  ក្រុងព្រះសីហនុ ខេត្តព្រះសីហនុ</t>
  </si>
  <si>
    <t>VRT176</t>
  </si>
  <si>
    <t>28710160397848ឡ</t>
  </si>
  <si>
    <t>យួង</t>
  </si>
  <si>
    <t>YUONG</t>
  </si>
  <si>
    <t>VRT185</t>
  </si>
  <si>
    <t>27810160397749ឡ</t>
  </si>
  <si>
    <t>ស្រីឃីម</t>
  </si>
  <si>
    <t>03  ក្រុងព្រះសីហនុ ខេត្តព្រះសីហនុ</t>
  </si>
  <si>
    <t>VRT189</t>
  </si>
  <si>
    <t>28910160384653ភ</t>
  </si>
  <si>
    <t>ឆន</t>
  </si>
  <si>
    <t>ស្រីទីន</t>
  </si>
  <si>
    <t>CHHORN</t>
  </si>
  <si>
    <t>SREYTIN</t>
  </si>
  <si>
    <t>093 70 39 80</t>
  </si>
  <si>
    <t>VRT234</t>
  </si>
  <si>
    <t>28510160397632ប</t>
  </si>
  <si>
    <t>យ៉ាន់</t>
  </si>
  <si>
    <t>ចាន់រី</t>
  </si>
  <si>
    <t>YANN</t>
  </si>
  <si>
    <t>CHANRY</t>
  </si>
  <si>
    <t>015 89 51 51</t>
  </si>
  <si>
    <t>រោងចក្រស្របៀ</t>
  </si>
  <si>
    <t>ភូមិ 02 សង្កាត់ 01 ក្រុងព្រះសីហនុ ខេត្តព្រះសីហនុ</t>
  </si>
  <si>
    <t>VRT246</t>
  </si>
  <si>
    <t>28110160397849រ</t>
  </si>
  <si>
    <t xml:space="preserve">យ៉ូន </t>
  </si>
  <si>
    <t>សំអឿន</t>
  </si>
  <si>
    <t>097 273 1977</t>
  </si>
  <si>
    <t>សន្តិសុខ</t>
  </si>
  <si>
    <t>ភូមិ 03 សង្កាត់ 03 ក្រុងព្រះសីហនុ ខេត្តព្រះសីហនុ</t>
  </si>
  <si>
    <t>VRT251</t>
  </si>
  <si>
    <t>28010160397162ឍ</t>
  </si>
  <si>
    <t>KHUN</t>
  </si>
  <si>
    <t>VRT274</t>
  </si>
  <si>
    <t>29110160398392ផ</t>
  </si>
  <si>
    <t>តឹប</t>
  </si>
  <si>
    <t>ចង្រិត</t>
  </si>
  <si>
    <t>TOEB</t>
  </si>
  <si>
    <t>CHANGRETH</t>
  </si>
  <si>
    <t>096 311 4359</t>
  </si>
  <si>
    <t>ភូមិ 01 សង្កាត់ 02 ក្រុងព្រះសីហនុ ខេត្តព្រះសីហនុ</t>
  </si>
  <si>
    <t>VRT280</t>
  </si>
  <si>
    <t>28610160397432ន</t>
  </si>
  <si>
    <t>សុខឿន</t>
  </si>
  <si>
    <t>SOKHOEURN</t>
  </si>
  <si>
    <t>096 8555 998</t>
  </si>
  <si>
    <t>លក់ថ្នាំ</t>
  </si>
  <si>
    <t>ភូមិ 01 សង្កាត់ 04 ក្រុងព្រះសីហនុ ខេត្តព្រះសីហនុ</t>
  </si>
  <si>
    <t>VRT295</t>
  </si>
  <si>
    <t>27110160384915ត</t>
  </si>
  <si>
    <t>ឈឹម</t>
  </si>
  <si>
    <t>រៀម</t>
  </si>
  <si>
    <t>CHHIM</t>
  </si>
  <si>
    <t>REAM</t>
  </si>
  <si>
    <t>016 793 998</t>
  </si>
  <si>
    <t>ភូមិ 12 សង្កាត់ 02 ក្រុងព្រះសីហនុ ខេត្តព្រះសីហនុ</t>
  </si>
  <si>
    <t>VRT308</t>
  </si>
  <si>
    <t>28110160397269ព</t>
  </si>
  <si>
    <t>កូវ</t>
  </si>
  <si>
    <t>សាឌី</t>
  </si>
  <si>
    <t>KOV</t>
  </si>
  <si>
    <t>SADY</t>
  </si>
  <si>
    <t>096 87 86 962</t>
  </si>
  <si>
    <t>ភូមិ 03 សង្កាត់ 02 ក្រុងព្រះសីហនុ ខេត្តព្រះសីហនុ</t>
  </si>
  <si>
    <t>VRT318</t>
  </si>
  <si>
    <t>28510160398407ផ</t>
  </si>
  <si>
    <t>093 59 91 45</t>
  </si>
  <si>
    <t>VRT368</t>
  </si>
  <si>
    <t>27803170680060ត</t>
  </si>
  <si>
    <t>SENG</t>
  </si>
  <si>
    <t>016 68 92 78</t>
  </si>
  <si>
    <t>ក្រុមហ៊ុនសំណង់</t>
  </si>
  <si>
    <t>ភូមិ 03 សង្កាត់ 01 ក្រុងព្រះសីហនុ ខេត្តព្រះសីហនុ</t>
  </si>
  <si>
    <t>VRT379</t>
  </si>
  <si>
    <t>28103170682667ម</t>
  </si>
  <si>
    <t>រត្ននា</t>
  </si>
  <si>
    <t>CHHOEM</t>
  </si>
  <si>
    <t>ROTANA</t>
  </si>
  <si>
    <t>097 800 36 75</t>
  </si>
  <si>
    <t>ភូមិ 02 សង្កាត់ 03 ក្រុងព្រះសីហនុ ខេត្តព្រះសីហនុ</t>
  </si>
  <si>
    <t>VRT414</t>
  </si>
  <si>
    <t>28301160030403ឡ</t>
  </si>
  <si>
    <t>កែ</t>
  </si>
  <si>
    <t>KE</t>
  </si>
  <si>
    <t>កំពង់ធំ</t>
  </si>
  <si>
    <t>010 44 66 07</t>
  </si>
  <si>
    <t>VRT416</t>
  </si>
  <si>
    <t>28503170680306ថ</t>
  </si>
  <si>
    <t>សីណា</t>
  </si>
  <si>
    <t>SEYNA</t>
  </si>
  <si>
    <t>VRT443</t>
  </si>
  <si>
    <t>16210160384775ធ</t>
  </si>
  <si>
    <t>ភារម្យ</t>
  </si>
  <si>
    <t>PHEARUM</t>
  </si>
  <si>
    <t>Service on line</t>
  </si>
  <si>
    <t>ភូមិ 01 សង្កាត់ 01 ក្រុងព្រះសីហនុ ខេត្តព្រះសីហនុ</t>
  </si>
  <si>
    <t>VRT449</t>
  </si>
  <si>
    <t>27910160397189ហ</t>
  </si>
  <si>
    <t>ងួន</t>
  </si>
  <si>
    <t>ស៊ីណែម</t>
  </si>
  <si>
    <t>SINEM</t>
  </si>
  <si>
    <t>097 48 47 823</t>
  </si>
  <si>
    <t>VRT465</t>
  </si>
  <si>
    <t>29410160397704ប</t>
  </si>
  <si>
    <t>ណៃវី</t>
  </si>
  <si>
    <t>NAI VY</t>
  </si>
  <si>
    <t>071 72 50 552</t>
  </si>
  <si>
    <t>កម្មកររោងចក្រ</t>
  </si>
  <si>
    <t>VRT471</t>
  </si>
  <si>
    <t>28110160384765ន</t>
  </si>
  <si>
    <t>ស្រីទូច</t>
  </si>
  <si>
    <t>RET</t>
  </si>
  <si>
    <t>SREYTOUCH</t>
  </si>
  <si>
    <t>070 84 29 01</t>
  </si>
  <si>
    <t>បើកបរ</t>
  </si>
  <si>
    <t>សង្កាត់ 01 ក្រុងព្រះសីហនុ ខេត្តព្រះសីហនុ</t>
  </si>
  <si>
    <t>VRT489</t>
  </si>
  <si>
    <t>29405170764919ឡ</t>
  </si>
  <si>
    <t>ញ៉ែត</t>
  </si>
  <si>
    <t>វ៉ានឌី</t>
  </si>
  <si>
    <t>NHET</t>
  </si>
  <si>
    <t>096 69 333 49</t>
  </si>
  <si>
    <t>កម្មករសំណង់</t>
  </si>
  <si>
    <t>VRT499</t>
  </si>
  <si>
    <t>28610160397706ភ</t>
  </si>
  <si>
    <t>ចាន់វាសនា</t>
  </si>
  <si>
    <t>CHAN VEASNA</t>
  </si>
  <si>
    <t>015 335 835</t>
  </si>
  <si>
    <t>VRT509</t>
  </si>
  <si>
    <t>29010160398468ម</t>
  </si>
  <si>
    <t>អេង</t>
  </si>
  <si>
    <t>ENG</t>
  </si>
  <si>
    <t>088 271 80 44</t>
  </si>
  <si>
    <t>ភូមិ 02 សង្កាត់ 02 ក្រុងព្រះសីហនុ ខេត្តព្រះសីហនុ</t>
  </si>
  <si>
    <t>VRT512</t>
  </si>
  <si>
    <t>28303170680344ថ</t>
  </si>
  <si>
    <t>ស៊ុន</t>
  </si>
  <si>
    <t>សេងឡាង</t>
  </si>
  <si>
    <t>SUN</t>
  </si>
  <si>
    <t>SENGLANG</t>
  </si>
  <si>
    <t>097 61 87 435</t>
  </si>
  <si>
    <t>VRT523</t>
  </si>
  <si>
    <t>28610160384564ផ</t>
  </si>
  <si>
    <t>ទេស</t>
  </si>
  <si>
    <t>សុធី</t>
  </si>
  <si>
    <t>TES</t>
  </si>
  <si>
    <t>SOTHY</t>
  </si>
  <si>
    <t>096 58 71 727</t>
  </si>
  <si>
    <t>ជាងថតរូប</t>
  </si>
  <si>
    <t>VRT542</t>
  </si>
  <si>
    <t>18503170680506ទ</t>
  </si>
  <si>
    <t>សូយ</t>
  </si>
  <si>
    <t>វ៉ាន់ឌី</t>
  </si>
  <si>
    <t>015 29 21 94</t>
  </si>
  <si>
    <t>កម្មការិនី វ៉ានធីជ</t>
  </si>
  <si>
    <t>VRT580</t>
  </si>
  <si>
    <t>29510160384752ប</t>
  </si>
  <si>
    <t>ហម</t>
  </si>
  <si>
    <t>គឹមស្រួយ</t>
  </si>
  <si>
    <t>HOM</t>
  </si>
  <si>
    <t>KEMSROY</t>
  </si>
  <si>
    <t>093 83 84 72</t>
  </si>
  <si>
    <t>ភូមិ 05 សង្កាត់ 01 ក្រុងព្រះសីហនុ ខេត្តព្រះសីហនុ</t>
  </si>
  <si>
    <t>VRT591</t>
  </si>
  <si>
    <t>27203170680341ឋ</t>
  </si>
  <si>
    <t>017 930 255</t>
  </si>
  <si>
    <t>VRT594</t>
  </si>
  <si>
    <t>28603170680126ទ</t>
  </si>
  <si>
    <t>អ៊ុង</t>
  </si>
  <si>
    <t>UNG</t>
  </si>
  <si>
    <t>098 53 44 94</t>
  </si>
  <si>
    <t>VRT614</t>
  </si>
  <si>
    <t>29103170680443ត</t>
  </si>
  <si>
    <t>ហួន</t>
  </si>
  <si>
    <t>ចន្ធូ</t>
  </si>
  <si>
    <t>HUON</t>
  </si>
  <si>
    <t>015 76 44 72</t>
  </si>
  <si>
    <t>VRT637</t>
  </si>
  <si>
    <t>29510160388637រ</t>
  </si>
  <si>
    <t>គួយ</t>
  </si>
  <si>
    <t>KUY</t>
  </si>
  <si>
    <t>RATANA</t>
  </si>
  <si>
    <t>ខេត្តរតនគីរី</t>
  </si>
  <si>
    <t>071 561 3300</t>
  </si>
  <si>
    <t>VRT642</t>
  </si>
  <si>
    <t>28911160399544ស</t>
  </si>
  <si>
    <t>សុន</t>
  </si>
  <si>
    <t>096 420 2008</t>
  </si>
  <si>
    <t>VRT643</t>
  </si>
  <si>
    <t>29811160400028ញ</t>
  </si>
  <si>
    <t>អោម</t>
  </si>
  <si>
    <t>កុសល</t>
  </si>
  <si>
    <t>KOSAL</t>
  </si>
  <si>
    <t>070 912 478</t>
  </si>
  <si>
    <t>VRT666</t>
  </si>
  <si>
    <t>28310160389184ផ</t>
  </si>
  <si>
    <t>ពឿន</t>
  </si>
  <si>
    <t>POEUN</t>
  </si>
  <si>
    <t>097 85 83 304</t>
  </si>
  <si>
    <t>VRT677</t>
  </si>
  <si>
    <t>28403170680286ព</t>
  </si>
  <si>
    <t>អ៊ួង</t>
  </si>
  <si>
    <t>សារ៉ា</t>
  </si>
  <si>
    <t>OUNG</t>
  </si>
  <si>
    <t>SARA</t>
  </si>
  <si>
    <t>096 92 82 998</t>
  </si>
  <si>
    <t>VRT682</t>
  </si>
  <si>
    <t>29203170680109ត</t>
  </si>
  <si>
    <t>ស្រីរត្ន័</t>
  </si>
  <si>
    <t>SREYRORTH</t>
  </si>
  <si>
    <t>088 909 1974</t>
  </si>
  <si>
    <t>VRT684</t>
  </si>
  <si>
    <t>28503170680350ត</t>
  </si>
  <si>
    <t xml:space="preserve">PHENG </t>
  </si>
  <si>
    <t>070 88 64 08</t>
  </si>
  <si>
    <t>VRT155</t>
  </si>
  <si>
    <t>27503170680358ព</t>
  </si>
  <si>
    <t>ហួរ</t>
  </si>
  <si>
    <t>សាវុន</t>
  </si>
  <si>
    <t>HOUR</t>
  </si>
  <si>
    <t>SAVUN</t>
  </si>
  <si>
    <t>097 866 9507</t>
  </si>
  <si>
    <t>មន្រ្តីរាជការ</t>
  </si>
  <si>
    <t>VRT237</t>
  </si>
  <si>
    <t>28310160390862ថ</t>
  </si>
  <si>
    <t>ចន្ថា</t>
  </si>
  <si>
    <t>VANN</t>
  </si>
  <si>
    <t>093 401 233</t>
  </si>
  <si>
    <t>VRT325</t>
  </si>
  <si>
    <t>28903170680334ផ</t>
  </si>
  <si>
    <t>អ៊ីង</t>
  </si>
  <si>
    <t>ណែត</t>
  </si>
  <si>
    <t>ING</t>
  </si>
  <si>
    <t>015 960  791</t>
  </si>
  <si>
    <t>បន្ទក់</t>
  </si>
  <si>
    <t>VRT333</t>
  </si>
  <si>
    <t>18003170680426ឍ</t>
  </si>
  <si>
    <t>ស៊ីថាន</t>
  </si>
  <si>
    <t xml:space="preserve">YOUNG </t>
  </si>
  <si>
    <t>SITHAN</t>
  </si>
  <si>
    <t>016 306 874</t>
  </si>
  <si>
    <t>VRT365</t>
  </si>
  <si>
    <t>29610160398725រ</t>
  </si>
  <si>
    <t>ឌី</t>
  </si>
  <si>
    <t>DY</t>
  </si>
  <si>
    <t>​5</t>
  </si>
  <si>
    <t>016 219 300</t>
  </si>
  <si>
    <t>VRT454</t>
  </si>
  <si>
    <t>29711160399657ក</t>
  </si>
  <si>
    <t>ឌុន</t>
  </si>
  <si>
    <t>ហួង</t>
  </si>
  <si>
    <t>DUN</t>
  </si>
  <si>
    <t>HOUNG</t>
  </si>
  <si>
    <t>096 55 68 745</t>
  </si>
  <si>
    <t>VRT503</t>
  </si>
  <si>
    <t>28610160384745ព</t>
  </si>
  <si>
    <t>ភុស</t>
  </si>
  <si>
    <t>ស្រីពៅ</t>
  </si>
  <si>
    <t>PHOS</t>
  </si>
  <si>
    <t>SREYPOV</t>
  </si>
  <si>
    <t>090 663 300</t>
  </si>
  <si>
    <t>VRT569</t>
  </si>
  <si>
    <t>28103170680361ឍ</t>
  </si>
  <si>
    <t>យឿង</t>
  </si>
  <si>
    <t>YOEUNG</t>
  </si>
  <si>
    <t>071 80 122 76</t>
  </si>
  <si>
    <t>VRT3</t>
  </si>
  <si>
    <t>28603170680195ភ</t>
  </si>
  <si>
    <t>កៅ</t>
  </si>
  <si>
    <t>សុធារី</t>
  </si>
  <si>
    <t>KAO</t>
  </si>
  <si>
    <t>SOTHEARY</t>
  </si>
  <si>
    <t>070 913 215</t>
  </si>
  <si>
    <t>VRT10</t>
  </si>
  <si>
    <t>28611160399797ឃ</t>
  </si>
  <si>
    <t>យ៉ាង</t>
  </si>
  <si>
    <t xml:space="preserve">YANG </t>
  </si>
  <si>
    <t>096 2464713</t>
  </si>
  <si>
    <t>VRT32</t>
  </si>
  <si>
    <t>29403170680310ឋ</t>
  </si>
  <si>
    <t>សក្ខិណា</t>
  </si>
  <si>
    <t>SAKHENA</t>
  </si>
  <si>
    <t>069 263980</t>
  </si>
  <si>
    <t>VRT68</t>
  </si>
  <si>
    <t>29311160400457ដ</t>
  </si>
  <si>
    <t>ឌុយ</t>
  </si>
  <si>
    <t>និមុល</t>
  </si>
  <si>
    <t>DUY</t>
  </si>
  <si>
    <t>NIMOL</t>
  </si>
  <si>
    <t>016 858281</t>
  </si>
  <si>
    <t>VRT69</t>
  </si>
  <si>
    <t>28610160398425ព</t>
  </si>
  <si>
    <t>កេន</t>
  </si>
  <si>
    <t>KEN</t>
  </si>
  <si>
    <t>VRT110</t>
  </si>
  <si>
    <t>28303170680216ណ</t>
  </si>
  <si>
    <t>ទី</t>
  </si>
  <si>
    <t>TY</t>
  </si>
  <si>
    <t>MOM</t>
  </si>
  <si>
    <t>VRT149</t>
  </si>
  <si>
    <t>29503170680046ធ</t>
  </si>
  <si>
    <t xml:space="preserve">មឿន </t>
  </si>
  <si>
    <t>ចន្លី</t>
  </si>
  <si>
    <t>MOEURN</t>
  </si>
  <si>
    <t>CHANLY</t>
  </si>
  <si>
    <t>081 964313</t>
  </si>
  <si>
    <t>ភូមិ 02 សង្កាត់ 04 ក្រុងព្រះសីហនុ ខេត្តព្រះសីហនុ</t>
  </si>
  <si>
    <t>VRT200</t>
  </si>
  <si>
    <t>29510160391572ធ</t>
  </si>
  <si>
    <t xml:space="preserve">KONG </t>
  </si>
  <si>
    <t>093 44 1929</t>
  </si>
  <si>
    <t>VRT241</t>
  </si>
  <si>
    <t>28805170781704យ</t>
  </si>
  <si>
    <t>ឡាង</t>
  </si>
  <si>
    <t>សូន</t>
  </si>
  <si>
    <t>LANG</t>
  </si>
  <si>
    <t>SAUN</t>
  </si>
  <si>
    <t>VRT268</t>
  </si>
  <si>
    <t>19808170874155ឡ</t>
  </si>
  <si>
    <t>ពោច</t>
  </si>
  <si>
    <t>VRT525</t>
  </si>
  <si>
    <t>28603170680161ត</t>
  </si>
  <si>
    <t>ផាត</t>
  </si>
  <si>
    <t>សុ</t>
  </si>
  <si>
    <t>PHATH</t>
  </si>
  <si>
    <t>016 38 28 54</t>
  </si>
  <si>
    <t>បុគ្គលិកនៅក្នុងពេទ្យ</t>
  </si>
  <si>
    <t>VRT590</t>
  </si>
  <si>
    <t>29608170879038គ</t>
  </si>
  <si>
    <t>ប៉ែន</t>
  </si>
  <si>
    <t>ចានមុន្នីរ័ត្ន</t>
  </si>
  <si>
    <t>PEN</t>
  </si>
  <si>
    <t>CHANMUNIROATH</t>
  </si>
  <si>
    <t>010 99 28 07</t>
  </si>
  <si>
    <t>VRT632</t>
  </si>
  <si>
    <t>29205170761932ផ</t>
  </si>
  <si>
    <t>ភាស់</t>
  </si>
  <si>
    <t>SAM</t>
  </si>
  <si>
    <t>PHORS</t>
  </si>
  <si>
    <t>096 40 86 759</t>
  </si>
  <si>
    <t>VRT656</t>
  </si>
  <si>
    <t>29810160398832ល</t>
  </si>
  <si>
    <t>ស្រីនិច</t>
  </si>
  <si>
    <t>SREYNICH</t>
  </si>
  <si>
    <t>015 54 0081</t>
  </si>
  <si>
    <t>VRT662</t>
  </si>
  <si>
    <t>28505178763498អ</t>
  </si>
  <si>
    <t>យឹម</t>
  </si>
  <si>
    <t>ភួន</t>
  </si>
  <si>
    <t>YOEM</t>
  </si>
  <si>
    <t>PHOUN</t>
  </si>
  <si>
    <t>088 343679</t>
  </si>
  <si>
    <t>ភូមិ 05 សង្កាត់ 03 ក្រុងព្រះសីហនុ ខេត្តព្រះសីហនុ</t>
  </si>
  <si>
    <t>VRT663</t>
  </si>
  <si>
    <t>28805170758100ន</t>
  </si>
  <si>
    <t>ស្រីស្រស់</t>
  </si>
  <si>
    <t>SREYSRAS</t>
  </si>
  <si>
    <t>096 57 45 979</t>
  </si>
  <si>
    <t>ជាង ភ្លើង</t>
  </si>
  <si>
    <t>VRT680</t>
  </si>
  <si>
    <t>28010160389220ញ</t>
  </si>
  <si>
    <t>ចាន់</t>
  </si>
  <si>
    <t>CHAN</t>
  </si>
  <si>
    <t>SOKHON</t>
  </si>
  <si>
    <t>015 75 11 54</t>
  </si>
  <si>
    <t>VRT695</t>
  </si>
  <si>
    <t>29310160388771ភ</t>
  </si>
  <si>
    <t>SREYAUN</t>
  </si>
  <si>
    <t>096 46 71294</t>
  </si>
  <si>
    <t>VRT697</t>
  </si>
  <si>
    <t>29110160388035ណ</t>
  </si>
  <si>
    <t>សុខឃៀម</t>
  </si>
  <si>
    <t>SOKKHIEM</t>
  </si>
  <si>
    <t>VRT698</t>
  </si>
  <si>
    <t>29502150018407ឋ</t>
  </si>
  <si>
    <t>ម៉ឹង</t>
  </si>
  <si>
    <t>ប៉ាក់</t>
  </si>
  <si>
    <t>MOENG</t>
  </si>
  <si>
    <t>PAK</t>
  </si>
  <si>
    <t>096 4391741</t>
  </si>
  <si>
    <t>VRT699</t>
  </si>
  <si>
    <t>28710160388354ភ</t>
  </si>
  <si>
    <t>ពិសី</t>
  </si>
  <si>
    <t>SOEURN</t>
  </si>
  <si>
    <t>PISEY</t>
  </si>
  <si>
    <t>066 797393</t>
  </si>
  <si>
    <t>VRT700</t>
  </si>
  <si>
    <t>29608170878602ឡ</t>
  </si>
  <si>
    <t>070 857912</t>
  </si>
  <si>
    <t>VRT11</t>
  </si>
  <si>
    <t>28805170760373ម</t>
  </si>
  <si>
    <t>គីមសាង</t>
  </si>
  <si>
    <t>KIMSANG</t>
  </si>
  <si>
    <t>VRT80</t>
  </si>
  <si>
    <t>29707170826881ក</t>
  </si>
  <si>
    <t>ណយ</t>
  </si>
  <si>
    <t>អាន</t>
  </si>
  <si>
    <t>NOY</t>
  </si>
  <si>
    <t>ANN</t>
  </si>
  <si>
    <t>087 50 99 93</t>
  </si>
  <si>
    <t>VRT88</t>
  </si>
  <si>
    <t>29611160400555ឌ</t>
  </si>
  <si>
    <t>061588573</t>
  </si>
  <si>
    <t>សាន</t>
  </si>
  <si>
    <t>គន្ធី</t>
  </si>
  <si>
    <t>SAN</t>
  </si>
  <si>
    <t>KUNTHY</t>
  </si>
  <si>
    <t>097 83 82 251</t>
  </si>
  <si>
    <t>VRT96</t>
  </si>
  <si>
    <t>28705170766738ខ</t>
  </si>
  <si>
    <t>ផាង</t>
  </si>
  <si>
    <t>គឹមលីលី</t>
  </si>
  <si>
    <t>KOEMLYLY</t>
  </si>
  <si>
    <t>016 380047</t>
  </si>
  <si>
    <t>VRT142</t>
  </si>
  <si>
    <t>27911160399862ឡ</t>
  </si>
  <si>
    <t>ហែ</t>
  </si>
  <si>
    <t>RUOS</t>
  </si>
  <si>
    <t>HE</t>
  </si>
  <si>
    <t>097 50 37 262</t>
  </si>
  <si>
    <t>VRT166</t>
  </si>
  <si>
    <t>18704170693633យ</t>
  </si>
  <si>
    <t>សៀង</t>
  </si>
  <si>
    <t>វាសនា</t>
  </si>
  <si>
    <t>SEANG</t>
  </si>
  <si>
    <t>VEASNA</t>
  </si>
  <si>
    <t>096 447 25 78</t>
  </si>
  <si>
    <t>ភូមិ 19 សង្កាត់ 01 ក្រុងព្រះសីហនុ ខេត្តព្រះសីហនុ</t>
  </si>
  <si>
    <t>VRT171</t>
  </si>
  <si>
    <t>29707170542512ព</t>
  </si>
  <si>
    <t>សារ</t>
  </si>
  <si>
    <t>ស្រីនួន</t>
  </si>
  <si>
    <t>SA</t>
  </si>
  <si>
    <t>SREYNUON</t>
  </si>
  <si>
    <t>ភូមិ 04 សង្កាត់ 05 ក្រុងព្រះសីហនុ ខេត្តព្រះសីហនុ</t>
  </si>
  <si>
    <t>VRT186</t>
  </si>
  <si>
    <t>29107170829189ឡ</t>
  </si>
  <si>
    <t>ខុន</t>
  </si>
  <si>
    <t>KHON</t>
  </si>
  <si>
    <t>VRT195</t>
  </si>
  <si>
    <t>29310160346028ឌ</t>
  </si>
  <si>
    <t>020858804</t>
  </si>
  <si>
    <t>ចុង</t>
  </si>
  <si>
    <t>សុខជា</t>
  </si>
  <si>
    <t>CHONG</t>
  </si>
  <si>
    <t>SOCHEA</t>
  </si>
  <si>
    <t>096 919 44 07</t>
  </si>
  <si>
    <t>VRT199</t>
  </si>
  <si>
    <t>28712160539567ស</t>
  </si>
  <si>
    <t>051358686</t>
  </si>
  <si>
    <t>ជុំ</t>
  </si>
  <si>
    <t>CHUM</t>
  </si>
  <si>
    <t>CHENDA</t>
  </si>
  <si>
    <t>096 23 78 754</t>
  </si>
  <si>
    <t>VRT203</t>
  </si>
  <si>
    <t>28907170845602រ</t>
  </si>
  <si>
    <t>093 95 27 28</t>
  </si>
  <si>
    <t>VRT213</t>
  </si>
  <si>
    <t>28711160400484ឍ</t>
  </si>
  <si>
    <t>051204241</t>
  </si>
  <si>
    <t>វ៉ាន់ដា</t>
  </si>
  <si>
    <t>VANNDA</t>
  </si>
  <si>
    <t>010 24 52 69</t>
  </si>
  <si>
    <t>VRT214</t>
  </si>
  <si>
    <t>29607170829736ខ</t>
  </si>
  <si>
    <t>ស្រីដាវ</t>
  </si>
  <si>
    <t>LIM</t>
  </si>
  <si>
    <t>SREYDAV</t>
  </si>
  <si>
    <t>096 46 90 370</t>
  </si>
  <si>
    <t>ភូមិ 03 សង្កាត់ 04 ក្រុងព្រះសីហនុ ខេត្តព្រះសីហនុ</t>
  </si>
  <si>
    <t>VRT228</t>
  </si>
  <si>
    <t>29007170820413ឋ</t>
  </si>
  <si>
    <t>ហ៊ួន</t>
  </si>
  <si>
    <t>ជី</t>
  </si>
  <si>
    <t>CHY</t>
  </si>
  <si>
    <t>VRT231</t>
  </si>
  <si>
    <t>29011160400349ជ</t>
  </si>
  <si>
    <t>050846317</t>
  </si>
  <si>
    <t>ស៊ីន</t>
  </si>
  <si>
    <t>ស៊ាងហុង</t>
  </si>
  <si>
    <t>SINN</t>
  </si>
  <si>
    <t>SEANG HONG</t>
  </si>
  <si>
    <t>096 60 31 829</t>
  </si>
  <si>
    <t>VRT247</t>
  </si>
  <si>
    <t>29907170822342ឆ</t>
  </si>
  <si>
    <t>ស្រីសួរ</t>
  </si>
  <si>
    <t>KHAV</t>
  </si>
  <si>
    <t>SREYSOUR</t>
  </si>
  <si>
    <t>015 620 993</t>
  </si>
  <si>
    <t>VRT248</t>
  </si>
  <si>
    <t>28707170820438ម</t>
  </si>
  <si>
    <t>សេស</t>
  </si>
  <si>
    <t>សុផាត</t>
  </si>
  <si>
    <t>SES</t>
  </si>
  <si>
    <t>SOPHAT</t>
  </si>
  <si>
    <t>098 93 24 91</t>
  </si>
  <si>
    <t>VRT262</t>
  </si>
  <si>
    <t>28510160388812ប</t>
  </si>
  <si>
    <t>030323530</t>
  </si>
  <si>
    <t>HENG</t>
  </si>
  <si>
    <t>087 86 37 48</t>
  </si>
  <si>
    <t>VRT297</t>
  </si>
  <si>
    <t>29707170834330ផ</t>
  </si>
  <si>
    <t>06100696</t>
  </si>
  <si>
    <t>ធារី</t>
  </si>
  <si>
    <t>093 34 14 55</t>
  </si>
  <si>
    <t>VRT300</t>
  </si>
  <si>
    <t>28607170842515ត</t>
  </si>
  <si>
    <t>050383983</t>
  </si>
  <si>
    <t>ស៊ូ</t>
  </si>
  <si>
    <t>ចាន់នាង</t>
  </si>
  <si>
    <t>SOU</t>
  </si>
  <si>
    <t>CHANNEANG</t>
  </si>
  <si>
    <t>010 35 46 09</t>
  </si>
  <si>
    <t>VRT307</t>
  </si>
  <si>
    <t>294101603889446វ</t>
  </si>
  <si>
    <t>សា</t>
  </si>
  <si>
    <t>ស្តើង</t>
  </si>
  <si>
    <t>SDOENG</t>
  </si>
  <si>
    <t>096 469 0370</t>
  </si>
  <si>
    <t>VRT310</t>
  </si>
  <si>
    <t>29610160389953ឡ</t>
  </si>
  <si>
    <t>THY</t>
  </si>
  <si>
    <t>010 413288</t>
  </si>
  <si>
    <t>VRT324</t>
  </si>
  <si>
    <t>29508170868717ឃ</t>
  </si>
  <si>
    <t>050823398</t>
  </si>
  <si>
    <t>VORN</t>
  </si>
  <si>
    <t>Cut&amp;Sew Office</t>
  </si>
  <si>
    <t>បរិញ្ញាបត្រ</t>
  </si>
  <si>
    <t>016 35 67 25</t>
  </si>
  <si>
    <t>VRT330</t>
  </si>
  <si>
    <t>28211160399756ល</t>
  </si>
  <si>
    <t>051177614</t>
  </si>
  <si>
    <t>វង្ស</t>
  </si>
  <si>
    <t>សុខមាស</t>
  </si>
  <si>
    <t>VORNG</t>
  </si>
  <si>
    <t>SOKMEAS</t>
  </si>
  <si>
    <t>070 81 45 08</t>
  </si>
  <si>
    <t>VRT353</t>
  </si>
  <si>
    <t>29209170897715ខ</t>
  </si>
  <si>
    <t>ស៊ាន</t>
  </si>
  <si>
    <t>ស្រីម៉ុន</t>
  </si>
  <si>
    <t>SEAN</t>
  </si>
  <si>
    <t>SREYMON</t>
  </si>
  <si>
    <t>088 895 11 66</t>
  </si>
  <si>
    <t>VRT366</t>
  </si>
  <si>
    <t>29610170936632ព</t>
  </si>
  <si>
    <t>ហូល</t>
  </si>
  <si>
    <t>HOL</t>
  </si>
  <si>
    <t>088 768 1 844</t>
  </si>
  <si>
    <t>VRT367</t>
  </si>
  <si>
    <t>28710170935640ប</t>
  </si>
  <si>
    <t>040478301</t>
  </si>
  <si>
    <t>សុភា</t>
  </si>
  <si>
    <t>098 546 392</t>
  </si>
  <si>
    <t>ប្តីរត់ម៉ូតូឌុប</t>
  </si>
  <si>
    <t>VRT385</t>
  </si>
  <si>
    <t>17010160341032ស</t>
  </si>
  <si>
    <t>061972377</t>
  </si>
  <si>
    <t>លាម</t>
  </si>
  <si>
    <t>VRT388</t>
  </si>
  <si>
    <t>27603170675445ម</t>
  </si>
  <si>
    <t>061669372</t>
  </si>
  <si>
    <t>សុនាង</t>
  </si>
  <si>
    <t>TOEM</t>
  </si>
  <si>
    <t>SOTEANG</t>
  </si>
  <si>
    <t>VRT391</t>
  </si>
  <si>
    <t>29808170877066ឃ</t>
  </si>
  <si>
    <t>021027861</t>
  </si>
  <si>
    <t>ម៉ៅ</t>
  </si>
  <si>
    <t>ស្រីហួយ</t>
  </si>
  <si>
    <t>MAO</t>
  </si>
  <si>
    <t>SREYHUOY</t>
  </si>
  <si>
    <t>096 7039 552</t>
  </si>
  <si>
    <t>VRT421</t>
  </si>
  <si>
    <t>28310170925389យ</t>
  </si>
  <si>
    <t>SY NAT</t>
  </si>
  <si>
    <t>071 26 71 802</t>
  </si>
  <si>
    <t>VRT430</t>
  </si>
  <si>
    <t>28811160399707ស</t>
  </si>
  <si>
    <t>051563455</t>
  </si>
  <si>
    <t>ភិន</t>
  </si>
  <si>
    <t>068 59 89 58</t>
  </si>
  <si>
    <t>VRT455</t>
  </si>
  <si>
    <t>28610170920907ន</t>
  </si>
  <si>
    <t>020514594</t>
  </si>
  <si>
    <t>ឡៃហ៊ាន</t>
  </si>
  <si>
    <t>LAI HEANG</t>
  </si>
  <si>
    <t>081 50 85 72</t>
  </si>
  <si>
    <t>VRT479</t>
  </si>
  <si>
    <t>28911160399867ង</t>
  </si>
  <si>
    <t>ស៊ឹម</t>
  </si>
  <si>
    <t>ចាន់ដារា</t>
  </si>
  <si>
    <t>SOEM</t>
  </si>
  <si>
    <t>CHANNDARA</t>
  </si>
  <si>
    <t>VRT504</t>
  </si>
  <si>
    <t>19011170955852ផ</t>
  </si>
  <si>
    <t>លាង</t>
  </si>
  <si>
    <t>097 90 37 24</t>
  </si>
  <si>
    <t>VRT541</t>
  </si>
  <si>
    <t>29309160283156ន</t>
  </si>
  <si>
    <t>ស៊ីនួន</t>
  </si>
  <si>
    <t>SINOUN</t>
  </si>
  <si>
    <t>096 71 23 974</t>
  </si>
  <si>
    <t>VRT619</t>
  </si>
  <si>
    <t>29603181291340ថ</t>
  </si>
  <si>
    <t>110466471</t>
  </si>
  <si>
    <t>សារូ</t>
  </si>
  <si>
    <t>SARO</t>
  </si>
  <si>
    <t>093 670 697</t>
  </si>
  <si>
    <t>ភូមិ05 សង្កាត់04 ក្រុងព្រះសីហនុ ខេត្តព្រះសីហនុ</t>
  </si>
  <si>
    <t>VRT631</t>
  </si>
  <si>
    <t>061438162</t>
  </si>
  <si>
    <t>សុខឡាយ</t>
  </si>
  <si>
    <t>SOKLAIY</t>
  </si>
  <si>
    <t>086 49 84 84</t>
  </si>
  <si>
    <t>ភូមិ03 សង្កាត់02 ក្រុងព្រះសីហនុ ខេត្តព្រះសីហនុ</t>
  </si>
  <si>
    <t>28612171028873ភ</t>
  </si>
  <si>
    <t>110338398</t>
  </si>
  <si>
    <t>ម៉ៃ</t>
  </si>
  <si>
    <t>MAI</t>
  </si>
  <si>
    <t>28912171055817ម</t>
  </si>
  <si>
    <t>100582653</t>
  </si>
  <si>
    <t>18906170801069ភ</t>
  </si>
  <si>
    <t>180891169</t>
  </si>
  <si>
    <t>ផុន</t>
  </si>
  <si>
    <t>ភារ៉ា</t>
  </si>
  <si>
    <t>ភូមិ01 សង្កាត់០1 ក្រុងព្រះសីហនុ ខេត្តព្រះសីហនុ</t>
  </si>
  <si>
    <t>28405181407386ម</t>
  </si>
  <si>
    <t>060820362</t>
  </si>
  <si>
    <t>សូត្រ</t>
  </si>
  <si>
    <t>ស្រីឡា</t>
  </si>
  <si>
    <t>Sout</t>
  </si>
  <si>
    <t>Sreyla</t>
  </si>
  <si>
    <t>ភូមិ02 សង្កាត់04 ខេត្តព្រះសីហនុ</t>
  </si>
  <si>
    <t>20005181407399ថ</t>
  </si>
  <si>
    <t>051567136</t>
  </si>
  <si>
    <t>ធីតា</t>
  </si>
  <si>
    <t>Kry</t>
  </si>
  <si>
    <t>Thida</t>
  </si>
  <si>
    <t>28306181433594ម</t>
  </si>
  <si>
    <t>110241171</t>
  </si>
  <si>
    <t>Pheap</t>
  </si>
  <si>
    <t>28906181430860ភ</t>
  </si>
  <si>
    <t>101105130</t>
  </si>
  <si>
    <t>Pen</t>
  </si>
  <si>
    <t>Chanthou</t>
  </si>
  <si>
    <t>27206181444035ណ</t>
  </si>
  <si>
    <t>110028105</t>
  </si>
  <si>
    <t>ងី</t>
  </si>
  <si>
    <t>ឡាឌី</t>
  </si>
  <si>
    <t>29809170903885ឃ</t>
  </si>
  <si>
    <t>ញេប</t>
  </si>
  <si>
    <t>Nheb</t>
  </si>
  <si>
    <t>Mey</t>
  </si>
  <si>
    <t>28906181449221ម</t>
  </si>
  <si>
    <t>120021010</t>
  </si>
  <si>
    <t>ចន្នី</t>
  </si>
  <si>
    <t>Lorn</t>
  </si>
  <si>
    <t>Channy</t>
  </si>
  <si>
    <t>28210160397820ថ</t>
  </si>
  <si>
    <t>051177741</t>
  </si>
  <si>
    <t>នាល</t>
  </si>
  <si>
    <t>Neal</t>
  </si>
  <si>
    <t>Phally</t>
  </si>
  <si>
    <t>098674851</t>
  </si>
  <si>
    <t>28007181483263ប</t>
  </si>
  <si>
    <t>130024658</t>
  </si>
  <si>
    <t>Teu</t>
  </si>
  <si>
    <t>Sopheap</t>
  </si>
  <si>
    <t>087991799</t>
  </si>
  <si>
    <t>29807181483450ល</t>
  </si>
  <si>
    <t>130139828</t>
  </si>
  <si>
    <t>ហ៊ឹម</t>
  </si>
  <si>
    <t>ស្រីវួច</t>
  </si>
  <si>
    <t>Hoem</t>
  </si>
  <si>
    <t>SreyVouch</t>
  </si>
  <si>
    <t>0963573837</t>
  </si>
  <si>
    <t>28204181351003ឋ</t>
  </si>
  <si>
    <t>130185556</t>
  </si>
  <si>
    <t>070516102</t>
  </si>
  <si>
    <t>2940170829525វ</t>
  </si>
  <si>
    <t>110462688</t>
  </si>
  <si>
    <t>រឿន</t>
  </si>
  <si>
    <t>ស្រីឡែន</t>
  </si>
  <si>
    <t>Roeun</t>
  </si>
  <si>
    <t>Sreylen</t>
  </si>
  <si>
    <t>0974503760</t>
  </si>
  <si>
    <t>28208160201642ញ</t>
  </si>
  <si>
    <t>110172153</t>
  </si>
  <si>
    <t>ញីវ</t>
  </si>
  <si>
    <t>Nhiv</t>
  </si>
  <si>
    <t>015552071</t>
  </si>
  <si>
    <t>28508160191443ន</t>
  </si>
  <si>
    <t>010603519</t>
  </si>
  <si>
    <t>សង</t>
  </si>
  <si>
    <t>ច្រិប</t>
  </si>
  <si>
    <t>Sang</t>
  </si>
  <si>
    <t>Chreb</t>
  </si>
  <si>
    <t>28008181631721ត</t>
  </si>
  <si>
    <t>110567904</t>
  </si>
  <si>
    <t>ច្រឹប</t>
  </si>
  <si>
    <t>Koeut</t>
  </si>
  <si>
    <t>Chroeb</t>
  </si>
  <si>
    <t>0966677770</t>
  </si>
  <si>
    <t>29305181379207ម</t>
  </si>
  <si>
    <t>130119637</t>
  </si>
  <si>
    <t>ទេព្យ</t>
  </si>
  <si>
    <t>ចាន់ណា</t>
  </si>
  <si>
    <t>Tep</t>
  </si>
  <si>
    <t>Chenna</t>
  </si>
  <si>
    <t>070861089</t>
  </si>
  <si>
    <t>28102181253667ន</t>
  </si>
  <si>
    <t>100950879</t>
  </si>
  <si>
    <t>Chhan</t>
  </si>
  <si>
    <t>0886370612</t>
  </si>
  <si>
    <t>29602150005834ឧ</t>
  </si>
  <si>
    <t>051244515</t>
  </si>
  <si>
    <t>អ៊ាម</t>
  </si>
  <si>
    <t>Eam</t>
  </si>
  <si>
    <t>Theary</t>
  </si>
  <si>
    <t>0713308062</t>
  </si>
  <si>
    <t>28710181728988ង</t>
  </si>
  <si>
    <t>130086946</t>
  </si>
  <si>
    <t>Ngeth</t>
  </si>
  <si>
    <t>0968097833</t>
  </si>
  <si>
    <t>28405181405979ហ</t>
  </si>
  <si>
    <t>130147258</t>
  </si>
  <si>
    <t>ង៉ា</t>
  </si>
  <si>
    <t>Phan</t>
  </si>
  <si>
    <t>Nga</t>
  </si>
  <si>
    <t>ភូមិ06 សង្កាត់04 ខេត្តព្រះសីហនុ</t>
  </si>
  <si>
    <t>19310181863895ហ</t>
  </si>
  <si>
    <t>ចិត្រា</t>
  </si>
  <si>
    <t>Sean</t>
  </si>
  <si>
    <t>Chetra</t>
  </si>
  <si>
    <t>070406782</t>
  </si>
  <si>
    <t>28205170774497ហ</t>
  </si>
  <si>
    <t>100854662</t>
  </si>
  <si>
    <t>Nget</t>
  </si>
  <si>
    <t>0967787099</t>
  </si>
  <si>
    <t>20011181888636ប</t>
  </si>
  <si>
    <t>110643612</t>
  </si>
  <si>
    <t>សុំ</t>
  </si>
  <si>
    <t>ស្រីលៀ</t>
  </si>
  <si>
    <t>Sam</t>
  </si>
  <si>
    <t>Sreylie</t>
  </si>
  <si>
    <t>19311181895260ព</t>
  </si>
  <si>
    <t>040350388</t>
  </si>
  <si>
    <t>ប៉ាត</t>
  </si>
  <si>
    <t>ថារ៉ាត់</t>
  </si>
  <si>
    <t>Pat</t>
  </si>
  <si>
    <t>Tharat</t>
  </si>
  <si>
    <t>28910160398315ភ</t>
  </si>
  <si>
    <t>130179561</t>
  </si>
  <si>
    <t>ស៊ីរ៉ាត់</t>
  </si>
  <si>
    <t>Von</t>
  </si>
  <si>
    <t>Sirath</t>
  </si>
  <si>
    <t>0882726556</t>
  </si>
  <si>
    <t>29611181899259ច</t>
  </si>
  <si>
    <t>170716258</t>
  </si>
  <si>
    <t>ប៊ូ</t>
  </si>
  <si>
    <t>វ៉ាន់ណារី</t>
  </si>
  <si>
    <t>Vannary</t>
  </si>
  <si>
    <t>099395986</t>
  </si>
  <si>
    <t>28710170919680រ</t>
  </si>
  <si>
    <t>ឡេង</t>
  </si>
  <si>
    <t>LENG</t>
  </si>
  <si>
    <t>CHINDA</t>
  </si>
  <si>
    <t>096 28 94 283</t>
  </si>
  <si>
    <t>29411160400340គ</t>
  </si>
  <si>
    <t>130102186</t>
  </si>
  <si>
    <t xml:space="preserve">ផាត </t>
  </si>
  <si>
    <t>ស្រីមុំ</t>
  </si>
  <si>
    <t>SREYMOM</t>
  </si>
  <si>
    <t>098 510211</t>
  </si>
  <si>
    <t>18310160398022ឋ</t>
  </si>
  <si>
    <t>សុភ័ក្ត</t>
  </si>
  <si>
    <t>Chi</t>
  </si>
  <si>
    <t>Sopheak</t>
  </si>
  <si>
    <t>093567696</t>
  </si>
  <si>
    <t>28612171021019ឈ</t>
  </si>
  <si>
    <t>130181848</t>
  </si>
  <si>
    <t>សំណាង</t>
  </si>
  <si>
    <t>Sok</t>
  </si>
  <si>
    <t>Samnang</t>
  </si>
  <si>
    <t>016974832</t>
  </si>
  <si>
    <t>29009160323600ឈ</t>
  </si>
  <si>
    <t>050713556</t>
  </si>
  <si>
    <t>ដូត</t>
  </si>
  <si>
    <t>Dot</t>
  </si>
  <si>
    <t>Mao</t>
  </si>
  <si>
    <t>28712181931546ល</t>
  </si>
  <si>
    <t>110269788</t>
  </si>
  <si>
    <t>ទួន</t>
  </si>
  <si>
    <t>សាម៉ុត</t>
  </si>
  <si>
    <t>Tuon</t>
  </si>
  <si>
    <t>Samut</t>
  </si>
  <si>
    <t>29802170617428ម</t>
  </si>
  <si>
    <t>030663234</t>
  </si>
  <si>
    <t>ចាន់នី</t>
  </si>
  <si>
    <t>CHANNY</t>
  </si>
  <si>
    <t>097 64 30 604</t>
  </si>
  <si>
    <t>29110160389808ភ</t>
  </si>
  <si>
    <t>ឆឹង</t>
  </si>
  <si>
    <t>រ៉ាយូ</t>
  </si>
  <si>
    <t>CHHOENG</t>
  </si>
  <si>
    <t>RAYOU</t>
  </si>
  <si>
    <t>015805311</t>
  </si>
  <si>
    <t>ភូមិ 03 សងា្កត់ 01 ក្រុងព្រះសីហនុ ខេត្តព្រះសីហនុ</t>
  </si>
  <si>
    <t>19501191958007ភ</t>
  </si>
  <si>
    <t>040349713</t>
  </si>
  <si>
    <t>ឡុច</t>
  </si>
  <si>
    <t>តាប់</t>
  </si>
  <si>
    <t>0976205200</t>
  </si>
  <si>
    <t>20001191958346ថ</t>
  </si>
  <si>
    <t>110590756</t>
  </si>
  <si>
    <t>សូរិយា</t>
  </si>
  <si>
    <t>SORIYA</t>
  </si>
  <si>
    <t>060938722</t>
  </si>
  <si>
    <t>ភុមិ 05 សងា្កត់ 04 ក្រុងព្រះសីហនុ ខេត្តព្រះសីហនុ</t>
  </si>
  <si>
    <t>2840119195376ល</t>
  </si>
  <si>
    <t>100897277</t>
  </si>
  <si>
    <t>ភក្ត័</t>
  </si>
  <si>
    <t>PHEAK</t>
  </si>
  <si>
    <t>0884219392</t>
  </si>
  <si>
    <t>28411170983786អ</t>
  </si>
  <si>
    <t>051177773</t>
  </si>
  <si>
    <t>យីម</t>
  </si>
  <si>
    <t>ថេត</t>
  </si>
  <si>
    <t>YIM</t>
  </si>
  <si>
    <t>THET</t>
  </si>
  <si>
    <t>0971521633</t>
  </si>
  <si>
    <t>29710160380216ឍ</t>
  </si>
  <si>
    <t>130197219</t>
  </si>
  <si>
    <t>លីដា</t>
  </si>
  <si>
    <t>LEDA</t>
  </si>
  <si>
    <t>0977672393</t>
  </si>
  <si>
    <t>ភូមិ 03 សង្កាត់​ 01 ក្រុងព្រះសីហនុ ខេត្តព្រះសីហនុ</t>
  </si>
  <si>
    <t>28601191964651រ</t>
  </si>
  <si>
    <t>130059363</t>
  </si>
  <si>
    <t>យាន</t>
  </si>
  <si>
    <t>ឡាយ</t>
  </si>
  <si>
    <t>Yean</t>
  </si>
  <si>
    <t>Lay</t>
  </si>
  <si>
    <t>016346638</t>
  </si>
  <si>
    <t>ភុមិ 01 សងា្កត់ 01 ក្រុងព្រះសីហនុ ខេត្តព្រះសីហនុ</t>
  </si>
  <si>
    <t>28601191974805វ</t>
  </si>
  <si>
    <t>110270539</t>
  </si>
  <si>
    <t>ឆាង</t>
  </si>
  <si>
    <t>សារិទ្ធ</t>
  </si>
  <si>
    <t>Chhang</t>
  </si>
  <si>
    <t>Sarith</t>
  </si>
  <si>
    <t>0975099061</t>
  </si>
  <si>
    <t>29708160209775ហ</t>
  </si>
  <si>
    <t>160307332</t>
  </si>
  <si>
    <t>ជួន</t>
  </si>
  <si>
    <t>ឡាល័យ</t>
  </si>
  <si>
    <t>Chuon</t>
  </si>
  <si>
    <t>Laley</t>
  </si>
  <si>
    <t>0979635781</t>
  </si>
  <si>
    <t>ភុមិ 02 សងា្កត់ 01 ក្រុងព្រះសីហនុ ខេត្តព្រះសីហនុ</t>
  </si>
  <si>
    <t>28101191976917ស</t>
  </si>
  <si>
    <t>130049531</t>
  </si>
  <si>
    <t>Kong</t>
  </si>
  <si>
    <t>Thavy</t>
  </si>
  <si>
    <t>0963546383</t>
  </si>
  <si>
    <t>សស្សិ</t>
  </si>
  <si>
    <t>ភុមិ 03 0សងា្កត់ 02 ក្រុងព្រះសីហនុ ខេត្តព្រះសីហនុ</t>
  </si>
  <si>
    <t>29101181220302អ</t>
  </si>
  <si>
    <t>051164117</t>
  </si>
  <si>
    <t>ចន</t>
  </si>
  <si>
    <t>Chorn</t>
  </si>
  <si>
    <t>SreyTuch</t>
  </si>
  <si>
    <t>0882249901</t>
  </si>
  <si>
    <t>ភុមិ 05 0សងា្កត់ 04 ក្រុងព្រះសីហនុ ខេត្តព្រះសីហនុ</t>
  </si>
  <si>
    <t>29310160390319ណ</t>
  </si>
  <si>
    <t>130144534</t>
  </si>
  <si>
    <t>ឃឹម</t>
  </si>
  <si>
    <t>KHIM</t>
  </si>
  <si>
    <t>គា្មន</t>
  </si>
  <si>
    <t>ភុមិ 03សងា្កត់ 01 ក្រុងព្រះសីហនុ ខេត្តព្រះសីហនុ</t>
  </si>
  <si>
    <t>29202191981927ស</t>
  </si>
  <si>
    <t>110370615(01)</t>
  </si>
  <si>
    <t>លេង</t>
  </si>
  <si>
    <t>0882175573</t>
  </si>
  <si>
    <t>ភុមិ 05សងា្កត់ 04 ក្រុងព្រះសីហនុ ខេត្តព្រះសីហនុ</t>
  </si>
  <si>
    <t>29810160396134ប</t>
  </si>
  <si>
    <t>110534049</t>
  </si>
  <si>
    <t>ញ៉េប</t>
  </si>
  <si>
    <t>Nhep</t>
  </si>
  <si>
    <t>កំពត</t>
  </si>
  <si>
    <t>គ្នាន</t>
  </si>
  <si>
    <t>292110181726336ធ</t>
  </si>
  <si>
    <t>110522232</t>
  </si>
  <si>
    <t>ប្រឹក</t>
  </si>
  <si>
    <t>ស្រីលាក់</t>
  </si>
  <si>
    <t>Chroek</t>
  </si>
  <si>
    <t>SreyLeak</t>
  </si>
  <si>
    <t>0887722600</t>
  </si>
  <si>
    <t>28211160401486ឋ</t>
  </si>
  <si>
    <t>110445712</t>
  </si>
  <si>
    <t>គ្រឿន</t>
  </si>
  <si>
    <t>San</t>
  </si>
  <si>
    <t>Kroeurn</t>
  </si>
  <si>
    <t>28811160401245ដ</t>
  </si>
  <si>
    <t>110541426</t>
  </si>
  <si>
    <t>ទន់</t>
  </si>
  <si>
    <t>ចន្ដន</t>
  </si>
  <si>
    <t>Torn</t>
  </si>
  <si>
    <t>ChanTorn</t>
  </si>
  <si>
    <t>0716966399</t>
  </si>
  <si>
    <t>28811160408952ព</t>
  </si>
  <si>
    <t>130211189</t>
  </si>
  <si>
    <t>សេងហុង</t>
  </si>
  <si>
    <t>SengHong</t>
  </si>
  <si>
    <t>ព្រះសីហនុ</t>
  </si>
  <si>
    <t>28803170678206យ</t>
  </si>
  <si>
    <t>110287491</t>
  </si>
  <si>
    <t>ជីវ</t>
  </si>
  <si>
    <t>Chiv</t>
  </si>
  <si>
    <t>SokHom</t>
  </si>
  <si>
    <t>010648952</t>
  </si>
  <si>
    <t>28310160387285ផ</t>
  </si>
  <si>
    <t>061219254</t>
  </si>
  <si>
    <t>អ៊ាង</t>
  </si>
  <si>
    <t>ស្ដើង</t>
  </si>
  <si>
    <t>Eang</t>
  </si>
  <si>
    <t>Sdoeung</t>
  </si>
  <si>
    <t>ព្រៃវែង</t>
  </si>
  <si>
    <t>28002191986091ភ</t>
  </si>
  <si>
    <t>051164088</t>
  </si>
  <si>
    <t>ញាន</t>
  </si>
  <si>
    <t>Nhean</t>
  </si>
  <si>
    <t>TheaRy</t>
  </si>
  <si>
    <t>0973148999</t>
  </si>
  <si>
    <t>17210160391417ដ</t>
  </si>
  <si>
    <t>130011542</t>
  </si>
  <si>
    <t>ប៉ោ</t>
  </si>
  <si>
    <t>ចន្ទ័តារ៉ា</t>
  </si>
  <si>
    <t>Por</t>
  </si>
  <si>
    <t>ChanDara</t>
  </si>
  <si>
    <t>Machine on Line</t>
  </si>
  <si>
    <t>016595902</t>
  </si>
  <si>
    <t>20006181436267ឍ</t>
  </si>
  <si>
    <t>110559734</t>
  </si>
  <si>
    <t>ឈាន</t>
  </si>
  <si>
    <t>សៅទី</t>
  </si>
  <si>
    <t>Chhean</t>
  </si>
  <si>
    <t>SaoTy</t>
  </si>
  <si>
    <t>កំពង</t>
  </si>
  <si>
    <t>093787047</t>
  </si>
  <si>
    <t>19402191991626ល</t>
  </si>
  <si>
    <t>110448516</t>
  </si>
  <si>
    <t>លួន</t>
  </si>
  <si>
    <t>Loun</t>
  </si>
  <si>
    <t>0964303819</t>
  </si>
  <si>
    <t>29910181730495រ</t>
  </si>
  <si>
    <t>101360918</t>
  </si>
  <si>
    <t>សួន</t>
  </si>
  <si>
    <t>សៅលីន</t>
  </si>
  <si>
    <t>SaoLin</t>
  </si>
  <si>
    <t>តាកែវ</t>
  </si>
  <si>
    <t>0315928887</t>
  </si>
  <si>
    <t>19402191993928ខ</t>
  </si>
  <si>
    <t>110465138</t>
  </si>
  <si>
    <t>មេន</t>
  </si>
  <si>
    <t>រ៉ា</t>
  </si>
  <si>
    <t>0962668760</t>
  </si>
  <si>
    <t>18003170677660ន</t>
  </si>
  <si>
    <t>130156636</t>
  </si>
  <si>
    <t>ភឿន</t>
  </si>
  <si>
    <t>Phoeun</t>
  </si>
  <si>
    <t>069369054</t>
  </si>
  <si>
    <t>29009160316845ផ</t>
  </si>
  <si>
    <t>100585439</t>
  </si>
  <si>
    <t>គីម</t>
  </si>
  <si>
    <t>ChanNy</t>
  </si>
  <si>
    <t>បន្ទក</t>
  </si>
  <si>
    <t>28210160390936ទ</t>
  </si>
  <si>
    <t>130155056</t>
  </si>
  <si>
    <t>ស៊ុំ</t>
  </si>
  <si>
    <t>មុនីសីលា</t>
  </si>
  <si>
    <t>MonySeila</t>
  </si>
  <si>
    <t>0967602141</t>
  </si>
  <si>
    <t>29410160389433ប</t>
  </si>
  <si>
    <t>110467620</t>
  </si>
  <si>
    <t>0962209401</t>
  </si>
  <si>
    <t>29510160396234ធ</t>
  </si>
  <si>
    <t>110614712</t>
  </si>
  <si>
    <t>សុខទី</t>
  </si>
  <si>
    <t>SokNy</t>
  </si>
  <si>
    <t>097804511</t>
  </si>
  <si>
    <t>10002191997499វ</t>
  </si>
  <si>
    <t>140148053</t>
  </si>
  <si>
    <t>អ៊ូខុង</t>
  </si>
  <si>
    <t>OunKhong</t>
  </si>
  <si>
    <t>កោះកុង</t>
  </si>
  <si>
    <t>093292023</t>
  </si>
  <si>
    <t>28810160397851រ</t>
  </si>
  <si>
    <t>110312518</t>
  </si>
  <si>
    <t>Meng</t>
  </si>
  <si>
    <t>Dany</t>
  </si>
  <si>
    <t>0868993262</t>
  </si>
  <si>
    <t>28609160246447រ</t>
  </si>
  <si>
    <t>051177674</t>
  </si>
  <si>
    <t>ថុង</t>
  </si>
  <si>
    <t>ឈុនលី</t>
  </si>
  <si>
    <t>Phon</t>
  </si>
  <si>
    <t>Chhonly</t>
  </si>
  <si>
    <t>090230122</t>
  </si>
  <si>
    <t>29010170919940ន</t>
  </si>
  <si>
    <t>021218617</t>
  </si>
  <si>
    <t>ប៉ោង</t>
  </si>
  <si>
    <t>មករា</t>
  </si>
  <si>
    <t>CHHON LY</t>
  </si>
  <si>
    <t>កណ្តាល</t>
  </si>
  <si>
    <t>0965864161</t>
  </si>
  <si>
    <t>18802181237632ន</t>
  </si>
  <si>
    <t>030484971</t>
  </si>
  <si>
    <t>សី</t>
  </si>
  <si>
    <t>សារុន</t>
  </si>
  <si>
    <t>Sey</t>
  </si>
  <si>
    <t>Sarun</t>
  </si>
  <si>
    <t>កំពង់ស្ពឺ</t>
  </si>
  <si>
    <t>086406645</t>
  </si>
  <si>
    <t>29111160399992ស</t>
  </si>
  <si>
    <t>130181656</t>
  </si>
  <si>
    <t>ម៉ា</t>
  </si>
  <si>
    <t>KunThea</t>
  </si>
  <si>
    <t>Apron B3</t>
  </si>
  <si>
    <t>ភុមិ 01សងា្កត់ 01 ក្រុងព្រះសីហនុ ខេត្តព្រះសីហនុ</t>
  </si>
  <si>
    <t>28910160342143ឋ</t>
  </si>
  <si>
    <t>061965882</t>
  </si>
  <si>
    <t>ស៊ា</t>
  </si>
  <si>
    <t>សៀកឡាយ</t>
  </si>
  <si>
    <t>SiekLay</t>
  </si>
  <si>
    <t>កំពង់ចាម</t>
  </si>
  <si>
    <t>098386167</t>
  </si>
  <si>
    <t>29202181239551ទ</t>
  </si>
  <si>
    <t>020882050</t>
  </si>
  <si>
    <t>Phol</t>
  </si>
  <si>
    <t>SoPhea</t>
  </si>
  <si>
    <t>017380940</t>
  </si>
  <si>
    <t>27711160408663ន</t>
  </si>
  <si>
    <t>អ៉ីង</t>
  </si>
  <si>
    <t>ង៉ន</t>
  </si>
  <si>
    <t>Ing</t>
  </si>
  <si>
    <t>Ngorn</t>
  </si>
  <si>
    <t>28604192047313ទ</t>
  </si>
  <si>
    <t>100971810</t>
  </si>
  <si>
    <t>អ៊ូច</t>
  </si>
  <si>
    <t>ស្រីមឿន</t>
  </si>
  <si>
    <t>Ouch</t>
  </si>
  <si>
    <t>SreyMoeurn</t>
  </si>
  <si>
    <t>28504192046827យ</t>
  </si>
  <si>
    <t>250208252</t>
  </si>
  <si>
    <t>សាមី</t>
  </si>
  <si>
    <t>Keo</t>
  </si>
  <si>
    <t>Sami</t>
  </si>
  <si>
    <t>29209160276548វ</t>
  </si>
  <si>
    <t>051430597</t>
  </si>
  <si>
    <t>សុខម៉ៃ</t>
  </si>
  <si>
    <t>SokMai</t>
  </si>
  <si>
    <t>0978677261</t>
  </si>
  <si>
    <t>28604192038171ន</t>
  </si>
  <si>
    <t>051559266</t>
  </si>
  <si>
    <t>ឃាង</t>
  </si>
  <si>
    <t>ធារិត</t>
  </si>
  <si>
    <t>Kheang</t>
  </si>
  <si>
    <t>Thearit</t>
  </si>
  <si>
    <t>0979368431</t>
  </si>
  <si>
    <t>29804192041803ធ</t>
  </si>
  <si>
    <t>120039778</t>
  </si>
  <si>
    <t>ឡោ</t>
  </si>
  <si>
    <t>អេត</t>
  </si>
  <si>
    <t>Lor</t>
  </si>
  <si>
    <t>Et</t>
  </si>
  <si>
    <t>កែប</t>
  </si>
  <si>
    <t>087439769</t>
  </si>
  <si>
    <t>28504192034581ន</t>
  </si>
  <si>
    <t>110244874</t>
  </si>
  <si>
    <t>គុយ</t>
  </si>
  <si>
    <t>ខ្លី</t>
  </si>
  <si>
    <t>29904192041764យ</t>
  </si>
  <si>
    <t>110552705</t>
  </si>
  <si>
    <t xml:space="preserve">ផល </t>
  </si>
  <si>
    <t>ស្រីផន</t>
  </si>
  <si>
    <t xml:space="preserve">Phal </t>
  </si>
  <si>
    <t>SreyPhorn</t>
  </si>
  <si>
    <t>0964529381</t>
  </si>
  <si>
    <t>28703170680110ឋ</t>
  </si>
  <si>
    <t>030603187</t>
  </si>
  <si>
    <t>Channeang</t>
  </si>
  <si>
    <t>015394878</t>
  </si>
  <si>
    <t>18504192039137ប</t>
  </si>
  <si>
    <t>110277816</t>
  </si>
  <si>
    <t>ព្រំ</t>
  </si>
  <si>
    <t>បឿន</t>
  </si>
  <si>
    <t>28702170618203ណ</t>
  </si>
  <si>
    <t>020598016</t>
  </si>
  <si>
    <t>Pho</t>
  </si>
  <si>
    <t>SorPhea</t>
  </si>
  <si>
    <t>016513358</t>
  </si>
  <si>
    <t>18204192037818ផ</t>
  </si>
  <si>
    <t>130024660</t>
  </si>
  <si>
    <t>ទឺ</t>
  </si>
  <si>
    <t>ធារ៉ា</t>
  </si>
  <si>
    <t>Theara</t>
  </si>
  <si>
    <t>016731898</t>
  </si>
  <si>
    <t>29602181242163ណ</t>
  </si>
  <si>
    <t>050808897</t>
  </si>
  <si>
    <t>ឈន់</t>
  </si>
  <si>
    <t>ស៊ាងអូន</t>
  </si>
  <si>
    <t>Chhorn</t>
  </si>
  <si>
    <t>SeangOun</t>
  </si>
  <si>
    <t>0966061598</t>
  </si>
  <si>
    <t>29701181207097ផ</t>
  </si>
  <si>
    <t>250125775</t>
  </si>
  <si>
    <t>Sun</t>
  </si>
  <si>
    <t>Savy</t>
  </si>
  <si>
    <t>28704192038118ផ</t>
  </si>
  <si>
    <t>101308417</t>
  </si>
  <si>
    <t>កង</t>
  </si>
  <si>
    <t>ណូន</t>
  </si>
  <si>
    <t>Non</t>
  </si>
  <si>
    <t>20104192035076ជ</t>
  </si>
  <si>
    <t>090877104</t>
  </si>
  <si>
    <t>ស្រីណែត</t>
  </si>
  <si>
    <t>SreyNet</t>
  </si>
  <si>
    <t>ស្វាយរៀង</t>
  </si>
  <si>
    <t>070289197</t>
  </si>
  <si>
    <t>19604192034507ធ</t>
  </si>
  <si>
    <t>អឹម</t>
  </si>
  <si>
    <t>ថេ</t>
  </si>
  <si>
    <t>19604192037964វ</t>
  </si>
  <si>
    <t>100748957</t>
  </si>
  <si>
    <t>0889443750</t>
  </si>
  <si>
    <t>2650160078261ឍ</t>
  </si>
  <si>
    <t>061818995</t>
  </si>
  <si>
    <t>ដាន់</t>
  </si>
  <si>
    <t>Dan</t>
  </si>
  <si>
    <t>Hay</t>
  </si>
  <si>
    <t>0962258419</t>
  </si>
  <si>
    <t>28808181632732រ</t>
  </si>
  <si>
    <t>101133347</t>
  </si>
  <si>
    <t>ឈូក</t>
  </si>
  <si>
    <t>វន្ធី</t>
  </si>
  <si>
    <t>Chhouk</t>
  </si>
  <si>
    <t>Vanthy</t>
  </si>
  <si>
    <t>0974964396</t>
  </si>
  <si>
    <t>28704192035124ត</t>
  </si>
  <si>
    <t>250172855</t>
  </si>
  <si>
    <t>អ៉ី</t>
  </si>
  <si>
    <t>Y</t>
  </si>
  <si>
    <t>0884052578</t>
  </si>
  <si>
    <t>28504192034503ឍ</t>
  </si>
  <si>
    <t>110327919</t>
  </si>
  <si>
    <t>រិទ្ធ</t>
  </si>
  <si>
    <t>គឹមស៊ីណា</t>
  </si>
  <si>
    <t>Rith</t>
  </si>
  <si>
    <t>KimSina</t>
  </si>
  <si>
    <t>27804192029024ទ</t>
  </si>
  <si>
    <t>160479796</t>
  </si>
  <si>
    <t>សឿម</t>
  </si>
  <si>
    <t>Soeurm</t>
  </si>
  <si>
    <t>SreyMom</t>
  </si>
  <si>
    <t>0886688840</t>
  </si>
  <si>
    <t>19505192051057ទ</t>
  </si>
  <si>
    <t>110468594</t>
  </si>
  <si>
    <t>សៅ</t>
  </si>
  <si>
    <t>093833035</t>
  </si>
  <si>
    <t>20001191963042ច</t>
  </si>
  <si>
    <t>051431156</t>
  </si>
  <si>
    <t>ឆេរ</t>
  </si>
  <si>
    <t>ភ័ស្ដ</t>
  </si>
  <si>
    <t>Chheor</t>
  </si>
  <si>
    <t>Phors</t>
  </si>
  <si>
    <t>0885300834</t>
  </si>
  <si>
    <t>27005192057220ញ</t>
  </si>
  <si>
    <t>110576054</t>
  </si>
  <si>
    <t>Chep</t>
  </si>
  <si>
    <t>0963359792</t>
  </si>
  <si>
    <t>28305192069275រ</t>
  </si>
  <si>
    <t>100854690</t>
  </si>
  <si>
    <t>សែម</t>
  </si>
  <si>
    <t>សាវេត</t>
  </si>
  <si>
    <t>Sem</t>
  </si>
  <si>
    <t>Savet</t>
  </si>
  <si>
    <t>0978334228</t>
  </si>
  <si>
    <t>29404192048946ស</t>
  </si>
  <si>
    <t>110570797</t>
  </si>
  <si>
    <t>ញ៉ុន</t>
  </si>
  <si>
    <t>ចាន់ធី</t>
  </si>
  <si>
    <t>Nhon</t>
  </si>
  <si>
    <t>28812181925323ព</t>
  </si>
  <si>
    <t>101099389</t>
  </si>
  <si>
    <t>ខាន់</t>
  </si>
  <si>
    <t>កឿន</t>
  </si>
  <si>
    <t>Koeun</t>
  </si>
  <si>
    <t>28505192052946យ</t>
  </si>
  <si>
    <t>100854813</t>
  </si>
  <si>
    <t xml:space="preserve">តឹម </t>
  </si>
  <si>
    <t>ភាង</t>
  </si>
  <si>
    <t>Toeb</t>
  </si>
  <si>
    <t>Pheang</t>
  </si>
  <si>
    <t>0888338382</t>
  </si>
  <si>
    <t>29010160349729ប</t>
  </si>
  <si>
    <t>ចាន់ម៉ូរីកា</t>
  </si>
  <si>
    <t>28605192053185ព</t>
  </si>
  <si>
    <t>110273745</t>
  </si>
  <si>
    <t>ឌឿ</t>
  </si>
  <si>
    <t>Doeur</t>
  </si>
  <si>
    <t>Sokhan</t>
  </si>
  <si>
    <t>087735984</t>
  </si>
  <si>
    <t>101133367</t>
  </si>
  <si>
    <t>អៀង</t>
  </si>
  <si>
    <t>សាទុំ</t>
  </si>
  <si>
    <t>Satom</t>
  </si>
  <si>
    <t>0968994973</t>
  </si>
  <si>
    <t>29904170719903វ</t>
  </si>
  <si>
    <t>100900333</t>
  </si>
  <si>
    <t>ស្រីនូ</t>
  </si>
  <si>
    <t>SreyNo</t>
  </si>
  <si>
    <t>0976723990</t>
  </si>
  <si>
    <t>18410160384867ម</t>
  </si>
  <si>
    <t>130193638</t>
  </si>
  <si>
    <t>ញិល</t>
  </si>
  <si>
    <t>សុនា</t>
  </si>
  <si>
    <t>Nhil</t>
  </si>
  <si>
    <t>Sonea</t>
  </si>
  <si>
    <t>កំពុងចាម</t>
  </si>
  <si>
    <t>0977164410</t>
  </si>
  <si>
    <t>29010170920852ឍ</t>
  </si>
  <si>
    <t>110570799</t>
  </si>
  <si>
    <t>លាត</t>
  </si>
  <si>
    <t>Leat</t>
  </si>
  <si>
    <t>SreyOun</t>
  </si>
  <si>
    <t>28512160537532ទ</t>
  </si>
  <si>
    <t>070283316</t>
  </si>
  <si>
    <t>Pov</t>
  </si>
  <si>
    <t>0966992673</t>
  </si>
  <si>
    <t>18704192048917វ</t>
  </si>
  <si>
    <t>100570800</t>
  </si>
  <si>
    <t>រាំង</t>
  </si>
  <si>
    <t>0964498335</t>
  </si>
  <si>
    <t>28305192070547ប</t>
  </si>
  <si>
    <t>110289450</t>
  </si>
  <si>
    <t>វេត</t>
  </si>
  <si>
    <t>Prak</t>
  </si>
  <si>
    <t>Vet</t>
  </si>
  <si>
    <t>18505192050485ប</t>
  </si>
  <si>
    <t>110313265</t>
  </si>
  <si>
    <t>066596162</t>
  </si>
  <si>
    <t>18301160037332ច</t>
  </si>
  <si>
    <t>030644148</t>
  </si>
  <si>
    <t>Yem</t>
  </si>
  <si>
    <t>0978336444</t>
  </si>
  <si>
    <t>29210160384767ភ</t>
  </si>
  <si>
    <t>130223567</t>
  </si>
  <si>
    <t>ទិត</t>
  </si>
  <si>
    <t>សាវឿន</t>
  </si>
  <si>
    <t>Tet</t>
  </si>
  <si>
    <t>Savoeun</t>
  </si>
  <si>
    <t>0965893949</t>
  </si>
  <si>
    <t>28001181166128ឌ</t>
  </si>
  <si>
    <t>050802893</t>
  </si>
  <si>
    <t>ផ្លេក</t>
  </si>
  <si>
    <t xml:space="preserve">Phlek </t>
  </si>
  <si>
    <t>Chreob</t>
  </si>
  <si>
    <t>0966392144</t>
  </si>
  <si>
    <t>18710170931674ព</t>
  </si>
  <si>
    <t>130173263</t>
  </si>
  <si>
    <t>សុភ្ឌ័</t>
  </si>
  <si>
    <t>NHIL</t>
  </si>
  <si>
    <t>SOPOIN</t>
  </si>
  <si>
    <t>0719966204</t>
  </si>
  <si>
    <t>20106192085646ទ</t>
  </si>
  <si>
    <t>130221919</t>
  </si>
  <si>
    <t>សីហៈរដ្ឋ</t>
  </si>
  <si>
    <t>Syhakroth</t>
  </si>
  <si>
    <t>27306192090577យ</t>
  </si>
  <si>
    <t>150918518</t>
  </si>
  <si>
    <t>យិន</t>
  </si>
  <si>
    <t>ចិន្ដា</t>
  </si>
  <si>
    <t>Yin</t>
  </si>
  <si>
    <t>Chinda</t>
  </si>
  <si>
    <t>0966484895</t>
  </si>
  <si>
    <t>29810160392965វ</t>
  </si>
  <si>
    <t>110593820</t>
  </si>
  <si>
    <t>ឈន</t>
  </si>
  <si>
    <t>វ៉ៃ</t>
  </si>
  <si>
    <t>0882631266</t>
  </si>
  <si>
    <t>18706192089630ល</t>
  </si>
  <si>
    <t>110263494</t>
  </si>
  <si>
    <t>បូ</t>
  </si>
  <si>
    <t>សក្ដិ</t>
  </si>
  <si>
    <t>0963937554</t>
  </si>
  <si>
    <t>27710170927593ល</t>
  </si>
  <si>
    <t>130169212</t>
  </si>
  <si>
    <t>ហ៊ីង</t>
  </si>
  <si>
    <t>086630262</t>
  </si>
  <si>
    <t>28106192082214ឍ</t>
  </si>
  <si>
    <t>060338908</t>
  </si>
  <si>
    <t>ប៉ោស៊ាង</t>
  </si>
  <si>
    <t>Mov</t>
  </si>
  <si>
    <t>Porseang</t>
  </si>
  <si>
    <t>ត្បូងឃ្មុំ</t>
  </si>
  <si>
    <t>0885969958</t>
  </si>
  <si>
    <t>28006192085847ម</t>
  </si>
  <si>
    <t>101133242</t>
  </si>
  <si>
    <t>សុម៉ាលី</t>
  </si>
  <si>
    <t>Somaly</t>
  </si>
  <si>
    <t>0974289155</t>
  </si>
  <si>
    <t>28906181442998ច</t>
  </si>
  <si>
    <t>100558308</t>
  </si>
  <si>
    <t>On</t>
  </si>
  <si>
    <t>Pisey</t>
  </si>
  <si>
    <t>0968824428</t>
  </si>
  <si>
    <t>29606192081447រ</t>
  </si>
  <si>
    <t>100703223</t>
  </si>
  <si>
    <t>ឆាន</t>
  </si>
  <si>
    <t>សារេត</t>
  </si>
  <si>
    <t>0974104375</t>
  </si>
  <si>
    <t>28805170748963គ</t>
  </si>
  <si>
    <t>តុលា</t>
  </si>
  <si>
    <t>Tuy</t>
  </si>
  <si>
    <t>Tola</t>
  </si>
  <si>
    <t>0964912717</t>
  </si>
  <si>
    <t>29311160401594ឍ</t>
  </si>
  <si>
    <t>110408648</t>
  </si>
  <si>
    <t>015471530</t>
  </si>
  <si>
    <t>29706192112037ទ</t>
  </si>
  <si>
    <t>100703372</t>
  </si>
  <si>
    <t>ស្រីណៃ</t>
  </si>
  <si>
    <t>Oun</t>
  </si>
  <si>
    <t>Sreynay</t>
  </si>
  <si>
    <t>0888423463</t>
  </si>
  <si>
    <t>ភុមិ 04សងា្កត់ 04 ក្រុងព្រះសីហនុ ខេត្តព្រះសីហនុ</t>
  </si>
  <si>
    <t>29710160342306ឋ</t>
  </si>
  <si>
    <t>061346825</t>
  </si>
  <si>
    <t>មួន</t>
  </si>
  <si>
    <t>សុវណ្ណេត</t>
  </si>
  <si>
    <t>Moun</t>
  </si>
  <si>
    <t>Sovannet</t>
  </si>
  <si>
    <t>081352646</t>
  </si>
  <si>
    <t>130227335</t>
  </si>
  <si>
    <t>ជីវគុន</t>
  </si>
  <si>
    <t>0885154227</t>
  </si>
  <si>
    <t>17706192100491ត</t>
  </si>
  <si>
    <t>140148026</t>
  </si>
  <si>
    <t>សល់</t>
  </si>
  <si>
    <t>SALL</t>
  </si>
  <si>
    <t>Packing  Apron B</t>
  </si>
  <si>
    <t>27905170773909ក</t>
  </si>
  <si>
    <t>សះ</t>
  </si>
  <si>
    <t>So</t>
  </si>
  <si>
    <t>Sas</t>
  </si>
  <si>
    <t>0968328705</t>
  </si>
  <si>
    <t>29803170680199ហ</t>
  </si>
  <si>
    <t>130197220</t>
  </si>
  <si>
    <t>sok</t>
  </si>
  <si>
    <t>dani</t>
  </si>
  <si>
    <t>0888101454</t>
  </si>
  <si>
    <t>18306192100494ត</t>
  </si>
  <si>
    <t>030748141</t>
  </si>
  <si>
    <t>ឡុង</t>
  </si>
  <si>
    <t>សុគុន្ធ</t>
  </si>
  <si>
    <t>010950996</t>
  </si>
  <si>
    <t>28610160385003ដ</t>
  </si>
  <si>
    <t>051352733</t>
  </si>
  <si>
    <t>ឡៃសេង</t>
  </si>
  <si>
    <t>Chhon</t>
  </si>
  <si>
    <t>Layseng</t>
  </si>
  <si>
    <t>0973144787</t>
  </si>
  <si>
    <t>17706192099219ហ</t>
  </si>
  <si>
    <t>061954540</t>
  </si>
  <si>
    <t>ភារុណ</t>
  </si>
  <si>
    <t>28208170869540ល</t>
  </si>
  <si>
    <t>110165349</t>
  </si>
  <si>
    <t>ញ៉</t>
  </si>
  <si>
    <t>ភរី</t>
  </si>
  <si>
    <t>Nhor</t>
  </si>
  <si>
    <t>Pheary</t>
  </si>
  <si>
    <t>068505309</t>
  </si>
  <si>
    <t>29606170787816គ</t>
  </si>
  <si>
    <t>051029890</t>
  </si>
  <si>
    <t>ទ្រី</t>
  </si>
  <si>
    <t>ស៊ាកម៉េង</t>
  </si>
  <si>
    <t>Try</t>
  </si>
  <si>
    <t>SeakMeng</t>
  </si>
  <si>
    <t>015329335</t>
  </si>
  <si>
    <t>26707192130828ភ</t>
  </si>
  <si>
    <t>170735637</t>
  </si>
  <si>
    <t>សេងគីម</t>
  </si>
  <si>
    <t>Hung</t>
  </si>
  <si>
    <t>Sengkim</t>
  </si>
  <si>
    <t>បាត់ដំបង</t>
  </si>
  <si>
    <t>0889972216</t>
  </si>
  <si>
    <t>19811160402969ម</t>
  </si>
  <si>
    <t>070312640</t>
  </si>
  <si>
    <t>ក្រចេះ​</t>
  </si>
  <si>
    <t>016880435</t>
  </si>
  <si>
    <t>19907192119708ឡ</t>
  </si>
  <si>
    <t>051208871</t>
  </si>
  <si>
    <t>ប៊ន</t>
  </si>
  <si>
    <t>រីករាយ</t>
  </si>
  <si>
    <t>0963353802</t>
  </si>
  <si>
    <t>18708181631814ម</t>
  </si>
  <si>
    <t>110487060</t>
  </si>
  <si>
    <t>អ៊ាល</t>
  </si>
  <si>
    <t>ត្រាន់</t>
  </si>
  <si>
    <t>Eal</t>
  </si>
  <si>
    <t>Tran</t>
  </si>
  <si>
    <t>0973075463</t>
  </si>
  <si>
    <t>19307192116143ត</t>
  </si>
  <si>
    <t>130127691</t>
  </si>
  <si>
    <t>បូរិន</t>
  </si>
  <si>
    <t>Borin</t>
  </si>
  <si>
    <t>0969448996</t>
  </si>
  <si>
    <t>28403170678046ភ</t>
  </si>
  <si>
    <t>110241113</t>
  </si>
  <si>
    <t>ខឿន</t>
  </si>
  <si>
    <t>Khann</t>
  </si>
  <si>
    <t>27307192135072ថ</t>
  </si>
  <si>
    <t>110128971</t>
  </si>
  <si>
    <t>0963354519</t>
  </si>
  <si>
    <t>ភុមិ 02សងា្កត់ 01 ក្រុងព្រះសីហនុ ខេត្តព្រះសីហនុ</t>
  </si>
  <si>
    <t>29110170917888ស</t>
  </si>
  <si>
    <t>110627070</t>
  </si>
  <si>
    <t>នេង</t>
  </si>
  <si>
    <t>វិច្ឆិកា</t>
  </si>
  <si>
    <t>Neng</t>
  </si>
  <si>
    <t>Vicheka</t>
  </si>
  <si>
    <t>086638866</t>
  </si>
  <si>
    <t>29607192130562ប</t>
  </si>
  <si>
    <t>150757333</t>
  </si>
  <si>
    <t>ធា</t>
  </si>
  <si>
    <t>ស្រីវេត</t>
  </si>
  <si>
    <t>Thea</t>
  </si>
  <si>
    <t>Sreyvet</t>
  </si>
  <si>
    <t>កំពងធំ</t>
  </si>
  <si>
    <t>070785345</t>
  </si>
  <si>
    <t>29510160397441ន</t>
  </si>
  <si>
    <t>110443195</t>
  </si>
  <si>
    <t>តែម</t>
  </si>
  <si>
    <t>ចរិយា</t>
  </si>
  <si>
    <t>Tem</t>
  </si>
  <si>
    <t>chakriya</t>
  </si>
  <si>
    <t>0963537465</t>
  </si>
  <si>
    <t>29310160397417ប</t>
  </si>
  <si>
    <t>វ៉ុន</t>
  </si>
  <si>
    <t>27807192144856ឡ</t>
  </si>
  <si>
    <t>110454994</t>
  </si>
  <si>
    <t>Kiev</t>
  </si>
  <si>
    <t>Sinoeun</t>
  </si>
  <si>
    <t>28603170680499ហ</t>
  </si>
  <si>
    <t>130097850</t>
  </si>
  <si>
    <t>ផល្លា</t>
  </si>
  <si>
    <t>Phalla</t>
  </si>
  <si>
    <t>081687783</t>
  </si>
  <si>
    <t>28907192146025ភ</t>
  </si>
  <si>
    <t>060939312</t>
  </si>
  <si>
    <t>អិន</t>
  </si>
  <si>
    <t>In</t>
  </si>
  <si>
    <t>កំពងចាម</t>
  </si>
  <si>
    <t>0978109129</t>
  </si>
  <si>
    <t>28507192141747យ</t>
  </si>
  <si>
    <t>060838652</t>
  </si>
  <si>
    <t>អឿន</t>
  </si>
  <si>
    <t>ឡន</t>
  </si>
  <si>
    <t>Oeurn</t>
  </si>
  <si>
    <t>Lan</t>
  </si>
  <si>
    <t>010970544</t>
  </si>
  <si>
    <t>29407160166940ព</t>
  </si>
  <si>
    <t>051348702</t>
  </si>
  <si>
    <t>កប</t>
  </si>
  <si>
    <t>ចន្ទ្រា</t>
  </si>
  <si>
    <t>Korb</t>
  </si>
  <si>
    <t>Chantrea</t>
  </si>
  <si>
    <t>0965995295</t>
  </si>
  <si>
    <t>19907192149809ឃ</t>
  </si>
  <si>
    <t>051599515</t>
  </si>
  <si>
    <t>វិន</t>
  </si>
  <si>
    <t>ម៉េងស៊ាង</t>
  </si>
  <si>
    <t>Ven</t>
  </si>
  <si>
    <t>MengSeang</t>
  </si>
  <si>
    <t>0962791460</t>
  </si>
  <si>
    <t>29506160122082ឋ</t>
  </si>
  <si>
    <t>051164163</t>
  </si>
  <si>
    <t>ពក</t>
  </si>
  <si>
    <t>ប៉ោយ</t>
  </si>
  <si>
    <t>Pork</t>
  </si>
  <si>
    <t>Poy</t>
  </si>
  <si>
    <t>0713509551</t>
  </si>
  <si>
    <t>18407192156145ផ</t>
  </si>
  <si>
    <t>031017537</t>
  </si>
  <si>
    <t>Chum</t>
  </si>
  <si>
    <t>SaRoeurn</t>
  </si>
  <si>
    <t>087388732</t>
  </si>
  <si>
    <t>19107192153991យ</t>
  </si>
  <si>
    <t>051349534</t>
  </si>
  <si>
    <t>ហាន</t>
  </si>
  <si>
    <t>ណាក់</t>
  </si>
  <si>
    <t>20010181805148ឆ</t>
  </si>
  <si>
    <t>140154427</t>
  </si>
  <si>
    <t>បញ្ញា</t>
  </si>
  <si>
    <t>Saom</t>
  </si>
  <si>
    <t>Panha</t>
  </si>
  <si>
    <t>0966289275</t>
  </si>
  <si>
    <t>28410160392929ភ</t>
  </si>
  <si>
    <t>130176445</t>
  </si>
  <si>
    <t>28705170742775ស</t>
  </si>
  <si>
    <t>130211159</t>
  </si>
  <si>
    <t>ពុធ</t>
  </si>
  <si>
    <t>Put</t>
  </si>
  <si>
    <t>SreyPov</t>
  </si>
  <si>
    <t>17307192154714ន</t>
  </si>
  <si>
    <t>100932692</t>
  </si>
  <si>
    <t>Orm</t>
  </si>
  <si>
    <t>19807192154703ម</t>
  </si>
  <si>
    <t>100920668</t>
  </si>
  <si>
    <t>វ៉ិត</t>
  </si>
  <si>
    <t>សុចាន់</t>
  </si>
  <si>
    <t>SoChan</t>
  </si>
  <si>
    <t>18807192154699ង</t>
  </si>
  <si>
    <t>101274063</t>
  </si>
  <si>
    <t xml:space="preserve">PHY </t>
  </si>
  <si>
    <t>REY</t>
  </si>
  <si>
    <t>0968364504</t>
  </si>
  <si>
    <t>10107192156285ត</t>
  </si>
  <si>
    <t>250264652</t>
  </si>
  <si>
    <t>ហូន</t>
  </si>
  <si>
    <t>និសិទិ</t>
  </si>
  <si>
    <t>HUONG</t>
  </si>
  <si>
    <t>NISITH</t>
  </si>
  <si>
    <t>0713864860</t>
  </si>
  <si>
    <t>28510160389213ថ</t>
  </si>
  <si>
    <t>100573694</t>
  </si>
  <si>
    <t>ហ៊ាន</t>
  </si>
  <si>
    <t>Hean</t>
  </si>
  <si>
    <t>Chenda</t>
  </si>
  <si>
    <t>093361782</t>
  </si>
  <si>
    <t>20107192116847ថ</t>
  </si>
  <si>
    <t>110625390</t>
  </si>
  <si>
    <t>មានឹត</t>
  </si>
  <si>
    <t>MeaNit</t>
  </si>
  <si>
    <t>087374557</t>
  </si>
  <si>
    <t>29501181203228ឋ</t>
  </si>
  <si>
    <t>061489788</t>
  </si>
  <si>
    <t>SoThearRy</t>
  </si>
  <si>
    <t>29603192023316ណ</t>
  </si>
  <si>
    <t>101361873</t>
  </si>
  <si>
    <t>មាស</t>
  </si>
  <si>
    <t>Meas</t>
  </si>
  <si>
    <t>0962796241</t>
  </si>
  <si>
    <t>10104192048436ដ</t>
  </si>
  <si>
    <t>062210799</t>
  </si>
  <si>
    <t>វណ្ណះ</t>
  </si>
  <si>
    <t>វណ្ណា</t>
  </si>
  <si>
    <t>Vannak</t>
  </si>
  <si>
    <t>061232119</t>
  </si>
  <si>
    <t>27905192054901ផ</t>
  </si>
  <si>
    <t>061730612</t>
  </si>
  <si>
    <t>ខន</t>
  </si>
  <si>
    <t>khorn</t>
  </si>
  <si>
    <t>Chan Thoeurn</t>
  </si>
  <si>
    <t>0314465367</t>
  </si>
  <si>
    <t>19910181728658ក</t>
  </si>
  <si>
    <t>090727235</t>
  </si>
  <si>
    <t>សន់</t>
  </si>
  <si>
    <t>សុឧត្តម</t>
  </si>
  <si>
    <t>09773609193</t>
  </si>
  <si>
    <t>27703170676808ស</t>
  </si>
  <si>
    <t>060898176</t>
  </si>
  <si>
    <t>ភន</t>
  </si>
  <si>
    <t>Phorn</t>
  </si>
  <si>
    <t>28909181654183អ</t>
  </si>
  <si>
    <t>110361524</t>
  </si>
  <si>
    <t>ណោ</t>
  </si>
  <si>
    <t>Prum</t>
  </si>
  <si>
    <t>Nao</t>
  </si>
  <si>
    <t>069903008</t>
  </si>
  <si>
    <t>29202170609368ព</t>
  </si>
  <si>
    <t>110491390</t>
  </si>
  <si>
    <t>ឯម</t>
  </si>
  <si>
    <t>ម៉ាច</t>
  </si>
  <si>
    <t>Em</t>
  </si>
  <si>
    <t>Mach</t>
  </si>
  <si>
    <t>0968951170</t>
  </si>
  <si>
    <t>10108192160019ឆ</t>
  </si>
  <si>
    <t>13225633</t>
  </si>
  <si>
    <t>ប៊ុនហ៊ៅ</t>
  </si>
  <si>
    <t>Bunhov</t>
  </si>
  <si>
    <t>0716262397</t>
  </si>
  <si>
    <t>29507160168636ល</t>
  </si>
  <si>
    <t>150536137</t>
  </si>
  <si>
    <t>ឌុល</t>
  </si>
  <si>
    <t>ម៉ាន់</t>
  </si>
  <si>
    <t>Dol</t>
  </si>
  <si>
    <t>Mann</t>
  </si>
  <si>
    <t>0966896778</t>
  </si>
  <si>
    <t>061878486</t>
  </si>
  <si>
    <t>ហ៊ា</t>
  </si>
  <si>
    <t>តុងហ៊ាង</t>
  </si>
  <si>
    <t>Hea</t>
  </si>
  <si>
    <t>TongHeang</t>
  </si>
  <si>
    <t>GA</t>
  </si>
  <si>
    <t>086456497</t>
  </si>
  <si>
    <t>28808192170058រ</t>
  </si>
  <si>
    <t>070320915</t>
  </si>
  <si>
    <t>ណារី</t>
  </si>
  <si>
    <t>Soeun</t>
  </si>
  <si>
    <t>NaRy</t>
  </si>
  <si>
    <t>0973609544</t>
  </si>
  <si>
    <t>28908192173858ច</t>
  </si>
  <si>
    <t>020714568</t>
  </si>
  <si>
    <t>ជ្រី</t>
  </si>
  <si>
    <t>ហ៊ុយអ៊ាង</t>
  </si>
  <si>
    <t>Chry</t>
  </si>
  <si>
    <t>HuyEang</t>
  </si>
  <si>
    <t>0975042034</t>
  </si>
  <si>
    <t>19308192175926ហ</t>
  </si>
  <si>
    <t>150576222</t>
  </si>
  <si>
    <t>កូវីន</t>
  </si>
  <si>
    <t>KoVin</t>
  </si>
  <si>
    <t>087895501</t>
  </si>
  <si>
    <t>29811160404259ន</t>
  </si>
  <si>
    <t>130177079</t>
  </si>
  <si>
    <t>ឈឿន</t>
  </si>
  <si>
    <t>Chhoeurn</t>
  </si>
  <si>
    <t>SreyMao</t>
  </si>
  <si>
    <t>29208192174872ស</t>
  </si>
  <si>
    <t>050808412</t>
  </si>
  <si>
    <t>រីយ៉ា</t>
  </si>
  <si>
    <t>Shorn</t>
  </si>
  <si>
    <t>RiYa</t>
  </si>
  <si>
    <t>098317265</t>
  </si>
  <si>
    <t>29003192011172ច</t>
  </si>
  <si>
    <t>101273703</t>
  </si>
  <si>
    <t>សែស</t>
  </si>
  <si>
    <t>Ses</t>
  </si>
  <si>
    <t>Pech</t>
  </si>
  <si>
    <t>18903192015931ន</t>
  </si>
  <si>
    <t>101273704</t>
  </si>
  <si>
    <t>វ៉ាន</t>
  </si>
  <si>
    <t>0973716450</t>
  </si>
  <si>
    <t>27208192175876អ</t>
  </si>
  <si>
    <t>090675344</t>
  </si>
  <si>
    <t>ថន</t>
  </si>
  <si>
    <t>Chea</t>
  </si>
  <si>
    <t>Thorn</t>
  </si>
  <si>
    <t>13000163948</t>
  </si>
  <si>
    <t>វិឌិត</t>
  </si>
  <si>
    <t>Sorm</t>
  </si>
  <si>
    <t>ViDet</t>
  </si>
  <si>
    <t>0968099360</t>
  </si>
  <si>
    <t>Vong</t>
  </si>
  <si>
    <t>សៀមរាប</t>
  </si>
  <si>
    <t>0979503163</t>
  </si>
  <si>
    <t>18711181903797ហ</t>
  </si>
  <si>
    <t>110275714</t>
  </si>
  <si>
    <t>សារ៉ាត់</t>
  </si>
  <si>
    <t>Yoem</t>
  </si>
  <si>
    <t>Sarath</t>
  </si>
  <si>
    <t>0962513416</t>
  </si>
  <si>
    <t>19510160397285ម</t>
  </si>
  <si>
    <t>090561147</t>
  </si>
  <si>
    <t>សុរ៉ាន់ដា</t>
  </si>
  <si>
    <t xml:space="preserve">Son </t>
  </si>
  <si>
    <t>Sorannda</t>
  </si>
  <si>
    <t>015595225</t>
  </si>
  <si>
    <t>20009192187708ផ</t>
  </si>
  <si>
    <t>101210735</t>
  </si>
  <si>
    <t>ស្រីនីន</t>
  </si>
  <si>
    <t>Sreynin</t>
  </si>
  <si>
    <t>0887909612</t>
  </si>
  <si>
    <t>29407181468313ម</t>
  </si>
  <si>
    <t>110556365</t>
  </si>
  <si>
    <t>ភួង</t>
  </si>
  <si>
    <t>ភារី</t>
  </si>
  <si>
    <t>Phoung</t>
  </si>
  <si>
    <t>PheaRy</t>
  </si>
  <si>
    <t>0973899500</t>
  </si>
  <si>
    <t>18609192192941ស</t>
  </si>
  <si>
    <t>100932563</t>
  </si>
  <si>
    <t>090643547</t>
  </si>
  <si>
    <t>170986452</t>
  </si>
  <si>
    <t>ឡូ</t>
  </si>
  <si>
    <t>ល័ក្ខ</t>
  </si>
  <si>
    <t>0963741033</t>
  </si>
  <si>
    <t>28510160384773ព</t>
  </si>
  <si>
    <t>130172258</t>
  </si>
  <si>
    <t>ណាំ</t>
  </si>
  <si>
    <t>យ៉ា</t>
  </si>
  <si>
    <t>Nam</t>
  </si>
  <si>
    <t>Ya</t>
  </si>
  <si>
    <t>016233032</t>
  </si>
  <si>
    <t>សងា្កត់ព្រៃនប់ ក្រុងព្រះសីហនុ ខេត្តព្រះសីហនុ</t>
  </si>
  <si>
    <t>19409192198585ច</t>
  </si>
  <si>
    <t>130185741</t>
  </si>
  <si>
    <t>ជុត</t>
  </si>
  <si>
    <t>សុធារិទ្ធិ</t>
  </si>
  <si>
    <t>Chut</t>
  </si>
  <si>
    <t>SoThearith</t>
  </si>
  <si>
    <t>087549694</t>
  </si>
  <si>
    <t>សងា្កត់4 ក្រុងព្រះសីហនុ ខេត្តព្រះសីហនុ</t>
  </si>
  <si>
    <t>28510160384684ភ</t>
  </si>
  <si>
    <t>110526159</t>
  </si>
  <si>
    <t>ផាន់នី</t>
  </si>
  <si>
    <t>PhanNy</t>
  </si>
  <si>
    <t>0967240502</t>
  </si>
  <si>
    <t>28111160400315ក</t>
  </si>
  <si>
    <t>130185579</t>
  </si>
  <si>
    <t>សុង</t>
  </si>
  <si>
    <t>Song</t>
  </si>
  <si>
    <t>SoThea</t>
  </si>
  <si>
    <t>087267424</t>
  </si>
  <si>
    <t>120031555</t>
  </si>
  <si>
    <t>យូ</t>
  </si>
  <si>
    <t>You</t>
  </si>
  <si>
    <t>Sarin</t>
  </si>
  <si>
    <t>110377895</t>
  </si>
  <si>
    <t xml:space="preserve">Khoem </t>
  </si>
  <si>
    <t>Samang</t>
  </si>
  <si>
    <t>171139124</t>
  </si>
  <si>
    <t>Samnage</t>
  </si>
  <si>
    <t>29910192229193រ</t>
  </si>
  <si>
    <t>110602491</t>
  </si>
  <si>
    <t>សូត</t>
  </si>
  <si>
    <t>Mom</t>
  </si>
  <si>
    <t>269101192206561ទ</t>
  </si>
  <si>
    <t>010043910</t>
  </si>
  <si>
    <t>ផារ់់ា់ត</t>
  </si>
  <si>
    <t>Kov</t>
  </si>
  <si>
    <t>Pharat</t>
  </si>
  <si>
    <t>20010192204990ឆ</t>
  </si>
  <si>
    <t>101383331</t>
  </si>
  <si>
    <t>ដាឡែន</t>
  </si>
  <si>
    <t>Dalen</t>
  </si>
  <si>
    <t>28010192210808ញ</t>
  </si>
  <si>
    <t>101133159</t>
  </si>
  <si>
    <t>សារី</t>
  </si>
  <si>
    <t xml:space="preserve">Oung </t>
  </si>
  <si>
    <t>SaRe</t>
  </si>
  <si>
    <t>29808160229560ណ</t>
  </si>
  <si>
    <t>110496064</t>
  </si>
  <si>
    <t xml:space="preserve">Keo </t>
  </si>
  <si>
    <t>20110192212142វ</t>
  </si>
  <si>
    <t>051475685</t>
  </si>
  <si>
    <t>Yong</t>
  </si>
  <si>
    <t>Sreytoch</t>
  </si>
  <si>
    <t>28610160391433ណ</t>
  </si>
  <si>
    <t>160369718</t>
  </si>
  <si>
    <t xml:space="preserve">ងួ​ន </t>
  </si>
  <si>
    <t>ស្រីតូច</t>
  </si>
  <si>
    <t>Nguon</t>
  </si>
  <si>
    <t>Sreytouh</t>
  </si>
  <si>
    <t xml:space="preserve">28410192207638ប             </t>
  </si>
  <si>
    <t>110243142</t>
  </si>
  <si>
    <t xml:space="preserve">May </t>
  </si>
  <si>
    <t>Chantha</t>
  </si>
  <si>
    <t>28010192207627ណ</t>
  </si>
  <si>
    <t>130211188</t>
  </si>
  <si>
    <t>មុនីរត្ន័</t>
  </si>
  <si>
    <t xml:space="preserve">Long </t>
  </si>
  <si>
    <t>Moniroth</t>
  </si>
  <si>
    <t>2/Juy/84</t>
  </si>
  <si>
    <t>19908181597968ត</t>
  </si>
  <si>
    <t>030808040</t>
  </si>
  <si>
    <t>ហង់</t>
  </si>
  <si>
    <t>29410192209788ស</t>
  </si>
  <si>
    <t>101105257</t>
  </si>
  <si>
    <t>Touch</t>
  </si>
  <si>
    <t>SreyNich</t>
  </si>
  <si>
    <t>28610170916650ន</t>
  </si>
  <si>
    <t>110300377</t>
  </si>
  <si>
    <t>Khon</t>
  </si>
  <si>
    <t>29408160202784ទ</t>
  </si>
  <si>
    <t>101073544</t>
  </si>
  <si>
    <t>បែ់់់់ន</t>
  </si>
  <si>
    <t>សុវណ្ណ</t>
  </si>
  <si>
    <t>Sovann</t>
  </si>
  <si>
    <t>29205181400167ឍ</t>
  </si>
  <si>
    <t>101127347</t>
  </si>
  <si>
    <t>Net</t>
  </si>
  <si>
    <t>Channa</t>
  </si>
  <si>
    <t>195101192220602ជ</t>
  </si>
  <si>
    <t>061364827</t>
  </si>
  <si>
    <t>10110192220657ង</t>
  </si>
  <si>
    <t>062149487</t>
  </si>
  <si>
    <t>150720564</t>
  </si>
  <si>
    <t>យាន់</t>
  </si>
  <si>
    <t>19210160393346ត</t>
  </si>
  <si>
    <t>130222256</t>
  </si>
  <si>
    <t>Chhun</t>
  </si>
  <si>
    <t>Leng</t>
  </si>
  <si>
    <t>29110192219055ណ</t>
  </si>
  <si>
    <t>170647149</t>
  </si>
  <si>
    <t>ឈឹត</t>
  </si>
  <si>
    <t>Chhit</t>
  </si>
  <si>
    <t>29610192220230ឆ</t>
  </si>
  <si>
    <t>130211561</t>
  </si>
  <si>
    <t>SreyRoth</t>
  </si>
  <si>
    <t>27910192222978វ</t>
  </si>
  <si>
    <t>100956525</t>
  </si>
  <si>
    <t>Kea</t>
  </si>
  <si>
    <t>26411160399471ផ</t>
  </si>
  <si>
    <t>130184932</t>
  </si>
  <si>
    <t>Sokhom</t>
  </si>
  <si>
    <t>29210160389042ណ</t>
  </si>
  <si>
    <t>050862630</t>
  </si>
  <si>
    <t>សាធន់</t>
  </si>
  <si>
    <t>Pheng</t>
  </si>
  <si>
    <t>Sathun</t>
  </si>
  <si>
    <t>28110160381799ភ</t>
  </si>
  <si>
    <t>110577740</t>
  </si>
  <si>
    <t>តុន</t>
  </si>
  <si>
    <t xml:space="preserve">Ton </t>
  </si>
  <si>
    <t>Taing</t>
  </si>
  <si>
    <t>28310160389839វ</t>
  </si>
  <si>
    <t>050862587</t>
  </si>
  <si>
    <t>សុភាន់</t>
  </si>
  <si>
    <t>Sophon</t>
  </si>
  <si>
    <t>20001181185986ទ</t>
  </si>
  <si>
    <t>101345416</t>
  </si>
  <si>
    <t>Sinuon</t>
  </si>
  <si>
    <t>27711160400866ថ</t>
  </si>
  <si>
    <t>130031671</t>
  </si>
  <si>
    <t>ណា</t>
  </si>
  <si>
    <t>Heng</t>
  </si>
  <si>
    <t>Na</t>
  </si>
  <si>
    <t>28611160399968ឃ</t>
  </si>
  <si>
    <t>130164969</t>
  </si>
  <si>
    <t>ដារី</t>
  </si>
  <si>
    <t>Say</t>
  </si>
  <si>
    <t>DaRi</t>
  </si>
  <si>
    <t>0968675690</t>
  </si>
  <si>
    <t>28410160387971ម</t>
  </si>
  <si>
    <t>130068734</t>
  </si>
  <si>
    <t>0887771268</t>
  </si>
  <si>
    <t>171190110</t>
  </si>
  <si>
    <t>Lo</t>
  </si>
  <si>
    <t>069740523</t>
  </si>
  <si>
    <t>130167677</t>
  </si>
  <si>
    <t xml:space="preserve">Sok </t>
  </si>
  <si>
    <t>069964639</t>
  </si>
  <si>
    <t>28710192215641ថ</t>
  </si>
  <si>
    <t>130102754</t>
  </si>
  <si>
    <t>ខា</t>
  </si>
  <si>
    <t>សារឺម</t>
  </si>
  <si>
    <t>Ka</t>
  </si>
  <si>
    <t>Saroem</t>
  </si>
  <si>
    <t>28910160388245ម</t>
  </si>
  <si>
    <t>110411865</t>
  </si>
  <si>
    <t>Uk</t>
  </si>
  <si>
    <t>Phath</t>
  </si>
  <si>
    <t>0964655977</t>
  </si>
  <si>
    <t>28604192037183ផ</t>
  </si>
  <si>
    <t>150797007</t>
  </si>
  <si>
    <t>ឃី</t>
  </si>
  <si>
    <t xml:space="preserve">Khy </t>
  </si>
  <si>
    <t>0963939065</t>
  </si>
  <si>
    <t>27610160388905ភ</t>
  </si>
  <si>
    <t>130050320</t>
  </si>
  <si>
    <t>ប៌ុនលី</t>
  </si>
  <si>
    <t>Bunly</t>
  </si>
  <si>
    <t>0965453166</t>
  </si>
  <si>
    <t>28711160400180ឆ</t>
  </si>
  <si>
    <t>110237637</t>
  </si>
  <si>
    <t>Pan</t>
  </si>
  <si>
    <t>0967212629</t>
  </si>
  <si>
    <t>2831016039051ញ</t>
  </si>
  <si>
    <t>130208715</t>
  </si>
  <si>
    <t>27110160390794ទ</t>
  </si>
  <si>
    <t>062082450</t>
  </si>
  <si>
    <t>បុរី</t>
  </si>
  <si>
    <t>Some</t>
  </si>
  <si>
    <t>Bory</t>
  </si>
  <si>
    <t>29711160400865ទ</t>
  </si>
  <si>
    <t>090836918</t>
  </si>
  <si>
    <t>រត្ន័</t>
  </si>
  <si>
    <t>ឡៃ</t>
  </si>
  <si>
    <t>Rath</t>
  </si>
  <si>
    <t>Lai</t>
  </si>
  <si>
    <t>0965435295</t>
  </si>
  <si>
    <t>18803192011225ដ</t>
  </si>
  <si>
    <t>យ៉ាន</t>
  </si>
  <si>
    <t>បារាំង</t>
  </si>
  <si>
    <t>Baraing</t>
  </si>
  <si>
    <t>015930656</t>
  </si>
  <si>
    <t>29710192206623ទ</t>
  </si>
  <si>
    <t>110464776</t>
  </si>
  <si>
    <t>សុណារិទ្ធិ</t>
  </si>
  <si>
    <t>Suon</t>
  </si>
  <si>
    <t>Sonaret</t>
  </si>
  <si>
    <t xml:space="preserve">ខ្មែរ </t>
  </si>
  <si>
    <t>0888502189</t>
  </si>
  <si>
    <t>19910192222145ត</t>
  </si>
  <si>
    <t>110566722</t>
  </si>
  <si>
    <t>អីងុ</t>
  </si>
  <si>
    <t>Eung</t>
  </si>
  <si>
    <t>0966963511</t>
  </si>
  <si>
    <t>10004192039115ឃ</t>
  </si>
  <si>
    <t>110588034</t>
  </si>
  <si>
    <t>ស៌ាន</t>
  </si>
  <si>
    <t>096434491</t>
  </si>
  <si>
    <t>20909265</t>
  </si>
  <si>
    <t>ហារ</t>
  </si>
  <si>
    <t>ស្រីយ៉ា</t>
  </si>
  <si>
    <t xml:space="preserve">Ha </t>
  </si>
  <si>
    <t>Sreyya</t>
  </si>
  <si>
    <t>086740627</t>
  </si>
  <si>
    <t>សុថុន</t>
  </si>
  <si>
    <t>Sal</t>
  </si>
  <si>
    <t>SoThuom</t>
  </si>
  <si>
    <t>0976900329</t>
  </si>
  <si>
    <t>29910192205697ស</t>
  </si>
  <si>
    <t>110546080</t>
  </si>
  <si>
    <t>ជិន</t>
  </si>
  <si>
    <t>Chin</t>
  </si>
  <si>
    <t>Sreynich</t>
  </si>
  <si>
    <t>0962158228</t>
  </si>
  <si>
    <t>29606160133295ប</t>
  </si>
  <si>
    <t>បូច</t>
  </si>
  <si>
    <t>វិត</t>
  </si>
  <si>
    <t xml:space="preserve">Poch </t>
  </si>
  <si>
    <t>Vit</t>
  </si>
  <si>
    <t>28604170702094ទ</t>
  </si>
  <si>
    <t>110259695</t>
  </si>
  <si>
    <t>ញឺម</t>
  </si>
  <si>
    <t>ចាន់ថេង</t>
  </si>
  <si>
    <t>Nhoem</t>
  </si>
  <si>
    <t>Chantheng</t>
  </si>
  <si>
    <t>010902930</t>
  </si>
  <si>
    <t>19710192219221ណ</t>
  </si>
  <si>
    <t>110541112</t>
  </si>
  <si>
    <t>Ry</t>
  </si>
  <si>
    <t>2/Juy/97</t>
  </si>
  <si>
    <t>0965624915</t>
  </si>
  <si>
    <t>29302160073575ផ</t>
  </si>
  <si>
    <t>101115597</t>
  </si>
  <si>
    <t>ពុធផាយ</t>
  </si>
  <si>
    <t>Putthay</t>
  </si>
  <si>
    <t>0889729604</t>
  </si>
  <si>
    <t>28510192204469ប</t>
  </si>
  <si>
    <t>110355836</t>
  </si>
  <si>
    <t>ថេង</t>
  </si>
  <si>
    <t>ស្រអែម</t>
  </si>
  <si>
    <t>Then</t>
  </si>
  <si>
    <t>SraEm</t>
  </si>
  <si>
    <t>0962843872</t>
  </si>
  <si>
    <t>29201181151264ដ</t>
  </si>
  <si>
    <t>040333300</t>
  </si>
  <si>
    <t>ជូប</t>
  </si>
  <si>
    <t>ឆេងឡែ</t>
  </si>
  <si>
    <t>Choub</t>
  </si>
  <si>
    <t>Chheenglal</t>
  </si>
  <si>
    <t>0973156459</t>
  </si>
  <si>
    <t>27310192212010ឡ</t>
  </si>
  <si>
    <t>110138542</t>
  </si>
  <si>
    <t>ឆឺក</t>
  </si>
  <si>
    <t>Chhoek</t>
  </si>
  <si>
    <t>Khan</t>
  </si>
  <si>
    <t>0887352858</t>
  </si>
  <si>
    <t>29310192212233ជ</t>
  </si>
  <si>
    <t>040349641</t>
  </si>
  <si>
    <t>0885844682</t>
  </si>
  <si>
    <t>26910192202223ឈ</t>
  </si>
  <si>
    <t>030809352</t>
  </si>
  <si>
    <t>ប៉ូច</t>
  </si>
  <si>
    <t>Bon</t>
  </si>
  <si>
    <t>ឈឺត</t>
  </si>
  <si>
    <t>0969545546</t>
  </si>
  <si>
    <t>19005192055682ប</t>
  </si>
  <si>
    <t>110541788</t>
  </si>
  <si>
    <t>ឆែម</t>
  </si>
  <si>
    <t xml:space="preserve">Chhem </t>
  </si>
  <si>
    <t>Oeun</t>
  </si>
  <si>
    <t>0967659462</t>
  </si>
  <si>
    <t>2761116-0400066</t>
  </si>
  <si>
    <t>130009659(01)</t>
  </si>
  <si>
    <t>រៀល</t>
  </si>
  <si>
    <t>សុផល្លី</t>
  </si>
  <si>
    <t>Riel</t>
  </si>
  <si>
    <t>Sophaly</t>
  </si>
  <si>
    <t>0973796554</t>
  </si>
  <si>
    <t>ភូមិ2 សង្កាត2 ខេត្ត ព្រះសីហនុ</t>
  </si>
  <si>
    <t>2701019-2206831ញ</t>
  </si>
  <si>
    <t>100943955</t>
  </si>
  <si>
    <t>យឿន</t>
  </si>
  <si>
    <t>Sot</t>
  </si>
  <si>
    <t>Yoeun</t>
  </si>
  <si>
    <t>0962861362</t>
  </si>
  <si>
    <t>ភូមិ2 សង្កាត1 ខេត្ត ព្រះសីហនុ</t>
  </si>
  <si>
    <t>2941216-0540492ថ</t>
  </si>
  <si>
    <t>061396383</t>
  </si>
  <si>
    <t>សុខហូយ</t>
  </si>
  <si>
    <t xml:space="preserve">Chhouern </t>
  </si>
  <si>
    <t>Sokhoy</t>
  </si>
  <si>
    <t>089809857</t>
  </si>
  <si>
    <t>ភូមិ5 សង្កាត4 ខេត្ត ព្រះសីហនុ</t>
  </si>
  <si>
    <t>130130536</t>
  </si>
  <si>
    <t>ឯក</t>
  </si>
  <si>
    <t>ចាន់កុល</t>
  </si>
  <si>
    <t>Ek</t>
  </si>
  <si>
    <t>Chankol</t>
  </si>
  <si>
    <t>0965669810</t>
  </si>
  <si>
    <t>សង្កាត4 ខេត្ត ព្រះសីហនុ</t>
  </si>
  <si>
    <t>05063837</t>
  </si>
  <si>
    <t>ជូន</t>
  </si>
  <si>
    <t>សំអុល</t>
  </si>
  <si>
    <t>Chourn</t>
  </si>
  <si>
    <t>Somol</t>
  </si>
  <si>
    <t>015493117</t>
  </si>
  <si>
    <t>ភូមិ1 សង្កាត1 ខេត្ត ព្រះសីហនុ</t>
  </si>
  <si>
    <t>2991019-2209773វ</t>
  </si>
  <si>
    <t>110602337</t>
  </si>
  <si>
    <t>រាប</t>
  </si>
  <si>
    <t>Phoreun</t>
  </si>
  <si>
    <t>Reap</t>
  </si>
  <si>
    <t>0962672028</t>
  </si>
  <si>
    <t>1830317-0680397ភ</t>
  </si>
  <si>
    <t>00</t>
  </si>
  <si>
    <t>សាត</t>
  </si>
  <si>
    <t>Sat</t>
  </si>
  <si>
    <t>1791019-2202213ជ</t>
  </si>
  <si>
    <t>030974092</t>
  </si>
  <si>
    <t>សាំង</t>
  </si>
  <si>
    <t>ចំរើន</t>
  </si>
  <si>
    <t>Chomrern</t>
  </si>
  <si>
    <t>29211160400208ឃ</t>
  </si>
  <si>
    <t>130160660</t>
  </si>
  <si>
    <t>សុ៍យ</t>
  </si>
  <si>
    <t>Suy</t>
  </si>
  <si>
    <t>Leang</t>
  </si>
  <si>
    <t>yes</t>
  </si>
  <si>
    <t>069740165</t>
  </si>
  <si>
    <t>030654552</t>
  </si>
  <si>
    <t>Nuch</t>
  </si>
  <si>
    <t>Nary</t>
  </si>
  <si>
    <t>016359697</t>
  </si>
  <si>
    <t>29612160528056ប</t>
  </si>
  <si>
    <t>040404557</t>
  </si>
  <si>
    <t>ស្រីនុត</t>
  </si>
  <si>
    <t>SreyNut</t>
  </si>
  <si>
    <t>កំពង់ឆ្នាំង</t>
  </si>
  <si>
    <t>077411487</t>
  </si>
  <si>
    <t>19107160139124ឌ</t>
  </si>
  <si>
    <t>101136691</t>
  </si>
  <si>
    <t>ឌីណា</t>
  </si>
  <si>
    <t>Dina</t>
  </si>
  <si>
    <t>0889730540</t>
  </si>
  <si>
    <t>28610160390115ដ</t>
  </si>
  <si>
    <t>050862590</t>
  </si>
  <si>
    <t>Sakhon</t>
  </si>
  <si>
    <t>015677475</t>
  </si>
  <si>
    <t>28610160390047ណ</t>
  </si>
  <si>
    <t>130160059</t>
  </si>
  <si>
    <t>សុតេង</t>
  </si>
  <si>
    <t>Soteng</t>
  </si>
  <si>
    <t>085992234</t>
  </si>
  <si>
    <t>29810192223263ទ</t>
  </si>
  <si>
    <t>ស៊ុយ</t>
  </si>
  <si>
    <t>SUY</t>
  </si>
  <si>
    <t>NGA</t>
  </si>
  <si>
    <t>081 430 873</t>
  </si>
  <si>
    <t xml:space="preserve"> សង្កាត1 ខេត្ត ព្រះសីហនុ</t>
  </si>
  <si>
    <t>DALEN</t>
  </si>
  <si>
    <t>G5</t>
  </si>
  <si>
    <t>069 984 463</t>
  </si>
  <si>
    <t>សុណៃ</t>
  </si>
  <si>
    <t>096 658 046 1</t>
  </si>
  <si>
    <t>28110160389129ធ</t>
  </si>
  <si>
    <t>110333656</t>
  </si>
  <si>
    <t>ង៉ុន</t>
  </si>
  <si>
    <t>NGON</t>
  </si>
  <si>
    <t>G10</t>
  </si>
  <si>
    <t>016 319 636</t>
  </si>
  <si>
    <t xml:space="preserve"> សង្កាត4 ខេត្ត ព្រះសីហនុ</t>
  </si>
  <si>
    <t>28211160399373ព</t>
  </si>
  <si>
    <t>130154984</t>
  </si>
  <si>
    <t>SAMEY</t>
  </si>
  <si>
    <t>G9</t>
  </si>
  <si>
    <t>078 744 417</t>
  </si>
  <si>
    <t>ភូមិ1 សង្កាត2 ខេត្ត ព្រះសីហនុ</t>
  </si>
  <si>
    <t>28710160389098ស</t>
  </si>
  <si>
    <t>110345836</t>
  </si>
  <si>
    <t>មឹក</t>
  </si>
  <si>
    <t>MOEK</t>
  </si>
  <si>
    <t>THEARA</t>
  </si>
  <si>
    <t>G6</t>
  </si>
  <si>
    <t>086 700 815</t>
  </si>
  <si>
    <t>088 777 126 8</t>
  </si>
  <si>
    <t>28710160388574ល</t>
  </si>
  <si>
    <t>090688668</t>
  </si>
  <si>
    <t>ណេត</t>
  </si>
  <si>
    <t>NETH</t>
  </si>
  <si>
    <t>016 442 731</t>
  </si>
  <si>
    <t>29311160438533ថ</t>
  </si>
  <si>
    <t>090694357</t>
  </si>
  <si>
    <t>G3</t>
  </si>
  <si>
    <t>093 348 043</t>
  </si>
  <si>
    <t>28410160391477ប</t>
  </si>
  <si>
    <t>110391406</t>
  </si>
  <si>
    <t>G8</t>
  </si>
  <si>
    <t>071 458 468 4</t>
  </si>
  <si>
    <t>ភុមិ 01សងា្កត់ 04 ក្រុងព្រះសីហនុ ខេត្តព្រះសីហនុ</t>
  </si>
  <si>
    <t>27610160391032ឈ</t>
  </si>
  <si>
    <t>130178439</t>
  </si>
  <si>
    <t>វន</t>
  </si>
  <si>
    <t>សារុត</t>
  </si>
  <si>
    <t>SARUT</t>
  </si>
  <si>
    <t>086 741 998</t>
  </si>
  <si>
    <t>29210160389824ព</t>
  </si>
  <si>
    <t>130099099</t>
  </si>
  <si>
    <t>NA</t>
  </si>
  <si>
    <t>G2</t>
  </si>
  <si>
    <t>087 445 987</t>
  </si>
  <si>
    <t>28610160389112ត</t>
  </si>
  <si>
    <t>130057509</t>
  </si>
  <si>
    <t>រឹម</t>
  </si>
  <si>
    <t>ROEM</t>
  </si>
  <si>
    <t>096 589 655 2</t>
  </si>
  <si>
    <t>27610160388042ត</t>
  </si>
  <si>
    <t>130069130</t>
  </si>
  <si>
    <t>ហៀង</t>
  </si>
  <si>
    <t>HIENG</t>
  </si>
  <si>
    <t>096 974 667 0</t>
  </si>
  <si>
    <t>130165760</t>
  </si>
  <si>
    <t>បុផ្ផា</t>
  </si>
  <si>
    <t>ME</t>
  </si>
  <si>
    <t>BOPHA</t>
  </si>
  <si>
    <t>ភ្នំពេញ</t>
  </si>
  <si>
    <t>090 903 359</t>
  </si>
  <si>
    <t>28610192231573ទ</t>
  </si>
  <si>
    <t>130222910</t>
  </si>
  <si>
    <t>POUNG</t>
  </si>
  <si>
    <t xml:space="preserve">  093 538 785</t>
  </si>
  <si>
    <t>ក្នុងបន្ទុក</t>
  </si>
  <si>
    <t>28710160390577ភ</t>
  </si>
  <si>
    <t>130066082</t>
  </si>
  <si>
    <t>គីមស្រីម</t>
  </si>
  <si>
    <t>KIMSRIM</t>
  </si>
  <si>
    <t>081 472 548</t>
  </si>
  <si>
    <t>ភុមិ 01សងា្កត់ 02 ក្រុងព្រះសីហនុ ខេត្តព្រះសីហនុ</t>
  </si>
  <si>
    <t>29010160389770ប</t>
  </si>
  <si>
    <t>130179962</t>
  </si>
  <si>
    <t>097 900 475 3</t>
  </si>
  <si>
    <t>130227847</t>
  </si>
  <si>
    <t>ស្រីនោ</t>
  </si>
  <si>
    <t>SREYNOU</t>
  </si>
  <si>
    <t>096 558 035 5</t>
  </si>
  <si>
    <t>រត់តាក់ស៊ី</t>
  </si>
  <si>
    <t>2861016-0389121ត</t>
  </si>
  <si>
    <t>130097973</t>
  </si>
  <si>
    <t>សុវណ្ណា</t>
  </si>
  <si>
    <t>SOVANNA</t>
  </si>
  <si>
    <t>016 494 962</t>
  </si>
  <si>
    <t>27411160400832ឆ</t>
  </si>
  <si>
    <t>100918117</t>
  </si>
  <si>
    <t>វ៉ឹង</t>
  </si>
  <si>
    <t>VOENG</t>
  </si>
  <si>
    <t>011 248 131</t>
  </si>
  <si>
    <t>29609181654174ហ</t>
  </si>
  <si>
    <t>061368856</t>
  </si>
  <si>
    <t>Apron B9</t>
  </si>
  <si>
    <t>097 805 071 0</t>
  </si>
  <si>
    <t>សងា្កត់ 01 ក្រុងព្រះសីហនុ ខេត្តព្រះសីហនុ</t>
  </si>
  <si>
    <t>ខ្វាន់</t>
  </si>
  <si>
    <t>Apron B10</t>
  </si>
  <si>
    <t>012 941 474</t>
  </si>
  <si>
    <t>110420374</t>
  </si>
  <si>
    <t>ផាន្នា</t>
  </si>
  <si>
    <t>KHAN</t>
  </si>
  <si>
    <t>PHANNA</t>
  </si>
  <si>
    <t>CUT AND SEW</t>
  </si>
  <si>
    <t>070 284 066</t>
  </si>
  <si>
    <t>200165793</t>
  </si>
  <si>
    <t>សុខធាន</t>
  </si>
  <si>
    <t>SOKTHEAN</t>
  </si>
  <si>
    <t>Apron B8</t>
  </si>
  <si>
    <t>ឩត្តមានជ័យ</t>
  </si>
  <si>
    <t>097 574 990 5</t>
  </si>
  <si>
    <t>29410170929684ស</t>
  </si>
  <si>
    <t>នៅ</t>
  </si>
  <si>
    <t>NAV</t>
  </si>
  <si>
    <t>087 226 781</t>
  </si>
  <si>
    <t>តុប</t>
  </si>
  <si>
    <t>និមល</t>
  </si>
  <si>
    <t>096 399 943 8</t>
  </si>
  <si>
    <t>ឃ្លាំងលើ</t>
  </si>
  <si>
    <t>110600044</t>
  </si>
  <si>
    <t>ឆិល</t>
  </si>
  <si>
    <t>វ៉ានឆាយ</t>
  </si>
  <si>
    <t>CHHEL</t>
  </si>
  <si>
    <t>VANCHHAY</t>
  </si>
  <si>
    <t>096 857 126 9</t>
  </si>
  <si>
    <t>28605192076794ក</t>
  </si>
  <si>
    <t>040291090</t>
  </si>
  <si>
    <t>មេត្តា</t>
  </si>
  <si>
    <t>Horn</t>
  </si>
  <si>
    <t>Meta</t>
  </si>
  <si>
    <t>28512160475940ផ</t>
  </si>
  <si>
    <t>100932589</t>
  </si>
  <si>
    <t>ណន</t>
  </si>
  <si>
    <t>Norn</t>
  </si>
  <si>
    <t>0977385061</t>
  </si>
  <si>
    <t>29911170962192រ</t>
  </si>
  <si>
    <t>ស្រីមី</t>
  </si>
  <si>
    <t>SreyMey</t>
  </si>
  <si>
    <t>010415644</t>
  </si>
  <si>
    <t>29302170627026ណ</t>
  </si>
  <si>
    <t>062124244</t>
  </si>
  <si>
    <t>ស៊ុក</t>
  </si>
  <si>
    <t>ស្រីនិត</t>
  </si>
  <si>
    <t>SreyNit</t>
  </si>
  <si>
    <t>070495410</t>
  </si>
  <si>
    <t>29210160393147ត</t>
  </si>
  <si>
    <t>130149165</t>
  </si>
  <si>
    <t>Reoun</t>
  </si>
  <si>
    <t>0963837658</t>
  </si>
  <si>
    <t>29108181639435ល</t>
  </si>
  <si>
    <t>130124718</t>
  </si>
  <si>
    <t>016502116</t>
  </si>
  <si>
    <t>29007170814235ថ</t>
  </si>
  <si>
    <t>02169295</t>
  </si>
  <si>
    <t>ច្រឹក</t>
  </si>
  <si>
    <t>ខ្នា</t>
  </si>
  <si>
    <t>Khna</t>
  </si>
  <si>
    <t>083596918</t>
  </si>
  <si>
    <t>28606192099573ខ</t>
  </si>
  <si>
    <t>130170256</t>
  </si>
  <si>
    <t>បៀន</t>
  </si>
  <si>
    <t>Bien</t>
  </si>
  <si>
    <t>087538130</t>
  </si>
  <si>
    <t>29208180184286ម</t>
  </si>
  <si>
    <t>011237378</t>
  </si>
  <si>
    <t>Hun</t>
  </si>
  <si>
    <t>ThyDa</t>
  </si>
  <si>
    <t>086233219</t>
  </si>
  <si>
    <t>29602160078396រ</t>
  </si>
  <si>
    <t>030594678</t>
  </si>
  <si>
    <t>ម៉េត</t>
  </si>
  <si>
    <t>ធិតា</t>
  </si>
  <si>
    <t>Met</t>
  </si>
  <si>
    <t>096215156</t>
  </si>
  <si>
    <t>29709181670353វ</t>
  </si>
  <si>
    <t>ស៊ីវ</t>
  </si>
  <si>
    <t>ឡើវី</t>
  </si>
  <si>
    <t>Siv</t>
  </si>
  <si>
    <t>LeuVy</t>
  </si>
  <si>
    <t>016426378</t>
  </si>
  <si>
    <t>19610160388725ល</t>
  </si>
  <si>
    <t>100689685</t>
  </si>
  <si>
    <t>0967770659</t>
  </si>
  <si>
    <t>ណុប</t>
  </si>
  <si>
    <t>សុខគង់</t>
  </si>
  <si>
    <t>Nub</t>
  </si>
  <si>
    <t>SokKong</t>
  </si>
  <si>
    <t>0962650731</t>
  </si>
  <si>
    <t>29811160400957ប</t>
  </si>
  <si>
    <t>150578834</t>
  </si>
  <si>
    <t>រស្មី</t>
  </si>
  <si>
    <t>ReakSmey</t>
  </si>
  <si>
    <t>0967366468</t>
  </si>
  <si>
    <t>28603170681187យ</t>
  </si>
  <si>
    <t>130200329</t>
  </si>
  <si>
    <t>ស្រីស</t>
  </si>
  <si>
    <t>Ret</t>
  </si>
  <si>
    <t>SreySor</t>
  </si>
  <si>
    <t>0964053181</t>
  </si>
  <si>
    <t>28010192222071ង</t>
  </si>
  <si>
    <t>130208384</t>
  </si>
  <si>
    <t>ស្រីលក្ខ័</t>
  </si>
  <si>
    <t>0965377916</t>
  </si>
  <si>
    <t>28110170916442ឍ</t>
  </si>
  <si>
    <t>051164107</t>
  </si>
  <si>
    <t>ប៉ូ</t>
  </si>
  <si>
    <t>វ៉ាស់</t>
  </si>
  <si>
    <t>Po</t>
  </si>
  <si>
    <t>Vass</t>
  </si>
  <si>
    <t>0962425600</t>
  </si>
  <si>
    <t>28110160394396ប</t>
  </si>
  <si>
    <t>130006074</t>
  </si>
  <si>
    <t>Yim</t>
  </si>
  <si>
    <t>Apron B7</t>
  </si>
  <si>
    <t>087542706</t>
  </si>
  <si>
    <t>29005170754437ផ</t>
  </si>
  <si>
    <t>101272963</t>
  </si>
  <si>
    <t>រំដួល</t>
  </si>
  <si>
    <t>RumDol</t>
  </si>
  <si>
    <t>0973321745</t>
  </si>
  <si>
    <t>29410160399247ម</t>
  </si>
  <si>
    <t>061154049</t>
  </si>
  <si>
    <t>យ៉ូរា</t>
  </si>
  <si>
    <t>Noun</t>
  </si>
  <si>
    <t>YouRa</t>
  </si>
  <si>
    <t>0962057941</t>
  </si>
  <si>
    <t>101393248</t>
  </si>
  <si>
    <t>ផាត់</t>
  </si>
  <si>
    <t>Phat</t>
  </si>
  <si>
    <t>Sevice on line B</t>
  </si>
  <si>
    <t>0969461451</t>
  </si>
  <si>
    <t>28710192208327ន</t>
  </si>
  <si>
    <t>110277125</t>
  </si>
  <si>
    <t>Iem</t>
  </si>
  <si>
    <t>Apron B4</t>
  </si>
  <si>
    <t>0967201982</t>
  </si>
  <si>
    <t>19210192212211ខ</t>
  </si>
  <si>
    <t>140152313</t>
  </si>
  <si>
    <t>ទឹក</t>
  </si>
  <si>
    <t>Toek</t>
  </si>
  <si>
    <t>012873656</t>
  </si>
  <si>
    <t>28601181199169ស</t>
  </si>
  <si>
    <t>101219813</t>
  </si>
  <si>
    <t>NaVy</t>
  </si>
  <si>
    <t>Apron B5</t>
  </si>
  <si>
    <t>016867605</t>
  </si>
  <si>
    <t>18205181375981រ</t>
  </si>
  <si>
    <t>062076251</t>
  </si>
  <si>
    <t>គាន់</t>
  </si>
  <si>
    <t>Korn</t>
  </si>
  <si>
    <t>0979157061</t>
  </si>
  <si>
    <t>19203170680394ប</t>
  </si>
  <si>
    <t>110453053</t>
  </si>
  <si>
    <t>ធូ</t>
  </si>
  <si>
    <t>Neak</t>
  </si>
  <si>
    <t>Thou</t>
  </si>
  <si>
    <t>086949676</t>
  </si>
  <si>
    <t>29511160399314ផ</t>
  </si>
  <si>
    <t>130176456</t>
  </si>
  <si>
    <t>សម្បត្តិ</t>
  </si>
  <si>
    <t>Um</t>
  </si>
  <si>
    <t>SamBath</t>
  </si>
  <si>
    <t>093727339</t>
  </si>
  <si>
    <t>កញ្ញា</t>
  </si>
  <si>
    <t>Chhoeun</t>
  </si>
  <si>
    <t>Kanha</t>
  </si>
  <si>
    <t>0965597988</t>
  </si>
  <si>
    <t>28610160388670ភ</t>
  </si>
  <si>
    <t>110261486</t>
  </si>
  <si>
    <t>ផាច</t>
  </si>
  <si>
    <t>Phach</t>
  </si>
  <si>
    <t>0962778242</t>
  </si>
  <si>
    <t>130128735</t>
  </si>
  <si>
    <t>ChomReun</t>
  </si>
  <si>
    <t>SaRoem</t>
  </si>
  <si>
    <t>070862994</t>
  </si>
  <si>
    <t>090643459</t>
  </si>
  <si>
    <t>រ​ស់</t>
  </si>
  <si>
    <t>Ruos</t>
  </si>
  <si>
    <t>068421717</t>
  </si>
  <si>
    <t>28011160400643ឃ</t>
  </si>
  <si>
    <t>050709191</t>
  </si>
  <si>
    <t>086524495</t>
  </si>
  <si>
    <t>19009192199970ក</t>
  </si>
  <si>
    <t>010839189</t>
  </si>
  <si>
    <t>វន្ត័</t>
  </si>
  <si>
    <t>Vourn</t>
  </si>
  <si>
    <t>0979928979</t>
  </si>
  <si>
    <t>ម៉ូញ</t>
  </si>
  <si>
    <t>សូញ</t>
  </si>
  <si>
    <t>Monh</t>
  </si>
  <si>
    <t>Sonh</t>
  </si>
  <si>
    <t>Apron B6</t>
  </si>
  <si>
    <t>29009170906738វ</t>
  </si>
  <si>
    <t>110541430</t>
  </si>
  <si>
    <t>Khiev</t>
  </si>
  <si>
    <t>Vanny</t>
  </si>
  <si>
    <t>0966523814</t>
  </si>
  <si>
    <t>29510160390447ធ</t>
  </si>
  <si>
    <t>130209921</t>
  </si>
  <si>
    <t>រុំ</t>
  </si>
  <si>
    <t>Rom</t>
  </si>
  <si>
    <t>Vy</t>
  </si>
  <si>
    <t>0969665704</t>
  </si>
  <si>
    <t>200100192206925ឆ</t>
  </si>
  <si>
    <t>101257986</t>
  </si>
  <si>
    <t>សៀន</t>
  </si>
  <si>
    <t>Sien</t>
  </si>
  <si>
    <t>Thon</t>
  </si>
  <si>
    <t>0978950298</t>
  </si>
  <si>
    <t>1811019-2208044-ឈ</t>
  </si>
  <si>
    <t>07000295509</t>
  </si>
  <si>
    <t>កាន</t>
  </si>
  <si>
    <t>សុខនីន</t>
  </si>
  <si>
    <t>KAN</t>
  </si>
  <si>
    <t>SOKNIN</t>
  </si>
  <si>
    <t>Electrician</t>
  </si>
  <si>
    <t>097​​ 460 849 3</t>
  </si>
  <si>
    <t>Phum1, Sangkat1, Sihanouk ville, Sihanouk province</t>
  </si>
  <si>
    <t>04000444350</t>
  </si>
  <si>
    <t>សុខញ៉ាញ់</t>
  </si>
  <si>
    <t>070​​ 839 243</t>
  </si>
  <si>
    <t>1011019-2206700-ហ</t>
  </si>
  <si>
    <t>150907713</t>
  </si>
  <si>
    <t>រាត្រី</t>
  </si>
  <si>
    <t xml:space="preserve">RON </t>
  </si>
  <si>
    <t>REATREY</t>
  </si>
  <si>
    <t>088​ 800 817 5</t>
  </si>
  <si>
    <t>2831016-0399147-ផ</t>
  </si>
  <si>
    <t>100779756</t>
  </si>
  <si>
    <t xml:space="preserve">ឈឺន </t>
  </si>
  <si>
    <t>ស្រីមួន</t>
  </si>
  <si>
    <t xml:space="preserve">CHHEUN </t>
  </si>
  <si>
    <t>SREY MUON</t>
  </si>
  <si>
    <t>099 973 003</t>
  </si>
  <si>
    <t>Phum3</t>
  </si>
  <si>
    <t>2911116-0399616-ព</t>
  </si>
  <si>
    <t>110519374</t>
  </si>
  <si>
    <t>ឆវី</t>
  </si>
  <si>
    <t>PHORNG</t>
  </si>
  <si>
    <t>CHHORVY</t>
  </si>
  <si>
    <t>096 220 866 5</t>
  </si>
  <si>
    <t>2811116-0402555-ឈ</t>
  </si>
  <si>
    <t>130166624</t>
  </si>
  <si>
    <t>សុកៀន</t>
  </si>
  <si>
    <t>SOKIEN</t>
  </si>
  <si>
    <t>096 391 845 8</t>
  </si>
  <si>
    <t>ធ្វើការ</t>
  </si>
  <si>
    <t>2921018-1729856-វ</t>
  </si>
  <si>
    <t>020880422</t>
  </si>
  <si>
    <t>សុខខេង</t>
  </si>
  <si>
    <t>SOKKHENG</t>
  </si>
  <si>
    <t>088 222 678 5</t>
  </si>
  <si>
    <t>2810317-0681214-ឋ</t>
  </si>
  <si>
    <t>110198612</t>
  </si>
  <si>
    <t>អែម</t>
  </si>
  <si>
    <t>POK</t>
  </si>
  <si>
    <t>016 456 483</t>
  </si>
  <si>
    <t>2830317-0675852-ម</t>
  </si>
  <si>
    <t>150785989</t>
  </si>
  <si>
    <t>គឹមហ៊ាន់</t>
  </si>
  <si>
    <t>YIN</t>
  </si>
  <si>
    <t>KIMHORN</t>
  </si>
  <si>
    <t>016 485 572</t>
  </si>
  <si>
    <t>2810918-1654147-ម</t>
  </si>
  <si>
    <t>130150319</t>
  </si>
  <si>
    <t>SINA</t>
  </si>
  <si>
    <t>093 870 984</t>
  </si>
  <si>
    <t>2921016-0397348-ព</t>
  </si>
  <si>
    <t>020847545</t>
  </si>
  <si>
    <t>វុទ្ធី</t>
  </si>
  <si>
    <t>ម៉ានី</t>
  </si>
  <si>
    <t>VUTHY</t>
  </si>
  <si>
    <t>MANY</t>
  </si>
  <si>
    <t>069 616 818</t>
  </si>
  <si>
    <t>Phum3, Sangkat1, Sihanouk ville, Sihanouk province</t>
  </si>
  <si>
    <t>1931016-0392940-ត</t>
  </si>
  <si>
    <t>130130425</t>
  </si>
  <si>
    <t>នីន</t>
  </si>
  <si>
    <t>MEAS</t>
  </si>
  <si>
    <t>NIN</t>
  </si>
  <si>
    <t>096 745 413 4
011 751 918</t>
  </si>
  <si>
    <t>28410192205393ថ</t>
  </si>
  <si>
    <t>171191538</t>
  </si>
  <si>
    <t>យ៉ាវ</t>
  </si>
  <si>
    <t>ស៊ីណែត</t>
  </si>
  <si>
    <t xml:space="preserve">YAV </t>
  </si>
  <si>
    <t>SINAET</t>
  </si>
  <si>
    <t>070 425 449</t>
  </si>
  <si>
    <t>2840816-0224431-ឌ</t>
  </si>
  <si>
    <t>110588094</t>
  </si>
  <si>
    <t>ខិល</t>
  </si>
  <si>
    <t>KOEL</t>
  </si>
  <si>
    <t>069 576 882</t>
  </si>
  <si>
    <t>2920417-0693058-ភ</t>
  </si>
  <si>
    <t>130119763</t>
  </si>
  <si>
    <t>ម៉ាឡា</t>
  </si>
  <si>
    <t xml:space="preserve">MEAS </t>
  </si>
  <si>
    <t>MALA</t>
  </si>
  <si>
    <t>Apron B11</t>
  </si>
  <si>
    <t>096 239 152 5</t>
  </si>
  <si>
    <t>2841019-2215861-ទ</t>
  </si>
  <si>
    <t>110663647</t>
  </si>
  <si>
    <t xml:space="preserve">SIM </t>
  </si>
  <si>
    <t>097 732 334 8</t>
  </si>
  <si>
    <t>2021019-2215864-ដ</t>
  </si>
  <si>
    <t>250255214</t>
  </si>
  <si>
    <t>ហោ</t>
  </si>
  <si>
    <t>HOR</t>
  </si>
  <si>
    <t>Apron B12</t>
  </si>
  <si>
    <t>ខេត្តត្បូងឃ្មុំ</t>
  </si>
  <si>
    <t>097 693 108 4</t>
  </si>
  <si>
    <t>2920317-0680857-យ</t>
  </si>
  <si>
    <t>ឱ</t>
  </si>
  <si>
    <t>OR</t>
  </si>
  <si>
    <t>093 542 179</t>
  </si>
  <si>
    <t>140153850</t>
  </si>
  <si>
    <t>B13</t>
  </si>
  <si>
    <t>Apron B13</t>
  </si>
  <si>
    <t>លាលែង</t>
  </si>
  <si>
    <t>លាលែងដោយស្មគ្រ័ចិត្ត</t>
  </si>
  <si>
    <t>016 570 624</t>
  </si>
  <si>
    <t>1001019-2210043ម</t>
  </si>
  <si>
    <t>070298122</t>
  </si>
  <si>
    <t>A8</t>
  </si>
  <si>
    <t>097 753 924 4</t>
  </si>
  <si>
    <t>Sihanoukville</t>
  </si>
  <si>
    <t>1940417-0691857-ស</t>
  </si>
  <si>
    <t>100606262</t>
  </si>
  <si>
    <t>អ៊ិន</t>
  </si>
  <si>
    <t>ចាន់ចាវ</t>
  </si>
  <si>
    <t>IN</t>
  </si>
  <si>
    <t>CHANCHAV</t>
  </si>
  <si>
    <t>1870317-0680329-ព</t>
  </si>
  <si>
    <t>130181498</t>
  </si>
  <si>
    <t>សីហា</t>
  </si>
  <si>
    <t>SEYHA</t>
  </si>
  <si>
    <t>A13</t>
  </si>
  <si>
    <t>096 629 928 6</t>
  </si>
  <si>
    <t>19902191988124ឡ</t>
  </si>
  <si>
    <t>130190063</t>
  </si>
  <si>
    <t>THORN</t>
  </si>
  <si>
    <t>PACKING (NAPKIN)</t>
  </si>
  <si>
    <t>Khum Tumubrolok, Srok Stoenghav, Sihanouk province</t>
  </si>
  <si>
    <t>1981019-2209410-ណ</t>
  </si>
  <si>
    <t>130174109</t>
  </si>
  <si>
    <t>YEAN</t>
  </si>
  <si>
    <t>087 390​ 852</t>
  </si>
  <si>
    <t>10310192212980ឆ</t>
  </si>
  <si>
    <t>110653844</t>
  </si>
  <si>
    <t>CHAMROEN</t>
  </si>
  <si>
    <t>097 566 054 2</t>
  </si>
  <si>
    <t>28010192212028ច</t>
  </si>
  <si>
    <t>100860798</t>
  </si>
  <si>
    <t>នន</t>
  </si>
  <si>
    <t>សំបូរ</t>
  </si>
  <si>
    <t>NORN</t>
  </si>
  <si>
    <t>SAMBO</t>
  </si>
  <si>
    <t>A12</t>
  </si>
  <si>
    <t>096 574 668 4</t>
  </si>
  <si>
    <t>29310192210056ឈ</t>
  </si>
  <si>
    <t>200151117</t>
  </si>
  <si>
    <t>ផែង</t>
  </si>
  <si>
    <t>A9</t>
  </si>
  <si>
    <t>097 915 279 6</t>
  </si>
  <si>
    <t>1970117-0567420-ទ</t>
  </si>
  <si>
    <t>030633449</t>
  </si>
  <si>
    <t>សុខនៅ</t>
  </si>
  <si>
    <t>SOKNOV</t>
  </si>
  <si>
    <t>096 571 769 9</t>
  </si>
  <si>
    <t>2841019-2210020អ</t>
  </si>
  <si>
    <t>110582619</t>
  </si>
  <si>
    <t>PHALLY</t>
  </si>
  <si>
    <t>097 918 568 5</t>
  </si>
  <si>
    <t>2891019-2209710-ធ</t>
  </si>
  <si>
    <t>200223144</t>
  </si>
  <si>
    <t>សុខធីម</t>
  </si>
  <si>
    <t>SOKTHIM</t>
  </si>
  <si>
    <t>ខេត្តសៀមរាប</t>
  </si>
  <si>
    <t>068 712 275</t>
  </si>
  <si>
    <t>27410192213452ដ</t>
  </si>
  <si>
    <t>050970703</t>
  </si>
  <si>
    <t>CHOUN</t>
  </si>
  <si>
    <t>A14</t>
  </si>
  <si>
    <t>096 724 161 9</t>
  </si>
  <si>
    <t>2831116-0401227-ច</t>
  </si>
  <si>
    <t>140117384</t>
  </si>
  <si>
    <t>តាន់</t>
  </si>
  <si>
    <t>គឹមហា</t>
  </si>
  <si>
    <t>TAN</t>
  </si>
  <si>
    <t>KIMHA</t>
  </si>
  <si>
    <t>096 726 998 9</t>
  </si>
  <si>
    <t>Phum1, Sangkat3, Sihanouk ville, Sihanouk province</t>
  </si>
  <si>
    <t>10110192213075ក</t>
  </si>
  <si>
    <t>171140619</t>
  </si>
  <si>
    <t>CHOMROEUN</t>
  </si>
  <si>
    <t>SERVICE ONLINE</t>
  </si>
  <si>
    <t>096 457 572​1</t>
  </si>
  <si>
    <t>2831116-0400414-គ</t>
  </si>
  <si>
    <t>250174427</t>
  </si>
  <si>
    <t>ញ៉ាញ់</t>
  </si>
  <si>
    <t>NHANH</t>
  </si>
  <si>
    <t>016 617 780</t>
  </si>
  <si>
    <t>1930618-1437305-ឆ</t>
  </si>
  <si>
    <t>110591024</t>
  </si>
  <si>
    <t>វណ្ណារិទ្ធ</t>
  </si>
  <si>
    <t>TOP</t>
  </si>
  <si>
    <t>VANNARITH</t>
  </si>
  <si>
    <t>098 745 597</t>
  </si>
  <si>
    <t>030475455</t>
  </si>
  <si>
    <t>វុត្ថា</t>
  </si>
  <si>
    <t>CHOM</t>
  </si>
  <si>
    <t>VOTHA</t>
  </si>
  <si>
    <t>ADMIN</t>
  </si>
  <si>
    <t>066 821 281
081 821 281</t>
  </si>
  <si>
    <t>1731019-2207035-ឈ</t>
  </si>
  <si>
    <t>100932397</t>
  </si>
  <si>
    <t>សុវណ្ណារ៉ា</t>
  </si>
  <si>
    <t>SUVANNARA</t>
  </si>
  <si>
    <t>090 643 851</t>
  </si>
  <si>
    <t>2830118-1222471-ញ</t>
  </si>
  <si>
    <t>020772341(01)</t>
  </si>
  <si>
    <t>បរិញ្ញាប័ត្ររង</t>
  </si>
  <si>
    <t>010 323 305</t>
  </si>
  <si>
    <t>1991019-2210055ឌ</t>
  </si>
  <si>
    <t>070317881</t>
  </si>
  <si>
    <t>ធួន</t>
  </si>
  <si>
    <t>ប៊ុនធឿន</t>
  </si>
  <si>
    <t>THUON</t>
  </si>
  <si>
    <t>BUNTHOEUN</t>
  </si>
  <si>
    <t>097 565 373 3</t>
  </si>
  <si>
    <t>2991019-2204555-ផ</t>
  </si>
  <si>
    <t>110593466</t>
  </si>
  <si>
    <t>អង្គាបុស្ស</t>
  </si>
  <si>
    <t>ANGKEABOUS</t>
  </si>
  <si>
    <t>QC APRON</t>
  </si>
  <si>
    <t>087 953 784</t>
  </si>
  <si>
    <t>1981019-2202433-ឌ</t>
  </si>
  <si>
    <t>110540509</t>
  </si>
  <si>
    <t>SREYPEOU</t>
  </si>
  <si>
    <t>A2</t>
  </si>
  <si>
    <t>096 890 409 6</t>
  </si>
  <si>
    <t>1991019-2204353-ថ</t>
  </si>
  <si>
    <t>090757165</t>
  </si>
  <si>
    <t>ម៉ែន</t>
  </si>
  <si>
    <t>A11</t>
  </si>
  <si>
    <t>097 775 330 9</t>
  </si>
  <si>
    <t>1961019-2202483-ត</t>
  </si>
  <si>
    <t>101088667</t>
  </si>
  <si>
    <t>A6</t>
  </si>
  <si>
    <t>096 836 469 4</t>
  </si>
  <si>
    <t>2851016-0396945-រ</t>
  </si>
  <si>
    <t>130126724</t>
  </si>
  <si>
    <t>YAN</t>
  </si>
  <si>
    <t>TUN</t>
  </si>
  <si>
    <t>086 312 559 1</t>
  </si>
  <si>
    <t>2811019-2203578-ថ</t>
  </si>
  <si>
    <t>068 460 219</t>
  </si>
  <si>
    <t>2841016-0381422-ញ</t>
  </si>
  <si>
    <t>096 450 478 3</t>
  </si>
  <si>
    <t>1940417-0688440-ភ</t>
  </si>
  <si>
    <t>130140995</t>
  </si>
  <si>
    <t>រិទ្ធិ</t>
  </si>
  <si>
    <t>រិទ្ធី</t>
  </si>
  <si>
    <t>RITH</t>
  </si>
  <si>
    <t>RITHY</t>
  </si>
  <si>
    <t>096 375 479 4</t>
  </si>
  <si>
    <t>1001019-2204325-ហ</t>
  </si>
  <si>
    <t>110626845</t>
  </si>
  <si>
    <t>ផា</t>
  </si>
  <si>
    <t>PHA</t>
  </si>
  <si>
    <t>096 803 838 9</t>
  </si>
  <si>
    <t>1950317-0677751-រ</t>
  </si>
  <si>
    <t>130158165</t>
  </si>
  <si>
    <t>ម៉ាប់</t>
  </si>
  <si>
    <t>PHORN</t>
  </si>
  <si>
    <t>MAB</t>
  </si>
  <si>
    <t>016 479 923</t>
  </si>
  <si>
    <t>2870817-0863593-ខ</t>
  </si>
  <si>
    <t>130206176</t>
  </si>
  <si>
    <t>ស្រីម៉ុច</t>
  </si>
  <si>
    <t>SREYMOCH</t>
  </si>
  <si>
    <t>096 921 169 7</t>
  </si>
  <si>
    <t>2951019-2202542-ឋ</t>
  </si>
  <si>
    <t>171183139</t>
  </si>
  <si>
    <t>ថង</t>
  </si>
  <si>
    <t>សុភិ​ន</t>
  </si>
  <si>
    <t>SOPHIN</t>
  </si>
  <si>
    <t>088 625 582 5</t>
  </si>
  <si>
    <t>1901019-2202531-ឃ</t>
  </si>
  <si>
    <t>061773887</t>
  </si>
  <si>
    <t>អុង</t>
  </si>
  <si>
    <t>ឆក</t>
  </si>
  <si>
    <t>CHOK</t>
  </si>
  <si>
    <t>096 988 508 9</t>
  </si>
  <si>
    <t>1871019-2208243-ត</t>
  </si>
  <si>
    <t>110633168</t>
  </si>
  <si>
    <t>ស៊ិន</t>
  </si>
  <si>
    <t>សេ</t>
  </si>
  <si>
    <t>SE</t>
  </si>
  <si>
    <t>096 313 665 2</t>
  </si>
  <si>
    <t>2921019-2202500-គ</t>
  </si>
  <si>
    <t>101088594</t>
  </si>
  <si>
    <t>SOCHANN</t>
  </si>
  <si>
    <t>097 741 839 6</t>
  </si>
  <si>
    <t>1890718-1456269-ខ</t>
  </si>
  <si>
    <t>140136833</t>
  </si>
  <si>
    <t>ថាំង</t>
  </si>
  <si>
    <t>ហឿន</t>
  </si>
  <si>
    <t>THAING</t>
  </si>
  <si>
    <t>HOEUN</t>
  </si>
  <si>
    <t>B12</t>
  </si>
  <si>
    <t>ធ្លាក់ការសាកល្បង</t>
  </si>
  <si>
    <t>096 237 914 1</t>
  </si>
  <si>
    <t>2951019-2215437-ធ</t>
  </si>
  <si>
    <t>110659903</t>
  </si>
  <si>
    <t>093 790 872</t>
  </si>
  <si>
    <t>1870517-0744033-ទ</t>
  </si>
  <si>
    <t>101095960</t>
  </si>
  <si>
    <t>ប៉ូឡូញ</t>
  </si>
  <si>
    <t>POULOUNH</t>
  </si>
  <si>
    <t>088 801 513 3</t>
  </si>
  <si>
    <t>18410192212020ក</t>
  </si>
  <si>
    <t>101263176</t>
  </si>
  <si>
    <t>ជ្រាង</t>
  </si>
  <si>
    <t>CHREANG</t>
  </si>
  <si>
    <t>097 459 207 2</t>
  </si>
  <si>
    <t>2881019-2207012-ដ</t>
  </si>
  <si>
    <t>011205151</t>
  </si>
  <si>
    <t>ភ័ណ</t>
  </si>
  <si>
    <t>SOUTH</t>
  </si>
  <si>
    <t>069 543 513</t>
  </si>
  <si>
    <t>130224848</t>
  </si>
  <si>
    <t>នូច</t>
  </si>
  <si>
    <t>NOUCH</t>
  </si>
  <si>
    <t>015 966 639</t>
  </si>
  <si>
    <t>2961016-0385127-ធ</t>
  </si>
  <si>
    <t>130190197</t>
  </si>
  <si>
    <t>ឡឹក</t>
  </si>
  <si>
    <t>LOEK</t>
  </si>
  <si>
    <t>A1</t>
  </si>
  <si>
    <t>096 992 472 1</t>
  </si>
  <si>
    <t>2001019-2206660-គ</t>
  </si>
  <si>
    <t>130228778</t>
  </si>
  <si>
    <t>អូន</t>
  </si>
  <si>
    <t>OUN</t>
  </si>
  <si>
    <t>086 957 907</t>
  </si>
  <si>
    <t>200132675</t>
  </si>
  <si>
    <t>ភារះ</t>
  </si>
  <si>
    <t>OEURN</t>
  </si>
  <si>
    <t>PHEAREAK</t>
  </si>
  <si>
    <t>ខេត្តប៉ៃលិន</t>
  </si>
  <si>
    <t>2971217-1030051-ឆ</t>
  </si>
  <si>
    <t>020916864</t>
  </si>
  <si>
    <t>សរ</t>
  </si>
  <si>
    <t>087 274 358</t>
  </si>
  <si>
    <t>1011019-2209741-ច</t>
  </si>
  <si>
    <t>200245057</t>
  </si>
  <si>
    <t>សោភី</t>
  </si>
  <si>
    <t>SOPHY</t>
  </si>
  <si>
    <t>B9</t>
  </si>
  <si>
    <t>ខេត្តឧត្តរមានជ័យ</t>
  </si>
  <si>
    <t>088 874 705 7</t>
  </si>
  <si>
    <t>2001019.2213183.ក</t>
  </si>
  <si>
    <t>130222133</t>
  </si>
  <si>
    <t>ពុធសុភាវី</t>
  </si>
  <si>
    <t>POTSOPHEAVY</t>
  </si>
  <si>
    <t>096 599 040 8</t>
  </si>
  <si>
    <t>2921019-2205897-ម</t>
  </si>
  <si>
    <t>110348550(01)</t>
  </si>
  <si>
    <t>វួន</t>
  </si>
  <si>
    <t>VUON</t>
  </si>
  <si>
    <t>086 527 590</t>
  </si>
  <si>
    <t>2871019-2202379-ប</t>
  </si>
  <si>
    <t>លិន</t>
  </si>
  <si>
    <t>LIN</t>
  </si>
  <si>
    <t>SDUENG</t>
  </si>
  <si>
    <t>015 786 575</t>
  </si>
  <si>
    <t>2930717-0832585-ល</t>
  </si>
  <si>
    <t>110397408</t>
  </si>
  <si>
    <t>យួន</t>
  </si>
  <si>
    <t>ច្រៀច</t>
  </si>
  <si>
    <t>YUON</t>
  </si>
  <si>
    <t>CHRIECH</t>
  </si>
  <si>
    <t>096 508 923 4</t>
  </si>
  <si>
    <t>2900418-1368671-ភ</t>
  </si>
  <si>
    <t>101088766</t>
  </si>
  <si>
    <t>សោភ័ណ្ឌ</t>
  </si>
  <si>
    <t>SORPHORN</t>
  </si>
  <si>
    <t>097 520 836 4</t>
  </si>
  <si>
    <t>1861019-2202535-ឌ</t>
  </si>
  <si>
    <t>110613883</t>
  </si>
  <si>
    <t>សាវ៉ាត</t>
  </si>
  <si>
    <t>PHAT</t>
  </si>
  <si>
    <t>SAVAT</t>
  </si>
  <si>
    <t>Service online</t>
  </si>
  <si>
    <t>097 715 091 2</t>
  </si>
  <si>
    <t>1971019-2202480-ឍ</t>
  </si>
  <si>
    <t>100932820</t>
  </si>
  <si>
    <t>096 805 289 6</t>
  </si>
  <si>
    <t>1921019-2214683-ថ</t>
  </si>
  <si>
    <t>110574982</t>
  </si>
  <si>
    <t>អ៊ូ</t>
  </si>
  <si>
    <t>ញ៉ក់</t>
  </si>
  <si>
    <t>OU</t>
  </si>
  <si>
    <t>NHAK</t>
  </si>
  <si>
    <t>096 417 574 2</t>
  </si>
  <si>
    <t>110645566</t>
  </si>
  <si>
    <t>រិ</t>
  </si>
  <si>
    <t>ROEUR</t>
  </si>
  <si>
    <t>066 947 220</t>
  </si>
  <si>
    <t>29610192212930ណ</t>
  </si>
  <si>
    <t>061435617</t>
  </si>
  <si>
    <t>វ៉ាត់</t>
  </si>
  <si>
    <t>VATH</t>
  </si>
  <si>
    <t>CHANNDA</t>
  </si>
  <si>
    <t>070 285 767</t>
  </si>
  <si>
    <t>20010192212026វ</t>
  </si>
  <si>
    <t>101262909</t>
  </si>
  <si>
    <t>ស្រីអន</t>
  </si>
  <si>
    <t>KANG</t>
  </si>
  <si>
    <t>SREY ORN</t>
  </si>
  <si>
    <t>096 898 369 9</t>
  </si>
  <si>
    <t>2970417-0693144-ម</t>
  </si>
  <si>
    <t>110498077</t>
  </si>
  <si>
    <t>ឆយ</t>
  </si>
  <si>
    <t>វល័ក្ខ</t>
  </si>
  <si>
    <t>VORLEAKH</t>
  </si>
  <si>
    <t>096 745 462 1</t>
  </si>
  <si>
    <t>2841019-2206687-ភ</t>
  </si>
  <si>
    <t>130228788</t>
  </si>
  <si>
    <t>ងៀប</t>
  </si>
  <si>
    <t>GEAB</t>
  </si>
  <si>
    <t>096 957 907</t>
  </si>
  <si>
    <t>170530214(01)</t>
  </si>
  <si>
    <t>ជ្រុន</t>
  </si>
  <si>
    <t>CHRUN</t>
  </si>
  <si>
    <t>SAT</t>
  </si>
  <si>
    <t>097 219 889 8</t>
  </si>
  <si>
    <t>1970219-1991203-ផ</t>
  </si>
  <si>
    <t>030608967</t>
  </si>
  <si>
    <t>សៅលី</t>
  </si>
  <si>
    <t>SAOLY</t>
  </si>
  <si>
    <t>096 286 439 5</t>
  </si>
  <si>
    <t>2890616-0133081-ត</t>
  </si>
  <si>
    <t>040338118</t>
  </si>
  <si>
    <t>ចេង</t>
  </si>
  <si>
    <t>អាង</t>
  </si>
  <si>
    <t>CHENG</t>
  </si>
  <si>
    <t>ANG</t>
  </si>
  <si>
    <t>066 208 191</t>
  </si>
  <si>
    <t>2920219-1992763-ស</t>
  </si>
  <si>
    <t>200188652</t>
  </si>
  <si>
    <t>ស្រីភ័ស្ហ</t>
  </si>
  <si>
    <t>SREYPHOEUS</t>
  </si>
  <si>
    <t>088 755 789 9</t>
  </si>
  <si>
    <t>1930716-0142553-ណ</t>
  </si>
  <si>
    <t>130223599</t>
  </si>
  <si>
    <t>សារ៉ូន</t>
  </si>
  <si>
    <t>OUK</t>
  </si>
  <si>
    <t>SAROUN</t>
  </si>
  <si>
    <t>096 637 268 4</t>
  </si>
  <si>
    <t>2011019-2210032ម</t>
  </si>
  <si>
    <t>110658450</t>
  </si>
  <si>
    <t>ទឹត</t>
  </si>
  <si>
    <t xml:space="preserve">TEUT </t>
  </si>
  <si>
    <t>096 800 781 3</t>
  </si>
  <si>
    <t>19710192212943ធ</t>
  </si>
  <si>
    <t>011218293</t>
  </si>
  <si>
    <t>យុទ្ធ</t>
  </si>
  <si>
    <t>រូហ្សា</t>
  </si>
  <si>
    <t>YOTH</t>
  </si>
  <si>
    <t>ROZA</t>
  </si>
  <si>
    <t>096 247 679 8</t>
  </si>
  <si>
    <t>1941019-2208226-ណ</t>
  </si>
  <si>
    <t>110544871</t>
  </si>
  <si>
    <t>ឡុញ</t>
  </si>
  <si>
    <t>LONH</t>
  </si>
  <si>
    <t>015621994</t>
  </si>
  <si>
    <t>2930119-1975726-ស</t>
  </si>
  <si>
    <t>040503769</t>
  </si>
  <si>
    <t>ឡូត</t>
  </si>
  <si>
    <t>096 724 682 4</t>
  </si>
  <si>
    <t>28406170795718អ</t>
  </si>
  <si>
    <t>020992368</t>
  </si>
  <si>
    <t>យ៉េត</t>
  </si>
  <si>
    <t>YET</t>
  </si>
  <si>
    <t>016 789 348</t>
  </si>
  <si>
    <t>1941016-0385331-ឌ</t>
  </si>
  <si>
    <t>130161782</t>
  </si>
  <si>
    <t>សឺន</t>
  </si>
  <si>
    <t>សំណា</t>
  </si>
  <si>
    <t>SAMNA</t>
  </si>
  <si>
    <t>ខេត្តពោធិ៍សាត់</t>
  </si>
  <si>
    <t>096 360 611 6</t>
  </si>
  <si>
    <t>Phum Smachdaeng, Sangkat Preynop, Sihanouk province</t>
  </si>
  <si>
    <t>1870417-0695177-ហ</t>
  </si>
  <si>
    <t>130218147</t>
  </si>
  <si>
    <t>ឆោម</t>
  </si>
  <si>
    <t>បាក់</t>
  </si>
  <si>
    <t>CHHOM</t>
  </si>
  <si>
    <t>BAK</t>
  </si>
  <si>
    <t>096 522 154 2</t>
  </si>
  <si>
    <t>2820317-0676312-ត</t>
  </si>
  <si>
    <t>110107283(01)</t>
  </si>
  <si>
    <t>010 684 154</t>
  </si>
  <si>
    <t>030579575</t>
  </si>
  <si>
    <t>TOLA</t>
  </si>
  <si>
    <t>016 492 601</t>
  </si>
  <si>
    <t>1911016-0391392-ឍ</t>
  </si>
  <si>
    <t>110347487</t>
  </si>
  <si>
    <t>086 527 749</t>
  </si>
  <si>
    <t>1980317-0676652-វ</t>
  </si>
  <si>
    <t>130216062</t>
  </si>
  <si>
    <t>ចិត្ត</t>
  </si>
  <si>
    <t>CHHUM</t>
  </si>
  <si>
    <t>CHET</t>
  </si>
  <si>
    <t>086 702 001</t>
  </si>
  <si>
    <t>2901016-0395254-ណ</t>
  </si>
  <si>
    <t>110504346</t>
  </si>
  <si>
    <t>CHORN</t>
  </si>
  <si>
    <t>097 520 748 0</t>
  </si>
  <si>
    <t>2800219-1996616-ល</t>
  </si>
  <si>
    <t>051422891</t>
  </si>
  <si>
    <t>មិន</t>
  </si>
  <si>
    <t>MIN</t>
  </si>
  <si>
    <t>SOVANN</t>
  </si>
  <si>
    <t>096 617 435 2</t>
  </si>
  <si>
    <t>2891016-0387747-ហ</t>
  </si>
  <si>
    <t>090772925</t>
  </si>
  <si>
    <t>097 915 706 1</t>
  </si>
  <si>
    <t>2900918-1654108-ផ</t>
  </si>
  <si>
    <t>140133533</t>
  </si>
  <si>
    <t>ឃឿន</t>
  </si>
  <si>
    <t>KHOEUN</t>
  </si>
  <si>
    <t>096 498 259 0</t>
  </si>
  <si>
    <t>2921016-0399226-ន</t>
  </si>
  <si>
    <t>110535019</t>
  </si>
  <si>
    <t>CHEN</t>
  </si>
  <si>
    <t>2931019-2208011-ឆ</t>
  </si>
  <si>
    <t>070288239</t>
  </si>
  <si>
    <t>ហុក</t>
  </si>
  <si>
    <t>បូរីកា</t>
  </si>
  <si>
    <t>HOK</t>
  </si>
  <si>
    <t>BORIKA</t>
  </si>
  <si>
    <t>060 460 066</t>
  </si>
  <si>
    <t>1901019-2203820-ច</t>
  </si>
  <si>
    <t>130113592(01)</t>
  </si>
  <si>
    <t>វិឆ្ឆ័យ</t>
  </si>
  <si>
    <t>TEAB</t>
  </si>
  <si>
    <t>VICHHAY</t>
  </si>
  <si>
    <t>081 933 836</t>
  </si>
  <si>
    <t>1930317-0676377-ល</t>
  </si>
  <si>
    <t>110498465</t>
  </si>
  <si>
    <t>069 896 097</t>
  </si>
  <si>
    <t>គិត</t>
  </si>
  <si>
    <t>088 480 393 1</t>
  </si>
  <si>
    <t>11000482808</t>
  </si>
  <si>
    <t>2811016-0385061-ញ</t>
  </si>
  <si>
    <t>130131322</t>
  </si>
  <si>
    <t>ហួត</t>
  </si>
  <si>
    <t xml:space="preserve">HUOT </t>
  </si>
  <si>
    <t>096 325 529 5</t>
  </si>
  <si>
    <t>2911019-2212129-ញ</t>
  </si>
  <si>
    <t>130178748</t>
  </si>
  <si>
    <t>កឹម</t>
  </si>
  <si>
    <t>KOEM</t>
  </si>
  <si>
    <t>096 621 748 0</t>
  </si>
  <si>
    <t>1991019-2209462-ព</t>
  </si>
  <si>
    <t>130162445</t>
  </si>
  <si>
    <t>ដារ៉េត</t>
  </si>
  <si>
    <t>DARETH</t>
  </si>
  <si>
    <t>015 832 312</t>
  </si>
  <si>
    <t>Phum​ Ong, Preynop Distric, Sihanouk province</t>
  </si>
  <si>
    <t>2000918-1654113-ឈ</t>
  </si>
  <si>
    <t>110632120</t>
  </si>
  <si>
    <t>យន</t>
  </si>
  <si>
    <t>ស្រីរដ្ឋ</t>
  </si>
  <si>
    <t>YORN</t>
  </si>
  <si>
    <t>SREYROTH</t>
  </si>
  <si>
    <t>096 252 678 2</t>
  </si>
  <si>
    <t>Phum3, Sangkat1, Sihanouk ville,​ Sihanouk province</t>
  </si>
  <si>
    <t>2790517-0768862-គ</t>
  </si>
  <si>
    <t>140034561(01)</t>
  </si>
  <si>
    <t>ស៊ីណាន</t>
  </si>
  <si>
    <t>SINAN</t>
  </si>
  <si>
    <t>096 606 630 3</t>
  </si>
  <si>
    <t>Phum2, Sangkat1, Sihanouk ville,​ Sihanouk province</t>
  </si>
  <si>
    <t>1920918-1654260-ផ</t>
  </si>
  <si>
    <t>110419875(01)</t>
  </si>
  <si>
    <t>PRUM</t>
  </si>
  <si>
    <t>2930618-1452346-ផ</t>
  </si>
  <si>
    <t>110466304</t>
  </si>
  <si>
    <t>បេន</t>
  </si>
  <si>
    <t>BEN</t>
  </si>
  <si>
    <t>THAN</t>
  </si>
  <si>
    <t>096 707 565 1</t>
  </si>
  <si>
    <t>2921218-1938663-វ</t>
  </si>
  <si>
    <t>130193317</t>
  </si>
  <si>
    <t>ចាយ</t>
  </si>
  <si>
    <t>CHAY</t>
  </si>
  <si>
    <t>087 289 195</t>
  </si>
  <si>
    <t>2921019-2204441-ឈ</t>
  </si>
  <si>
    <t>061571550</t>
  </si>
  <si>
    <t>កំសត់</t>
  </si>
  <si>
    <t>KAMSATH</t>
  </si>
  <si>
    <t>087 498 435</t>
  </si>
  <si>
    <t>2870318-1327807-ម</t>
  </si>
  <si>
    <t>សេក</t>
  </si>
  <si>
    <t>SEK</t>
  </si>
  <si>
    <t>096 211 502 6</t>
  </si>
  <si>
    <t>2901016-0399160-ណ</t>
  </si>
  <si>
    <t>061234339</t>
  </si>
  <si>
    <t>វ៉ាយ</t>
  </si>
  <si>
    <t>សុខរី</t>
  </si>
  <si>
    <t>VAY</t>
  </si>
  <si>
    <t>SOKRY</t>
  </si>
  <si>
    <t>015 484 787</t>
  </si>
  <si>
    <t>2970216-0083026-ឌ</t>
  </si>
  <si>
    <t>110455568</t>
  </si>
  <si>
    <t>096 716 079 6</t>
  </si>
  <si>
    <t>2750219-1982245-ម</t>
  </si>
  <si>
    <t>051019223</t>
  </si>
  <si>
    <t>លុក</t>
  </si>
  <si>
    <t>LUK</t>
  </si>
  <si>
    <t>088 205 302 0</t>
  </si>
  <si>
    <t>2900518-1407160-ឋ</t>
  </si>
  <si>
    <t>062185090</t>
  </si>
  <si>
    <t>ហូត</t>
  </si>
  <si>
    <t>ចាន់ស្រីរ័ត្ន</t>
  </si>
  <si>
    <t>HOTH</t>
  </si>
  <si>
    <t>CHANSREYRATH</t>
  </si>
  <si>
    <t>088 694 145 3</t>
  </si>
  <si>
    <t>Phum3, Sangkat3, Sihanouk ville, Sihanouk province</t>
  </si>
  <si>
    <t>2870517-0745361-ភ</t>
  </si>
  <si>
    <t>130090517</t>
  </si>
  <si>
    <t>លៀន</t>
  </si>
  <si>
    <t>LIEN</t>
  </si>
  <si>
    <t>010 578 232</t>
  </si>
  <si>
    <t>1911019-2202477-ឍ</t>
  </si>
  <si>
    <t>100933108</t>
  </si>
  <si>
    <t>ថិន</t>
  </si>
  <si>
    <t>ថៃ</t>
  </si>
  <si>
    <t>THIN</t>
  </si>
  <si>
    <t>THAI</t>
  </si>
  <si>
    <t>097 341 739 7</t>
  </si>
  <si>
    <t>140160662</t>
  </si>
  <si>
    <t>ឃៀង</t>
  </si>
  <si>
    <t>KHIENG</t>
  </si>
  <si>
    <t>2951016-0385369-យ</t>
  </si>
  <si>
    <t>061656049</t>
  </si>
  <si>
    <t>YAY</t>
  </si>
  <si>
    <t>096 336 994 9</t>
  </si>
  <si>
    <t>2951016-0384884-រ</t>
  </si>
  <si>
    <t>051069117</t>
  </si>
  <si>
    <t>ជីន</t>
  </si>
  <si>
    <t>រីណា</t>
  </si>
  <si>
    <t>RYNA</t>
  </si>
  <si>
    <t>088 961 535 4</t>
  </si>
  <si>
    <t>2980317-0681946-ឡ</t>
  </si>
  <si>
    <t>110579526</t>
  </si>
  <si>
    <t>ស្រីង៉ែត</t>
  </si>
  <si>
    <t>SREYNGET</t>
  </si>
  <si>
    <t>066 430 368</t>
  </si>
  <si>
    <t>2831019-2212031-ក</t>
  </si>
  <si>
    <t>101252502</t>
  </si>
  <si>
    <t>ស្រីម៉ន</t>
  </si>
  <si>
    <t>TORN</t>
  </si>
  <si>
    <t>SREYMAN</t>
  </si>
  <si>
    <t>096 414 377 3</t>
  </si>
  <si>
    <t>2890917-0893549-ឈ</t>
  </si>
  <si>
    <t>130190573</t>
  </si>
  <si>
    <t>គុណ</t>
  </si>
  <si>
    <t>KUN</t>
  </si>
  <si>
    <t>096 647 034 9</t>
  </si>
  <si>
    <t>2950119-1973898-ឆ</t>
  </si>
  <si>
    <t>050816346</t>
  </si>
  <si>
    <t>SUON</t>
  </si>
  <si>
    <t>CHITRA</t>
  </si>
  <si>
    <t>096 374 518 7</t>
  </si>
  <si>
    <t>2840918-1653957-គ</t>
  </si>
  <si>
    <t>062129877</t>
  </si>
  <si>
    <t>ដឹប</t>
  </si>
  <si>
    <t>ចាន់លាង</t>
  </si>
  <si>
    <t>DOEB</t>
  </si>
  <si>
    <t>CHANLEANG</t>
  </si>
  <si>
    <t>088 686 439 2</t>
  </si>
  <si>
    <t>2900317-0676561ប</t>
  </si>
  <si>
    <t>110403745(01)</t>
  </si>
  <si>
    <t>សាមេត</t>
  </si>
  <si>
    <t>SAMETH</t>
  </si>
  <si>
    <t>2781019-2202548-ធ</t>
  </si>
  <si>
    <t>100932839</t>
  </si>
  <si>
    <t>មៀច</t>
  </si>
  <si>
    <t>យ៉ម</t>
  </si>
  <si>
    <t>MIECH</t>
  </si>
  <si>
    <t>YOM</t>
  </si>
  <si>
    <t>096 211 027 9</t>
  </si>
  <si>
    <t>2950517-0782326-ម</t>
  </si>
  <si>
    <t>110473661</t>
  </si>
  <si>
    <t>SREY NEANG</t>
  </si>
  <si>
    <t>081 213 190</t>
  </si>
  <si>
    <t>2981016-0392966-ស</t>
  </si>
  <si>
    <t>130185418</t>
  </si>
  <si>
    <t>ណែន</t>
  </si>
  <si>
    <t>មួយគា</t>
  </si>
  <si>
    <t>NEN</t>
  </si>
  <si>
    <t>MUOYKEA</t>
  </si>
  <si>
    <t>096 598 996 7</t>
  </si>
  <si>
    <t>2781019-2202457-ទ</t>
  </si>
  <si>
    <t>100932396</t>
  </si>
  <si>
    <t>SOT</t>
  </si>
  <si>
    <t>2851019-2202554-ឍ</t>
  </si>
  <si>
    <t>171126509</t>
  </si>
  <si>
    <t>ច្រែង</t>
  </si>
  <si>
    <t>រ៉ើន</t>
  </si>
  <si>
    <t>CHRENG</t>
  </si>
  <si>
    <t>ROEUN</t>
  </si>
  <si>
    <t>088 718 253 4</t>
  </si>
  <si>
    <t>101263326</t>
  </si>
  <si>
    <t>ប៉ុក</t>
  </si>
  <si>
    <t>RY</t>
  </si>
  <si>
    <t>087 259 849</t>
  </si>
  <si>
    <t>010 559 406</t>
  </si>
  <si>
    <t>1980717-0844225-យ</t>
  </si>
  <si>
    <t>បូវិន</t>
  </si>
  <si>
    <t>BOVIN</t>
  </si>
  <si>
    <t>093 913 351</t>
  </si>
  <si>
    <t>2940619-2095136-ម</t>
  </si>
  <si>
    <t>130116601(01)</t>
  </si>
  <si>
    <t>ស្រីគាង</t>
  </si>
  <si>
    <t>SREYKEANG</t>
  </si>
  <si>
    <t>2950317-0678060-ផ</t>
  </si>
  <si>
    <t>130168885</t>
  </si>
  <si>
    <t>SREY MUM</t>
  </si>
  <si>
    <t>010 282 473</t>
  </si>
  <si>
    <t>2910417-0690834-ផ</t>
  </si>
  <si>
    <t>130094955</t>
  </si>
  <si>
    <t>TOEUR</t>
  </si>
  <si>
    <t>016 342 738</t>
  </si>
  <si>
    <t>2990918-1654346-ខ</t>
  </si>
  <si>
    <t>096 245 266 8</t>
  </si>
  <si>
    <t>2981016-0380957-រ</t>
  </si>
  <si>
    <t>130227512</t>
  </si>
  <si>
    <t xml:space="preserve">រ៉ា </t>
  </si>
  <si>
    <t>RA</t>
  </si>
  <si>
    <t>LEAKENA</t>
  </si>
  <si>
    <t>096 900 999 6</t>
  </si>
  <si>
    <t>1921116-0432051-ឃ</t>
  </si>
  <si>
    <t>130187471</t>
  </si>
  <si>
    <t>ខុំ</t>
  </si>
  <si>
    <t>KHIEV</t>
  </si>
  <si>
    <t>KHOM</t>
  </si>
  <si>
    <t>MECHANIC</t>
  </si>
  <si>
    <t>1940918-1654360-ម</t>
  </si>
  <si>
    <t>050805708</t>
  </si>
  <si>
    <t>លាភ</t>
  </si>
  <si>
    <t>LEAP</t>
  </si>
  <si>
    <t>RCI</t>
  </si>
  <si>
    <t>2581019-2203594-ធ</t>
  </si>
  <si>
    <t>130208809</t>
  </si>
  <si>
    <t>សាវ៉ន</t>
  </si>
  <si>
    <t>CLEANER</t>
  </si>
  <si>
    <t>ខេត្តអាងយ៉ាង</t>
  </si>
  <si>
    <t>096 733 655 5</t>
  </si>
  <si>
    <t>2961016-0381529-ប</t>
  </si>
  <si>
    <t>050856690</t>
  </si>
  <si>
    <t>096 218 126 0</t>
  </si>
  <si>
    <t>2721019-2203458-ឍ</t>
  </si>
  <si>
    <t>050922177</t>
  </si>
  <si>
    <t>លឿង</t>
  </si>
  <si>
    <t>NOV</t>
  </si>
  <si>
    <t>LOEUNG</t>
  </si>
  <si>
    <t>070 459 218 0</t>
  </si>
  <si>
    <t>2981019-2209717-យ</t>
  </si>
  <si>
    <t>2821116-0402594-ឌ</t>
  </si>
  <si>
    <t>096 955 364 5</t>
  </si>
  <si>
    <t>2731016-0385088-ន</t>
  </si>
  <si>
    <t>130209067</t>
  </si>
  <si>
    <t>ទិព្វ</t>
  </si>
  <si>
    <t>NAM</t>
  </si>
  <si>
    <t>TEP</t>
  </si>
  <si>
    <t>016 748 200</t>
  </si>
  <si>
    <t>Phum Puthoeung,Khum Bittrang, Srok Preynop, Sihanouk Province</t>
  </si>
  <si>
    <t>2841019-2202493-ណ</t>
  </si>
  <si>
    <t>100933048</t>
  </si>
  <si>
    <t>KAMSAT</t>
  </si>
  <si>
    <t>2001019-2202540-វ</t>
  </si>
  <si>
    <t>101261540</t>
  </si>
  <si>
    <t>SOUERN</t>
  </si>
  <si>
    <t>096 278 015 1</t>
  </si>
  <si>
    <t>2941116-0406791-ធ</t>
  </si>
  <si>
    <t>130185367</t>
  </si>
  <si>
    <t>នាថ</t>
  </si>
  <si>
    <t>NEAT</t>
  </si>
  <si>
    <t>098 529 206</t>
  </si>
  <si>
    <t>2871019-2204956-ភ</t>
  </si>
  <si>
    <t>101095961</t>
  </si>
  <si>
    <t>ញាណ</t>
  </si>
  <si>
    <t>NHEAN</t>
  </si>
  <si>
    <t>088 293 961 4</t>
  </si>
  <si>
    <t>2851118-1888536-អ</t>
  </si>
  <si>
    <t>101096032</t>
  </si>
  <si>
    <t>ស៊ឹប</t>
  </si>
  <si>
    <t>សំអាត</t>
  </si>
  <si>
    <t>SOEB</t>
  </si>
  <si>
    <t>SAM AT</t>
  </si>
  <si>
    <t>081 587 110</t>
  </si>
  <si>
    <t>015 525 374</t>
  </si>
  <si>
    <t>2781019-2202475-ទ</t>
  </si>
  <si>
    <t>130213381</t>
  </si>
  <si>
    <t>សុភ័ក្រ្ត</t>
  </si>
  <si>
    <t>088 315 845 3</t>
  </si>
  <si>
    <t>061545595</t>
  </si>
  <si>
    <t>ស៊ីម</t>
  </si>
  <si>
    <t>SOME</t>
  </si>
  <si>
    <t>SIM</t>
  </si>
  <si>
    <t>093 791 053</t>
  </si>
  <si>
    <t>ចំការ</t>
  </si>
  <si>
    <t>2791019-2202538-ធ</t>
  </si>
  <si>
    <t>101096004</t>
  </si>
  <si>
    <t>SAROEUN</t>
  </si>
  <si>
    <t>29910192209993អ</t>
  </si>
  <si>
    <t>250013676</t>
  </si>
  <si>
    <t>A16</t>
  </si>
  <si>
    <t>097 732 608 6</t>
  </si>
  <si>
    <t>2811019-2208027-ដ</t>
  </si>
  <si>
    <t>170941842</t>
  </si>
  <si>
    <t>មួក</t>
  </si>
  <si>
    <t>សុខី</t>
  </si>
  <si>
    <t>MUOK</t>
  </si>
  <si>
    <t>SOKHY</t>
  </si>
  <si>
    <t>088 491 113 4</t>
  </si>
  <si>
    <t>2830918-1654152-ព</t>
  </si>
  <si>
    <t>110216958(01)</t>
  </si>
  <si>
    <t>PHOEUN</t>
  </si>
  <si>
    <t>016 416 921</t>
  </si>
  <si>
    <t>2830319-2005372-ឌ</t>
  </si>
  <si>
    <t>051203224</t>
  </si>
  <si>
    <t>អាត</t>
  </si>
  <si>
    <t>AT</t>
  </si>
  <si>
    <t>010 338 387</t>
  </si>
  <si>
    <t>2631019-2202453-ជ</t>
  </si>
  <si>
    <t>170477228(01)</t>
  </si>
  <si>
    <t>ឡាប</t>
  </si>
  <si>
    <t>ជន</t>
  </si>
  <si>
    <t>LAP</t>
  </si>
  <si>
    <t>CHUN</t>
  </si>
  <si>
    <t>2801116-0400772-ឆ</t>
  </si>
  <si>
    <t>110181478(01)</t>
  </si>
  <si>
    <t>ឈីម</t>
  </si>
  <si>
    <t>CHIEM</t>
  </si>
  <si>
    <t>096 954 079 3</t>
  </si>
  <si>
    <t>2011019-2204080-ហ</t>
  </si>
  <si>
    <t>070316756</t>
  </si>
  <si>
    <t>ផល្លីន</t>
  </si>
  <si>
    <t>POEU</t>
  </si>
  <si>
    <t>PHALIN</t>
  </si>
  <si>
    <t>096 802 095 6</t>
  </si>
  <si>
    <t>1861116-0401201-អ</t>
  </si>
  <si>
    <t>130200636</t>
  </si>
  <si>
    <t>អ៊ួន</t>
  </si>
  <si>
    <t>096 950 373 7</t>
  </si>
  <si>
    <t>Phum ​Tropeangmoul,Khum Cherngko, Srok Preynop, Sihanouk Province</t>
  </si>
  <si>
    <t>10010192210051ភ</t>
  </si>
  <si>
    <t>070314398</t>
  </si>
  <si>
    <t>សែ</t>
  </si>
  <si>
    <t>PHEARON</t>
  </si>
  <si>
    <t>088 226 166 4</t>
  </si>
  <si>
    <t>1930719-2116063-ថ</t>
  </si>
  <si>
    <t>110662635</t>
  </si>
  <si>
    <t>ឧត្តម</t>
  </si>
  <si>
    <t>UDOM</t>
  </si>
  <si>
    <t>016 503 949</t>
  </si>
  <si>
    <t>10110192210896ឈ</t>
  </si>
  <si>
    <t>031011423</t>
  </si>
  <si>
    <t>LEAB</t>
  </si>
  <si>
    <t>015 266 872</t>
  </si>
  <si>
    <t>110610413</t>
  </si>
  <si>
    <t>ជៀវ</t>
  </si>
  <si>
    <t>CHEAV</t>
  </si>
  <si>
    <t>096 990 049 6</t>
  </si>
  <si>
    <t>1991019-2214367-ព</t>
  </si>
  <si>
    <t>200212900</t>
  </si>
  <si>
    <t>ញ៉ែន</t>
  </si>
  <si>
    <t>NHEN</t>
  </si>
  <si>
    <t>1961019-2212268ទ</t>
  </si>
  <si>
    <t>100949825</t>
  </si>
  <si>
    <t>ហ៊ិន</t>
  </si>
  <si>
    <t>HIN</t>
  </si>
  <si>
    <t>069 327 993</t>
  </si>
  <si>
    <t>1941019-2202523-ឈ</t>
  </si>
  <si>
    <t>100933163</t>
  </si>
  <si>
    <t>វុធ</t>
  </si>
  <si>
    <t>VUTH</t>
  </si>
  <si>
    <t>096 458 457 0</t>
  </si>
  <si>
    <t>កូប្រា</t>
  </si>
  <si>
    <t>1970519-2076640-ម</t>
  </si>
  <si>
    <t>130124351</t>
  </si>
  <si>
    <t>សែន</t>
  </si>
  <si>
    <t>18810192209977ឡ</t>
  </si>
  <si>
    <t>180815784</t>
  </si>
  <si>
    <t>សាល</t>
  </si>
  <si>
    <t>SAL</t>
  </si>
  <si>
    <t>068 842 744</t>
  </si>
  <si>
    <t>1871019-2202504-ញ</t>
  </si>
  <si>
    <t>101274083</t>
  </si>
  <si>
    <t>1961017-0946085ម</t>
  </si>
  <si>
    <t>130176409</t>
  </si>
  <si>
    <t>យេន</t>
  </si>
  <si>
    <t>មូវ</t>
  </si>
  <si>
    <t>MOV</t>
  </si>
  <si>
    <t>1000818-1635761-ណ</t>
  </si>
  <si>
    <t>130173729</t>
  </si>
  <si>
    <t>ហ៊ី</t>
  </si>
  <si>
    <t>HY</t>
  </si>
  <si>
    <t>29710192209952យ</t>
  </si>
  <si>
    <t>061456316</t>
  </si>
  <si>
    <t>088 798 183 9</t>
  </si>
  <si>
    <t>2980617-0809461-វ</t>
  </si>
  <si>
    <t>130214661</t>
  </si>
  <si>
    <t>SOMPORS</t>
  </si>
  <si>
    <t>015 757 642</t>
  </si>
  <si>
    <t>Sangkat3, Sihanouk ville, Sihanouk province</t>
  </si>
  <si>
    <t>2931019-2212483ណ</t>
  </si>
  <si>
    <t>110419741(01)</t>
  </si>
  <si>
    <t>យ៉ុន</t>
  </si>
  <si>
    <t>SOUT</t>
  </si>
  <si>
    <t>081 590 244</t>
  </si>
  <si>
    <t>29110116-0399063-ទ</t>
  </si>
  <si>
    <t>130219127</t>
  </si>
  <si>
    <t>ម៉ាន</t>
  </si>
  <si>
    <t>លីម</t>
  </si>
  <si>
    <t>MANN</t>
  </si>
  <si>
    <t>096​ 864 243 4</t>
  </si>
  <si>
    <t>1981019-2204036-ឍ</t>
  </si>
  <si>
    <t>021031052</t>
  </si>
  <si>
    <t>សំអូន</t>
  </si>
  <si>
    <t>AN</t>
  </si>
  <si>
    <t>SAMON</t>
  </si>
  <si>
    <t>086 887 237</t>
  </si>
  <si>
    <t>2841019-2210035-ច</t>
  </si>
  <si>
    <t>110233523(01)</t>
  </si>
  <si>
    <t>ស៊ីយ៉ុម</t>
  </si>
  <si>
    <t>SIYOM</t>
  </si>
  <si>
    <t>096 977 168 2</t>
  </si>
  <si>
    <t>1940118-1143808-ថ</t>
  </si>
  <si>
    <t>130193308</t>
  </si>
  <si>
    <t>សុផាណា</t>
  </si>
  <si>
    <t>SUM</t>
  </si>
  <si>
    <t>SOPANNA</t>
  </si>
  <si>
    <t>012 386 266</t>
  </si>
  <si>
    <t>150637429</t>
  </si>
  <si>
    <t>ណារ៉ុង</t>
  </si>
  <si>
    <t>NARUNG</t>
  </si>
  <si>
    <t>086 562 626</t>
  </si>
  <si>
    <t>Phum2, Sangkat4, Sihanouk ville, Sihanouk province</t>
  </si>
  <si>
    <t>2981116-0401436-ឍ</t>
  </si>
  <si>
    <t>130139499</t>
  </si>
  <si>
    <t>SEM</t>
  </si>
  <si>
    <t>HAN</t>
  </si>
  <si>
    <t>096 648 578 9</t>
  </si>
  <si>
    <t>2900118-1201657-ដ</t>
  </si>
  <si>
    <t>050648610</t>
  </si>
  <si>
    <t>088 729 086 9</t>
  </si>
  <si>
    <t>2801019-2206119-ញ</t>
  </si>
  <si>
    <t>051423089</t>
  </si>
  <si>
    <t>មើក</t>
  </si>
  <si>
    <t>NAOEK</t>
  </si>
  <si>
    <t>SOKHORN</t>
  </si>
  <si>
    <t>096 423 182 8</t>
  </si>
  <si>
    <t>110519773</t>
  </si>
  <si>
    <t>ស្រីគីន</t>
  </si>
  <si>
    <t>VIT</t>
  </si>
  <si>
    <t>SREYKIN</t>
  </si>
  <si>
    <t>087 226 827</t>
  </si>
  <si>
    <t>2821116-0466982-ភ</t>
  </si>
  <si>
    <t>ញ៉ឹក</t>
  </si>
  <si>
    <t>NHOEK</t>
  </si>
  <si>
    <t>096 725 285 7</t>
  </si>
  <si>
    <t>2970918-1718319-ក</t>
  </si>
  <si>
    <t>040332119</t>
  </si>
  <si>
    <t>SOPHAN</t>
  </si>
  <si>
    <t>096 466 525 0</t>
  </si>
  <si>
    <t>2980417-0688000-ប</t>
  </si>
  <si>
    <t>130219915</t>
  </si>
  <si>
    <t>ម៉ីម៉ី</t>
  </si>
  <si>
    <t>MEYMEY</t>
  </si>
  <si>
    <t>096 533 005 9</t>
  </si>
  <si>
    <t>Sangkat1, Sihanouk ville, Sihanouk province</t>
  </si>
  <si>
    <t>1001019-2206956-ញ</t>
  </si>
  <si>
    <t>051574921</t>
  </si>
  <si>
    <t>រ៉ាវី</t>
  </si>
  <si>
    <t>KHY</t>
  </si>
  <si>
    <t>RAVY</t>
  </si>
  <si>
    <t>130226816</t>
  </si>
  <si>
    <t>ខេង</t>
  </si>
  <si>
    <t>015 847 439</t>
  </si>
  <si>
    <t>1991019-2204459-ភ</t>
  </si>
  <si>
    <t>110560107</t>
  </si>
  <si>
    <t>KNA</t>
  </si>
  <si>
    <t>016 261 730</t>
  </si>
  <si>
    <t>1941016-0385535-ធ</t>
  </si>
  <si>
    <t>110440048</t>
  </si>
  <si>
    <t>រ៉ាត់</t>
  </si>
  <si>
    <t>096 205 729 4</t>
  </si>
  <si>
    <t>2010718-1514192ញ</t>
  </si>
  <si>
    <t>200252580</t>
  </si>
  <si>
    <t>ញែន</t>
  </si>
  <si>
    <t>097 867 211 2</t>
  </si>
  <si>
    <t>10110192207032ស</t>
  </si>
  <si>
    <t>ឧដែន</t>
  </si>
  <si>
    <t>OUDEN</t>
  </si>
  <si>
    <t>ទៅស្រុក</t>
  </si>
  <si>
    <t>088 803 462 2</t>
  </si>
  <si>
    <t>1000719-2125069-ដ</t>
  </si>
  <si>
    <t>110638841</t>
  </si>
  <si>
    <t>ប៉ាត់</t>
  </si>
  <si>
    <t>សុខាន់</t>
  </si>
  <si>
    <t>PATH</t>
  </si>
  <si>
    <t>SOKHANN</t>
  </si>
  <si>
    <t>2801019-2210034ក</t>
  </si>
  <si>
    <t>051585523</t>
  </si>
  <si>
    <t>088 940 103 2</t>
  </si>
  <si>
    <t>10010192210866ង</t>
  </si>
  <si>
    <t>130225021</t>
  </si>
  <si>
    <t>សិត</t>
  </si>
  <si>
    <t>SIT</t>
  </si>
  <si>
    <t>086 841 553</t>
  </si>
  <si>
    <t>2931019-2209750-ទ</t>
  </si>
  <si>
    <t>200146429</t>
  </si>
  <si>
    <t>រិត</t>
  </si>
  <si>
    <t>YN</t>
  </si>
  <si>
    <t>RIT</t>
  </si>
  <si>
    <t>097 237 241 6</t>
  </si>
  <si>
    <t>2911116-0402155-ច</t>
  </si>
  <si>
    <t>090841698</t>
  </si>
  <si>
    <t>KOEUT</t>
  </si>
  <si>
    <t>SOKLY</t>
  </si>
  <si>
    <t>087 715 458</t>
  </si>
  <si>
    <t>2010918-1654359-ផ</t>
  </si>
  <si>
    <t>062178330</t>
  </si>
  <si>
    <t>ជួប</t>
  </si>
  <si>
    <t>ម៉ារី</t>
  </si>
  <si>
    <t>CHUOB</t>
  </si>
  <si>
    <t>MARY</t>
  </si>
  <si>
    <t>1901019-2212990ឍ</t>
  </si>
  <si>
    <t>110455663</t>
  </si>
  <si>
    <t>PROS</t>
  </si>
  <si>
    <t>097 906 205 6</t>
  </si>
  <si>
    <t>1971019-2209723-ប</t>
  </si>
  <si>
    <t>200167184</t>
  </si>
  <si>
    <t>ឆៃ</t>
  </si>
  <si>
    <t>SUTH</t>
  </si>
  <si>
    <t>CHHAI</t>
  </si>
  <si>
    <t>088 245 020 6</t>
  </si>
  <si>
    <t>19610192212019ឋ</t>
  </si>
  <si>
    <t>140102950</t>
  </si>
  <si>
    <t>មុត</t>
  </si>
  <si>
    <t>MUT</t>
  </si>
  <si>
    <t>093 813 220</t>
  </si>
  <si>
    <t>29810192211019ឍ</t>
  </si>
  <si>
    <t>250013545</t>
  </si>
  <si>
    <t>KNHA</t>
  </si>
  <si>
    <t>​</t>
  </si>
  <si>
    <t>088 798 128 1</t>
  </si>
  <si>
    <t>1870817-0875931-អ</t>
  </si>
  <si>
    <t>130208475</t>
  </si>
  <si>
    <t>វិចិត្រ</t>
  </si>
  <si>
    <t>VICHETH</t>
  </si>
  <si>
    <t>016 425 006</t>
  </si>
  <si>
    <t>1931016-0391269-ធ</t>
  </si>
  <si>
    <t>110497008</t>
  </si>
  <si>
    <t>ម៉ាយ</t>
  </si>
  <si>
    <t>MAY</t>
  </si>
  <si>
    <t>096 271 857 3</t>
  </si>
  <si>
    <t>2801016-0396536-ទ</t>
  </si>
  <si>
    <t>130181915</t>
  </si>
  <si>
    <t>សុកគឿន</t>
  </si>
  <si>
    <t>SOKKOEUN</t>
  </si>
  <si>
    <t>096 343 086 2</t>
  </si>
  <si>
    <t>2880215-0010270-ហ</t>
  </si>
  <si>
    <t>051540046</t>
  </si>
  <si>
    <t>ជុន</t>
  </si>
  <si>
    <t>វ័ន</t>
  </si>
  <si>
    <t>097 229 572 1</t>
  </si>
  <si>
    <t>1851018-1826237-ប</t>
  </si>
  <si>
    <t>062002090</t>
  </si>
  <si>
    <t>ដែន</t>
  </si>
  <si>
    <t>DEN</t>
  </si>
  <si>
    <t>060 566 096</t>
  </si>
  <si>
    <t>2881019-2208147-ប</t>
  </si>
  <si>
    <t>051074679</t>
  </si>
  <si>
    <t>អ៊ាន</t>
  </si>
  <si>
    <t>ណៃនី</t>
  </si>
  <si>
    <t>EAN</t>
  </si>
  <si>
    <t>NAYAY</t>
  </si>
  <si>
    <t>096 512 289 0</t>
  </si>
  <si>
    <t>1891118-1913305-ធ</t>
  </si>
  <si>
    <t>PHAL</t>
  </si>
  <si>
    <t>060 587 716</t>
  </si>
  <si>
    <t>061041803</t>
  </si>
  <si>
    <t>016 867 506</t>
  </si>
  <si>
    <t>29310192209966រ</t>
  </si>
  <si>
    <t>110396724(01)</t>
  </si>
  <si>
    <t>DOEU</t>
  </si>
  <si>
    <t>096 411 132 7</t>
  </si>
  <si>
    <t>2920717-0849129-វ</t>
  </si>
  <si>
    <t>110378035(01)</t>
  </si>
  <si>
    <t>ស្រីណាវ</t>
  </si>
  <si>
    <t>SREYNAV</t>
  </si>
  <si>
    <t>096 212 893 8</t>
  </si>
  <si>
    <t>199109-2210003ច</t>
  </si>
  <si>
    <t>101084884</t>
  </si>
  <si>
    <t>LYDA</t>
  </si>
  <si>
    <t>088 826 362 8</t>
  </si>
  <si>
    <t>1961019-2210878ព</t>
  </si>
  <si>
    <t>130193192</t>
  </si>
  <si>
    <t>ចិត្រ្តា</t>
  </si>
  <si>
    <t>CHATRA</t>
  </si>
  <si>
    <t>2960317-0680325-ន</t>
  </si>
  <si>
    <t>100697166</t>
  </si>
  <si>
    <t>ពិន</t>
  </si>
  <si>
    <t>សុន្នីតា</t>
  </si>
  <si>
    <t>PIN</t>
  </si>
  <si>
    <t>SONITA</t>
  </si>
  <si>
    <t>097 632 737 8</t>
  </si>
  <si>
    <t>2881016-0392978-ឡ</t>
  </si>
  <si>
    <t>110431397</t>
  </si>
  <si>
    <t>SAMAUN</t>
  </si>
  <si>
    <t>086 490 803</t>
  </si>
  <si>
    <t>2900317-0681776-ម</t>
  </si>
  <si>
    <t>110361378</t>
  </si>
  <si>
    <t>RUMDOURL</t>
  </si>
  <si>
    <t>069 560 609</t>
  </si>
  <si>
    <t>2870317-0676639-អ</t>
  </si>
  <si>
    <t>110310078</t>
  </si>
  <si>
    <t>KHOEM</t>
  </si>
  <si>
    <t>097 286 547 9</t>
  </si>
  <si>
    <t>2870218-1251607-ទ</t>
  </si>
  <si>
    <t>061578349</t>
  </si>
  <si>
    <t>ឆៃលីម</t>
  </si>
  <si>
    <t>UONG</t>
  </si>
  <si>
    <t>CHHAILIM</t>
  </si>
  <si>
    <t>096 802 312 5</t>
  </si>
  <si>
    <t>2831019-2221490-ឋ</t>
  </si>
  <si>
    <t>150928022</t>
  </si>
  <si>
    <t>086 927 782</t>
  </si>
  <si>
    <t>បើកឡន</t>
  </si>
  <si>
    <t>29708170869041ស</t>
  </si>
  <si>
    <t>101098349</t>
  </si>
  <si>
    <t>ស្រីពេជ</t>
  </si>
  <si>
    <t>HOEM</t>
  </si>
  <si>
    <t>SREYPECH</t>
  </si>
  <si>
    <t>096 269 611 2</t>
  </si>
  <si>
    <t>2981016-0391280-ទ</t>
  </si>
  <si>
    <t>101174454</t>
  </si>
  <si>
    <t>SREYLEAK</t>
  </si>
  <si>
    <t>010 250 957</t>
  </si>
  <si>
    <t>2021019-2219411-គ</t>
  </si>
  <si>
    <t>171152750</t>
  </si>
  <si>
    <t>រឺង</t>
  </si>
  <si>
    <t>សុខណា</t>
  </si>
  <si>
    <t>REUNG</t>
  </si>
  <si>
    <t>SOKNA</t>
  </si>
  <si>
    <t>096 592 138 6</t>
  </si>
  <si>
    <t>100587847</t>
  </si>
  <si>
    <t>សារ៉ាន់</t>
  </si>
  <si>
    <t>SARANN</t>
  </si>
  <si>
    <t>097 788 590 3</t>
  </si>
  <si>
    <t>វឿន</t>
  </si>
  <si>
    <t>088 288 466 0</t>
  </si>
  <si>
    <t>2941217-1107193-ត</t>
  </si>
  <si>
    <t>130168530</t>
  </si>
  <si>
    <t>PHANN</t>
  </si>
  <si>
    <t>096 514 530 6</t>
  </si>
  <si>
    <t>សំបូ</t>
  </si>
  <si>
    <t>060 583 323</t>
  </si>
  <si>
    <t>2831019-2220661-ដ</t>
  </si>
  <si>
    <t>130223541</t>
  </si>
  <si>
    <t>ស៊ី</t>
  </si>
  <si>
    <t>SI</t>
  </si>
  <si>
    <t>096 567 704 0</t>
  </si>
  <si>
    <t>2831118-1913919-ម</t>
  </si>
  <si>
    <t>130224251</t>
  </si>
  <si>
    <t>សុគន្ធ</t>
  </si>
  <si>
    <t>YON</t>
  </si>
  <si>
    <t>SOKUN</t>
  </si>
  <si>
    <t>010 357 286</t>
  </si>
  <si>
    <t>2851016-0390819-ប</t>
  </si>
  <si>
    <t>110257488</t>
  </si>
  <si>
    <t>ដា</t>
  </si>
  <si>
    <t>PHARN</t>
  </si>
  <si>
    <t>DA</t>
  </si>
  <si>
    <t>087 683 749</t>
  </si>
  <si>
    <t>2861019-2220162-ញ</t>
  </si>
  <si>
    <t>021109582</t>
  </si>
  <si>
    <t>015 321 537</t>
  </si>
  <si>
    <t>130194174</t>
  </si>
  <si>
    <t>010 922 255</t>
  </si>
  <si>
    <t>2831016-0398182-ន</t>
  </si>
  <si>
    <t>130147059</t>
  </si>
  <si>
    <t>RORN</t>
  </si>
  <si>
    <t>070 512 581</t>
  </si>
  <si>
    <t>2881116-0401434-ដ</t>
  </si>
  <si>
    <t>170647410(01)</t>
  </si>
  <si>
    <t>096 970 075 8</t>
  </si>
  <si>
    <t>110497144</t>
  </si>
  <si>
    <t>ប៉ិច</t>
  </si>
  <si>
    <t>ហ៊ាន់</t>
  </si>
  <si>
    <t>093 693 644</t>
  </si>
  <si>
    <t>2001016-0363686-យ</t>
  </si>
  <si>
    <t>030784928</t>
  </si>
  <si>
    <t>ស្រួច</t>
  </si>
  <si>
    <t>រ៉េន</t>
  </si>
  <si>
    <t>SRUOCH</t>
  </si>
  <si>
    <t>REN</t>
  </si>
  <si>
    <t>010 342 185</t>
  </si>
  <si>
    <t>2031218-1343689ម</t>
  </si>
  <si>
    <t>101361679</t>
  </si>
  <si>
    <t>ធឿន</t>
  </si>
  <si>
    <t>THOEURN</t>
  </si>
  <si>
    <t>096 484 588 2</t>
  </si>
  <si>
    <t>29210192222386ថ</t>
  </si>
  <si>
    <t>050856701</t>
  </si>
  <si>
    <t>093 863 268</t>
  </si>
  <si>
    <t>2951019-2220275-ណ</t>
  </si>
  <si>
    <t>110426117</t>
  </si>
  <si>
    <t>010 526 207</t>
  </si>
  <si>
    <t>2971016-0393639-រ</t>
  </si>
  <si>
    <t>110541584</t>
  </si>
  <si>
    <t>ចាន់ឌី</t>
  </si>
  <si>
    <t>CHANDY</t>
  </si>
  <si>
    <t>096  271 857 3</t>
  </si>
  <si>
    <t>070259485</t>
  </si>
  <si>
    <t>LAY</t>
  </si>
  <si>
    <t>088 571 562 9</t>
  </si>
  <si>
    <t>2901019-2227446-ថ</t>
  </si>
  <si>
    <t>110482687</t>
  </si>
  <si>
    <t>ស្រីនឹក</t>
  </si>
  <si>
    <t>SETH</t>
  </si>
  <si>
    <t>SREY NEK</t>
  </si>
  <si>
    <t>096 506 715 8</t>
  </si>
  <si>
    <t>2930417-0692075-ព</t>
  </si>
  <si>
    <t>130193708</t>
  </si>
  <si>
    <t>យ៉ូន</t>
  </si>
  <si>
    <t>YOUN</t>
  </si>
  <si>
    <t>081 214 001</t>
  </si>
  <si>
    <t>2991018-1726474-វ</t>
  </si>
  <si>
    <t>101357118</t>
  </si>
  <si>
    <t>ស្រីផល</t>
  </si>
  <si>
    <t>SREYPHAL</t>
  </si>
  <si>
    <t>2861019-2226495-ម</t>
  </si>
  <si>
    <t>090666182</t>
  </si>
  <si>
    <t>សាំ</t>
  </si>
  <si>
    <t>096 218 028 4</t>
  </si>
  <si>
    <t>11000500860</t>
  </si>
  <si>
    <t>តេ</t>
  </si>
  <si>
    <t>TE</t>
  </si>
  <si>
    <t>2771019-2216880-ផ</t>
  </si>
  <si>
    <t>250168413</t>
  </si>
  <si>
    <t>SAROEURN</t>
  </si>
  <si>
    <t>071 838 299 0</t>
  </si>
  <si>
    <t>2941017-0925980-ម</t>
  </si>
  <si>
    <t>110581988</t>
  </si>
  <si>
    <t>ឈីន</t>
  </si>
  <si>
    <t>PHALY</t>
  </si>
  <si>
    <t>086 531 006</t>
  </si>
  <si>
    <t>2941019-2220954-ទ</t>
  </si>
  <si>
    <t>110446576</t>
  </si>
  <si>
    <t>មុន</t>
  </si>
  <si>
    <t>MON</t>
  </si>
  <si>
    <t>067 860 970</t>
  </si>
  <si>
    <t>Phum6, Sangkat4, Sihanouk ville, Sihanouk province</t>
  </si>
  <si>
    <t>2911016-0390961-ត</t>
  </si>
  <si>
    <t>110388139(01)</t>
  </si>
  <si>
    <t>010 683 749</t>
  </si>
  <si>
    <t>2971016-0392229-ប</t>
  </si>
  <si>
    <t>110577932</t>
  </si>
  <si>
    <t>010 379 925</t>
  </si>
  <si>
    <t>2831019-2226841-ថ</t>
  </si>
  <si>
    <t>110274723(01)</t>
  </si>
  <si>
    <t>096 786 920 8</t>
  </si>
  <si>
    <t>2951218-1941854-ល</t>
  </si>
  <si>
    <t>110408989(01)</t>
  </si>
  <si>
    <t>ស្រីណា</t>
  </si>
  <si>
    <t>EK</t>
  </si>
  <si>
    <t>SREYNA</t>
  </si>
  <si>
    <t>097 316 472 4</t>
  </si>
  <si>
    <t>2811019-2221527-ដ</t>
  </si>
  <si>
    <t>030652593</t>
  </si>
  <si>
    <t>CHROEB</t>
  </si>
  <si>
    <t>096 353 351 6</t>
  </si>
  <si>
    <t>2860717-0830779-អ</t>
  </si>
  <si>
    <t>110583151</t>
  </si>
  <si>
    <t>ជ្រឿន</t>
  </si>
  <si>
    <t>CHROEURN</t>
  </si>
  <si>
    <t>096 683 258 0</t>
  </si>
  <si>
    <t>2760818-1579454-ខ</t>
  </si>
  <si>
    <t>101096085</t>
  </si>
  <si>
    <t>នូ</t>
  </si>
  <si>
    <t>NOU</t>
  </si>
  <si>
    <t>097 970 412 1</t>
  </si>
  <si>
    <t>2991019-2217149-ម</t>
  </si>
  <si>
    <t>110541689</t>
  </si>
  <si>
    <t>អុន</t>
  </si>
  <si>
    <t>093 554 650</t>
  </si>
  <si>
    <t>110480566</t>
  </si>
  <si>
    <t>096 580 959 3</t>
  </si>
  <si>
    <t>2801019-2221553-ឈ</t>
  </si>
  <si>
    <t>170886206</t>
  </si>
  <si>
    <t>មាំ</t>
  </si>
  <si>
    <t>MAM</t>
  </si>
  <si>
    <t>060 839 733</t>
  </si>
  <si>
    <t>2000319-2011160-រ</t>
  </si>
  <si>
    <t>101160913</t>
  </si>
  <si>
    <t>ពិសីសុខុម</t>
  </si>
  <si>
    <t>CHUON</t>
  </si>
  <si>
    <t>PISEYSOKHOM</t>
  </si>
  <si>
    <t>087 604 500</t>
  </si>
  <si>
    <t>070193375</t>
  </si>
  <si>
    <t>PY</t>
  </si>
  <si>
    <t>088 678 187 1</t>
  </si>
  <si>
    <t>1990918-1654012-ភ</t>
  </si>
  <si>
    <t>110612315</t>
  </si>
  <si>
    <t>ចន្តារា</t>
  </si>
  <si>
    <t>CHANDARA</t>
  </si>
  <si>
    <t>1771019-2227213-ឌ</t>
  </si>
  <si>
    <t>090821199</t>
  </si>
  <si>
    <t>ធាន់</t>
  </si>
  <si>
    <t>TENG</t>
  </si>
  <si>
    <t>THUN</t>
  </si>
  <si>
    <t>088 338 429 8</t>
  </si>
  <si>
    <t>1921019-2221461-ឈ</t>
  </si>
  <si>
    <t>170725890</t>
  </si>
  <si>
    <t>សារិត</t>
  </si>
  <si>
    <t>MOAM</t>
  </si>
  <si>
    <t>SARET</t>
  </si>
  <si>
    <t>1991019-2227782-ល</t>
  </si>
  <si>
    <t>061945854</t>
  </si>
  <si>
    <t>ស៊ីនាត</t>
  </si>
  <si>
    <t>SINEAT</t>
  </si>
  <si>
    <t>097 431 020 0</t>
  </si>
  <si>
    <t>1011019-2221229-ក</t>
  </si>
  <si>
    <t>សុខហេង</t>
  </si>
  <si>
    <t>SOK HENG</t>
  </si>
  <si>
    <t>088 744 636 5</t>
  </si>
  <si>
    <t>1991019-2220340-ដ</t>
  </si>
  <si>
    <t>030981495</t>
  </si>
  <si>
    <t>វិរះ</t>
  </si>
  <si>
    <t>VIRAK</t>
  </si>
  <si>
    <t>A15</t>
  </si>
  <si>
    <t>071 624 810 1</t>
  </si>
  <si>
    <t>1021019-2227773-ឋ</t>
  </si>
  <si>
    <t>250266870</t>
  </si>
  <si>
    <t>SREYNET</t>
  </si>
  <si>
    <t>097 601 917 7</t>
  </si>
  <si>
    <t>1991019-2222244-ត</t>
  </si>
  <si>
    <t>110662426</t>
  </si>
  <si>
    <t>SUEN</t>
  </si>
  <si>
    <t>098 284 321</t>
  </si>
  <si>
    <t>1951019-2219473-ផ</t>
  </si>
  <si>
    <t>110575640</t>
  </si>
  <si>
    <t>ATH</t>
  </si>
  <si>
    <t>081 528 885</t>
  </si>
  <si>
    <t>1911116-0400851-ច</t>
  </si>
  <si>
    <t>110350501(01)</t>
  </si>
  <si>
    <t>097 456 157 9</t>
  </si>
  <si>
    <t>1001019-2221220-ភ</t>
  </si>
  <si>
    <t>101349573</t>
  </si>
  <si>
    <t>គីវ</t>
  </si>
  <si>
    <t>KIV</t>
  </si>
  <si>
    <t>097 734 374 2</t>
  </si>
  <si>
    <t>1911019-2216489-ផ</t>
  </si>
  <si>
    <t>110624981</t>
  </si>
  <si>
    <t>ឆេង</t>
  </si>
  <si>
    <t>CHHOEURN</t>
  </si>
  <si>
    <t>CHHENG</t>
  </si>
  <si>
    <t>088 767 945 8</t>
  </si>
  <si>
    <t>1941019-2216491-ទ</t>
  </si>
  <si>
    <t>110503969</t>
  </si>
  <si>
    <t>ងន</t>
  </si>
  <si>
    <t>NGORN</t>
  </si>
  <si>
    <t>096 260 091 4</t>
  </si>
  <si>
    <t>1940318-1297876-ក</t>
  </si>
  <si>
    <t>110453715</t>
  </si>
  <si>
    <t>ប៉ាក</t>
  </si>
  <si>
    <t>097 270 530 5</t>
  </si>
  <si>
    <t>1881019-2206742-ធ</t>
  </si>
  <si>
    <t>020519785(01)</t>
  </si>
  <si>
    <t>យី</t>
  </si>
  <si>
    <t>ប៊ុនថេង</t>
  </si>
  <si>
    <t>YI</t>
  </si>
  <si>
    <t>BUNTHENG</t>
  </si>
  <si>
    <t>096 773 200 6</t>
  </si>
  <si>
    <t>1771019-2220978-ភ</t>
  </si>
  <si>
    <t>100944041</t>
  </si>
  <si>
    <t>ភិត</t>
  </si>
  <si>
    <t>PHIT</t>
  </si>
  <si>
    <t>1941019-2222391-ឍ</t>
  </si>
  <si>
    <t>ច័ន្ទ</t>
  </si>
  <si>
    <t>កុម្ភៈ</t>
  </si>
  <si>
    <t>KUMPHEAK</t>
  </si>
  <si>
    <t>19906170795276យ</t>
  </si>
  <si>
    <t>171100402</t>
  </si>
  <si>
    <t>គក</t>
  </si>
  <si>
    <t>NAT</t>
  </si>
  <si>
    <t>KOK</t>
  </si>
  <si>
    <t>070 448 476</t>
  </si>
  <si>
    <t>1961019-2213308-ឍ</t>
  </si>
  <si>
    <t>220181376</t>
  </si>
  <si>
    <t>ផាន់នុ</t>
  </si>
  <si>
    <t>PHANNU</t>
  </si>
  <si>
    <t>096 655 776 5</t>
  </si>
  <si>
    <t>2770918-1654267-អ</t>
  </si>
  <si>
    <t>110157874(01)</t>
  </si>
  <si>
    <t xml:space="preserve">ផង់ </t>
  </si>
  <si>
    <t>2011019-2229418-ញ</t>
  </si>
  <si>
    <t>180959031</t>
  </si>
  <si>
    <t>RIEM</t>
  </si>
  <si>
    <t>071 722 384 2</t>
  </si>
  <si>
    <t>1001019-2229413-គ</t>
  </si>
  <si>
    <t>180830033</t>
  </si>
  <si>
    <t>ឡុក</t>
  </si>
  <si>
    <t>ដូ</t>
  </si>
  <si>
    <t>LOK</t>
  </si>
  <si>
    <t>DO</t>
  </si>
  <si>
    <t>250022065</t>
  </si>
  <si>
    <t>ក្រឹម</t>
  </si>
  <si>
    <t>KROEM</t>
  </si>
  <si>
    <t>070 890 879</t>
  </si>
  <si>
    <t>29909181654080ស</t>
  </si>
  <si>
    <t>240146961</t>
  </si>
  <si>
    <t>ណី</t>
  </si>
  <si>
    <t>សាវរី</t>
  </si>
  <si>
    <t>NEY</t>
  </si>
  <si>
    <t>SAVRY</t>
  </si>
  <si>
    <t>096 972 764 0</t>
  </si>
  <si>
    <t>101116036</t>
  </si>
  <si>
    <t>096 680 610 9</t>
  </si>
  <si>
    <t>2891016-0384609-ម</t>
  </si>
  <si>
    <t>110338891(01)</t>
  </si>
  <si>
    <t>070 474 068</t>
  </si>
  <si>
    <t>Phum Korki, Sangkat Bittrang, Preynop, Sihanouk province</t>
  </si>
  <si>
    <t>1791019-2229328-ភ</t>
  </si>
  <si>
    <t>050998426</t>
  </si>
  <si>
    <t>លីវ</t>
  </si>
  <si>
    <t>ប៊ុនណា</t>
  </si>
  <si>
    <t>LIV</t>
  </si>
  <si>
    <t>BUNNA</t>
  </si>
  <si>
    <t>B10</t>
  </si>
  <si>
    <t>ធ្លាក់ការសាកល្បង (ឈឺជើង)</t>
  </si>
  <si>
    <t>096 541 801 3</t>
  </si>
  <si>
    <t>2940118-1182204-ដ</t>
  </si>
  <si>
    <t>150514689</t>
  </si>
  <si>
    <t>សុខឃ័ន</t>
  </si>
  <si>
    <t>SOK KHNOIN</t>
  </si>
  <si>
    <t>2821016-0393338-ថ</t>
  </si>
  <si>
    <t>130054200(01)</t>
  </si>
  <si>
    <t xml:space="preserve">ភូ </t>
  </si>
  <si>
    <t>ឈុនហួ</t>
  </si>
  <si>
    <t>CHHUNHUO</t>
  </si>
  <si>
    <t>096 792 348 3</t>
  </si>
  <si>
    <t>1910717-0825415-ធ</t>
  </si>
  <si>
    <t>130127488</t>
  </si>
  <si>
    <t>ណៃ</t>
  </si>
  <si>
    <t>NAI</t>
  </si>
  <si>
    <t>2911019-2213029ញ</t>
  </si>
  <si>
    <t>110562590</t>
  </si>
  <si>
    <t>088 230 385 0</t>
  </si>
  <si>
    <t>វីរៈ</t>
  </si>
  <si>
    <t>ខេត្តមណ្ឌលគីរី</t>
  </si>
  <si>
    <t>097 926 433 3</t>
  </si>
  <si>
    <t>2971019-2206031-ដ</t>
  </si>
  <si>
    <t>130178642</t>
  </si>
  <si>
    <t>CHANTHU</t>
  </si>
  <si>
    <t>016 783 210</t>
  </si>
  <si>
    <t>2871016-0392889-ឡ</t>
  </si>
  <si>
    <t>130220261</t>
  </si>
  <si>
    <t>ពីង</t>
  </si>
  <si>
    <t>PING</t>
  </si>
  <si>
    <t>NARY</t>
  </si>
  <si>
    <t>016 277 387</t>
  </si>
  <si>
    <t>2890317-0680370-ផ</t>
  </si>
  <si>
    <t>130096016</t>
  </si>
  <si>
    <t>ឃូ</t>
  </si>
  <si>
    <t>ចន្ទ័តុលា</t>
  </si>
  <si>
    <t>KHOU</t>
  </si>
  <si>
    <t>CHANTOLA</t>
  </si>
  <si>
    <t>096 945 573 7</t>
  </si>
  <si>
    <t>2831016-0389209-ន</t>
  </si>
  <si>
    <t>090798710</t>
  </si>
  <si>
    <t>សឺម</t>
  </si>
  <si>
    <t>សិរិ</t>
  </si>
  <si>
    <t>Sirey</t>
  </si>
  <si>
    <t>Garment10</t>
  </si>
  <si>
    <t>066685713</t>
  </si>
  <si>
    <t>29210192234155ឍ</t>
  </si>
  <si>
    <t>110481742</t>
  </si>
  <si>
    <t>081 741 126</t>
  </si>
  <si>
    <t>ដេរ</t>
  </si>
  <si>
    <t>29310192234165ត</t>
  </si>
  <si>
    <t>110658995</t>
  </si>
  <si>
    <t>ដួង</t>
  </si>
  <si>
    <t>ពុំ</t>
  </si>
  <si>
    <t>DUONG</t>
  </si>
  <si>
    <t>POM</t>
  </si>
  <si>
    <t>096 457 934 2</t>
  </si>
  <si>
    <t>28810192234116ត</t>
  </si>
  <si>
    <t>130193237</t>
  </si>
  <si>
    <t>CHAKRIYA</t>
  </si>
  <si>
    <t>096 210 635 5</t>
  </si>
  <si>
    <t>វ៉ៃថ្ម</t>
  </si>
  <si>
    <t>28605160102278ត</t>
  </si>
  <si>
    <t>110384370</t>
  </si>
  <si>
    <t>និន</t>
  </si>
  <si>
    <t>សុភ័ណ្ឌ</t>
  </si>
  <si>
    <t>SOPHUAND</t>
  </si>
  <si>
    <t>096 619 512 8</t>
  </si>
  <si>
    <t>29209160239270ន</t>
  </si>
  <si>
    <t>011163931</t>
  </si>
  <si>
    <t>096 890 776 1</t>
  </si>
  <si>
    <t>28305181401949ព</t>
  </si>
  <si>
    <t>130194133</t>
  </si>
  <si>
    <t>នៀវ</t>
  </si>
  <si>
    <t>096 358 820 0</t>
  </si>
  <si>
    <t>29401170586579ឡ</t>
  </si>
  <si>
    <t>050892026</t>
  </si>
  <si>
    <t>086 666 184 2</t>
  </si>
  <si>
    <t>130114239</t>
  </si>
  <si>
    <t xml:space="preserve">ផល្លី </t>
  </si>
  <si>
    <t>098 242 350</t>
  </si>
  <si>
    <t>29104170703070ឈ</t>
  </si>
  <si>
    <t>110600253</t>
  </si>
  <si>
    <t>ស្រីនីម</t>
  </si>
  <si>
    <t>SDOEUNG</t>
  </si>
  <si>
    <t>SREYNIM</t>
  </si>
  <si>
    <t>096 642 568 2</t>
  </si>
  <si>
    <t>28910192220617ទ</t>
  </si>
  <si>
    <t>110341345</t>
  </si>
  <si>
    <t>ស៊ឺ</t>
  </si>
  <si>
    <t>គឹមអេង</t>
  </si>
  <si>
    <t>KIM ENG</t>
  </si>
  <si>
    <t>016 314 187</t>
  </si>
  <si>
    <t>19306170797605វ</t>
  </si>
  <si>
    <t>110484862</t>
  </si>
  <si>
    <t>KET</t>
  </si>
  <si>
    <t>REAKSMEY</t>
  </si>
  <si>
    <t>096 541 816 6</t>
  </si>
  <si>
    <t>សុឡៅ</t>
  </si>
  <si>
    <t>B7</t>
  </si>
  <si>
    <t>គ្មានអ្នកមើលកូន</t>
  </si>
  <si>
    <t>20111192240673ឆ</t>
  </si>
  <si>
    <t>101364531</t>
  </si>
  <si>
    <t>ចន្ថុល</t>
  </si>
  <si>
    <t>CHANTHOL</t>
  </si>
  <si>
    <t>069 522 632</t>
  </si>
  <si>
    <t>29510192234160ឌ</t>
  </si>
  <si>
    <t>110452465</t>
  </si>
  <si>
    <t>KANHA</t>
  </si>
  <si>
    <t>016 951 375</t>
  </si>
  <si>
    <t>28804170693381ល</t>
  </si>
  <si>
    <t>101230904</t>
  </si>
  <si>
    <t>069 570 216</t>
  </si>
  <si>
    <t>29110160393272ឍ</t>
  </si>
  <si>
    <t>1104586663</t>
  </si>
  <si>
    <t>CHAREYA</t>
  </si>
  <si>
    <t>28811192241352ថ</t>
  </si>
  <si>
    <t>050891660</t>
  </si>
  <si>
    <t>មាឃ</t>
  </si>
  <si>
    <t>នឿន</t>
  </si>
  <si>
    <t>MEAKH</t>
  </si>
  <si>
    <t>NOEUN</t>
  </si>
  <si>
    <t>096 398 572 3</t>
  </si>
  <si>
    <t>29310181727344ន</t>
  </si>
  <si>
    <t>ប៊ូយ</t>
  </si>
  <si>
    <t>BUOY</t>
  </si>
  <si>
    <t>087 395 677</t>
  </si>
  <si>
    <t>29610160394668វ</t>
  </si>
  <si>
    <t>130187482</t>
  </si>
  <si>
    <t>សូនិច</t>
  </si>
  <si>
    <t>SONICH</t>
  </si>
  <si>
    <t>070 306 503</t>
  </si>
  <si>
    <t>28811192238921ម</t>
  </si>
  <si>
    <t>110462935</t>
  </si>
  <si>
    <t>097 786 820 8</t>
  </si>
  <si>
    <t>Phum1, Sangkat​ Tummubrolork, Stoenghav District, Sihanouk province</t>
  </si>
  <si>
    <t>19204170702920ឋ</t>
  </si>
  <si>
    <t>130172326</t>
  </si>
  <si>
    <t>វិសាល</t>
  </si>
  <si>
    <t>PHUONG</t>
  </si>
  <si>
    <t>VISAL</t>
  </si>
  <si>
    <t>016 508 319</t>
  </si>
  <si>
    <t>28310160398658ល</t>
  </si>
  <si>
    <t>130219912</t>
  </si>
  <si>
    <t>អ៊ិត</t>
  </si>
  <si>
    <t>ប៊ុនអ៊ៀង</t>
  </si>
  <si>
    <t>ITH</t>
  </si>
  <si>
    <t>BUN EANG</t>
  </si>
  <si>
    <t>016 496 655</t>
  </si>
  <si>
    <t>28011192236364ត</t>
  </si>
  <si>
    <t>090830681</t>
  </si>
  <si>
    <t>យ័ន្ន</t>
  </si>
  <si>
    <t>097 410 791 8</t>
  </si>
  <si>
    <t>10102192001355ហ</t>
  </si>
  <si>
    <t>110624278</t>
  </si>
  <si>
    <t>ដាវ៉ាន់</t>
  </si>
  <si>
    <t>SORY</t>
  </si>
  <si>
    <t>DAVANN</t>
  </si>
  <si>
    <t>016 612 900</t>
  </si>
  <si>
    <t>20011192237142គ</t>
  </si>
  <si>
    <t>110608022</t>
  </si>
  <si>
    <t>សុណា</t>
  </si>
  <si>
    <t>ដាលីន</t>
  </si>
  <si>
    <t>DALIN</t>
  </si>
  <si>
    <t>088 617 746 2</t>
  </si>
  <si>
    <t>110660339</t>
  </si>
  <si>
    <t>នេ</t>
  </si>
  <si>
    <t>NE</t>
  </si>
  <si>
    <t>081 821 281</t>
  </si>
  <si>
    <t>29708170874124ល</t>
  </si>
  <si>
    <t>110466167</t>
  </si>
  <si>
    <t>SREY TOUCH</t>
  </si>
  <si>
    <t>28311160401080គ</t>
  </si>
  <si>
    <t>110159932</t>
  </si>
  <si>
    <t>096 357 754 7</t>
  </si>
  <si>
    <t>29401191964962ហ</t>
  </si>
  <si>
    <t>130120551</t>
  </si>
  <si>
    <t>ដេវីត</t>
  </si>
  <si>
    <t>DAVID</t>
  </si>
  <si>
    <t>097 520 882 5</t>
  </si>
  <si>
    <t>29010192220590ញ</t>
  </si>
  <si>
    <t>011174522</t>
  </si>
  <si>
    <t>ស្រ៊ុន</t>
  </si>
  <si>
    <t>SRUN</t>
  </si>
  <si>
    <t>087 747 223</t>
  </si>
  <si>
    <t>28503170680931ប</t>
  </si>
  <si>
    <t>ឳ</t>
  </si>
  <si>
    <t>016 795 956</t>
  </si>
  <si>
    <t>29410192222439ទ</t>
  </si>
  <si>
    <t>080076879</t>
  </si>
  <si>
    <t>096 835 263 8</t>
  </si>
  <si>
    <t>អគ្គីសនី</t>
  </si>
  <si>
    <t>28201181202548ឋ</t>
  </si>
  <si>
    <t>250039284</t>
  </si>
  <si>
    <t>28606170808585ឡ</t>
  </si>
  <si>
    <t>110361910</t>
  </si>
  <si>
    <t>ទុំ</t>
  </si>
  <si>
    <t>TUM</t>
  </si>
  <si>
    <t>093 244 682</t>
  </si>
  <si>
    <t>29310181743766យ</t>
  </si>
  <si>
    <t>110396424</t>
  </si>
  <si>
    <t>សុកលី</t>
  </si>
  <si>
    <t>SON</t>
  </si>
  <si>
    <t>096 542 040 9</t>
  </si>
  <si>
    <t>29110192228200ឆ</t>
  </si>
  <si>
    <t>130186843</t>
  </si>
  <si>
    <t>ផុលា</t>
  </si>
  <si>
    <t>POLLA</t>
  </si>
  <si>
    <t>PHALLA</t>
  </si>
  <si>
    <t>096 375 210 1</t>
  </si>
  <si>
    <t>29808170870523ល</t>
  </si>
  <si>
    <t>110549070</t>
  </si>
  <si>
    <t>29402160079559រ</t>
  </si>
  <si>
    <t>030563364</t>
  </si>
  <si>
    <t>ហត្ថា</t>
  </si>
  <si>
    <t>MET</t>
  </si>
  <si>
    <t>HATHA</t>
  </si>
  <si>
    <t>096 810 689 0</t>
  </si>
  <si>
    <t>29310192229320ឌ</t>
  </si>
  <si>
    <t>010755080</t>
  </si>
  <si>
    <t>IM</t>
  </si>
  <si>
    <t>THEARY</t>
  </si>
  <si>
    <t>088 525 306 7</t>
  </si>
  <si>
    <t>28410192228473ប</t>
  </si>
  <si>
    <t>101121253</t>
  </si>
  <si>
    <t>គីត</t>
  </si>
  <si>
    <t>KIT</t>
  </si>
  <si>
    <t>PHOEURN</t>
  </si>
  <si>
    <t>096 315 852 9</t>
  </si>
  <si>
    <t>29907170843866ង</t>
  </si>
  <si>
    <t>110616701</t>
  </si>
  <si>
    <t>087 739 527</t>
  </si>
  <si>
    <t>29110160363999រ</t>
  </si>
  <si>
    <t>100670262</t>
  </si>
  <si>
    <t>គៀម</t>
  </si>
  <si>
    <t>សុភី</t>
  </si>
  <si>
    <t>KEAM</t>
  </si>
  <si>
    <t>097 983 595 7</t>
  </si>
  <si>
    <t>29810192226966ហ</t>
  </si>
  <si>
    <t>110549092</t>
  </si>
  <si>
    <t>ឃិន</t>
  </si>
  <si>
    <t>KHIN</t>
  </si>
  <si>
    <t>SREY ON</t>
  </si>
  <si>
    <t>015 386 982</t>
  </si>
  <si>
    <t>20110192226849ណ</t>
  </si>
  <si>
    <t>110618496</t>
  </si>
  <si>
    <t>29510181845946ហ</t>
  </si>
  <si>
    <t>110408393</t>
  </si>
  <si>
    <t>ម៉ាលីស</t>
  </si>
  <si>
    <t>MALIS</t>
  </si>
  <si>
    <t>096 200 325 5</t>
  </si>
  <si>
    <t>28011192236408ណ</t>
  </si>
  <si>
    <t>100812486</t>
  </si>
  <si>
    <t>SREY MOM</t>
  </si>
  <si>
    <t>088 513 241 4</t>
  </si>
  <si>
    <t>28410192234516ត</t>
  </si>
  <si>
    <t>101196554</t>
  </si>
  <si>
    <t>ជ្រៀច</t>
  </si>
  <si>
    <t>CHREACH</t>
  </si>
  <si>
    <t>090 719 188</t>
  </si>
  <si>
    <t>110253358</t>
  </si>
  <si>
    <t>តុង</t>
  </si>
  <si>
    <t>អុល</t>
  </si>
  <si>
    <t>TONG</t>
  </si>
  <si>
    <t>OL</t>
  </si>
  <si>
    <t>088 863 553 9</t>
  </si>
  <si>
    <t>20006181442386ឌ</t>
  </si>
  <si>
    <t>061827050</t>
  </si>
  <si>
    <t>070 211 968</t>
  </si>
  <si>
    <t>28810160390109ត</t>
  </si>
  <si>
    <t>090739989</t>
  </si>
  <si>
    <t>ខែមរ៉ា</t>
  </si>
  <si>
    <t>PEOU</t>
  </si>
  <si>
    <t>KHEMARA</t>
  </si>
  <si>
    <t>069 580 764</t>
  </si>
  <si>
    <t>015 904 738</t>
  </si>
  <si>
    <t>29211160406149ឍ</t>
  </si>
  <si>
    <t>110416293</t>
  </si>
  <si>
    <t>រីដា</t>
  </si>
  <si>
    <t>KAP</t>
  </si>
  <si>
    <t>RIDA</t>
  </si>
  <si>
    <t>016 612 956</t>
  </si>
  <si>
    <t>28611192241357ន</t>
  </si>
  <si>
    <t>051517462</t>
  </si>
  <si>
    <t>ប៊ួយ</t>
  </si>
  <si>
    <t>SINEOT</t>
  </si>
  <si>
    <t>096 321 142 8</t>
  </si>
  <si>
    <t>28105192069360ន</t>
  </si>
  <si>
    <t>061409831</t>
  </si>
  <si>
    <t>ឈាត</t>
  </si>
  <si>
    <t>CHHEAT</t>
  </si>
  <si>
    <t>SOKNAO</t>
  </si>
  <si>
    <t>088 233 094 8</t>
  </si>
  <si>
    <t xml:space="preserve"> Sangkat1, Sihanouk ville, Sihanouk province</t>
  </si>
  <si>
    <t>28111160408774ទ</t>
  </si>
  <si>
    <t>062228310</t>
  </si>
  <si>
    <t>ចន្ទធី</t>
  </si>
  <si>
    <t>CHANTHY</t>
  </si>
  <si>
    <t>070 743 381</t>
  </si>
  <si>
    <t>29911160399629ខ</t>
  </si>
  <si>
    <t>130174632</t>
  </si>
  <si>
    <t>OEUN</t>
  </si>
  <si>
    <t>070 302 953</t>
  </si>
  <si>
    <t>29610160392975ល</t>
  </si>
  <si>
    <t>130199379</t>
  </si>
  <si>
    <t>ចាន់វ៉ាន់ដា</t>
  </si>
  <si>
    <t>CHANVANDA</t>
  </si>
  <si>
    <t>070 580 944</t>
  </si>
  <si>
    <t>28403170676940ម</t>
  </si>
  <si>
    <t>110240150</t>
  </si>
  <si>
    <t>010 831 164</t>
  </si>
  <si>
    <t>110603053</t>
  </si>
  <si>
    <t>នីតា</t>
  </si>
  <si>
    <t>SUT</t>
  </si>
  <si>
    <t>NITA</t>
  </si>
  <si>
    <t>096 223 741 7</t>
  </si>
  <si>
    <t>150485993</t>
  </si>
  <si>
    <t>SAM OL</t>
  </si>
  <si>
    <t>081 798 809</t>
  </si>
  <si>
    <t>28809160321899ក</t>
  </si>
  <si>
    <t>110417474</t>
  </si>
  <si>
    <t>096 546 470 9</t>
  </si>
  <si>
    <t>29510160392095ន</t>
  </si>
  <si>
    <t>200127344</t>
  </si>
  <si>
    <t>សៃយ៉ា</t>
  </si>
  <si>
    <t>SAIYA</t>
  </si>
  <si>
    <t>069 961 937</t>
  </si>
  <si>
    <t>28611160401213ឃ</t>
  </si>
  <si>
    <t>110540699</t>
  </si>
  <si>
    <t>សាវ៉ាត់</t>
  </si>
  <si>
    <t>POR</t>
  </si>
  <si>
    <t>010 413 158</t>
  </si>
  <si>
    <t>ជាង</t>
  </si>
  <si>
    <t>19310192233418ណ</t>
  </si>
  <si>
    <t>051537789</t>
  </si>
  <si>
    <t>ប៊ិន</t>
  </si>
  <si>
    <t>សុផែន</t>
  </si>
  <si>
    <t>BIN</t>
  </si>
  <si>
    <t>SOPHEN</t>
  </si>
  <si>
    <t>086 661 842</t>
  </si>
  <si>
    <t>2870819216792គ</t>
  </si>
  <si>
    <t>110660231</t>
  </si>
  <si>
    <t>CHHIN</t>
  </si>
  <si>
    <t>096 559 649 6</t>
  </si>
  <si>
    <t>28209181653986គ</t>
  </si>
  <si>
    <t>110088940</t>
  </si>
  <si>
    <t>KHATH</t>
  </si>
  <si>
    <t>088 527 416 9</t>
  </si>
  <si>
    <t>28711160400903ញ</t>
  </si>
  <si>
    <t>110378489</t>
  </si>
  <si>
    <t>ស៊ឹង</t>
  </si>
  <si>
    <t>SOEUNG</t>
  </si>
  <si>
    <t>096 916 506 3</t>
  </si>
  <si>
    <t>28411181877673ឡ</t>
  </si>
  <si>
    <t>110597034</t>
  </si>
  <si>
    <t>096 594 611 5</t>
  </si>
  <si>
    <t>19911192241853ភ</t>
  </si>
  <si>
    <t>100967789</t>
  </si>
  <si>
    <t>មាំងគុន</t>
  </si>
  <si>
    <t>MAINGKUN</t>
  </si>
  <si>
    <t>093 451 232</t>
  </si>
  <si>
    <t>28610160374761ន</t>
  </si>
  <si>
    <t>130119912</t>
  </si>
  <si>
    <t>ចាន្នី</t>
  </si>
  <si>
    <t>DEARB</t>
  </si>
  <si>
    <t>CHANY</t>
  </si>
  <si>
    <t>097 296 157 6</t>
  </si>
  <si>
    <t>100812686</t>
  </si>
  <si>
    <t>AUN</t>
  </si>
  <si>
    <t>097 833 196 0</t>
  </si>
  <si>
    <t>29205181386736វ</t>
  </si>
  <si>
    <t>130120947</t>
  </si>
  <si>
    <t>ចំអង</t>
  </si>
  <si>
    <t>HOUN</t>
  </si>
  <si>
    <t>CHAM ONG</t>
  </si>
  <si>
    <t>B4</t>
  </si>
  <si>
    <t>29411160399461ភ</t>
  </si>
  <si>
    <t>100726840</t>
  </si>
  <si>
    <t>ចុន</t>
  </si>
  <si>
    <t>CHON</t>
  </si>
  <si>
    <t>096 443 810 3</t>
  </si>
  <si>
    <t>28012160502264ឆ</t>
  </si>
  <si>
    <t>090654417</t>
  </si>
  <si>
    <t>កែវភីរម្យ</t>
  </si>
  <si>
    <t>KEOPHYROM</t>
  </si>
  <si>
    <t>097 660 635 1</t>
  </si>
  <si>
    <t>29510160393269ភ</t>
  </si>
  <si>
    <t>130193177</t>
  </si>
  <si>
    <t>ចែម</t>
  </si>
  <si>
    <t>JAM</t>
  </si>
  <si>
    <t>089 396 322</t>
  </si>
  <si>
    <t>2851016-0393754ផ</t>
  </si>
  <si>
    <t>010 291 521</t>
  </si>
  <si>
    <t>27911170964611ព</t>
  </si>
  <si>
    <t>016 885 619</t>
  </si>
  <si>
    <t>093 853 218</t>
  </si>
  <si>
    <t>27911192240826ជ</t>
  </si>
  <si>
    <t>030927231</t>
  </si>
  <si>
    <t>OM</t>
  </si>
  <si>
    <t>097 415 278 0</t>
  </si>
  <si>
    <t>27402191999371ឡ</t>
  </si>
  <si>
    <t>110322507</t>
  </si>
  <si>
    <t>តន់</t>
  </si>
  <si>
    <t>SAROEM</t>
  </si>
  <si>
    <t>B3</t>
  </si>
  <si>
    <t>098 304 091</t>
  </si>
  <si>
    <t>29711192247558ហ</t>
  </si>
  <si>
    <t>101351410</t>
  </si>
  <si>
    <t>ដុច</t>
  </si>
  <si>
    <t>ដារុន</t>
  </si>
  <si>
    <t>DOCH</t>
  </si>
  <si>
    <t>DARUN</t>
  </si>
  <si>
    <t>097 430 568 2</t>
  </si>
  <si>
    <t>26201191973769ហ</t>
  </si>
  <si>
    <t>130170607</t>
  </si>
  <si>
    <t>តង់</t>
  </si>
  <si>
    <t>28009181672253ផ</t>
  </si>
  <si>
    <t>180801893</t>
  </si>
  <si>
    <t>097 345 382 8</t>
  </si>
  <si>
    <t>ភូមិ 05សងា្កត់ 04 ក្រុងព្រះសីហនុ ខេត្តព្រះសីហនុ</t>
  </si>
  <si>
    <t>29001160027832ឈ</t>
  </si>
  <si>
    <t>050853314</t>
  </si>
  <si>
    <t>ភ័ស</t>
  </si>
  <si>
    <t>PHRS</t>
  </si>
  <si>
    <t>A5</t>
  </si>
  <si>
    <t>SEWER</t>
  </si>
  <si>
    <t>097 649 446 0</t>
  </si>
  <si>
    <t>28211192247226ថ</t>
  </si>
  <si>
    <t>150720563</t>
  </si>
  <si>
    <t>G7</t>
  </si>
  <si>
    <t>096 631 506 1</t>
  </si>
  <si>
    <t>ភូមិ 01សងា្កត់ 01 ក្រុងព្រះសីហនុ ខេត្តព្រះសីហនុ</t>
  </si>
  <si>
    <t>PHIN</t>
  </si>
  <si>
    <t>096 402 452 4</t>
  </si>
  <si>
    <t>ភូមិ 02សងា្កត់ 03 ក្រុងព្រះសីហនុ ខេត្តព្រះសីហនុ</t>
  </si>
  <si>
    <t>28412181925372ព</t>
  </si>
  <si>
    <t>110650537</t>
  </si>
  <si>
    <t>ទៀង</t>
  </si>
  <si>
    <t>ផាណា</t>
  </si>
  <si>
    <t>TIENG</t>
  </si>
  <si>
    <t>PHANA</t>
  </si>
  <si>
    <t>088 610 842 4</t>
  </si>
  <si>
    <t>28510160398339យ</t>
  </si>
  <si>
    <t>130175124</t>
  </si>
  <si>
    <t>ណែម</t>
  </si>
  <si>
    <t>NEM</t>
  </si>
  <si>
    <t>SARY</t>
  </si>
  <si>
    <t>016 347 954</t>
  </si>
  <si>
    <t>ភូមិ 03សងា្កត់ 01 ក្រុងព្រះសីហនុ ខេត្តព្រះសីហនុ</t>
  </si>
  <si>
    <t>19211192236388ភ</t>
  </si>
  <si>
    <t>130175198</t>
  </si>
  <si>
    <t>នូវ</t>
  </si>
  <si>
    <t>ចាន់សុភា</t>
  </si>
  <si>
    <t>CHANSOPHEA</t>
  </si>
  <si>
    <t>081 724 341</t>
  </si>
  <si>
    <t>ភូមិ 01សងា្កត់ 04 ក្រុងព្រះសីហនុ ខេត្តព្រះសីហនុ</t>
  </si>
  <si>
    <t>19510160384690ប</t>
  </si>
  <si>
    <t>130211972</t>
  </si>
  <si>
    <t>ដាវុទ្ធា</t>
  </si>
  <si>
    <t>DAVUTHEA</t>
  </si>
  <si>
    <t>Packing Garment</t>
  </si>
  <si>
    <t>016 881 241</t>
  </si>
  <si>
    <t>20005192053317ច</t>
  </si>
  <si>
    <t>130225716</t>
  </si>
  <si>
    <t>ឃ្លី</t>
  </si>
  <si>
    <t>KLEY</t>
  </si>
  <si>
    <t>SORYYA</t>
  </si>
  <si>
    <t>G4</t>
  </si>
  <si>
    <t>096 883 577 0</t>
  </si>
  <si>
    <t>28207170825165ផ</t>
  </si>
  <si>
    <t>130178463</t>
  </si>
  <si>
    <t>KOA</t>
  </si>
  <si>
    <t>TRAINING</t>
  </si>
  <si>
    <t>070 951 342</t>
  </si>
  <si>
    <t>ភូមិ 04សងា្កត់ 04 ក្រុងព្រះសីហនុ ខេត្តព្រះសីហនុ</t>
  </si>
  <si>
    <t>28307170835380b</t>
  </si>
  <si>
    <t>130207245</t>
  </si>
  <si>
    <t>កេត</t>
  </si>
  <si>
    <t>KHOUERN</t>
  </si>
  <si>
    <t>093 864 146</t>
  </si>
  <si>
    <t>27811160400462ញ</t>
  </si>
  <si>
    <t>096 751 382 9</t>
  </si>
  <si>
    <t>ភូមិ 02សងា្កត់ 04 ក្រុងព្រះសីហនុ ខេត្តព្រះសីហនុ</t>
  </si>
  <si>
    <t>130196903</t>
  </si>
  <si>
    <t>នុត</t>
  </si>
  <si>
    <t>សាមុល</t>
  </si>
  <si>
    <t>NUT</t>
  </si>
  <si>
    <t>SAMOL</t>
  </si>
  <si>
    <t>087 855 186</t>
  </si>
  <si>
    <t>28711192237486វ</t>
  </si>
  <si>
    <t>130152204</t>
  </si>
  <si>
    <t>គឹមសេង</t>
  </si>
  <si>
    <t>SAO</t>
  </si>
  <si>
    <t>KIMSENG</t>
  </si>
  <si>
    <t>SAMPLE</t>
  </si>
  <si>
    <t>015 545 477</t>
  </si>
  <si>
    <t>មន្ត្រីកាំកុងត្រូល</t>
  </si>
  <si>
    <t>ភូមិ 03សងា្កត់ 02 ក្រុងព្រះសីហនុ ខេត្តព្រះសីហនុ</t>
  </si>
  <si>
    <t>ឡាវ</t>
  </si>
  <si>
    <t>ប្តីឈឺគ្មានអ្នកមើល</t>
  </si>
  <si>
    <t>096 331 812 9</t>
  </si>
  <si>
    <t>មេការសំណង់</t>
  </si>
  <si>
    <t>090505527</t>
  </si>
  <si>
    <t>BOU</t>
  </si>
  <si>
    <t>097 952 411 4</t>
  </si>
  <si>
    <t>051139227</t>
  </si>
  <si>
    <t>សាវ៉េន</t>
  </si>
  <si>
    <t>SAVEN</t>
  </si>
  <si>
    <t>016​ 504 739</t>
  </si>
  <si>
    <t>29010160390426ដ</t>
  </si>
  <si>
    <t>130090142</t>
  </si>
  <si>
    <t>ឈី</t>
  </si>
  <si>
    <t>CHHAN</t>
  </si>
  <si>
    <t>CHHY</t>
  </si>
  <si>
    <t>បើកអាវ</t>
  </si>
  <si>
    <t>096 947 009 7</t>
  </si>
  <si>
    <t>28411160399989ង</t>
  </si>
  <si>
    <t>130171883</t>
  </si>
  <si>
    <t>SAR</t>
  </si>
  <si>
    <t>010 908 478</t>
  </si>
  <si>
    <t>28603170680404ថ</t>
  </si>
  <si>
    <t>02164318</t>
  </si>
  <si>
    <t>087 270 007</t>
  </si>
  <si>
    <t>29412160501451ឈ</t>
  </si>
  <si>
    <t>110498377</t>
  </si>
  <si>
    <t>ស្រីបូ</t>
  </si>
  <si>
    <t>SREYBO</t>
  </si>
  <si>
    <t>086 590 718</t>
  </si>
  <si>
    <t>28401170562031ជ</t>
  </si>
  <si>
    <t>030497623</t>
  </si>
  <si>
    <t>086 735 770</t>
  </si>
  <si>
    <t>27910160390104ដ</t>
  </si>
  <si>
    <t>130179560</t>
  </si>
  <si>
    <t>THOU</t>
  </si>
  <si>
    <t>096 275 139 6</t>
  </si>
  <si>
    <t>ភូមិ 01សងា្កត់ 03 ក្រុងព្រះសីហនុ ខេត្តព្រះសីហនុ</t>
  </si>
  <si>
    <t>29211160400868ត</t>
  </si>
  <si>
    <t>130185504</t>
  </si>
  <si>
    <t>070 826 462</t>
  </si>
  <si>
    <t>29111160400508ច</t>
  </si>
  <si>
    <t>100591570</t>
  </si>
  <si>
    <t>088 368 932 6</t>
  </si>
  <si>
    <t>27510160389553ព</t>
  </si>
  <si>
    <t>130050135</t>
  </si>
  <si>
    <t>097 576 178 5</t>
  </si>
  <si>
    <t>ចាង</t>
  </si>
  <si>
    <t>ពុធថន</t>
  </si>
  <si>
    <t>096 592 421 3</t>
  </si>
  <si>
    <t>28010160389014ដ</t>
  </si>
  <si>
    <t>130174180</t>
  </si>
  <si>
    <t>ចិត្រ</t>
  </si>
  <si>
    <t>093 918 060</t>
  </si>
  <si>
    <t>28202181278839វ</t>
  </si>
  <si>
    <t>090143521</t>
  </si>
  <si>
    <t>ថែ</t>
  </si>
  <si>
    <t>សារ៉ែន</t>
  </si>
  <si>
    <t>THE</t>
  </si>
  <si>
    <t>SAREN</t>
  </si>
  <si>
    <t>088 724 381 4</t>
  </si>
  <si>
    <t>ភូមិ 02សងា្កត់ 01 ក្រុងព្រះសីហនុ ខេត្តព្រះសីហនុ</t>
  </si>
  <si>
    <t>090608850</t>
  </si>
  <si>
    <t>081 539 257</t>
  </si>
  <si>
    <t>CUTTING</t>
  </si>
  <si>
    <t>068 909 734</t>
  </si>
  <si>
    <t>សងា្កត់ 04 ក្រុងព្រះសីហនុ ខេត្តព្រះសីហនុ</t>
  </si>
  <si>
    <t>250084613</t>
  </si>
  <si>
    <t>KHEAV</t>
  </si>
  <si>
    <t>071 292 969 0</t>
  </si>
  <si>
    <t>ភូមិ 03សងា្កត់ 03 ក្រុងព្រះសីហនុ ខេត្តព្រះសីហនុ</t>
  </si>
  <si>
    <t>27810192215838ម</t>
  </si>
  <si>
    <t>170010864</t>
  </si>
  <si>
    <t>រឿង</t>
  </si>
  <si>
    <t>យ៉ារ៉ាន់</t>
  </si>
  <si>
    <t>ROEURNG</t>
  </si>
  <si>
    <t>YARANN</t>
  </si>
  <si>
    <t>097 900 439 2</t>
  </si>
  <si>
    <t>1105593320</t>
  </si>
  <si>
    <t>ឌន</t>
  </si>
  <si>
    <t>សុភ័ក្រ</t>
  </si>
  <si>
    <t>DORN</t>
  </si>
  <si>
    <t>015 943 636</t>
  </si>
  <si>
    <t xml:space="preserve"> ក្រុងព្រះសីហនុ ខេត្តព្រះសីហនុ</t>
  </si>
  <si>
    <t>28710160386581ភ</t>
  </si>
  <si>
    <t>130174373</t>
  </si>
  <si>
    <t>ញិប</t>
  </si>
  <si>
    <t>ចាន់ដេត</t>
  </si>
  <si>
    <t>NHIB</t>
  </si>
  <si>
    <t>CHANDET</t>
  </si>
  <si>
    <t>081 401 331</t>
  </si>
  <si>
    <t>19904181368293ឡ</t>
  </si>
  <si>
    <t>051560489</t>
  </si>
  <si>
    <t>យឺន</t>
  </si>
  <si>
    <t>YEUN</t>
  </si>
  <si>
    <t>SOM NANG</t>
  </si>
  <si>
    <t>QC Garment</t>
  </si>
  <si>
    <t>097 814 147 4</t>
  </si>
  <si>
    <t>19611192253525ន</t>
  </si>
  <si>
    <t>061727803</t>
  </si>
  <si>
    <t>អ៊ូជ</t>
  </si>
  <si>
    <t>រត្ថា</t>
  </si>
  <si>
    <t>OUCH</t>
  </si>
  <si>
    <t>ROTHA</t>
  </si>
  <si>
    <t>097 792 701 6</t>
  </si>
  <si>
    <t>19511192253517ន</t>
  </si>
  <si>
    <t>062235825</t>
  </si>
  <si>
    <t>LAI</t>
  </si>
  <si>
    <t>CHANTHORN</t>
  </si>
  <si>
    <t>097 647 523 4</t>
  </si>
  <si>
    <t>28204170732498ម</t>
  </si>
  <si>
    <t>130226736</t>
  </si>
  <si>
    <t>086 912 741</t>
  </si>
  <si>
    <t>051011357</t>
  </si>
  <si>
    <t>ម៉ុត</t>
  </si>
  <si>
    <t>MUOT</t>
  </si>
  <si>
    <t>088 834 252 8</t>
  </si>
  <si>
    <t>29511192254243ទ</t>
  </si>
  <si>
    <t>061773890</t>
  </si>
  <si>
    <t>ជាតិ</t>
  </si>
  <si>
    <t>CHEAT</t>
  </si>
  <si>
    <t>088 402 806 9</t>
  </si>
  <si>
    <t>096 993 255 4</t>
  </si>
  <si>
    <t>28703170680079យ</t>
  </si>
  <si>
    <t>062039859</t>
  </si>
  <si>
    <t>ស៊ាងហ៊ីម</t>
  </si>
  <si>
    <t>SEANGHIM</t>
  </si>
  <si>
    <t>016 366 974</t>
  </si>
  <si>
    <t>28906160116854ម</t>
  </si>
  <si>
    <t>062148094</t>
  </si>
  <si>
    <t>THIDA</t>
  </si>
  <si>
    <t>071 646 622 7</t>
  </si>
  <si>
    <t>28710160390326ត</t>
  </si>
  <si>
    <t>110450649</t>
  </si>
  <si>
    <t>BO</t>
  </si>
  <si>
    <t>LAKCNA</t>
  </si>
  <si>
    <t>Training</t>
  </si>
  <si>
    <t>29910192202512ឌ</t>
  </si>
  <si>
    <t>080083098</t>
  </si>
  <si>
    <t>រ៉ានី</t>
  </si>
  <si>
    <t>RANY</t>
  </si>
  <si>
    <t>ខេត្តស្ទឹងត្រែង</t>
  </si>
  <si>
    <t>097 808 197 6</t>
  </si>
  <si>
    <t>19509181692580ឡ</t>
  </si>
  <si>
    <t>110430181</t>
  </si>
  <si>
    <t>ស៊ិម</t>
  </si>
  <si>
    <t>ឡងឌី</t>
  </si>
  <si>
    <t>LUNDY</t>
  </si>
  <si>
    <t>096 545 726 9</t>
  </si>
  <si>
    <t>19312171048995ល</t>
  </si>
  <si>
    <t>MAKARA</t>
  </si>
  <si>
    <t>096 590 063 4</t>
  </si>
  <si>
    <t>29803170676794ឃ</t>
  </si>
  <si>
    <t>110629961</t>
  </si>
  <si>
    <t>015 914 920</t>
  </si>
  <si>
    <t>18910181729812យ</t>
  </si>
  <si>
    <t>020933341</t>
  </si>
  <si>
    <t>096 720 982</t>
  </si>
  <si>
    <t>28710192209763ម</t>
  </si>
  <si>
    <t>200085093</t>
  </si>
  <si>
    <t>ខេត្តឩត្តរមានជ័យ</t>
  </si>
  <si>
    <t>097 560 052 1</t>
  </si>
  <si>
    <t>ណាឈឺ</t>
  </si>
  <si>
    <t>096 573 965 9</t>
  </si>
  <si>
    <t>19710192213106ដ</t>
  </si>
  <si>
    <t>171090803</t>
  </si>
  <si>
    <t>ប៉ោក</t>
  </si>
  <si>
    <t>PORK</t>
  </si>
  <si>
    <t>19010160393301ង</t>
  </si>
  <si>
    <t>ម៉ុស</t>
  </si>
  <si>
    <t>ប៊ុនធី</t>
  </si>
  <si>
    <t>MOS</t>
  </si>
  <si>
    <t>BUNTHY</t>
  </si>
  <si>
    <t>070 683 773</t>
  </si>
  <si>
    <t>100588268</t>
  </si>
  <si>
    <t>វណ្ណដា</t>
  </si>
  <si>
    <t>VANDA</t>
  </si>
  <si>
    <t>090 254 784</t>
  </si>
  <si>
    <t>19210192202529ឌ</t>
  </si>
  <si>
    <t>170785784</t>
  </si>
  <si>
    <t>ថាវីន</t>
  </si>
  <si>
    <t>THAVIN</t>
  </si>
  <si>
    <t>27710192214322ដ</t>
  </si>
  <si>
    <t>130003669</t>
  </si>
  <si>
    <t>CHAN THAN</t>
  </si>
  <si>
    <t>016 922 439</t>
  </si>
  <si>
    <t>28201170565936ព</t>
  </si>
  <si>
    <t>089 210 584</t>
  </si>
  <si>
    <t>29811192253430ទ</t>
  </si>
  <si>
    <t>100831198</t>
  </si>
  <si>
    <t>អង់</t>
  </si>
  <si>
    <t>រង្សី</t>
  </si>
  <si>
    <t>RANGSY</t>
  </si>
  <si>
    <t>088 877 861 3</t>
  </si>
  <si>
    <t>29410160388116ទ</t>
  </si>
  <si>
    <t>110430113</t>
  </si>
  <si>
    <t>គឿន</t>
  </si>
  <si>
    <t>KOEURN</t>
  </si>
  <si>
    <t>088 984 246 1</t>
  </si>
  <si>
    <t>29210160392042ឈ</t>
  </si>
  <si>
    <t>110343774</t>
  </si>
  <si>
    <t>071 739 000 6</t>
  </si>
  <si>
    <t>1941019-2216325-ឍ</t>
  </si>
  <si>
    <t>110659226</t>
  </si>
  <si>
    <t>ឆិន</t>
  </si>
  <si>
    <t>010 353 705</t>
  </si>
  <si>
    <t>កាស៊ីណូ</t>
  </si>
  <si>
    <t>1841019-2216363-ណ</t>
  </si>
  <si>
    <t>130211391</t>
  </si>
  <si>
    <t>ជ័យ</t>
  </si>
  <si>
    <t>CHEY</t>
  </si>
  <si>
    <t>BUNTHOUEN</t>
  </si>
  <si>
    <t>010 353 743</t>
  </si>
  <si>
    <t>2941018-1856976-ខ</t>
  </si>
  <si>
    <t>100644877</t>
  </si>
  <si>
    <t>010 774 528</t>
  </si>
  <si>
    <t>Phum05, Somgkat 04, Sihanouk vill</t>
  </si>
  <si>
    <t>18210160384764ធ</t>
  </si>
  <si>
    <t>Assistant of Warehouse Manager</t>
  </si>
  <si>
    <t>016 431 888</t>
  </si>
  <si>
    <t>18110160384805ឍ</t>
  </si>
  <si>
    <t>OUM</t>
  </si>
  <si>
    <t>Mechanic in line</t>
  </si>
  <si>
    <t>Group11, Phum2, Sangkat1, Khan Mittapheap, Sihanouk ville</t>
  </si>
  <si>
    <t>Salary Report 2020</t>
  </si>
  <si>
    <t>Driver</t>
  </si>
  <si>
    <t>Dept</t>
    <phoneticPr fontId="8" type="noConversion"/>
  </si>
  <si>
    <t>no. ppl</t>
    <phoneticPr fontId="8" type="noConversion"/>
  </si>
  <si>
    <t>increase</t>
    <phoneticPr fontId="8" type="noConversion"/>
  </si>
  <si>
    <t>Loading</t>
    <phoneticPr fontId="8" type="noConversion"/>
  </si>
  <si>
    <t>Trim</t>
    <phoneticPr fontId="8" type="noConversion"/>
  </si>
  <si>
    <t>Cutting</t>
    <phoneticPr fontId="8" type="noConversion"/>
  </si>
  <si>
    <t>Mechanic</t>
    <phoneticPr fontId="8" type="noConversion"/>
  </si>
  <si>
    <t>Production</t>
    <phoneticPr fontId="8" type="noConversion"/>
  </si>
  <si>
    <t>ratio</t>
    <phoneticPr fontId="8" type="noConversion"/>
  </si>
  <si>
    <t>avg.平均薪</t>
    <phoneticPr fontId="8" type="noConversion"/>
  </si>
  <si>
    <t>salary 底薪調整</t>
    <phoneticPr fontId="8" type="noConversion"/>
  </si>
  <si>
    <t>Salary Report 2021</t>
  </si>
  <si>
    <t>SOK NHANH</t>
  </si>
  <si>
    <t>KHEA</t>
  </si>
  <si>
    <t>KHEY</t>
  </si>
  <si>
    <t>NUTH</t>
  </si>
  <si>
    <t>MASA</t>
  </si>
  <si>
    <t>SREANG</t>
  </si>
  <si>
    <t>DEU</t>
  </si>
  <si>
    <t>SREYSAR</t>
  </si>
  <si>
    <t>SARAN</t>
  </si>
  <si>
    <t>NOEU</t>
  </si>
  <si>
    <t>SROEUN</t>
  </si>
  <si>
    <t>MOR</t>
  </si>
  <si>
    <t>EANG</t>
  </si>
  <si>
    <t>SAMNANG</t>
  </si>
  <si>
    <t>CHANTHOEURN</t>
  </si>
  <si>
    <t>LONG</t>
  </si>
  <si>
    <t>SOKNIM</t>
  </si>
  <si>
    <t>KAK</t>
  </si>
  <si>
    <t>BOEUN</t>
  </si>
  <si>
    <t>SAMPHOIS</t>
  </si>
  <si>
    <t>TEL</t>
  </si>
  <si>
    <t>SREYPICH</t>
  </si>
  <si>
    <t>TOEK</t>
  </si>
  <si>
    <t>NGORL</t>
  </si>
  <si>
    <t>SOMALY</t>
  </si>
  <si>
    <t>MEAK</t>
  </si>
  <si>
    <t>CHANREN</t>
  </si>
  <si>
    <t>SAVOEUN</t>
  </si>
  <si>
    <t>SINATH</t>
  </si>
  <si>
    <t>PHIRA</t>
  </si>
  <si>
    <t>TOCH</t>
  </si>
  <si>
    <t>SOKNANG</t>
  </si>
  <si>
    <t>KUON</t>
  </si>
  <si>
    <t>KUNGKEA</t>
  </si>
  <si>
    <t>PHOUNG</t>
  </si>
  <si>
    <t>NAIYEAN</t>
  </si>
  <si>
    <t>THUOK</t>
  </si>
  <si>
    <t>CHANTREA</t>
  </si>
  <si>
    <t>NONG</t>
  </si>
  <si>
    <t>SAM OUN</t>
  </si>
  <si>
    <t>SENATH</t>
  </si>
  <si>
    <t>OEURK</t>
  </si>
  <si>
    <t>SAMRITH</t>
  </si>
  <si>
    <t>CHHOEL</t>
  </si>
  <si>
    <t>DOUNG</t>
  </si>
  <si>
    <t>PHLONG</t>
  </si>
  <si>
    <t>SOKNAT</t>
  </si>
  <si>
    <t>SREYDA</t>
  </si>
  <si>
    <t xml:space="preserve">POEK </t>
  </si>
  <si>
    <t>MORN</t>
  </si>
  <si>
    <t>SREYMOUCH</t>
  </si>
  <si>
    <t>PROM</t>
  </si>
  <si>
    <t>CHANTHARY</t>
  </si>
  <si>
    <t>OEUY</t>
  </si>
  <si>
    <t>HOURT</t>
  </si>
  <si>
    <t>YA</t>
  </si>
  <si>
    <t>SIDETH</t>
  </si>
  <si>
    <t>SODANY</t>
  </si>
  <si>
    <t>SODA</t>
  </si>
  <si>
    <t>OET</t>
  </si>
  <si>
    <t>Line 11</t>
  </si>
  <si>
    <t>Leader Line 15</t>
  </si>
  <si>
    <t>Leader Line 3</t>
  </si>
  <si>
    <t>Assist.Line 17</t>
  </si>
  <si>
    <t>Leader Line 1</t>
  </si>
  <si>
    <t>Leader Line 21</t>
  </si>
  <si>
    <t>Leader Line 16</t>
  </si>
  <si>
    <t>Leader Line 17</t>
  </si>
  <si>
    <t>Leader Line 19</t>
  </si>
  <si>
    <t>Assist.Line 18</t>
  </si>
  <si>
    <t>Assist.Line 19</t>
  </si>
  <si>
    <t>Leader Line 2</t>
  </si>
  <si>
    <t>Leader Line 18</t>
  </si>
  <si>
    <t>Assist.Line 2</t>
  </si>
  <si>
    <t>Line9</t>
  </si>
  <si>
    <t>Leader Line 9</t>
  </si>
  <si>
    <t>Assist.Line 21</t>
  </si>
  <si>
    <t>Assist.Line 9</t>
  </si>
  <si>
    <t>Assist.Line 15</t>
  </si>
  <si>
    <t>Leader Line 8</t>
  </si>
  <si>
    <t>Assist.Line 8</t>
  </si>
  <si>
    <t>Warehouse Fabric</t>
  </si>
  <si>
    <t>Leader Packing   A</t>
  </si>
  <si>
    <t>Assist.Packing   A</t>
  </si>
  <si>
    <t>Leader Packing   B</t>
  </si>
  <si>
    <t xml:space="preserve">QC  </t>
  </si>
  <si>
    <t>部門</t>
    <phoneticPr fontId="7" type="noConversion"/>
  </si>
  <si>
    <t>SOKONG</t>
  </si>
  <si>
    <t>EAP</t>
  </si>
  <si>
    <t>SOPHAS</t>
  </si>
  <si>
    <t>PHANNY</t>
  </si>
  <si>
    <t>SASYHENG</t>
  </si>
  <si>
    <t>LENGCHENG</t>
  </si>
  <si>
    <t>Security</t>
  </si>
  <si>
    <t>NARIM</t>
  </si>
  <si>
    <t xml:space="preserve">CHAN </t>
  </si>
  <si>
    <t>YOUVAMONY</t>
  </si>
  <si>
    <t>SREI ON</t>
  </si>
  <si>
    <t>HIM</t>
  </si>
  <si>
    <t>SARIN</t>
  </si>
  <si>
    <t>YOEURN</t>
  </si>
  <si>
    <t>SONAI</t>
  </si>
  <si>
    <t>QC  A</t>
  </si>
  <si>
    <t>THEA</t>
  </si>
  <si>
    <t>Finish good</t>
  </si>
  <si>
    <t>Packing   A</t>
  </si>
  <si>
    <t>Packing   B</t>
  </si>
  <si>
    <t>Assist.Line 3</t>
  </si>
  <si>
    <t>Leader Line 6</t>
  </si>
  <si>
    <t>Assist.Line 6</t>
  </si>
  <si>
    <t>Assist.Line 20</t>
  </si>
  <si>
    <t>Line5</t>
  </si>
  <si>
    <t>Leader Line 5</t>
  </si>
  <si>
    <t>Assist.Line 5</t>
  </si>
  <si>
    <t>SARETH</t>
  </si>
  <si>
    <t>RANG</t>
  </si>
  <si>
    <t>TIEN</t>
  </si>
  <si>
    <t>OAK</t>
  </si>
  <si>
    <t>CHHUN ENG</t>
  </si>
  <si>
    <t>Leader Line 10</t>
  </si>
  <si>
    <t>Leader Line 11</t>
  </si>
  <si>
    <t>Assist.Line 11</t>
  </si>
  <si>
    <t>Adjust amount</t>
    <phoneticPr fontId="8" type="noConversion"/>
  </si>
  <si>
    <t>Adjust Date</t>
    <phoneticPr fontId="8" type="noConversion"/>
  </si>
  <si>
    <t>Evaluator</t>
    <phoneticPr fontId="8" type="noConversion"/>
  </si>
  <si>
    <t>With
Comment</t>
    <phoneticPr fontId="8" type="noConversion"/>
  </si>
  <si>
    <t>調動金額</t>
    <phoneticPr fontId="8" type="noConversion"/>
  </si>
  <si>
    <t>調動日期</t>
    <phoneticPr fontId="8" type="noConversion"/>
  </si>
  <si>
    <t>評核人</t>
    <phoneticPr fontId="8" type="noConversion"/>
  </si>
  <si>
    <t>2021總分</t>
  </si>
  <si>
    <t>意見</t>
    <phoneticPr fontId="8" type="noConversion"/>
  </si>
  <si>
    <t>調動金額</t>
    <phoneticPr fontId="8" type="noConversion"/>
  </si>
  <si>
    <t>語言</t>
    <phoneticPr fontId="8" type="noConversion"/>
  </si>
  <si>
    <r>
      <rPr>
        <sz val="9"/>
        <color rgb="FF7030A0"/>
        <rFont val="MingLiU"/>
        <family val="3"/>
        <charset val="136"/>
      </rPr>
      <t>房屋</t>
    </r>
    <r>
      <rPr>
        <sz val="9"/>
        <color rgb="FF7030A0"/>
        <rFont val="Arial"/>
        <family val="2"/>
      </rPr>
      <t>/</t>
    </r>
    <r>
      <rPr>
        <sz val="9"/>
        <color rgb="FF7030A0"/>
        <rFont val="MingLiU"/>
        <family val="3"/>
        <charset val="136"/>
      </rPr>
      <t>交通</t>
    </r>
  </si>
  <si>
    <r>
      <t>2021</t>
    </r>
    <r>
      <rPr>
        <b/>
        <sz val="8"/>
        <rFont val="MingLiU"/>
        <family val="3"/>
        <charset val="136"/>
      </rPr>
      <t>薪資總額</t>
    </r>
  </si>
  <si>
    <t>Paul</t>
  </si>
  <si>
    <t>ADMINISTRATION</t>
  </si>
  <si>
    <t>ផ្នែក</t>
  </si>
  <si>
    <t>TO</t>
  </si>
  <si>
    <t>NOU SOKVICHHIKA</t>
  </si>
  <si>
    <t>CHANVANCHHAY</t>
  </si>
  <si>
    <t>BUNNAT</t>
  </si>
  <si>
    <t>SELA</t>
  </si>
  <si>
    <t>KIMHONG</t>
  </si>
  <si>
    <t>HIEM</t>
  </si>
  <si>
    <t>LEANGHY</t>
  </si>
  <si>
    <t>NAO</t>
  </si>
  <si>
    <t>SREY EM</t>
  </si>
  <si>
    <t>DOI</t>
  </si>
  <si>
    <t>RYYAS</t>
  </si>
  <si>
    <t>SONG</t>
  </si>
  <si>
    <t>SOPHA</t>
  </si>
  <si>
    <t>SEONG</t>
  </si>
  <si>
    <t>KOL</t>
  </si>
  <si>
    <t>SREYPHEAP</t>
  </si>
  <si>
    <t>CHEM</t>
  </si>
  <si>
    <t>ឌឿក</t>
  </si>
  <si>
    <t>រ៉ាឆាន់</t>
  </si>
  <si>
    <t>SOPHORN</t>
  </si>
  <si>
    <t>LO</t>
  </si>
  <si>
    <t>SYNET</t>
  </si>
  <si>
    <t>EN</t>
  </si>
  <si>
    <t>TRY</t>
  </si>
  <si>
    <t>KHUNIENG</t>
  </si>
  <si>
    <t>ART</t>
  </si>
  <si>
    <t>SREY</t>
  </si>
  <si>
    <t>TET</t>
  </si>
  <si>
    <t>SREYKHLOENG</t>
  </si>
  <si>
    <t>VANG</t>
  </si>
  <si>
    <t>THAY</t>
  </si>
  <si>
    <t>PET</t>
  </si>
  <si>
    <t>SEY</t>
  </si>
  <si>
    <t>CHANBUKTHENG</t>
  </si>
  <si>
    <t>SREYNO</t>
  </si>
  <si>
    <t>CHANSOK</t>
  </si>
  <si>
    <t>LUN</t>
  </si>
  <si>
    <t>SREYTOCH</t>
  </si>
  <si>
    <t>BEAN</t>
  </si>
  <si>
    <t>NGOUN</t>
  </si>
  <si>
    <t>SREYMORK</t>
  </si>
  <si>
    <t xml:space="preserve">គីត </t>
  </si>
  <si>
    <t>សុគង់</t>
  </si>
  <si>
    <t>សារ៉ាន</t>
  </si>
  <si>
    <t>នឿ</t>
  </si>
  <si>
    <t>ស្រឿន</t>
  </si>
  <si>
    <t>ឃៀន</t>
  </si>
  <si>
    <t>ខុម</t>
  </si>
  <si>
    <t>ម</t>
  </si>
  <si>
    <t>យ៉ន</t>
  </si>
  <si>
    <t>សុខនីម</t>
  </si>
  <si>
    <t>ថូន</t>
  </si>
  <si>
    <t>កាក់</t>
  </si>
  <si>
    <t>សំភ័ស្ស</t>
  </si>
  <si>
    <t>ថាន</t>
  </si>
  <si>
    <t>តូ</t>
  </si>
  <si>
    <t>ទែល</t>
  </si>
  <si>
    <t>ឆាំ</t>
  </si>
  <si>
    <t>តឹក</t>
  </si>
  <si>
    <t>ស្រីរ័ត្ន</t>
  </si>
  <si>
    <t>ង៉ោល</t>
  </si>
  <si>
    <t>អ៊ាប</t>
  </si>
  <si>
    <t>សុភ័ស</t>
  </si>
  <si>
    <t>ចាន់រ៉ែន</t>
  </si>
  <si>
    <t>ភីរ៉ា</t>
  </si>
  <si>
    <t>តូច</t>
  </si>
  <si>
    <t>សុខណេង</t>
  </si>
  <si>
    <t>សាស៊ីហេង</t>
  </si>
  <si>
    <t>នូសុខវិច្ឆកា</t>
  </si>
  <si>
    <t>គួន</t>
  </si>
  <si>
    <t>គង្គា</t>
  </si>
  <si>
    <t>ណៃយ៉ាន</t>
  </si>
  <si>
    <t>ចាន់វ៉ាន់ឆៃ</t>
  </si>
  <si>
    <t>ចន្រ្ទា</t>
  </si>
  <si>
    <t>ណាវ</t>
  </si>
  <si>
    <t>ណុង</t>
  </si>
  <si>
    <t>ចន្ធា</t>
  </si>
  <si>
    <t>ស៊ន</t>
  </si>
  <si>
    <t>អឿក</t>
  </si>
  <si>
    <t>សំរិទ្ធិ</t>
  </si>
  <si>
    <t>ផ្លុង</t>
  </si>
  <si>
    <t>សុខណាត</t>
  </si>
  <si>
    <t>ស្រីដា</t>
  </si>
  <si>
    <t>ខី</t>
  </si>
  <si>
    <t xml:space="preserve">ប៉ោក </t>
  </si>
  <si>
    <t>ម៉ន</t>
  </si>
  <si>
    <t>នូត</t>
  </si>
  <si>
    <t>មេសា</t>
  </si>
  <si>
    <t>ចាន់ថារី</t>
  </si>
  <si>
    <t>អឿយ</t>
  </si>
  <si>
    <t>ស៊ីដេត</t>
  </si>
  <si>
    <t>សាម៉ុន</t>
  </si>
  <si>
    <t>សុដានី</t>
  </si>
  <si>
    <t>សុដា</t>
  </si>
  <si>
    <t>ឡេងចេង</t>
  </si>
  <si>
    <t>ស្រៀង</t>
  </si>
  <si>
    <t>ណារឺម</t>
  </si>
  <si>
    <t>អិត</t>
  </si>
  <si>
    <t>ប៊ុនណាត</t>
  </si>
  <si>
    <t>យូវ៉ាមុន្លី</t>
  </si>
  <si>
    <t>សិលា</t>
  </si>
  <si>
    <t>គីមហុង</t>
  </si>
  <si>
    <t>ហៀំំម</t>
  </si>
  <si>
    <t>លាងហ៊ី</t>
  </si>
  <si>
    <t>ស្រីឯម</t>
  </si>
  <si>
    <t>រីយ៉ាស់</t>
  </si>
  <si>
    <t>សុផា</t>
  </si>
  <si>
    <t>កុល</t>
  </si>
  <si>
    <t>សារ៉េត</t>
  </si>
  <si>
    <t>ស្រីភាព</t>
  </si>
  <si>
    <t>អោក</t>
  </si>
  <si>
    <t>ឈុនអេង</t>
  </si>
  <si>
    <t>ស៊ីណេត</t>
  </si>
  <si>
    <t>ឃុនលេង</t>
  </si>
  <si>
    <t>អ៊ាត</t>
  </si>
  <si>
    <t>ទិត្យ</t>
  </si>
  <si>
    <t>ញ៉ោន</t>
  </si>
  <si>
    <t>ស្រីខ្លឹង</t>
  </si>
  <si>
    <t>វុត</t>
  </si>
  <si>
    <t>វ៉ង</t>
  </si>
  <si>
    <t>ថាយ</t>
  </si>
  <si>
    <t>ចាន់ដារ៉ា</t>
  </si>
  <si>
    <t>ទៀន</t>
  </si>
  <si>
    <t>ច័ន្ទប៊ុកថេង</t>
  </si>
  <si>
    <t>ស្រីណូ</t>
  </si>
  <si>
    <t>ចាន់សុខ</t>
  </si>
  <si>
    <t>រ៉ាន</t>
  </si>
  <si>
    <t>លុន</t>
  </si>
  <si>
    <t>ផាន្នី</t>
  </si>
  <si>
    <t>ប៊ាន</t>
  </si>
  <si>
    <t>ស្រីម៉ក់</t>
  </si>
  <si>
    <t>Production</t>
  </si>
  <si>
    <t>Supervisor</t>
  </si>
  <si>
    <t xml:space="preserve"> Line3</t>
  </si>
  <si>
    <t xml:space="preserve"> Line19</t>
  </si>
  <si>
    <t xml:space="preserve"> Line8</t>
  </si>
  <si>
    <t>Line21</t>
  </si>
  <si>
    <t>Line17</t>
  </si>
  <si>
    <t>Line10</t>
  </si>
  <si>
    <t xml:space="preserve"> Line1</t>
  </si>
  <si>
    <t xml:space="preserve"> Line2</t>
  </si>
  <si>
    <t xml:space="preserve"> Nurse</t>
  </si>
  <si>
    <t xml:space="preserve"> Line15</t>
  </si>
  <si>
    <t>Line20</t>
  </si>
  <si>
    <t>Maiternance</t>
  </si>
  <si>
    <t xml:space="preserve"> Line18</t>
  </si>
  <si>
    <t xml:space="preserve"> Line6</t>
  </si>
  <si>
    <t>QC B</t>
  </si>
  <si>
    <t xml:space="preserve">Cook </t>
  </si>
  <si>
    <t>Export</t>
  </si>
  <si>
    <t>PC</t>
  </si>
  <si>
    <t>Leader.QC  A</t>
  </si>
  <si>
    <t>Leader</t>
  </si>
  <si>
    <t>Group</t>
  </si>
  <si>
    <t>ERP</t>
  </si>
  <si>
    <t>Complaince</t>
  </si>
  <si>
    <t>Leader Maiternance</t>
  </si>
  <si>
    <t>Assist. HR</t>
  </si>
  <si>
    <t>Assist.Cleaner</t>
  </si>
  <si>
    <r>
      <rPr>
        <b/>
        <sz val="8"/>
        <color indexed="10"/>
        <rFont val="Tahoma"/>
        <family val="2"/>
      </rPr>
      <t>2022</t>
    </r>
    <r>
      <rPr>
        <sz val="8"/>
        <rFont val="Tahoma"/>
        <family val="2"/>
        <charset val="134"/>
      </rPr>
      <t xml:space="preserve"> Total Marks</t>
    </r>
  </si>
  <si>
    <t>Salary Report 2022</t>
  </si>
  <si>
    <t>調動金額</t>
    <phoneticPr fontId="8" type="noConversion"/>
  </si>
  <si>
    <t>HR</t>
  </si>
  <si>
    <t>ម៉ម</t>
  </si>
  <si>
    <t>រត្ននី</t>
  </si>
  <si>
    <t>ROTNY</t>
  </si>
  <si>
    <t>Admin</t>
  </si>
  <si>
    <t>Ass. Admin</t>
  </si>
  <si>
    <t>Shipping</t>
  </si>
  <si>
    <t>Import</t>
  </si>
  <si>
    <t>ចាន់ម៉ាឡែន</t>
  </si>
  <si>
    <t>Chanmalen</t>
  </si>
  <si>
    <t>supervisor Line</t>
  </si>
  <si>
    <t>Sewing operator</t>
  </si>
  <si>
    <t>SL sewer</t>
  </si>
  <si>
    <t>accessory assistant</t>
  </si>
  <si>
    <t>Cutter</t>
  </si>
  <si>
    <t>Inspector</t>
  </si>
  <si>
    <t>Leader warehouse</t>
  </si>
  <si>
    <t>Marker technicial</t>
  </si>
  <si>
    <t>assistant</t>
  </si>
  <si>
    <t>PC assistant</t>
  </si>
  <si>
    <t>spreader</t>
  </si>
  <si>
    <t>Loader</t>
  </si>
  <si>
    <t>Packer</t>
  </si>
  <si>
    <t>PC clerk</t>
  </si>
  <si>
    <t>mechanic</t>
  </si>
  <si>
    <t>IT specialist</t>
  </si>
  <si>
    <t>helper</t>
  </si>
  <si>
    <t xml:space="preserve"> Line5</t>
  </si>
  <si>
    <t>Line6</t>
  </si>
  <si>
    <t>Leader Accessory</t>
  </si>
  <si>
    <t>Assist. Warehouse</t>
  </si>
  <si>
    <t>DOEUK</t>
  </si>
  <si>
    <t>RACHHAN</t>
  </si>
  <si>
    <t>អៀវ</t>
  </si>
  <si>
    <t>វិច្ឆ័យ</t>
  </si>
  <si>
    <t>EAV</t>
  </si>
  <si>
    <t>បេត</t>
  </si>
  <si>
    <t>ស៊ីនឿន</t>
  </si>
  <si>
    <t>BET</t>
  </si>
  <si>
    <t>SINOEURN</t>
  </si>
  <si>
    <t>ឆែន</t>
  </si>
  <si>
    <t>ប៊ុណ្ណា</t>
  </si>
  <si>
    <t>CHHEN</t>
  </si>
  <si>
    <t>Security Captain</t>
  </si>
  <si>
    <t>សិទ្ធ</t>
  </si>
  <si>
    <t>VOEUN</t>
  </si>
  <si>
    <t>ស៊ិន​</t>
  </si>
  <si>
    <t>សាវ៉ើន</t>
  </si>
  <si>
    <t>ខេមរ៉ា</t>
  </si>
  <si>
    <t>KHEMRA</t>
  </si>
  <si>
    <t>VAIN</t>
  </si>
  <si>
    <t>HEA</t>
  </si>
  <si>
    <t>TONGHEANG</t>
  </si>
  <si>
    <t>វន្លី</t>
  </si>
  <si>
    <t>VET</t>
  </si>
  <si>
    <t>Line18</t>
  </si>
  <si>
    <t>CHNGRIT</t>
  </si>
  <si>
    <t>SRENG</t>
  </si>
  <si>
    <t>SREYSOR</t>
  </si>
  <si>
    <t>ច្រឹង</t>
  </si>
  <si>
    <t>ស្រីភ័ស</t>
  </si>
  <si>
    <t>CHOENG</t>
  </si>
  <si>
    <t>SREYPHOS</t>
  </si>
  <si>
    <t>Line15</t>
  </si>
  <si>
    <t>Line1</t>
  </si>
  <si>
    <t>Line3</t>
  </si>
  <si>
    <t>សួង</t>
  </si>
  <si>
    <t>SUONG</t>
  </si>
  <si>
    <t>Line19</t>
  </si>
  <si>
    <t>ស៊ង</t>
  </si>
  <si>
    <t>SORNG</t>
  </si>
  <si>
    <t>VANNA</t>
  </si>
  <si>
    <t>ឡៃហេង</t>
  </si>
  <si>
    <t>LAYHENG</t>
  </si>
  <si>
    <t>ស្រីកែវ</t>
  </si>
  <si>
    <t>ស្រីវីន</t>
  </si>
  <si>
    <t>SREYVIN</t>
  </si>
  <si>
    <t>សាលីន</t>
  </si>
  <si>
    <t>SALIN</t>
  </si>
  <si>
    <t>SREYNOUN</t>
  </si>
  <si>
    <t>ម៉ាក់</t>
  </si>
  <si>
    <t>ស៊ានម៉ី</t>
  </si>
  <si>
    <t>SEANGMEY</t>
  </si>
  <si>
    <t>គឹមស៊ីវ</t>
  </si>
  <si>
    <t>KOEMSIV</t>
  </si>
  <si>
    <t>ដាវ៉ាន់ផារី</t>
  </si>
  <si>
    <t>DAVANTHARY</t>
  </si>
  <si>
    <t>ជ្រៀន</t>
  </si>
  <si>
    <t>CHROEUN</t>
  </si>
  <si>
    <t>សុខឡៅ</t>
  </si>
  <si>
    <t>SOKLAO</t>
  </si>
  <si>
    <t>ស៊ុត</t>
  </si>
  <si>
    <t>សុផន</t>
  </si>
  <si>
    <t>ផូន</t>
  </si>
  <si>
    <t>អេន</t>
  </si>
  <si>
    <t>PHAUN</t>
  </si>
  <si>
    <t>ម៉ិក</t>
  </si>
  <si>
    <t>MIK</t>
  </si>
  <si>
    <t>SREY KEO</t>
  </si>
  <si>
    <t>មិថុនា</t>
  </si>
  <si>
    <t>MITHONA</t>
  </si>
  <si>
    <t>ព្រែក</t>
  </si>
  <si>
    <t>PREK</t>
  </si>
  <si>
    <t>កូឡាប</t>
  </si>
  <si>
    <t>KOLAB</t>
  </si>
  <si>
    <t>ចន្លា</t>
  </si>
  <si>
    <t>Leader MaChine on Line</t>
  </si>
  <si>
    <t>Leader Packing B</t>
  </si>
  <si>
    <t>Assist.Packing</t>
  </si>
  <si>
    <t>Leader Q C A</t>
  </si>
  <si>
    <t>Leader Packing A</t>
  </si>
  <si>
    <t>Leader W H Loading</t>
  </si>
  <si>
    <t xml:space="preserve">Leader Cutting </t>
  </si>
  <si>
    <t>Assist.QC  B</t>
  </si>
  <si>
    <t>Leader Q C B</t>
  </si>
  <si>
    <t>Leader Service on Line</t>
  </si>
  <si>
    <t>Assist.Sample</t>
  </si>
  <si>
    <t>Leader W H Trim</t>
  </si>
  <si>
    <t>Line 17</t>
  </si>
  <si>
    <t>Line 1</t>
  </si>
  <si>
    <t>Line 10</t>
  </si>
  <si>
    <t>Weahours</t>
  </si>
  <si>
    <t xml:space="preserve"> Line 9</t>
  </si>
  <si>
    <t xml:space="preserve"> Line 21</t>
  </si>
  <si>
    <t xml:space="preserve"> Line 18</t>
  </si>
  <si>
    <t xml:space="preserve"> Line 20</t>
  </si>
  <si>
    <t>Service on Line</t>
  </si>
  <si>
    <t>Line 9</t>
  </si>
  <si>
    <t>Line 21</t>
  </si>
  <si>
    <t>Line 8</t>
  </si>
  <si>
    <t xml:space="preserve"> Line 15</t>
  </si>
  <si>
    <t>Line 5</t>
  </si>
  <si>
    <t>Line 6</t>
  </si>
  <si>
    <t xml:space="preserve">Warehouse </t>
  </si>
  <si>
    <t xml:space="preserve"> Machine</t>
  </si>
  <si>
    <t>調動日期</t>
    <phoneticPr fontId="8" type="noConversion"/>
  </si>
  <si>
    <t>評核人</t>
    <phoneticPr fontId="8" type="noConversion"/>
  </si>
  <si>
    <t>意見</t>
    <phoneticPr fontId="8" type="noConversion"/>
  </si>
  <si>
    <r>
      <t>2022</t>
    </r>
    <r>
      <rPr>
        <b/>
        <sz val="8"/>
        <rFont val="MingLiU"/>
        <family val="3"/>
        <charset val="136"/>
      </rPr>
      <t>薪資總額</t>
    </r>
  </si>
  <si>
    <t>Adjust amount</t>
    <phoneticPr fontId="8" type="noConversion"/>
  </si>
  <si>
    <t>Adjust Date</t>
    <phoneticPr fontId="8" type="noConversion"/>
  </si>
  <si>
    <t>Evaluator</t>
    <phoneticPr fontId="8" type="noConversion"/>
  </si>
  <si>
    <t>With
Comment</t>
    <phoneticPr fontId="8" type="noConversion"/>
  </si>
  <si>
    <t>調動金額</t>
    <phoneticPr fontId="8" type="noConversion"/>
  </si>
  <si>
    <t>底薪</t>
    <phoneticPr fontId="8" type="noConversion"/>
  </si>
  <si>
    <t>工齡</t>
    <phoneticPr fontId="8" type="noConversion"/>
  </si>
  <si>
    <t>技能</t>
    <phoneticPr fontId="8" type="noConversion"/>
  </si>
  <si>
    <t>職位</t>
    <phoneticPr fontId="8" type="noConversion"/>
  </si>
  <si>
    <t>全勤</t>
    <phoneticPr fontId="8" type="noConversion"/>
  </si>
  <si>
    <t>F</t>
  </si>
  <si>
    <t>supervisor Line 17,18,19,20,21</t>
  </si>
  <si>
    <t>M</t>
  </si>
  <si>
    <t>Production Development</t>
  </si>
  <si>
    <t>Development</t>
  </si>
  <si>
    <t>supervisor Line 1,2,3,15</t>
  </si>
  <si>
    <t>supervisor L 8,9,10,11</t>
  </si>
  <si>
    <t>Leader GA</t>
  </si>
  <si>
    <t>Leader Mechanic</t>
  </si>
  <si>
    <t>Pattern Designer</t>
  </si>
  <si>
    <t>Sample Coordinator</t>
  </si>
  <si>
    <t>Leader QC B</t>
  </si>
  <si>
    <t>Leader Service on line</t>
  </si>
  <si>
    <t>Leader A15</t>
  </si>
  <si>
    <t>supervisor Line 5,6,7</t>
  </si>
  <si>
    <t>Supervisor warehouse</t>
  </si>
  <si>
    <t>Line 7</t>
  </si>
  <si>
    <t>Line 12</t>
  </si>
  <si>
    <t>ជោត</t>
  </si>
  <si>
    <t>CHORT</t>
  </si>
  <si>
    <t>TOR</t>
  </si>
  <si>
    <t>ជ</t>
  </si>
  <si>
    <t>ម៉ាន់ឌីន</t>
  </si>
  <si>
    <t>CHOR</t>
  </si>
  <si>
    <t>MANDIN</t>
  </si>
  <si>
    <t>អ៊ីម</t>
  </si>
  <si>
    <t>វង</t>
  </si>
  <si>
    <t>RAKSMEY</t>
  </si>
  <si>
    <t>CHOB</t>
  </si>
  <si>
    <t>REM</t>
  </si>
  <si>
    <t>សុបិន</t>
  </si>
  <si>
    <t>SOBIN</t>
  </si>
  <si>
    <t>អ៊ួក</t>
  </si>
  <si>
    <t>កោះ</t>
  </si>
  <si>
    <t>ឌិន</t>
  </si>
  <si>
    <t>KOH</t>
  </si>
  <si>
    <t>នីសា</t>
  </si>
  <si>
    <t>NISA</t>
  </si>
  <si>
    <t>RU</t>
  </si>
  <si>
    <t>SREYNUTH</t>
  </si>
  <si>
    <t>LEANGHE</t>
  </si>
  <si>
    <t>ស្រីកា</t>
  </si>
  <si>
    <t>SREYKA</t>
  </si>
  <si>
    <t>OEM</t>
  </si>
  <si>
    <t>គីនីន</t>
  </si>
  <si>
    <t>NOP</t>
  </si>
  <si>
    <t>KININ</t>
  </si>
  <si>
    <t>វាណ្ណា</t>
  </si>
  <si>
    <t>KHOUN</t>
  </si>
  <si>
    <t>សុះស្តែន</t>
  </si>
  <si>
    <t>SOKH</t>
  </si>
  <si>
    <t>SOSSTEN</t>
  </si>
  <si>
    <t>គ្រុត</t>
  </si>
  <si>
    <t>សុខគា</t>
  </si>
  <si>
    <t>KROT</t>
  </si>
  <si>
    <t>ប៉ន</t>
  </si>
  <si>
    <t>លុច</t>
  </si>
  <si>
    <t>PORN</t>
  </si>
  <si>
    <t>ឌឿប</t>
  </si>
  <si>
    <t>មុំហឿន</t>
  </si>
  <si>
    <t>MOMHOEUN</t>
  </si>
  <si>
    <t>ច័ន្ទពៅ</t>
  </si>
  <si>
    <t>CHANPOV</t>
  </si>
  <si>
    <t>សុឃា</t>
  </si>
  <si>
    <t>SOKHEA</t>
  </si>
  <si>
    <t>យឺម</t>
  </si>
  <si>
    <t>សុខហៀង</t>
  </si>
  <si>
    <t>SOKHHIENG</t>
  </si>
  <si>
    <t>ឡាម</t>
  </si>
  <si>
    <t>LAM</t>
  </si>
  <si>
    <t>ញ៉េ</t>
  </si>
  <si>
    <t>NHE</t>
  </si>
  <si>
    <t xml:space="preserve">MUM </t>
  </si>
  <si>
    <t xml:space="preserve">គឹម </t>
  </si>
  <si>
    <t>រើន</t>
  </si>
  <si>
    <t>ធារះ</t>
  </si>
  <si>
    <t>THEARAK</t>
  </si>
  <si>
    <t>KIEV</t>
  </si>
  <si>
    <t>SINOEUN</t>
  </si>
  <si>
    <t>Adjust amount</t>
    <phoneticPr fontId="8" type="noConversion"/>
  </si>
  <si>
    <t>Adjust Date</t>
    <phoneticPr fontId="8" type="noConversion"/>
  </si>
  <si>
    <t>With
Comment</t>
    <phoneticPr fontId="8" type="noConversion"/>
  </si>
  <si>
    <t>評核人</t>
    <phoneticPr fontId="8" type="noConversion"/>
  </si>
  <si>
    <t>意見</t>
    <phoneticPr fontId="8" type="noConversion"/>
  </si>
  <si>
    <t>語言</t>
    <phoneticPr fontId="8" type="noConversion"/>
  </si>
  <si>
    <t>全勤</t>
    <phoneticPr fontId="8" type="noConversion"/>
  </si>
  <si>
    <t xml:space="preserve"> Line12</t>
  </si>
  <si>
    <t>Leader Line 12</t>
  </si>
  <si>
    <t>Leader Line 20</t>
  </si>
  <si>
    <t>super/leader/ Assis.t</t>
  </si>
  <si>
    <t>2022總分</t>
  </si>
  <si>
    <t>Line 2</t>
  </si>
  <si>
    <t>VRT Salary Report</t>
  </si>
  <si>
    <t>Jerry</t>
    <phoneticPr fontId="6" type="noConversion"/>
  </si>
  <si>
    <t>Assist.Line 1</t>
  </si>
  <si>
    <t>Office</t>
  </si>
  <si>
    <t>調薪金額</t>
    <phoneticPr fontId="6" type="noConversion"/>
  </si>
  <si>
    <t>wh</t>
    <phoneticPr fontId="6" type="noConversion"/>
  </si>
  <si>
    <t>cutt</t>
    <phoneticPr fontId="6" type="noConversion"/>
  </si>
  <si>
    <t>sewing</t>
    <phoneticPr fontId="6" type="noConversion"/>
  </si>
  <si>
    <t>QC</t>
    <phoneticPr fontId="6" type="noConversion"/>
  </si>
  <si>
    <t>pack</t>
    <phoneticPr fontId="6" type="noConversion"/>
  </si>
  <si>
    <t>sample</t>
    <phoneticPr fontId="6" type="noConversion"/>
  </si>
  <si>
    <t>mech</t>
    <phoneticPr fontId="6" type="noConversion"/>
  </si>
  <si>
    <t>總人數</t>
    <phoneticPr fontId="6" type="noConversion"/>
  </si>
  <si>
    <t>總金額</t>
    <phoneticPr fontId="6" type="noConversion"/>
  </si>
  <si>
    <t>Marker</t>
  </si>
  <si>
    <t>工號</t>
  </si>
  <si>
    <t>性別</t>
  </si>
  <si>
    <t>生日</t>
  </si>
  <si>
    <t>組別</t>
  </si>
  <si>
    <t>排序</t>
  </si>
  <si>
    <t>Sewing</t>
  </si>
  <si>
    <t>Sewing/QC</t>
  </si>
  <si>
    <t>大組長</t>
  </si>
  <si>
    <t>組長</t>
  </si>
  <si>
    <t>樣品組長</t>
  </si>
  <si>
    <t>配料組長</t>
  </si>
  <si>
    <t>機修組長</t>
  </si>
  <si>
    <t>包裝組長</t>
  </si>
  <si>
    <t>品檢組長</t>
  </si>
  <si>
    <t>裁剪組長</t>
  </si>
  <si>
    <t>倉庫組長</t>
  </si>
  <si>
    <t>輔料組長</t>
  </si>
  <si>
    <t>助理</t>
  </si>
  <si>
    <t>樣品助理</t>
  </si>
  <si>
    <t>包裝助理</t>
  </si>
  <si>
    <t>品檢助理</t>
  </si>
  <si>
    <t>裁剪助理</t>
  </si>
  <si>
    <t>倉庫助理</t>
  </si>
  <si>
    <t>IT專員</t>
  </si>
  <si>
    <t>成品助理</t>
  </si>
  <si>
    <t>生管助理</t>
  </si>
  <si>
    <t>生管</t>
  </si>
  <si>
    <t>馬克技術員</t>
  </si>
  <si>
    <t>樣品安排</t>
  </si>
  <si>
    <t>出口助理</t>
  </si>
  <si>
    <t>Leader/asst</t>
  </si>
  <si>
    <t>Supervisor/specialist</t>
  </si>
  <si>
    <t>shipping</t>
  </si>
  <si>
    <t>marker</t>
  </si>
  <si>
    <t>finisher</t>
  </si>
  <si>
    <t>總人數</t>
  </si>
  <si>
    <t>總金額</t>
  </si>
  <si>
    <t xml:space="preserve"> New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</si>
</sst>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000"/>
    <numFmt numFmtId="168" formatCode="dd/mm/yy;@"/>
    <numFmt numFmtId="169" formatCode="[$-409]d/mmm/yy;@"/>
    <numFmt numFmtId="170" formatCode="[$-409]d\-mmm\-yy;@"/>
    <numFmt numFmtId="171" formatCode="[$-409]d\-mmm\-yyyy;@"/>
    <numFmt numFmtId="172" formatCode="#,##0.00&quot;riel&quot;"/>
    <numFmt numFmtId="173" formatCode="[$-12000425]0"/>
    <numFmt numFmtId="174" formatCode="mmm\-yyyy"/>
    <numFmt numFmtId="175" formatCode="0.0"/>
    <numFmt numFmtId="176" formatCode="_(* #,##0_);_(* \(#,##0\);_(* &quot;-&quot;??_);_(@_)"/>
    <numFmt numFmtId="177" formatCode="0.0%"/>
    <numFmt numFmtId="178" formatCode="[$-409]mmmm\ d\,\ yyyy;@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Khmer OS Content"/>
    </font>
    <font>
      <sz val="8"/>
      <color rgb="FF7030A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Khmer OS Content"/>
    </font>
    <font>
      <sz val="9"/>
      <color rgb="FF7030A0"/>
      <name val="Arial"/>
      <family val="2"/>
    </font>
    <font>
      <sz val="12"/>
      <name val="Arial"/>
      <family val="2"/>
    </font>
    <font>
      <sz val="9"/>
      <name val="Calibri"/>
      <family val="3"/>
      <charset val="136"/>
      <scheme val="minor"/>
    </font>
    <font>
      <sz val="8"/>
      <name val="Tahoma"/>
      <family val="2"/>
      <charset val="134"/>
    </font>
    <font>
      <sz val="8"/>
      <name val="Tahoma"/>
      <family val="2"/>
    </font>
    <font>
      <sz val="9"/>
      <color rgb="FF7030A0"/>
      <name val="MingLiU"/>
      <family val="3"/>
      <charset val="136"/>
    </font>
    <font>
      <b/>
      <sz val="8"/>
      <name val="Tahoma"/>
      <family val="2"/>
    </font>
    <font>
      <b/>
      <sz val="11"/>
      <color theme="1"/>
      <name val="Calibri"/>
      <family val="2"/>
      <scheme val="minor"/>
    </font>
    <font>
      <sz val="8"/>
      <color rgb="FF000000"/>
      <name val="MingLiU"/>
      <family val="3"/>
      <charset val="136"/>
    </font>
    <font>
      <sz val="11"/>
      <color rgb="FF9C0006"/>
      <name val="Calibri"/>
      <family val="2"/>
      <scheme val="minor"/>
    </font>
    <font>
      <b/>
      <i/>
      <sz val="10"/>
      <color rgb="FF7030A0"/>
      <name val="Arial"/>
      <family val="2"/>
    </font>
    <font>
      <b/>
      <sz val="15"/>
      <color rgb="FF7030A0"/>
      <name val="Limon R1"/>
    </font>
    <font>
      <b/>
      <sz val="11"/>
      <color rgb="FF7030A0"/>
      <name val="Calibri Light"/>
      <family val="2"/>
      <scheme val="major"/>
    </font>
    <font>
      <sz val="9"/>
      <name val="Khmer OS"/>
    </font>
    <font>
      <sz val="18"/>
      <name val="Limon F1"/>
    </font>
    <font>
      <sz val="10"/>
      <name val="Khmer OS"/>
    </font>
    <font>
      <sz val="10"/>
      <color theme="1"/>
      <name val="Khmer OS Battambang"/>
    </font>
    <font>
      <sz val="12"/>
      <color theme="1"/>
      <name val="Limon S1"/>
    </font>
    <font>
      <sz val="10"/>
      <name val="Webdings"/>
      <family val="1"/>
      <charset val="2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Limon S1"/>
    </font>
    <font>
      <sz val="8"/>
      <color theme="1"/>
      <name val="Calibri"/>
      <family val="2"/>
      <scheme val="minor"/>
    </font>
    <font>
      <sz val="20"/>
      <name val="Limon S1"/>
    </font>
    <font>
      <sz val="11"/>
      <name val="Calibri Light"/>
      <family val="2"/>
      <scheme val="major"/>
    </font>
    <font>
      <sz val="22"/>
      <name val="Limon S1"/>
    </font>
    <font>
      <sz val="11"/>
      <name val="Limon S1"/>
    </font>
    <font>
      <sz val="9"/>
      <name val="Calibri Light"/>
      <family val="2"/>
      <scheme val="major"/>
    </font>
    <font>
      <sz val="20"/>
      <name val="Calibri Light"/>
      <family val="2"/>
      <scheme val="major"/>
    </font>
    <font>
      <sz val="10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Khmertakeo A705"/>
      <family val="2"/>
    </font>
    <font>
      <sz val="10"/>
      <color theme="1"/>
      <name val="Webdings"/>
      <family val="1"/>
      <charset val="2"/>
    </font>
    <font>
      <sz val="20"/>
      <color theme="1"/>
      <name val="Limon S1"/>
    </font>
    <font>
      <sz val="9"/>
      <color theme="1"/>
      <name val="Limon S1"/>
    </font>
    <font>
      <sz val="11"/>
      <color theme="1"/>
      <name val="Limon S1"/>
    </font>
    <font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scheme val="minor"/>
    </font>
    <font>
      <b/>
      <sz val="11"/>
      <color theme="1"/>
      <name val="Calibri"/>
      <family val="1"/>
      <scheme val="minor"/>
    </font>
    <font>
      <sz val="11"/>
      <color theme="1"/>
      <name val="Khmer OS Battambang"/>
    </font>
    <font>
      <b/>
      <sz val="8"/>
      <color indexed="10"/>
      <name val="Tahoma"/>
      <family val="2"/>
    </font>
    <font>
      <b/>
      <sz val="8"/>
      <name val="MingLiU"/>
      <family val="3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1"/>
      <name val="微軟正黑體"/>
      <family val="2"/>
      <charset val="136"/>
    </font>
    <font>
      <sz val="12"/>
      <color theme="1"/>
      <name val="Times New Roman"/>
      <family val="1"/>
    </font>
    <font>
      <sz val="11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7030A0"/>
      <name val="Arial"/>
      <family val="2"/>
    </font>
    <font>
      <sz val="10"/>
      <color rgb="FF7030A0"/>
      <name val="MingLiU"/>
      <family val="3"/>
      <charset val="136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5C3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8" borderId="0" applyNumberFormat="0" applyBorder="0" applyAlignment="0" applyProtection="0"/>
    <xf numFmtId="0" fontId="27" fillId="0" borderId="0"/>
    <xf numFmtId="9" fontId="1" fillId="0" borderId="0" applyFont="0" applyFill="0" applyBorder="0" applyAlignment="0" applyProtection="0">
      <alignment vertical="center"/>
    </xf>
    <xf numFmtId="0" fontId="55" fillId="0" borderId="0"/>
  </cellStyleXfs>
  <cellXfs count="7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1" xfId="0" applyFill="1" applyBorder="1"/>
    <xf numFmtId="167" fontId="0" fillId="2" borderId="0" xfId="0" applyNumberFormat="1" applyFill="1" applyAlignment="1">
      <alignment horizontal="center" vertical="center"/>
    </xf>
    <xf numFmtId="0" fontId="0" fillId="2" borderId="0" xfId="0" applyFill="1"/>
    <xf numFmtId="167" fontId="0" fillId="2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9" fontId="0" fillId="2" borderId="1" xfId="0" applyNumberFormat="1" applyFill="1" applyBorder="1" applyAlignment="1">
      <alignment horizontal="center" vertical="center"/>
    </xf>
    <xf numFmtId="170" fontId="0" fillId="0" borderId="1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69" fontId="0" fillId="0" borderId="1" xfId="0" applyNumberForma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 wrapText="1" readingOrder="1"/>
    </xf>
    <xf numFmtId="171" fontId="3" fillId="5" borderId="5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 wrapText="1" readingOrder="1"/>
    </xf>
    <xf numFmtId="169" fontId="2" fillId="3" borderId="7" xfId="0" applyNumberFormat="1" applyFont="1" applyFill="1" applyBorder="1" applyAlignment="1">
      <alignment horizontal="center" vertical="center" wrapText="1" readingOrder="1"/>
    </xf>
    <xf numFmtId="0" fontId="5" fillId="3" borderId="9" xfId="0" applyNumberFormat="1" applyFont="1" applyFill="1" applyBorder="1" applyAlignment="1">
      <alignment horizontal="center" vertical="center" wrapText="1" readingOrder="1"/>
    </xf>
    <xf numFmtId="0" fontId="5" fillId="2" borderId="9" xfId="0" applyNumberFormat="1" applyFont="1" applyFill="1" applyBorder="1" applyAlignment="1">
      <alignment horizontal="center" vertical="center" wrapText="1" readingOrder="1"/>
    </xf>
    <xf numFmtId="169" fontId="2" fillId="3" borderId="11" xfId="0" applyNumberFormat="1" applyFont="1" applyFill="1" applyBorder="1" applyAlignment="1">
      <alignment horizontal="center" vertical="center" wrapText="1" readingOrder="1"/>
    </xf>
    <xf numFmtId="170" fontId="0" fillId="2" borderId="1" xfId="0" applyNumberFormat="1" applyFont="1" applyFill="1" applyBorder="1" applyAlignment="1">
      <alignment horizontal="center" vertical="center"/>
    </xf>
    <xf numFmtId="49" fontId="9" fillId="6" borderId="14" xfId="0" applyNumberFormat="1" applyFont="1" applyFill="1" applyBorder="1" applyAlignment="1" applyProtection="1">
      <alignment horizontal="center" vertical="center" wrapText="1"/>
    </xf>
    <xf numFmtId="49" fontId="10" fillId="6" borderId="14" xfId="0" applyNumberFormat="1" applyFont="1" applyFill="1" applyBorder="1" applyAlignment="1" applyProtection="1">
      <alignment horizontal="center" vertical="center" wrapText="1"/>
    </xf>
    <xf numFmtId="0" fontId="11" fillId="5" borderId="16" xfId="0" applyNumberFormat="1" applyFont="1" applyFill="1" applyBorder="1" applyAlignment="1">
      <alignment horizontal="center" vertical="center"/>
    </xf>
    <xf numFmtId="0" fontId="11" fillId="5" borderId="14" xfId="0" applyNumberFormat="1" applyFont="1" applyFill="1" applyBorder="1" applyAlignment="1">
      <alignment horizontal="center" vertical="center"/>
    </xf>
    <xf numFmtId="0" fontId="6" fillId="5" borderId="14" xfId="0" applyNumberFormat="1" applyFont="1" applyFill="1" applyBorder="1" applyAlignment="1">
      <alignment horizontal="center" vertical="center" wrapText="1"/>
    </xf>
    <xf numFmtId="49" fontId="10" fillId="6" borderId="20" xfId="0" applyNumberFormat="1" applyFont="1" applyFill="1" applyBorder="1" applyAlignment="1" applyProtection="1">
      <alignment horizontal="center" vertical="center" wrapText="1"/>
    </xf>
    <xf numFmtId="49" fontId="12" fillId="6" borderId="15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/>
    <xf numFmtId="0" fontId="0" fillId="0" borderId="1" xfId="0" applyFill="1" applyBorder="1" applyAlignment="1">
      <alignment horizontal="center"/>
    </xf>
    <xf numFmtId="0" fontId="2" fillId="3" borderId="10" xfId="0" applyNumberFormat="1" applyFont="1" applyFill="1" applyBorder="1" applyAlignment="1">
      <alignment horizontal="center" vertical="center" wrapText="1" readingOrder="1"/>
    </xf>
    <xf numFmtId="0" fontId="2" fillId="3" borderId="11" xfId="0" applyNumberFormat="1" applyFont="1" applyFill="1" applyBorder="1" applyAlignment="1">
      <alignment horizontal="center" vertical="center" wrapText="1" readingOrder="1"/>
    </xf>
    <xf numFmtId="0" fontId="2" fillId="3" borderId="7" xfId="0" applyNumberFormat="1" applyFont="1" applyFill="1" applyBorder="1" applyAlignment="1">
      <alignment horizontal="center" vertical="center" wrapText="1" readingOrder="1"/>
    </xf>
    <xf numFmtId="49" fontId="2" fillId="3" borderId="4" xfId="0" applyNumberFormat="1" applyFont="1" applyFill="1" applyBorder="1" applyAlignment="1">
      <alignment horizontal="center" vertical="center" wrapText="1" readingOrder="1"/>
    </xf>
    <xf numFmtId="0" fontId="2" fillId="3" borderId="29" xfId="0" applyNumberFormat="1" applyFont="1" applyFill="1" applyBorder="1" applyAlignment="1">
      <alignment horizontal="center" vertical="center" wrapText="1" readingOrder="1"/>
    </xf>
    <xf numFmtId="0" fontId="2" fillId="9" borderId="7" xfId="0" applyNumberFormat="1" applyFont="1" applyFill="1" applyBorder="1" applyAlignment="1">
      <alignment horizontal="center" vertical="center" wrapText="1" readingOrder="1"/>
    </xf>
    <xf numFmtId="0" fontId="2" fillId="5" borderId="7" xfId="0" applyNumberFormat="1" applyFont="1" applyFill="1" applyBorder="1" applyAlignment="1">
      <alignment horizontal="center" vertical="center" wrapText="1" readingOrder="1"/>
    </xf>
    <xf numFmtId="17" fontId="3" fillId="5" borderId="30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 wrapText="1" readingOrder="1"/>
    </xf>
    <xf numFmtId="0" fontId="2" fillId="3" borderId="12" xfId="0" applyNumberFormat="1" applyFont="1" applyFill="1" applyBorder="1" applyAlignment="1">
      <alignment horizontal="center" vertical="center" wrapText="1" readingOrder="1"/>
    </xf>
    <xf numFmtId="0" fontId="2" fillId="9" borderId="11" xfId="0" applyNumberFormat="1" applyFont="1" applyFill="1" applyBorder="1" applyAlignment="1">
      <alignment horizontal="center" vertical="center" wrapText="1" readingOrder="1"/>
    </xf>
    <xf numFmtId="0" fontId="2" fillId="5" borderId="11" xfId="0" applyNumberFormat="1" applyFont="1" applyFill="1" applyBorder="1" applyAlignment="1">
      <alignment horizontal="center" vertical="center" wrapText="1" readingOrder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/>
    </xf>
    <xf numFmtId="2" fontId="1" fillId="0" borderId="1" xfId="2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69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70" fontId="0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8" fillId="0" borderId="1" xfId="4" applyFont="1" applyFill="1" applyBorder="1" applyAlignment="1">
      <alignment horizontal="center" vertical="center" wrapText="1"/>
    </xf>
    <xf numFmtId="2" fontId="1" fillId="2" borderId="1" xfId="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169" fontId="0" fillId="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 vertical="center"/>
    </xf>
    <xf numFmtId="165" fontId="0" fillId="10" borderId="1" xfId="2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67" fontId="0" fillId="2" borderId="1" xfId="0" applyNumberFormat="1" applyFont="1" applyFill="1" applyBorder="1" applyAlignment="1">
      <alignment horizontal="center" vertical="center"/>
    </xf>
    <xf numFmtId="0" fontId="28" fillId="2" borderId="1" xfId="4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32" fillId="0" borderId="1" xfId="0" applyNumberFormat="1" applyFont="1" applyFill="1" applyBorder="1" applyAlignment="1">
      <alignment horizontal="center" vertical="center"/>
    </xf>
    <xf numFmtId="14" fontId="33" fillId="0" borderId="1" xfId="0" applyNumberFormat="1" applyFont="1" applyFill="1" applyBorder="1" applyAlignment="1">
      <alignment horizontal="center" vertical="center"/>
    </xf>
    <xf numFmtId="14" fontId="30" fillId="0" borderId="1" xfId="0" applyNumberFormat="1" applyFont="1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2" fontId="1" fillId="11" borderId="1" xfId="2" applyNumberFormat="1" applyFon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/>
    </xf>
    <xf numFmtId="169" fontId="0" fillId="11" borderId="1" xfId="0" applyNumberForma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70" fontId="0" fillId="11" borderId="1" xfId="0" applyNumberForma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1" fillId="11" borderId="1" xfId="0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4" fontId="33" fillId="11" borderId="1" xfId="0" applyNumberFormat="1" applyFont="1" applyFill="1" applyBorder="1" applyAlignment="1">
      <alignment horizontal="center" vertical="center"/>
    </xf>
    <xf numFmtId="0" fontId="31" fillId="2" borderId="1" xfId="0" applyNumberFormat="1" applyFont="1" applyFill="1" applyBorder="1" applyAlignment="1">
      <alignment horizontal="center" vertical="center"/>
    </xf>
    <xf numFmtId="172" fontId="0" fillId="0" borderId="1" xfId="0" applyNumberFormat="1" applyFill="1" applyBorder="1" applyAlignment="1">
      <alignment horizontal="center" vertical="center" shrinkToFit="1"/>
    </xf>
    <xf numFmtId="167" fontId="0" fillId="12" borderId="1" xfId="0" applyNumberFormat="1" applyFill="1" applyBorder="1" applyAlignment="1">
      <alignment horizontal="center" vertical="center"/>
    </xf>
    <xf numFmtId="2" fontId="1" fillId="12" borderId="1" xfId="2" applyNumberFormat="1" applyFon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/>
    </xf>
    <xf numFmtId="169" fontId="0" fillId="12" borderId="1" xfId="0" applyNumberForma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170" fontId="0" fillId="12" borderId="1" xfId="0" applyNumberFormat="1" applyFill="1" applyBorder="1" applyAlignment="1">
      <alignment horizontal="center" vertical="center"/>
    </xf>
    <xf numFmtId="0" fontId="0" fillId="12" borderId="1" xfId="0" applyNumberFormat="1" applyFont="1" applyFill="1" applyBorder="1" applyAlignment="1">
      <alignment horizontal="center" vertical="center"/>
    </xf>
    <xf numFmtId="165" fontId="0" fillId="12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14" fontId="32" fillId="12" borderId="1" xfId="0" applyNumberFormat="1" applyFont="1" applyFill="1" applyBorder="1" applyAlignment="1">
      <alignment horizontal="center" vertical="center"/>
    </xf>
    <xf numFmtId="14" fontId="30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4" fontId="33" fillId="12" borderId="1" xfId="0" applyNumberFormat="1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14" fontId="32" fillId="11" borderId="1" xfId="0" applyNumberFormat="1" applyFont="1" applyFill="1" applyBorder="1" applyAlignment="1">
      <alignment horizontal="center" vertical="center"/>
    </xf>
    <xf numFmtId="14" fontId="30" fillId="11" borderId="1" xfId="0" applyNumberFormat="1" applyFont="1" applyFill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14" fontId="32" fillId="10" borderId="1" xfId="0" applyNumberFormat="1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/>
    </xf>
    <xf numFmtId="14" fontId="33" fillId="10" borderId="1" xfId="0" applyNumberFormat="1" applyFont="1" applyFill="1" applyBorder="1" applyAlignment="1">
      <alignment horizontal="center" vertical="center"/>
    </xf>
    <xf numFmtId="14" fontId="34" fillId="0" borderId="1" xfId="0" applyNumberFormat="1" applyFont="1" applyFill="1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3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35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center" vertical="center"/>
    </xf>
    <xf numFmtId="14" fontId="35" fillId="11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2" fontId="1" fillId="7" borderId="1" xfId="2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/>
    </xf>
    <xf numFmtId="170" fontId="0" fillId="7" borderId="1" xfId="0" applyNumberForma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NumberFormat="1" applyFont="1" applyFill="1" applyBorder="1" applyAlignment="1">
      <alignment horizontal="center" vertical="center"/>
    </xf>
    <xf numFmtId="165" fontId="0" fillId="7" borderId="1" xfId="2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14" fontId="35" fillId="7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14" fontId="32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14" fontId="33" fillId="7" borderId="1" xfId="0" applyNumberFormat="1" applyFont="1" applyFill="1" applyBorder="1" applyAlignment="1">
      <alignment horizontal="center" vertical="center"/>
    </xf>
    <xf numFmtId="2" fontId="0" fillId="12" borderId="1" xfId="2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/>
    </xf>
    <xf numFmtId="0" fontId="28" fillId="11" borderId="1" xfId="4" applyFont="1" applyFill="1" applyBorder="1" applyAlignment="1">
      <alignment horizontal="center" vertical="center" wrapText="1"/>
    </xf>
    <xf numFmtId="2" fontId="0" fillId="2" borderId="1" xfId="2" applyNumberFormat="1" applyFont="1" applyFill="1" applyBorder="1" applyAlignment="1">
      <alignment horizontal="center" vertical="center" wrapText="1"/>
    </xf>
    <xf numFmtId="170" fontId="0" fillId="3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14" fontId="36" fillId="0" borderId="1" xfId="0" applyNumberFormat="1" applyFont="1" applyFill="1" applyBorder="1" applyAlignment="1">
      <alignment horizontal="center" vertical="center"/>
    </xf>
    <xf numFmtId="14" fontId="37" fillId="0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0" fontId="0" fillId="13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14" fontId="36" fillId="2" borderId="1" xfId="0" applyNumberFormat="1" applyFont="1" applyFill="1" applyBorder="1" applyAlignment="1">
      <alignment horizontal="center" vertical="center"/>
    </xf>
    <xf numFmtId="14" fontId="37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170" fontId="0" fillId="2" borderId="0" xfId="0" applyNumberFormat="1" applyFill="1"/>
    <xf numFmtId="1" fontId="0" fillId="2" borderId="1" xfId="0" applyNumberFormat="1" applyFill="1" applyBorder="1" applyAlignment="1">
      <alignment horizontal="center" vertical="center"/>
    </xf>
    <xf numFmtId="14" fontId="39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40" fillId="0" borderId="2" xfId="0" applyFont="1" applyFill="1" applyBorder="1" applyAlignment="1">
      <alignment horizontal="center" vertical="center"/>
    </xf>
    <xf numFmtId="0" fontId="40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 vertical="center"/>
    </xf>
    <xf numFmtId="0" fontId="0" fillId="14" borderId="1" xfId="0" applyNumberFormat="1" applyFill="1" applyBorder="1" applyAlignment="1">
      <alignment horizontal="center" vertical="center"/>
    </xf>
    <xf numFmtId="167" fontId="0" fillId="14" borderId="1" xfId="0" applyNumberFormat="1" applyFill="1" applyBorder="1" applyAlignment="1">
      <alignment horizontal="center" vertical="center"/>
    </xf>
    <xf numFmtId="0" fontId="0" fillId="14" borderId="1" xfId="0" applyNumberFormat="1" applyFont="1" applyFill="1" applyBorder="1" applyAlignment="1">
      <alignment horizontal="center" vertical="center"/>
    </xf>
    <xf numFmtId="2" fontId="0" fillId="14" borderId="1" xfId="2" applyNumberFormat="1" applyFont="1" applyFill="1" applyBorder="1" applyAlignment="1">
      <alignment horizontal="center" vertical="center" wrapText="1"/>
    </xf>
    <xf numFmtId="49" fontId="0" fillId="14" borderId="1" xfId="0" quotePrefix="1" applyNumberFormat="1" applyFill="1" applyBorder="1" applyAlignment="1">
      <alignment horizontal="center" vertical="center"/>
    </xf>
    <xf numFmtId="0" fontId="40" fillId="14" borderId="2" xfId="0" applyFont="1" applyFill="1" applyBorder="1" applyAlignment="1">
      <alignment horizontal="center" vertical="center"/>
    </xf>
    <xf numFmtId="0" fontId="40" fillId="14" borderId="3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/>
    </xf>
    <xf numFmtId="169" fontId="0" fillId="14" borderId="1" xfId="0" applyNumberForma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 wrapText="1"/>
    </xf>
    <xf numFmtId="170" fontId="0" fillId="14" borderId="1" xfId="0" applyNumberFormat="1" applyFill="1" applyBorder="1" applyAlignment="1">
      <alignment horizontal="center" vertical="center"/>
    </xf>
    <xf numFmtId="165" fontId="0" fillId="14" borderId="1" xfId="2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14" fontId="33" fillId="14" borderId="1" xfId="0" applyNumberFormat="1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14" fontId="36" fillId="14" borderId="1" xfId="0" applyNumberFormat="1" applyFont="1" applyFill="1" applyBorder="1" applyAlignment="1">
      <alignment horizontal="center" vertical="center"/>
    </xf>
    <xf numFmtId="14" fontId="37" fillId="14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173" fontId="0" fillId="14" borderId="1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67" fontId="0" fillId="14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169" fontId="0" fillId="14" borderId="1" xfId="0" applyNumberFormat="1" applyFont="1" applyFill="1" applyBorder="1" applyAlignment="1">
      <alignment horizontal="center" vertical="center"/>
    </xf>
    <xf numFmtId="170" fontId="0" fillId="14" borderId="1" xfId="0" applyNumberFormat="1" applyFont="1" applyFill="1" applyBorder="1" applyAlignment="1">
      <alignment horizontal="center" vertical="center"/>
    </xf>
    <xf numFmtId="170" fontId="0" fillId="14" borderId="1" xfId="2" applyNumberFormat="1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/>
    </xf>
    <xf numFmtId="0" fontId="41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/>
    </xf>
    <xf numFmtId="0" fontId="25" fillId="14" borderId="1" xfId="0" applyFont="1" applyFill="1" applyBorder="1" applyAlignment="1">
      <alignment horizontal="center" vertical="center"/>
    </xf>
    <xf numFmtId="0" fontId="0" fillId="14" borderId="1" xfId="4" applyFont="1" applyFill="1" applyBorder="1" applyAlignment="1">
      <alignment horizontal="center" vertical="center" wrapText="1"/>
    </xf>
    <xf numFmtId="49" fontId="0" fillId="14" borderId="1" xfId="0" applyNumberFormat="1" applyFont="1" applyFill="1" applyBorder="1" applyAlignment="1">
      <alignment horizontal="center"/>
    </xf>
    <xf numFmtId="0" fontId="29" fillId="14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 wrapText="1"/>
    </xf>
    <xf numFmtId="1" fontId="0" fillId="14" borderId="1" xfId="2" applyNumberFormat="1" applyFont="1" applyFill="1" applyBorder="1" applyAlignment="1">
      <alignment horizontal="center" vertical="center" wrapText="1"/>
    </xf>
    <xf numFmtId="1" fontId="0" fillId="14" borderId="1" xfId="3" applyNumberFormat="1" applyFont="1" applyFill="1" applyBorder="1" applyAlignment="1">
      <alignment horizontal="center" vertical="center" wrapText="1"/>
    </xf>
    <xf numFmtId="14" fontId="42" fillId="14" borderId="1" xfId="0" applyNumberFormat="1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/>
    </xf>
    <xf numFmtId="14" fontId="43" fillId="14" borderId="1" xfId="0" applyNumberFormat="1" applyFont="1" applyFill="1" applyBorder="1" applyAlignment="1">
      <alignment horizontal="center" vertical="center"/>
    </xf>
    <xf numFmtId="14" fontId="26" fillId="14" borderId="1" xfId="0" applyNumberFormat="1" applyFont="1" applyFill="1" applyBorder="1" applyAlignment="1">
      <alignment horizontal="center" vertical="center"/>
    </xf>
    <xf numFmtId="172" fontId="0" fillId="14" borderId="1" xfId="0" applyNumberFormat="1" applyFont="1" applyFill="1" applyBorder="1" applyAlignment="1">
      <alignment horizontal="center" vertical="center" shrinkToFit="1"/>
    </xf>
    <xf numFmtId="0" fontId="0" fillId="14" borderId="31" xfId="0" applyFont="1" applyFill="1" applyBorder="1" applyAlignment="1">
      <alignment horizontal="center" vertical="center" wrapText="1"/>
    </xf>
    <xf numFmtId="49" fontId="0" fillId="14" borderId="1" xfId="3" applyNumberFormat="1" applyFont="1" applyFill="1" applyBorder="1" applyAlignment="1">
      <alignment horizontal="center" vertical="center"/>
    </xf>
    <xf numFmtId="0" fontId="0" fillId="14" borderId="2" xfId="3" applyFont="1" applyFill="1" applyBorder="1" applyAlignment="1">
      <alignment horizontal="center" vertical="center" wrapText="1"/>
    </xf>
    <xf numFmtId="0" fontId="0" fillId="14" borderId="3" xfId="3" applyFont="1" applyFill="1" applyBorder="1" applyAlignment="1">
      <alignment horizontal="center" vertical="center" wrapText="1"/>
    </xf>
    <xf numFmtId="14" fontId="23" fillId="14" borderId="1" xfId="0" applyNumberFormat="1" applyFont="1" applyFill="1" applyBorder="1" applyAlignment="1">
      <alignment horizontal="center" vertical="center"/>
    </xf>
    <xf numFmtId="14" fontId="44" fillId="14" borderId="1" xfId="0" applyNumberFormat="1" applyFont="1" applyFill="1" applyBorder="1" applyAlignment="1">
      <alignment horizontal="center" vertical="center"/>
    </xf>
    <xf numFmtId="1" fontId="0" fillId="14" borderId="1" xfId="0" applyNumberFormat="1" applyFont="1" applyFill="1" applyBorder="1" applyAlignment="1">
      <alignment horizontal="center" vertical="center"/>
    </xf>
    <xf numFmtId="0" fontId="0" fillId="14" borderId="1" xfId="0" applyFont="1" applyFill="1" applyBorder="1"/>
    <xf numFmtId="14" fontId="0" fillId="14" borderId="1" xfId="0" applyNumberFormat="1" applyFont="1" applyFill="1" applyBorder="1" applyAlignment="1">
      <alignment horizontal="center" vertical="center"/>
    </xf>
    <xf numFmtId="14" fontId="22" fillId="14" borderId="2" xfId="0" applyNumberFormat="1" applyFont="1" applyFill="1" applyBorder="1" applyAlignment="1">
      <alignment horizontal="center" vertical="center"/>
    </xf>
    <xf numFmtId="14" fontId="0" fillId="14" borderId="1" xfId="0" applyNumberFormat="1" applyFont="1" applyFill="1" applyBorder="1" applyAlignment="1">
      <alignment horizontal="center" vertical="center" wrapText="1"/>
    </xf>
    <xf numFmtId="49" fontId="0" fillId="14" borderId="1" xfId="0" quotePrefix="1" applyNumberFormat="1" applyFont="1" applyFill="1" applyBorder="1" applyAlignment="1">
      <alignment horizontal="center" vertical="center"/>
    </xf>
    <xf numFmtId="1" fontId="29" fillId="14" borderId="1" xfId="0" applyNumberFormat="1" applyFont="1" applyFill="1" applyBorder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2" fontId="0" fillId="14" borderId="1" xfId="3" applyNumberFormat="1" applyFont="1" applyFill="1" applyBorder="1" applyAlignment="1">
      <alignment horizontal="center" vertical="center" wrapText="1"/>
    </xf>
    <xf numFmtId="171" fontId="0" fillId="14" borderId="1" xfId="2" applyNumberFormat="1" applyFont="1" applyFill="1" applyBorder="1" applyAlignment="1">
      <alignment horizontal="center" vertical="center"/>
    </xf>
    <xf numFmtId="174" fontId="0" fillId="14" borderId="1" xfId="2" applyNumberFormat="1" applyFont="1" applyFill="1" applyBorder="1" applyAlignment="1">
      <alignment horizontal="center" vertical="center"/>
    </xf>
    <xf numFmtId="14" fontId="0" fillId="14" borderId="1" xfId="2" applyNumberFormat="1" applyFont="1" applyFill="1" applyBorder="1" applyAlignment="1">
      <alignment horizontal="center" vertical="center"/>
    </xf>
    <xf numFmtId="167" fontId="25" fillId="14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175" fontId="0" fillId="0" borderId="1" xfId="0" applyNumberForma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/>
    </xf>
    <xf numFmtId="165" fontId="0" fillId="3" borderId="1" xfId="2" applyFont="1" applyFill="1" applyBorder="1" applyAlignment="1">
      <alignment horizontal="center" vertical="center"/>
    </xf>
    <xf numFmtId="0" fontId="0" fillId="3" borderId="0" xfId="0" applyFill="1"/>
    <xf numFmtId="0" fontId="6" fillId="15" borderId="1" xfId="0" applyNumberFormat="1" applyFont="1" applyFill="1" applyBorder="1" applyAlignment="1">
      <alignment horizontal="center" vertical="center"/>
    </xf>
    <xf numFmtId="0" fontId="3" fillId="15" borderId="1" xfId="0" applyNumberFormat="1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165" fontId="0" fillId="3" borderId="0" xfId="0" applyNumberFormat="1" applyFill="1"/>
    <xf numFmtId="177" fontId="0" fillId="0" borderId="0" xfId="5" applyNumberFormat="1" applyFont="1" applyAlignment="1"/>
    <xf numFmtId="10" fontId="0" fillId="0" borderId="0" xfId="0" applyNumberFormat="1"/>
    <xf numFmtId="165" fontId="0" fillId="0" borderId="24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0" fontId="0" fillId="0" borderId="28" xfId="5" applyNumberFormat="1" applyFont="1" applyBorder="1" applyAlignment="1"/>
    <xf numFmtId="10" fontId="0" fillId="0" borderId="22" xfId="5" applyNumberFormat="1" applyFont="1" applyBorder="1" applyAlignment="1"/>
    <xf numFmtId="10" fontId="0" fillId="0" borderId="16" xfId="5" applyNumberFormat="1" applyFont="1" applyBorder="1" applyAlignment="1"/>
    <xf numFmtId="10" fontId="0" fillId="0" borderId="15" xfId="5" applyNumberFormat="1" applyFont="1" applyBorder="1" applyAlignment="1"/>
    <xf numFmtId="165" fontId="0" fillId="0" borderId="38" xfId="0" applyNumberFormat="1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10" fontId="0" fillId="0" borderId="24" xfId="5" applyNumberFormat="1" applyFont="1" applyBorder="1" applyAlignment="1"/>
    <xf numFmtId="10" fontId="0" fillId="0" borderId="23" xfId="5" applyNumberFormat="1" applyFont="1" applyBorder="1" applyAlignment="1"/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center"/>
    </xf>
    <xf numFmtId="177" fontId="0" fillId="0" borderId="0" xfId="5" applyNumberFormat="1" applyFont="1" applyAlignment="1">
      <alignment horizontal="right"/>
    </xf>
    <xf numFmtId="0" fontId="49" fillId="20" borderId="32" xfId="0" applyFont="1" applyFill="1" applyBorder="1" applyAlignment="1">
      <alignment horizontal="center"/>
    </xf>
    <xf numFmtId="0" fontId="50" fillId="17" borderId="32" xfId="0" applyFont="1" applyFill="1" applyBorder="1" applyAlignment="1">
      <alignment horizontal="center"/>
    </xf>
    <xf numFmtId="0" fontId="50" fillId="18" borderId="33" xfId="0" applyFont="1" applyFill="1" applyBorder="1" applyAlignment="1">
      <alignment horizontal="center"/>
    </xf>
    <xf numFmtId="0" fontId="50" fillId="0" borderId="0" xfId="0" applyFont="1"/>
    <xf numFmtId="176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43" xfId="0" applyNumberFormat="1" applyBorder="1" applyAlignment="1">
      <alignment horizontal="center"/>
    </xf>
    <xf numFmtId="167" fontId="5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9" fontId="0" fillId="0" borderId="0" xfId="5" applyFont="1" applyAlignment="1">
      <alignment horizontal="center" vertical="center"/>
    </xf>
    <xf numFmtId="49" fontId="9" fillId="6" borderId="25" xfId="0" applyNumberFormat="1" applyFont="1" applyFill="1" applyBorder="1" applyAlignment="1" applyProtection="1">
      <alignment horizontal="center" vertical="center" wrapText="1"/>
    </xf>
    <xf numFmtId="49" fontId="9" fillId="6" borderId="18" xfId="0" applyNumberFormat="1" applyFont="1" applyFill="1" applyBorder="1" applyAlignment="1" applyProtection="1">
      <alignment horizontal="center" vertical="center" wrapText="1"/>
    </xf>
    <xf numFmtId="9" fontId="10" fillId="6" borderId="18" xfId="5" applyFont="1" applyFill="1" applyBorder="1" applyAlignment="1" applyProtection="1">
      <alignment horizontal="center" vertical="center" wrapText="1"/>
    </xf>
    <xf numFmtId="49" fontId="9" fillId="6" borderId="19" xfId="0" applyNumberFormat="1" applyFont="1" applyFill="1" applyBorder="1" applyAlignment="1" applyProtection="1">
      <alignment horizontal="center" vertical="center" wrapText="1"/>
    </xf>
    <xf numFmtId="49" fontId="10" fillId="6" borderId="21" xfId="0" applyNumberFormat="1" applyFont="1" applyFill="1" applyBorder="1" applyAlignment="1" applyProtection="1">
      <alignment horizontal="center" vertical="center" wrapText="1"/>
    </xf>
    <xf numFmtId="9" fontId="10" fillId="6" borderId="14" xfId="5" applyFont="1" applyFill="1" applyBorder="1" applyAlignment="1" applyProtection="1">
      <alignment horizontal="center" vertical="center" wrapText="1"/>
    </xf>
    <xf numFmtId="49" fontId="10" fillId="6" borderId="15" xfId="0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9" fontId="0" fillId="2" borderId="1" xfId="5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2" fillId="3" borderId="10" xfId="0" applyNumberFormat="1" applyFont="1" applyFill="1" applyBorder="1" applyAlignment="1">
      <alignment horizontal="center" vertical="center" wrapText="1" readingOrder="1"/>
    </xf>
    <xf numFmtId="0" fontId="2" fillId="3" borderId="11" xfId="0" applyNumberFormat="1" applyFont="1" applyFill="1" applyBorder="1" applyAlignment="1">
      <alignment horizontal="center" vertical="center" wrapText="1" readingOrder="1"/>
    </xf>
    <xf numFmtId="0" fontId="2" fillId="3" borderId="7" xfId="0" applyNumberFormat="1" applyFont="1" applyFill="1" applyBorder="1" applyAlignment="1">
      <alignment horizontal="center" vertical="center" wrapText="1" readingOrder="1"/>
    </xf>
    <xf numFmtId="178" fontId="54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9" fontId="0" fillId="0" borderId="0" xfId="0" applyNumberFormat="1" applyFill="1" applyAlignment="1">
      <alignment horizontal="center"/>
    </xf>
    <xf numFmtId="170" fontId="0" fillId="6" borderId="1" xfId="0" applyNumberFormat="1" applyFill="1" applyBorder="1" applyAlignment="1">
      <alignment horizontal="center" vertical="center"/>
    </xf>
    <xf numFmtId="0" fontId="6" fillId="3" borderId="8" xfId="0" applyNumberFormat="1" applyFont="1" applyFill="1" applyBorder="1" applyAlignment="1">
      <alignment horizontal="center" vertical="center"/>
    </xf>
    <xf numFmtId="49" fontId="10" fillId="6" borderId="13" xfId="0" applyNumberFormat="1" applyFont="1" applyFill="1" applyBorder="1" applyAlignment="1" applyProtection="1">
      <alignment horizontal="center" vertical="center" wrapText="1"/>
    </xf>
    <xf numFmtId="49" fontId="10" fillId="6" borderId="8" xfId="0" applyNumberFormat="1" applyFont="1" applyFill="1" applyBorder="1" applyAlignment="1" applyProtection="1">
      <alignment horizontal="center" vertical="center" wrapText="1"/>
    </xf>
    <xf numFmtId="9" fontId="10" fillId="6" borderId="8" xfId="5" applyFont="1" applyFill="1" applyBorder="1" applyAlignment="1" applyProtection="1">
      <alignment horizontal="center" vertical="center" wrapText="1"/>
    </xf>
    <xf numFmtId="49" fontId="10" fillId="6" borderId="44" xfId="0" applyNumberFormat="1" applyFont="1" applyFill="1" applyBorder="1" applyAlignment="1" applyProtection="1">
      <alignment horizontal="center" vertical="center" wrapText="1"/>
    </xf>
    <xf numFmtId="0" fontId="6" fillId="15" borderId="8" xfId="0" applyNumberFormat="1" applyFont="1" applyFill="1" applyBorder="1" applyAlignment="1">
      <alignment horizontal="center" vertical="center"/>
    </xf>
    <xf numFmtId="0" fontId="3" fillId="15" borderId="8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 readingOrder="1"/>
    </xf>
    <xf numFmtId="0" fontId="0" fillId="0" borderId="1" xfId="0" applyNumberFormat="1" applyFont="1" applyFill="1" applyBorder="1" applyAlignment="1">
      <alignment horizontal="left" vertical="center"/>
    </xf>
    <xf numFmtId="0" fontId="0" fillId="21" borderId="1" xfId="0" applyNumberFormat="1" applyFill="1" applyBorder="1" applyAlignment="1">
      <alignment horizontal="center" vertical="center"/>
    </xf>
    <xf numFmtId="167" fontId="0" fillId="21" borderId="1" xfId="0" applyNumberFormat="1" applyFill="1" applyBorder="1" applyAlignment="1">
      <alignment horizontal="center" vertical="center"/>
    </xf>
    <xf numFmtId="0" fontId="40" fillId="21" borderId="2" xfId="0" applyFont="1" applyFill="1" applyBorder="1" applyAlignment="1">
      <alignment horizontal="center" vertical="center"/>
    </xf>
    <xf numFmtId="0" fontId="40" fillId="21" borderId="3" xfId="0" applyFont="1" applyFill="1" applyBorder="1" applyAlignment="1">
      <alignment horizontal="center" vertical="center"/>
    </xf>
    <xf numFmtId="0" fontId="0" fillId="21" borderId="2" xfId="0" applyFont="1" applyFill="1" applyBorder="1" applyAlignment="1">
      <alignment horizontal="center" vertical="center" wrapText="1"/>
    </xf>
    <xf numFmtId="0" fontId="0" fillId="21" borderId="3" xfId="0" applyFont="1" applyFill="1" applyBorder="1" applyAlignment="1">
      <alignment horizontal="center" vertical="center" wrapText="1"/>
    </xf>
    <xf numFmtId="168" fontId="0" fillId="21" borderId="1" xfId="0" applyNumberFormat="1" applyFill="1" applyBorder="1" applyAlignment="1">
      <alignment horizontal="center" vertical="center"/>
    </xf>
    <xf numFmtId="170" fontId="0" fillId="21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65" fontId="0" fillId="21" borderId="1" xfId="2" applyFont="1" applyFill="1" applyBorder="1" applyAlignment="1">
      <alignment horizontal="center" vertical="center"/>
    </xf>
    <xf numFmtId="0" fontId="0" fillId="21" borderId="1" xfId="0" applyFill="1" applyBorder="1"/>
    <xf numFmtId="165" fontId="0" fillId="21" borderId="0" xfId="0" applyNumberFormat="1" applyFill="1"/>
    <xf numFmtId="0" fontId="0" fillId="21" borderId="0" xfId="0" applyFill="1"/>
    <xf numFmtId="168" fontId="0" fillId="21" borderId="1" xfId="0" applyNumberFormat="1" applyFont="1" applyFill="1" applyBorder="1" applyAlignment="1">
      <alignment horizontal="center" vertical="center"/>
    </xf>
    <xf numFmtId="170" fontId="0" fillId="21" borderId="1" xfId="0" applyNumberFormat="1" applyFont="1" applyFill="1" applyBorder="1" applyAlignment="1">
      <alignment horizontal="center" vertical="center"/>
    </xf>
    <xf numFmtId="168" fontId="0" fillId="2" borderId="1" xfId="0" applyNumberFormat="1" applyFont="1" applyFill="1" applyBorder="1" applyAlignment="1">
      <alignment horizontal="center" vertical="center"/>
    </xf>
    <xf numFmtId="170" fontId="0" fillId="4" borderId="1" xfId="0" applyNumberFormat="1" applyFont="1" applyFill="1" applyBorder="1" applyAlignment="1">
      <alignment horizontal="center" vertical="center"/>
    </xf>
    <xf numFmtId="168" fontId="0" fillId="0" borderId="1" xfId="0" applyNumberFormat="1" applyFont="1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0" fontId="22" fillId="22" borderId="2" xfId="0" applyFont="1" applyFill="1" applyBorder="1" applyAlignment="1">
      <alignment horizontal="center" vertical="center"/>
    </xf>
    <xf numFmtId="0" fontId="22" fillId="22" borderId="3" xfId="0" applyFont="1" applyFill="1" applyBorder="1" applyAlignment="1">
      <alignment horizontal="center" vertical="center"/>
    </xf>
    <xf numFmtId="167" fontId="0" fillId="22" borderId="1" xfId="0" applyNumberFormat="1" applyFill="1" applyBorder="1" applyAlignment="1">
      <alignment horizontal="center" vertical="center"/>
    </xf>
    <xf numFmtId="167" fontId="0" fillId="23" borderId="1" xfId="0" applyNumberFormat="1" applyFill="1" applyBorder="1" applyAlignment="1">
      <alignment horizontal="center" vertical="center"/>
    </xf>
    <xf numFmtId="0" fontId="40" fillId="23" borderId="2" xfId="0" applyFont="1" applyFill="1" applyBorder="1" applyAlignment="1">
      <alignment horizontal="center" vertical="center"/>
    </xf>
    <xf numFmtId="0" fontId="40" fillId="23" borderId="3" xfId="0" applyFont="1" applyFill="1" applyBorder="1" applyAlignment="1">
      <alignment horizontal="center" vertical="center"/>
    </xf>
    <xf numFmtId="0" fontId="0" fillId="23" borderId="2" xfId="0" applyFont="1" applyFill="1" applyBorder="1" applyAlignment="1">
      <alignment horizontal="center" vertical="center" wrapText="1"/>
    </xf>
    <xf numFmtId="0" fontId="0" fillId="23" borderId="3" xfId="0" applyFont="1" applyFill="1" applyBorder="1" applyAlignment="1">
      <alignment horizontal="center" vertical="center" wrapText="1"/>
    </xf>
    <xf numFmtId="168" fontId="0" fillId="23" borderId="1" xfId="0" applyNumberFormat="1" applyFill="1" applyBorder="1" applyAlignment="1">
      <alignment horizontal="center" vertical="center"/>
    </xf>
    <xf numFmtId="170" fontId="0" fillId="23" borderId="1" xfId="0" applyNumberFormat="1" applyFill="1" applyBorder="1" applyAlignment="1">
      <alignment horizontal="center" vertical="center"/>
    </xf>
    <xf numFmtId="168" fontId="0" fillId="14" borderId="1" xfId="0" applyNumberForma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167" fontId="0" fillId="23" borderId="1" xfId="0" applyNumberFormat="1" applyFont="1" applyFill="1" applyBorder="1" applyAlignment="1">
      <alignment horizontal="center" vertical="center"/>
    </xf>
    <xf numFmtId="0" fontId="22" fillId="23" borderId="2" xfId="0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center" vertical="center"/>
    </xf>
    <xf numFmtId="168" fontId="0" fillId="23" borderId="1" xfId="0" applyNumberFormat="1" applyFont="1" applyFill="1" applyBorder="1" applyAlignment="1">
      <alignment horizontal="center" vertical="center"/>
    </xf>
    <xf numFmtId="170" fontId="0" fillId="23" borderId="1" xfId="0" applyNumberFormat="1" applyFont="1" applyFill="1" applyBorder="1" applyAlignment="1">
      <alignment horizontal="center" vertical="center"/>
    </xf>
    <xf numFmtId="168" fontId="0" fillId="14" borderId="1" xfId="0" applyNumberFormat="1" applyFont="1" applyFill="1" applyBorder="1" applyAlignment="1">
      <alignment horizontal="center" vertical="center"/>
    </xf>
    <xf numFmtId="0" fontId="0" fillId="23" borderId="2" xfId="3" applyFont="1" applyFill="1" applyBorder="1" applyAlignment="1">
      <alignment horizontal="center" vertical="center" wrapText="1"/>
    </xf>
    <xf numFmtId="0" fontId="0" fillId="23" borderId="3" xfId="3" applyFont="1" applyFill="1" applyBorder="1" applyAlignment="1">
      <alignment horizontal="center" vertical="center" wrapText="1"/>
    </xf>
    <xf numFmtId="169" fontId="0" fillId="23" borderId="1" xfId="0" applyNumberFormat="1" applyFill="1" applyBorder="1" applyAlignment="1">
      <alignment horizontal="center" vertical="center"/>
    </xf>
    <xf numFmtId="165" fontId="0" fillId="2" borderId="0" xfId="0" applyNumberFormat="1" applyFill="1"/>
    <xf numFmtId="9" fontId="0" fillId="2" borderId="12" xfId="5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left" vertical="center"/>
    </xf>
    <xf numFmtId="165" fontId="0" fillId="0" borderId="25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50" fillId="21" borderId="46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165" fontId="0" fillId="0" borderId="5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50" fillId="21" borderId="41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22" fontId="25" fillId="20" borderId="0" xfId="0" applyNumberFormat="1" applyFont="1" applyFill="1" applyAlignment="1">
      <alignment horizontal="center" vertical="center"/>
    </xf>
    <xf numFmtId="0" fontId="2" fillId="3" borderId="7" xfId="0" applyNumberFormat="1" applyFont="1" applyFill="1" applyBorder="1" applyAlignment="1">
      <alignment horizontal="left" vertical="center" wrapText="1" readingOrder="1"/>
    </xf>
    <xf numFmtId="0" fontId="2" fillId="3" borderId="11" xfId="0" applyNumberFormat="1" applyFont="1" applyFill="1" applyBorder="1" applyAlignment="1">
      <alignment horizontal="left" vertical="center" wrapText="1" readingOrder="1"/>
    </xf>
    <xf numFmtId="0" fontId="0" fillId="21" borderId="1" xfId="0" applyNumberFormat="1" applyFill="1" applyBorder="1" applyAlignment="1">
      <alignment horizontal="left" vertical="center"/>
    </xf>
    <xf numFmtId="0" fontId="0" fillId="21" borderId="1" xfId="0" applyNumberFormat="1" applyFont="1" applyFill="1" applyBorder="1" applyAlignment="1">
      <alignment horizontal="left" vertical="center"/>
    </xf>
    <xf numFmtId="0" fontId="57" fillId="2" borderId="1" xfId="0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left" vertical="center"/>
    </xf>
    <xf numFmtId="1" fontId="58" fillId="2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167" fontId="0" fillId="20" borderId="1" xfId="0" applyNumberFormat="1" applyFill="1" applyBorder="1" applyAlignment="1">
      <alignment horizontal="center" vertical="center"/>
    </xf>
    <xf numFmtId="0" fontId="22" fillId="20" borderId="2" xfId="0" applyFont="1" applyFill="1" applyBorder="1" applyAlignment="1">
      <alignment horizontal="center" vertical="center"/>
    </xf>
    <xf numFmtId="0" fontId="22" fillId="20" borderId="3" xfId="0" applyFont="1" applyFill="1" applyBorder="1" applyAlignment="1">
      <alignment horizontal="center" vertical="center"/>
    </xf>
    <xf numFmtId="0" fontId="0" fillId="20" borderId="2" xfId="0" applyFont="1" applyFill="1" applyBorder="1" applyAlignment="1">
      <alignment horizontal="center" vertical="center" wrapText="1"/>
    </xf>
    <xf numFmtId="0" fontId="0" fillId="20" borderId="3" xfId="0" applyFont="1" applyFill="1" applyBorder="1" applyAlignment="1">
      <alignment horizontal="center" vertical="center" wrapText="1"/>
    </xf>
    <xf numFmtId="168" fontId="0" fillId="20" borderId="1" xfId="0" applyNumberFormat="1" applyFont="1" applyFill="1" applyBorder="1" applyAlignment="1">
      <alignment horizontal="center" vertical="center"/>
    </xf>
    <xf numFmtId="170" fontId="0" fillId="20" borderId="1" xfId="0" applyNumberFormat="1" applyFont="1" applyFill="1" applyBorder="1" applyAlignment="1">
      <alignment horizontal="center" vertical="center"/>
    </xf>
    <xf numFmtId="0" fontId="0" fillId="20" borderId="1" xfId="0" applyNumberFormat="1" applyFill="1" applyBorder="1" applyAlignment="1">
      <alignment horizontal="left" vertical="center"/>
    </xf>
    <xf numFmtId="0" fontId="0" fillId="20" borderId="1" xfId="0" applyNumberFormat="1" applyFont="1" applyFill="1" applyBorder="1" applyAlignment="1">
      <alignment horizontal="left" vertical="center"/>
    </xf>
    <xf numFmtId="0" fontId="0" fillId="20" borderId="1" xfId="0" applyFill="1" applyBorder="1" applyAlignment="1">
      <alignment horizontal="center" vertical="center"/>
    </xf>
    <xf numFmtId="1" fontId="58" fillId="2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168" fontId="0" fillId="20" borderId="1" xfId="0" applyNumberFormat="1" applyFill="1" applyBorder="1" applyAlignment="1">
      <alignment horizontal="center" vertical="center"/>
    </xf>
    <xf numFmtId="0" fontId="23" fillId="20" borderId="3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57" fillId="5" borderId="1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 vertical="center"/>
    </xf>
    <xf numFmtId="170" fontId="0" fillId="5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left" vertical="center"/>
    </xf>
    <xf numFmtId="0" fontId="0" fillId="5" borderId="1" xfId="0" applyNumberFormat="1" applyFont="1" applyFill="1" applyBorder="1" applyAlignment="1">
      <alignment horizontal="left" vertical="center"/>
    </xf>
    <xf numFmtId="167" fontId="0" fillId="27" borderId="1" xfId="0" applyNumberFormat="1" applyFill="1" applyBorder="1" applyAlignment="1">
      <alignment horizontal="center" vertical="center"/>
    </xf>
    <xf numFmtId="0" fontId="0" fillId="14" borderId="1" xfId="0" applyNumberFormat="1" applyFill="1" applyBorder="1" applyAlignment="1">
      <alignment horizontal="left" vertical="center"/>
    </xf>
    <xf numFmtId="0" fontId="0" fillId="14" borderId="1" xfId="0" applyNumberFormat="1" applyFont="1" applyFill="1" applyBorder="1" applyAlignment="1">
      <alignment horizontal="left" vertical="center"/>
    </xf>
    <xf numFmtId="0" fontId="0" fillId="23" borderId="1" xfId="0" applyNumberFormat="1" applyFill="1" applyBorder="1" applyAlignment="1">
      <alignment horizontal="left" vertical="center"/>
    </xf>
    <xf numFmtId="0" fontId="0" fillId="23" borderId="1" xfId="0" applyNumberFormat="1" applyFont="1" applyFill="1" applyBorder="1" applyAlignment="1">
      <alignment horizontal="left" vertical="center"/>
    </xf>
    <xf numFmtId="0" fontId="57" fillId="23" borderId="1" xfId="0" applyFont="1" applyFill="1" applyBorder="1" applyAlignment="1">
      <alignment horizontal="center"/>
    </xf>
    <xf numFmtId="170" fontId="0" fillId="23" borderId="1" xfId="0" applyNumberFormat="1" applyFill="1" applyBorder="1" applyAlignment="1">
      <alignment horizontal="left" vertical="center"/>
    </xf>
    <xf numFmtId="0" fontId="56" fillId="24" borderId="45" xfId="6" applyFont="1" applyFill="1" applyBorder="1" applyAlignment="1">
      <alignment horizontal="left" vertical="center"/>
    </xf>
    <xf numFmtId="170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49" fontId="9" fillId="6" borderId="51" xfId="0" applyNumberFormat="1" applyFont="1" applyFill="1" applyBorder="1" applyAlignment="1" applyProtection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165" fontId="0" fillId="0" borderId="0" xfId="2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164" fontId="0" fillId="2" borderId="1" xfId="0" applyNumberFormat="1" applyFill="1" applyBorder="1" applyAlignment="1">
      <alignment horizontal="center" vertical="center"/>
    </xf>
    <xf numFmtId="0" fontId="0" fillId="0" borderId="0" xfId="0" applyAlignme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left"/>
    </xf>
    <xf numFmtId="170" fontId="0" fillId="2" borderId="1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2" fillId="3" borderId="10" xfId="0" applyNumberFormat="1" applyFont="1" applyFill="1" applyBorder="1" applyAlignment="1">
      <alignment horizontal="left" vertical="center" wrapText="1" readingOrder="1"/>
    </xf>
    <xf numFmtId="0" fontId="0" fillId="2" borderId="2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168" fontId="0" fillId="2" borderId="1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15" borderId="47" xfId="0" applyFill="1" applyBorder="1" applyAlignment="1">
      <alignment horizontal="left"/>
    </xf>
    <xf numFmtId="0" fontId="0" fillId="15" borderId="48" xfId="0" applyFill="1" applyBorder="1" applyAlignment="1">
      <alignment horizontal="left"/>
    </xf>
    <xf numFmtId="167" fontId="59" fillId="2" borderId="0" xfId="0" applyNumberFormat="1" applyFont="1" applyFill="1" applyAlignment="1">
      <alignment horizontal="left" vertical="center"/>
    </xf>
    <xf numFmtId="0" fontId="60" fillId="0" borderId="1" xfId="0" applyNumberFormat="1" applyFont="1" applyBorder="1" applyAlignment="1">
      <alignment horizontal="center" vertical="center"/>
    </xf>
    <xf numFmtId="0" fontId="60" fillId="0" borderId="12" xfId="0" applyNumberFormat="1" applyFont="1" applyBorder="1" applyAlignment="1">
      <alignment horizontal="center" vertical="center"/>
    </xf>
    <xf numFmtId="170" fontId="29" fillId="2" borderId="1" xfId="0" applyNumberFormat="1" applyFont="1" applyFill="1" applyBorder="1" applyAlignment="1">
      <alignment horizontal="left" vertical="center"/>
    </xf>
    <xf numFmtId="0" fontId="0" fillId="25" borderId="2" xfId="0" applyFill="1" applyBorder="1" applyAlignment="1">
      <alignment horizontal="left" vertical="center"/>
    </xf>
    <xf numFmtId="0" fontId="0" fillId="25" borderId="3" xfId="0" applyFill="1" applyBorder="1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7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vertical="top"/>
    </xf>
    <xf numFmtId="168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NumberFormat="1" applyAlignment="1">
      <alignment horizontal="center" vertical="top"/>
    </xf>
    <xf numFmtId="0" fontId="29" fillId="0" borderId="0" xfId="0" applyFont="1"/>
    <xf numFmtId="0" fontId="61" fillId="5" borderId="1" xfId="0" applyNumberFormat="1" applyFont="1" applyFill="1" applyBorder="1" applyAlignment="1">
      <alignment horizontal="center" vertical="center"/>
    </xf>
    <xf numFmtId="0" fontId="62" fillId="5" borderId="16" xfId="0" applyNumberFormat="1" applyFont="1" applyFill="1" applyBorder="1" applyAlignment="1">
      <alignment horizontal="center" vertical="center"/>
    </xf>
    <xf numFmtId="165" fontId="29" fillId="2" borderId="1" xfId="2" applyFont="1" applyFill="1" applyBorder="1" applyAlignment="1">
      <alignment horizontal="center" vertical="center"/>
    </xf>
    <xf numFmtId="0" fontId="61" fillId="15" borderId="8" xfId="0" applyNumberFormat="1" applyFont="1" applyFill="1" applyBorder="1" applyAlignment="1">
      <alignment horizontal="center" vertical="center"/>
    </xf>
    <xf numFmtId="0" fontId="62" fillId="5" borderId="14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164" fontId="0" fillId="2" borderId="0" xfId="0" applyNumberFormat="1" applyFill="1"/>
    <xf numFmtId="167" fontId="0" fillId="28" borderId="2" xfId="0" applyNumberFormat="1" applyFill="1" applyBorder="1" applyAlignment="1">
      <alignment horizontal="center" vertical="center"/>
    </xf>
    <xf numFmtId="167" fontId="0" fillId="28" borderId="1" xfId="0" applyNumberFormat="1" applyFill="1" applyBorder="1" applyAlignment="1">
      <alignment horizontal="center" vertical="center"/>
    </xf>
    <xf numFmtId="167" fontId="0" fillId="28" borderId="1" xfId="0" applyNumberFormat="1" applyFont="1" applyFill="1" applyBorder="1" applyAlignment="1">
      <alignment horizontal="center" vertical="center"/>
    </xf>
    <xf numFmtId="0" fontId="0" fillId="28" borderId="1" xfId="0" applyNumberFormat="1" applyFont="1" applyFill="1" applyBorder="1" applyAlignment="1">
      <alignment horizontal="center" vertical="center"/>
    </xf>
    <xf numFmtId="0" fontId="0" fillId="6" borderId="49" xfId="0" applyFill="1" applyBorder="1" applyAlignment="1">
      <alignment horizontal="left"/>
    </xf>
    <xf numFmtId="0" fontId="0" fillId="6" borderId="50" xfId="0" applyFill="1" applyBorder="1" applyAlignment="1">
      <alignment horizontal="left"/>
    </xf>
    <xf numFmtId="4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9" fillId="14" borderId="37" xfId="0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0" fillId="23" borderId="38" xfId="0" applyFont="1" applyFill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50" fillId="0" borderId="38" xfId="0" applyFont="1" applyBorder="1" applyAlignment="1">
      <alignment horizontal="left" vertical="center"/>
    </xf>
    <xf numFmtId="0" fontId="50" fillId="6" borderId="38" xfId="0" applyFont="1" applyFill="1" applyBorder="1" applyAlignment="1">
      <alignment horizontal="left" vertical="center"/>
    </xf>
    <xf numFmtId="0" fontId="50" fillId="4" borderId="38" xfId="0" applyFont="1" applyFill="1" applyBorder="1" applyAlignment="1">
      <alignment horizontal="left" vertical="center"/>
    </xf>
    <xf numFmtId="0" fontId="50" fillId="0" borderId="57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2" fillId="3" borderId="58" xfId="0" applyNumberFormat="1" applyFont="1" applyFill="1" applyBorder="1" applyAlignment="1">
      <alignment horizontal="center" vertical="center" wrapText="1" readingOrder="1"/>
    </xf>
    <xf numFmtId="0" fontId="2" fillId="3" borderId="59" xfId="0" applyNumberFormat="1" applyFont="1" applyFill="1" applyBorder="1" applyAlignment="1">
      <alignment horizontal="left" vertical="center" wrapText="1" readingOrder="1"/>
    </xf>
    <xf numFmtId="0" fontId="2" fillId="3" borderId="60" xfId="0" applyNumberFormat="1" applyFont="1" applyFill="1" applyBorder="1" applyAlignment="1">
      <alignment horizontal="left" vertical="center" wrapText="1" readingOrder="1"/>
    </xf>
    <xf numFmtId="0" fontId="2" fillId="3" borderId="61" xfId="0" applyNumberFormat="1" applyFont="1" applyFill="1" applyBorder="1" applyAlignment="1">
      <alignment horizontal="center" vertical="center" wrapText="1" readingOrder="1"/>
    </xf>
    <xf numFmtId="169" fontId="2" fillId="3" borderId="60" xfId="0" applyNumberFormat="1" applyFont="1" applyFill="1" applyBorder="1" applyAlignment="1">
      <alignment horizontal="center" vertical="center" wrapText="1" readingOrder="1"/>
    </xf>
    <xf numFmtId="0" fontId="2" fillId="3" borderId="60" xfId="0" applyNumberFormat="1" applyFont="1" applyFill="1" applyBorder="1" applyAlignment="1">
      <alignment horizontal="center" vertical="center" wrapText="1" readingOrder="1"/>
    </xf>
    <xf numFmtId="0" fontId="5" fillId="3" borderId="24" xfId="0" applyNumberFormat="1" applyFont="1" applyFill="1" applyBorder="1" applyAlignment="1">
      <alignment horizontal="center" vertical="center" wrapText="1" readingOrder="1"/>
    </xf>
    <xf numFmtId="0" fontId="6" fillId="3" borderId="44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165" fontId="0" fillId="3" borderId="22" xfId="2" applyFont="1" applyFill="1" applyBorder="1" applyAlignment="1">
      <alignment horizontal="center" vertical="center"/>
    </xf>
    <xf numFmtId="0" fontId="0" fillId="0" borderId="16" xfId="0" applyNumberFormat="1" applyFill="1" applyBorder="1" applyAlignment="1">
      <alignment horizontal="center" vertical="center"/>
    </xf>
    <xf numFmtId="167" fontId="0" fillId="2" borderId="14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168" fontId="0" fillId="2" borderId="14" xfId="0" applyNumberFormat="1" applyFill="1" applyBorder="1" applyAlignment="1">
      <alignment horizontal="center" vertical="center"/>
    </xf>
    <xf numFmtId="170" fontId="0" fillId="2" borderId="14" xfId="0" applyNumberFormat="1" applyFill="1" applyBorder="1" applyAlignment="1">
      <alignment horizontal="center" vertical="center"/>
    </xf>
    <xf numFmtId="170" fontId="0" fillId="2" borderId="14" xfId="0" applyNumberFormat="1" applyFill="1" applyBorder="1" applyAlignment="1">
      <alignment horizontal="left" vertical="center"/>
    </xf>
    <xf numFmtId="165" fontId="0" fillId="2" borderId="14" xfId="2" applyFont="1" applyFill="1" applyBorder="1" applyAlignment="1">
      <alignment horizontal="center" vertical="center"/>
    </xf>
    <xf numFmtId="165" fontId="0" fillId="3" borderId="15" xfId="2" applyFont="1" applyFill="1" applyBorder="1" applyAlignment="1">
      <alignment horizontal="center" vertical="center"/>
    </xf>
    <xf numFmtId="49" fontId="10" fillId="6" borderId="62" xfId="0" applyNumberFormat="1" applyFont="1" applyFill="1" applyBorder="1" applyAlignment="1" applyProtection="1">
      <alignment horizontal="center" vertical="center" wrapText="1"/>
    </xf>
    <xf numFmtId="0" fontId="0" fillId="0" borderId="2" xfId="0" applyBorder="1"/>
    <xf numFmtId="0" fontId="6" fillId="15" borderId="63" xfId="0" applyNumberFormat="1" applyFont="1" applyFill="1" applyBorder="1" applyAlignment="1">
      <alignment horizontal="center" vertical="center"/>
    </xf>
    <xf numFmtId="0" fontId="6" fillId="15" borderId="44" xfId="0" applyNumberFormat="1" applyFont="1" applyFill="1" applyBorder="1" applyAlignment="1">
      <alignment horizontal="center" vertical="center"/>
    </xf>
    <xf numFmtId="165" fontId="0" fillId="0" borderId="28" xfId="2" applyFont="1" applyFill="1" applyBorder="1" applyAlignment="1">
      <alignment horizontal="center" vertical="center"/>
    </xf>
    <xf numFmtId="165" fontId="0" fillId="0" borderId="16" xfId="2" applyFont="1" applyFill="1" applyBorder="1" applyAlignment="1">
      <alignment horizontal="center" vertical="center"/>
    </xf>
    <xf numFmtId="165" fontId="0" fillId="0" borderId="14" xfId="2" applyFont="1" applyFill="1" applyBorder="1" applyAlignment="1">
      <alignment horizontal="center" vertical="center"/>
    </xf>
    <xf numFmtId="0" fontId="0" fillId="0" borderId="3" xfId="0" applyBorder="1"/>
    <xf numFmtId="0" fontId="6" fillId="5" borderId="28" xfId="0" applyNumberFormat="1" applyFont="1" applyFill="1" applyBorder="1" applyAlignment="1">
      <alignment horizontal="center" vertical="center"/>
    </xf>
    <xf numFmtId="165" fontId="0" fillId="2" borderId="28" xfId="2" applyFont="1" applyFill="1" applyBorder="1" applyAlignment="1">
      <alignment horizontal="center" vertical="center"/>
    </xf>
    <xf numFmtId="165" fontId="0" fillId="2" borderId="16" xfId="2" applyFont="1" applyFill="1" applyBorder="1" applyAlignment="1">
      <alignment horizontal="center" vertical="center"/>
    </xf>
    <xf numFmtId="165" fontId="0" fillId="0" borderId="14" xfId="2" applyFont="1" applyBorder="1" applyAlignment="1">
      <alignment horizontal="center" vertical="center"/>
    </xf>
    <xf numFmtId="0" fontId="2" fillId="3" borderId="59" xfId="0" applyNumberFormat="1" applyFont="1" applyFill="1" applyBorder="1" applyAlignment="1">
      <alignment horizontal="center" vertical="center" wrapText="1" readingOrder="1"/>
    </xf>
    <xf numFmtId="0" fontId="2" fillId="3" borderId="52" xfId="0" applyNumberFormat="1" applyFont="1" applyFill="1" applyBorder="1" applyAlignment="1">
      <alignment horizontal="center" vertical="center" wrapText="1" readingOrder="1"/>
    </xf>
    <xf numFmtId="0" fontId="2" fillId="3" borderId="56" xfId="0" applyNumberFormat="1" applyFont="1" applyFill="1" applyBorder="1" applyAlignment="1">
      <alignment horizontal="center" vertical="center" wrapText="1" readingOrder="1"/>
    </xf>
    <xf numFmtId="0" fontId="5" fillId="6" borderId="26" xfId="0" applyNumberFormat="1" applyFont="1" applyFill="1" applyBorder="1" applyAlignment="1">
      <alignment horizontal="center" vertical="center" wrapText="1" readingOrder="1"/>
    </xf>
    <xf numFmtId="0" fontId="2" fillId="3" borderId="64" xfId="0" applyNumberFormat="1" applyFont="1" applyFill="1" applyBorder="1" applyAlignment="1">
      <alignment horizontal="center" vertical="center" wrapText="1" readingOrder="1"/>
    </xf>
    <xf numFmtId="0" fontId="2" fillId="3" borderId="65" xfId="0" applyNumberFormat="1" applyFont="1" applyFill="1" applyBorder="1" applyAlignment="1">
      <alignment horizontal="center" vertical="center" wrapText="1" readingOrder="1"/>
    </xf>
    <xf numFmtId="0" fontId="2" fillId="6" borderId="66" xfId="0" applyNumberFormat="1" applyFont="1" applyFill="1" applyBorder="1" applyAlignment="1">
      <alignment horizontal="center" vertical="center" wrapText="1" readingOrder="1"/>
    </xf>
    <xf numFmtId="169" fontId="2" fillId="6" borderId="65" xfId="0" applyNumberFormat="1" applyFont="1" applyFill="1" applyBorder="1" applyAlignment="1">
      <alignment horizontal="center" vertical="center" wrapText="1" readingOrder="1"/>
    </xf>
    <xf numFmtId="0" fontId="14" fillId="6" borderId="14" xfId="0" applyNumberFormat="1" applyFont="1" applyFill="1" applyBorder="1" applyAlignment="1">
      <alignment horizontal="center" vertical="center" wrapText="1" readingOrder="1"/>
    </xf>
    <xf numFmtId="0" fontId="2" fillId="6" borderId="65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0" fontId="0" fillId="0" borderId="0" xfId="0" applyFill="1"/>
    <xf numFmtId="165" fontId="0" fillId="2" borderId="17" xfId="2" applyFont="1" applyFill="1" applyBorder="1" applyAlignment="1">
      <alignment horizontal="center" vertical="center"/>
    </xf>
    <xf numFmtId="165" fontId="0" fillId="2" borderId="18" xfId="2" applyFont="1" applyFill="1" applyBorder="1" applyAlignment="1">
      <alignment horizontal="center" vertical="center"/>
    </xf>
    <xf numFmtId="165" fontId="0" fillId="3" borderId="19" xfId="2" applyFont="1" applyFill="1" applyBorder="1" applyAlignment="1">
      <alignment horizontal="center" vertical="center"/>
    </xf>
    <xf numFmtId="165" fontId="29" fillId="2" borderId="16" xfId="2" applyFont="1" applyFill="1" applyBorder="1" applyAlignment="1">
      <alignment horizontal="center" vertical="center"/>
    </xf>
    <xf numFmtId="165" fontId="29" fillId="2" borderId="14" xfId="2" applyFont="1" applyFill="1" applyBorder="1" applyAlignment="1">
      <alignment horizontal="center" vertical="center"/>
    </xf>
    <xf numFmtId="165" fontId="0" fillId="23" borderId="15" xfId="2" applyFont="1" applyFill="1" applyBorder="1" applyAlignment="1">
      <alignment horizontal="center" vertical="center"/>
    </xf>
    <xf numFmtId="165" fontId="29" fillId="0" borderId="16" xfId="2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6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68" fontId="0" fillId="0" borderId="0" xfId="0" applyNumberFormat="1" applyFill="1" applyBorder="1" applyAlignment="1">
      <alignment horizontal="left" vertical="center"/>
    </xf>
    <xf numFmtId="170" fontId="0" fillId="0" borderId="0" xfId="0" applyNumberFormat="1" applyFill="1" applyBorder="1" applyAlignment="1">
      <alignment horizontal="left" vertical="center"/>
    </xf>
    <xf numFmtId="165" fontId="0" fillId="0" borderId="0" xfId="0" applyNumberFormat="1" applyFill="1"/>
    <xf numFmtId="0" fontId="0" fillId="2" borderId="17" xfId="0" applyNumberFormat="1" applyFill="1" applyBorder="1" applyAlignment="1">
      <alignment horizontal="center" vertical="center"/>
    </xf>
    <xf numFmtId="167" fontId="0" fillId="2" borderId="18" xfId="0" applyNumberFormat="1" applyFill="1" applyBorder="1" applyAlignment="1">
      <alignment horizontal="center" vertical="center"/>
    </xf>
    <xf numFmtId="0" fontId="0" fillId="2" borderId="51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5" xfId="0" applyFill="1" applyBorder="1" applyAlignment="1">
      <alignment horizontal="left" vertical="center"/>
    </xf>
    <xf numFmtId="168" fontId="0" fillId="2" borderId="18" xfId="0" applyNumberFormat="1" applyFill="1" applyBorder="1" applyAlignment="1">
      <alignment horizontal="left" vertical="center"/>
    </xf>
    <xf numFmtId="170" fontId="0" fillId="2" borderId="18" xfId="0" applyNumberFormat="1" applyFill="1" applyBorder="1" applyAlignment="1">
      <alignment horizontal="left" vertical="center"/>
    </xf>
    <xf numFmtId="170" fontId="0" fillId="2" borderId="19" xfId="0" applyNumberFormat="1" applyFill="1" applyBorder="1" applyAlignment="1">
      <alignment horizontal="left" vertical="center"/>
    </xf>
    <xf numFmtId="0" fontId="0" fillId="2" borderId="28" xfId="0" applyNumberFormat="1" applyFill="1" applyBorder="1" applyAlignment="1">
      <alignment horizontal="center" vertical="center"/>
    </xf>
    <xf numFmtId="170" fontId="0" fillId="2" borderId="22" xfId="0" applyNumberFormat="1" applyFill="1" applyBorder="1" applyAlignment="1">
      <alignment horizontal="left" vertical="center"/>
    </xf>
    <xf numFmtId="0" fontId="0" fillId="2" borderId="16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168" fontId="0" fillId="2" borderId="14" xfId="0" applyNumberFormat="1" applyFill="1" applyBorder="1" applyAlignment="1">
      <alignment horizontal="left" vertical="center"/>
    </xf>
    <xf numFmtId="170" fontId="0" fillId="2" borderId="15" xfId="0" applyNumberFormat="1" applyFill="1" applyBorder="1" applyAlignment="1">
      <alignment horizontal="left" vertical="center"/>
    </xf>
    <xf numFmtId="165" fontId="0" fillId="2" borderId="3" xfId="2" applyFont="1" applyFill="1" applyBorder="1" applyAlignment="1">
      <alignment horizontal="center" vertical="center"/>
    </xf>
    <xf numFmtId="165" fontId="0" fillId="2" borderId="21" xfId="2" applyFon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0" fillId="2" borderId="51" xfId="0" applyFill="1" applyBorder="1" applyAlignment="1">
      <alignment horizontal="left" vertical="center"/>
    </xf>
    <xf numFmtId="0" fontId="0" fillId="2" borderId="25" xfId="0" applyFill="1" applyBorder="1" applyAlignment="1">
      <alignment horizontal="center" vertical="center"/>
    </xf>
    <xf numFmtId="168" fontId="0" fillId="2" borderId="18" xfId="0" applyNumberFormat="1" applyFill="1" applyBorder="1" applyAlignment="1">
      <alignment horizontal="center" vertical="center"/>
    </xf>
    <xf numFmtId="170" fontId="0" fillId="2" borderId="18" xfId="0" applyNumberFormat="1" applyFill="1" applyBorder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14" fontId="0" fillId="2" borderId="18" xfId="0" applyNumberFormat="1" applyFill="1" applyBorder="1" applyAlignment="1">
      <alignment horizontal="center" vertical="center"/>
    </xf>
    <xf numFmtId="0" fontId="60" fillId="0" borderId="18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164" fontId="0" fillId="2" borderId="28" xfId="0" applyNumberFormat="1" applyFill="1" applyBorder="1" applyAlignment="1">
      <alignment horizontal="center" vertical="center"/>
    </xf>
    <xf numFmtId="0" fontId="0" fillId="0" borderId="22" xfId="0" applyBorder="1"/>
    <xf numFmtId="14" fontId="0" fillId="2" borderId="66" xfId="0" applyNumberFormat="1" applyFill="1" applyBorder="1" applyAlignment="1">
      <alignment horizontal="center" vertical="center"/>
    </xf>
    <xf numFmtId="0" fontId="60" fillId="0" borderId="14" xfId="0" applyNumberFormat="1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170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3" xfId="0" applyFill="1" applyBorder="1"/>
    <xf numFmtId="165" fontId="0" fillId="23" borderId="22" xfId="2" applyFont="1" applyFill="1" applyBorder="1" applyAlignment="1">
      <alignment horizontal="center" vertical="center"/>
    </xf>
    <xf numFmtId="170" fontId="0" fillId="0" borderId="0" xfId="0" applyNumberFormat="1" applyFill="1" applyBorder="1" applyAlignment="1">
      <alignment horizontal="center" vertical="center" wrapText="1"/>
    </xf>
    <xf numFmtId="170" fontId="0" fillId="2" borderId="22" xfId="0" applyNumberFormat="1" applyFill="1" applyBorder="1" applyAlignment="1">
      <alignment horizontal="center" vertical="center" wrapText="1"/>
    </xf>
    <xf numFmtId="170" fontId="0" fillId="2" borderId="14" xfId="0" applyNumberFormat="1" applyFill="1" applyBorder="1" applyAlignment="1">
      <alignment horizontal="center" vertical="center" wrapText="1"/>
    </xf>
    <xf numFmtId="170" fontId="0" fillId="2" borderId="15" xfId="0" applyNumberFormat="1" applyFill="1" applyBorder="1" applyAlignment="1">
      <alignment horizontal="center" vertical="center" wrapText="1"/>
    </xf>
    <xf numFmtId="0" fontId="0" fillId="2" borderId="2" xfId="0" applyFill="1" applyBorder="1"/>
    <xf numFmtId="165" fontId="0" fillId="23" borderId="19" xfId="2" applyFont="1" applyFill="1" applyBorder="1" applyAlignment="1">
      <alignment horizontal="center" vertical="center"/>
    </xf>
    <xf numFmtId="170" fontId="0" fillId="2" borderId="18" xfId="0" applyNumberFormat="1" applyFill="1" applyBorder="1" applyAlignment="1">
      <alignment horizontal="center" vertical="center" wrapText="1"/>
    </xf>
    <xf numFmtId="170" fontId="0" fillId="2" borderId="19" xfId="0" applyNumberFormat="1" applyFill="1" applyBorder="1" applyAlignment="1">
      <alignment horizontal="center" vertical="center" wrapText="1"/>
    </xf>
    <xf numFmtId="0" fontId="6" fillId="5" borderId="3" xfId="0" applyNumberFormat="1" applyFont="1" applyFill="1" applyBorder="1" applyAlignment="1">
      <alignment horizontal="center" vertical="center"/>
    </xf>
    <xf numFmtId="0" fontId="11" fillId="5" borderId="21" xfId="0" applyNumberFormat="1" applyFont="1" applyFill="1" applyBorder="1" applyAlignment="1">
      <alignment horizontal="center" vertical="center"/>
    </xf>
    <xf numFmtId="165" fontId="0" fillId="2" borderId="25" xfId="2" applyFont="1" applyFill="1" applyBorder="1" applyAlignment="1">
      <alignment horizontal="center" vertical="center"/>
    </xf>
    <xf numFmtId="0" fontId="61" fillId="5" borderId="28" xfId="0" applyNumberFormat="1" applyFont="1" applyFill="1" applyBorder="1" applyAlignment="1">
      <alignment horizontal="center" vertical="center"/>
    </xf>
    <xf numFmtId="165" fontId="29" fillId="2" borderId="28" xfId="2" applyFont="1" applyFill="1" applyBorder="1" applyAlignment="1">
      <alignment horizontal="center" vertical="center"/>
    </xf>
    <xf numFmtId="0" fontId="2" fillId="3" borderId="59" xfId="0" applyNumberFormat="1" applyFont="1" applyFill="1" applyBorder="1" applyAlignment="1">
      <alignment horizontal="center" wrapText="1" readingOrder="1"/>
    </xf>
    <xf numFmtId="0" fontId="5" fillId="3" borderId="60" xfId="0" applyNumberFormat="1" applyFont="1" applyFill="1" applyBorder="1" applyAlignment="1">
      <alignment horizontal="center" vertical="center" wrapText="1" readingOrder="1"/>
    </xf>
    <xf numFmtId="167" fontId="0" fillId="28" borderId="14" xfId="0" applyNumberFormat="1" applyFill="1" applyBorder="1" applyAlignment="1">
      <alignment horizontal="center" vertical="center"/>
    </xf>
    <xf numFmtId="170" fontId="29" fillId="2" borderId="14" xfId="0" applyNumberFormat="1" applyFont="1" applyFill="1" applyBorder="1" applyAlignment="1">
      <alignment horizontal="left" vertical="center"/>
    </xf>
    <xf numFmtId="0" fontId="0" fillId="2" borderId="14" xfId="0" applyNumberForma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22" xfId="0" applyNumberFormat="1" applyFont="1" applyFill="1" applyBorder="1" applyAlignment="1">
      <alignment horizontal="center" vertical="center" wrapText="1"/>
    </xf>
    <xf numFmtId="0" fontId="0" fillId="2" borderId="14" xfId="0" applyNumberFormat="1" applyFont="1" applyFill="1" applyBorder="1" applyAlignment="1">
      <alignment horizontal="center" vertical="center" wrapText="1"/>
    </xf>
    <xf numFmtId="0" fontId="0" fillId="2" borderId="15" xfId="0" applyNumberFormat="1" applyFont="1" applyFill="1" applyBorder="1" applyAlignment="1">
      <alignment horizontal="center" vertical="center" wrapText="1"/>
    </xf>
    <xf numFmtId="0" fontId="0" fillId="0" borderId="22" xfId="0" applyNumberFormat="1" applyFont="1" applyFill="1" applyBorder="1" applyAlignment="1">
      <alignment horizontal="center" vertical="center" wrapText="1"/>
    </xf>
    <xf numFmtId="165" fontId="29" fillId="0" borderId="28" xfId="2" applyFont="1" applyFill="1" applyBorder="1" applyAlignment="1">
      <alignment horizontal="center" vertical="center"/>
    </xf>
    <xf numFmtId="165" fontId="29" fillId="0" borderId="1" xfId="2" applyFon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9" fontId="0" fillId="0" borderId="1" xfId="5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61" fillId="15" borderId="63" xfId="0" applyNumberFormat="1" applyFont="1" applyFill="1" applyBorder="1" applyAlignment="1">
      <alignment horizontal="center" vertical="center"/>
    </xf>
    <xf numFmtId="165" fontId="0" fillId="0" borderId="22" xfId="2" applyFon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wrapText="1"/>
    </xf>
    <xf numFmtId="0" fontId="0" fillId="16" borderId="28" xfId="0" applyNumberFormat="1" applyFill="1" applyBorder="1" applyAlignment="1">
      <alignment horizontal="center" vertical="center"/>
    </xf>
    <xf numFmtId="167" fontId="0" fillId="16" borderId="1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/>
    </xf>
    <xf numFmtId="0" fontId="0" fillId="16" borderId="3" xfId="0" applyFill="1" applyBorder="1" applyAlignment="1">
      <alignment horizontal="left" vertical="center"/>
    </xf>
    <xf numFmtId="168" fontId="0" fillId="16" borderId="1" xfId="0" applyNumberFormat="1" applyFill="1" applyBorder="1" applyAlignment="1">
      <alignment horizontal="left" vertical="center"/>
    </xf>
    <xf numFmtId="170" fontId="0" fillId="16" borderId="1" xfId="0" applyNumberFormat="1" applyFill="1" applyBorder="1" applyAlignment="1">
      <alignment horizontal="left" vertical="center"/>
    </xf>
    <xf numFmtId="170" fontId="0" fillId="16" borderId="22" xfId="0" applyNumberFormat="1" applyFill="1" applyBorder="1" applyAlignment="1">
      <alignment horizontal="left" vertical="center" wrapText="1"/>
    </xf>
    <xf numFmtId="165" fontId="0" fillId="16" borderId="28" xfId="2" applyFont="1" applyFill="1" applyBorder="1" applyAlignment="1">
      <alignment horizontal="center" vertical="center"/>
    </xf>
    <xf numFmtId="165" fontId="0" fillId="16" borderId="1" xfId="2" applyFont="1" applyFill="1" applyBorder="1" applyAlignment="1">
      <alignment horizontal="center" vertical="center"/>
    </xf>
    <xf numFmtId="165" fontId="0" fillId="16" borderId="22" xfId="2" applyFont="1" applyFill="1" applyBorder="1" applyAlignment="1">
      <alignment horizontal="center" vertical="center"/>
    </xf>
    <xf numFmtId="0" fontId="0" fillId="16" borderId="3" xfId="0" applyFill="1" applyBorder="1"/>
    <xf numFmtId="0" fontId="0" fillId="16" borderId="1" xfId="0" applyFill="1" applyBorder="1"/>
    <xf numFmtId="0" fontId="0" fillId="16" borderId="2" xfId="0" applyFill="1" applyBorder="1"/>
    <xf numFmtId="165" fontId="0" fillId="16" borderId="0" xfId="0" applyNumberFormat="1" applyFill="1"/>
    <xf numFmtId="164" fontId="0" fillId="20" borderId="3" xfId="0" applyNumberFormat="1" applyFill="1" applyBorder="1" applyAlignment="1">
      <alignment horizontal="center" vertical="center"/>
    </xf>
    <xf numFmtId="164" fontId="0" fillId="29" borderId="3" xfId="0" applyNumberFormat="1" applyFill="1" applyBorder="1" applyAlignment="1">
      <alignment horizontal="center" vertical="center"/>
    </xf>
    <xf numFmtId="164" fontId="0" fillId="25" borderId="3" xfId="0" applyNumberFormat="1" applyFill="1" applyBorder="1" applyAlignment="1">
      <alignment horizontal="center" vertical="center"/>
    </xf>
    <xf numFmtId="164" fontId="0" fillId="20" borderId="28" xfId="0" applyNumberFormat="1" applyFill="1" applyBorder="1" applyAlignment="1">
      <alignment horizontal="center" vertical="center"/>
    </xf>
    <xf numFmtId="164" fontId="0" fillId="18" borderId="28" xfId="0" applyNumberFormat="1" applyFill="1" applyBorder="1" applyAlignment="1">
      <alignment horizontal="center" vertical="center"/>
    </xf>
    <xf numFmtId="164" fontId="0" fillId="19" borderId="28" xfId="0" applyNumberFormat="1" applyFill="1" applyBorder="1" applyAlignment="1">
      <alignment horizontal="center" vertical="center"/>
    </xf>
    <xf numFmtId="164" fontId="0" fillId="19" borderId="16" xfId="0" applyNumberFormat="1" applyFill="1" applyBorder="1" applyAlignment="1">
      <alignment horizontal="center" vertical="center"/>
    </xf>
    <xf numFmtId="0" fontId="50" fillId="0" borderId="42" xfId="0" applyFont="1" applyBorder="1" applyAlignment="1">
      <alignment horizontal="left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6" fontId="0" fillId="0" borderId="0" xfId="1" applyNumberFormat="1" applyFont="1" applyAlignment="1">
      <alignment vertical="center"/>
    </xf>
    <xf numFmtId="0" fontId="0" fillId="0" borderId="37" xfId="0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165" fontId="0" fillId="0" borderId="67" xfId="0" applyNumberFormat="1" applyBorder="1"/>
    <xf numFmtId="170" fontId="0" fillId="2" borderId="2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/>
    </xf>
    <xf numFmtId="165" fontId="0" fillId="29" borderId="1" xfId="2" applyFont="1" applyFill="1" applyBorder="1" applyAlignment="1">
      <alignment horizontal="center" vertical="center"/>
    </xf>
    <xf numFmtId="165" fontId="0" fillId="0" borderId="14" xfId="0" applyNumberFormat="1" applyFill="1" applyBorder="1" applyAlignment="1">
      <alignment horizontal="center" vertical="center"/>
    </xf>
    <xf numFmtId="165" fontId="0" fillId="29" borderId="14" xfId="2" applyFont="1" applyFill="1" applyBorder="1" applyAlignment="1">
      <alignment horizontal="center" vertical="center"/>
    </xf>
    <xf numFmtId="165" fontId="29" fillId="29" borderId="1" xfId="2" applyFont="1" applyFill="1" applyBorder="1" applyAlignment="1">
      <alignment horizontal="center" vertical="center"/>
    </xf>
    <xf numFmtId="164" fontId="0" fillId="25" borderId="21" xfId="0" applyNumberFormat="1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9" fontId="0" fillId="2" borderId="14" xfId="5" applyFont="1" applyFill="1" applyBorder="1" applyAlignment="1">
      <alignment horizontal="center" vertical="center"/>
    </xf>
    <xf numFmtId="165" fontId="29" fillId="29" borderId="14" xfId="2" applyFont="1" applyFill="1" applyBorder="1" applyAlignment="1">
      <alignment horizontal="center" vertical="center"/>
    </xf>
    <xf numFmtId="0" fontId="0" fillId="29" borderId="0" xfId="0" applyFill="1"/>
    <xf numFmtId="167" fontId="0" fillId="15" borderId="1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left" vertical="center"/>
    </xf>
    <xf numFmtId="0" fontId="0" fillId="15" borderId="3" xfId="0" applyFill="1" applyBorder="1" applyAlignment="1">
      <alignment horizontal="left" vertical="center"/>
    </xf>
    <xf numFmtId="0" fontId="0" fillId="15" borderId="0" xfId="0" applyFill="1"/>
    <xf numFmtId="0" fontId="4" fillId="5" borderId="1" xfId="0" applyNumberFormat="1" applyFont="1" applyFill="1" applyBorder="1" applyAlignment="1">
      <alignment horizontal="center" vertical="center"/>
    </xf>
    <xf numFmtId="0" fontId="4" fillId="15" borderId="1" xfId="0" applyNumberFormat="1" applyFont="1" applyFill="1" applyBorder="1" applyAlignment="1">
      <alignment horizontal="center" vertical="center"/>
    </xf>
    <xf numFmtId="0" fontId="4" fillId="5" borderId="51" xfId="0" applyNumberFormat="1" applyFont="1" applyFill="1" applyBorder="1" applyAlignment="1">
      <alignment horizontal="center" vertical="center"/>
    </xf>
    <xf numFmtId="0" fontId="4" fillId="5" borderId="27" xfId="0" applyNumberFormat="1" applyFont="1" applyFill="1" applyBorder="1" applyAlignment="1">
      <alignment horizontal="center" vertical="center"/>
    </xf>
    <xf numFmtId="0" fontId="4" fillId="5" borderId="53" xfId="0" applyNumberFormat="1" applyFont="1" applyFill="1" applyBorder="1" applyAlignment="1">
      <alignment horizontal="center" vertical="center"/>
    </xf>
    <xf numFmtId="0" fontId="4" fillId="15" borderId="17" xfId="0" applyNumberFormat="1" applyFont="1" applyFill="1" applyBorder="1" applyAlignment="1">
      <alignment horizontal="center" vertical="center"/>
    </xf>
    <xf numFmtId="0" fontId="4" fillId="15" borderId="18" xfId="0" applyNumberFormat="1" applyFont="1" applyFill="1" applyBorder="1" applyAlignment="1">
      <alignment horizontal="center" vertical="center"/>
    </xf>
    <xf numFmtId="0" fontId="4" fillId="15" borderId="19" xfId="0" applyNumberFormat="1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 applyProtection="1">
      <alignment horizontal="center" vertical="center" wrapText="1"/>
    </xf>
    <xf numFmtId="49" fontId="9" fillId="6" borderId="21" xfId="0" applyNumberFormat="1" applyFont="1" applyFill="1" applyBorder="1" applyAlignment="1" applyProtection="1">
      <alignment horizontal="center" vertical="center" wrapText="1"/>
    </xf>
    <xf numFmtId="0" fontId="4" fillId="5" borderId="3" xfId="0" applyNumberFormat="1" applyFont="1" applyFill="1" applyBorder="1" applyAlignment="1">
      <alignment horizontal="center" vertical="center"/>
    </xf>
    <xf numFmtId="0" fontId="4" fillId="5" borderId="17" xfId="0" applyNumberFormat="1" applyFont="1" applyFill="1" applyBorder="1" applyAlignment="1">
      <alignment horizontal="center" vertical="center"/>
    </xf>
    <xf numFmtId="0" fontId="4" fillId="5" borderId="18" xfId="0" applyNumberFormat="1" applyFont="1" applyFill="1" applyBorder="1" applyAlignment="1">
      <alignment horizontal="center" vertical="center"/>
    </xf>
    <xf numFmtId="0" fontId="4" fillId="5" borderId="19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8" fillId="5" borderId="8" xfId="0" applyNumberFormat="1" applyFont="1" applyFill="1" applyBorder="1" applyAlignment="1">
      <alignment horizontal="center" vertical="center" wrapText="1"/>
    </xf>
    <xf numFmtId="0" fontId="18" fillId="5" borderId="12" xfId="0" applyNumberFormat="1" applyFont="1" applyFill="1" applyBorder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 wrapText="1"/>
    </xf>
    <xf numFmtId="171" fontId="4" fillId="5" borderId="1" xfId="0" applyNumberFormat="1" applyFont="1" applyFill="1" applyBorder="1" applyAlignment="1">
      <alignment horizontal="center" vertical="center" wrapText="1"/>
    </xf>
    <xf numFmtId="170" fontId="4" fillId="5" borderId="1" xfId="0" applyNumberFormat="1" applyFont="1" applyFill="1" applyBorder="1" applyAlignment="1">
      <alignment horizontal="center" vertical="center" wrapText="1"/>
    </xf>
    <xf numFmtId="0" fontId="49" fillId="16" borderId="34" xfId="0" applyFont="1" applyFill="1" applyBorder="1" applyAlignment="1">
      <alignment horizontal="center"/>
    </xf>
    <xf numFmtId="0" fontId="50" fillId="16" borderId="35" xfId="0" applyFont="1" applyFill="1" applyBorder="1" applyAlignment="1">
      <alignment horizontal="center"/>
    </xf>
    <xf numFmtId="0" fontId="0" fillId="21" borderId="36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21" borderId="34" xfId="0" applyFill="1" applyBorder="1" applyAlignment="1">
      <alignment horizontal="center" wrapText="1"/>
    </xf>
    <xf numFmtId="0" fontId="0" fillId="21" borderId="35" xfId="0" applyFill="1" applyBorder="1" applyAlignment="1">
      <alignment horizontal="center" wrapText="1"/>
    </xf>
    <xf numFmtId="0" fontId="49" fillId="6" borderId="41" xfId="0" applyFont="1" applyFill="1" applyBorder="1" applyAlignment="1">
      <alignment horizontal="center" vertical="center" wrapText="1"/>
    </xf>
    <xf numFmtId="0" fontId="49" fillId="6" borderId="42" xfId="0" applyFont="1" applyFill="1" applyBorder="1" applyAlignment="1">
      <alignment horizontal="center" vertical="center" wrapText="1"/>
    </xf>
    <xf numFmtId="0" fontId="49" fillId="16" borderId="41" xfId="0" applyFont="1" applyFill="1" applyBorder="1" applyAlignment="1">
      <alignment horizontal="center" vertical="center" wrapText="1"/>
    </xf>
    <xf numFmtId="0" fontId="49" fillId="16" borderId="42" xfId="0" applyFont="1" applyFill="1" applyBorder="1" applyAlignment="1">
      <alignment horizontal="center" vertical="center" wrapText="1"/>
    </xf>
    <xf numFmtId="0" fontId="50" fillId="19" borderId="34" xfId="0" applyFont="1" applyFill="1" applyBorder="1" applyAlignment="1">
      <alignment horizontal="center"/>
    </xf>
    <xf numFmtId="0" fontId="50" fillId="19" borderId="35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7">
    <cellStyle name="Normal_Sheet1" xfId="4"/>
    <cellStyle name="一般" xfId="0" builtinId="0"/>
    <cellStyle name="一般_10月份考勤日报表_2" xfId="6"/>
    <cellStyle name="千分位" xfId="1" builtinId="3"/>
    <cellStyle name="百分比" xfId="5" builtinId="5"/>
    <cellStyle name="貨幣" xfId="2" builtinId="4"/>
    <cellStyle name="壞" xfId="3" builtinId="27"/>
  </cellStyles>
  <dxfs count="129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CCFF33"/>
      <color rgb="FFCCECFF"/>
      <color rgb="FF00FF99"/>
      <color rgb="FFCC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986"/>
  <sheetViews>
    <sheetView zoomScaleNormal="100" workbookViewId="0">
      <pane xSplit="8" ySplit="3" topLeftCell="M51" activePane="bottomRight" state="frozen"/>
      <selection pane="topRight" activeCell="I1" sqref="I1"/>
      <selection pane="bottomLeft" activeCell="A4" sqref="A4"/>
      <selection pane="bottomRight" activeCell="AV61" sqref="AV61"/>
    </sheetView>
  </sheetViews>
  <sheetFormatPr defaultRowHeight="15"/>
  <cols>
    <col min="1" max="1" width="8" style="21" customWidth="1"/>
    <col min="2" max="2" width="12" style="336" customWidth="1"/>
    <col min="3" max="3" width="15.28515625" style="355" customWidth="1"/>
    <col min="4" max="4" width="11.85546875" style="355" customWidth="1"/>
    <col min="5" max="5" width="17.140625" style="21" customWidth="1"/>
    <col min="6" max="6" width="16.140625" style="21" customWidth="1"/>
    <col min="7" max="7" width="8" style="21" customWidth="1"/>
    <col min="8" max="8" width="11.28515625" style="356" customWidth="1"/>
    <col min="9" max="9" width="14.28515625" style="355" customWidth="1"/>
    <col min="10" max="10" width="23.42578125" style="423" customWidth="1"/>
    <col min="11" max="11" width="13.5703125" style="423" customWidth="1"/>
    <col min="12" max="12" width="20.85546875" style="423" customWidth="1"/>
    <col min="13" max="17" width="7.7109375" style="4" customWidth="1"/>
    <col min="18" max="19" width="9.140625" style="4" customWidth="1"/>
    <col min="20" max="20" width="9.140625" customWidth="1"/>
    <col min="21" max="42" width="9.140625" hidden="1" customWidth="1"/>
    <col min="43" max="43" width="0" hidden="1" customWidth="1"/>
  </cols>
  <sheetData>
    <row r="1" spans="1:44">
      <c r="N1" s="424">
        <v>44592</v>
      </c>
    </row>
    <row r="2" spans="1:44" ht="21">
      <c r="A2" s="27" t="s">
        <v>60</v>
      </c>
      <c r="B2" s="28" t="s">
        <v>68</v>
      </c>
      <c r="C2" s="29" t="s">
        <v>128</v>
      </c>
      <c r="D2" s="353" t="s">
        <v>129</v>
      </c>
      <c r="E2" s="29" t="s">
        <v>61</v>
      </c>
      <c r="F2" s="353" t="s">
        <v>62</v>
      </c>
      <c r="G2" s="48" t="s">
        <v>130</v>
      </c>
      <c r="H2" s="30" t="s">
        <v>63</v>
      </c>
      <c r="I2" s="353" t="s">
        <v>64</v>
      </c>
      <c r="J2" s="425" t="s">
        <v>6160</v>
      </c>
      <c r="K2" s="425" t="s">
        <v>65</v>
      </c>
      <c r="L2" s="425" t="s">
        <v>66</v>
      </c>
      <c r="M2" s="713" t="s">
        <v>6022</v>
      </c>
      <c r="N2" s="713"/>
      <c r="O2" s="713"/>
      <c r="P2" s="713"/>
      <c r="Q2" s="713"/>
      <c r="R2" s="713"/>
      <c r="S2" s="713"/>
      <c r="T2" s="713"/>
      <c r="U2" s="339" t="s">
        <v>6145</v>
      </c>
      <c r="V2" s="340" t="s">
        <v>6146</v>
      </c>
      <c r="W2" s="340" t="s">
        <v>6147</v>
      </c>
      <c r="X2" s="341" t="s">
        <v>6321</v>
      </c>
      <c r="Y2" s="342" t="s">
        <v>6148</v>
      </c>
      <c r="Z2" s="714" t="s">
        <v>6322</v>
      </c>
      <c r="AA2" s="714"/>
      <c r="AB2" s="714"/>
      <c r="AC2" s="714"/>
      <c r="AD2" s="714"/>
      <c r="AE2" s="714"/>
      <c r="AF2" s="714"/>
      <c r="AG2" s="714"/>
    </row>
    <row r="3" spans="1:44" ht="33.75">
      <c r="A3" s="31" t="s">
        <v>67</v>
      </c>
      <c r="B3" s="32" t="s">
        <v>68</v>
      </c>
      <c r="C3" s="351" t="s">
        <v>150</v>
      </c>
      <c r="D3" s="352" t="s">
        <v>69</v>
      </c>
      <c r="E3" s="351" t="s">
        <v>70</v>
      </c>
      <c r="F3" s="352" t="s">
        <v>69</v>
      </c>
      <c r="G3" s="53" t="s">
        <v>151</v>
      </c>
      <c r="H3" s="33" t="s">
        <v>71</v>
      </c>
      <c r="I3" s="352" t="s">
        <v>1</v>
      </c>
      <c r="J3" s="426" t="s">
        <v>72</v>
      </c>
      <c r="K3" s="426" t="s">
        <v>6315</v>
      </c>
      <c r="L3" s="426" t="s">
        <v>0</v>
      </c>
      <c r="M3" s="59" t="s">
        <v>73</v>
      </c>
      <c r="N3" s="59" t="s">
        <v>2</v>
      </c>
      <c r="O3" s="59" t="s">
        <v>3</v>
      </c>
      <c r="P3" s="59" t="s">
        <v>0</v>
      </c>
      <c r="Q3" s="59" t="s">
        <v>4</v>
      </c>
      <c r="R3" s="298" t="s">
        <v>74</v>
      </c>
      <c r="S3" s="59" t="s">
        <v>75</v>
      </c>
      <c r="T3" s="358" t="s">
        <v>76</v>
      </c>
      <c r="U3" s="359" t="s">
        <v>6323</v>
      </c>
      <c r="V3" s="360" t="s">
        <v>6459</v>
      </c>
      <c r="W3" s="360" t="s">
        <v>6460</v>
      </c>
      <c r="X3" s="361" t="s">
        <v>6152</v>
      </c>
      <c r="Y3" s="362" t="s">
        <v>6461</v>
      </c>
      <c r="Z3" s="363" t="s">
        <v>73</v>
      </c>
      <c r="AA3" s="363" t="s">
        <v>2</v>
      </c>
      <c r="AB3" s="363" t="s">
        <v>3</v>
      </c>
      <c r="AC3" s="363" t="s">
        <v>0</v>
      </c>
      <c r="AD3" s="363" t="s">
        <v>4</v>
      </c>
      <c r="AE3" s="364" t="s">
        <v>74</v>
      </c>
      <c r="AF3" s="363" t="s">
        <v>75</v>
      </c>
      <c r="AG3" s="363" t="s">
        <v>76</v>
      </c>
    </row>
    <row r="4" spans="1:44" s="379" customFormat="1" ht="15.75">
      <c r="A4" s="367">
        <f>1</f>
        <v>1</v>
      </c>
      <c r="B4" s="368">
        <v>2168</v>
      </c>
      <c r="C4" s="369" t="s">
        <v>2746</v>
      </c>
      <c r="D4" s="370" t="s">
        <v>1361</v>
      </c>
      <c r="E4" s="371" t="s">
        <v>3897</v>
      </c>
      <c r="F4" s="372" t="s">
        <v>1362</v>
      </c>
      <c r="G4" s="429" t="s">
        <v>6473</v>
      </c>
      <c r="H4" s="373">
        <v>32278</v>
      </c>
      <c r="I4" s="374">
        <v>43192</v>
      </c>
      <c r="J4" s="427" t="s">
        <v>6159</v>
      </c>
      <c r="K4" s="428" t="s">
        <v>6324</v>
      </c>
      <c r="L4" s="428" t="s">
        <v>6314</v>
      </c>
      <c r="M4" s="375"/>
      <c r="N4" s="375"/>
      <c r="O4" s="375"/>
      <c r="P4" s="375"/>
      <c r="Q4" s="375"/>
      <c r="R4" s="375"/>
      <c r="S4" s="375"/>
      <c r="T4" s="376">
        <f>SUM(M4:S4)</f>
        <v>0</v>
      </c>
      <c r="U4" s="377"/>
      <c r="V4" s="377"/>
      <c r="W4" s="377"/>
      <c r="X4" s="377"/>
      <c r="Y4" s="377"/>
      <c r="Z4" s="376">
        <f>M4+2</f>
        <v>2</v>
      </c>
      <c r="AA4" s="376">
        <f t="shared" ref="AA4:AF19" si="0">N4</f>
        <v>0</v>
      </c>
      <c r="AB4" s="376">
        <f t="shared" si="0"/>
        <v>0</v>
      </c>
      <c r="AC4" s="376">
        <f t="shared" si="0"/>
        <v>0</v>
      </c>
      <c r="AD4" s="376">
        <f t="shared" si="0"/>
        <v>0</v>
      </c>
      <c r="AE4" s="376">
        <f t="shared" si="0"/>
        <v>0</v>
      </c>
      <c r="AF4" s="376">
        <f t="shared" si="0"/>
        <v>0</v>
      </c>
      <c r="AG4" s="376">
        <f>SUM(Z4:AF4)</f>
        <v>2</v>
      </c>
      <c r="AH4" s="378">
        <f t="shared" ref="AH4:AO19" si="1">Z4-M4</f>
        <v>2</v>
      </c>
      <c r="AI4" s="378">
        <f t="shared" si="1"/>
        <v>0</v>
      </c>
      <c r="AJ4" s="378">
        <f t="shared" si="1"/>
        <v>0</v>
      </c>
      <c r="AK4" s="378">
        <f t="shared" si="1"/>
        <v>0</v>
      </c>
      <c r="AL4" s="378">
        <f t="shared" si="1"/>
        <v>0</v>
      </c>
      <c r="AM4" s="378">
        <f t="shared" si="1"/>
        <v>0</v>
      </c>
      <c r="AN4" s="378">
        <f t="shared" si="1"/>
        <v>0</v>
      </c>
      <c r="AO4" s="378">
        <f t="shared" si="1"/>
        <v>2</v>
      </c>
    </row>
    <row r="5" spans="1:44" s="379" customFormat="1" ht="15.75">
      <c r="A5" s="367">
        <f>1+A4</f>
        <v>2</v>
      </c>
      <c r="B5" s="368">
        <v>2360</v>
      </c>
      <c r="C5" s="369" t="s">
        <v>6325</v>
      </c>
      <c r="D5" s="370" t="s">
        <v>6326</v>
      </c>
      <c r="E5" s="371" t="s">
        <v>5148</v>
      </c>
      <c r="F5" s="372" t="s">
        <v>6327</v>
      </c>
      <c r="G5" s="429" t="s">
        <v>6473</v>
      </c>
      <c r="H5" s="373">
        <v>31391</v>
      </c>
      <c r="I5" s="374">
        <v>43252</v>
      </c>
      <c r="J5" s="427" t="s">
        <v>6159</v>
      </c>
      <c r="K5" s="428" t="s">
        <v>6328</v>
      </c>
      <c r="L5" s="428" t="s">
        <v>6329</v>
      </c>
      <c r="M5" s="375"/>
      <c r="N5" s="375"/>
      <c r="O5" s="375"/>
      <c r="P5" s="375"/>
      <c r="Q5" s="375"/>
      <c r="R5" s="375"/>
      <c r="S5" s="375"/>
      <c r="T5" s="376">
        <f>SUM(M5:S5)</f>
        <v>0</v>
      </c>
      <c r="U5" s="377"/>
      <c r="V5" s="377"/>
      <c r="W5" s="377"/>
      <c r="X5" s="377"/>
      <c r="Y5" s="377"/>
      <c r="Z5" s="376">
        <f>M5+2</f>
        <v>2</v>
      </c>
      <c r="AA5" s="376">
        <f t="shared" si="0"/>
        <v>0</v>
      </c>
      <c r="AB5" s="376">
        <f t="shared" si="0"/>
        <v>0</v>
      </c>
      <c r="AC5" s="376">
        <f t="shared" si="0"/>
        <v>0</v>
      </c>
      <c r="AD5" s="376">
        <f t="shared" si="0"/>
        <v>0</v>
      </c>
      <c r="AE5" s="376">
        <f t="shared" si="0"/>
        <v>0</v>
      </c>
      <c r="AF5" s="376">
        <f t="shared" si="0"/>
        <v>0</v>
      </c>
      <c r="AG5" s="376">
        <f>SUM(Z5:AF5)</f>
        <v>2</v>
      </c>
      <c r="AH5" s="378">
        <f t="shared" si="1"/>
        <v>2</v>
      </c>
      <c r="AI5" s="378">
        <f t="shared" si="1"/>
        <v>0</v>
      </c>
      <c r="AJ5" s="378">
        <f t="shared" si="1"/>
        <v>0</v>
      </c>
      <c r="AK5" s="378">
        <f t="shared" si="1"/>
        <v>0</v>
      </c>
      <c r="AL5" s="378">
        <f t="shared" si="1"/>
        <v>0</v>
      </c>
      <c r="AM5" s="378">
        <f t="shared" si="1"/>
        <v>0</v>
      </c>
      <c r="AN5" s="378">
        <f t="shared" si="1"/>
        <v>0</v>
      </c>
      <c r="AO5" s="378">
        <f t="shared" si="1"/>
        <v>2</v>
      </c>
    </row>
    <row r="6" spans="1:44" s="379" customFormat="1" ht="15.75">
      <c r="A6" s="367">
        <f t="shared" ref="A6:A7" si="2">1+A5</f>
        <v>3</v>
      </c>
      <c r="B6" s="368">
        <v>4</v>
      </c>
      <c r="C6" s="369" t="s">
        <v>2977</v>
      </c>
      <c r="D6" s="370" t="s">
        <v>1966</v>
      </c>
      <c r="E6" s="371" t="s">
        <v>2978</v>
      </c>
      <c r="F6" s="372" t="s">
        <v>2183</v>
      </c>
      <c r="G6" s="429" t="s">
        <v>6473</v>
      </c>
      <c r="H6" s="380">
        <v>30411</v>
      </c>
      <c r="I6" s="381">
        <v>41575</v>
      </c>
      <c r="J6" s="427" t="s">
        <v>6330</v>
      </c>
      <c r="K6" s="428" t="s">
        <v>6331</v>
      </c>
      <c r="L6" s="428" t="s">
        <v>6314</v>
      </c>
      <c r="M6" s="375">
        <v>200</v>
      </c>
      <c r="N6" s="375">
        <v>9</v>
      </c>
      <c r="O6" s="375">
        <v>66</v>
      </c>
      <c r="P6" s="375">
        <v>250</v>
      </c>
      <c r="Q6" s="375">
        <v>175</v>
      </c>
      <c r="R6" s="375">
        <v>7</v>
      </c>
      <c r="S6" s="375">
        <v>10</v>
      </c>
      <c r="T6" s="376">
        <f>SUM(M6:S6)</f>
        <v>717</v>
      </c>
      <c r="U6" s="377"/>
      <c r="V6" s="377"/>
      <c r="W6" s="377"/>
      <c r="X6" s="377"/>
      <c r="Y6" s="377"/>
      <c r="Z6" s="376">
        <f>M6+2</f>
        <v>202</v>
      </c>
      <c r="AA6" s="376">
        <f t="shared" si="0"/>
        <v>9</v>
      </c>
      <c r="AB6" s="376">
        <f t="shared" si="0"/>
        <v>66</v>
      </c>
      <c r="AC6" s="376">
        <f t="shared" si="0"/>
        <v>250</v>
      </c>
      <c r="AD6" s="376">
        <f t="shared" si="0"/>
        <v>175</v>
      </c>
      <c r="AE6" s="376">
        <f t="shared" si="0"/>
        <v>7</v>
      </c>
      <c r="AF6" s="376">
        <f t="shared" si="0"/>
        <v>10</v>
      </c>
      <c r="AG6" s="376">
        <f>SUM(Z6:AF6)</f>
        <v>719</v>
      </c>
      <c r="AH6" s="378">
        <f t="shared" si="1"/>
        <v>2</v>
      </c>
      <c r="AI6" s="378">
        <f t="shared" si="1"/>
        <v>0</v>
      </c>
      <c r="AJ6" s="378">
        <f t="shared" si="1"/>
        <v>0</v>
      </c>
      <c r="AK6" s="378">
        <f t="shared" si="1"/>
        <v>0</v>
      </c>
      <c r="AL6" s="378">
        <f t="shared" si="1"/>
        <v>0</v>
      </c>
      <c r="AM6" s="378">
        <f t="shared" si="1"/>
        <v>0</v>
      </c>
      <c r="AN6" s="378">
        <f t="shared" si="1"/>
        <v>0</v>
      </c>
      <c r="AO6" s="378">
        <f t="shared" si="1"/>
        <v>2</v>
      </c>
    </row>
    <row r="7" spans="1:44" s="379" customFormat="1" ht="15.75">
      <c r="A7" s="367">
        <f t="shared" si="2"/>
        <v>4</v>
      </c>
      <c r="B7" s="368">
        <v>2</v>
      </c>
      <c r="C7" s="369" t="s">
        <v>2514</v>
      </c>
      <c r="D7" s="370" t="s">
        <v>6332</v>
      </c>
      <c r="E7" s="371" t="s">
        <v>2516</v>
      </c>
      <c r="F7" s="372" t="s">
        <v>6333</v>
      </c>
      <c r="G7" s="429" t="s">
        <v>6475</v>
      </c>
      <c r="H7" s="380">
        <v>32387</v>
      </c>
      <c r="I7" s="381">
        <v>41575</v>
      </c>
      <c r="J7" s="427" t="s">
        <v>9</v>
      </c>
      <c r="K7" s="428" t="s">
        <v>9</v>
      </c>
      <c r="L7" s="428" t="s">
        <v>6314</v>
      </c>
      <c r="M7" s="375"/>
      <c r="N7" s="375"/>
      <c r="O7" s="375"/>
      <c r="P7" s="375"/>
      <c r="Q7" s="375"/>
      <c r="R7" s="375"/>
      <c r="S7" s="375"/>
      <c r="T7" s="376">
        <f>SUM(M7:S7)</f>
        <v>0</v>
      </c>
      <c r="U7" s="377"/>
      <c r="V7" s="377"/>
      <c r="W7" s="377"/>
      <c r="X7" s="377"/>
      <c r="Y7" s="377"/>
      <c r="Z7" s="376">
        <f>M7+2</f>
        <v>2</v>
      </c>
      <c r="AA7" s="376">
        <f t="shared" si="0"/>
        <v>0</v>
      </c>
      <c r="AB7" s="376">
        <f t="shared" si="0"/>
        <v>0</v>
      </c>
      <c r="AC7" s="376">
        <f t="shared" si="0"/>
        <v>0</v>
      </c>
      <c r="AD7" s="376">
        <f t="shared" si="0"/>
        <v>0</v>
      </c>
      <c r="AE7" s="376">
        <f t="shared" si="0"/>
        <v>0</v>
      </c>
      <c r="AF7" s="376">
        <f t="shared" si="0"/>
        <v>0</v>
      </c>
      <c r="AG7" s="376">
        <f>SUM(Z7:AF7)</f>
        <v>2</v>
      </c>
      <c r="AH7" s="378">
        <f t="shared" si="1"/>
        <v>2</v>
      </c>
      <c r="AI7" s="378">
        <f t="shared" si="1"/>
        <v>0</v>
      </c>
      <c r="AJ7" s="378">
        <f t="shared" si="1"/>
        <v>0</v>
      </c>
      <c r="AK7" s="378">
        <f t="shared" si="1"/>
        <v>0</v>
      </c>
      <c r="AL7" s="378">
        <f t="shared" si="1"/>
        <v>0</v>
      </c>
      <c r="AM7" s="378">
        <f t="shared" si="1"/>
        <v>0</v>
      </c>
      <c r="AN7" s="378">
        <f t="shared" si="1"/>
        <v>0</v>
      </c>
      <c r="AO7" s="378">
        <f t="shared" si="1"/>
        <v>2</v>
      </c>
    </row>
    <row r="8" spans="1:44" ht="15.75">
      <c r="A8" s="16">
        <f>1+A7</f>
        <v>5</v>
      </c>
      <c r="B8" s="8">
        <v>10</v>
      </c>
      <c r="C8" s="62" t="s">
        <v>169</v>
      </c>
      <c r="D8" s="63" t="s">
        <v>170</v>
      </c>
      <c r="E8" s="13" t="s">
        <v>171</v>
      </c>
      <c r="F8" s="14" t="s">
        <v>172</v>
      </c>
      <c r="G8" s="429" t="s">
        <v>6473</v>
      </c>
      <c r="H8" s="382">
        <v>30135</v>
      </c>
      <c r="I8" s="383">
        <v>41575</v>
      </c>
      <c r="J8" s="430" t="s">
        <v>6293</v>
      </c>
      <c r="K8" s="366" t="s">
        <v>6294</v>
      </c>
      <c r="L8" s="366" t="s">
        <v>6474</v>
      </c>
      <c r="M8" s="1">
        <v>192</v>
      </c>
      <c r="N8" s="431">
        <f>ROUNDDOWN(INT($N$1-I8-16)/365,0)+1</f>
        <v>9</v>
      </c>
      <c r="O8" s="432">
        <v>20</v>
      </c>
      <c r="P8" s="432">
        <v>195</v>
      </c>
      <c r="Q8" s="432">
        <v>75</v>
      </c>
      <c r="R8" s="1">
        <v>7</v>
      </c>
      <c r="S8" s="1">
        <v>10</v>
      </c>
      <c r="T8" s="300">
        <f>SUM(M8:S8)</f>
        <v>508</v>
      </c>
      <c r="U8" s="3"/>
      <c r="V8" s="3"/>
      <c r="W8" s="3"/>
      <c r="X8" s="3"/>
      <c r="Y8" s="3"/>
      <c r="Z8" s="20">
        <f t="shared" ref="Z8:Z70" si="3">M8+2</f>
        <v>194</v>
      </c>
      <c r="AA8" s="20">
        <f t="shared" si="0"/>
        <v>9</v>
      </c>
      <c r="AB8" s="20">
        <f t="shared" si="0"/>
        <v>20</v>
      </c>
      <c r="AC8" s="20">
        <f t="shared" si="0"/>
        <v>195</v>
      </c>
      <c r="AD8" s="20">
        <f t="shared" si="0"/>
        <v>75</v>
      </c>
      <c r="AE8" s="20">
        <f t="shared" si="0"/>
        <v>7</v>
      </c>
      <c r="AF8" s="20">
        <f t="shared" si="0"/>
        <v>10</v>
      </c>
      <c r="AG8" s="300">
        <f t="shared" ref="AG8:AG70" si="4">SUM(Z8:AF8)</f>
        <v>510</v>
      </c>
      <c r="AH8" s="42">
        <f t="shared" si="1"/>
        <v>2</v>
      </c>
      <c r="AI8" s="42">
        <f t="shared" si="1"/>
        <v>0</v>
      </c>
      <c r="AJ8" s="42">
        <f t="shared" si="1"/>
        <v>0</v>
      </c>
      <c r="AK8" s="42">
        <f t="shared" si="1"/>
        <v>0</v>
      </c>
      <c r="AL8" s="42">
        <f t="shared" si="1"/>
        <v>0</v>
      </c>
      <c r="AM8" s="42">
        <f t="shared" si="1"/>
        <v>0</v>
      </c>
      <c r="AN8" s="42">
        <f t="shared" si="1"/>
        <v>0</v>
      </c>
      <c r="AO8" s="42">
        <f t="shared" si="1"/>
        <v>2</v>
      </c>
      <c r="AR8">
        <v>4</v>
      </c>
    </row>
    <row r="9" spans="1:44" ht="15.75">
      <c r="A9" s="16">
        <f t="shared" ref="A9:A72" si="5">1+A8</f>
        <v>6</v>
      </c>
      <c r="B9" s="8">
        <v>14</v>
      </c>
      <c r="C9" s="62" t="s">
        <v>190</v>
      </c>
      <c r="D9" s="63" t="s">
        <v>191</v>
      </c>
      <c r="E9" s="13" t="s">
        <v>192</v>
      </c>
      <c r="F9" s="14" t="s">
        <v>193</v>
      </c>
      <c r="G9" s="429" t="s">
        <v>6473</v>
      </c>
      <c r="H9" s="382">
        <v>27490</v>
      </c>
      <c r="I9" s="383">
        <v>41573</v>
      </c>
      <c r="J9" s="430" t="s">
        <v>6159</v>
      </c>
      <c r="K9" s="366" t="s">
        <v>3070</v>
      </c>
      <c r="L9" s="366" t="s">
        <v>194</v>
      </c>
      <c r="M9" s="1">
        <v>192</v>
      </c>
      <c r="N9" s="431">
        <f t="shared" ref="N9:N71" si="6">ROUNDDOWN(INT($N$1-I9-16)/365,0)+1</f>
        <v>9</v>
      </c>
      <c r="O9" s="432">
        <v>20</v>
      </c>
      <c r="P9" s="432">
        <v>50</v>
      </c>
      <c r="Q9" s="432">
        <v>0</v>
      </c>
      <c r="R9" s="1">
        <v>7</v>
      </c>
      <c r="S9" s="1">
        <v>10</v>
      </c>
      <c r="T9" s="300">
        <f t="shared" ref="T9:T71" si="7">SUM(M9:S9)</f>
        <v>288</v>
      </c>
      <c r="U9" s="3"/>
      <c r="V9" s="3"/>
      <c r="W9" s="3"/>
      <c r="X9" s="3"/>
      <c r="Y9" s="3"/>
      <c r="Z9" s="20">
        <f t="shared" si="3"/>
        <v>194</v>
      </c>
      <c r="AA9" s="20">
        <f t="shared" si="0"/>
        <v>9</v>
      </c>
      <c r="AB9" s="20">
        <f t="shared" si="0"/>
        <v>20</v>
      </c>
      <c r="AC9" s="20">
        <f t="shared" si="0"/>
        <v>50</v>
      </c>
      <c r="AD9" s="20">
        <f t="shared" si="0"/>
        <v>0</v>
      </c>
      <c r="AE9" s="20">
        <f t="shared" si="0"/>
        <v>7</v>
      </c>
      <c r="AF9" s="20">
        <f t="shared" si="0"/>
        <v>10</v>
      </c>
      <c r="AG9" s="300">
        <f t="shared" si="4"/>
        <v>290</v>
      </c>
      <c r="AH9" s="42">
        <f t="shared" si="1"/>
        <v>2</v>
      </c>
      <c r="AI9" s="42">
        <f t="shared" si="1"/>
        <v>0</v>
      </c>
      <c r="AJ9" s="42">
        <f t="shared" si="1"/>
        <v>0</v>
      </c>
      <c r="AK9" s="42">
        <f t="shared" si="1"/>
        <v>0</v>
      </c>
      <c r="AL9" s="42">
        <f t="shared" si="1"/>
        <v>0</v>
      </c>
      <c r="AM9" s="42">
        <f t="shared" si="1"/>
        <v>0</v>
      </c>
      <c r="AN9" s="42">
        <f t="shared" si="1"/>
        <v>0</v>
      </c>
      <c r="AO9" s="42">
        <f t="shared" si="1"/>
        <v>2</v>
      </c>
      <c r="AR9">
        <v>2</v>
      </c>
    </row>
    <row r="10" spans="1:44" ht="15.75">
      <c r="A10" s="16">
        <f t="shared" si="5"/>
        <v>7</v>
      </c>
      <c r="B10" s="8">
        <v>18</v>
      </c>
      <c r="C10" s="62" t="s">
        <v>173</v>
      </c>
      <c r="D10" s="63" t="s">
        <v>202</v>
      </c>
      <c r="E10" s="13" t="s">
        <v>93</v>
      </c>
      <c r="F10" s="14" t="s">
        <v>203</v>
      </c>
      <c r="G10" s="429" t="s">
        <v>6475</v>
      </c>
      <c r="H10" s="382">
        <v>33771</v>
      </c>
      <c r="I10" s="383">
        <v>41577</v>
      </c>
      <c r="J10" s="430" t="s">
        <v>6476</v>
      </c>
      <c r="K10" s="366" t="s">
        <v>6477</v>
      </c>
      <c r="L10" s="366" t="s">
        <v>6341</v>
      </c>
      <c r="M10" s="1">
        <v>262</v>
      </c>
      <c r="N10" s="431">
        <f t="shared" si="6"/>
        <v>9</v>
      </c>
      <c r="O10" s="432">
        <v>20</v>
      </c>
      <c r="P10" s="432">
        <v>72</v>
      </c>
      <c r="Q10" s="432">
        <v>66</v>
      </c>
      <c r="R10" s="1">
        <v>7</v>
      </c>
      <c r="S10" s="1">
        <v>10</v>
      </c>
      <c r="T10" s="300">
        <f t="shared" si="7"/>
        <v>446</v>
      </c>
      <c r="U10" s="3"/>
      <c r="V10" s="3"/>
      <c r="W10" s="3"/>
      <c r="X10" s="3"/>
      <c r="Y10" s="3"/>
      <c r="Z10" s="20">
        <f t="shared" si="3"/>
        <v>264</v>
      </c>
      <c r="AA10" s="20">
        <f t="shared" si="0"/>
        <v>9</v>
      </c>
      <c r="AB10" s="20">
        <f t="shared" si="0"/>
        <v>20</v>
      </c>
      <c r="AC10" s="20">
        <f t="shared" si="0"/>
        <v>72</v>
      </c>
      <c r="AD10" s="20">
        <f t="shared" si="0"/>
        <v>66</v>
      </c>
      <c r="AE10" s="20">
        <f t="shared" si="0"/>
        <v>7</v>
      </c>
      <c r="AF10" s="20">
        <f t="shared" si="0"/>
        <v>10</v>
      </c>
      <c r="AG10" s="300">
        <f t="shared" si="4"/>
        <v>448</v>
      </c>
      <c r="AH10" s="42">
        <f t="shared" si="1"/>
        <v>2</v>
      </c>
      <c r="AI10" s="42">
        <f t="shared" si="1"/>
        <v>0</v>
      </c>
      <c r="AJ10" s="42">
        <f t="shared" si="1"/>
        <v>0</v>
      </c>
      <c r="AK10" s="42">
        <f t="shared" si="1"/>
        <v>0</v>
      </c>
      <c r="AL10" s="42">
        <f t="shared" si="1"/>
        <v>0</v>
      </c>
      <c r="AM10" s="42">
        <f t="shared" si="1"/>
        <v>0</v>
      </c>
      <c r="AN10" s="42">
        <f t="shared" si="1"/>
        <v>0</v>
      </c>
      <c r="AO10" s="42">
        <f t="shared" si="1"/>
        <v>2</v>
      </c>
      <c r="AR10">
        <v>1012</v>
      </c>
    </row>
    <row r="11" spans="1:44" ht="15.75">
      <c r="A11" s="16">
        <f t="shared" si="5"/>
        <v>8</v>
      </c>
      <c r="B11" s="8">
        <v>24</v>
      </c>
      <c r="C11" s="62" t="s">
        <v>218</v>
      </c>
      <c r="D11" s="63" t="s">
        <v>219</v>
      </c>
      <c r="E11" s="13" t="s">
        <v>220</v>
      </c>
      <c r="F11" s="14" t="s">
        <v>221</v>
      </c>
      <c r="G11" s="429" t="s">
        <v>6473</v>
      </c>
      <c r="H11" s="382">
        <v>30165</v>
      </c>
      <c r="I11" s="383">
        <v>41579</v>
      </c>
      <c r="J11" s="430" t="s">
        <v>6293</v>
      </c>
      <c r="K11" s="366" t="s">
        <v>6295</v>
      </c>
      <c r="L11" s="366" t="s">
        <v>6085</v>
      </c>
      <c r="M11" s="1">
        <v>192</v>
      </c>
      <c r="N11" s="431">
        <f t="shared" si="6"/>
        <v>9</v>
      </c>
      <c r="O11" s="432">
        <v>20</v>
      </c>
      <c r="P11" s="432">
        <v>52</v>
      </c>
      <c r="Q11" s="432">
        <v>15</v>
      </c>
      <c r="R11" s="1">
        <v>7</v>
      </c>
      <c r="S11" s="1">
        <v>10</v>
      </c>
      <c r="T11" s="300">
        <f t="shared" si="7"/>
        <v>305</v>
      </c>
      <c r="U11" s="3"/>
      <c r="V11" s="3"/>
      <c r="W11" s="3"/>
      <c r="X11" s="3"/>
      <c r="Y11" s="3"/>
      <c r="Z11" s="20">
        <f t="shared" si="3"/>
        <v>194</v>
      </c>
      <c r="AA11" s="20">
        <f t="shared" si="0"/>
        <v>9</v>
      </c>
      <c r="AB11" s="20">
        <f t="shared" si="0"/>
        <v>20</v>
      </c>
      <c r="AC11" s="20">
        <f t="shared" si="0"/>
        <v>52</v>
      </c>
      <c r="AD11" s="20">
        <f t="shared" si="0"/>
        <v>15</v>
      </c>
      <c r="AE11" s="20">
        <f t="shared" si="0"/>
        <v>7</v>
      </c>
      <c r="AF11" s="20">
        <f t="shared" si="0"/>
        <v>10</v>
      </c>
      <c r="AG11" s="300">
        <f t="shared" si="4"/>
        <v>307</v>
      </c>
      <c r="AH11" s="42">
        <f t="shared" si="1"/>
        <v>2</v>
      </c>
      <c r="AI11" s="42">
        <f t="shared" si="1"/>
        <v>0</v>
      </c>
      <c r="AJ11" s="42">
        <f t="shared" si="1"/>
        <v>0</v>
      </c>
      <c r="AK11" s="42">
        <f t="shared" si="1"/>
        <v>0</v>
      </c>
      <c r="AL11" s="42">
        <f t="shared" si="1"/>
        <v>0</v>
      </c>
      <c r="AM11" s="42">
        <f t="shared" si="1"/>
        <v>0</v>
      </c>
      <c r="AN11" s="42">
        <f t="shared" si="1"/>
        <v>0</v>
      </c>
      <c r="AO11" s="42">
        <f t="shared" si="1"/>
        <v>2</v>
      </c>
    </row>
    <row r="12" spans="1:44" ht="15.75">
      <c r="A12" s="16">
        <f t="shared" si="5"/>
        <v>9</v>
      </c>
      <c r="B12" s="8">
        <v>30</v>
      </c>
      <c r="C12" s="62" t="s">
        <v>231</v>
      </c>
      <c r="D12" s="63" t="s">
        <v>232</v>
      </c>
      <c r="E12" s="13" t="s">
        <v>233</v>
      </c>
      <c r="F12" s="14" t="s">
        <v>59</v>
      </c>
      <c r="G12" s="429" t="s">
        <v>6473</v>
      </c>
      <c r="H12" s="382">
        <v>29927</v>
      </c>
      <c r="I12" s="383">
        <v>41579</v>
      </c>
      <c r="J12" s="430" t="s">
        <v>6293</v>
      </c>
      <c r="K12" s="366" t="s">
        <v>6294</v>
      </c>
      <c r="L12" s="366" t="s">
        <v>6478</v>
      </c>
      <c r="M12" s="1">
        <v>192</v>
      </c>
      <c r="N12" s="431">
        <f t="shared" si="6"/>
        <v>9</v>
      </c>
      <c r="O12" s="432">
        <v>20</v>
      </c>
      <c r="P12" s="432">
        <v>175</v>
      </c>
      <c r="Q12" s="432">
        <v>75</v>
      </c>
      <c r="R12" s="1">
        <v>7</v>
      </c>
      <c r="S12" s="1">
        <v>10</v>
      </c>
      <c r="T12" s="300">
        <f t="shared" si="7"/>
        <v>488</v>
      </c>
      <c r="U12" s="3"/>
      <c r="V12" s="3"/>
      <c r="W12" s="3"/>
      <c r="X12" s="3"/>
      <c r="Y12" s="3"/>
      <c r="Z12" s="20">
        <f t="shared" si="3"/>
        <v>194</v>
      </c>
      <c r="AA12" s="20">
        <f t="shared" si="0"/>
        <v>9</v>
      </c>
      <c r="AB12" s="20">
        <f t="shared" si="0"/>
        <v>20</v>
      </c>
      <c r="AC12" s="20">
        <f t="shared" si="0"/>
        <v>175</v>
      </c>
      <c r="AD12" s="20">
        <f t="shared" si="0"/>
        <v>75</v>
      </c>
      <c r="AE12" s="20">
        <f t="shared" si="0"/>
        <v>7</v>
      </c>
      <c r="AF12" s="20">
        <f t="shared" si="0"/>
        <v>10</v>
      </c>
      <c r="AG12" s="300">
        <f t="shared" si="4"/>
        <v>490</v>
      </c>
      <c r="AH12" s="42">
        <f t="shared" si="1"/>
        <v>2</v>
      </c>
      <c r="AI12" s="42">
        <f t="shared" si="1"/>
        <v>0</v>
      </c>
      <c r="AJ12" s="42">
        <f t="shared" si="1"/>
        <v>0</v>
      </c>
      <c r="AK12" s="42">
        <f t="shared" si="1"/>
        <v>0</v>
      </c>
      <c r="AL12" s="42">
        <f t="shared" si="1"/>
        <v>0</v>
      </c>
      <c r="AM12" s="42">
        <f t="shared" si="1"/>
        <v>0</v>
      </c>
      <c r="AN12" s="42">
        <f t="shared" si="1"/>
        <v>0</v>
      </c>
      <c r="AO12" s="42">
        <f t="shared" si="1"/>
        <v>2</v>
      </c>
    </row>
    <row r="13" spans="1:44" ht="15.75">
      <c r="A13" s="16">
        <f t="shared" si="5"/>
        <v>10</v>
      </c>
      <c r="B13" s="8">
        <v>32</v>
      </c>
      <c r="C13" s="62" t="s">
        <v>239</v>
      </c>
      <c r="D13" s="63" t="s">
        <v>240</v>
      </c>
      <c r="E13" s="13" t="s">
        <v>241</v>
      </c>
      <c r="F13" s="14" t="s">
        <v>242</v>
      </c>
      <c r="G13" s="429" t="s">
        <v>6473</v>
      </c>
      <c r="H13" s="382">
        <v>27885</v>
      </c>
      <c r="I13" s="383">
        <v>41579</v>
      </c>
      <c r="J13" s="430" t="s">
        <v>6293</v>
      </c>
      <c r="K13" s="366" t="s">
        <v>6294</v>
      </c>
      <c r="L13" s="366" t="s">
        <v>6479</v>
      </c>
      <c r="M13" s="1">
        <v>192</v>
      </c>
      <c r="N13" s="431">
        <f t="shared" si="6"/>
        <v>9</v>
      </c>
      <c r="O13" s="432">
        <v>0</v>
      </c>
      <c r="P13" s="432">
        <v>260</v>
      </c>
      <c r="Q13" s="432">
        <v>50</v>
      </c>
      <c r="R13" s="1">
        <v>7</v>
      </c>
      <c r="S13" s="1">
        <v>10</v>
      </c>
      <c r="T13" s="300">
        <f t="shared" si="7"/>
        <v>528</v>
      </c>
      <c r="U13" s="3"/>
      <c r="V13" s="3"/>
      <c r="W13" s="3"/>
      <c r="X13" s="3"/>
      <c r="Y13" s="3"/>
      <c r="Z13" s="20">
        <f t="shared" si="3"/>
        <v>194</v>
      </c>
      <c r="AA13" s="20">
        <f t="shared" si="0"/>
        <v>9</v>
      </c>
      <c r="AB13" s="20">
        <f t="shared" si="0"/>
        <v>0</v>
      </c>
      <c r="AC13" s="20">
        <f t="shared" si="0"/>
        <v>260</v>
      </c>
      <c r="AD13" s="20">
        <f t="shared" si="0"/>
        <v>50</v>
      </c>
      <c r="AE13" s="20">
        <f t="shared" si="0"/>
        <v>7</v>
      </c>
      <c r="AF13" s="20">
        <f t="shared" si="0"/>
        <v>10</v>
      </c>
      <c r="AG13" s="300">
        <f t="shared" si="4"/>
        <v>530</v>
      </c>
      <c r="AH13" s="42">
        <f t="shared" si="1"/>
        <v>2</v>
      </c>
      <c r="AI13" s="42">
        <f t="shared" si="1"/>
        <v>0</v>
      </c>
      <c r="AJ13" s="42">
        <f t="shared" si="1"/>
        <v>0</v>
      </c>
      <c r="AK13" s="42">
        <f t="shared" si="1"/>
        <v>0</v>
      </c>
      <c r="AL13" s="42">
        <f t="shared" si="1"/>
        <v>0</v>
      </c>
      <c r="AM13" s="42">
        <f t="shared" si="1"/>
        <v>0</v>
      </c>
      <c r="AN13" s="42">
        <f t="shared" si="1"/>
        <v>0</v>
      </c>
      <c r="AO13" s="42">
        <f t="shared" si="1"/>
        <v>2</v>
      </c>
    </row>
    <row r="14" spans="1:44" ht="15.75">
      <c r="A14" s="16">
        <f t="shared" si="5"/>
        <v>11</v>
      </c>
      <c r="B14" s="433">
        <v>39</v>
      </c>
      <c r="C14" s="434" t="s">
        <v>218</v>
      </c>
      <c r="D14" s="435" t="s">
        <v>249</v>
      </c>
      <c r="E14" s="436" t="s">
        <v>84</v>
      </c>
      <c r="F14" s="437" t="s">
        <v>250</v>
      </c>
      <c r="G14" s="429" t="s">
        <v>6473</v>
      </c>
      <c r="H14" s="438">
        <v>32600</v>
      </c>
      <c r="I14" s="439">
        <v>41579</v>
      </c>
      <c r="J14" s="440" t="s">
        <v>6293</v>
      </c>
      <c r="K14" s="441" t="s">
        <v>6108</v>
      </c>
      <c r="L14" s="441" t="s">
        <v>6334</v>
      </c>
      <c r="M14" s="442"/>
      <c r="N14" s="443"/>
      <c r="O14" s="442"/>
      <c r="P14" s="442"/>
      <c r="Q14" s="442"/>
      <c r="R14" s="442"/>
      <c r="S14" s="442"/>
      <c r="T14" s="300">
        <f t="shared" si="7"/>
        <v>0</v>
      </c>
      <c r="U14" s="3"/>
      <c r="V14" s="3"/>
      <c r="W14" s="3"/>
      <c r="X14" s="3"/>
      <c r="Y14" s="3"/>
      <c r="Z14" s="20">
        <f t="shared" si="3"/>
        <v>2</v>
      </c>
      <c r="AA14" s="20">
        <f t="shared" si="0"/>
        <v>0</v>
      </c>
      <c r="AB14" s="20">
        <f t="shared" si="0"/>
        <v>0</v>
      </c>
      <c r="AC14" s="20">
        <f t="shared" si="0"/>
        <v>0</v>
      </c>
      <c r="AD14" s="20">
        <f t="shared" si="0"/>
        <v>0</v>
      </c>
      <c r="AE14" s="20">
        <f t="shared" si="0"/>
        <v>0</v>
      </c>
      <c r="AF14" s="20">
        <f t="shared" si="0"/>
        <v>0</v>
      </c>
      <c r="AG14" s="300">
        <f t="shared" si="4"/>
        <v>2</v>
      </c>
      <c r="AH14" s="42">
        <f t="shared" si="1"/>
        <v>2</v>
      </c>
      <c r="AI14" s="42">
        <f t="shared" si="1"/>
        <v>0</v>
      </c>
      <c r="AJ14" s="42">
        <f t="shared" si="1"/>
        <v>0</v>
      </c>
      <c r="AK14" s="42">
        <f t="shared" si="1"/>
        <v>0</v>
      </c>
      <c r="AL14" s="42">
        <f t="shared" si="1"/>
        <v>0</v>
      </c>
      <c r="AM14" s="42">
        <f t="shared" si="1"/>
        <v>0</v>
      </c>
      <c r="AN14" s="42">
        <f t="shared" si="1"/>
        <v>0</v>
      </c>
      <c r="AO14" s="42">
        <f t="shared" si="1"/>
        <v>2</v>
      </c>
    </row>
    <row r="15" spans="1:44" ht="15.75">
      <c r="A15" s="16">
        <f t="shared" si="5"/>
        <v>12</v>
      </c>
      <c r="B15" s="8">
        <v>44</v>
      </c>
      <c r="C15" s="62" t="s">
        <v>256</v>
      </c>
      <c r="D15" s="63" t="s">
        <v>257</v>
      </c>
      <c r="E15" s="13" t="s">
        <v>258</v>
      </c>
      <c r="F15" s="14" t="s">
        <v>259</v>
      </c>
      <c r="G15" s="429" t="s">
        <v>6473</v>
      </c>
      <c r="H15" s="382">
        <v>31836</v>
      </c>
      <c r="I15" s="383">
        <v>41579</v>
      </c>
      <c r="J15" s="430" t="s">
        <v>6293</v>
      </c>
      <c r="K15" s="366" t="s">
        <v>6296</v>
      </c>
      <c r="L15" s="366" t="s">
        <v>6093</v>
      </c>
      <c r="M15" s="1">
        <v>192</v>
      </c>
      <c r="N15" s="431">
        <f t="shared" si="6"/>
        <v>9</v>
      </c>
      <c r="O15" s="432">
        <v>20</v>
      </c>
      <c r="P15" s="432">
        <v>30</v>
      </c>
      <c r="Q15" s="432">
        <v>10</v>
      </c>
      <c r="R15" s="1">
        <v>7</v>
      </c>
      <c r="S15" s="1">
        <v>10</v>
      </c>
      <c r="T15" s="300">
        <f t="shared" si="7"/>
        <v>278</v>
      </c>
      <c r="U15" s="3"/>
      <c r="V15" s="3"/>
      <c r="W15" s="3"/>
      <c r="X15" s="3"/>
      <c r="Y15" s="3"/>
      <c r="Z15" s="20">
        <f t="shared" si="3"/>
        <v>194</v>
      </c>
      <c r="AA15" s="20">
        <f t="shared" si="0"/>
        <v>9</v>
      </c>
      <c r="AB15" s="20">
        <f t="shared" si="0"/>
        <v>20</v>
      </c>
      <c r="AC15" s="20">
        <f t="shared" si="0"/>
        <v>30</v>
      </c>
      <c r="AD15" s="20">
        <f t="shared" si="0"/>
        <v>10</v>
      </c>
      <c r="AE15" s="20">
        <f t="shared" si="0"/>
        <v>7</v>
      </c>
      <c r="AF15" s="20">
        <f t="shared" si="0"/>
        <v>10</v>
      </c>
      <c r="AG15" s="300">
        <f t="shared" si="4"/>
        <v>280</v>
      </c>
      <c r="AH15" s="42">
        <f t="shared" si="1"/>
        <v>2</v>
      </c>
      <c r="AI15" s="42">
        <f t="shared" si="1"/>
        <v>0</v>
      </c>
      <c r="AJ15" s="42">
        <f t="shared" si="1"/>
        <v>0</v>
      </c>
      <c r="AK15" s="42">
        <f t="shared" si="1"/>
        <v>0</v>
      </c>
      <c r="AL15" s="42">
        <f t="shared" si="1"/>
        <v>0</v>
      </c>
      <c r="AM15" s="42">
        <f t="shared" si="1"/>
        <v>0</v>
      </c>
      <c r="AN15" s="42">
        <f t="shared" si="1"/>
        <v>0</v>
      </c>
      <c r="AO15" s="42">
        <f t="shared" si="1"/>
        <v>2</v>
      </c>
    </row>
    <row r="16" spans="1:44" ht="15.75">
      <c r="A16" s="16">
        <f t="shared" si="5"/>
        <v>13</v>
      </c>
      <c r="B16" s="8">
        <v>47</v>
      </c>
      <c r="C16" s="90" t="s">
        <v>264</v>
      </c>
      <c r="D16" s="91" t="s">
        <v>265</v>
      </c>
      <c r="E16" s="24" t="s">
        <v>266</v>
      </c>
      <c r="F16" s="25" t="s">
        <v>267</v>
      </c>
      <c r="G16" s="429" t="s">
        <v>6473</v>
      </c>
      <c r="H16" s="384">
        <v>24152</v>
      </c>
      <c r="I16" s="383">
        <v>41583</v>
      </c>
      <c r="J16" s="430" t="s">
        <v>6293</v>
      </c>
      <c r="K16" s="366" t="s">
        <v>6297</v>
      </c>
      <c r="L16" s="366" t="s">
        <v>6335</v>
      </c>
      <c r="M16" s="1">
        <v>199</v>
      </c>
      <c r="N16" s="431">
        <f t="shared" si="6"/>
        <v>9</v>
      </c>
      <c r="O16" s="432">
        <v>20</v>
      </c>
      <c r="P16" s="432">
        <v>0</v>
      </c>
      <c r="Q16" s="432">
        <v>0</v>
      </c>
      <c r="R16" s="1">
        <v>7</v>
      </c>
      <c r="S16" s="1">
        <v>10</v>
      </c>
      <c r="T16" s="300">
        <f t="shared" si="7"/>
        <v>245</v>
      </c>
      <c r="U16" s="3"/>
      <c r="V16" s="3"/>
      <c r="W16" s="3"/>
      <c r="X16" s="3"/>
      <c r="Y16" s="3"/>
      <c r="Z16" s="20">
        <f t="shared" si="3"/>
        <v>201</v>
      </c>
      <c r="AA16" s="20">
        <f t="shared" si="0"/>
        <v>9</v>
      </c>
      <c r="AB16" s="20">
        <f t="shared" si="0"/>
        <v>20</v>
      </c>
      <c r="AC16" s="20">
        <f t="shared" si="0"/>
        <v>0</v>
      </c>
      <c r="AD16" s="20">
        <f t="shared" si="0"/>
        <v>0</v>
      </c>
      <c r="AE16" s="20">
        <f t="shared" si="0"/>
        <v>7</v>
      </c>
      <c r="AF16" s="20">
        <f t="shared" si="0"/>
        <v>10</v>
      </c>
      <c r="AG16" s="300">
        <f t="shared" si="4"/>
        <v>247</v>
      </c>
      <c r="AH16" s="42">
        <f t="shared" si="1"/>
        <v>2</v>
      </c>
      <c r="AI16" s="42">
        <f t="shared" si="1"/>
        <v>0</v>
      </c>
      <c r="AJ16" s="42">
        <f t="shared" si="1"/>
        <v>0</v>
      </c>
      <c r="AK16" s="42">
        <f t="shared" si="1"/>
        <v>0</v>
      </c>
      <c r="AL16" s="42">
        <f t="shared" si="1"/>
        <v>0</v>
      </c>
      <c r="AM16" s="42">
        <f t="shared" si="1"/>
        <v>0</v>
      </c>
      <c r="AN16" s="42">
        <f t="shared" si="1"/>
        <v>0</v>
      </c>
      <c r="AO16" s="42">
        <f t="shared" si="1"/>
        <v>2</v>
      </c>
    </row>
    <row r="17" spans="1:47" ht="15.75">
      <c r="A17" s="16">
        <f t="shared" si="5"/>
        <v>14</v>
      </c>
      <c r="B17" s="8">
        <v>67</v>
      </c>
      <c r="C17" s="62" t="s">
        <v>282</v>
      </c>
      <c r="D17" s="63" t="s">
        <v>283</v>
      </c>
      <c r="E17" s="13" t="s">
        <v>284</v>
      </c>
      <c r="F17" s="14" t="s">
        <v>285</v>
      </c>
      <c r="G17" s="429" t="s">
        <v>6473</v>
      </c>
      <c r="H17" s="382">
        <v>30439</v>
      </c>
      <c r="I17" s="383">
        <v>41591</v>
      </c>
      <c r="J17" s="430" t="s">
        <v>6293</v>
      </c>
      <c r="K17" s="366" t="s">
        <v>6097</v>
      </c>
      <c r="L17" s="366" t="s">
        <v>6335</v>
      </c>
      <c r="M17" s="1">
        <v>192</v>
      </c>
      <c r="N17" s="431">
        <f t="shared" si="6"/>
        <v>9</v>
      </c>
      <c r="O17" s="432">
        <v>20</v>
      </c>
      <c r="P17" s="432">
        <v>0</v>
      </c>
      <c r="Q17" s="432">
        <v>0</v>
      </c>
      <c r="R17" s="1">
        <v>7</v>
      </c>
      <c r="S17" s="1">
        <v>10</v>
      </c>
      <c r="T17" s="300">
        <f t="shared" si="7"/>
        <v>238</v>
      </c>
      <c r="U17" s="3"/>
      <c r="V17" s="3"/>
      <c r="W17" s="3"/>
      <c r="X17" s="3"/>
      <c r="Y17" s="3"/>
      <c r="Z17" s="20">
        <f t="shared" si="3"/>
        <v>194</v>
      </c>
      <c r="AA17" s="20">
        <f t="shared" si="0"/>
        <v>9</v>
      </c>
      <c r="AB17" s="20">
        <f t="shared" si="0"/>
        <v>20</v>
      </c>
      <c r="AC17" s="20">
        <f t="shared" si="0"/>
        <v>0</v>
      </c>
      <c r="AD17" s="20">
        <f t="shared" si="0"/>
        <v>0</v>
      </c>
      <c r="AE17" s="20">
        <f t="shared" si="0"/>
        <v>7</v>
      </c>
      <c r="AF17" s="20">
        <f t="shared" si="0"/>
        <v>10</v>
      </c>
      <c r="AG17" s="300">
        <f t="shared" si="4"/>
        <v>240</v>
      </c>
      <c r="AH17" s="42">
        <f t="shared" si="1"/>
        <v>2</v>
      </c>
      <c r="AI17" s="42">
        <f t="shared" si="1"/>
        <v>0</v>
      </c>
      <c r="AJ17" s="42">
        <f t="shared" si="1"/>
        <v>0</v>
      </c>
      <c r="AK17" s="42">
        <f t="shared" si="1"/>
        <v>0</v>
      </c>
      <c r="AL17" s="42">
        <f t="shared" si="1"/>
        <v>0</v>
      </c>
      <c r="AM17" s="42">
        <f t="shared" si="1"/>
        <v>0</v>
      </c>
      <c r="AN17" s="42">
        <f t="shared" si="1"/>
        <v>0</v>
      </c>
      <c r="AO17" s="42">
        <f t="shared" si="1"/>
        <v>2</v>
      </c>
    </row>
    <row r="18" spans="1:47" ht="15.75">
      <c r="A18" s="16">
        <f t="shared" si="5"/>
        <v>15</v>
      </c>
      <c r="B18" s="8">
        <v>69</v>
      </c>
      <c r="C18" s="62" t="s">
        <v>292</v>
      </c>
      <c r="D18" s="63" t="s">
        <v>293</v>
      </c>
      <c r="E18" s="13" t="s">
        <v>294</v>
      </c>
      <c r="F18" s="14" t="s">
        <v>295</v>
      </c>
      <c r="G18" s="429" t="s">
        <v>6473</v>
      </c>
      <c r="H18" s="382">
        <v>29285</v>
      </c>
      <c r="I18" s="383">
        <v>41591</v>
      </c>
      <c r="J18" s="430" t="s">
        <v>6293</v>
      </c>
      <c r="K18" s="366" t="s">
        <v>6298</v>
      </c>
      <c r="L18" s="366" t="s">
        <v>6335</v>
      </c>
      <c r="M18" s="1">
        <v>192</v>
      </c>
      <c r="N18" s="431">
        <f t="shared" si="6"/>
        <v>9</v>
      </c>
      <c r="O18" s="432">
        <v>20</v>
      </c>
      <c r="P18" s="432">
        <v>0</v>
      </c>
      <c r="Q18" s="432">
        <v>0</v>
      </c>
      <c r="R18" s="1">
        <v>7</v>
      </c>
      <c r="S18" s="1">
        <v>10</v>
      </c>
      <c r="T18" s="300">
        <f t="shared" si="7"/>
        <v>238</v>
      </c>
      <c r="U18" s="3"/>
      <c r="V18" s="3"/>
      <c r="W18" s="3"/>
      <c r="X18" s="3"/>
      <c r="Y18" s="3"/>
      <c r="Z18" s="20">
        <f t="shared" si="3"/>
        <v>194</v>
      </c>
      <c r="AA18" s="20">
        <f t="shared" si="0"/>
        <v>9</v>
      </c>
      <c r="AB18" s="20">
        <f t="shared" si="0"/>
        <v>20</v>
      </c>
      <c r="AC18" s="20">
        <f t="shared" si="0"/>
        <v>0</v>
      </c>
      <c r="AD18" s="20">
        <f t="shared" si="0"/>
        <v>0</v>
      </c>
      <c r="AE18" s="20">
        <f t="shared" si="0"/>
        <v>7</v>
      </c>
      <c r="AF18" s="20">
        <f t="shared" si="0"/>
        <v>10</v>
      </c>
      <c r="AG18" s="300">
        <f t="shared" si="4"/>
        <v>240</v>
      </c>
      <c r="AH18" s="42">
        <f t="shared" si="1"/>
        <v>2</v>
      </c>
      <c r="AI18" s="42">
        <f t="shared" si="1"/>
        <v>0</v>
      </c>
      <c r="AJ18" s="42">
        <f t="shared" si="1"/>
        <v>0</v>
      </c>
      <c r="AK18" s="42">
        <f t="shared" si="1"/>
        <v>0</v>
      </c>
      <c r="AL18" s="42">
        <f t="shared" si="1"/>
        <v>0</v>
      </c>
      <c r="AM18" s="42">
        <f t="shared" si="1"/>
        <v>0</v>
      </c>
      <c r="AN18" s="42">
        <f t="shared" si="1"/>
        <v>0</v>
      </c>
      <c r="AO18" s="42">
        <f t="shared" si="1"/>
        <v>2</v>
      </c>
    </row>
    <row r="19" spans="1:47" ht="15.75">
      <c r="A19" s="16">
        <f t="shared" si="5"/>
        <v>16</v>
      </c>
      <c r="B19" s="8">
        <v>74</v>
      </c>
      <c r="C19" s="62" t="s">
        <v>300</v>
      </c>
      <c r="D19" s="63" t="s">
        <v>301</v>
      </c>
      <c r="E19" s="13" t="s">
        <v>302</v>
      </c>
      <c r="F19" s="14" t="s">
        <v>303</v>
      </c>
      <c r="G19" s="429" t="s">
        <v>6473</v>
      </c>
      <c r="H19" s="382">
        <v>29108</v>
      </c>
      <c r="I19" s="383">
        <v>41598</v>
      </c>
      <c r="J19" s="430" t="s">
        <v>6293</v>
      </c>
      <c r="K19" s="366" t="s">
        <v>6299</v>
      </c>
      <c r="L19" s="366" t="s">
        <v>6090</v>
      </c>
      <c r="M19" s="1">
        <v>192</v>
      </c>
      <c r="N19" s="431">
        <f t="shared" si="6"/>
        <v>9</v>
      </c>
      <c r="O19" s="432">
        <v>20</v>
      </c>
      <c r="P19" s="432">
        <v>47</v>
      </c>
      <c r="Q19" s="432">
        <v>15</v>
      </c>
      <c r="R19" s="1">
        <v>7</v>
      </c>
      <c r="S19" s="1">
        <v>10</v>
      </c>
      <c r="T19" s="300">
        <f t="shared" si="7"/>
        <v>300</v>
      </c>
      <c r="U19" s="3"/>
      <c r="V19" s="3"/>
      <c r="W19" s="3"/>
      <c r="X19" s="3"/>
      <c r="Y19" s="3"/>
      <c r="Z19" s="20">
        <f t="shared" si="3"/>
        <v>194</v>
      </c>
      <c r="AA19" s="20">
        <f t="shared" si="0"/>
        <v>9</v>
      </c>
      <c r="AB19" s="20">
        <f t="shared" si="0"/>
        <v>20</v>
      </c>
      <c r="AC19" s="20">
        <f t="shared" si="0"/>
        <v>47</v>
      </c>
      <c r="AD19" s="20">
        <f t="shared" si="0"/>
        <v>15</v>
      </c>
      <c r="AE19" s="20">
        <f t="shared" si="0"/>
        <v>7</v>
      </c>
      <c r="AF19" s="20">
        <f t="shared" si="0"/>
        <v>10</v>
      </c>
      <c r="AG19" s="300">
        <f t="shared" si="4"/>
        <v>302</v>
      </c>
      <c r="AH19" s="42">
        <f t="shared" si="1"/>
        <v>2</v>
      </c>
      <c r="AI19" s="42">
        <f t="shared" si="1"/>
        <v>0</v>
      </c>
      <c r="AJ19" s="42">
        <f t="shared" si="1"/>
        <v>0</v>
      </c>
      <c r="AK19" s="42">
        <f t="shared" si="1"/>
        <v>0</v>
      </c>
      <c r="AL19" s="42">
        <f t="shared" si="1"/>
        <v>0</v>
      </c>
      <c r="AM19" s="42">
        <f t="shared" si="1"/>
        <v>0</v>
      </c>
      <c r="AN19" s="42">
        <f t="shared" si="1"/>
        <v>0</v>
      </c>
      <c r="AO19" s="42">
        <f t="shared" si="1"/>
        <v>2</v>
      </c>
    </row>
    <row r="20" spans="1:47" ht="15.75">
      <c r="A20" s="16">
        <f t="shared" si="5"/>
        <v>17</v>
      </c>
      <c r="B20" s="93">
        <v>78</v>
      </c>
      <c r="C20" s="62" t="s">
        <v>309</v>
      </c>
      <c r="D20" s="63" t="s">
        <v>310</v>
      </c>
      <c r="E20" s="13" t="s">
        <v>311</v>
      </c>
      <c r="F20" s="14" t="s">
        <v>312</v>
      </c>
      <c r="G20" s="429" t="s">
        <v>6473</v>
      </c>
      <c r="H20" s="382">
        <v>31630</v>
      </c>
      <c r="I20" s="383">
        <v>41598</v>
      </c>
      <c r="J20" s="430" t="s">
        <v>6293</v>
      </c>
      <c r="K20" s="366" t="s">
        <v>6300</v>
      </c>
      <c r="L20" s="366" t="s">
        <v>6335</v>
      </c>
      <c r="M20" s="1">
        <v>192</v>
      </c>
      <c r="N20" s="431">
        <f t="shared" si="6"/>
        <v>9</v>
      </c>
      <c r="O20" s="432">
        <v>20</v>
      </c>
      <c r="P20" s="432">
        <v>0</v>
      </c>
      <c r="Q20" s="432">
        <v>0</v>
      </c>
      <c r="R20" s="1">
        <v>7</v>
      </c>
      <c r="S20" s="1">
        <v>10</v>
      </c>
      <c r="T20" s="300">
        <f t="shared" si="7"/>
        <v>238</v>
      </c>
      <c r="U20" s="3"/>
      <c r="V20" s="3"/>
      <c r="W20" s="3"/>
      <c r="X20" s="3"/>
      <c r="Y20" s="3"/>
      <c r="Z20" s="20">
        <f t="shared" si="3"/>
        <v>194</v>
      </c>
      <c r="AA20" s="20">
        <f t="shared" ref="AA20:AF61" si="8">N20</f>
        <v>9</v>
      </c>
      <c r="AB20" s="20">
        <f t="shared" si="8"/>
        <v>20</v>
      </c>
      <c r="AC20" s="20">
        <f t="shared" si="8"/>
        <v>0</v>
      </c>
      <c r="AD20" s="20">
        <f t="shared" si="8"/>
        <v>0</v>
      </c>
      <c r="AE20" s="20">
        <f t="shared" si="8"/>
        <v>7</v>
      </c>
      <c r="AF20" s="20">
        <f t="shared" si="8"/>
        <v>10</v>
      </c>
      <c r="AG20" s="300">
        <f t="shared" si="4"/>
        <v>240</v>
      </c>
      <c r="AH20" s="42">
        <f t="shared" ref="AH20:AO50" si="9">Z20-M20</f>
        <v>2</v>
      </c>
      <c r="AI20" s="42">
        <f t="shared" si="9"/>
        <v>0</v>
      </c>
      <c r="AJ20" s="42">
        <f t="shared" si="9"/>
        <v>0</v>
      </c>
      <c r="AK20" s="42">
        <f t="shared" si="9"/>
        <v>0</v>
      </c>
      <c r="AL20" s="42">
        <f t="shared" si="9"/>
        <v>0</v>
      </c>
      <c r="AM20" s="42">
        <f t="shared" si="9"/>
        <v>0</v>
      </c>
      <c r="AN20" s="42">
        <f t="shared" si="9"/>
        <v>0</v>
      </c>
      <c r="AO20" s="42">
        <f t="shared" si="9"/>
        <v>2</v>
      </c>
    </row>
    <row r="21" spans="1:47" ht="15.75">
      <c r="A21" s="16">
        <f t="shared" si="5"/>
        <v>18</v>
      </c>
      <c r="B21" s="93">
        <v>81</v>
      </c>
      <c r="C21" s="62" t="s">
        <v>316</v>
      </c>
      <c r="D21" s="63" t="s">
        <v>317</v>
      </c>
      <c r="E21" s="13" t="s">
        <v>318</v>
      </c>
      <c r="F21" s="14" t="s">
        <v>319</v>
      </c>
      <c r="G21" s="429" t="s">
        <v>6473</v>
      </c>
      <c r="H21" s="382">
        <v>28299</v>
      </c>
      <c r="I21" s="383">
        <v>41599</v>
      </c>
      <c r="J21" s="430" t="s">
        <v>6293</v>
      </c>
      <c r="K21" s="366" t="s">
        <v>6300</v>
      </c>
      <c r="L21" s="366" t="s">
        <v>6335</v>
      </c>
      <c r="M21" s="1">
        <v>192</v>
      </c>
      <c r="N21" s="431">
        <f t="shared" si="6"/>
        <v>9</v>
      </c>
      <c r="O21" s="432">
        <v>20</v>
      </c>
      <c r="P21" s="432">
        <v>0</v>
      </c>
      <c r="Q21" s="432">
        <v>0</v>
      </c>
      <c r="R21" s="1">
        <v>7</v>
      </c>
      <c r="S21" s="1">
        <v>10</v>
      </c>
      <c r="T21" s="300">
        <f t="shared" si="7"/>
        <v>238</v>
      </c>
      <c r="U21" s="3"/>
      <c r="V21" s="3"/>
      <c r="W21" s="3"/>
      <c r="X21" s="3"/>
      <c r="Y21" s="3"/>
      <c r="Z21" s="20">
        <f t="shared" si="3"/>
        <v>194</v>
      </c>
      <c r="AA21" s="20">
        <f t="shared" si="8"/>
        <v>9</v>
      </c>
      <c r="AB21" s="20">
        <f t="shared" si="8"/>
        <v>20</v>
      </c>
      <c r="AC21" s="20">
        <f t="shared" si="8"/>
        <v>0</v>
      </c>
      <c r="AD21" s="20">
        <f t="shared" si="8"/>
        <v>0</v>
      </c>
      <c r="AE21" s="20">
        <f t="shared" si="8"/>
        <v>7</v>
      </c>
      <c r="AF21" s="20">
        <f t="shared" si="8"/>
        <v>10</v>
      </c>
      <c r="AG21" s="300">
        <f t="shared" si="4"/>
        <v>240</v>
      </c>
      <c r="AH21" s="42">
        <f t="shared" si="9"/>
        <v>2</v>
      </c>
      <c r="AI21" s="42">
        <f t="shared" si="9"/>
        <v>0</v>
      </c>
      <c r="AJ21" s="42">
        <f t="shared" si="9"/>
        <v>0</v>
      </c>
      <c r="AK21" s="42">
        <f t="shared" si="9"/>
        <v>0</v>
      </c>
      <c r="AL21" s="42">
        <f t="shared" si="9"/>
        <v>0</v>
      </c>
      <c r="AM21" s="42">
        <f t="shared" si="9"/>
        <v>0</v>
      </c>
      <c r="AN21" s="42">
        <f t="shared" si="9"/>
        <v>0</v>
      </c>
      <c r="AO21" s="42">
        <f t="shared" si="9"/>
        <v>2</v>
      </c>
    </row>
    <row r="22" spans="1:47" ht="15.75">
      <c r="A22" s="16">
        <f t="shared" si="5"/>
        <v>19</v>
      </c>
      <c r="B22" s="93">
        <v>90</v>
      </c>
      <c r="C22" s="62" t="s">
        <v>240</v>
      </c>
      <c r="D22" s="63" t="s">
        <v>323</v>
      </c>
      <c r="E22" s="13" t="s">
        <v>324</v>
      </c>
      <c r="F22" s="14" t="s">
        <v>325</v>
      </c>
      <c r="G22" s="429" t="s">
        <v>6473</v>
      </c>
      <c r="H22" s="382">
        <v>33244</v>
      </c>
      <c r="I22" s="383">
        <v>41598</v>
      </c>
      <c r="J22" s="430" t="s">
        <v>6293</v>
      </c>
      <c r="K22" s="366" t="s">
        <v>6300</v>
      </c>
      <c r="L22" s="366" t="s">
        <v>6335</v>
      </c>
      <c r="M22" s="1">
        <v>192</v>
      </c>
      <c r="N22" s="431">
        <f t="shared" si="6"/>
        <v>9</v>
      </c>
      <c r="O22" s="432">
        <v>20</v>
      </c>
      <c r="P22" s="432">
        <v>0</v>
      </c>
      <c r="Q22" s="432">
        <v>0</v>
      </c>
      <c r="R22" s="1">
        <v>7</v>
      </c>
      <c r="S22" s="1">
        <v>10</v>
      </c>
      <c r="T22" s="300">
        <f t="shared" si="7"/>
        <v>238</v>
      </c>
      <c r="U22" s="3"/>
      <c r="V22" s="3"/>
      <c r="W22" s="3"/>
      <c r="X22" s="3"/>
      <c r="Y22" s="3"/>
      <c r="Z22" s="20">
        <f t="shared" si="3"/>
        <v>194</v>
      </c>
      <c r="AA22" s="20">
        <f t="shared" si="8"/>
        <v>9</v>
      </c>
      <c r="AB22" s="20">
        <f t="shared" si="8"/>
        <v>20</v>
      </c>
      <c r="AC22" s="20">
        <f t="shared" si="8"/>
        <v>0</v>
      </c>
      <c r="AD22" s="20">
        <f t="shared" si="8"/>
        <v>0</v>
      </c>
      <c r="AE22" s="20">
        <f t="shared" si="8"/>
        <v>7</v>
      </c>
      <c r="AF22" s="20">
        <f t="shared" si="8"/>
        <v>10</v>
      </c>
      <c r="AG22" s="300">
        <f t="shared" si="4"/>
        <v>240</v>
      </c>
      <c r="AH22" s="42">
        <f t="shared" si="9"/>
        <v>2</v>
      </c>
      <c r="AI22" s="42">
        <f t="shared" si="9"/>
        <v>0</v>
      </c>
      <c r="AJ22" s="42">
        <f t="shared" si="9"/>
        <v>0</v>
      </c>
      <c r="AK22" s="42">
        <f t="shared" si="9"/>
        <v>0</v>
      </c>
      <c r="AL22" s="42">
        <f t="shared" si="9"/>
        <v>0</v>
      </c>
      <c r="AM22" s="42">
        <f t="shared" si="9"/>
        <v>0</v>
      </c>
      <c r="AN22" s="42">
        <f t="shared" si="9"/>
        <v>0</v>
      </c>
      <c r="AO22" s="42">
        <f t="shared" si="9"/>
        <v>2</v>
      </c>
    </row>
    <row r="23" spans="1:47" ht="15.75">
      <c r="A23" s="16">
        <f t="shared" si="5"/>
        <v>20</v>
      </c>
      <c r="B23" s="8">
        <v>113</v>
      </c>
      <c r="C23" s="62" t="s">
        <v>339</v>
      </c>
      <c r="D23" s="63" t="s">
        <v>340</v>
      </c>
      <c r="E23" s="13" t="s">
        <v>341</v>
      </c>
      <c r="F23" s="14" t="s">
        <v>342</v>
      </c>
      <c r="G23" s="429" t="s">
        <v>6473</v>
      </c>
      <c r="H23" s="382">
        <v>29385</v>
      </c>
      <c r="I23" s="383">
        <v>41612</v>
      </c>
      <c r="J23" s="430" t="s">
        <v>6293</v>
      </c>
      <c r="K23" s="366" t="s">
        <v>6301</v>
      </c>
      <c r="L23" s="366" t="s">
        <v>6335</v>
      </c>
      <c r="M23" s="1">
        <v>192</v>
      </c>
      <c r="N23" s="431">
        <f t="shared" si="6"/>
        <v>9</v>
      </c>
      <c r="O23" s="432">
        <v>20</v>
      </c>
      <c r="P23" s="432">
        <v>0</v>
      </c>
      <c r="Q23" s="432">
        <v>0</v>
      </c>
      <c r="R23" s="1">
        <v>7</v>
      </c>
      <c r="S23" s="1">
        <v>10</v>
      </c>
      <c r="T23" s="300">
        <f t="shared" si="7"/>
        <v>238</v>
      </c>
      <c r="U23" s="3"/>
      <c r="V23" s="3"/>
      <c r="W23" s="3"/>
      <c r="X23" s="3"/>
      <c r="Y23" s="3"/>
      <c r="Z23" s="20">
        <f t="shared" si="3"/>
        <v>194</v>
      </c>
      <c r="AA23" s="20">
        <f t="shared" si="8"/>
        <v>9</v>
      </c>
      <c r="AB23" s="20">
        <f t="shared" si="8"/>
        <v>20</v>
      </c>
      <c r="AC23" s="20">
        <f t="shared" si="8"/>
        <v>0</v>
      </c>
      <c r="AD23" s="20">
        <f t="shared" si="8"/>
        <v>0</v>
      </c>
      <c r="AE23" s="20">
        <f t="shared" si="8"/>
        <v>7</v>
      </c>
      <c r="AF23" s="20">
        <f t="shared" si="8"/>
        <v>10</v>
      </c>
      <c r="AG23" s="300">
        <f t="shared" si="4"/>
        <v>240</v>
      </c>
      <c r="AH23" s="42">
        <f t="shared" si="9"/>
        <v>2</v>
      </c>
      <c r="AI23" s="42">
        <f t="shared" si="9"/>
        <v>0</v>
      </c>
      <c r="AJ23" s="42">
        <f t="shared" si="9"/>
        <v>0</v>
      </c>
      <c r="AK23" s="42">
        <f t="shared" si="9"/>
        <v>0</v>
      </c>
      <c r="AL23" s="42">
        <f t="shared" si="9"/>
        <v>0</v>
      </c>
      <c r="AM23" s="42">
        <f t="shared" si="9"/>
        <v>0</v>
      </c>
      <c r="AN23" s="42">
        <f t="shared" si="9"/>
        <v>0</v>
      </c>
      <c r="AO23" s="42">
        <f t="shared" si="9"/>
        <v>2</v>
      </c>
      <c r="AT23" s="484" t="e">
        <f>VLOOKUP(#REF!,All!$B$4:$S$8977,4,FALSE)</f>
        <v>#REF!</v>
      </c>
      <c r="AU23" s="482" t="e">
        <f>VLOOKUP(#REF!,All!$B$4:$S$8977,5,FALSE)</f>
        <v>#REF!</v>
      </c>
    </row>
    <row r="24" spans="1:47" ht="15.75">
      <c r="A24" s="16">
        <f t="shared" si="5"/>
        <v>21</v>
      </c>
      <c r="B24" s="8">
        <v>146</v>
      </c>
      <c r="C24" s="62" t="s">
        <v>377</v>
      </c>
      <c r="D24" s="63" t="s">
        <v>378</v>
      </c>
      <c r="E24" s="13" t="s">
        <v>379</v>
      </c>
      <c r="F24" s="14" t="s">
        <v>380</v>
      </c>
      <c r="G24" s="429" t="s">
        <v>6473</v>
      </c>
      <c r="H24" s="385">
        <v>25950</v>
      </c>
      <c r="I24" s="383">
        <v>41619</v>
      </c>
      <c r="J24" s="430" t="s">
        <v>6293</v>
      </c>
      <c r="K24" s="366" t="s">
        <v>6302</v>
      </c>
      <c r="L24" s="366" t="s">
        <v>6335</v>
      </c>
      <c r="M24" s="1">
        <v>192</v>
      </c>
      <c r="N24" s="431">
        <f t="shared" si="6"/>
        <v>9</v>
      </c>
      <c r="O24" s="432">
        <v>20</v>
      </c>
      <c r="P24" s="432">
        <v>0</v>
      </c>
      <c r="Q24" s="432">
        <v>0</v>
      </c>
      <c r="R24" s="1">
        <v>7</v>
      </c>
      <c r="S24" s="1">
        <v>10</v>
      </c>
      <c r="T24" s="300">
        <f t="shared" si="7"/>
        <v>238</v>
      </c>
      <c r="U24" s="3"/>
      <c r="V24" s="3"/>
      <c r="W24" s="3"/>
      <c r="X24" s="3"/>
      <c r="Y24" s="3"/>
      <c r="Z24" s="20">
        <f t="shared" si="3"/>
        <v>194</v>
      </c>
      <c r="AA24" s="20">
        <f t="shared" si="8"/>
        <v>9</v>
      </c>
      <c r="AB24" s="20">
        <f t="shared" si="8"/>
        <v>20</v>
      </c>
      <c r="AC24" s="20">
        <f t="shared" si="8"/>
        <v>0</v>
      </c>
      <c r="AD24" s="20">
        <f t="shared" si="8"/>
        <v>0</v>
      </c>
      <c r="AE24" s="20">
        <f t="shared" si="8"/>
        <v>7</v>
      </c>
      <c r="AF24" s="20">
        <f t="shared" si="8"/>
        <v>10</v>
      </c>
      <c r="AG24" s="300">
        <f t="shared" si="4"/>
        <v>240</v>
      </c>
      <c r="AH24" s="42">
        <f t="shared" si="9"/>
        <v>2</v>
      </c>
      <c r="AI24" s="42">
        <f t="shared" si="9"/>
        <v>0</v>
      </c>
      <c r="AJ24" s="42">
        <f t="shared" si="9"/>
        <v>0</v>
      </c>
      <c r="AK24" s="42">
        <f t="shared" si="9"/>
        <v>0</v>
      </c>
      <c r="AL24" s="42">
        <f t="shared" si="9"/>
        <v>0</v>
      </c>
      <c r="AM24" s="42">
        <f t="shared" si="9"/>
        <v>0</v>
      </c>
      <c r="AN24" s="42">
        <f t="shared" si="9"/>
        <v>0</v>
      </c>
      <c r="AO24" s="42">
        <f t="shared" si="9"/>
        <v>2</v>
      </c>
      <c r="AT24" s="484" t="e">
        <f>VLOOKUP(#REF!,All!$B$4:$S$8977,4,FALSE)</f>
        <v>#REF!</v>
      </c>
      <c r="AU24" s="482" t="e">
        <f>VLOOKUP(#REF!,All!$B$4:$S$8977,5,FALSE)</f>
        <v>#REF!</v>
      </c>
    </row>
    <row r="25" spans="1:47" ht="15.75">
      <c r="A25" s="16">
        <f t="shared" si="5"/>
        <v>22</v>
      </c>
      <c r="B25" s="8">
        <v>161</v>
      </c>
      <c r="C25" s="62" t="s">
        <v>386</v>
      </c>
      <c r="D25" s="63" t="s">
        <v>387</v>
      </c>
      <c r="E25" s="13" t="s">
        <v>388</v>
      </c>
      <c r="F25" s="14" t="s">
        <v>389</v>
      </c>
      <c r="G25" s="429" t="s">
        <v>6473</v>
      </c>
      <c r="H25" s="385">
        <v>34710</v>
      </c>
      <c r="I25" s="383">
        <v>41674</v>
      </c>
      <c r="J25" s="430" t="s">
        <v>6293</v>
      </c>
      <c r="K25" s="366" t="s">
        <v>6301</v>
      </c>
      <c r="L25" s="366" t="s">
        <v>6087</v>
      </c>
      <c r="M25" s="1">
        <v>192</v>
      </c>
      <c r="N25" s="431">
        <f t="shared" si="6"/>
        <v>8</v>
      </c>
      <c r="O25" s="432">
        <v>20</v>
      </c>
      <c r="P25" s="432">
        <v>45</v>
      </c>
      <c r="Q25" s="432">
        <v>0</v>
      </c>
      <c r="R25" s="1">
        <v>7</v>
      </c>
      <c r="S25" s="1">
        <v>10</v>
      </c>
      <c r="T25" s="300">
        <f t="shared" si="7"/>
        <v>282</v>
      </c>
      <c r="U25" s="3"/>
      <c r="V25" s="3"/>
      <c r="W25" s="3"/>
      <c r="X25" s="3"/>
      <c r="Y25" s="3"/>
      <c r="Z25" s="20">
        <f t="shared" si="3"/>
        <v>194</v>
      </c>
      <c r="AA25" s="20">
        <f t="shared" si="8"/>
        <v>8</v>
      </c>
      <c r="AB25" s="20">
        <f t="shared" si="8"/>
        <v>20</v>
      </c>
      <c r="AC25" s="20">
        <f t="shared" si="8"/>
        <v>45</v>
      </c>
      <c r="AD25" s="20">
        <f t="shared" si="8"/>
        <v>0</v>
      </c>
      <c r="AE25" s="20">
        <f t="shared" si="8"/>
        <v>7</v>
      </c>
      <c r="AF25" s="20">
        <f t="shared" si="8"/>
        <v>10</v>
      </c>
      <c r="AG25" s="300">
        <f t="shared" si="4"/>
        <v>284</v>
      </c>
      <c r="AH25" s="42">
        <f t="shared" si="9"/>
        <v>2</v>
      </c>
      <c r="AI25" s="42">
        <f t="shared" si="9"/>
        <v>0</v>
      </c>
      <c r="AJ25" s="42">
        <f t="shared" si="9"/>
        <v>0</v>
      </c>
      <c r="AK25" s="42">
        <f t="shared" si="9"/>
        <v>0</v>
      </c>
      <c r="AL25" s="42">
        <f t="shared" si="9"/>
        <v>0</v>
      </c>
      <c r="AM25" s="42">
        <f t="shared" si="9"/>
        <v>0</v>
      </c>
      <c r="AN25" s="42">
        <f t="shared" si="9"/>
        <v>0</v>
      </c>
      <c r="AO25" s="42">
        <f t="shared" si="9"/>
        <v>2</v>
      </c>
      <c r="AT25" s="484" t="e">
        <f>VLOOKUP(#REF!,All!$B$4:$S$8977,4,FALSE)</f>
        <v>#REF!</v>
      </c>
      <c r="AU25" s="482" t="e">
        <f>VLOOKUP(#REF!,All!$B$4:$S$8977,5,FALSE)</f>
        <v>#REF!</v>
      </c>
    </row>
    <row r="26" spans="1:47" ht="15.75">
      <c r="A26" s="16">
        <f t="shared" si="5"/>
        <v>23</v>
      </c>
      <c r="B26" s="8">
        <v>163</v>
      </c>
      <c r="C26" s="62" t="s">
        <v>393</v>
      </c>
      <c r="D26" s="63" t="s">
        <v>394</v>
      </c>
      <c r="E26" s="13" t="s">
        <v>395</v>
      </c>
      <c r="F26" s="14" t="s">
        <v>396</v>
      </c>
      <c r="G26" s="429" t="s">
        <v>6473</v>
      </c>
      <c r="H26" s="385">
        <v>30297</v>
      </c>
      <c r="I26" s="383">
        <v>41676</v>
      </c>
      <c r="J26" s="430" t="s">
        <v>6293</v>
      </c>
      <c r="K26" s="366" t="s">
        <v>397</v>
      </c>
      <c r="L26" s="366" t="s">
        <v>7</v>
      </c>
      <c r="M26" s="1">
        <v>192</v>
      </c>
      <c r="N26" s="431">
        <f t="shared" si="6"/>
        <v>8</v>
      </c>
      <c r="O26" s="432">
        <v>20</v>
      </c>
      <c r="P26" s="432">
        <v>45</v>
      </c>
      <c r="Q26" s="432">
        <v>0</v>
      </c>
      <c r="R26" s="1">
        <v>7</v>
      </c>
      <c r="S26" s="1">
        <v>10</v>
      </c>
      <c r="T26" s="300">
        <f t="shared" si="7"/>
        <v>282</v>
      </c>
      <c r="U26" s="3"/>
      <c r="V26" s="3"/>
      <c r="W26" s="3"/>
      <c r="X26" s="3"/>
      <c r="Y26" s="3"/>
      <c r="Z26" s="20">
        <f t="shared" si="3"/>
        <v>194</v>
      </c>
      <c r="AA26" s="20">
        <f t="shared" si="8"/>
        <v>8</v>
      </c>
      <c r="AB26" s="20">
        <f t="shared" si="8"/>
        <v>20</v>
      </c>
      <c r="AC26" s="20">
        <f t="shared" si="8"/>
        <v>45</v>
      </c>
      <c r="AD26" s="20">
        <f t="shared" si="8"/>
        <v>0</v>
      </c>
      <c r="AE26" s="20">
        <f t="shared" si="8"/>
        <v>7</v>
      </c>
      <c r="AF26" s="20">
        <f t="shared" si="8"/>
        <v>10</v>
      </c>
      <c r="AG26" s="300">
        <f t="shared" si="4"/>
        <v>284</v>
      </c>
      <c r="AH26" s="42">
        <f t="shared" si="9"/>
        <v>2</v>
      </c>
      <c r="AI26" s="42">
        <f t="shared" si="9"/>
        <v>0</v>
      </c>
      <c r="AJ26" s="42">
        <f t="shared" si="9"/>
        <v>0</v>
      </c>
      <c r="AK26" s="42">
        <f t="shared" si="9"/>
        <v>0</v>
      </c>
      <c r="AL26" s="42">
        <f t="shared" si="9"/>
        <v>0</v>
      </c>
      <c r="AM26" s="42">
        <f t="shared" si="9"/>
        <v>0</v>
      </c>
      <c r="AN26" s="42">
        <f t="shared" si="9"/>
        <v>0</v>
      </c>
      <c r="AO26" s="42">
        <f t="shared" si="9"/>
        <v>2</v>
      </c>
      <c r="AT26" s="484" t="e">
        <f>VLOOKUP(#REF!,All!$B$4:$S$8977,4,FALSE)</f>
        <v>#REF!</v>
      </c>
      <c r="AU26" s="482" t="e">
        <f>VLOOKUP(#REF!,All!$B$4:$S$8977,5,FALSE)</f>
        <v>#REF!</v>
      </c>
    </row>
    <row r="27" spans="1:47" ht="15.75">
      <c r="A27" s="16">
        <f t="shared" si="5"/>
        <v>24</v>
      </c>
      <c r="B27" s="8">
        <v>171</v>
      </c>
      <c r="C27" s="62" t="s">
        <v>402</v>
      </c>
      <c r="D27" s="63" t="s">
        <v>331</v>
      </c>
      <c r="E27" s="13" t="s">
        <v>403</v>
      </c>
      <c r="F27" s="14" t="s">
        <v>333</v>
      </c>
      <c r="G27" s="429" t="s">
        <v>6473</v>
      </c>
      <c r="H27" s="385">
        <v>32617</v>
      </c>
      <c r="I27" s="383">
        <v>41680</v>
      </c>
      <c r="J27" s="430" t="s">
        <v>6159</v>
      </c>
      <c r="K27" s="366" t="s">
        <v>6324</v>
      </c>
      <c r="L27" s="366" t="s">
        <v>6303</v>
      </c>
      <c r="M27" s="1">
        <v>192</v>
      </c>
      <c r="N27" s="431">
        <f t="shared" si="6"/>
        <v>8</v>
      </c>
      <c r="O27" s="432">
        <v>0</v>
      </c>
      <c r="P27" s="432">
        <v>118</v>
      </c>
      <c r="Q27" s="432">
        <v>35</v>
      </c>
      <c r="R27" s="1">
        <v>7</v>
      </c>
      <c r="S27" s="1">
        <v>10</v>
      </c>
      <c r="T27" s="300">
        <f t="shared" si="7"/>
        <v>370</v>
      </c>
      <c r="U27" s="3"/>
      <c r="V27" s="3"/>
      <c r="W27" s="3"/>
      <c r="X27" s="3"/>
      <c r="Y27" s="3"/>
      <c r="Z27" s="20">
        <f t="shared" si="3"/>
        <v>194</v>
      </c>
      <c r="AA27" s="20">
        <f t="shared" si="8"/>
        <v>8</v>
      </c>
      <c r="AB27" s="20">
        <f t="shared" si="8"/>
        <v>0</v>
      </c>
      <c r="AC27" s="20">
        <f t="shared" si="8"/>
        <v>118</v>
      </c>
      <c r="AD27" s="20">
        <f t="shared" si="8"/>
        <v>35</v>
      </c>
      <c r="AE27" s="20">
        <f t="shared" si="8"/>
        <v>7</v>
      </c>
      <c r="AF27" s="20">
        <f t="shared" si="8"/>
        <v>10</v>
      </c>
      <c r="AG27" s="300">
        <f t="shared" si="4"/>
        <v>372</v>
      </c>
      <c r="AH27" s="42">
        <f t="shared" si="9"/>
        <v>2</v>
      </c>
      <c r="AI27" s="42">
        <f t="shared" si="9"/>
        <v>0</v>
      </c>
      <c r="AJ27" s="42">
        <f t="shared" si="9"/>
        <v>0</v>
      </c>
      <c r="AK27" s="42">
        <f t="shared" si="9"/>
        <v>0</v>
      </c>
      <c r="AL27" s="42">
        <f t="shared" si="9"/>
        <v>0</v>
      </c>
      <c r="AM27" s="42">
        <f t="shared" si="9"/>
        <v>0</v>
      </c>
      <c r="AN27" s="42">
        <f t="shared" si="9"/>
        <v>0</v>
      </c>
      <c r="AO27" s="42">
        <f t="shared" si="9"/>
        <v>2</v>
      </c>
      <c r="AT27" s="484" t="e">
        <f>VLOOKUP(#REF!,All!$B$4:$S$8977,4,FALSE)</f>
        <v>#REF!</v>
      </c>
      <c r="AU27" s="482" t="e">
        <f>VLOOKUP(#REF!,All!$B$4:$S$8977,5,FALSE)</f>
        <v>#REF!</v>
      </c>
    </row>
    <row r="28" spans="1:47" ht="15.75">
      <c r="A28" s="16">
        <f t="shared" si="5"/>
        <v>25</v>
      </c>
      <c r="B28" s="8">
        <v>26</v>
      </c>
      <c r="C28" s="218" t="s">
        <v>3048</v>
      </c>
      <c r="D28" s="219" t="s">
        <v>301</v>
      </c>
      <c r="E28" s="24" t="s">
        <v>3050</v>
      </c>
      <c r="F28" s="25" t="s">
        <v>303</v>
      </c>
      <c r="G28" s="429" t="s">
        <v>6475</v>
      </c>
      <c r="H28" s="384">
        <v>30171</v>
      </c>
      <c r="I28" s="383">
        <v>41568</v>
      </c>
      <c r="J28" s="430" t="s">
        <v>6159</v>
      </c>
      <c r="K28" s="366" t="s">
        <v>3070</v>
      </c>
      <c r="L28" s="366" t="s">
        <v>6480</v>
      </c>
      <c r="M28" s="1">
        <v>202</v>
      </c>
      <c r="N28" s="431">
        <f t="shared" si="6"/>
        <v>9</v>
      </c>
      <c r="O28" s="432">
        <v>60</v>
      </c>
      <c r="P28" s="432">
        <v>395</v>
      </c>
      <c r="Q28" s="432">
        <v>71</v>
      </c>
      <c r="R28" s="1">
        <v>7</v>
      </c>
      <c r="S28" s="1">
        <v>10</v>
      </c>
      <c r="T28" s="300">
        <f t="shared" si="7"/>
        <v>754</v>
      </c>
      <c r="U28" s="3"/>
      <c r="V28" s="3"/>
      <c r="W28" s="3"/>
      <c r="X28" s="3"/>
      <c r="Y28" s="3"/>
      <c r="Z28" s="20">
        <f t="shared" si="3"/>
        <v>204</v>
      </c>
      <c r="AA28" s="20">
        <f t="shared" si="8"/>
        <v>9</v>
      </c>
      <c r="AB28" s="20">
        <f t="shared" si="8"/>
        <v>60</v>
      </c>
      <c r="AC28" s="20">
        <f t="shared" si="8"/>
        <v>395</v>
      </c>
      <c r="AD28" s="20">
        <f t="shared" si="8"/>
        <v>71</v>
      </c>
      <c r="AE28" s="20">
        <f t="shared" si="8"/>
        <v>7</v>
      </c>
      <c r="AF28" s="20">
        <f t="shared" si="8"/>
        <v>10</v>
      </c>
      <c r="AG28" s="300">
        <f t="shared" si="4"/>
        <v>756</v>
      </c>
      <c r="AH28" s="42">
        <f t="shared" si="9"/>
        <v>2</v>
      </c>
      <c r="AI28" s="42">
        <f t="shared" si="9"/>
        <v>0</v>
      </c>
      <c r="AJ28" s="42">
        <f t="shared" si="9"/>
        <v>0</v>
      </c>
      <c r="AK28" s="42">
        <f t="shared" si="9"/>
        <v>0</v>
      </c>
      <c r="AL28" s="42">
        <f t="shared" si="9"/>
        <v>0</v>
      </c>
      <c r="AM28" s="42">
        <f t="shared" si="9"/>
        <v>0</v>
      </c>
      <c r="AN28" s="42">
        <f t="shared" si="9"/>
        <v>0</v>
      </c>
      <c r="AO28" s="42">
        <f t="shared" si="9"/>
        <v>2</v>
      </c>
      <c r="AT28" s="484" t="e">
        <f>VLOOKUP(#REF!,All!$B$4:$S$8977,4,FALSE)</f>
        <v>#REF!</v>
      </c>
      <c r="AU28" s="482" t="e">
        <f>VLOOKUP(#REF!,All!$B$4:$S$8977,5,FALSE)</f>
        <v>#REF!</v>
      </c>
    </row>
    <row r="29" spans="1:47" ht="30">
      <c r="A29" s="16">
        <f t="shared" si="5"/>
        <v>26</v>
      </c>
      <c r="B29" s="8">
        <v>200</v>
      </c>
      <c r="C29" s="218" t="s">
        <v>1334</v>
      </c>
      <c r="D29" s="219" t="s">
        <v>1687</v>
      </c>
      <c r="E29" s="24" t="s">
        <v>6006</v>
      </c>
      <c r="F29" s="25" t="s">
        <v>98</v>
      </c>
      <c r="G29" s="429" t="s">
        <v>6475</v>
      </c>
      <c r="H29" s="384">
        <v>29800</v>
      </c>
      <c r="I29" s="383">
        <v>41694</v>
      </c>
      <c r="J29" s="430" t="s">
        <v>6293</v>
      </c>
      <c r="K29" s="444" t="s">
        <v>6007</v>
      </c>
      <c r="L29" s="366" t="s">
        <v>6481</v>
      </c>
      <c r="M29" s="1">
        <v>192</v>
      </c>
      <c r="N29" s="431">
        <f t="shared" si="6"/>
        <v>8</v>
      </c>
      <c r="O29" s="432">
        <v>20</v>
      </c>
      <c r="P29" s="432">
        <v>295</v>
      </c>
      <c r="Q29" s="432">
        <v>0</v>
      </c>
      <c r="R29" s="1">
        <v>7</v>
      </c>
      <c r="S29" s="1">
        <v>10</v>
      </c>
      <c r="T29" s="300">
        <f t="shared" si="7"/>
        <v>532</v>
      </c>
      <c r="U29" s="3"/>
      <c r="V29" s="3"/>
      <c r="W29" s="3"/>
      <c r="X29" s="3"/>
      <c r="Y29" s="3"/>
      <c r="Z29" s="20">
        <f t="shared" si="3"/>
        <v>194</v>
      </c>
      <c r="AA29" s="20">
        <f t="shared" si="8"/>
        <v>8</v>
      </c>
      <c r="AB29" s="20">
        <f t="shared" si="8"/>
        <v>20</v>
      </c>
      <c r="AC29" s="20">
        <f t="shared" si="8"/>
        <v>295</v>
      </c>
      <c r="AD29" s="20">
        <f t="shared" si="8"/>
        <v>0</v>
      </c>
      <c r="AE29" s="20">
        <f t="shared" si="8"/>
        <v>7</v>
      </c>
      <c r="AF29" s="20">
        <f t="shared" si="8"/>
        <v>10</v>
      </c>
      <c r="AG29" s="300">
        <f t="shared" si="4"/>
        <v>534</v>
      </c>
      <c r="AH29" s="42">
        <f t="shared" si="9"/>
        <v>2</v>
      </c>
      <c r="AI29" s="42">
        <f t="shared" si="9"/>
        <v>0</v>
      </c>
      <c r="AJ29" s="42">
        <f t="shared" si="9"/>
        <v>0</v>
      </c>
      <c r="AK29" s="42">
        <f t="shared" si="9"/>
        <v>0</v>
      </c>
      <c r="AL29" s="42">
        <f t="shared" si="9"/>
        <v>0</v>
      </c>
      <c r="AM29" s="42">
        <f t="shared" si="9"/>
        <v>0</v>
      </c>
      <c r="AN29" s="42">
        <f t="shared" si="9"/>
        <v>0</v>
      </c>
      <c r="AO29" s="42">
        <f t="shared" si="9"/>
        <v>2</v>
      </c>
      <c r="AT29" s="484" t="e">
        <f>VLOOKUP(#REF!,All!$B$4:$S$8977,4,FALSE)</f>
        <v>#REF!</v>
      </c>
      <c r="AU29" s="482" t="e">
        <f>VLOOKUP(#REF!,All!$B$4:$S$8977,5,FALSE)</f>
        <v>#REF!</v>
      </c>
    </row>
    <row r="30" spans="1:47" ht="15.75">
      <c r="A30" s="16">
        <f t="shared" si="5"/>
        <v>27</v>
      </c>
      <c r="B30" s="8">
        <v>176</v>
      </c>
      <c r="C30" s="62" t="s">
        <v>407</v>
      </c>
      <c r="D30" s="63" t="s">
        <v>408</v>
      </c>
      <c r="E30" s="13" t="s">
        <v>409</v>
      </c>
      <c r="F30" s="14" t="s">
        <v>410</v>
      </c>
      <c r="G30" s="429" t="s">
        <v>6473</v>
      </c>
      <c r="H30" s="385">
        <v>29575</v>
      </c>
      <c r="I30" s="383">
        <v>41683</v>
      </c>
      <c r="J30" s="430" t="s">
        <v>6293</v>
      </c>
      <c r="K30" s="366" t="s">
        <v>6304</v>
      </c>
      <c r="L30" s="366" t="s">
        <v>6335</v>
      </c>
      <c r="M30" s="1">
        <v>192</v>
      </c>
      <c r="N30" s="431">
        <f t="shared" si="6"/>
        <v>8</v>
      </c>
      <c r="O30" s="432">
        <v>25</v>
      </c>
      <c r="P30" s="432">
        <v>0</v>
      </c>
      <c r="Q30" s="432">
        <v>0</v>
      </c>
      <c r="R30" s="1">
        <v>7</v>
      </c>
      <c r="S30" s="1">
        <v>10</v>
      </c>
      <c r="T30" s="300">
        <f t="shared" si="7"/>
        <v>242</v>
      </c>
      <c r="U30" s="3"/>
      <c r="V30" s="3"/>
      <c r="W30" s="3"/>
      <c r="X30" s="3"/>
      <c r="Y30" s="3"/>
      <c r="Z30" s="20">
        <f t="shared" si="3"/>
        <v>194</v>
      </c>
      <c r="AA30" s="20">
        <f t="shared" si="8"/>
        <v>8</v>
      </c>
      <c r="AB30" s="20">
        <f t="shared" si="8"/>
        <v>25</v>
      </c>
      <c r="AC30" s="20">
        <f t="shared" si="8"/>
        <v>0</v>
      </c>
      <c r="AD30" s="20">
        <f t="shared" si="8"/>
        <v>0</v>
      </c>
      <c r="AE30" s="20">
        <f t="shared" si="8"/>
        <v>7</v>
      </c>
      <c r="AF30" s="20">
        <f t="shared" si="8"/>
        <v>10</v>
      </c>
      <c r="AG30" s="300">
        <f t="shared" si="4"/>
        <v>244</v>
      </c>
      <c r="AH30" s="42">
        <f t="shared" si="9"/>
        <v>2</v>
      </c>
      <c r="AI30" s="42">
        <f t="shared" si="9"/>
        <v>0</v>
      </c>
      <c r="AJ30" s="42">
        <f t="shared" si="9"/>
        <v>0</v>
      </c>
      <c r="AK30" s="42">
        <f t="shared" si="9"/>
        <v>0</v>
      </c>
      <c r="AL30" s="42">
        <f t="shared" si="9"/>
        <v>0</v>
      </c>
      <c r="AM30" s="42">
        <f t="shared" si="9"/>
        <v>0</v>
      </c>
      <c r="AN30" s="42">
        <f t="shared" si="9"/>
        <v>0</v>
      </c>
      <c r="AO30" s="42">
        <f t="shared" si="9"/>
        <v>2</v>
      </c>
      <c r="AT30" s="484" t="e">
        <f>VLOOKUP(#REF!,All!$B$4:$S$8977,4,FALSE)</f>
        <v>#REF!</v>
      </c>
      <c r="AU30" s="482" t="e">
        <f>VLOOKUP(#REF!,All!$B$4:$S$8977,5,FALSE)</f>
        <v>#REF!</v>
      </c>
    </row>
    <row r="31" spans="1:47" ht="15.75">
      <c r="A31" s="16">
        <f t="shared" si="5"/>
        <v>28</v>
      </c>
      <c r="B31" s="8">
        <v>224</v>
      </c>
      <c r="C31" s="62" t="s">
        <v>424</v>
      </c>
      <c r="D31" s="63" t="s">
        <v>425</v>
      </c>
      <c r="E31" s="13" t="s">
        <v>426</v>
      </c>
      <c r="F31" s="14" t="s">
        <v>427</v>
      </c>
      <c r="G31" s="429" t="s">
        <v>6473</v>
      </c>
      <c r="H31" s="385">
        <v>28491</v>
      </c>
      <c r="I31" s="383">
        <v>41702</v>
      </c>
      <c r="J31" s="430" t="s">
        <v>6293</v>
      </c>
      <c r="K31" s="366" t="s">
        <v>6302</v>
      </c>
      <c r="L31" s="366" t="s">
        <v>6335</v>
      </c>
      <c r="M31" s="1">
        <v>192</v>
      </c>
      <c r="N31" s="431">
        <f t="shared" si="6"/>
        <v>8</v>
      </c>
      <c r="O31" s="432">
        <v>20</v>
      </c>
      <c r="P31" s="432">
        <v>0</v>
      </c>
      <c r="Q31" s="432">
        <v>0</v>
      </c>
      <c r="R31" s="1">
        <v>7</v>
      </c>
      <c r="S31" s="1">
        <v>10</v>
      </c>
      <c r="T31" s="300">
        <f t="shared" si="7"/>
        <v>237</v>
      </c>
      <c r="U31" s="3"/>
      <c r="V31" s="3"/>
      <c r="W31" s="3"/>
      <c r="X31" s="3"/>
      <c r="Y31" s="3"/>
      <c r="Z31" s="20">
        <f t="shared" si="3"/>
        <v>194</v>
      </c>
      <c r="AA31" s="20">
        <f t="shared" si="8"/>
        <v>8</v>
      </c>
      <c r="AB31" s="20">
        <f t="shared" si="8"/>
        <v>20</v>
      </c>
      <c r="AC31" s="20">
        <f t="shared" si="8"/>
        <v>0</v>
      </c>
      <c r="AD31" s="20">
        <f t="shared" si="8"/>
        <v>0</v>
      </c>
      <c r="AE31" s="20">
        <f t="shared" si="8"/>
        <v>7</v>
      </c>
      <c r="AF31" s="20">
        <f t="shared" si="8"/>
        <v>10</v>
      </c>
      <c r="AG31" s="300">
        <f t="shared" si="4"/>
        <v>239</v>
      </c>
      <c r="AH31" s="42">
        <f t="shared" si="9"/>
        <v>2</v>
      </c>
      <c r="AI31" s="42">
        <f t="shared" si="9"/>
        <v>0</v>
      </c>
      <c r="AJ31" s="42">
        <f t="shared" si="9"/>
        <v>0</v>
      </c>
      <c r="AK31" s="42">
        <f t="shared" si="9"/>
        <v>0</v>
      </c>
      <c r="AL31" s="42">
        <f t="shared" si="9"/>
        <v>0</v>
      </c>
      <c r="AM31" s="42">
        <f t="shared" si="9"/>
        <v>0</v>
      </c>
      <c r="AN31" s="42">
        <f t="shared" si="9"/>
        <v>0</v>
      </c>
      <c r="AO31" s="42">
        <f t="shared" si="9"/>
        <v>2</v>
      </c>
      <c r="AT31" s="484" t="e">
        <f>VLOOKUP(#REF!,All!$B$4:$S$8977,4,FALSE)</f>
        <v>#REF!</v>
      </c>
      <c r="AU31" s="482" t="e">
        <f>VLOOKUP(#REF!,All!$B$4:$S$8977,5,FALSE)</f>
        <v>#REF!</v>
      </c>
    </row>
    <row r="32" spans="1:47" ht="15.75">
      <c r="A32" s="16">
        <f t="shared" si="5"/>
        <v>29</v>
      </c>
      <c r="B32" s="8">
        <v>226</v>
      </c>
      <c r="C32" s="62" t="s">
        <v>431</v>
      </c>
      <c r="D32" s="63" t="s">
        <v>408</v>
      </c>
      <c r="E32" s="13" t="s">
        <v>432</v>
      </c>
      <c r="F32" s="14" t="s">
        <v>433</v>
      </c>
      <c r="G32" s="429" t="s">
        <v>6473</v>
      </c>
      <c r="H32" s="385">
        <v>30275</v>
      </c>
      <c r="I32" s="383">
        <v>41702</v>
      </c>
      <c r="J32" s="430" t="s">
        <v>6293</v>
      </c>
      <c r="K32" s="366" t="s">
        <v>6302</v>
      </c>
      <c r="L32" s="366" t="s">
        <v>6335</v>
      </c>
      <c r="M32" s="1">
        <v>192</v>
      </c>
      <c r="N32" s="431">
        <f t="shared" si="6"/>
        <v>8</v>
      </c>
      <c r="O32" s="432">
        <v>20</v>
      </c>
      <c r="P32" s="432">
        <v>0</v>
      </c>
      <c r="Q32" s="432">
        <v>0</v>
      </c>
      <c r="R32" s="1">
        <v>7</v>
      </c>
      <c r="S32" s="1">
        <v>10</v>
      </c>
      <c r="T32" s="300">
        <f t="shared" si="7"/>
        <v>237</v>
      </c>
      <c r="U32" s="3"/>
      <c r="V32" s="3"/>
      <c r="W32" s="3"/>
      <c r="X32" s="3"/>
      <c r="Y32" s="3"/>
      <c r="Z32" s="20">
        <f t="shared" si="3"/>
        <v>194</v>
      </c>
      <c r="AA32" s="20">
        <f t="shared" si="8"/>
        <v>8</v>
      </c>
      <c r="AB32" s="20">
        <f t="shared" si="8"/>
        <v>20</v>
      </c>
      <c r="AC32" s="20">
        <f t="shared" si="8"/>
        <v>0</v>
      </c>
      <c r="AD32" s="20">
        <f t="shared" si="8"/>
        <v>0</v>
      </c>
      <c r="AE32" s="20">
        <f t="shared" si="8"/>
        <v>7</v>
      </c>
      <c r="AF32" s="20">
        <f t="shared" si="8"/>
        <v>10</v>
      </c>
      <c r="AG32" s="300">
        <f t="shared" si="4"/>
        <v>239</v>
      </c>
      <c r="AH32" s="42">
        <f t="shared" si="9"/>
        <v>2</v>
      </c>
      <c r="AI32" s="42">
        <f t="shared" si="9"/>
        <v>0</v>
      </c>
      <c r="AJ32" s="42">
        <f t="shared" si="9"/>
        <v>0</v>
      </c>
      <c r="AK32" s="42">
        <f t="shared" si="9"/>
        <v>0</v>
      </c>
      <c r="AL32" s="42">
        <f t="shared" si="9"/>
        <v>0</v>
      </c>
      <c r="AM32" s="42">
        <f t="shared" si="9"/>
        <v>0</v>
      </c>
      <c r="AN32" s="42">
        <f t="shared" si="9"/>
        <v>0</v>
      </c>
      <c r="AO32" s="42">
        <f t="shared" si="9"/>
        <v>2</v>
      </c>
    </row>
    <row r="33" spans="1:41" ht="15.75">
      <c r="A33" s="16">
        <f t="shared" si="5"/>
        <v>30</v>
      </c>
      <c r="B33" s="8">
        <v>271</v>
      </c>
      <c r="C33" s="62" t="s">
        <v>445</v>
      </c>
      <c r="D33" s="63" t="s">
        <v>446</v>
      </c>
      <c r="E33" s="13" t="s">
        <v>447</v>
      </c>
      <c r="F33" s="14" t="s">
        <v>448</v>
      </c>
      <c r="G33" s="429" t="s">
        <v>6473</v>
      </c>
      <c r="H33" s="385">
        <v>29064</v>
      </c>
      <c r="I33" s="383">
        <v>41730</v>
      </c>
      <c r="J33" s="430" t="s">
        <v>6293</v>
      </c>
      <c r="K33" s="366" t="s">
        <v>6299</v>
      </c>
      <c r="L33" s="366" t="s">
        <v>6335</v>
      </c>
      <c r="M33" s="1">
        <v>192</v>
      </c>
      <c r="N33" s="431">
        <f t="shared" si="6"/>
        <v>8</v>
      </c>
      <c r="O33" s="432">
        <v>20</v>
      </c>
      <c r="P33" s="432">
        <v>0</v>
      </c>
      <c r="Q33" s="432">
        <v>0</v>
      </c>
      <c r="R33" s="1">
        <v>7</v>
      </c>
      <c r="S33" s="1">
        <v>10</v>
      </c>
      <c r="T33" s="300">
        <f t="shared" si="7"/>
        <v>237</v>
      </c>
      <c r="U33" s="3"/>
      <c r="V33" s="3"/>
      <c r="W33" s="3"/>
      <c r="X33" s="3"/>
      <c r="Y33" s="3"/>
      <c r="Z33" s="20">
        <f t="shared" si="3"/>
        <v>194</v>
      </c>
      <c r="AA33" s="20">
        <f t="shared" si="8"/>
        <v>8</v>
      </c>
      <c r="AB33" s="20">
        <f t="shared" si="8"/>
        <v>20</v>
      </c>
      <c r="AC33" s="20">
        <f t="shared" si="8"/>
        <v>0</v>
      </c>
      <c r="AD33" s="20">
        <f t="shared" si="8"/>
        <v>0</v>
      </c>
      <c r="AE33" s="20">
        <f t="shared" si="8"/>
        <v>7</v>
      </c>
      <c r="AF33" s="20">
        <f t="shared" si="8"/>
        <v>10</v>
      </c>
      <c r="AG33" s="300">
        <f t="shared" si="4"/>
        <v>239</v>
      </c>
      <c r="AH33" s="42">
        <f t="shared" si="9"/>
        <v>2</v>
      </c>
      <c r="AI33" s="42">
        <f t="shared" si="9"/>
        <v>0</v>
      </c>
      <c r="AJ33" s="42">
        <f t="shared" si="9"/>
        <v>0</v>
      </c>
      <c r="AK33" s="42">
        <f t="shared" si="9"/>
        <v>0</v>
      </c>
      <c r="AL33" s="42">
        <f t="shared" si="9"/>
        <v>0</v>
      </c>
      <c r="AM33" s="42">
        <f t="shared" si="9"/>
        <v>0</v>
      </c>
      <c r="AN33" s="42">
        <f t="shared" si="9"/>
        <v>0</v>
      </c>
      <c r="AO33" s="42">
        <f t="shared" si="9"/>
        <v>2</v>
      </c>
    </row>
    <row r="34" spans="1:41" ht="15.75">
      <c r="A34" s="16">
        <f t="shared" si="5"/>
        <v>31</v>
      </c>
      <c r="B34" s="8">
        <v>283</v>
      </c>
      <c r="C34" s="62" t="s">
        <v>452</v>
      </c>
      <c r="D34" s="63" t="s">
        <v>453</v>
      </c>
      <c r="E34" s="13" t="s">
        <v>454</v>
      </c>
      <c r="F34" s="14" t="s">
        <v>455</v>
      </c>
      <c r="G34" s="429" t="s">
        <v>6473</v>
      </c>
      <c r="H34" s="385">
        <v>34151</v>
      </c>
      <c r="I34" s="383">
        <v>41750</v>
      </c>
      <c r="J34" s="430" t="s">
        <v>6293</v>
      </c>
      <c r="K34" s="366" t="s">
        <v>6298</v>
      </c>
      <c r="L34" s="366" t="s">
        <v>6335</v>
      </c>
      <c r="M34" s="1">
        <v>192</v>
      </c>
      <c r="N34" s="431">
        <f t="shared" si="6"/>
        <v>8</v>
      </c>
      <c r="O34" s="432">
        <v>20</v>
      </c>
      <c r="P34" s="432">
        <v>0</v>
      </c>
      <c r="Q34" s="432">
        <v>0</v>
      </c>
      <c r="R34" s="1">
        <v>7</v>
      </c>
      <c r="S34" s="1">
        <v>10</v>
      </c>
      <c r="T34" s="300">
        <f t="shared" si="7"/>
        <v>237</v>
      </c>
      <c r="U34" s="3"/>
      <c r="V34" s="3"/>
      <c r="W34" s="3"/>
      <c r="X34" s="3"/>
      <c r="Y34" s="3"/>
      <c r="Z34" s="20">
        <f t="shared" si="3"/>
        <v>194</v>
      </c>
      <c r="AA34" s="20">
        <f t="shared" si="8"/>
        <v>8</v>
      </c>
      <c r="AB34" s="20">
        <f t="shared" si="8"/>
        <v>20</v>
      </c>
      <c r="AC34" s="20">
        <f t="shared" si="8"/>
        <v>0</v>
      </c>
      <c r="AD34" s="20">
        <f t="shared" si="8"/>
        <v>0</v>
      </c>
      <c r="AE34" s="20">
        <f t="shared" si="8"/>
        <v>7</v>
      </c>
      <c r="AF34" s="20">
        <f t="shared" si="8"/>
        <v>10</v>
      </c>
      <c r="AG34" s="300">
        <f t="shared" si="4"/>
        <v>239</v>
      </c>
      <c r="AH34" s="42">
        <f t="shared" si="9"/>
        <v>2</v>
      </c>
      <c r="AI34" s="42">
        <f t="shared" si="9"/>
        <v>0</v>
      </c>
      <c r="AJ34" s="42">
        <f t="shared" si="9"/>
        <v>0</v>
      </c>
      <c r="AK34" s="42">
        <f t="shared" si="9"/>
        <v>0</v>
      </c>
      <c r="AL34" s="42">
        <f t="shared" si="9"/>
        <v>0</v>
      </c>
      <c r="AM34" s="42">
        <f t="shared" si="9"/>
        <v>0</v>
      </c>
      <c r="AN34" s="42">
        <f t="shared" si="9"/>
        <v>0</v>
      </c>
      <c r="AO34" s="42">
        <f t="shared" si="9"/>
        <v>2</v>
      </c>
    </row>
    <row r="35" spans="1:41" ht="15.75">
      <c r="A35" s="16">
        <f t="shared" si="5"/>
        <v>32</v>
      </c>
      <c r="B35" s="8">
        <v>286</v>
      </c>
      <c r="C35" s="62" t="s">
        <v>459</v>
      </c>
      <c r="D35" s="63" t="s">
        <v>460</v>
      </c>
      <c r="E35" s="13" t="s">
        <v>461</v>
      </c>
      <c r="F35" s="14" t="s">
        <v>27</v>
      </c>
      <c r="G35" s="429" t="s">
        <v>6473</v>
      </c>
      <c r="H35" s="385">
        <v>26674</v>
      </c>
      <c r="I35" s="383">
        <v>41751</v>
      </c>
      <c r="J35" s="430" t="s">
        <v>6293</v>
      </c>
      <c r="K35" s="366" t="s">
        <v>6298</v>
      </c>
      <c r="L35" s="366" t="s">
        <v>6335</v>
      </c>
      <c r="M35" s="1">
        <v>192</v>
      </c>
      <c r="N35" s="431">
        <f t="shared" si="6"/>
        <v>8</v>
      </c>
      <c r="O35" s="432">
        <v>20</v>
      </c>
      <c r="P35" s="432">
        <v>0</v>
      </c>
      <c r="Q35" s="432">
        <v>0</v>
      </c>
      <c r="R35" s="1">
        <v>7</v>
      </c>
      <c r="S35" s="1">
        <v>10</v>
      </c>
      <c r="T35" s="300">
        <f t="shared" si="7"/>
        <v>237</v>
      </c>
      <c r="U35" s="3"/>
      <c r="V35" s="3"/>
      <c r="W35" s="3"/>
      <c r="X35" s="3"/>
      <c r="Y35" s="3"/>
      <c r="Z35" s="20">
        <f t="shared" si="3"/>
        <v>194</v>
      </c>
      <c r="AA35" s="20">
        <f t="shared" si="8"/>
        <v>8</v>
      </c>
      <c r="AB35" s="20">
        <f t="shared" si="8"/>
        <v>20</v>
      </c>
      <c r="AC35" s="20">
        <f t="shared" si="8"/>
        <v>0</v>
      </c>
      <c r="AD35" s="20">
        <f t="shared" si="8"/>
        <v>0</v>
      </c>
      <c r="AE35" s="20">
        <f t="shared" si="8"/>
        <v>7</v>
      </c>
      <c r="AF35" s="20">
        <f t="shared" si="8"/>
        <v>10</v>
      </c>
      <c r="AG35" s="300">
        <f t="shared" si="4"/>
        <v>239</v>
      </c>
      <c r="AH35" s="42">
        <f t="shared" si="9"/>
        <v>2</v>
      </c>
      <c r="AI35" s="42">
        <f t="shared" si="9"/>
        <v>0</v>
      </c>
      <c r="AJ35" s="42">
        <f t="shared" si="9"/>
        <v>0</v>
      </c>
      <c r="AK35" s="42">
        <f t="shared" si="9"/>
        <v>0</v>
      </c>
      <c r="AL35" s="42">
        <f t="shared" si="9"/>
        <v>0</v>
      </c>
      <c r="AM35" s="42">
        <f t="shared" si="9"/>
        <v>0</v>
      </c>
      <c r="AN35" s="42">
        <f t="shared" si="9"/>
        <v>0</v>
      </c>
      <c r="AO35" s="42">
        <f t="shared" si="9"/>
        <v>2</v>
      </c>
    </row>
    <row r="36" spans="1:41" ht="15.75">
      <c r="A36" s="16">
        <f t="shared" si="5"/>
        <v>33</v>
      </c>
      <c r="B36" s="8">
        <v>312</v>
      </c>
      <c r="C36" s="62" t="s">
        <v>476</v>
      </c>
      <c r="D36" s="63" t="s">
        <v>477</v>
      </c>
      <c r="E36" s="13" t="s">
        <v>478</v>
      </c>
      <c r="F36" s="14" t="s">
        <v>479</v>
      </c>
      <c r="G36" s="429" t="s">
        <v>6473</v>
      </c>
      <c r="H36" s="385">
        <v>30906</v>
      </c>
      <c r="I36" s="383">
        <v>41754</v>
      </c>
      <c r="J36" s="430" t="s">
        <v>6293</v>
      </c>
      <c r="K36" s="366" t="s">
        <v>6298</v>
      </c>
      <c r="L36" s="366" t="s">
        <v>6335</v>
      </c>
      <c r="M36" s="1">
        <v>192</v>
      </c>
      <c r="N36" s="431">
        <f t="shared" si="6"/>
        <v>8</v>
      </c>
      <c r="O36" s="432">
        <v>20</v>
      </c>
      <c r="P36" s="432">
        <v>0</v>
      </c>
      <c r="Q36" s="432">
        <v>0</v>
      </c>
      <c r="R36" s="1">
        <v>7</v>
      </c>
      <c r="S36" s="1">
        <v>10</v>
      </c>
      <c r="T36" s="300">
        <f t="shared" si="7"/>
        <v>237</v>
      </c>
      <c r="U36" s="3"/>
      <c r="V36" s="3"/>
      <c r="W36" s="3"/>
      <c r="X36" s="3"/>
      <c r="Y36" s="3"/>
      <c r="Z36" s="20">
        <f t="shared" si="3"/>
        <v>194</v>
      </c>
      <c r="AA36" s="20">
        <f t="shared" si="8"/>
        <v>8</v>
      </c>
      <c r="AB36" s="20">
        <f t="shared" si="8"/>
        <v>20</v>
      </c>
      <c r="AC36" s="20">
        <f t="shared" si="8"/>
        <v>0</v>
      </c>
      <c r="AD36" s="20">
        <f t="shared" si="8"/>
        <v>0</v>
      </c>
      <c r="AE36" s="20">
        <f t="shared" si="8"/>
        <v>7</v>
      </c>
      <c r="AF36" s="20">
        <f t="shared" si="8"/>
        <v>10</v>
      </c>
      <c r="AG36" s="300">
        <f t="shared" si="4"/>
        <v>239</v>
      </c>
      <c r="AH36" s="42">
        <f t="shared" si="9"/>
        <v>2</v>
      </c>
      <c r="AI36" s="42">
        <f t="shared" si="9"/>
        <v>0</v>
      </c>
      <c r="AJ36" s="42">
        <f t="shared" si="9"/>
        <v>0</v>
      </c>
      <c r="AK36" s="42">
        <f t="shared" si="9"/>
        <v>0</v>
      </c>
      <c r="AL36" s="42">
        <f t="shared" si="9"/>
        <v>0</v>
      </c>
      <c r="AM36" s="42">
        <f t="shared" si="9"/>
        <v>0</v>
      </c>
      <c r="AN36" s="42">
        <f t="shared" si="9"/>
        <v>0</v>
      </c>
      <c r="AO36" s="42">
        <f t="shared" si="9"/>
        <v>2</v>
      </c>
    </row>
    <row r="37" spans="1:41" ht="15.75">
      <c r="A37" s="16">
        <f t="shared" si="5"/>
        <v>34</v>
      </c>
      <c r="B37" s="8">
        <v>316</v>
      </c>
      <c r="C37" s="62" t="s">
        <v>483</v>
      </c>
      <c r="D37" s="63" t="s">
        <v>484</v>
      </c>
      <c r="E37" s="13" t="s">
        <v>97</v>
      </c>
      <c r="F37" s="14" t="s">
        <v>98</v>
      </c>
      <c r="G37" s="429" t="s">
        <v>6473</v>
      </c>
      <c r="H37" s="385">
        <v>34981</v>
      </c>
      <c r="I37" s="383">
        <v>41755</v>
      </c>
      <c r="J37" s="430" t="s">
        <v>6293</v>
      </c>
      <c r="K37" s="366" t="s">
        <v>80</v>
      </c>
      <c r="L37" s="366" t="s">
        <v>6337</v>
      </c>
      <c r="M37" s="1">
        <v>192</v>
      </c>
      <c r="N37" s="431">
        <f t="shared" si="6"/>
        <v>8</v>
      </c>
      <c r="O37" s="432">
        <v>20</v>
      </c>
      <c r="P37" s="432">
        <v>20</v>
      </c>
      <c r="Q37" s="432">
        <v>0</v>
      </c>
      <c r="R37" s="1">
        <v>7</v>
      </c>
      <c r="S37" s="1">
        <v>10</v>
      </c>
      <c r="T37" s="300">
        <f t="shared" si="7"/>
        <v>257</v>
      </c>
      <c r="U37" s="3"/>
      <c r="V37" s="3"/>
      <c r="W37" s="3"/>
      <c r="X37" s="3"/>
      <c r="Y37" s="3"/>
      <c r="Z37" s="20">
        <f t="shared" si="3"/>
        <v>194</v>
      </c>
      <c r="AA37" s="20">
        <f t="shared" si="8"/>
        <v>8</v>
      </c>
      <c r="AB37" s="20">
        <f t="shared" si="8"/>
        <v>20</v>
      </c>
      <c r="AC37" s="20">
        <f t="shared" si="8"/>
        <v>20</v>
      </c>
      <c r="AD37" s="20">
        <f t="shared" si="8"/>
        <v>0</v>
      </c>
      <c r="AE37" s="20">
        <f t="shared" si="8"/>
        <v>7</v>
      </c>
      <c r="AF37" s="20">
        <f t="shared" si="8"/>
        <v>10</v>
      </c>
      <c r="AG37" s="300">
        <f t="shared" si="4"/>
        <v>259</v>
      </c>
      <c r="AH37" s="42">
        <f t="shared" si="9"/>
        <v>2</v>
      </c>
      <c r="AI37" s="42">
        <f t="shared" si="9"/>
        <v>0</v>
      </c>
      <c r="AJ37" s="42">
        <f t="shared" si="9"/>
        <v>0</v>
      </c>
      <c r="AK37" s="42">
        <f t="shared" si="9"/>
        <v>0</v>
      </c>
      <c r="AL37" s="42">
        <f t="shared" si="9"/>
        <v>0</v>
      </c>
      <c r="AM37" s="42">
        <f t="shared" si="9"/>
        <v>0</v>
      </c>
      <c r="AN37" s="42">
        <f t="shared" si="9"/>
        <v>0</v>
      </c>
      <c r="AO37" s="42">
        <f t="shared" si="9"/>
        <v>2</v>
      </c>
    </row>
    <row r="38" spans="1:41" ht="15.75">
      <c r="A38" s="16">
        <f t="shared" si="5"/>
        <v>35</v>
      </c>
      <c r="B38" s="8">
        <v>326</v>
      </c>
      <c r="C38" s="62" t="s">
        <v>488</v>
      </c>
      <c r="D38" s="63" t="s">
        <v>489</v>
      </c>
      <c r="E38" s="13" t="s">
        <v>490</v>
      </c>
      <c r="F38" s="14" t="s">
        <v>491</v>
      </c>
      <c r="G38" s="429" t="s">
        <v>6473</v>
      </c>
      <c r="H38" s="385">
        <v>30929</v>
      </c>
      <c r="I38" s="383">
        <v>41762</v>
      </c>
      <c r="J38" s="430" t="s">
        <v>6293</v>
      </c>
      <c r="K38" s="366" t="s">
        <v>6301</v>
      </c>
      <c r="L38" s="366" t="s">
        <v>6335</v>
      </c>
      <c r="M38" s="1">
        <v>192</v>
      </c>
      <c r="N38" s="431">
        <f t="shared" si="6"/>
        <v>8</v>
      </c>
      <c r="O38" s="432">
        <v>20</v>
      </c>
      <c r="P38" s="432">
        <v>0</v>
      </c>
      <c r="Q38" s="432">
        <v>0</v>
      </c>
      <c r="R38" s="1">
        <v>7</v>
      </c>
      <c r="S38" s="1">
        <v>10</v>
      </c>
      <c r="T38" s="300">
        <f t="shared" si="7"/>
        <v>237</v>
      </c>
      <c r="U38" s="3"/>
      <c r="V38" s="3"/>
      <c r="W38" s="3"/>
      <c r="X38" s="3"/>
      <c r="Y38" s="3"/>
      <c r="Z38" s="20">
        <f t="shared" si="3"/>
        <v>194</v>
      </c>
      <c r="AA38" s="20">
        <f t="shared" si="8"/>
        <v>8</v>
      </c>
      <c r="AB38" s="20">
        <f t="shared" si="8"/>
        <v>20</v>
      </c>
      <c r="AC38" s="20">
        <f t="shared" si="8"/>
        <v>0</v>
      </c>
      <c r="AD38" s="20">
        <f t="shared" si="8"/>
        <v>0</v>
      </c>
      <c r="AE38" s="20">
        <f t="shared" si="8"/>
        <v>7</v>
      </c>
      <c r="AF38" s="20">
        <f t="shared" si="8"/>
        <v>10</v>
      </c>
      <c r="AG38" s="300">
        <f t="shared" si="4"/>
        <v>239</v>
      </c>
      <c r="AH38" s="42">
        <f t="shared" si="9"/>
        <v>2</v>
      </c>
      <c r="AI38" s="42">
        <f t="shared" si="9"/>
        <v>0</v>
      </c>
      <c r="AJ38" s="42">
        <f t="shared" si="9"/>
        <v>0</v>
      </c>
      <c r="AK38" s="42">
        <f t="shared" si="9"/>
        <v>0</v>
      </c>
      <c r="AL38" s="42">
        <f t="shared" si="9"/>
        <v>0</v>
      </c>
      <c r="AM38" s="42">
        <f t="shared" si="9"/>
        <v>0</v>
      </c>
      <c r="AN38" s="42">
        <f t="shared" si="9"/>
        <v>0</v>
      </c>
      <c r="AO38" s="42">
        <f t="shared" si="9"/>
        <v>2</v>
      </c>
    </row>
    <row r="39" spans="1:41" ht="15.75">
      <c r="A39" s="16">
        <f t="shared" si="5"/>
        <v>36</v>
      </c>
      <c r="B39" s="8">
        <v>351</v>
      </c>
      <c r="C39" s="90" t="s">
        <v>513</v>
      </c>
      <c r="D39" s="91" t="s">
        <v>514</v>
      </c>
      <c r="E39" s="24" t="s">
        <v>515</v>
      </c>
      <c r="F39" s="25" t="s">
        <v>516</v>
      </c>
      <c r="G39" s="429" t="s">
        <v>6473</v>
      </c>
      <c r="H39" s="386">
        <v>32567</v>
      </c>
      <c r="I39" s="383">
        <v>41766</v>
      </c>
      <c r="J39" s="430" t="s">
        <v>6293</v>
      </c>
      <c r="K39" s="366" t="s">
        <v>6305</v>
      </c>
      <c r="L39" s="366" t="s">
        <v>6335</v>
      </c>
      <c r="M39" s="1">
        <v>192</v>
      </c>
      <c r="N39" s="431">
        <f t="shared" si="6"/>
        <v>8</v>
      </c>
      <c r="O39" s="432">
        <v>20</v>
      </c>
      <c r="P39" s="432">
        <v>5</v>
      </c>
      <c r="Q39" s="432">
        <v>0</v>
      </c>
      <c r="R39" s="1">
        <v>7</v>
      </c>
      <c r="S39" s="1">
        <v>10</v>
      </c>
      <c r="T39" s="300">
        <f t="shared" si="7"/>
        <v>242</v>
      </c>
      <c r="U39" s="3"/>
      <c r="V39" s="3"/>
      <c r="W39" s="3"/>
      <c r="X39" s="3"/>
      <c r="Y39" s="3"/>
      <c r="Z39" s="20">
        <f t="shared" si="3"/>
        <v>194</v>
      </c>
      <c r="AA39" s="20">
        <f t="shared" si="8"/>
        <v>8</v>
      </c>
      <c r="AB39" s="20">
        <f t="shared" si="8"/>
        <v>20</v>
      </c>
      <c r="AC39" s="20">
        <f t="shared" si="8"/>
        <v>5</v>
      </c>
      <c r="AD39" s="20">
        <f t="shared" si="8"/>
        <v>0</v>
      </c>
      <c r="AE39" s="20">
        <f t="shared" si="8"/>
        <v>7</v>
      </c>
      <c r="AF39" s="20">
        <f t="shared" si="8"/>
        <v>10</v>
      </c>
      <c r="AG39" s="300">
        <f t="shared" si="4"/>
        <v>244</v>
      </c>
      <c r="AH39" s="42">
        <f t="shared" si="9"/>
        <v>2</v>
      </c>
      <c r="AI39" s="42">
        <f t="shared" si="9"/>
        <v>0</v>
      </c>
      <c r="AJ39" s="42">
        <f t="shared" si="9"/>
        <v>0</v>
      </c>
      <c r="AK39" s="42">
        <f t="shared" si="9"/>
        <v>0</v>
      </c>
      <c r="AL39" s="42">
        <f t="shared" si="9"/>
        <v>0</v>
      </c>
      <c r="AM39" s="42">
        <f t="shared" si="9"/>
        <v>0</v>
      </c>
      <c r="AN39" s="42">
        <f t="shared" si="9"/>
        <v>0</v>
      </c>
      <c r="AO39" s="42">
        <f t="shared" si="9"/>
        <v>2</v>
      </c>
    </row>
    <row r="40" spans="1:41" ht="15.75">
      <c r="A40" s="16">
        <f t="shared" si="5"/>
        <v>37</v>
      </c>
      <c r="B40" s="8">
        <v>372</v>
      </c>
      <c r="C40" s="90" t="s">
        <v>522</v>
      </c>
      <c r="D40" s="91" t="s">
        <v>523</v>
      </c>
      <c r="E40" s="24" t="s">
        <v>524</v>
      </c>
      <c r="F40" s="25" t="s">
        <v>525</v>
      </c>
      <c r="G40" s="429" t="s">
        <v>6475</v>
      </c>
      <c r="H40" s="386">
        <v>30348</v>
      </c>
      <c r="I40" s="383">
        <v>41765</v>
      </c>
      <c r="J40" s="430" t="s">
        <v>6159</v>
      </c>
      <c r="K40" s="366" t="s">
        <v>3594</v>
      </c>
      <c r="L40" s="366" t="s">
        <v>6318</v>
      </c>
      <c r="M40" s="1">
        <v>192</v>
      </c>
      <c r="N40" s="431">
        <f t="shared" si="6"/>
        <v>8</v>
      </c>
      <c r="O40" s="432">
        <v>85</v>
      </c>
      <c r="P40" s="432">
        <v>400</v>
      </c>
      <c r="Q40" s="432">
        <v>0</v>
      </c>
      <c r="R40" s="1">
        <v>7</v>
      </c>
      <c r="S40" s="1">
        <v>10</v>
      </c>
      <c r="T40" s="300">
        <f t="shared" si="7"/>
        <v>702</v>
      </c>
      <c r="U40" s="3"/>
      <c r="V40" s="3"/>
      <c r="W40" s="3"/>
      <c r="X40" s="3"/>
      <c r="Y40" s="3"/>
      <c r="Z40" s="20">
        <f t="shared" si="3"/>
        <v>194</v>
      </c>
      <c r="AA40" s="20">
        <f t="shared" si="8"/>
        <v>8</v>
      </c>
      <c r="AB40" s="20">
        <f t="shared" si="8"/>
        <v>85</v>
      </c>
      <c r="AC40" s="20">
        <f t="shared" si="8"/>
        <v>400</v>
      </c>
      <c r="AD40" s="20">
        <f t="shared" si="8"/>
        <v>0</v>
      </c>
      <c r="AE40" s="20">
        <f t="shared" si="8"/>
        <v>7</v>
      </c>
      <c r="AF40" s="20">
        <f t="shared" si="8"/>
        <v>10</v>
      </c>
      <c r="AG40" s="300">
        <f t="shared" si="4"/>
        <v>704</v>
      </c>
      <c r="AH40" s="42">
        <f t="shared" si="9"/>
        <v>2</v>
      </c>
      <c r="AI40" s="42">
        <f t="shared" si="9"/>
        <v>0</v>
      </c>
      <c r="AJ40" s="42">
        <f t="shared" si="9"/>
        <v>0</v>
      </c>
      <c r="AK40" s="42">
        <f t="shared" si="9"/>
        <v>0</v>
      </c>
      <c r="AL40" s="42">
        <f t="shared" si="9"/>
        <v>0</v>
      </c>
      <c r="AM40" s="42">
        <f t="shared" si="9"/>
        <v>0</v>
      </c>
      <c r="AN40" s="42">
        <f t="shared" si="9"/>
        <v>0</v>
      </c>
      <c r="AO40" s="42">
        <f t="shared" si="9"/>
        <v>2</v>
      </c>
    </row>
    <row r="41" spans="1:41" ht="15.75">
      <c r="A41" s="16">
        <f t="shared" si="5"/>
        <v>38</v>
      </c>
      <c r="B41" s="8">
        <v>333</v>
      </c>
      <c r="C41" s="90" t="s">
        <v>535</v>
      </c>
      <c r="D41" s="91" t="s">
        <v>536</v>
      </c>
      <c r="E41" s="24" t="s">
        <v>537</v>
      </c>
      <c r="F41" s="25" t="s">
        <v>538</v>
      </c>
      <c r="G41" s="429" t="s">
        <v>6473</v>
      </c>
      <c r="H41" s="386">
        <v>28524</v>
      </c>
      <c r="I41" s="383">
        <v>41765</v>
      </c>
      <c r="J41" s="430" t="s">
        <v>6293</v>
      </c>
      <c r="K41" s="366" t="s">
        <v>6304</v>
      </c>
      <c r="L41" s="366" t="s">
        <v>6335</v>
      </c>
      <c r="M41" s="1">
        <v>192</v>
      </c>
      <c r="N41" s="431">
        <f t="shared" si="6"/>
        <v>8</v>
      </c>
      <c r="O41" s="432">
        <v>20</v>
      </c>
      <c r="P41" s="432">
        <v>0</v>
      </c>
      <c r="Q41" s="432">
        <v>0</v>
      </c>
      <c r="R41" s="1">
        <v>7</v>
      </c>
      <c r="S41" s="1">
        <v>10</v>
      </c>
      <c r="T41" s="300">
        <f t="shared" si="7"/>
        <v>237</v>
      </c>
      <c r="U41" s="3"/>
      <c r="V41" s="3"/>
      <c r="W41" s="3"/>
      <c r="X41" s="3"/>
      <c r="Y41" s="3"/>
      <c r="Z41" s="20">
        <f t="shared" si="3"/>
        <v>194</v>
      </c>
      <c r="AA41" s="20">
        <f t="shared" si="8"/>
        <v>8</v>
      </c>
      <c r="AB41" s="20">
        <f t="shared" si="8"/>
        <v>20</v>
      </c>
      <c r="AC41" s="20">
        <f t="shared" si="8"/>
        <v>0</v>
      </c>
      <c r="AD41" s="20">
        <f t="shared" si="8"/>
        <v>0</v>
      </c>
      <c r="AE41" s="20">
        <f t="shared" si="8"/>
        <v>7</v>
      </c>
      <c r="AF41" s="20">
        <f t="shared" si="8"/>
        <v>10</v>
      </c>
      <c r="AG41" s="300">
        <f t="shared" si="4"/>
        <v>239</v>
      </c>
      <c r="AH41" s="42">
        <f t="shared" si="9"/>
        <v>2</v>
      </c>
      <c r="AI41" s="42">
        <f t="shared" si="9"/>
        <v>0</v>
      </c>
      <c r="AJ41" s="42">
        <f t="shared" si="9"/>
        <v>0</v>
      </c>
      <c r="AK41" s="42">
        <f t="shared" si="9"/>
        <v>0</v>
      </c>
      <c r="AL41" s="42">
        <f t="shared" si="9"/>
        <v>0</v>
      </c>
      <c r="AM41" s="42">
        <f t="shared" si="9"/>
        <v>0</v>
      </c>
      <c r="AN41" s="42">
        <f t="shared" si="9"/>
        <v>0</v>
      </c>
      <c r="AO41" s="42">
        <f t="shared" si="9"/>
        <v>2</v>
      </c>
    </row>
    <row r="42" spans="1:41" ht="15.75">
      <c r="A42" s="16">
        <f t="shared" si="5"/>
        <v>39</v>
      </c>
      <c r="B42" s="8">
        <v>385</v>
      </c>
      <c r="C42" s="90" t="s">
        <v>543</v>
      </c>
      <c r="D42" s="91" t="s">
        <v>544</v>
      </c>
      <c r="E42" s="24" t="s">
        <v>545</v>
      </c>
      <c r="F42" s="25" t="s">
        <v>546</v>
      </c>
      <c r="G42" s="429" t="s">
        <v>6475</v>
      </c>
      <c r="H42" s="386">
        <v>33217</v>
      </c>
      <c r="I42" s="383">
        <v>41782</v>
      </c>
      <c r="J42" s="430" t="s">
        <v>6293</v>
      </c>
      <c r="K42" s="366" t="s">
        <v>6129</v>
      </c>
      <c r="L42" s="366" t="s">
        <v>6107</v>
      </c>
      <c r="M42" s="1">
        <v>192</v>
      </c>
      <c r="N42" s="431">
        <f t="shared" si="6"/>
        <v>8</v>
      </c>
      <c r="O42" s="432">
        <v>20</v>
      </c>
      <c r="P42" s="432">
        <v>45</v>
      </c>
      <c r="Q42" s="432">
        <v>0</v>
      </c>
      <c r="R42" s="1">
        <v>7</v>
      </c>
      <c r="S42" s="1">
        <v>10</v>
      </c>
      <c r="T42" s="300">
        <f t="shared" si="7"/>
        <v>282</v>
      </c>
      <c r="U42" s="3"/>
      <c r="V42" s="3"/>
      <c r="W42" s="3"/>
      <c r="X42" s="3"/>
      <c r="Y42" s="3"/>
      <c r="Z42" s="20">
        <f t="shared" si="3"/>
        <v>194</v>
      </c>
      <c r="AA42" s="20">
        <f t="shared" si="8"/>
        <v>8</v>
      </c>
      <c r="AB42" s="20">
        <f t="shared" si="8"/>
        <v>20</v>
      </c>
      <c r="AC42" s="20">
        <f t="shared" si="8"/>
        <v>45</v>
      </c>
      <c r="AD42" s="20">
        <f t="shared" si="8"/>
        <v>0</v>
      </c>
      <c r="AE42" s="20">
        <f t="shared" si="8"/>
        <v>7</v>
      </c>
      <c r="AF42" s="20">
        <f t="shared" si="8"/>
        <v>10</v>
      </c>
      <c r="AG42" s="300">
        <f t="shared" si="4"/>
        <v>284</v>
      </c>
      <c r="AH42" s="42">
        <f t="shared" si="9"/>
        <v>2</v>
      </c>
      <c r="AI42" s="42">
        <f t="shared" si="9"/>
        <v>0</v>
      </c>
      <c r="AJ42" s="42">
        <f t="shared" si="9"/>
        <v>0</v>
      </c>
      <c r="AK42" s="42">
        <f t="shared" si="9"/>
        <v>0</v>
      </c>
      <c r="AL42" s="42">
        <f t="shared" si="9"/>
        <v>0</v>
      </c>
      <c r="AM42" s="42">
        <f t="shared" si="9"/>
        <v>0</v>
      </c>
      <c r="AN42" s="42">
        <f t="shared" si="9"/>
        <v>0</v>
      </c>
      <c r="AO42" s="42">
        <f t="shared" si="9"/>
        <v>2</v>
      </c>
    </row>
    <row r="43" spans="1:41" ht="15.75">
      <c r="A43" s="16">
        <f t="shared" si="5"/>
        <v>40</v>
      </c>
      <c r="B43" s="8">
        <v>404</v>
      </c>
      <c r="C43" s="90" t="s">
        <v>552</v>
      </c>
      <c r="D43" s="91" t="s">
        <v>553</v>
      </c>
      <c r="E43" s="24" t="s">
        <v>554</v>
      </c>
      <c r="F43" s="25" t="s">
        <v>555</v>
      </c>
      <c r="G43" s="429" t="s">
        <v>6473</v>
      </c>
      <c r="H43" s="386">
        <v>34116</v>
      </c>
      <c r="I43" s="383">
        <v>41793</v>
      </c>
      <c r="J43" s="430" t="s">
        <v>6293</v>
      </c>
      <c r="K43" s="366" t="s">
        <v>6128</v>
      </c>
      <c r="L43" s="366" t="s">
        <v>6106</v>
      </c>
      <c r="M43" s="1">
        <v>192</v>
      </c>
      <c r="N43" s="431">
        <f t="shared" si="6"/>
        <v>8</v>
      </c>
      <c r="O43" s="432">
        <v>20</v>
      </c>
      <c r="P43" s="432">
        <v>10</v>
      </c>
      <c r="Q43" s="432">
        <v>0</v>
      </c>
      <c r="R43" s="1">
        <v>7</v>
      </c>
      <c r="S43" s="1">
        <v>10</v>
      </c>
      <c r="T43" s="300">
        <f t="shared" si="7"/>
        <v>247</v>
      </c>
      <c r="U43" s="3"/>
      <c r="V43" s="3"/>
      <c r="W43" s="3"/>
      <c r="X43" s="3"/>
      <c r="Y43" s="3"/>
      <c r="Z43" s="20">
        <f t="shared" si="3"/>
        <v>194</v>
      </c>
      <c r="AA43" s="20">
        <f t="shared" si="8"/>
        <v>8</v>
      </c>
      <c r="AB43" s="20">
        <f t="shared" si="8"/>
        <v>20</v>
      </c>
      <c r="AC43" s="20">
        <f t="shared" si="8"/>
        <v>10</v>
      </c>
      <c r="AD43" s="20">
        <f t="shared" si="8"/>
        <v>0</v>
      </c>
      <c r="AE43" s="20">
        <f t="shared" si="8"/>
        <v>7</v>
      </c>
      <c r="AF43" s="20">
        <f t="shared" si="8"/>
        <v>10</v>
      </c>
      <c r="AG43" s="300">
        <f t="shared" si="4"/>
        <v>249</v>
      </c>
      <c r="AH43" s="42">
        <f t="shared" si="9"/>
        <v>2</v>
      </c>
      <c r="AI43" s="42">
        <f t="shared" si="9"/>
        <v>0</v>
      </c>
      <c r="AJ43" s="42">
        <f t="shared" si="9"/>
        <v>0</v>
      </c>
      <c r="AK43" s="42">
        <f t="shared" si="9"/>
        <v>0</v>
      </c>
      <c r="AL43" s="42">
        <f t="shared" si="9"/>
        <v>0</v>
      </c>
      <c r="AM43" s="42">
        <f t="shared" si="9"/>
        <v>0</v>
      </c>
      <c r="AN43" s="42">
        <f t="shared" si="9"/>
        <v>0</v>
      </c>
      <c r="AO43" s="42">
        <f t="shared" si="9"/>
        <v>2</v>
      </c>
    </row>
    <row r="44" spans="1:41" ht="15.75">
      <c r="A44" s="16">
        <f t="shared" si="5"/>
        <v>41</v>
      </c>
      <c r="B44" s="8">
        <v>405</v>
      </c>
      <c r="C44" s="90" t="s">
        <v>552</v>
      </c>
      <c r="D44" s="91" t="s">
        <v>562</v>
      </c>
      <c r="E44" s="24" t="s">
        <v>554</v>
      </c>
      <c r="F44" s="25" t="s">
        <v>563</v>
      </c>
      <c r="G44" s="429" t="s">
        <v>6473</v>
      </c>
      <c r="H44" s="386">
        <v>33258</v>
      </c>
      <c r="I44" s="383">
        <v>41793</v>
      </c>
      <c r="J44" s="430" t="s">
        <v>6293</v>
      </c>
      <c r="K44" s="366" t="s">
        <v>6299</v>
      </c>
      <c r="L44" s="366" t="s">
        <v>6335</v>
      </c>
      <c r="M44" s="1">
        <v>192</v>
      </c>
      <c r="N44" s="431">
        <f t="shared" si="6"/>
        <v>8</v>
      </c>
      <c r="O44" s="432">
        <v>20</v>
      </c>
      <c r="P44" s="432">
        <v>0</v>
      </c>
      <c r="Q44" s="432">
        <v>0</v>
      </c>
      <c r="R44" s="1">
        <v>7</v>
      </c>
      <c r="S44" s="1">
        <v>10</v>
      </c>
      <c r="T44" s="300">
        <f t="shared" si="7"/>
        <v>237</v>
      </c>
      <c r="U44" s="3"/>
      <c r="V44" s="3"/>
      <c r="W44" s="3"/>
      <c r="X44" s="3"/>
      <c r="Y44" s="3"/>
      <c r="Z44" s="20">
        <f t="shared" si="3"/>
        <v>194</v>
      </c>
      <c r="AA44" s="20">
        <f t="shared" si="8"/>
        <v>8</v>
      </c>
      <c r="AB44" s="20">
        <f t="shared" si="8"/>
        <v>20</v>
      </c>
      <c r="AC44" s="20">
        <f t="shared" si="8"/>
        <v>0</v>
      </c>
      <c r="AD44" s="20">
        <f t="shared" si="8"/>
        <v>0</v>
      </c>
      <c r="AE44" s="20">
        <f t="shared" si="8"/>
        <v>7</v>
      </c>
      <c r="AF44" s="20">
        <f t="shared" si="8"/>
        <v>10</v>
      </c>
      <c r="AG44" s="300">
        <f t="shared" si="4"/>
        <v>239</v>
      </c>
      <c r="AH44" s="42">
        <f t="shared" si="9"/>
        <v>2</v>
      </c>
      <c r="AI44" s="42">
        <f t="shared" si="9"/>
        <v>0</v>
      </c>
      <c r="AJ44" s="42">
        <f t="shared" si="9"/>
        <v>0</v>
      </c>
      <c r="AK44" s="42">
        <f t="shared" si="9"/>
        <v>0</v>
      </c>
      <c r="AL44" s="42">
        <f t="shared" si="9"/>
        <v>0</v>
      </c>
      <c r="AM44" s="42">
        <f t="shared" si="9"/>
        <v>0</v>
      </c>
      <c r="AN44" s="42">
        <f t="shared" si="9"/>
        <v>0</v>
      </c>
      <c r="AO44" s="42">
        <f t="shared" si="9"/>
        <v>2</v>
      </c>
    </row>
    <row r="45" spans="1:41" ht="15.75">
      <c r="A45" s="16">
        <f t="shared" si="5"/>
        <v>42</v>
      </c>
      <c r="B45" s="8">
        <v>468</v>
      </c>
      <c r="C45" s="62" t="s">
        <v>567</v>
      </c>
      <c r="D45" s="63" t="s">
        <v>568</v>
      </c>
      <c r="E45" s="13" t="s">
        <v>569</v>
      </c>
      <c r="F45" s="14" t="s">
        <v>537</v>
      </c>
      <c r="G45" s="429" t="s">
        <v>6473</v>
      </c>
      <c r="H45" s="385">
        <v>30138</v>
      </c>
      <c r="I45" s="383">
        <v>41817</v>
      </c>
      <c r="J45" s="430" t="s">
        <v>6293</v>
      </c>
      <c r="K45" s="366" t="s">
        <v>6300</v>
      </c>
      <c r="L45" s="366" t="s">
        <v>6335</v>
      </c>
      <c r="M45" s="1">
        <v>192</v>
      </c>
      <c r="N45" s="431">
        <f t="shared" si="6"/>
        <v>8</v>
      </c>
      <c r="O45" s="432">
        <v>20</v>
      </c>
      <c r="P45" s="432">
        <v>0</v>
      </c>
      <c r="Q45" s="432">
        <v>0</v>
      </c>
      <c r="R45" s="1">
        <v>7</v>
      </c>
      <c r="S45" s="1">
        <v>10</v>
      </c>
      <c r="T45" s="300">
        <f t="shared" si="7"/>
        <v>237</v>
      </c>
      <c r="U45" s="3"/>
      <c r="V45" s="3"/>
      <c r="W45" s="3"/>
      <c r="X45" s="3"/>
      <c r="Y45" s="3"/>
      <c r="Z45" s="20">
        <f t="shared" si="3"/>
        <v>194</v>
      </c>
      <c r="AA45" s="20">
        <f t="shared" si="8"/>
        <v>8</v>
      </c>
      <c r="AB45" s="20">
        <f t="shared" si="8"/>
        <v>20</v>
      </c>
      <c r="AC45" s="20">
        <f t="shared" si="8"/>
        <v>0</v>
      </c>
      <c r="AD45" s="20">
        <f t="shared" si="8"/>
        <v>0</v>
      </c>
      <c r="AE45" s="20">
        <f t="shared" si="8"/>
        <v>7</v>
      </c>
      <c r="AF45" s="20">
        <f t="shared" si="8"/>
        <v>10</v>
      </c>
      <c r="AG45" s="300">
        <f t="shared" si="4"/>
        <v>239</v>
      </c>
      <c r="AH45" s="42">
        <f t="shared" si="9"/>
        <v>2</v>
      </c>
      <c r="AI45" s="42">
        <f t="shared" si="9"/>
        <v>0</v>
      </c>
      <c r="AJ45" s="42">
        <f t="shared" si="9"/>
        <v>0</v>
      </c>
      <c r="AK45" s="42">
        <f t="shared" si="9"/>
        <v>0</v>
      </c>
      <c r="AL45" s="42">
        <f t="shared" si="9"/>
        <v>0</v>
      </c>
      <c r="AM45" s="42">
        <f t="shared" si="9"/>
        <v>0</v>
      </c>
      <c r="AN45" s="42">
        <f t="shared" si="9"/>
        <v>0</v>
      </c>
      <c r="AO45" s="42">
        <f t="shared" si="9"/>
        <v>2</v>
      </c>
    </row>
    <row r="46" spans="1:41" ht="15.75">
      <c r="A46" s="16">
        <f t="shared" si="5"/>
        <v>43</v>
      </c>
      <c r="B46" s="8">
        <v>521</v>
      </c>
      <c r="C46" s="62" t="s">
        <v>317</v>
      </c>
      <c r="D46" s="63" t="s">
        <v>590</v>
      </c>
      <c r="E46" s="13" t="s">
        <v>591</v>
      </c>
      <c r="F46" s="14" t="s">
        <v>592</v>
      </c>
      <c r="G46" s="429" t="s">
        <v>6473</v>
      </c>
      <c r="H46" s="385">
        <v>33817</v>
      </c>
      <c r="I46" s="383">
        <v>41825</v>
      </c>
      <c r="J46" s="430" t="s">
        <v>6293</v>
      </c>
      <c r="K46" s="366" t="s">
        <v>6302</v>
      </c>
      <c r="L46" s="366" t="s">
        <v>6094</v>
      </c>
      <c r="M46" s="1">
        <v>192</v>
      </c>
      <c r="N46" s="431">
        <f t="shared" si="6"/>
        <v>8</v>
      </c>
      <c r="O46" s="432">
        <v>20</v>
      </c>
      <c r="P46" s="432">
        <v>45</v>
      </c>
      <c r="Q46" s="432">
        <v>0</v>
      </c>
      <c r="R46" s="1">
        <v>7</v>
      </c>
      <c r="S46" s="1">
        <v>10</v>
      </c>
      <c r="T46" s="300">
        <f t="shared" si="7"/>
        <v>282</v>
      </c>
      <c r="U46" s="3"/>
      <c r="V46" s="3"/>
      <c r="W46" s="3"/>
      <c r="X46" s="3"/>
      <c r="Y46" s="3"/>
      <c r="Z46" s="20">
        <f t="shared" si="3"/>
        <v>194</v>
      </c>
      <c r="AA46" s="20">
        <f t="shared" si="8"/>
        <v>8</v>
      </c>
      <c r="AB46" s="20">
        <f t="shared" si="8"/>
        <v>20</v>
      </c>
      <c r="AC46" s="20">
        <f t="shared" si="8"/>
        <v>45</v>
      </c>
      <c r="AD46" s="20">
        <f t="shared" si="8"/>
        <v>0</v>
      </c>
      <c r="AE46" s="20">
        <f t="shared" si="8"/>
        <v>7</v>
      </c>
      <c r="AF46" s="20">
        <f t="shared" si="8"/>
        <v>10</v>
      </c>
      <c r="AG46" s="300">
        <f t="shared" si="4"/>
        <v>284</v>
      </c>
      <c r="AH46" s="42">
        <f t="shared" si="9"/>
        <v>2</v>
      </c>
      <c r="AI46" s="42">
        <f t="shared" si="9"/>
        <v>0</v>
      </c>
      <c r="AJ46" s="42">
        <f t="shared" si="9"/>
        <v>0</v>
      </c>
      <c r="AK46" s="42">
        <f t="shared" si="9"/>
        <v>0</v>
      </c>
      <c r="AL46" s="42">
        <f t="shared" si="9"/>
        <v>0</v>
      </c>
      <c r="AM46" s="42">
        <f t="shared" si="9"/>
        <v>0</v>
      </c>
      <c r="AN46" s="42">
        <f t="shared" si="9"/>
        <v>0</v>
      </c>
      <c r="AO46" s="42">
        <f t="shared" si="9"/>
        <v>2</v>
      </c>
    </row>
    <row r="47" spans="1:41" ht="15.75">
      <c r="A47" s="16">
        <f t="shared" si="5"/>
        <v>44</v>
      </c>
      <c r="B47" s="8">
        <v>546</v>
      </c>
      <c r="C47" s="62" t="s">
        <v>402</v>
      </c>
      <c r="D47" s="63" t="s">
        <v>603</v>
      </c>
      <c r="E47" s="13" t="s">
        <v>604</v>
      </c>
      <c r="F47" s="14" t="s">
        <v>605</v>
      </c>
      <c r="G47" s="429" t="s">
        <v>6473</v>
      </c>
      <c r="H47" s="385">
        <v>34274</v>
      </c>
      <c r="I47" s="383">
        <v>41828</v>
      </c>
      <c r="J47" s="430" t="s">
        <v>6293</v>
      </c>
      <c r="K47" s="366" t="s">
        <v>6125</v>
      </c>
      <c r="L47" s="366" t="s">
        <v>6313</v>
      </c>
      <c r="M47" s="1">
        <v>192</v>
      </c>
      <c r="N47" s="431">
        <f t="shared" si="6"/>
        <v>8</v>
      </c>
      <c r="O47" s="432">
        <v>20</v>
      </c>
      <c r="P47" s="432">
        <v>55</v>
      </c>
      <c r="Q47" s="432">
        <v>0</v>
      </c>
      <c r="R47" s="1">
        <v>7</v>
      </c>
      <c r="S47" s="1">
        <v>10</v>
      </c>
      <c r="T47" s="300">
        <f t="shared" si="7"/>
        <v>292</v>
      </c>
      <c r="U47" s="3"/>
      <c r="V47" s="3"/>
      <c r="W47" s="3"/>
      <c r="X47" s="3"/>
      <c r="Y47" s="3"/>
      <c r="Z47" s="20">
        <f t="shared" si="3"/>
        <v>194</v>
      </c>
      <c r="AA47" s="20">
        <f t="shared" si="8"/>
        <v>8</v>
      </c>
      <c r="AB47" s="20">
        <f t="shared" si="8"/>
        <v>20</v>
      </c>
      <c r="AC47" s="20">
        <f t="shared" si="8"/>
        <v>55</v>
      </c>
      <c r="AD47" s="20">
        <f t="shared" si="8"/>
        <v>0</v>
      </c>
      <c r="AE47" s="20">
        <f t="shared" si="8"/>
        <v>7</v>
      </c>
      <c r="AF47" s="20">
        <f t="shared" si="8"/>
        <v>10</v>
      </c>
      <c r="AG47" s="300">
        <f t="shared" si="4"/>
        <v>294</v>
      </c>
      <c r="AH47" s="42">
        <f t="shared" si="9"/>
        <v>2</v>
      </c>
      <c r="AI47" s="42">
        <f t="shared" si="9"/>
        <v>0</v>
      </c>
      <c r="AJ47" s="42">
        <f t="shared" si="9"/>
        <v>0</v>
      </c>
      <c r="AK47" s="42">
        <f t="shared" si="9"/>
        <v>0</v>
      </c>
      <c r="AL47" s="42">
        <f t="shared" si="9"/>
        <v>0</v>
      </c>
      <c r="AM47" s="42">
        <f t="shared" si="9"/>
        <v>0</v>
      </c>
      <c r="AN47" s="42">
        <f t="shared" si="9"/>
        <v>0</v>
      </c>
      <c r="AO47" s="42">
        <f t="shared" si="9"/>
        <v>2</v>
      </c>
    </row>
    <row r="48" spans="1:41" ht="15.75">
      <c r="A48" s="16">
        <f t="shared" si="5"/>
        <v>45</v>
      </c>
      <c r="B48" s="8">
        <v>609</v>
      </c>
      <c r="C48" s="62" t="s">
        <v>610</v>
      </c>
      <c r="D48" s="63" t="s">
        <v>611</v>
      </c>
      <c r="E48" s="13" t="s">
        <v>612</v>
      </c>
      <c r="F48" s="14" t="s">
        <v>613</v>
      </c>
      <c r="G48" s="429" t="s">
        <v>6473</v>
      </c>
      <c r="H48" s="385">
        <v>31416</v>
      </c>
      <c r="I48" s="383">
        <v>41838</v>
      </c>
      <c r="J48" s="430" t="s">
        <v>6293</v>
      </c>
      <c r="K48" s="366" t="s">
        <v>6295</v>
      </c>
      <c r="L48" s="366" t="s">
        <v>6335</v>
      </c>
      <c r="M48" s="1">
        <v>192</v>
      </c>
      <c r="N48" s="431">
        <f t="shared" si="6"/>
        <v>8</v>
      </c>
      <c r="O48" s="432">
        <v>20</v>
      </c>
      <c r="P48" s="432">
        <v>0</v>
      </c>
      <c r="Q48" s="432">
        <v>0</v>
      </c>
      <c r="R48" s="1">
        <v>7</v>
      </c>
      <c r="S48" s="1">
        <v>10</v>
      </c>
      <c r="T48" s="300">
        <f t="shared" si="7"/>
        <v>237</v>
      </c>
      <c r="U48" s="3"/>
      <c r="V48" s="3"/>
      <c r="W48" s="3"/>
      <c r="X48" s="3"/>
      <c r="Y48" s="3"/>
      <c r="Z48" s="20">
        <f t="shared" si="3"/>
        <v>194</v>
      </c>
      <c r="AA48" s="20">
        <f t="shared" si="8"/>
        <v>8</v>
      </c>
      <c r="AB48" s="20">
        <f t="shared" si="8"/>
        <v>20</v>
      </c>
      <c r="AC48" s="20">
        <f t="shared" si="8"/>
        <v>0</v>
      </c>
      <c r="AD48" s="20">
        <f t="shared" si="8"/>
        <v>0</v>
      </c>
      <c r="AE48" s="20">
        <f t="shared" si="8"/>
        <v>7</v>
      </c>
      <c r="AF48" s="20">
        <f t="shared" si="8"/>
        <v>10</v>
      </c>
      <c r="AG48" s="300">
        <f t="shared" si="4"/>
        <v>239</v>
      </c>
      <c r="AH48" s="42">
        <f t="shared" si="9"/>
        <v>2</v>
      </c>
      <c r="AI48" s="42">
        <f t="shared" si="9"/>
        <v>0</v>
      </c>
      <c r="AJ48" s="42">
        <f t="shared" si="9"/>
        <v>0</v>
      </c>
      <c r="AK48" s="42">
        <f t="shared" si="9"/>
        <v>0</v>
      </c>
      <c r="AL48" s="42">
        <f t="shared" si="9"/>
        <v>0</v>
      </c>
      <c r="AM48" s="42">
        <f t="shared" si="9"/>
        <v>0</v>
      </c>
      <c r="AN48" s="42">
        <f t="shared" si="9"/>
        <v>0</v>
      </c>
      <c r="AO48" s="42">
        <f t="shared" si="9"/>
        <v>2</v>
      </c>
    </row>
    <row r="49" spans="1:41" ht="15.75">
      <c r="A49" s="16">
        <f t="shared" si="5"/>
        <v>46</v>
      </c>
      <c r="B49" s="8">
        <v>603</v>
      </c>
      <c r="C49" s="62" t="s">
        <v>637</v>
      </c>
      <c r="D49" s="63" t="s">
        <v>638</v>
      </c>
      <c r="E49" s="13" t="s">
        <v>639</v>
      </c>
      <c r="F49" s="14" t="s">
        <v>640</v>
      </c>
      <c r="G49" s="429" t="s">
        <v>6473</v>
      </c>
      <c r="H49" s="385">
        <v>35349</v>
      </c>
      <c r="I49" s="383">
        <v>41837</v>
      </c>
      <c r="J49" s="430" t="s">
        <v>6293</v>
      </c>
      <c r="K49" s="366" t="s">
        <v>6295</v>
      </c>
      <c r="L49" s="366" t="s">
        <v>6130</v>
      </c>
      <c r="M49" s="1">
        <v>192</v>
      </c>
      <c r="N49" s="431">
        <f t="shared" si="6"/>
        <v>8</v>
      </c>
      <c r="O49" s="432">
        <v>20</v>
      </c>
      <c r="P49" s="432">
        <v>10</v>
      </c>
      <c r="Q49" s="432">
        <v>0</v>
      </c>
      <c r="R49" s="1">
        <v>7</v>
      </c>
      <c r="S49" s="1">
        <v>10</v>
      </c>
      <c r="T49" s="300">
        <f t="shared" si="7"/>
        <v>247</v>
      </c>
      <c r="U49" s="3"/>
      <c r="V49" s="3"/>
      <c r="W49" s="3"/>
      <c r="X49" s="3"/>
      <c r="Y49" s="3"/>
      <c r="Z49" s="20">
        <f t="shared" si="3"/>
        <v>194</v>
      </c>
      <c r="AA49" s="20">
        <f t="shared" si="8"/>
        <v>8</v>
      </c>
      <c r="AB49" s="20">
        <f t="shared" si="8"/>
        <v>20</v>
      </c>
      <c r="AC49" s="20">
        <f t="shared" si="8"/>
        <v>10</v>
      </c>
      <c r="AD49" s="20">
        <f t="shared" si="8"/>
        <v>0</v>
      </c>
      <c r="AE49" s="20">
        <f t="shared" si="8"/>
        <v>7</v>
      </c>
      <c r="AF49" s="20">
        <f t="shared" si="8"/>
        <v>10</v>
      </c>
      <c r="AG49" s="300">
        <f t="shared" si="4"/>
        <v>249</v>
      </c>
      <c r="AH49" s="42">
        <f t="shared" si="9"/>
        <v>2</v>
      </c>
      <c r="AI49" s="42">
        <f t="shared" si="9"/>
        <v>0</v>
      </c>
      <c r="AJ49" s="42">
        <f t="shared" si="9"/>
        <v>0</v>
      </c>
      <c r="AK49" s="42">
        <f t="shared" si="9"/>
        <v>0</v>
      </c>
      <c r="AL49" s="42">
        <f t="shared" si="9"/>
        <v>0</v>
      </c>
      <c r="AM49" s="42">
        <f t="shared" si="9"/>
        <v>0</v>
      </c>
      <c r="AN49" s="42">
        <f t="shared" si="9"/>
        <v>0</v>
      </c>
      <c r="AO49" s="42">
        <f t="shared" si="9"/>
        <v>2</v>
      </c>
    </row>
    <row r="50" spans="1:41" ht="15.75">
      <c r="A50" s="16">
        <f t="shared" si="5"/>
        <v>47</v>
      </c>
      <c r="B50" s="8">
        <v>620</v>
      </c>
      <c r="C50" s="62" t="s">
        <v>402</v>
      </c>
      <c r="D50" s="63" t="s">
        <v>665</v>
      </c>
      <c r="E50" s="13" t="s">
        <v>604</v>
      </c>
      <c r="F50" s="14" t="s">
        <v>666</v>
      </c>
      <c r="G50" s="429" t="s">
        <v>6473</v>
      </c>
      <c r="H50" s="385">
        <v>35498</v>
      </c>
      <c r="I50" s="383">
        <v>41839</v>
      </c>
      <c r="J50" s="430" t="s">
        <v>6293</v>
      </c>
      <c r="K50" s="366" t="s">
        <v>6128</v>
      </c>
      <c r="L50" s="366" t="s">
        <v>6105</v>
      </c>
      <c r="M50" s="1">
        <v>192</v>
      </c>
      <c r="N50" s="431">
        <f t="shared" si="6"/>
        <v>8</v>
      </c>
      <c r="O50" s="432">
        <v>20</v>
      </c>
      <c r="P50" s="432">
        <v>45</v>
      </c>
      <c r="Q50" s="432">
        <v>0</v>
      </c>
      <c r="R50" s="1">
        <v>7</v>
      </c>
      <c r="S50" s="1">
        <v>10</v>
      </c>
      <c r="T50" s="300">
        <f t="shared" si="7"/>
        <v>282</v>
      </c>
      <c r="U50" s="3"/>
      <c r="V50" s="3"/>
      <c r="W50" s="3"/>
      <c r="X50" s="3"/>
      <c r="Y50" s="3"/>
      <c r="Z50" s="20">
        <f t="shared" si="3"/>
        <v>194</v>
      </c>
      <c r="AA50" s="20">
        <f t="shared" si="8"/>
        <v>8</v>
      </c>
      <c r="AB50" s="20">
        <f t="shared" si="8"/>
        <v>20</v>
      </c>
      <c r="AC50" s="20">
        <f t="shared" si="8"/>
        <v>45</v>
      </c>
      <c r="AD50" s="20">
        <f t="shared" si="8"/>
        <v>0</v>
      </c>
      <c r="AE50" s="20">
        <f t="shared" si="8"/>
        <v>7</v>
      </c>
      <c r="AF50" s="20">
        <f t="shared" si="8"/>
        <v>10</v>
      </c>
      <c r="AG50" s="300">
        <f t="shared" si="4"/>
        <v>284</v>
      </c>
      <c r="AH50" s="42">
        <f t="shared" si="9"/>
        <v>2</v>
      </c>
      <c r="AI50" s="42">
        <f t="shared" si="9"/>
        <v>0</v>
      </c>
      <c r="AJ50" s="42">
        <f t="shared" si="9"/>
        <v>0</v>
      </c>
      <c r="AK50" s="42">
        <f t="shared" si="9"/>
        <v>0</v>
      </c>
      <c r="AL50" s="42">
        <f t="shared" si="9"/>
        <v>0</v>
      </c>
      <c r="AM50" s="42">
        <f t="shared" si="9"/>
        <v>0</v>
      </c>
      <c r="AN50" s="42">
        <f t="shared" si="9"/>
        <v>0</v>
      </c>
      <c r="AO50" s="42">
        <f t="shared" ref="AO50:AO113" si="10">AG50-T50</f>
        <v>2</v>
      </c>
    </row>
    <row r="51" spans="1:41" ht="15.75">
      <c r="A51" s="16">
        <f t="shared" si="5"/>
        <v>48</v>
      </c>
      <c r="B51" s="8">
        <v>588</v>
      </c>
      <c r="C51" s="62" t="s">
        <v>670</v>
      </c>
      <c r="D51" s="63" t="s">
        <v>671</v>
      </c>
      <c r="E51" s="13" t="s">
        <v>672</v>
      </c>
      <c r="F51" s="14" t="s">
        <v>673</v>
      </c>
      <c r="G51" s="429" t="s">
        <v>6473</v>
      </c>
      <c r="H51" s="385">
        <v>32453</v>
      </c>
      <c r="I51" s="383">
        <v>41836</v>
      </c>
      <c r="J51" s="430" t="s">
        <v>6293</v>
      </c>
      <c r="K51" s="366" t="s">
        <v>6301</v>
      </c>
      <c r="L51" s="366" t="s">
        <v>6335</v>
      </c>
      <c r="M51" s="1">
        <v>192</v>
      </c>
      <c r="N51" s="431">
        <f t="shared" si="6"/>
        <v>8</v>
      </c>
      <c r="O51" s="432">
        <v>20</v>
      </c>
      <c r="P51" s="432">
        <v>0</v>
      </c>
      <c r="Q51" s="432">
        <v>0</v>
      </c>
      <c r="R51" s="1">
        <v>7</v>
      </c>
      <c r="S51" s="1">
        <v>10</v>
      </c>
      <c r="T51" s="300">
        <f t="shared" si="7"/>
        <v>237</v>
      </c>
      <c r="U51" s="3"/>
      <c r="V51" s="3"/>
      <c r="W51" s="3"/>
      <c r="X51" s="3"/>
      <c r="Y51" s="3"/>
      <c r="Z51" s="20">
        <f t="shared" si="3"/>
        <v>194</v>
      </c>
      <c r="AA51" s="20">
        <f t="shared" si="8"/>
        <v>8</v>
      </c>
      <c r="AB51" s="20">
        <f t="shared" si="8"/>
        <v>20</v>
      </c>
      <c r="AC51" s="20">
        <f t="shared" si="8"/>
        <v>0</v>
      </c>
      <c r="AD51" s="20">
        <f t="shared" si="8"/>
        <v>0</v>
      </c>
      <c r="AE51" s="20">
        <f t="shared" si="8"/>
        <v>7</v>
      </c>
      <c r="AF51" s="20">
        <f t="shared" si="8"/>
        <v>10</v>
      </c>
      <c r="AG51" s="300">
        <f t="shared" si="4"/>
        <v>239</v>
      </c>
      <c r="AH51" s="42">
        <f t="shared" ref="AH51:AN87" si="11">Z51-M51</f>
        <v>2</v>
      </c>
      <c r="AI51" s="42">
        <f t="shared" si="11"/>
        <v>0</v>
      </c>
      <c r="AJ51" s="42">
        <f t="shared" si="11"/>
        <v>0</v>
      </c>
      <c r="AK51" s="42">
        <f t="shared" si="11"/>
        <v>0</v>
      </c>
      <c r="AL51" s="42">
        <f t="shared" si="11"/>
        <v>0</v>
      </c>
      <c r="AM51" s="42">
        <f t="shared" si="11"/>
        <v>0</v>
      </c>
      <c r="AN51" s="42">
        <f t="shared" si="11"/>
        <v>0</v>
      </c>
      <c r="AO51" s="42">
        <f t="shared" si="10"/>
        <v>2</v>
      </c>
    </row>
    <row r="52" spans="1:41" ht="15.75">
      <c r="A52" s="16">
        <f t="shared" si="5"/>
        <v>49</v>
      </c>
      <c r="B52" s="8">
        <v>634</v>
      </c>
      <c r="C52" s="62" t="s">
        <v>676</v>
      </c>
      <c r="D52" s="63" t="s">
        <v>677</v>
      </c>
      <c r="E52" s="13" t="s">
        <v>678</v>
      </c>
      <c r="F52" s="14" t="s">
        <v>679</v>
      </c>
      <c r="G52" s="429" t="s">
        <v>6473</v>
      </c>
      <c r="H52" s="385">
        <v>29833</v>
      </c>
      <c r="I52" s="383">
        <v>41862</v>
      </c>
      <c r="J52" s="430" t="s">
        <v>6293</v>
      </c>
      <c r="K52" s="366" t="s">
        <v>6295</v>
      </c>
      <c r="L52" s="366" t="s">
        <v>6335</v>
      </c>
      <c r="M52" s="1">
        <v>192</v>
      </c>
      <c r="N52" s="431">
        <f t="shared" si="6"/>
        <v>8</v>
      </c>
      <c r="O52" s="432">
        <v>20</v>
      </c>
      <c r="P52" s="432">
        <v>0</v>
      </c>
      <c r="Q52" s="432">
        <v>0</v>
      </c>
      <c r="R52" s="1">
        <v>7</v>
      </c>
      <c r="S52" s="1">
        <v>10</v>
      </c>
      <c r="T52" s="300">
        <f t="shared" si="7"/>
        <v>237</v>
      </c>
      <c r="U52" s="3"/>
      <c r="V52" s="3"/>
      <c r="W52" s="3"/>
      <c r="X52" s="3"/>
      <c r="Y52" s="3"/>
      <c r="Z52" s="20">
        <f t="shared" si="3"/>
        <v>194</v>
      </c>
      <c r="AA52" s="20">
        <f t="shared" si="8"/>
        <v>8</v>
      </c>
      <c r="AB52" s="20">
        <f t="shared" si="8"/>
        <v>20</v>
      </c>
      <c r="AC52" s="20">
        <f t="shared" si="8"/>
        <v>0</v>
      </c>
      <c r="AD52" s="20">
        <f t="shared" si="8"/>
        <v>0</v>
      </c>
      <c r="AE52" s="20">
        <f t="shared" si="8"/>
        <v>7</v>
      </c>
      <c r="AF52" s="20">
        <f t="shared" si="8"/>
        <v>10</v>
      </c>
      <c r="AG52" s="300">
        <f t="shared" si="4"/>
        <v>239</v>
      </c>
      <c r="AH52" s="42">
        <f t="shared" si="11"/>
        <v>2</v>
      </c>
      <c r="AI52" s="42">
        <f t="shared" si="11"/>
        <v>0</v>
      </c>
      <c r="AJ52" s="42">
        <f t="shared" si="11"/>
        <v>0</v>
      </c>
      <c r="AK52" s="42">
        <f t="shared" si="11"/>
        <v>0</v>
      </c>
      <c r="AL52" s="42">
        <f t="shared" si="11"/>
        <v>0</v>
      </c>
      <c r="AM52" s="42">
        <f t="shared" si="11"/>
        <v>0</v>
      </c>
      <c r="AN52" s="42">
        <f t="shared" si="11"/>
        <v>0</v>
      </c>
      <c r="AO52" s="42">
        <f t="shared" si="10"/>
        <v>2</v>
      </c>
    </row>
    <row r="53" spans="1:41" ht="15.75">
      <c r="A53" s="16">
        <f t="shared" si="5"/>
        <v>50</v>
      </c>
      <c r="B53" s="8">
        <v>658</v>
      </c>
      <c r="C53" s="62" t="s">
        <v>684</v>
      </c>
      <c r="D53" s="63" t="s">
        <v>685</v>
      </c>
      <c r="E53" s="13" t="s">
        <v>686</v>
      </c>
      <c r="F53" s="14" t="s">
        <v>687</v>
      </c>
      <c r="G53" s="429" t="s">
        <v>6473</v>
      </c>
      <c r="H53" s="385">
        <v>30713</v>
      </c>
      <c r="I53" s="383">
        <v>41873</v>
      </c>
      <c r="J53" s="430" t="s">
        <v>6293</v>
      </c>
      <c r="K53" s="366" t="s">
        <v>6301</v>
      </c>
      <c r="L53" s="366" t="s">
        <v>6335</v>
      </c>
      <c r="M53" s="1">
        <v>192</v>
      </c>
      <c r="N53" s="431">
        <f t="shared" si="6"/>
        <v>8</v>
      </c>
      <c r="O53" s="432">
        <v>20</v>
      </c>
      <c r="P53" s="432">
        <v>0</v>
      </c>
      <c r="Q53" s="432">
        <v>0</v>
      </c>
      <c r="R53" s="1">
        <v>7</v>
      </c>
      <c r="S53" s="1">
        <v>10</v>
      </c>
      <c r="T53" s="300">
        <f t="shared" si="7"/>
        <v>237</v>
      </c>
      <c r="U53" s="3"/>
      <c r="V53" s="3"/>
      <c r="W53" s="3"/>
      <c r="X53" s="3"/>
      <c r="Y53" s="3"/>
      <c r="Z53" s="20">
        <f t="shared" si="3"/>
        <v>194</v>
      </c>
      <c r="AA53" s="20">
        <f t="shared" si="8"/>
        <v>8</v>
      </c>
      <c r="AB53" s="20">
        <f t="shared" si="8"/>
        <v>20</v>
      </c>
      <c r="AC53" s="20">
        <f t="shared" si="8"/>
        <v>0</v>
      </c>
      <c r="AD53" s="20">
        <f t="shared" si="8"/>
        <v>0</v>
      </c>
      <c r="AE53" s="20">
        <f t="shared" si="8"/>
        <v>7</v>
      </c>
      <c r="AF53" s="20">
        <f t="shared" si="8"/>
        <v>10</v>
      </c>
      <c r="AG53" s="300">
        <f t="shared" si="4"/>
        <v>239</v>
      </c>
      <c r="AH53" s="42">
        <f t="shared" si="11"/>
        <v>2</v>
      </c>
      <c r="AI53" s="42">
        <f t="shared" si="11"/>
        <v>0</v>
      </c>
      <c r="AJ53" s="42">
        <f t="shared" si="11"/>
        <v>0</v>
      </c>
      <c r="AK53" s="42">
        <f t="shared" si="11"/>
        <v>0</v>
      </c>
      <c r="AL53" s="42">
        <f t="shared" si="11"/>
        <v>0</v>
      </c>
      <c r="AM53" s="42">
        <f t="shared" si="11"/>
        <v>0</v>
      </c>
      <c r="AN53" s="42">
        <f t="shared" si="11"/>
        <v>0</v>
      </c>
      <c r="AO53" s="42">
        <f t="shared" si="10"/>
        <v>2</v>
      </c>
    </row>
    <row r="54" spans="1:41" ht="15.75">
      <c r="A54" s="16">
        <f t="shared" si="5"/>
        <v>51</v>
      </c>
      <c r="B54" s="8">
        <v>649</v>
      </c>
      <c r="C54" s="62" t="s">
        <v>190</v>
      </c>
      <c r="D54" s="63" t="s">
        <v>693</v>
      </c>
      <c r="E54" s="13" t="s">
        <v>694</v>
      </c>
      <c r="F54" s="14" t="s">
        <v>695</v>
      </c>
      <c r="G54" s="429" t="s">
        <v>6473</v>
      </c>
      <c r="H54" s="385">
        <v>31022</v>
      </c>
      <c r="I54" s="383">
        <v>41870</v>
      </c>
      <c r="J54" s="430" t="s">
        <v>6293</v>
      </c>
      <c r="K54" s="366" t="s">
        <v>6083</v>
      </c>
      <c r="L54" s="366" t="s">
        <v>6335</v>
      </c>
      <c r="M54" s="1">
        <v>192</v>
      </c>
      <c r="N54" s="431">
        <f t="shared" si="6"/>
        <v>8</v>
      </c>
      <c r="O54" s="432">
        <v>20</v>
      </c>
      <c r="P54" s="432">
        <v>0</v>
      </c>
      <c r="Q54" s="432">
        <v>0</v>
      </c>
      <c r="R54" s="1">
        <v>7</v>
      </c>
      <c r="S54" s="1">
        <v>10</v>
      </c>
      <c r="T54" s="300">
        <f t="shared" si="7"/>
        <v>237</v>
      </c>
      <c r="U54" s="3"/>
      <c r="V54" s="3"/>
      <c r="W54" s="3"/>
      <c r="X54" s="3"/>
      <c r="Y54" s="3"/>
      <c r="Z54" s="20">
        <f t="shared" si="3"/>
        <v>194</v>
      </c>
      <c r="AA54" s="20">
        <f t="shared" si="8"/>
        <v>8</v>
      </c>
      <c r="AB54" s="20">
        <f t="shared" si="8"/>
        <v>20</v>
      </c>
      <c r="AC54" s="20">
        <f t="shared" si="8"/>
        <v>0</v>
      </c>
      <c r="AD54" s="20">
        <f t="shared" si="8"/>
        <v>0</v>
      </c>
      <c r="AE54" s="20">
        <f t="shared" si="8"/>
        <v>7</v>
      </c>
      <c r="AF54" s="20">
        <f t="shared" si="8"/>
        <v>10</v>
      </c>
      <c r="AG54" s="300">
        <f t="shared" si="4"/>
        <v>239</v>
      </c>
      <c r="AH54" s="42">
        <f t="shared" si="11"/>
        <v>2</v>
      </c>
      <c r="AI54" s="42">
        <f t="shared" si="11"/>
        <v>0</v>
      </c>
      <c r="AJ54" s="42">
        <f t="shared" si="11"/>
        <v>0</v>
      </c>
      <c r="AK54" s="42">
        <f t="shared" si="11"/>
        <v>0</v>
      </c>
      <c r="AL54" s="42">
        <f t="shared" si="11"/>
        <v>0</v>
      </c>
      <c r="AM54" s="42">
        <f t="shared" si="11"/>
        <v>0</v>
      </c>
      <c r="AN54" s="42">
        <f t="shared" si="11"/>
        <v>0</v>
      </c>
      <c r="AO54" s="42">
        <f t="shared" si="10"/>
        <v>2</v>
      </c>
    </row>
    <row r="55" spans="1:41" ht="15.75">
      <c r="A55" s="16">
        <f t="shared" si="5"/>
        <v>52</v>
      </c>
      <c r="B55" s="8">
        <v>648</v>
      </c>
      <c r="C55" s="62" t="s">
        <v>699</v>
      </c>
      <c r="D55" s="63" t="s">
        <v>700</v>
      </c>
      <c r="E55" s="13" t="s">
        <v>14</v>
      </c>
      <c r="F55" s="14" t="s">
        <v>15</v>
      </c>
      <c r="G55" s="429" t="s">
        <v>6475</v>
      </c>
      <c r="H55" s="385">
        <v>34481</v>
      </c>
      <c r="I55" s="383">
        <v>41869</v>
      </c>
      <c r="J55" s="430" t="s">
        <v>6293</v>
      </c>
      <c r="K55" s="366" t="s">
        <v>45</v>
      </c>
      <c r="L55" s="366" t="s">
        <v>6338</v>
      </c>
      <c r="M55" s="1">
        <v>192</v>
      </c>
      <c r="N55" s="431">
        <f t="shared" si="6"/>
        <v>8</v>
      </c>
      <c r="O55" s="432">
        <v>20</v>
      </c>
      <c r="P55" s="432">
        <v>15</v>
      </c>
      <c r="Q55" s="432">
        <v>5</v>
      </c>
      <c r="R55" s="1">
        <v>7</v>
      </c>
      <c r="S55" s="1">
        <v>10</v>
      </c>
      <c r="T55" s="300">
        <f t="shared" si="7"/>
        <v>257</v>
      </c>
      <c r="U55" s="3"/>
      <c r="V55" s="3"/>
      <c r="W55" s="3"/>
      <c r="X55" s="3"/>
      <c r="Y55" s="3"/>
      <c r="Z55" s="20">
        <f t="shared" si="3"/>
        <v>194</v>
      </c>
      <c r="AA55" s="20">
        <f t="shared" si="8"/>
        <v>8</v>
      </c>
      <c r="AB55" s="20">
        <f t="shared" si="8"/>
        <v>20</v>
      </c>
      <c r="AC55" s="20">
        <f t="shared" si="8"/>
        <v>15</v>
      </c>
      <c r="AD55" s="20">
        <f t="shared" si="8"/>
        <v>5</v>
      </c>
      <c r="AE55" s="20">
        <f t="shared" si="8"/>
        <v>7</v>
      </c>
      <c r="AF55" s="20">
        <f t="shared" si="8"/>
        <v>10</v>
      </c>
      <c r="AG55" s="300">
        <f t="shared" si="4"/>
        <v>259</v>
      </c>
      <c r="AH55" s="42">
        <f t="shared" si="11"/>
        <v>2</v>
      </c>
      <c r="AI55" s="42">
        <f t="shared" si="11"/>
        <v>0</v>
      </c>
      <c r="AJ55" s="42">
        <f t="shared" si="11"/>
        <v>0</v>
      </c>
      <c r="AK55" s="42">
        <f t="shared" si="11"/>
        <v>0</v>
      </c>
      <c r="AL55" s="42">
        <f t="shared" si="11"/>
        <v>0</v>
      </c>
      <c r="AM55" s="42">
        <f t="shared" si="11"/>
        <v>0</v>
      </c>
      <c r="AN55" s="42">
        <f t="shared" si="11"/>
        <v>0</v>
      </c>
      <c r="AO55" s="42">
        <f t="shared" si="10"/>
        <v>2</v>
      </c>
    </row>
    <row r="56" spans="1:41" ht="15.75">
      <c r="A56" s="16">
        <f t="shared" si="5"/>
        <v>53</v>
      </c>
      <c r="B56" s="8">
        <v>657</v>
      </c>
      <c r="C56" s="62" t="s">
        <v>711</v>
      </c>
      <c r="D56" s="63" t="s">
        <v>712</v>
      </c>
      <c r="E56" s="13" t="s">
        <v>713</v>
      </c>
      <c r="F56" s="14" t="s">
        <v>714</v>
      </c>
      <c r="G56" s="429" t="s">
        <v>6473</v>
      </c>
      <c r="H56" s="385">
        <v>35139</v>
      </c>
      <c r="I56" s="383">
        <v>41872</v>
      </c>
      <c r="J56" s="430" t="s">
        <v>6293</v>
      </c>
      <c r="K56" s="366" t="s">
        <v>6125</v>
      </c>
      <c r="L56" s="366" t="s">
        <v>6339</v>
      </c>
      <c r="M56" s="1">
        <v>192</v>
      </c>
      <c r="N56" s="431">
        <f t="shared" si="6"/>
        <v>8</v>
      </c>
      <c r="O56" s="432">
        <v>20</v>
      </c>
      <c r="P56" s="432">
        <v>0</v>
      </c>
      <c r="Q56" s="432">
        <v>0</v>
      </c>
      <c r="R56" s="1">
        <v>7</v>
      </c>
      <c r="S56" s="1">
        <v>10</v>
      </c>
      <c r="T56" s="300">
        <f t="shared" si="7"/>
        <v>237</v>
      </c>
      <c r="U56" s="3"/>
      <c r="V56" s="3"/>
      <c r="W56" s="3"/>
      <c r="X56" s="3"/>
      <c r="Y56" s="3"/>
      <c r="Z56" s="20">
        <f t="shared" si="3"/>
        <v>194</v>
      </c>
      <c r="AA56" s="20">
        <f t="shared" si="8"/>
        <v>8</v>
      </c>
      <c r="AB56" s="20">
        <f t="shared" si="8"/>
        <v>20</v>
      </c>
      <c r="AC56" s="20">
        <f t="shared" si="8"/>
        <v>0</v>
      </c>
      <c r="AD56" s="20">
        <f t="shared" si="8"/>
        <v>0</v>
      </c>
      <c r="AE56" s="20">
        <f t="shared" si="8"/>
        <v>7</v>
      </c>
      <c r="AF56" s="20">
        <f t="shared" si="8"/>
        <v>10</v>
      </c>
      <c r="AG56" s="300">
        <f t="shared" si="4"/>
        <v>239</v>
      </c>
      <c r="AH56" s="42">
        <f t="shared" si="11"/>
        <v>2</v>
      </c>
      <c r="AI56" s="42">
        <f t="shared" si="11"/>
        <v>0</v>
      </c>
      <c r="AJ56" s="42">
        <f t="shared" si="11"/>
        <v>0</v>
      </c>
      <c r="AK56" s="42">
        <f t="shared" si="11"/>
        <v>0</v>
      </c>
      <c r="AL56" s="42">
        <f t="shared" si="11"/>
        <v>0</v>
      </c>
      <c r="AM56" s="42">
        <f t="shared" si="11"/>
        <v>0</v>
      </c>
      <c r="AN56" s="42">
        <f t="shared" si="11"/>
        <v>0</v>
      </c>
      <c r="AO56" s="42">
        <f t="shared" si="10"/>
        <v>2</v>
      </c>
    </row>
    <row r="57" spans="1:41" ht="15.75">
      <c r="A57" s="16">
        <f t="shared" si="5"/>
        <v>54</v>
      </c>
      <c r="B57" s="8">
        <v>663</v>
      </c>
      <c r="C57" s="62" t="s">
        <v>718</v>
      </c>
      <c r="D57" s="63" t="s">
        <v>719</v>
      </c>
      <c r="E57" s="13" t="s">
        <v>720</v>
      </c>
      <c r="F57" s="14" t="s">
        <v>721</v>
      </c>
      <c r="G57" s="429" t="s">
        <v>6473</v>
      </c>
      <c r="H57" s="385">
        <v>30601</v>
      </c>
      <c r="I57" s="383">
        <v>41884</v>
      </c>
      <c r="J57" s="430" t="s">
        <v>6293</v>
      </c>
      <c r="K57" s="366" t="s">
        <v>6305</v>
      </c>
      <c r="L57" s="366" t="s">
        <v>6335</v>
      </c>
      <c r="M57" s="1">
        <v>192</v>
      </c>
      <c r="N57" s="431">
        <f t="shared" si="6"/>
        <v>8</v>
      </c>
      <c r="O57" s="432">
        <v>20</v>
      </c>
      <c r="P57" s="432">
        <v>0</v>
      </c>
      <c r="Q57" s="432">
        <v>0</v>
      </c>
      <c r="R57" s="1">
        <v>7</v>
      </c>
      <c r="S57" s="1">
        <v>10</v>
      </c>
      <c r="T57" s="300">
        <f t="shared" si="7"/>
        <v>237</v>
      </c>
      <c r="U57" s="3"/>
      <c r="V57" s="3"/>
      <c r="W57" s="3"/>
      <c r="X57" s="3"/>
      <c r="Y57" s="3"/>
      <c r="Z57" s="20">
        <f t="shared" si="3"/>
        <v>194</v>
      </c>
      <c r="AA57" s="20">
        <f t="shared" si="8"/>
        <v>8</v>
      </c>
      <c r="AB57" s="20">
        <f t="shared" si="8"/>
        <v>20</v>
      </c>
      <c r="AC57" s="20">
        <f t="shared" si="8"/>
        <v>0</v>
      </c>
      <c r="AD57" s="20">
        <f t="shared" si="8"/>
        <v>0</v>
      </c>
      <c r="AE57" s="20">
        <f t="shared" si="8"/>
        <v>7</v>
      </c>
      <c r="AF57" s="20">
        <f t="shared" si="8"/>
        <v>10</v>
      </c>
      <c r="AG57" s="300">
        <f t="shared" si="4"/>
        <v>239</v>
      </c>
      <c r="AH57" s="42">
        <f t="shared" si="11"/>
        <v>2</v>
      </c>
      <c r="AI57" s="42">
        <f t="shared" si="11"/>
        <v>0</v>
      </c>
      <c r="AJ57" s="42">
        <f t="shared" si="11"/>
        <v>0</v>
      </c>
      <c r="AK57" s="42">
        <f t="shared" si="11"/>
        <v>0</v>
      </c>
      <c r="AL57" s="42">
        <f t="shared" si="11"/>
        <v>0</v>
      </c>
      <c r="AM57" s="42">
        <f t="shared" si="11"/>
        <v>0</v>
      </c>
      <c r="AN57" s="42">
        <f t="shared" si="11"/>
        <v>0</v>
      </c>
      <c r="AO57" s="42">
        <f t="shared" si="10"/>
        <v>2</v>
      </c>
    </row>
    <row r="58" spans="1:41" ht="15.75">
      <c r="A58" s="16">
        <f t="shared" si="5"/>
        <v>55</v>
      </c>
      <c r="B58" s="8">
        <v>674</v>
      </c>
      <c r="C58" s="62" t="s">
        <v>727</v>
      </c>
      <c r="D58" s="63" t="s">
        <v>728</v>
      </c>
      <c r="E58" s="13" t="s">
        <v>729</v>
      </c>
      <c r="F58" s="14" t="s">
        <v>730</v>
      </c>
      <c r="G58" s="429" t="s">
        <v>6473</v>
      </c>
      <c r="H58" s="385">
        <v>30691</v>
      </c>
      <c r="I58" s="383">
        <v>41887</v>
      </c>
      <c r="J58" s="430" t="s">
        <v>6293</v>
      </c>
      <c r="K58" s="366" t="s">
        <v>6295</v>
      </c>
      <c r="L58" s="366" t="s">
        <v>6335</v>
      </c>
      <c r="M58" s="1">
        <v>192</v>
      </c>
      <c r="N58" s="431">
        <f t="shared" si="6"/>
        <v>8</v>
      </c>
      <c r="O58" s="432">
        <v>20</v>
      </c>
      <c r="P58" s="432">
        <v>0</v>
      </c>
      <c r="Q58" s="432">
        <v>0</v>
      </c>
      <c r="R58" s="1">
        <v>7</v>
      </c>
      <c r="S58" s="1">
        <v>10</v>
      </c>
      <c r="T58" s="300">
        <f t="shared" si="7"/>
        <v>237</v>
      </c>
      <c r="U58" s="3"/>
      <c r="V58" s="3"/>
      <c r="W58" s="3"/>
      <c r="X58" s="3"/>
      <c r="Y58" s="3"/>
      <c r="Z58" s="20">
        <f t="shared" si="3"/>
        <v>194</v>
      </c>
      <c r="AA58" s="20">
        <f t="shared" si="8"/>
        <v>8</v>
      </c>
      <c r="AB58" s="20">
        <f t="shared" si="8"/>
        <v>20</v>
      </c>
      <c r="AC58" s="20">
        <f t="shared" si="8"/>
        <v>0</v>
      </c>
      <c r="AD58" s="20">
        <f t="shared" si="8"/>
        <v>0</v>
      </c>
      <c r="AE58" s="20">
        <f t="shared" si="8"/>
        <v>7</v>
      </c>
      <c r="AF58" s="20">
        <f t="shared" si="8"/>
        <v>10</v>
      </c>
      <c r="AG58" s="300">
        <f t="shared" si="4"/>
        <v>239</v>
      </c>
      <c r="AH58" s="42">
        <f t="shared" si="11"/>
        <v>2</v>
      </c>
      <c r="AI58" s="42">
        <f t="shared" si="11"/>
        <v>0</v>
      </c>
      <c r="AJ58" s="42">
        <f t="shared" si="11"/>
        <v>0</v>
      </c>
      <c r="AK58" s="42">
        <f t="shared" si="11"/>
        <v>0</v>
      </c>
      <c r="AL58" s="42">
        <f t="shared" si="11"/>
        <v>0</v>
      </c>
      <c r="AM58" s="42">
        <f t="shared" si="11"/>
        <v>0</v>
      </c>
      <c r="AN58" s="42">
        <f t="shared" si="11"/>
        <v>0</v>
      </c>
      <c r="AO58" s="42">
        <f t="shared" si="10"/>
        <v>2</v>
      </c>
    </row>
    <row r="59" spans="1:41" ht="15.75">
      <c r="A59" s="16">
        <f t="shared" si="5"/>
        <v>56</v>
      </c>
      <c r="B59" s="8">
        <v>677</v>
      </c>
      <c r="C59" s="62" t="s">
        <v>736</v>
      </c>
      <c r="D59" s="63" t="s">
        <v>737</v>
      </c>
      <c r="E59" s="13" t="s">
        <v>738</v>
      </c>
      <c r="F59" s="14" t="s">
        <v>22</v>
      </c>
      <c r="G59" s="429" t="s">
        <v>6473</v>
      </c>
      <c r="H59" s="385">
        <v>30252</v>
      </c>
      <c r="I59" s="383">
        <v>41890</v>
      </c>
      <c r="J59" s="430" t="s">
        <v>6293</v>
      </c>
      <c r="K59" s="366" t="s">
        <v>6295</v>
      </c>
      <c r="L59" s="366" t="s">
        <v>6335</v>
      </c>
      <c r="M59" s="1">
        <v>192</v>
      </c>
      <c r="N59" s="431">
        <f t="shared" si="6"/>
        <v>8</v>
      </c>
      <c r="O59" s="432">
        <v>20</v>
      </c>
      <c r="P59" s="432">
        <v>0</v>
      </c>
      <c r="Q59" s="432">
        <v>0</v>
      </c>
      <c r="R59" s="1">
        <v>7</v>
      </c>
      <c r="S59" s="1">
        <v>10</v>
      </c>
      <c r="T59" s="300">
        <f t="shared" si="7"/>
        <v>237</v>
      </c>
      <c r="U59" s="3"/>
      <c r="V59" s="3"/>
      <c r="W59" s="3"/>
      <c r="X59" s="3"/>
      <c r="Y59" s="3"/>
      <c r="Z59" s="20">
        <f t="shared" si="3"/>
        <v>194</v>
      </c>
      <c r="AA59" s="20">
        <f t="shared" si="8"/>
        <v>8</v>
      </c>
      <c r="AB59" s="20">
        <f t="shared" si="8"/>
        <v>20</v>
      </c>
      <c r="AC59" s="20">
        <f t="shared" si="8"/>
        <v>0</v>
      </c>
      <c r="AD59" s="20">
        <f t="shared" si="8"/>
        <v>0</v>
      </c>
      <c r="AE59" s="20">
        <f t="shared" si="8"/>
        <v>7</v>
      </c>
      <c r="AF59" s="20">
        <f t="shared" si="8"/>
        <v>10</v>
      </c>
      <c r="AG59" s="300">
        <f t="shared" si="4"/>
        <v>239</v>
      </c>
      <c r="AH59" s="42">
        <f t="shared" si="11"/>
        <v>2</v>
      </c>
      <c r="AI59" s="42">
        <f t="shared" si="11"/>
        <v>0</v>
      </c>
      <c r="AJ59" s="42">
        <f t="shared" si="11"/>
        <v>0</v>
      </c>
      <c r="AK59" s="42">
        <f t="shared" si="11"/>
        <v>0</v>
      </c>
      <c r="AL59" s="42">
        <f t="shared" si="11"/>
        <v>0</v>
      </c>
      <c r="AM59" s="42">
        <f t="shared" si="11"/>
        <v>0</v>
      </c>
      <c r="AN59" s="42">
        <f t="shared" si="11"/>
        <v>0</v>
      </c>
      <c r="AO59" s="42">
        <f t="shared" si="10"/>
        <v>2</v>
      </c>
    </row>
    <row r="60" spans="1:41" ht="15.75">
      <c r="A60" s="16">
        <f t="shared" si="5"/>
        <v>57</v>
      </c>
      <c r="B60" s="8">
        <v>697</v>
      </c>
      <c r="C60" s="62" t="s">
        <v>748</v>
      </c>
      <c r="D60" s="63" t="s">
        <v>317</v>
      </c>
      <c r="E60" s="13" t="s">
        <v>749</v>
      </c>
      <c r="F60" s="14" t="s">
        <v>591</v>
      </c>
      <c r="G60" s="429" t="s">
        <v>6473</v>
      </c>
      <c r="H60" s="385">
        <v>29228</v>
      </c>
      <c r="I60" s="383">
        <v>41920</v>
      </c>
      <c r="J60" s="430" t="s">
        <v>6293</v>
      </c>
      <c r="K60" s="366" t="s">
        <v>6304</v>
      </c>
      <c r="L60" s="366" t="s">
        <v>6335</v>
      </c>
      <c r="M60" s="1">
        <v>192</v>
      </c>
      <c r="N60" s="431">
        <f t="shared" si="6"/>
        <v>8</v>
      </c>
      <c r="O60" s="432">
        <v>20</v>
      </c>
      <c r="P60" s="432">
        <v>0</v>
      </c>
      <c r="Q60" s="432">
        <v>0</v>
      </c>
      <c r="R60" s="1">
        <v>7</v>
      </c>
      <c r="S60" s="1">
        <v>10</v>
      </c>
      <c r="T60" s="300">
        <f t="shared" si="7"/>
        <v>237</v>
      </c>
      <c r="U60" s="3"/>
      <c r="V60" s="3"/>
      <c r="W60" s="3"/>
      <c r="X60" s="3"/>
      <c r="Y60" s="3"/>
      <c r="Z60" s="20">
        <f t="shared" si="3"/>
        <v>194</v>
      </c>
      <c r="AA60" s="20">
        <f t="shared" si="8"/>
        <v>8</v>
      </c>
      <c r="AB60" s="20">
        <f t="shared" si="8"/>
        <v>20</v>
      </c>
      <c r="AC60" s="20">
        <f t="shared" si="8"/>
        <v>0</v>
      </c>
      <c r="AD60" s="20">
        <f t="shared" si="8"/>
        <v>0</v>
      </c>
      <c r="AE60" s="20">
        <f t="shared" si="8"/>
        <v>7</v>
      </c>
      <c r="AF60" s="20">
        <f t="shared" si="8"/>
        <v>10</v>
      </c>
      <c r="AG60" s="300">
        <f t="shared" si="4"/>
        <v>239</v>
      </c>
      <c r="AH60" s="42">
        <f t="shared" si="11"/>
        <v>2</v>
      </c>
      <c r="AI60" s="42">
        <f t="shared" si="11"/>
        <v>0</v>
      </c>
      <c r="AJ60" s="42">
        <f t="shared" si="11"/>
        <v>0</v>
      </c>
      <c r="AK60" s="42">
        <f t="shared" si="11"/>
        <v>0</v>
      </c>
      <c r="AL60" s="42">
        <f t="shared" si="11"/>
        <v>0</v>
      </c>
      <c r="AM60" s="42">
        <f t="shared" si="11"/>
        <v>0</v>
      </c>
      <c r="AN60" s="42">
        <f t="shared" si="11"/>
        <v>0</v>
      </c>
      <c r="AO60" s="42">
        <f t="shared" si="10"/>
        <v>2</v>
      </c>
    </row>
    <row r="61" spans="1:41" ht="15.75">
      <c r="A61" s="16">
        <f t="shared" si="5"/>
        <v>58</v>
      </c>
      <c r="B61" s="8">
        <v>742</v>
      </c>
      <c r="C61" s="62" t="s">
        <v>676</v>
      </c>
      <c r="D61" s="63" t="s">
        <v>754</v>
      </c>
      <c r="E61" s="13" t="s">
        <v>755</v>
      </c>
      <c r="F61" s="14" t="s">
        <v>756</v>
      </c>
      <c r="G61" s="429" t="s">
        <v>6473</v>
      </c>
      <c r="H61" s="385">
        <v>28331</v>
      </c>
      <c r="I61" s="383">
        <v>41964</v>
      </c>
      <c r="J61" s="430" t="s">
        <v>6293</v>
      </c>
      <c r="K61" s="366" t="s">
        <v>6298</v>
      </c>
      <c r="L61" s="366" t="s">
        <v>6335</v>
      </c>
      <c r="M61" s="1">
        <v>192</v>
      </c>
      <c r="N61" s="431">
        <f t="shared" si="6"/>
        <v>8</v>
      </c>
      <c r="O61" s="432">
        <v>20</v>
      </c>
      <c r="P61" s="432">
        <v>0</v>
      </c>
      <c r="Q61" s="432">
        <v>0</v>
      </c>
      <c r="R61" s="1">
        <v>7</v>
      </c>
      <c r="S61" s="1">
        <v>10</v>
      </c>
      <c r="T61" s="300">
        <f t="shared" si="7"/>
        <v>237</v>
      </c>
      <c r="U61" s="3"/>
      <c r="V61" s="3"/>
      <c r="W61" s="3"/>
      <c r="X61" s="3"/>
      <c r="Y61" s="3"/>
      <c r="Z61" s="20">
        <f t="shared" si="3"/>
        <v>194</v>
      </c>
      <c r="AA61" s="20">
        <f t="shared" si="8"/>
        <v>8</v>
      </c>
      <c r="AB61" s="20">
        <f t="shared" si="8"/>
        <v>20</v>
      </c>
      <c r="AC61" s="20">
        <f t="shared" si="8"/>
        <v>0</v>
      </c>
      <c r="AD61" s="20">
        <f t="shared" ref="AD61:AF124" si="12">Q61</f>
        <v>0</v>
      </c>
      <c r="AE61" s="20">
        <f t="shared" si="12"/>
        <v>7</v>
      </c>
      <c r="AF61" s="20">
        <f t="shared" si="12"/>
        <v>10</v>
      </c>
      <c r="AG61" s="300">
        <f t="shared" si="4"/>
        <v>239</v>
      </c>
      <c r="AH61" s="42">
        <f t="shared" si="11"/>
        <v>2</v>
      </c>
      <c r="AI61" s="42">
        <f t="shared" si="11"/>
        <v>0</v>
      </c>
      <c r="AJ61" s="42">
        <f t="shared" si="11"/>
        <v>0</v>
      </c>
      <c r="AK61" s="42">
        <f t="shared" si="11"/>
        <v>0</v>
      </c>
      <c r="AL61" s="42">
        <f t="shared" si="11"/>
        <v>0</v>
      </c>
      <c r="AM61" s="42">
        <f t="shared" si="11"/>
        <v>0</v>
      </c>
      <c r="AN61" s="42">
        <f t="shared" si="11"/>
        <v>0</v>
      </c>
      <c r="AO61" s="42">
        <f t="shared" si="10"/>
        <v>2</v>
      </c>
    </row>
    <row r="62" spans="1:41" ht="15.75">
      <c r="A62" s="16">
        <f t="shared" si="5"/>
        <v>59</v>
      </c>
      <c r="B62" s="8">
        <v>747</v>
      </c>
      <c r="C62" s="62" t="s">
        <v>762</v>
      </c>
      <c r="D62" s="63" t="s">
        <v>763</v>
      </c>
      <c r="E62" s="13" t="s">
        <v>294</v>
      </c>
      <c r="F62" s="14" t="s">
        <v>764</v>
      </c>
      <c r="G62" s="429" t="s">
        <v>6473</v>
      </c>
      <c r="H62" s="385">
        <v>30656</v>
      </c>
      <c r="I62" s="383">
        <v>41970</v>
      </c>
      <c r="J62" s="430" t="s">
        <v>6293</v>
      </c>
      <c r="K62" s="366" t="s">
        <v>6083</v>
      </c>
      <c r="L62" s="366" t="s">
        <v>6335</v>
      </c>
      <c r="M62" s="1">
        <v>192</v>
      </c>
      <c r="N62" s="431">
        <f t="shared" si="6"/>
        <v>8</v>
      </c>
      <c r="O62" s="432">
        <v>20</v>
      </c>
      <c r="P62" s="432">
        <v>0</v>
      </c>
      <c r="Q62" s="432">
        <v>0</v>
      </c>
      <c r="R62" s="1">
        <v>7</v>
      </c>
      <c r="S62" s="1">
        <v>10</v>
      </c>
      <c r="T62" s="300">
        <f t="shared" si="7"/>
        <v>237</v>
      </c>
      <c r="U62" s="3"/>
      <c r="V62" s="3"/>
      <c r="W62" s="3"/>
      <c r="X62" s="3"/>
      <c r="Y62" s="3"/>
      <c r="Z62" s="20">
        <f t="shared" si="3"/>
        <v>194</v>
      </c>
      <c r="AA62" s="20">
        <f t="shared" ref="AA62:AF125" si="13">N62</f>
        <v>8</v>
      </c>
      <c r="AB62" s="20">
        <f t="shared" si="13"/>
        <v>20</v>
      </c>
      <c r="AC62" s="20">
        <f t="shared" si="13"/>
        <v>0</v>
      </c>
      <c r="AD62" s="20">
        <f t="shared" si="12"/>
        <v>0</v>
      </c>
      <c r="AE62" s="20">
        <f t="shared" si="12"/>
        <v>7</v>
      </c>
      <c r="AF62" s="20">
        <f t="shared" si="12"/>
        <v>10</v>
      </c>
      <c r="AG62" s="300">
        <f t="shared" si="4"/>
        <v>239</v>
      </c>
      <c r="AH62" s="42">
        <f t="shared" si="11"/>
        <v>2</v>
      </c>
      <c r="AI62" s="42">
        <f t="shared" si="11"/>
        <v>0</v>
      </c>
      <c r="AJ62" s="42">
        <f t="shared" si="11"/>
        <v>0</v>
      </c>
      <c r="AK62" s="42">
        <f t="shared" si="11"/>
        <v>0</v>
      </c>
      <c r="AL62" s="42">
        <f t="shared" si="11"/>
        <v>0</v>
      </c>
      <c r="AM62" s="42">
        <f t="shared" si="11"/>
        <v>0</v>
      </c>
      <c r="AN62" s="42">
        <f t="shared" si="11"/>
        <v>0</v>
      </c>
      <c r="AO62" s="42">
        <f t="shared" si="10"/>
        <v>2</v>
      </c>
    </row>
    <row r="63" spans="1:41" ht="15.75">
      <c r="A63" s="16">
        <f t="shared" si="5"/>
        <v>60</v>
      </c>
      <c r="B63" s="8">
        <v>748</v>
      </c>
      <c r="C63" s="62" t="s">
        <v>489</v>
      </c>
      <c r="D63" s="63" t="s">
        <v>768</v>
      </c>
      <c r="E63" s="13" t="s">
        <v>491</v>
      </c>
      <c r="F63" s="14" t="s">
        <v>769</v>
      </c>
      <c r="G63" s="429" t="s">
        <v>6473</v>
      </c>
      <c r="H63" s="385">
        <v>29710</v>
      </c>
      <c r="I63" s="383">
        <v>41970</v>
      </c>
      <c r="J63" s="430" t="s">
        <v>6293</v>
      </c>
      <c r="K63" s="366" t="s">
        <v>6300</v>
      </c>
      <c r="L63" s="366" t="s">
        <v>6335</v>
      </c>
      <c r="M63" s="1">
        <v>192</v>
      </c>
      <c r="N63" s="431">
        <f t="shared" si="6"/>
        <v>8</v>
      </c>
      <c r="O63" s="432">
        <v>20</v>
      </c>
      <c r="P63" s="432">
        <v>0</v>
      </c>
      <c r="Q63" s="432">
        <v>0</v>
      </c>
      <c r="R63" s="1">
        <v>7</v>
      </c>
      <c r="S63" s="1">
        <v>10</v>
      </c>
      <c r="T63" s="300">
        <f t="shared" si="7"/>
        <v>237</v>
      </c>
      <c r="U63" s="3"/>
      <c r="V63" s="3"/>
      <c r="W63" s="3"/>
      <c r="X63" s="3"/>
      <c r="Y63" s="3"/>
      <c r="Z63" s="20">
        <f t="shared" si="3"/>
        <v>194</v>
      </c>
      <c r="AA63" s="20">
        <f t="shared" si="13"/>
        <v>8</v>
      </c>
      <c r="AB63" s="20">
        <f t="shared" si="13"/>
        <v>20</v>
      </c>
      <c r="AC63" s="20">
        <f t="shared" si="13"/>
        <v>0</v>
      </c>
      <c r="AD63" s="20">
        <f t="shared" si="12"/>
        <v>0</v>
      </c>
      <c r="AE63" s="20">
        <f t="shared" si="12"/>
        <v>7</v>
      </c>
      <c r="AF63" s="20">
        <f t="shared" si="12"/>
        <v>10</v>
      </c>
      <c r="AG63" s="300">
        <f t="shared" si="4"/>
        <v>239</v>
      </c>
      <c r="AH63" s="42">
        <f t="shared" si="11"/>
        <v>2</v>
      </c>
      <c r="AI63" s="42">
        <f t="shared" si="11"/>
        <v>0</v>
      </c>
      <c r="AJ63" s="42">
        <f t="shared" si="11"/>
        <v>0</v>
      </c>
      <c r="AK63" s="42">
        <f t="shared" si="11"/>
        <v>0</v>
      </c>
      <c r="AL63" s="42">
        <f t="shared" si="11"/>
        <v>0</v>
      </c>
      <c r="AM63" s="42">
        <f t="shared" si="11"/>
        <v>0</v>
      </c>
      <c r="AN63" s="42">
        <f t="shared" si="11"/>
        <v>0</v>
      </c>
      <c r="AO63" s="42">
        <f t="shared" si="10"/>
        <v>2</v>
      </c>
    </row>
    <row r="64" spans="1:41" ht="15.75">
      <c r="A64" s="16">
        <f t="shared" si="5"/>
        <v>61</v>
      </c>
      <c r="B64" s="8">
        <v>755</v>
      </c>
      <c r="C64" s="90" t="s">
        <v>774</v>
      </c>
      <c r="D64" s="91" t="s">
        <v>685</v>
      </c>
      <c r="E64" s="24" t="s">
        <v>775</v>
      </c>
      <c r="F64" s="25" t="s">
        <v>776</v>
      </c>
      <c r="G64" s="429" t="s">
        <v>6473</v>
      </c>
      <c r="H64" s="386">
        <v>30942</v>
      </c>
      <c r="I64" s="383">
        <v>41970</v>
      </c>
      <c r="J64" s="430" t="s">
        <v>6293</v>
      </c>
      <c r="K64" s="366" t="s">
        <v>6083</v>
      </c>
      <c r="L64" s="366" t="s">
        <v>6335</v>
      </c>
      <c r="M64" s="1">
        <v>192</v>
      </c>
      <c r="N64" s="431">
        <f t="shared" si="6"/>
        <v>8</v>
      </c>
      <c r="O64" s="432">
        <v>20</v>
      </c>
      <c r="P64" s="432">
        <v>0</v>
      </c>
      <c r="Q64" s="432">
        <v>0</v>
      </c>
      <c r="R64" s="1">
        <v>7</v>
      </c>
      <c r="S64" s="1">
        <v>10</v>
      </c>
      <c r="T64" s="300">
        <f t="shared" si="7"/>
        <v>237</v>
      </c>
      <c r="U64" s="3"/>
      <c r="V64" s="3"/>
      <c r="W64" s="3"/>
      <c r="X64" s="3"/>
      <c r="Y64" s="3"/>
      <c r="Z64" s="20">
        <f t="shared" si="3"/>
        <v>194</v>
      </c>
      <c r="AA64" s="20">
        <f t="shared" si="13"/>
        <v>8</v>
      </c>
      <c r="AB64" s="20">
        <f t="shared" si="13"/>
        <v>20</v>
      </c>
      <c r="AC64" s="20">
        <f t="shared" si="13"/>
        <v>0</v>
      </c>
      <c r="AD64" s="20">
        <f t="shared" si="12"/>
        <v>0</v>
      </c>
      <c r="AE64" s="20">
        <f t="shared" si="12"/>
        <v>7</v>
      </c>
      <c r="AF64" s="20">
        <f t="shared" si="12"/>
        <v>10</v>
      </c>
      <c r="AG64" s="300">
        <f t="shared" si="4"/>
        <v>239</v>
      </c>
      <c r="AH64" s="42">
        <f t="shared" si="11"/>
        <v>2</v>
      </c>
      <c r="AI64" s="42">
        <f t="shared" si="11"/>
        <v>0</v>
      </c>
      <c r="AJ64" s="42">
        <f t="shared" si="11"/>
        <v>0</v>
      </c>
      <c r="AK64" s="42">
        <f t="shared" si="11"/>
        <v>0</v>
      </c>
      <c r="AL64" s="42">
        <f t="shared" si="11"/>
        <v>0</v>
      </c>
      <c r="AM64" s="42">
        <f t="shared" si="11"/>
        <v>0</v>
      </c>
      <c r="AN64" s="42">
        <f t="shared" si="11"/>
        <v>0</v>
      </c>
      <c r="AO64" s="42">
        <f t="shared" si="10"/>
        <v>2</v>
      </c>
    </row>
    <row r="65" spans="1:41" ht="15.75">
      <c r="A65" s="16">
        <f t="shared" si="5"/>
        <v>62</v>
      </c>
      <c r="B65" s="8">
        <v>485</v>
      </c>
      <c r="C65" s="62" t="s">
        <v>718</v>
      </c>
      <c r="D65" s="63" t="s">
        <v>781</v>
      </c>
      <c r="E65" s="13" t="s">
        <v>720</v>
      </c>
      <c r="F65" s="14" t="s">
        <v>782</v>
      </c>
      <c r="G65" s="429" t="s">
        <v>6473</v>
      </c>
      <c r="H65" s="385">
        <v>32876</v>
      </c>
      <c r="I65" s="383">
        <v>41822</v>
      </c>
      <c r="J65" s="430" t="s">
        <v>6293</v>
      </c>
      <c r="K65" s="366" t="s">
        <v>6295</v>
      </c>
      <c r="L65" s="366" t="s">
        <v>6335</v>
      </c>
      <c r="M65" s="1">
        <v>192</v>
      </c>
      <c r="N65" s="431">
        <f t="shared" si="6"/>
        <v>8</v>
      </c>
      <c r="O65" s="432">
        <v>20</v>
      </c>
      <c r="P65" s="432">
        <v>0</v>
      </c>
      <c r="Q65" s="432">
        <v>0</v>
      </c>
      <c r="R65" s="1">
        <v>7</v>
      </c>
      <c r="S65" s="1">
        <v>10</v>
      </c>
      <c r="T65" s="300">
        <f t="shared" si="7"/>
        <v>237</v>
      </c>
      <c r="U65" s="3"/>
      <c r="V65" s="3"/>
      <c r="W65" s="3"/>
      <c r="X65" s="3"/>
      <c r="Y65" s="3"/>
      <c r="Z65" s="20">
        <f t="shared" si="3"/>
        <v>194</v>
      </c>
      <c r="AA65" s="20">
        <f t="shared" si="13"/>
        <v>8</v>
      </c>
      <c r="AB65" s="20">
        <f t="shared" si="13"/>
        <v>20</v>
      </c>
      <c r="AC65" s="20">
        <f t="shared" si="13"/>
        <v>0</v>
      </c>
      <c r="AD65" s="20">
        <f t="shared" si="12"/>
        <v>0</v>
      </c>
      <c r="AE65" s="20">
        <f t="shared" si="12"/>
        <v>7</v>
      </c>
      <c r="AF65" s="20">
        <f t="shared" si="12"/>
        <v>10</v>
      </c>
      <c r="AG65" s="300">
        <f t="shared" si="4"/>
        <v>239</v>
      </c>
      <c r="AH65" s="42">
        <f t="shared" si="11"/>
        <v>2</v>
      </c>
      <c r="AI65" s="42">
        <f t="shared" si="11"/>
        <v>0</v>
      </c>
      <c r="AJ65" s="42">
        <f t="shared" si="11"/>
        <v>0</v>
      </c>
      <c r="AK65" s="42">
        <f t="shared" si="11"/>
        <v>0</v>
      </c>
      <c r="AL65" s="42">
        <f t="shared" si="11"/>
        <v>0</v>
      </c>
      <c r="AM65" s="42">
        <f t="shared" si="11"/>
        <v>0</v>
      </c>
      <c r="AN65" s="42">
        <f t="shared" si="11"/>
        <v>0</v>
      </c>
      <c r="AO65" s="42">
        <f t="shared" si="10"/>
        <v>2</v>
      </c>
    </row>
    <row r="66" spans="1:41" ht="15.75">
      <c r="A66" s="16">
        <f t="shared" si="5"/>
        <v>63</v>
      </c>
      <c r="B66" s="8">
        <v>762</v>
      </c>
      <c r="C66" s="62" t="s">
        <v>786</v>
      </c>
      <c r="D66" s="63" t="s">
        <v>787</v>
      </c>
      <c r="E66" s="13" t="s">
        <v>788</v>
      </c>
      <c r="F66" s="14" t="s">
        <v>789</v>
      </c>
      <c r="G66" s="429" t="s">
        <v>6473</v>
      </c>
      <c r="H66" s="385">
        <v>30440</v>
      </c>
      <c r="I66" s="383">
        <v>41981</v>
      </c>
      <c r="J66" s="430" t="s">
        <v>6293</v>
      </c>
      <c r="K66" s="366" t="s">
        <v>6083</v>
      </c>
      <c r="L66" s="366" t="s">
        <v>6143</v>
      </c>
      <c r="M66" s="1">
        <v>192</v>
      </c>
      <c r="N66" s="431">
        <f t="shared" si="6"/>
        <v>8</v>
      </c>
      <c r="O66" s="432">
        <v>20</v>
      </c>
      <c r="P66" s="432">
        <v>35</v>
      </c>
      <c r="Q66" s="432">
        <v>0</v>
      </c>
      <c r="R66" s="1">
        <v>7</v>
      </c>
      <c r="S66" s="1">
        <v>10</v>
      </c>
      <c r="T66" s="300">
        <f t="shared" si="7"/>
        <v>272</v>
      </c>
      <c r="U66" s="3"/>
      <c r="V66" s="3"/>
      <c r="W66" s="3"/>
      <c r="X66" s="3"/>
      <c r="Y66" s="3"/>
      <c r="Z66" s="20">
        <f t="shared" si="3"/>
        <v>194</v>
      </c>
      <c r="AA66" s="20">
        <f t="shared" si="13"/>
        <v>8</v>
      </c>
      <c r="AB66" s="20">
        <f t="shared" si="13"/>
        <v>20</v>
      </c>
      <c r="AC66" s="20">
        <f t="shared" si="13"/>
        <v>35</v>
      </c>
      <c r="AD66" s="20">
        <f t="shared" si="12"/>
        <v>0</v>
      </c>
      <c r="AE66" s="20">
        <f t="shared" si="12"/>
        <v>7</v>
      </c>
      <c r="AF66" s="20">
        <f t="shared" si="12"/>
        <v>10</v>
      </c>
      <c r="AG66" s="300">
        <f t="shared" si="4"/>
        <v>274</v>
      </c>
      <c r="AH66" s="42">
        <f t="shared" si="11"/>
        <v>2</v>
      </c>
      <c r="AI66" s="42">
        <f t="shared" si="11"/>
        <v>0</v>
      </c>
      <c r="AJ66" s="42">
        <f t="shared" si="11"/>
        <v>0</v>
      </c>
      <c r="AK66" s="42">
        <f t="shared" si="11"/>
        <v>0</v>
      </c>
      <c r="AL66" s="42">
        <f t="shared" si="11"/>
        <v>0</v>
      </c>
      <c r="AM66" s="42">
        <f t="shared" si="11"/>
        <v>0</v>
      </c>
      <c r="AN66" s="42">
        <f t="shared" si="11"/>
        <v>0</v>
      </c>
      <c r="AO66" s="42">
        <f t="shared" si="10"/>
        <v>2</v>
      </c>
    </row>
    <row r="67" spans="1:41" ht="15.75">
      <c r="A67" s="16">
        <f t="shared" si="5"/>
        <v>64</v>
      </c>
      <c r="B67" s="8">
        <v>835</v>
      </c>
      <c r="C67" s="90" t="s">
        <v>809</v>
      </c>
      <c r="D67" s="91" t="s">
        <v>810</v>
      </c>
      <c r="E67" s="24" t="s">
        <v>811</v>
      </c>
      <c r="F67" s="25" t="s">
        <v>812</v>
      </c>
      <c r="G67" s="429" t="s">
        <v>6473</v>
      </c>
      <c r="H67" s="386">
        <v>35014</v>
      </c>
      <c r="I67" s="383">
        <v>42047</v>
      </c>
      <c r="J67" s="430" t="s">
        <v>6293</v>
      </c>
      <c r="K67" s="366" t="s">
        <v>6125</v>
      </c>
      <c r="L67" s="366" t="s">
        <v>6339</v>
      </c>
      <c r="M67" s="1">
        <v>192</v>
      </c>
      <c r="N67" s="431">
        <f t="shared" si="6"/>
        <v>7</v>
      </c>
      <c r="O67" s="432">
        <v>20</v>
      </c>
      <c r="P67" s="432">
        <v>0</v>
      </c>
      <c r="Q67" s="432">
        <v>0</v>
      </c>
      <c r="R67" s="1">
        <v>7</v>
      </c>
      <c r="S67" s="1">
        <v>10</v>
      </c>
      <c r="T67" s="300">
        <f t="shared" si="7"/>
        <v>236</v>
      </c>
      <c r="U67" s="3"/>
      <c r="V67" s="3"/>
      <c r="W67" s="3"/>
      <c r="X67" s="3"/>
      <c r="Y67" s="3"/>
      <c r="Z67" s="20">
        <f t="shared" si="3"/>
        <v>194</v>
      </c>
      <c r="AA67" s="20">
        <f t="shared" si="13"/>
        <v>7</v>
      </c>
      <c r="AB67" s="20">
        <f t="shared" si="13"/>
        <v>20</v>
      </c>
      <c r="AC67" s="20">
        <f t="shared" si="13"/>
        <v>0</v>
      </c>
      <c r="AD67" s="20">
        <f t="shared" si="12"/>
        <v>0</v>
      </c>
      <c r="AE67" s="20">
        <f t="shared" si="12"/>
        <v>7</v>
      </c>
      <c r="AF67" s="20">
        <f t="shared" si="12"/>
        <v>10</v>
      </c>
      <c r="AG67" s="300">
        <f t="shared" si="4"/>
        <v>238</v>
      </c>
      <c r="AH67" s="42">
        <f t="shared" si="11"/>
        <v>2</v>
      </c>
      <c r="AI67" s="42">
        <f t="shared" si="11"/>
        <v>0</v>
      </c>
      <c r="AJ67" s="42">
        <f t="shared" si="11"/>
        <v>0</v>
      </c>
      <c r="AK67" s="42">
        <f t="shared" si="11"/>
        <v>0</v>
      </c>
      <c r="AL67" s="42">
        <f t="shared" si="11"/>
        <v>0</v>
      </c>
      <c r="AM67" s="42">
        <f t="shared" si="11"/>
        <v>0</v>
      </c>
      <c r="AN67" s="42">
        <f t="shared" si="11"/>
        <v>0</v>
      </c>
      <c r="AO67" s="42">
        <f t="shared" si="10"/>
        <v>2</v>
      </c>
    </row>
    <row r="68" spans="1:41" ht="15.75">
      <c r="A68" s="16">
        <f t="shared" si="5"/>
        <v>65</v>
      </c>
      <c r="B68" s="8">
        <v>826</v>
      </c>
      <c r="C68" s="90" t="s">
        <v>817</v>
      </c>
      <c r="D68" s="91" t="s">
        <v>818</v>
      </c>
      <c r="E68" s="24" t="s">
        <v>819</v>
      </c>
      <c r="F68" s="25" t="s">
        <v>820</v>
      </c>
      <c r="G68" s="429" t="s">
        <v>6473</v>
      </c>
      <c r="H68" s="386">
        <v>32982</v>
      </c>
      <c r="I68" s="383">
        <v>42045</v>
      </c>
      <c r="J68" s="430" t="s">
        <v>6293</v>
      </c>
      <c r="K68" s="366" t="s">
        <v>6298</v>
      </c>
      <c r="L68" s="366" t="s">
        <v>6335</v>
      </c>
      <c r="M68" s="1">
        <v>192</v>
      </c>
      <c r="N68" s="431">
        <f t="shared" si="6"/>
        <v>7</v>
      </c>
      <c r="O68" s="432">
        <v>20</v>
      </c>
      <c r="P68" s="432">
        <v>0</v>
      </c>
      <c r="Q68" s="432">
        <v>0</v>
      </c>
      <c r="R68" s="1">
        <v>7</v>
      </c>
      <c r="S68" s="1">
        <v>10</v>
      </c>
      <c r="T68" s="300">
        <f t="shared" si="7"/>
        <v>236</v>
      </c>
      <c r="U68" s="3"/>
      <c r="V68" s="3"/>
      <c r="W68" s="3"/>
      <c r="X68" s="3"/>
      <c r="Y68" s="3"/>
      <c r="Z68" s="20">
        <f t="shared" si="3"/>
        <v>194</v>
      </c>
      <c r="AA68" s="20">
        <f t="shared" si="13"/>
        <v>7</v>
      </c>
      <c r="AB68" s="20">
        <f t="shared" si="13"/>
        <v>20</v>
      </c>
      <c r="AC68" s="20">
        <f t="shared" si="13"/>
        <v>0</v>
      </c>
      <c r="AD68" s="20">
        <f t="shared" si="12"/>
        <v>0</v>
      </c>
      <c r="AE68" s="20">
        <f t="shared" si="12"/>
        <v>7</v>
      </c>
      <c r="AF68" s="20">
        <f t="shared" si="12"/>
        <v>10</v>
      </c>
      <c r="AG68" s="300">
        <f t="shared" si="4"/>
        <v>238</v>
      </c>
      <c r="AH68" s="42">
        <f t="shared" si="11"/>
        <v>2</v>
      </c>
      <c r="AI68" s="42">
        <f t="shared" si="11"/>
        <v>0</v>
      </c>
      <c r="AJ68" s="42">
        <f t="shared" si="11"/>
        <v>0</v>
      </c>
      <c r="AK68" s="42">
        <f t="shared" si="11"/>
        <v>0</v>
      </c>
      <c r="AL68" s="42">
        <f t="shared" si="11"/>
        <v>0</v>
      </c>
      <c r="AM68" s="42">
        <f t="shared" si="11"/>
        <v>0</v>
      </c>
      <c r="AN68" s="42">
        <f t="shared" si="11"/>
        <v>0</v>
      </c>
      <c r="AO68" s="42">
        <f t="shared" si="10"/>
        <v>2</v>
      </c>
    </row>
    <row r="69" spans="1:41" ht="15.75">
      <c r="A69" s="16">
        <f t="shared" si="5"/>
        <v>66</v>
      </c>
      <c r="B69" s="8">
        <v>825</v>
      </c>
      <c r="C69" s="90" t="s">
        <v>832</v>
      </c>
      <c r="D69" s="91" t="s">
        <v>833</v>
      </c>
      <c r="E69" s="24" t="s">
        <v>834</v>
      </c>
      <c r="F69" s="25" t="s">
        <v>835</v>
      </c>
      <c r="G69" s="429" t="s">
        <v>6473</v>
      </c>
      <c r="H69" s="386">
        <v>34227</v>
      </c>
      <c r="I69" s="383">
        <v>42044</v>
      </c>
      <c r="J69" s="430" t="s">
        <v>6293</v>
      </c>
      <c r="K69" s="366" t="s">
        <v>6304</v>
      </c>
      <c r="L69" s="366" t="s">
        <v>6335</v>
      </c>
      <c r="M69" s="1">
        <v>192</v>
      </c>
      <c r="N69" s="431">
        <f t="shared" si="6"/>
        <v>7</v>
      </c>
      <c r="O69" s="432">
        <v>20</v>
      </c>
      <c r="P69" s="432">
        <v>0</v>
      </c>
      <c r="Q69" s="432">
        <v>0</v>
      </c>
      <c r="R69" s="1">
        <v>7</v>
      </c>
      <c r="S69" s="1">
        <v>10</v>
      </c>
      <c r="T69" s="300">
        <f t="shared" si="7"/>
        <v>236</v>
      </c>
      <c r="U69" s="3"/>
      <c r="V69" s="3"/>
      <c r="W69" s="3"/>
      <c r="X69" s="3"/>
      <c r="Y69" s="3"/>
      <c r="Z69" s="20">
        <f t="shared" si="3"/>
        <v>194</v>
      </c>
      <c r="AA69" s="20">
        <f t="shared" si="13"/>
        <v>7</v>
      </c>
      <c r="AB69" s="20">
        <f t="shared" si="13"/>
        <v>20</v>
      </c>
      <c r="AC69" s="20">
        <f t="shared" si="13"/>
        <v>0</v>
      </c>
      <c r="AD69" s="20">
        <f t="shared" si="12"/>
        <v>0</v>
      </c>
      <c r="AE69" s="20">
        <f t="shared" si="12"/>
        <v>7</v>
      </c>
      <c r="AF69" s="20">
        <f t="shared" si="12"/>
        <v>10</v>
      </c>
      <c r="AG69" s="300">
        <f t="shared" si="4"/>
        <v>238</v>
      </c>
      <c r="AH69" s="42">
        <f t="shared" si="11"/>
        <v>2</v>
      </c>
      <c r="AI69" s="42">
        <f t="shared" si="11"/>
        <v>0</v>
      </c>
      <c r="AJ69" s="42">
        <f t="shared" si="11"/>
        <v>0</v>
      </c>
      <c r="AK69" s="42">
        <f t="shared" si="11"/>
        <v>0</v>
      </c>
      <c r="AL69" s="42">
        <f t="shared" si="11"/>
        <v>0</v>
      </c>
      <c r="AM69" s="42">
        <f t="shared" si="11"/>
        <v>0</v>
      </c>
      <c r="AN69" s="42">
        <f t="shared" si="11"/>
        <v>0</v>
      </c>
      <c r="AO69" s="42">
        <f t="shared" si="10"/>
        <v>2</v>
      </c>
    </row>
    <row r="70" spans="1:41" ht="15.75">
      <c r="A70" s="16">
        <f t="shared" si="5"/>
        <v>67</v>
      </c>
      <c r="B70" s="8">
        <v>854</v>
      </c>
      <c r="C70" s="90" t="s">
        <v>841</v>
      </c>
      <c r="D70" s="91" t="s">
        <v>842</v>
      </c>
      <c r="E70" s="24" t="s">
        <v>843</v>
      </c>
      <c r="F70" s="25" t="s">
        <v>844</v>
      </c>
      <c r="G70" s="429" t="s">
        <v>6473</v>
      </c>
      <c r="H70" s="386">
        <v>31663</v>
      </c>
      <c r="I70" s="383">
        <v>42074</v>
      </c>
      <c r="J70" s="430" t="s">
        <v>6293</v>
      </c>
      <c r="K70" s="366" t="s">
        <v>6295</v>
      </c>
      <c r="L70" s="366" t="s">
        <v>6335</v>
      </c>
      <c r="M70" s="1">
        <v>192</v>
      </c>
      <c r="N70" s="431">
        <f t="shared" si="6"/>
        <v>7</v>
      </c>
      <c r="O70" s="432">
        <v>20</v>
      </c>
      <c r="P70" s="432">
        <v>0</v>
      </c>
      <c r="Q70" s="432">
        <v>0</v>
      </c>
      <c r="R70" s="1">
        <v>7</v>
      </c>
      <c r="S70" s="1">
        <v>10</v>
      </c>
      <c r="T70" s="300">
        <f t="shared" si="7"/>
        <v>236</v>
      </c>
      <c r="U70" s="3"/>
      <c r="V70" s="3"/>
      <c r="W70" s="3"/>
      <c r="X70" s="3"/>
      <c r="Y70" s="3"/>
      <c r="Z70" s="20">
        <f t="shared" si="3"/>
        <v>194</v>
      </c>
      <c r="AA70" s="20">
        <f t="shared" si="13"/>
        <v>7</v>
      </c>
      <c r="AB70" s="20">
        <f t="shared" si="13"/>
        <v>20</v>
      </c>
      <c r="AC70" s="20">
        <f t="shared" si="13"/>
        <v>0</v>
      </c>
      <c r="AD70" s="20">
        <f t="shared" si="12"/>
        <v>0</v>
      </c>
      <c r="AE70" s="20">
        <f t="shared" si="12"/>
        <v>7</v>
      </c>
      <c r="AF70" s="20">
        <f t="shared" si="12"/>
        <v>10</v>
      </c>
      <c r="AG70" s="300">
        <f t="shared" si="4"/>
        <v>238</v>
      </c>
      <c r="AH70" s="42">
        <f t="shared" si="11"/>
        <v>2</v>
      </c>
      <c r="AI70" s="42">
        <f t="shared" si="11"/>
        <v>0</v>
      </c>
      <c r="AJ70" s="42">
        <f t="shared" si="11"/>
        <v>0</v>
      </c>
      <c r="AK70" s="42">
        <f t="shared" si="11"/>
        <v>0</v>
      </c>
      <c r="AL70" s="42">
        <f t="shared" si="11"/>
        <v>0</v>
      </c>
      <c r="AM70" s="42">
        <f t="shared" si="11"/>
        <v>0</v>
      </c>
      <c r="AN70" s="42">
        <f t="shared" si="11"/>
        <v>0</v>
      </c>
      <c r="AO70" s="42">
        <f t="shared" si="10"/>
        <v>2</v>
      </c>
    </row>
    <row r="71" spans="1:41" ht="15.75">
      <c r="A71" s="16">
        <f t="shared" si="5"/>
        <v>68</v>
      </c>
      <c r="B71" s="8">
        <v>839</v>
      </c>
      <c r="C71" s="90" t="s">
        <v>854</v>
      </c>
      <c r="D71" s="91" t="s">
        <v>855</v>
      </c>
      <c r="E71" s="24" t="s">
        <v>856</v>
      </c>
      <c r="F71" s="25" t="s">
        <v>857</v>
      </c>
      <c r="G71" s="429" t="s">
        <v>6473</v>
      </c>
      <c r="H71" s="386">
        <v>31455</v>
      </c>
      <c r="I71" s="383">
        <v>42066</v>
      </c>
      <c r="J71" s="430" t="s">
        <v>6293</v>
      </c>
      <c r="K71" s="366" t="s">
        <v>6083</v>
      </c>
      <c r="L71" s="366" t="s">
        <v>6335</v>
      </c>
      <c r="M71" s="1">
        <v>192</v>
      </c>
      <c r="N71" s="431">
        <f t="shared" si="6"/>
        <v>7</v>
      </c>
      <c r="O71" s="432">
        <v>20</v>
      </c>
      <c r="P71" s="432">
        <v>0</v>
      </c>
      <c r="Q71" s="432">
        <v>0</v>
      </c>
      <c r="R71" s="1">
        <v>7</v>
      </c>
      <c r="S71" s="1">
        <v>10</v>
      </c>
      <c r="T71" s="300">
        <f t="shared" si="7"/>
        <v>236</v>
      </c>
      <c r="U71" s="3"/>
      <c r="V71" s="3"/>
      <c r="W71" s="3"/>
      <c r="X71" s="3"/>
      <c r="Y71" s="3"/>
      <c r="Z71" s="20">
        <f t="shared" ref="Z71:Z134" si="14">M71+2</f>
        <v>194</v>
      </c>
      <c r="AA71" s="20">
        <f t="shared" si="13"/>
        <v>7</v>
      </c>
      <c r="AB71" s="20">
        <f t="shared" si="13"/>
        <v>20</v>
      </c>
      <c r="AC71" s="20">
        <f t="shared" si="13"/>
        <v>0</v>
      </c>
      <c r="AD71" s="20">
        <f t="shared" si="12"/>
        <v>0</v>
      </c>
      <c r="AE71" s="20">
        <f t="shared" si="12"/>
        <v>7</v>
      </c>
      <c r="AF71" s="20">
        <f t="shared" si="12"/>
        <v>10</v>
      </c>
      <c r="AG71" s="300">
        <f t="shared" ref="AG71:AG134" si="15">SUM(Z71:AF71)</f>
        <v>238</v>
      </c>
      <c r="AH71" s="42">
        <f t="shared" si="11"/>
        <v>2</v>
      </c>
      <c r="AI71" s="42">
        <f t="shared" si="11"/>
        <v>0</v>
      </c>
      <c r="AJ71" s="42">
        <f t="shared" si="11"/>
        <v>0</v>
      </c>
      <c r="AK71" s="42">
        <f t="shared" si="11"/>
        <v>0</v>
      </c>
      <c r="AL71" s="42">
        <f t="shared" si="11"/>
        <v>0</v>
      </c>
      <c r="AM71" s="42">
        <f t="shared" si="11"/>
        <v>0</v>
      </c>
      <c r="AN71" s="42">
        <f t="shared" si="11"/>
        <v>0</v>
      </c>
      <c r="AO71" s="42">
        <f t="shared" si="10"/>
        <v>2</v>
      </c>
    </row>
    <row r="72" spans="1:41" ht="15.75">
      <c r="A72" s="16">
        <f t="shared" si="5"/>
        <v>69</v>
      </c>
      <c r="B72" s="8">
        <v>840</v>
      </c>
      <c r="C72" s="62" t="s">
        <v>670</v>
      </c>
      <c r="D72" s="63" t="s">
        <v>862</v>
      </c>
      <c r="E72" s="13" t="s">
        <v>672</v>
      </c>
      <c r="F72" s="14" t="s">
        <v>863</v>
      </c>
      <c r="G72" s="429" t="s">
        <v>6473</v>
      </c>
      <c r="H72" s="385">
        <v>29222</v>
      </c>
      <c r="I72" s="383">
        <v>42066</v>
      </c>
      <c r="J72" s="430" t="s">
        <v>6293</v>
      </c>
      <c r="K72" s="366" t="s">
        <v>6299</v>
      </c>
      <c r="L72" s="366" t="s">
        <v>6335</v>
      </c>
      <c r="M72" s="1">
        <v>192</v>
      </c>
      <c r="N72" s="431">
        <f t="shared" ref="N72:N135" si="16">ROUNDDOWN(INT($N$1-I72-16)/365,0)+1</f>
        <v>7</v>
      </c>
      <c r="O72" s="432">
        <v>20</v>
      </c>
      <c r="P72" s="432">
        <v>0</v>
      </c>
      <c r="Q72" s="432">
        <v>0</v>
      </c>
      <c r="R72" s="1">
        <v>7</v>
      </c>
      <c r="S72" s="1">
        <v>10</v>
      </c>
      <c r="T72" s="300">
        <f t="shared" ref="T72:T135" si="17">SUM(M72:S72)</f>
        <v>236</v>
      </c>
      <c r="U72" s="3"/>
      <c r="V72" s="3"/>
      <c r="W72" s="3"/>
      <c r="X72" s="3"/>
      <c r="Y72" s="3"/>
      <c r="Z72" s="20">
        <f t="shared" si="14"/>
        <v>194</v>
      </c>
      <c r="AA72" s="20">
        <f t="shared" si="13"/>
        <v>7</v>
      </c>
      <c r="AB72" s="20">
        <f t="shared" si="13"/>
        <v>20</v>
      </c>
      <c r="AC72" s="20">
        <f t="shared" si="13"/>
        <v>0</v>
      </c>
      <c r="AD72" s="20">
        <f t="shared" si="12"/>
        <v>0</v>
      </c>
      <c r="AE72" s="20">
        <f t="shared" si="12"/>
        <v>7</v>
      </c>
      <c r="AF72" s="20">
        <f t="shared" si="12"/>
        <v>10</v>
      </c>
      <c r="AG72" s="300">
        <f t="shared" si="15"/>
        <v>238</v>
      </c>
      <c r="AH72" s="42">
        <f t="shared" si="11"/>
        <v>2</v>
      </c>
      <c r="AI72" s="42">
        <f t="shared" si="11"/>
        <v>0</v>
      </c>
      <c r="AJ72" s="42">
        <f t="shared" si="11"/>
        <v>0</v>
      </c>
      <c r="AK72" s="42">
        <f t="shared" si="11"/>
        <v>0</v>
      </c>
      <c r="AL72" s="42">
        <f t="shared" si="11"/>
        <v>0</v>
      </c>
      <c r="AM72" s="42">
        <f t="shared" si="11"/>
        <v>0</v>
      </c>
      <c r="AN72" s="42">
        <f t="shared" si="11"/>
        <v>0</v>
      </c>
      <c r="AO72" s="42">
        <f t="shared" si="10"/>
        <v>2</v>
      </c>
    </row>
    <row r="73" spans="1:41" ht="15.75">
      <c r="A73" s="16">
        <f t="shared" ref="A73:A136" si="18">1+A72</f>
        <v>70</v>
      </c>
      <c r="B73" s="8">
        <v>843</v>
      </c>
      <c r="C73" s="62" t="s">
        <v>868</v>
      </c>
      <c r="D73" s="63" t="s">
        <v>869</v>
      </c>
      <c r="E73" s="13" t="s">
        <v>870</v>
      </c>
      <c r="F73" s="14" t="s">
        <v>871</v>
      </c>
      <c r="G73" s="429" t="s">
        <v>6473</v>
      </c>
      <c r="H73" s="385">
        <v>34586</v>
      </c>
      <c r="I73" s="383">
        <v>42066</v>
      </c>
      <c r="J73" s="430" t="s">
        <v>6293</v>
      </c>
      <c r="K73" s="366" t="s">
        <v>6298</v>
      </c>
      <c r="L73" s="366" t="s">
        <v>6335</v>
      </c>
      <c r="M73" s="1">
        <v>192</v>
      </c>
      <c r="N73" s="431">
        <f t="shared" si="16"/>
        <v>7</v>
      </c>
      <c r="O73" s="432">
        <v>20</v>
      </c>
      <c r="P73" s="432">
        <v>0</v>
      </c>
      <c r="Q73" s="432">
        <v>0</v>
      </c>
      <c r="R73" s="1">
        <v>7</v>
      </c>
      <c r="S73" s="1">
        <v>10</v>
      </c>
      <c r="T73" s="300">
        <f t="shared" si="17"/>
        <v>236</v>
      </c>
      <c r="U73" s="3"/>
      <c r="V73" s="3"/>
      <c r="W73" s="3"/>
      <c r="X73" s="3"/>
      <c r="Y73" s="3"/>
      <c r="Z73" s="20">
        <f t="shared" si="14"/>
        <v>194</v>
      </c>
      <c r="AA73" s="20">
        <f t="shared" si="13"/>
        <v>7</v>
      </c>
      <c r="AB73" s="20">
        <f t="shared" si="13"/>
        <v>20</v>
      </c>
      <c r="AC73" s="20">
        <f t="shared" si="13"/>
        <v>0</v>
      </c>
      <c r="AD73" s="20">
        <f t="shared" si="12"/>
        <v>0</v>
      </c>
      <c r="AE73" s="20">
        <f t="shared" si="12"/>
        <v>7</v>
      </c>
      <c r="AF73" s="20">
        <f t="shared" si="12"/>
        <v>10</v>
      </c>
      <c r="AG73" s="300">
        <f t="shared" si="15"/>
        <v>238</v>
      </c>
      <c r="AH73" s="42">
        <f t="shared" si="11"/>
        <v>2</v>
      </c>
      <c r="AI73" s="42">
        <f t="shared" si="11"/>
        <v>0</v>
      </c>
      <c r="AJ73" s="42">
        <f t="shared" si="11"/>
        <v>0</v>
      </c>
      <c r="AK73" s="42">
        <f t="shared" si="11"/>
        <v>0</v>
      </c>
      <c r="AL73" s="42">
        <f t="shared" si="11"/>
        <v>0</v>
      </c>
      <c r="AM73" s="42">
        <f t="shared" si="11"/>
        <v>0</v>
      </c>
      <c r="AN73" s="42">
        <f t="shared" si="11"/>
        <v>0</v>
      </c>
      <c r="AO73" s="42">
        <f t="shared" si="10"/>
        <v>2</v>
      </c>
    </row>
    <row r="74" spans="1:41" ht="15.75">
      <c r="A74" s="16">
        <f t="shared" si="18"/>
        <v>71</v>
      </c>
      <c r="B74" s="8">
        <v>844</v>
      </c>
      <c r="C74" s="62" t="s">
        <v>876</v>
      </c>
      <c r="D74" s="63" t="s">
        <v>737</v>
      </c>
      <c r="E74" s="13" t="s">
        <v>877</v>
      </c>
      <c r="F74" s="14" t="s">
        <v>878</v>
      </c>
      <c r="G74" s="429" t="s">
        <v>6473</v>
      </c>
      <c r="H74" s="385">
        <v>29292</v>
      </c>
      <c r="I74" s="383">
        <v>42067</v>
      </c>
      <c r="J74" s="430" t="s">
        <v>6293</v>
      </c>
      <c r="K74" s="366" t="s">
        <v>6302</v>
      </c>
      <c r="L74" s="366" t="s">
        <v>6335</v>
      </c>
      <c r="M74" s="1">
        <v>192</v>
      </c>
      <c r="N74" s="431">
        <f t="shared" si="16"/>
        <v>7</v>
      </c>
      <c r="O74" s="432">
        <v>20</v>
      </c>
      <c r="P74" s="432">
        <v>0</v>
      </c>
      <c r="Q74" s="432">
        <v>0</v>
      </c>
      <c r="R74" s="1">
        <v>7</v>
      </c>
      <c r="S74" s="1">
        <v>10</v>
      </c>
      <c r="T74" s="300">
        <f t="shared" si="17"/>
        <v>236</v>
      </c>
      <c r="U74" s="3"/>
      <c r="V74" s="3"/>
      <c r="W74" s="3"/>
      <c r="X74" s="3"/>
      <c r="Y74" s="3"/>
      <c r="Z74" s="20">
        <f t="shared" si="14"/>
        <v>194</v>
      </c>
      <c r="AA74" s="20">
        <f t="shared" si="13"/>
        <v>7</v>
      </c>
      <c r="AB74" s="20">
        <f t="shared" si="13"/>
        <v>20</v>
      </c>
      <c r="AC74" s="20">
        <f t="shared" si="13"/>
        <v>0</v>
      </c>
      <c r="AD74" s="20">
        <f t="shared" si="12"/>
        <v>0</v>
      </c>
      <c r="AE74" s="20">
        <f t="shared" si="12"/>
        <v>7</v>
      </c>
      <c r="AF74" s="20">
        <f t="shared" si="12"/>
        <v>10</v>
      </c>
      <c r="AG74" s="300">
        <f t="shared" si="15"/>
        <v>238</v>
      </c>
      <c r="AH74" s="42">
        <f t="shared" si="11"/>
        <v>2</v>
      </c>
      <c r="AI74" s="42">
        <f t="shared" si="11"/>
        <v>0</v>
      </c>
      <c r="AJ74" s="42">
        <f t="shared" si="11"/>
        <v>0</v>
      </c>
      <c r="AK74" s="42">
        <f t="shared" si="11"/>
        <v>0</v>
      </c>
      <c r="AL74" s="42">
        <f t="shared" si="11"/>
        <v>0</v>
      </c>
      <c r="AM74" s="42">
        <f t="shared" si="11"/>
        <v>0</v>
      </c>
      <c r="AN74" s="42">
        <f t="shared" si="11"/>
        <v>0</v>
      </c>
      <c r="AO74" s="42">
        <f t="shared" si="10"/>
        <v>2</v>
      </c>
    </row>
    <row r="75" spans="1:41" ht="15.75">
      <c r="A75" s="16">
        <f t="shared" si="18"/>
        <v>72</v>
      </c>
      <c r="B75" s="8">
        <v>855</v>
      </c>
      <c r="C75" s="62" t="s">
        <v>884</v>
      </c>
      <c r="D75" s="63" t="s">
        <v>885</v>
      </c>
      <c r="E75" s="13" t="s">
        <v>886</v>
      </c>
      <c r="F75" s="14" t="s">
        <v>887</v>
      </c>
      <c r="G75" s="429" t="s">
        <v>6473</v>
      </c>
      <c r="H75" s="385">
        <v>30777</v>
      </c>
      <c r="I75" s="383">
        <v>42074</v>
      </c>
      <c r="J75" s="430" t="s">
        <v>6293</v>
      </c>
      <c r="K75" s="366" t="s">
        <v>6304</v>
      </c>
      <c r="L75" s="366" t="s">
        <v>6335</v>
      </c>
      <c r="M75" s="1">
        <v>192</v>
      </c>
      <c r="N75" s="431">
        <f t="shared" si="16"/>
        <v>7</v>
      </c>
      <c r="O75" s="432">
        <v>20</v>
      </c>
      <c r="P75" s="432">
        <v>0</v>
      </c>
      <c r="Q75" s="432">
        <v>0</v>
      </c>
      <c r="R75" s="1">
        <v>7</v>
      </c>
      <c r="S75" s="1">
        <v>10</v>
      </c>
      <c r="T75" s="300">
        <f t="shared" si="17"/>
        <v>236</v>
      </c>
      <c r="U75" s="3"/>
      <c r="V75" s="3"/>
      <c r="W75" s="3"/>
      <c r="X75" s="3"/>
      <c r="Y75" s="3"/>
      <c r="Z75" s="20">
        <f t="shared" si="14"/>
        <v>194</v>
      </c>
      <c r="AA75" s="20">
        <f t="shared" si="13"/>
        <v>7</v>
      </c>
      <c r="AB75" s="20">
        <f t="shared" si="13"/>
        <v>20</v>
      </c>
      <c r="AC75" s="20">
        <f t="shared" si="13"/>
        <v>0</v>
      </c>
      <c r="AD75" s="20">
        <f t="shared" si="12"/>
        <v>0</v>
      </c>
      <c r="AE75" s="20">
        <f t="shared" si="12"/>
        <v>7</v>
      </c>
      <c r="AF75" s="20">
        <f t="shared" si="12"/>
        <v>10</v>
      </c>
      <c r="AG75" s="300">
        <f t="shared" si="15"/>
        <v>238</v>
      </c>
      <c r="AH75" s="42">
        <f t="shared" si="11"/>
        <v>2</v>
      </c>
      <c r="AI75" s="42">
        <f t="shared" si="11"/>
        <v>0</v>
      </c>
      <c r="AJ75" s="42">
        <f t="shared" si="11"/>
        <v>0</v>
      </c>
      <c r="AK75" s="42">
        <f t="shared" si="11"/>
        <v>0</v>
      </c>
      <c r="AL75" s="42">
        <f t="shared" si="11"/>
        <v>0</v>
      </c>
      <c r="AM75" s="42">
        <f t="shared" si="11"/>
        <v>0</v>
      </c>
      <c r="AN75" s="42">
        <f t="shared" si="11"/>
        <v>0</v>
      </c>
      <c r="AO75" s="42">
        <f t="shared" si="10"/>
        <v>2</v>
      </c>
    </row>
    <row r="76" spans="1:41" ht="15.75">
      <c r="A76" s="16">
        <f t="shared" si="18"/>
        <v>73</v>
      </c>
      <c r="B76" s="8">
        <v>873</v>
      </c>
      <c r="C76" s="62" t="s">
        <v>891</v>
      </c>
      <c r="D76" s="63" t="s">
        <v>892</v>
      </c>
      <c r="E76" s="13" t="s">
        <v>893</v>
      </c>
      <c r="F76" s="14" t="s">
        <v>894</v>
      </c>
      <c r="G76" s="429" t="s">
        <v>6473</v>
      </c>
      <c r="H76" s="385">
        <v>27580</v>
      </c>
      <c r="I76" s="383">
        <v>42086</v>
      </c>
      <c r="J76" s="430" t="s">
        <v>6293</v>
      </c>
      <c r="K76" s="366" t="s">
        <v>6298</v>
      </c>
      <c r="L76" s="366" t="s">
        <v>6335</v>
      </c>
      <c r="M76" s="1">
        <v>192</v>
      </c>
      <c r="N76" s="431">
        <f t="shared" si="16"/>
        <v>7</v>
      </c>
      <c r="O76" s="432">
        <v>20</v>
      </c>
      <c r="P76" s="432">
        <v>0</v>
      </c>
      <c r="Q76" s="432">
        <v>0</v>
      </c>
      <c r="R76" s="1">
        <v>7</v>
      </c>
      <c r="S76" s="1">
        <v>10</v>
      </c>
      <c r="T76" s="300">
        <f t="shared" si="17"/>
        <v>236</v>
      </c>
      <c r="U76" s="3"/>
      <c r="V76" s="3"/>
      <c r="W76" s="3"/>
      <c r="X76" s="3"/>
      <c r="Y76" s="3"/>
      <c r="Z76" s="20">
        <f t="shared" si="14"/>
        <v>194</v>
      </c>
      <c r="AA76" s="20">
        <f t="shared" si="13"/>
        <v>7</v>
      </c>
      <c r="AB76" s="20">
        <f t="shared" si="13"/>
        <v>20</v>
      </c>
      <c r="AC76" s="20">
        <f t="shared" si="13"/>
        <v>0</v>
      </c>
      <c r="AD76" s="20">
        <f t="shared" si="12"/>
        <v>0</v>
      </c>
      <c r="AE76" s="20">
        <f t="shared" si="12"/>
        <v>7</v>
      </c>
      <c r="AF76" s="20">
        <f t="shared" si="12"/>
        <v>10</v>
      </c>
      <c r="AG76" s="300">
        <f t="shared" si="15"/>
        <v>238</v>
      </c>
      <c r="AH76" s="42">
        <f t="shared" si="11"/>
        <v>2</v>
      </c>
      <c r="AI76" s="42">
        <f t="shared" si="11"/>
        <v>0</v>
      </c>
      <c r="AJ76" s="42">
        <f t="shared" si="11"/>
        <v>0</v>
      </c>
      <c r="AK76" s="42">
        <f t="shared" si="11"/>
        <v>0</v>
      </c>
      <c r="AL76" s="42">
        <f t="shared" si="11"/>
        <v>0</v>
      </c>
      <c r="AM76" s="42">
        <f t="shared" si="11"/>
        <v>0</v>
      </c>
      <c r="AN76" s="42">
        <f t="shared" si="11"/>
        <v>0</v>
      </c>
      <c r="AO76" s="42">
        <f t="shared" si="10"/>
        <v>2</v>
      </c>
    </row>
    <row r="77" spans="1:41" ht="15.75">
      <c r="A77" s="16">
        <f t="shared" si="18"/>
        <v>74</v>
      </c>
      <c r="B77" s="8">
        <v>884</v>
      </c>
      <c r="C77" s="62" t="s">
        <v>899</v>
      </c>
      <c r="D77" s="63" t="s">
        <v>900</v>
      </c>
      <c r="E77" s="13" t="s">
        <v>901</v>
      </c>
      <c r="F77" s="14" t="s">
        <v>902</v>
      </c>
      <c r="G77" s="429" t="s">
        <v>6473</v>
      </c>
      <c r="H77" s="385">
        <v>29714</v>
      </c>
      <c r="I77" s="383">
        <v>42103</v>
      </c>
      <c r="J77" s="430" t="s">
        <v>6293</v>
      </c>
      <c r="K77" s="366" t="s">
        <v>6302</v>
      </c>
      <c r="L77" s="366" t="s">
        <v>6335</v>
      </c>
      <c r="M77" s="1">
        <v>192</v>
      </c>
      <c r="N77" s="431">
        <f t="shared" si="16"/>
        <v>7</v>
      </c>
      <c r="O77" s="432">
        <v>20</v>
      </c>
      <c r="P77" s="432">
        <v>0</v>
      </c>
      <c r="Q77" s="432">
        <v>0</v>
      </c>
      <c r="R77" s="1">
        <v>7</v>
      </c>
      <c r="S77" s="1">
        <v>10</v>
      </c>
      <c r="T77" s="300">
        <f t="shared" si="17"/>
        <v>236</v>
      </c>
      <c r="U77" s="3"/>
      <c r="V77" s="3"/>
      <c r="W77" s="3"/>
      <c r="X77" s="3"/>
      <c r="Y77" s="3"/>
      <c r="Z77" s="20">
        <f t="shared" si="14"/>
        <v>194</v>
      </c>
      <c r="AA77" s="20">
        <f t="shared" si="13"/>
        <v>7</v>
      </c>
      <c r="AB77" s="20">
        <f t="shared" si="13"/>
        <v>20</v>
      </c>
      <c r="AC77" s="20">
        <f t="shared" si="13"/>
        <v>0</v>
      </c>
      <c r="AD77" s="20">
        <f t="shared" si="12"/>
        <v>0</v>
      </c>
      <c r="AE77" s="20">
        <f t="shared" si="12"/>
        <v>7</v>
      </c>
      <c r="AF77" s="20">
        <f t="shared" si="12"/>
        <v>10</v>
      </c>
      <c r="AG77" s="300">
        <f t="shared" si="15"/>
        <v>238</v>
      </c>
      <c r="AH77" s="42">
        <f t="shared" si="11"/>
        <v>2</v>
      </c>
      <c r="AI77" s="42">
        <f t="shared" si="11"/>
        <v>0</v>
      </c>
      <c r="AJ77" s="42">
        <f t="shared" si="11"/>
        <v>0</v>
      </c>
      <c r="AK77" s="42">
        <f t="shared" si="11"/>
        <v>0</v>
      </c>
      <c r="AL77" s="42">
        <f t="shared" si="11"/>
        <v>0</v>
      </c>
      <c r="AM77" s="42">
        <f t="shared" si="11"/>
        <v>0</v>
      </c>
      <c r="AN77" s="42">
        <f t="shared" si="11"/>
        <v>0</v>
      </c>
      <c r="AO77" s="42">
        <f t="shared" si="10"/>
        <v>2</v>
      </c>
    </row>
    <row r="78" spans="1:41" ht="15.75">
      <c r="A78" s="16">
        <f t="shared" si="18"/>
        <v>75</v>
      </c>
      <c r="B78" s="8">
        <v>892</v>
      </c>
      <c r="C78" s="62" t="s">
        <v>737</v>
      </c>
      <c r="D78" s="63" t="s">
        <v>907</v>
      </c>
      <c r="E78" s="13" t="s">
        <v>22</v>
      </c>
      <c r="F78" s="14" t="s">
        <v>908</v>
      </c>
      <c r="G78" s="429" t="s">
        <v>6473</v>
      </c>
      <c r="H78" s="385">
        <v>34578</v>
      </c>
      <c r="I78" s="383">
        <v>42116</v>
      </c>
      <c r="J78" s="430" t="s">
        <v>6293</v>
      </c>
      <c r="K78" s="366" t="s">
        <v>6295</v>
      </c>
      <c r="L78" s="366" t="s">
        <v>6335</v>
      </c>
      <c r="M78" s="1">
        <v>192</v>
      </c>
      <c r="N78" s="431">
        <f t="shared" si="16"/>
        <v>7</v>
      </c>
      <c r="O78" s="432">
        <v>20</v>
      </c>
      <c r="P78" s="432">
        <v>0</v>
      </c>
      <c r="Q78" s="432">
        <v>0</v>
      </c>
      <c r="R78" s="1">
        <v>7</v>
      </c>
      <c r="S78" s="1">
        <v>10</v>
      </c>
      <c r="T78" s="300">
        <f t="shared" si="17"/>
        <v>236</v>
      </c>
      <c r="U78" s="3"/>
      <c r="V78" s="3"/>
      <c r="W78" s="3"/>
      <c r="X78" s="3"/>
      <c r="Y78" s="3"/>
      <c r="Z78" s="20">
        <f t="shared" si="14"/>
        <v>194</v>
      </c>
      <c r="AA78" s="20">
        <f t="shared" si="13"/>
        <v>7</v>
      </c>
      <c r="AB78" s="20">
        <f t="shared" si="13"/>
        <v>20</v>
      </c>
      <c r="AC78" s="20">
        <f t="shared" si="13"/>
        <v>0</v>
      </c>
      <c r="AD78" s="20">
        <f t="shared" si="12"/>
        <v>0</v>
      </c>
      <c r="AE78" s="20">
        <f t="shared" si="12"/>
        <v>7</v>
      </c>
      <c r="AF78" s="20">
        <f t="shared" si="12"/>
        <v>10</v>
      </c>
      <c r="AG78" s="300">
        <f t="shared" si="15"/>
        <v>238</v>
      </c>
      <c r="AH78" s="42">
        <f t="shared" si="11"/>
        <v>2</v>
      </c>
      <c r="AI78" s="42">
        <f t="shared" si="11"/>
        <v>0</v>
      </c>
      <c r="AJ78" s="42">
        <f t="shared" si="11"/>
        <v>0</v>
      </c>
      <c r="AK78" s="42">
        <f t="shared" si="11"/>
        <v>0</v>
      </c>
      <c r="AL78" s="42">
        <f t="shared" si="11"/>
        <v>0</v>
      </c>
      <c r="AM78" s="42">
        <f t="shared" si="11"/>
        <v>0</v>
      </c>
      <c r="AN78" s="42">
        <f t="shared" si="11"/>
        <v>0</v>
      </c>
      <c r="AO78" s="42">
        <f t="shared" si="10"/>
        <v>2</v>
      </c>
    </row>
    <row r="79" spans="1:41" ht="15.75">
      <c r="A79" s="16">
        <f t="shared" si="18"/>
        <v>76</v>
      </c>
      <c r="B79" s="8">
        <v>899</v>
      </c>
      <c r="C79" s="62" t="s">
        <v>477</v>
      </c>
      <c r="D79" s="63" t="s">
        <v>912</v>
      </c>
      <c r="E79" s="13" t="s">
        <v>913</v>
      </c>
      <c r="F79" s="14" t="s">
        <v>914</v>
      </c>
      <c r="G79" s="429" t="s">
        <v>6473</v>
      </c>
      <c r="H79" s="385">
        <v>31570</v>
      </c>
      <c r="I79" s="383">
        <v>42118</v>
      </c>
      <c r="J79" s="430" t="s">
        <v>6293</v>
      </c>
      <c r="K79" s="366" t="s">
        <v>6301</v>
      </c>
      <c r="L79" s="366" t="s">
        <v>6335</v>
      </c>
      <c r="M79" s="1">
        <v>192</v>
      </c>
      <c r="N79" s="431">
        <f t="shared" si="16"/>
        <v>7</v>
      </c>
      <c r="O79" s="432">
        <v>20</v>
      </c>
      <c r="P79" s="432">
        <v>0</v>
      </c>
      <c r="Q79" s="432">
        <v>0</v>
      </c>
      <c r="R79" s="1">
        <v>7</v>
      </c>
      <c r="S79" s="1">
        <v>10</v>
      </c>
      <c r="T79" s="300">
        <f t="shared" si="17"/>
        <v>236</v>
      </c>
      <c r="U79" s="3"/>
      <c r="V79" s="3"/>
      <c r="W79" s="3"/>
      <c r="X79" s="3"/>
      <c r="Y79" s="3"/>
      <c r="Z79" s="20">
        <f t="shared" si="14"/>
        <v>194</v>
      </c>
      <c r="AA79" s="20">
        <f t="shared" si="13"/>
        <v>7</v>
      </c>
      <c r="AB79" s="20">
        <f t="shared" si="13"/>
        <v>20</v>
      </c>
      <c r="AC79" s="20">
        <f t="shared" si="13"/>
        <v>0</v>
      </c>
      <c r="AD79" s="20">
        <f t="shared" si="12"/>
        <v>0</v>
      </c>
      <c r="AE79" s="20">
        <f t="shared" si="12"/>
        <v>7</v>
      </c>
      <c r="AF79" s="20">
        <f t="shared" si="12"/>
        <v>10</v>
      </c>
      <c r="AG79" s="300">
        <f t="shared" si="15"/>
        <v>238</v>
      </c>
      <c r="AH79" s="42">
        <f t="shared" si="11"/>
        <v>2</v>
      </c>
      <c r="AI79" s="42">
        <f t="shared" si="11"/>
        <v>0</v>
      </c>
      <c r="AJ79" s="42">
        <f t="shared" si="11"/>
        <v>0</v>
      </c>
      <c r="AK79" s="42">
        <f t="shared" si="11"/>
        <v>0</v>
      </c>
      <c r="AL79" s="42">
        <f t="shared" si="11"/>
        <v>0</v>
      </c>
      <c r="AM79" s="42">
        <f t="shared" si="11"/>
        <v>0</v>
      </c>
      <c r="AN79" s="42">
        <f t="shared" si="11"/>
        <v>0</v>
      </c>
      <c r="AO79" s="42">
        <f t="shared" si="10"/>
        <v>2</v>
      </c>
    </row>
    <row r="80" spans="1:41" ht="15.75">
      <c r="A80" s="16">
        <f t="shared" si="18"/>
        <v>77</v>
      </c>
      <c r="B80" s="8">
        <v>906</v>
      </c>
      <c r="C80" s="62" t="s">
        <v>919</v>
      </c>
      <c r="D80" s="63" t="s">
        <v>920</v>
      </c>
      <c r="E80" s="13" t="s">
        <v>921</v>
      </c>
      <c r="F80" s="14" t="s">
        <v>922</v>
      </c>
      <c r="G80" s="429" t="s">
        <v>6473</v>
      </c>
      <c r="H80" s="385">
        <v>33857</v>
      </c>
      <c r="I80" s="383">
        <v>42119</v>
      </c>
      <c r="J80" s="430" t="s">
        <v>6293</v>
      </c>
      <c r="K80" s="366" t="s">
        <v>6125</v>
      </c>
      <c r="L80" s="366" t="s">
        <v>6339</v>
      </c>
      <c r="M80" s="1">
        <v>192</v>
      </c>
      <c r="N80" s="431">
        <f t="shared" si="16"/>
        <v>7</v>
      </c>
      <c r="O80" s="432">
        <v>20</v>
      </c>
      <c r="P80" s="432">
        <v>0</v>
      </c>
      <c r="Q80" s="432">
        <v>0</v>
      </c>
      <c r="R80" s="1">
        <v>7</v>
      </c>
      <c r="S80" s="1">
        <v>10</v>
      </c>
      <c r="T80" s="300">
        <f t="shared" si="17"/>
        <v>236</v>
      </c>
      <c r="U80" s="3"/>
      <c r="V80" s="3"/>
      <c r="W80" s="3"/>
      <c r="X80" s="3"/>
      <c r="Y80" s="3"/>
      <c r="Z80" s="20">
        <f t="shared" si="14"/>
        <v>194</v>
      </c>
      <c r="AA80" s="20">
        <f t="shared" si="13"/>
        <v>7</v>
      </c>
      <c r="AB80" s="20">
        <f t="shared" si="13"/>
        <v>20</v>
      </c>
      <c r="AC80" s="20">
        <f t="shared" si="13"/>
        <v>0</v>
      </c>
      <c r="AD80" s="20">
        <f t="shared" si="12"/>
        <v>0</v>
      </c>
      <c r="AE80" s="20">
        <f t="shared" si="12"/>
        <v>7</v>
      </c>
      <c r="AF80" s="20">
        <f t="shared" si="12"/>
        <v>10</v>
      </c>
      <c r="AG80" s="300">
        <f t="shared" si="15"/>
        <v>238</v>
      </c>
      <c r="AH80" s="42">
        <f t="shared" si="11"/>
        <v>2</v>
      </c>
      <c r="AI80" s="42">
        <f t="shared" si="11"/>
        <v>0</v>
      </c>
      <c r="AJ80" s="42">
        <f t="shared" si="11"/>
        <v>0</v>
      </c>
      <c r="AK80" s="42">
        <f t="shared" si="11"/>
        <v>0</v>
      </c>
      <c r="AL80" s="42">
        <f t="shared" si="11"/>
        <v>0</v>
      </c>
      <c r="AM80" s="42">
        <f t="shared" si="11"/>
        <v>0</v>
      </c>
      <c r="AN80" s="42">
        <f t="shared" si="11"/>
        <v>0</v>
      </c>
      <c r="AO80" s="42">
        <f t="shared" si="10"/>
        <v>2</v>
      </c>
    </row>
    <row r="81" spans="1:41" ht="15.75">
      <c r="A81" s="16">
        <f t="shared" si="18"/>
        <v>78</v>
      </c>
      <c r="B81" s="8">
        <v>909</v>
      </c>
      <c r="C81" s="62" t="s">
        <v>927</v>
      </c>
      <c r="D81" s="63" t="s">
        <v>928</v>
      </c>
      <c r="E81" s="13" t="s">
        <v>929</v>
      </c>
      <c r="F81" s="14" t="s">
        <v>930</v>
      </c>
      <c r="G81" s="429" t="s">
        <v>6473</v>
      </c>
      <c r="H81" s="385">
        <v>31851</v>
      </c>
      <c r="I81" s="383">
        <v>42122</v>
      </c>
      <c r="J81" s="430" t="s">
        <v>6293</v>
      </c>
      <c r="K81" s="366" t="s">
        <v>6300</v>
      </c>
      <c r="L81" s="366" t="s">
        <v>6142</v>
      </c>
      <c r="M81" s="1">
        <v>192</v>
      </c>
      <c r="N81" s="431">
        <f t="shared" si="16"/>
        <v>7</v>
      </c>
      <c r="O81" s="432">
        <v>20</v>
      </c>
      <c r="P81" s="432">
        <v>30</v>
      </c>
      <c r="Q81" s="432">
        <v>0</v>
      </c>
      <c r="R81" s="1">
        <v>7</v>
      </c>
      <c r="S81" s="1">
        <v>10</v>
      </c>
      <c r="T81" s="300">
        <f t="shared" si="17"/>
        <v>266</v>
      </c>
      <c r="U81" s="3"/>
      <c r="V81" s="3"/>
      <c r="W81" s="3"/>
      <c r="X81" s="3"/>
      <c r="Y81" s="3"/>
      <c r="Z81" s="20">
        <f t="shared" si="14"/>
        <v>194</v>
      </c>
      <c r="AA81" s="20">
        <f t="shared" si="13"/>
        <v>7</v>
      </c>
      <c r="AB81" s="20">
        <f t="shared" si="13"/>
        <v>20</v>
      </c>
      <c r="AC81" s="20">
        <f t="shared" si="13"/>
        <v>30</v>
      </c>
      <c r="AD81" s="20">
        <f t="shared" si="12"/>
        <v>0</v>
      </c>
      <c r="AE81" s="20">
        <f t="shared" si="12"/>
        <v>7</v>
      </c>
      <c r="AF81" s="20">
        <f t="shared" si="12"/>
        <v>10</v>
      </c>
      <c r="AG81" s="300">
        <f t="shared" si="15"/>
        <v>268</v>
      </c>
      <c r="AH81" s="42">
        <f t="shared" si="11"/>
        <v>2</v>
      </c>
      <c r="AI81" s="42">
        <f t="shared" si="11"/>
        <v>0</v>
      </c>
      <c r="AJ81" s="42">
        <f t="shared" si="11"/>
        <v>0</v>
      </c>
      <c r="AK81" s="42">
        <f t="shared" si="11"/>
        <v>0</v>
      </c>
      <c r="AL81" s="42">
        <f t="shared" si="11"/>
        <v>0</v>
      </c>
      <c r="AM81" s="42">
        <f t="shared" si="11"/>
        <v>0</v>
      </c>
      <c r="AN81" s="42">
        <f t="shared" si="11"/>
        <v>0</v>
      </c>
      <c r="AO81" s="42">
        <f t="shared" si="10"/>
        <v>2</v>
      </c>
    </row>
    <row r="82" spans="1:41" ht="15.75">
      <c r="A82" s="16">
        <f t="shared" si="18"/>
        <v>79</v>
      </c>
      <c r="B82" s="8">
        <v>946</v>
      </c>
      <c r="C82" s="62" t="s">
        <v>935</v>
      </c>
      <c r="D82" s="63" t="s">
        <v>936</v>
      </c>
      <c r="E82" s="13" t="s">
        <v>937</v>
      </c>
      <c r="F82" s="14" t="s">
        <v>938</v>
      </c>
      <c r="G82" s="429" t="s">
        <v>6473</v>
      </c>
      <c r="H82" s="385">
        <v>29322</v>
      </c>
      <c r="I82" s="383">
        <v>42136</v>
      </c>
      <c r="J82" s="430" t="s">
        <v>6293</v>
      </c>
      <c r="K82" s="366" t="s">
        <v>6301</v>
      </c>
      <c r="L82" s="366" t="s">
        <v>6335</v>
      </c>
      <c r="M82" s="1">
        <v>192</v>
      </c>
      <c r="N82" s="431">
        <f t="shared" si="16"/>
        <v>7</v>
      </c>
      <c r="O82" s="432">
        <v>20</v>
      </c>
      <c r="P82" s="432">
        <v>0</v>
      </c>
      <c r="Q82" s="432">
        <v>0</v>
      </c>
      <c r="R82" s="1">
        <v>7</v>
      </c>
      <c r="S82" s="1">
        <v>10</v>
      </c>
      <c r="T82" s="300">
        <f t="shared" si="17"/>
        <v>236</v>
      </c>
      <c r="U82" s="3"/>
      <c r="V82" s="3"/>
      <c r="W82" s="3"/>
      <c r="X82" s="3"/>
      <c r="Y82" s="3"/>
      <c r="Z82" s="20">
        <f t="shared" si="14"/>
        <v>194</v>
      </c>
      <c r="AA82" s="20">
        <f t="shared" si="13"/>
        <v>7</v>
      </c>
      <c r="AB82" s="20">
        <f t="shared" si="13"/>
        <v>20</v>
      </c>
      <c r="AC82" s="20">
        <f t="shared" si="13"/>
        <v>0</v>
      </c>
      <c r="AD82" s="20">
        <f t="shared" si="12"/>
        <v>0</v>
      </c>
      <c r="AE82" s="20">
        <f t="shared" si="12"/>
        <v>7</v>
      </c>
      <c r="AF82" s="20">
        <f t="shared" si="12"/>
        <v>10</v>
      </c>
      <c r="AG82" s="300">
        <f t="shared" si="15"/>
        <v>238</v>
      </c>
      <c r="AH82" s="42">
        <f t="shared" si="11"/>
        <v>2</v>
      </c>
      <c r="AI82" s="42">
        <f t="shared" si="11"/>
        <v>0</v>
      </c>
      <c r="AJ82" s="42">
        <f t="shared" si="11"/>
        <v>0</v>
      </c>
      <c r="AK82" s="42">
        <f t="shared" si="11"/>
        <v>0</v>
      </c>
      <c r="AL82" s="42">
        <f t="shared" si="11"/>
        <v>0</v>
      </c>
      <c r="AM82" s="42">
        <f t="shared" si="11"/>
        <v>0</v>
      </c>
      <c r="AN82" s="42">
        <f t="shared" si="11"/>
        <v>0</v>
      </c>
      <c r="AO82" s="42">
        <f t="shared" si="10"/>
        <v>2</v>
      </c>
    </row>
    <row r="83" spans="1:41" ht="15.75">
      <c r="A83" s="16">
        <f t="shared" si="18"/>
        <v>80</v>
      </c>
      <c r="B83" s="8">
        <v>947</v>
      </c>
      <c r="C83" s="62" t="s">
        <v>942</v>
      </c>
      <c r="D83" s="63" t="s">
        <v>943</v>
      </c>
      <c r="E83" s="13" t="s">
        <v>944</v>
      </c>
      <c r="F83" s="14" t="s">
        <v>945</v>
      </c>
      <c r="G83" s="429" t="s">
        <v>6473</v>
      </c>
      <c r="H83" s="385">
        <v>31827</v>
      </c>
      <c r="I83" s="383">
        <v>42136</v>
      </c>
      <c r="J83" s="430" t="s">
        <v>6293</v>
      </c>
      <c r="K83" s="366" t="s">
        <v>6301</v>
      </c>
      <c r="L83" s="366" t="s">
        <v>6335</v>
      </c>
      <c r="M83" s="1">
        <v>192</v>
      </c>
      <c r="N83" s="431">
        <f t="shared" si="16"/>
        <v>7</v>
      </c>
      <c r="O83" s="432">
        <v>20</v>
      </c>
      <c r="P83" s="432">
        <v>0</v>
      </c>
      <c r="Q83" s="432">
        <v>0</v>
      </c>
      <c r="R83" s="1">
        <v>7</v>
      </c>
      <c r="S83" s="1">
        <v>10</v>
      </c>
      <c r="T83" s="300">
        <f t="shared" si="17"/>
        <v>236</v>
      </c>
      <c r="U83" s="3"/>
      <c r="V83" s="3"/>
      <c r="W83" s="3"/>
      <c r="X83" s="3"/>
      <c r="Y83" s="3"/>
      <c r="Z83" s="20">
        <f t="shared" si="14"/>
        <v>194</v>
      </c>
      <c r="AA83" s="20">
        <f t="shared" si="13"/>
        <v>7</v>
      </c>
      <c r="AB83" s="20">
        <f t="shared" si="13"/>
        <v>20</v>
      </c>
      <c r="AC83" s="20">
        <f t="shared" si="13"/>
        <v>0</v>
      </c>
      <c r="AD83" s="20">
        <f t="shared" si="12"/>
        <v>0</v>
      </c>
      <c r="AE83" s="20">
        <f t="shared" si="12"/>
        <v>7</v>
      </c>
      <c r="AF83" s="20">
        <f t="shared" si="12"/>
        <v>10</v>
      </c>
      <c r="AG83" s="300">
        <f t="shared" si="15"/>
        <v>238</v>
      </c>
      <c r="AH83" s="42">
        <f t="shared" si="11"/>
        <v>2</v>
      </c>
      <c r="AI83" s="42">
        <f t="shared" si="11"/>
        <v>0</v>
      </c>
      <c r="AJ83" s="42">
        <f t="shared" si="11"/>
        <v>0</v>
      </c>
      <c r="AK83" s="42">
        <f t="shared" si="11"/>
        <v>0</v>
      </c>
      <c r="AL83" s="42">
        <f t="shared" si="11"/>
        <v>0</v>
      </c>
      <c r="AM83" s="42">
        <f t="shared" si="11"/>
        <v>0</v>
      </c>
      <c r="AN83" s="42">
        <f t="shared" si="11"/>
        <v>0</v>
      </c>
      <c r="AO83" s="42">
        <f t="shared" si="10"/>
        <v>2</v>
      </c>
    </row>
    <row r="84" spans="1:41" ht="15.75">
      <c r="A84" s="16">
        <f t="shared" si="18"/>
        <v>81</v>
      </c>
      <c r="B84" s="8">
        <v>929</v>
      </c>
      <c r="C84" s="62" t="s">
        <v>958</v>
      </c>
      <c r="D84" s="63" t="s">
        <v>719</v>
      </c>
      <c r="E84" s="13" t="s">
        <v>959</v>
      </c>
      <c r="F84" s="25" t="s">
        <v>721</v>
      </c>
      <c r="G84" s="429" t="s">
        <v>6473</v>
      </c>
      <c r="H84" s="386">
        <v>31396</v>
      </c>
      <c r="I84" s="383">
        <v>42130</v>
      </c>
      <c r="J84" s="430" t="s">
        <v>6293</v>
      </c>
      <c r="K84" s="366" t="s">
        <v>6297</v>
      </c>
      <c r="L84" s="366" t="s">
        <v>6335</v>
      </c>
      <c r="M84" s="1">
        <v>192</v>
      </c>
      <c r="N84" s="431">
        <f t="shared" si="16"/>
        <v>7</v>
      </c>
      <c r="O84" s="432">
        <v>20</v>
      </c>
      <c r="P84" s="432">
        <v>0</v>
      </c>
      <c r="Q84" s="432">
        <v>0</v>
      </c>
      <c r="R84" s="1">
        <v>7</v>
      </c>
      <c r="S84" s="1">
        <v>10</v>
      </c>
      <c r="T84" s="300">
        <f t="shared" si="17"/>
        <v>236</v>
      </c>
      <c r="U84" s="3"/>
      <c r="V84" s="3"/>
      <c r="W84" s="3"/>
      <c r="X84" s="3"/>
      <c r="Y84" s="3"/>
      <c r="Z84" s="20">
        <f t="shared" si="14"/>
        <v>194</v>
      </c>
      <c r="AA84" s="20">
        <f t="shared" si="13"/>
        <v>7</v>
      </c>
      <c r="AB84" s="20">
        <f t="shared" si="13"/>
        <v>20</v>
      </c>
      <c r="AC84" s="20">
        <f t="shared" si="13"/>
        <v>0</v>
      </c>
      <c r="AD84" s="20">
        <f t="shared" si="12"/>
        <v>0</v>
      </c>
      <c r="AE84" s="20">
        <f t="shared" si="12"/>
        <v>7</v>
      </c>
      <c r="AF84" s="20">
        <f t="shared" si="12"/>
        <v>10</v>
      </c>
      <c r="AG84" s="300">
        <f t="shared" si="15"/>
        <v>238</v>
      </c>
      <c r="AH84" s="42">
        <f t="shared" si="11"/>
        <v>2</v>
      </c>
      <c r="AI84" s="42">
        <f t="shared" si="11"/>
        <v>0</v>
      </c>
      <c r="AJ84" s="42">
        <f t="shared" si="11"/>
        <v>0</v>
      </c>
      <c r="AK84" s="42">
        <f t="shared" si="11"/>
        <v>0</v>
      </c>
      <c r="AL84" s="42">
        <f t="shared" si="11"/>
        <v>0</v>
      </c>
      <c r="AM84" s="42">
        <f t="shared" si="11"/>
        <v>0</v>
      </c>
      <c r="AN84" s="42">
        <f t="shared" si="11"/>
        <v>0</v>
      </c>
      <c r="AO84" s="42">
        <f t="shared" si="10"/>
        <v>2</v>
      </c>
    </row>
    <row r="85" spans="1:41" ht="15.75">
      <c r="A85" s="16">
        <f t="shared" si="18"/>
        <v>82</v>
      </c>
      <c r="B85" s="8">
        <v>933</v>
      </c>
      <c r="C85" s="90" t="s">
        <v>737</v>
      </c>
      <c r="D85" s="91" t="s">
        <v>971</v>
      </c>
      <c r="E85" s="24" t="s">
        <v>22</v>
      </c>
      <c r="F85" s="25" t="s">
        <v>972</v>
      </c>
      <c r="G85" s="429" t="s">
        <v>6473</v>
      </c>
      <c r="H85" s="386">
        <v>29692</v>
      </c>
      <c r="I85" s="383">
        <v>42130</v>
      </c>
      <c r="J85" s="430" t="s">
        <v>6293</v>
      </c>
      <c r="K85" s="366" t="s">
        <v>6083</v>
      </c>
      <c r="L85" s="366" t="s">
        <v>6335</v>
      </c>
      <c r="M85" s="1">
        <v>192</v>
      </c>
      <c r="N85" s="431">
        <f t="shared" si="16"/>
        <v>7</v>
      </c>
      <c r="O85" s="432">
        <v>20</v>
      </c>
      <c r="P85" s="432">
        <v>0</v>
      </c>
      <c r="Q85" s="432">
        <v>0</v>
      </c>
      <c r="R85" s="1">
        <v>7</v>
      </c>
      <c r="S85" s="1">
        <v>10</v>
      </c>
      <c r="T85" s="300">
        <f t="shared" si="17"/>
        <v>236</v>
      </c>
      <c r="U85" s="3"/>
      <c r="V85" s="3"/>
      <c r="W85" s="3"/>
      <c r="X85" s="3"/>
      <c r="Y85" s="3"/>
      <c r="Z85" s="20">
        <f t="shared" si="14"/>
        <v>194</v>
      </c>
      <c r="AA85" s="20">
        <f t="shared" si="13"/>
        <v>7</v>
      </c>
      <c r="AB85" s="20">
        <f t="shared" si="13"/>
        <v>20</v>
      </c>
      <c r="AC85" s="20">
        <f t="shared" si="13"/>
        <v>0</v>
      </c>
      <c r="AD85" s="20">
        <f t="shared" si="12"/>
        <v>0</v>
      </c>
      <c r="AE85" s="20">
        <f t="shared" si="12"/>
        <v>7</v>
      </c>
      <c r="AF85" s="20">
        <f t="shared" si="12"/>
        <v>10</v>
      </c>
      <c r="AG85" s="300">
        <f t="shared" si="15"/>
        <v>238</v>
      </c>
      <c r="AH85" s="42">
        <f t="shared" si="11"/>
        <v>2</v>
      </c>
      <c r="AI85" s="42">
        <f t="shared" si="11"/>
        <v>0</v>
      </c>
      <c r="AJ85" s="42">
        <f t="shared" si="11"/>
        <v>0</v>
      </c>
      <c r="AK85" s="42">
        <f t="shared" si="11"/>
        <v>0</v>
      </c>
      <c r="AL85" s="42">
        <f t="shared" si="11"/>
        <v>0</v>
      </c>
      <c r="AM85" s="42">
        <f t="shared" si="11"/>
        <v>0</v>
      </c>
      <c r="AN85" s="42">
        <f t="shared" si="11"/>
        <v>0</v>
      </c>
      <c r="AO85" s="42">
        <f t="shared" si="10"/>
        <v>2</v>
      </c>
    </row>
    <row r="86" spans="1:41" ht="15.75">
      <c r="A86" s="16">
        <f t="shared" si="18"/>
        <v>83</v>
      </c>
      <c r="B86" s="8">
        <v>942</v>
      </c>
      <c r="C86" s="62" t="s">
        <v>977</v>
      </c>
      <c r="D86" s="63" t="s">
        <v>978</v>
      </c>
      <c r="E86" s="13" t="s">
        <v>77</v>
      </c>
      <c r="F86" s="14" t="s">
        <v>78</v>
      </c>
      <c r="G86" s="429" t="s">
        <v>6475</v>
      </c>
      <c r="H86" s="385">
        <v>35385</v>
      </c>
      <c r="I86" s="383">
        <v>42132</v>
      </c>
      <c r="J86" s="430" t="s">
        <v>6293</v>
      </c>
      <c r="K86" s="366" t="s">
        <v>6104</v>
      </c>
      <c r="L86" s="366" t="s">
        <v>6340</v>
      </c>
      <c r="M86" s="1">
        <v>192</v>
      </c>
      <c r="N86" s="431">
        <f t="shared" si="16"/>
        <v>7</v>
      </c>
      <c r="O86" s="432">
        <v>20</v>
      </c>
      <c r="P86" s="432">
        <v>80</v>
      </c>
      <c r="Q86" s="432">
        <v>50</v>
      </c>
      <c r="R86" s="1">
        <v>7</v>
      </c>
      <c r="S86" s="1">
        <v>10</v>
      </c>
      <c r="T86" s="300">
        <f t="shared" si="17"/>
        <v>366</v>
      </c>
      <c r="U86" s="3"/>
      <c r="V86" s="3"/>
      <c r="W86" s="3"/>
      <c r="X86" s="3"/>
      <c r="Y86" s="3"/>
      <c r="Z86" s="20">
        <f t="shared" si="14"/>
        <v>194</v>
      </c>
      <c r="AA86" s="20">
        <f t="shared" si="13"/>
        <v>7</v>
      </c>
      <c r="AB86" s="20">
        <f t="shared" si="13"/>
        <v>20</v>
      </c>
      <c r="AC86" s="20">
        <f t="shared" si="13"/>
        <v>80</v>
      </c>
      <c r="AD86" s="20">
        <f t="shared" si="12"/>
        <v>50</v>
      </c>
      <c r="AE86" s="20">
        <f t="shared" si="12"/>
        <v>7</v>
      </c>
      <c r="AF86" s="20">
        <f t="shared" si="12"/>
        <v>10</v>
      </c>
      <c r="AG86" s="300">
        <f t="shared" si="15"/>
        <v>368</v>
      </c>
      <c r="AH86" s="42">
        <f t="shared" si="11"/>
        <v>2</v>
      </c>
      <c r="AI86" s="42">
        <f t="shared" si="11"/>
        <v>0</v>
      </c>
      <c r="AJ86" s="42">
        <f t="shared" si="11"/>
        <v>0</v>
      </c>
      <c r="AK86" s="42">
        <f t="shared" si="11"/>
        <v>0</v>
      </c>
      <c r="AL86" s="42">
        <f t="shared" si="11"/>
        <v>0</v>
      </c>
      <c r="AM86" s="42">
        <f t="shared" si="11"/>
        <v>0</v>
      </c>
      <c r="AN86" s="42">
        <f t="shared" si="11"/>
        <v>0</v>
      </c>
      <c r="AO86" s="42">
        <f t="shared" si="10"/>
        <v>2</v>
      </c>
    </row>
    <row r="87" spans="1:41" ht="15.75">
      <c r="A87" s="16">
        <f t="shared" si="18"/>
        <v>84</v>
      </c>
      <c r="B87" s="8">
        <v>956</v>
      </c>
      <c r="C87" s="62" t="s">
        <v>1000</v>
      </c>
      <c r="D87" s="63" t="s">
        <v>1001</v>
      </c>
      <c r="E87" s="13" t="s">
        <v>1002</v>
      </c>
      <c r="F87" s="14" t="s">
        <v>1003</v>
      </c>
      <c r="G87" s="429" t="s">
        <v>6473</v>
      </c>
      <c r="H87" s="385">
        <v>30116</v>
      </c>
      <c r="I87" s="383">
        <v>42143</v>
      </c>
      <c r="J87" s="430" t="s">
        <v>6293</v>
      </c>
      <c r="K87" s="366" t="s">
        <v>6301</v>
      </c>
      <c r="L87" s="366" t="s">
        <v>6335</v>
      </c>
      <c r="M87" s="1">
        <v>192</v>
      </c>
      <c r="N87" s="431">
        <f t="shared" si="16"/>
        <v>7</v>
      </c>
      <c r="O87" s="432">
        <v>20</v>
      </c>
      <c r="P87" s="432">
        <v>0</v>
      </c>
      <c r="Q87" s="432">
        <v>0</v>
      </c>
      <c r="R87" s="1">
        <v>7</v>
      </c>
      <c r="S87" s="1">
        <v>10</v>
      </c>
      <c r="T87" s="300">
        <f t="shared" si="17"/>
        <v>236</v>
      </c>
      <c r="U87" s="3"/>
      <c r="V87" s="3"/>
      <c r="W87" s="3"/>
      <c r="X87" s="3"/>
      <c r="Y87" s="3"/>
      <c r="Z87" s="20">
        <f t="shared" si="14"/>
        <v>194</v>
      </c>
      <c r="AA87" s="20">
        <f t="shared" si="13"/>
        <v>7</v>
      </c>
      <c r="AB87" s="20">
        <f t="shared" si="13"/>
        <v>20</v>
      </c>
      <c r="AC87" s="20">
        <f t="shared" si="13"/>
        <v>0</v>
      </c>
      <c r="AD87" s="20">
        <f t="shared" si="12"/>
        <v>0</v>
      </c>
      <c r="AE87" s="20">
        <f t="shared" si="12"/>
        <v>7</v>
      </c>
      <c r="AF87" s="20">
        <f t="shared" si="12"/>
        <v>10</v>
      </c>
      <c r="AG87" s="300">
        <f t="shared" si="15"/>
        <v>238</v>
      </c>
      <c r="AH87" s="42">
        <f t="shared" si="11"/>
        <v>2</v>
      </c>
      <c r="AI87" s="42">
        <f t="shared" si="11"/>
        <v>0</v>
      </c>
      <c r="AJ87" s="42">
        <f t="shared" si="11"/>
        <v>0</v>
      </c>
      <c r="AK87" s="42">
        <f t="shared" ref="AK87:AO143" si="19">AC87-P87</f>
        <v>0</v>
      </c>
      <c r="AL87" s="42">
        <f t="shared" si="19"/>
        <v>0</v>
      </c>
      <c r="AM87" s="42">
        <f t="shared" si="19"/>
        <v>0</v>
      </c>
      <c r="AN87" s="42">
        <f t="shared" si="19"/>
        <v>0</v>
      </c>
      <c r="AO87" s="42">
        <f t="shared" si="10"/>
        <v>2</v>
      </c>
    </row>
    <row r="88" spans="1:41" ht="15.75">
      <c r="A88" s="16">
        <f t="shared" si="18"/>
        <v>85</v>
      </c>
      <c r="B88" s="8">
        <v>967</v>
      </c>
      <c r="C88" s="62" t="s">
        <v>1008</v>
      </c>
      <c r="D88" s="63" t="s">
        <v>1009</v>
      </c>
      <c r="E88" s="13" t="s">
        <v>176</v>
      </c>
      <c r="F88" s="14" t="s">
        <v>1010</v>
      </c>
      <c r="G88" s="429" t="s">
        <v>6473</v>
      </c>
      <c r="H88" s="385">
        <v>26757</v>
      </c>
      <c r="I88" s="383">
        <v>42149</v>
      </c>
      <c r="J88" s="430" t="s">
        <v>6293</v>
      </c>
      <c r="K88" s="366" t="s">
        <v>6298</v>
      </c>
      <c r="L88" s="366" t="s">
        <v>6335</v>
      </c>
      <c r="M88" s="1">
        <v>192</v>
      </c>
      <c r="N88" s="431">
        <f t="shared" si="16"/>
        <v>7</v>
      </c>
      <c r="O88" s="432">
        <v>20</v>
      </c>
      <c r="P88" s="432">
        <v>0</v>
      </c>
      <c r="Q88" s="432">
        <v>0</v>
      </c>
      <c r="R88" s="1">
        <v>7</v>
      </c>
      <c r="S88" s="1">
        <v>10</v>
      </c>
      <c r="T88" s="300">
        <f t="shared" si="17"/>
        <v>236</v>
      </c>
      <c r="U88" s="3"/>
      <c r="V88" s="3"/>
      <c r="W88" s="3"/>
      <c r="X88" s="3"/>
      <c r="Y88" s="3"/>
      <c r="Z88" s="20">
        <f t="shared" si="14"/>
        <v>194</v>
      </c>
      <c r="AA88" s="20">
        <f t="shared" si="13"/>
        <v>7</v>
      </c>
      <c r="AB88" s="20">
        <f t="shared" si="13"/>
        <v>20</v>
      </c>
      <c r="AC88" s="20">
        <f t="shared" si="13"/>
        <v>0</v>
      </c>
      <c r="AD88" s="20">
        <f t="shared" si="12"/>
        <v>0</v>
      </c>
      <c r="AE88" s="20">
        <f t="shared" si="12"/>
        <v>7</v>
      </c>
      <c r="AF88" s="20">
        <f t="shared" si="12"/>
        <v>10</v>
      </c>
      <c r="AG88" s="300">
        <f t="shared" si="15"/>
        <v>238</v>
      </c>
      <c r="AH88" s="42">
        <f t="shared" ref="AH88:AL151" si="20">Z88-M88</f>
        <v>2</v>
      </c>
      <c r="AI88" s="42">
        <f t="shared" si="20"/>
        <v>0</v>
      </c>
      <c r="AJ88" s="42">
        <f t="shared" si="20"/>
        <v>0</v>
      </c>
      <c r="AK88" s="42">
        <f t="shared" si="19"/>
        <v>0</v>
      </c>
      <c r="AL88" s="42">
        <f t="shared" si="19"/>
        <v>0</v>
      </c>
      <c r="AM88" s="42">
        <f t="shared" si="19"/>
        <v>0</v>
      </c>
      <c r="AN88" s="42">
        <f t="shared" si="19"/>
        <v>0</v>
      </c>
      <c r="AO88" s="42">
        <f t="shared" si="10"/>
        <v>2</v>
      </c>
    </row>
    <row r="89" spans="1:41" ht="15.75">
      <c r="A89" s="16">
        <f t="shared" si="18"/>
        <v>86</v>
      </c>
      <c r="B89" s="433">
        <v>1012</v>
      </c>
      <c r="C89" s="434" t="s">
        <v>742</v>
      </c>
      <c r="D89" s="435" t="s">
        <v>1041</v>
      </c>
      <c r="E89" s="436" t="s">
        <v>1042</v>
      </c>
      <c r="F89" s="437" t="s">
        <v>1043</v>
      </c>
      <c r="G89" s="429" t="s">
        <v>6473</v>
      </c>
      <c r="H89" s="445">
        <v>34132</v>
      </c>
      <c r="I89" s="439">
        <v>42167</v>
      </c>
      <c r="J89" s="440" t="s">
        <v>6476</v>
      </c>
      <c r="K89" s="441" t="s">
        <v>6477</v>
      </c>
      <c r="L89" s="441" t="s">
        <v>6482</v>
      </c>
      <c r="M89" s="442">
        <v>0</v>
      </c>
      <c r="N89" s="443">
        <f t="shared" si="16"/>
        <v>7</v>
      </c>
      <c r="O89" s="442">
        <v>0</v>
      </c>
      <c r="P89" s="442">
        <v>0</v>
      </c>
      <c r="Q89" s="442">
        <v>0</v>
      </c>
      <c r="R89" s="442">
        <v>7</v>
      </c>
      <c r="S89" s="442">
        <v>10</v>
      </c>
      <c r="T89" s="300">
        <f t="shared" si="17"/>
        <v>24</v>
      </c>
      <c r="U89" s="3"/>
      <c r="V89" s="3"/>
      <c r="W89" s="3"/>
      <c r="X89" s="3"/>
      <c r="Y89" s="3"/>
      <c r="Z89" s="20">
        <f t="shared" si="14"/>
        <v>2</v>
      </c>
      <c r="AA89" s="20">
        <f t="shared" si="13"/>
        <v>7</v>
      </c>
      <c r="AB89" s="20">
        <f t="shared" si="13"/>
        <v>0</v>
      </c>
      <c r="AC89" s="20">
        <f t="shared" si="13"/>
        <v>0</v>
      </c>
      <c r="AD89" s="20">
        <f t="shared" si="12"/>
        <v>0</v>
      </c>
      <c r="AE89" s="20">
        <f t="shared" si="12"/>
        <v>7</v>
      </c>
      <c r="AF89" s="20">
        <f t="shared" si="12"/>
        <v>10</v>
      </c>
      <c r="AG89" s="300">
        <f t="shared" si="15"/>
        <v>26</v>
      </c>
      <c r="AH89" s="42">
        <f t="shared" si="20"/>
        <v>2</v>
      </c>
      <c r="AI89" s="42">
        <f t="shared" si="20"/>
        <v>0</v>
      </c>
      <c r="AJ89" s="42">
        <f t="shared" si="20"/>
        <v>0</v>
      </c>
      <c r="AK89" s="42">
        <f t="shared" si="19"/>
        <v>0</v>
      </c>
      <c r="AL89" s="42">
        <f t="shared" si="19"/>
        <v>0</v>
      </c>
      <c r="AM89" s="42">
        <f t="shared" si="19"/>
        <v>0</v>
      </c>
      <c r="AN89" s="42">
        <f t="shared" si="19"/>
        <v>0</v>
      </c>
      <c r="AO89" s="42">
        <f t="shared" si="10"/>
        <v>2</v>
      </c>
    </row>
    <row r="90" spans="1:41" ht="15.75">
      <c r="A90" s="16">
        <f t="shared" si="18"/>
        <v>87</v>
      </c>
      <c r="B90" s="8">
        <v>1019</v>
      </c>
      <c r="C90" s="62" t="s">
        <v>1048</v>
      </c>
      <c r="D90" s="63" t="s">
        <v>1049</v>
      </c>
      <c r="E90" s="13" t="s">
        <v>16</v>
      </c>
      <c r="F90" s="14" t="s">
        <v>1050</v>
      </c>
      <c r="G90" s="429" t="s">
        <v>6473</v>
      </c>
      <c r="H90" s="385">
        <v>29258</v>
      </c>
      <c r="I90" s="383">
        <v>42178</v>
      </c>
      <c r="J90" s="430" t="s">
        <v>6293</v>
      </c>
      <c r="K90" s="366" t="s">
        <v>6295</v>
      </c>
      <c r="L90" s="366" t="s">
        <v>6335</v>
      </c>
      <c r="M90" s="1">
        <v>192</v>
      </c>
      <c r="N90" s="431">
        <f t="shared" si="16"/>
        <v>7</v>
      </c>
      <c r="O90" s="432">
        <v>20</v>
      </c>
      <c r="P90" s="432">
        <v>0</v>
      </c>
      <c r="Q90" s="432">
        <v>0</v>
      </c>
      <c r="R90" s="1">
        <v>7</v>
      </c>
      <c r="S90" s="1">
        <v>10</v>
      </c>
      <c r="T90" s="300">
        <f t="shared" si="17"/>
        <v>236</v>
      </c>
      <c r="U90" s="3"/>
      <c r="V90" s="3"/>
      <c r="W90" s="3"/>
      <c r="X90" s="3"/>
      <c r="Y90" s="3"/>
      <c r="Z90" s="20">
        <f t="shared" si="14"/>
        <v>194</v>
      </c>
      <c r="AA90" s="20">
        <f t="shared" si="13"/>
        <v>7</v>
      </c>
      <c r="AB90" s="20">
        <f t="shared" si="13"/>
        <v>20</v>
      </c>
      <c r="AC90" s="20">
        <f t="shared" si="13"/>
        <v>0</v>
      </c>
      <c r="AD90" s="20">
        <f t="shared" si="12"/>
        <v>0</v>
      </c>
      <c r="AE90" s="20">
        <f t="shared" si="12"/>
        <v>7</v>
      </c>
      <c r="AF90" s="20">
        <f t="shared" si="12"/>
        <v>10</v>
      </c>
      <c r="AG90" s="300">
        <f t="shared" si="15"/>
        <v>238</v>
      </c>
      <c r="AH90" s="42">
        <f t="shared" si="20"/>
        <v>2</v>
      </c>
      <c r="AI90" s="42">
        <f t="shared" si="20"/>
        <v>0</v>
      </c>
      <c r="AJ90" s="42">
        <f t="shared" si="20"/>
        <v>0</v>
      </c>
      <c r="AK90" s="42">
        <f t="shared" si="19"/>
        <v>0</v>
      </c>
      <c r="AL90" s="42">
        <f t="shared" si="19"/>
        <v>0</v>
      </c>
      <c r="AM90" s="42">
        <f t="shared" si="19"/>
        <v>0</v>
      </c>
      <c r="AN90" s="42">
        <f t="shared" si="19"/>
        <v>0</v>
      </c>
      <c r="AO90" s="42">
        <f t="shared" si="10"/>
        <v>2</v>
      </c>
    </row>
    <row r="91" spans="1:41" ht="15.75">
      <c r="A91" s="16">
        <f t="shared" si="18"/>
        <v>88</v>
      </c>
      <c r="B91" s="8">
        <v>1031</v>
      </c>
      <c r="C91" s="62" t="s">
        <v>1061</v>
      </c>
      <c r="D91" s="63" t="s">
        <v>1062</v>
      </c>
      <c r="E91" s="13" t="s">
        <v>1063</v>
      </c>
      <c r="F91" s="14" t="s">
        <v>1064</v>
      </c>
      <c r="G91" s="429" t="s">
        <v>6473</v>
      </c>
      <c r="H91" s="385">
        <v>29361</v>
      </c>
      <c r="I91" s="383">
        <v>42187</v>
      </c>
      <c r="J91" s="430" t="s">
        <v>6293</v>
      </c>
      <c r="K91" s="366" t="s">
        <v>6083</v>
      </c>
      <c r="L91" s="366" t="s">
        <v>6335</v>
      </c>
      <c r="M91" s="1">
        <v>192</v>
      </c>
      <c r="N91" s="431">
        <f t="shared" si="16"/>
        <v>7</v>
      </c>
      <c r="O91" s="432">
        <v>20</v>
      </c>
      <c r="P91" s="432">
        <v>0</v>
      </c>
      <c r="Q91" s="432">
        <v>0</v>
      </c>
      <c r="R91" s="1">
        <v>7</v>
      </c>
      <c r="S91" s="1">
        <v>10</v>
      </c>
      <c r="T91" s="300">
        <f t="shared" si="17"/>
        <v>236</v>
      </c>
      <c r="U91" s="3"/>
      <c r="V91" s="3"/>
      <c r="W91" s="3"/>
      <c r="X91" s="3"/>
      <c r="Y91" s="3"/>
      <c r="Z91" s="20">
        <f t="shared" si="14"/>
        <v>194</v>
      </c>
      <c r="AA91" s="20">
        <f t="shared" si="13"/>
        <v>7</v>
      </c>
      <c r="AB91" s="20">
        <f t="shared" si="13"/>
        <v>20</v>
      </c>
      <c r="AC91" s="20">
        <f t="shared" si="13"/>
        <v>0</v>
      </c>
      <c r="AD91" s="20">
        <f t="shared" si="12"/>
        <v>0</v>
      </c>
      <c r="AE91" s="20">
        <f t="shared" si="12"/>
        <v>7</v>
      </c>
      <c r="AF91" s="20">
        <f t="shared" si="12"/>
        <v>10</v>
      </c>
      <c r="AG91" s="300">
        <f t="shared" si="15"/>
        <v>238</v>
      </c>
      <c r="AH91" s="42">
        <f t="shared" si="20"/>
        <v>2</v>
      </c>
      <c r="AI91" s="42">
        <f t="shared" si="20"/>
        <v>0</v>
      </c>
      <c r="AJ91" s="42">
        <f t="shared" si="20"/>
        <v>0</v>
      </c>
      <c r="AK91" s="42">
        <f t="shared" si="19"/>
        <v>0</v>
      </c>
      <c r="AL91" s="42">
        <f t="shared" si="19"/>
        <v>0</v>
      </c>
      <c r="AM91" s="42">
        <f t="shared" si="19"/>
        <v>0</v>
      </c>
      <c r="AN91" s="42">
        <f t="shared" si="19"/>
        <v>0</v>
      </c>
      <c r="AO91" s="42">
        <f t="shared" si="10"/>
        <v>2</v>
      </c>
    </row>
    <row r="92" spans="1:41" ht="15.75">
      <c r="A92" s="16">
        <f t="shared" si="18"/>
        <v>89</v>
      </c>
      <c r="B92" s="8">
        <v>1036</v>
      </c>
      <c r="C92" s="62" t="s">
        <v>1069</v>
      </c>
      <c r="D92" s="63" t="s">
        <v>1070</v>
      </c>
      <c r="E92" s="13" t="s">
        <v>1071</v>
      </c>
      <c r="F92" s="14" t="s">
        <v>1072</v>
      </c>
      <c r="G92" s="429" t="s">
        <v>6473</v>
      </c>
      <c r="H92" s="385">
        <v>31144</v>
      </c>
      <c r="I92" s="383">
        <v>42192</v>
      </c>
      <c r="J92" s="430" t="s">
        <v>6293</v>
      </c>
      <c r="K92" s="366" t="s">
        <v>6302</v>
      </c>
      <c r="L92" s="366" t="s">
        <v>6335</v>
      </c>
      <c r="M92" s="1">
        <v>192</v>
      </c>
      <c r="N92" s="431">
        <f t="shared" si="16"/>
        <v>7</v>
      </c>
      <c r="O92" s="432">
        <v>20</v>
      </c>
      <c r="P92" s="432">
        <v>0</v>
      </c>
      <c r="Q92" s="432">
        <v>0</v>
      </c>
      <c r="R92" s="1">
        <v>7</v>
      </c>
      <c r="S92" s="1">
        <v>10</v>
      </c>
      <c r="T92" s="300">
        <f t="shared" si="17"/>
        <v>236</v>
      </c>
      <c r="U92" s="3"/>
      <c r="V92" s="3"/>
      <c r="W92" s="3"/>
      <c r="X92" s="3"/>
      <c r="Y92" s="3"/>
      <c r="Z92" s="20">
        <f t="shared" si="14"/>
        <v>194</v>
      </c>
      <c r="AA92" s="20">
        <f t="shared" si="13"/>
        <v>7</v>
      </c>
      <c r="AB92" s="20">
        <f t="shared" si="13"/>
        <v>20</v>
      </c>
      <c r="AC92" s="20">
        <f t="shared" si="13"/>
        <v>0</v>
      </c>
      <c r="AD92" s="20">
        <f t="shared" si="12"/>
        <v>0</v>
      </c>
      <c r="AE92" s="20">
        <f t="shared" si="12"/>
        <v>7</v>
      </c>
      <c r="AF92" s="20">
        <f t="shared" si="12"/>
        <v>10</v>
      </c>
      <c r="AG92" s="300">
        <f t="shared" si="15"/>
        <v>238</v>
      </c>
      <c r="AH92" s="42">
        <f t="shared" si="20"/>
        <v>2</v>
      </c>
      <c r="AI92" s="42">
        <f t="shared" si="20"/>
        <v>0</v>
      </c>
      <c r="AJ92" s="42">
        <f t="shared" si="20"/>
        <v>0</v>
      </c>
      <c r="AK92" s="42">
        <f t="shared" si="19"/>
        <v>0</v>
      </c>
      <c r="AL92" s="42">
        <f t="shared" si="19"/>
        <v>0</v>
      </c>
      <c r="AM92" s="42">
        <f t="shared" si="19"/>
        <v>0</v>
      </c>
      <c r="AN92" s="42">
        <f t="shared" si="19"/>
        <v>0</v>
      </c>
      <c r="AO92" s="42">
        <f t="shared" si="10"/>
        <v>2</v>
      </c>
    </row>
    <row r="93" spans="1:41" ht="15.75">
      <c r="A93" s="16">
        <f t="shared" si="18"/>
        <v>90</v>
      </c>
      <c r="B93" s="8">
        <v>1038</v>
      </c>
      <c r="C93" s="62" t="s">
        <v>1076</v>
      </c>
      <c r="D93" s="63" t="s">
        <v>1077</v>
      </c>
      <c r="E93" s="13" t="s">
        <v>1078</v>
      </c>
      <c r="F93" s="14" t="s">
        <v>1079</v>
      </c>
      <c r="G93" s="429" t="s">
        <v>6473</v>
      </c>
      <c r="H93" s="385">
        <v>32212</v>
      </c>
      <c r="I93" s="383">
        <v>42192</v>
      </c>
      <c r="J93" s="430" t="s">
        <v>6293</v>
      </c>
      <c r="K93" s="366" t="s">
        <v>6307</v>
      </c>
      <c r="L93" s="366" t="s">
        <v>6335</v>
      </c>
      <c r="M93" s="1">
        <v>192</v>
      </c>
      <c r="N93" s="431">
        <f t="shared" si="16"/>
        <v>7</v>
      </c>
      <c r="O93" s="432">
        <v>20</v>
      </c>
      <c r="P93" s="432">
        <v>0</v>
      </c>
      <c r="Q93" s="432">
        <v>0</v>
      </c>
      <c r="R93" s="1">
        <v>7</v>
      </c>
      <c r="S93" s="1">
        <v>10</v>
      </c>
      <c r="T93" s="300">
        <f t="shared" si="17"/>
        <v>236</v>
      </c>
      <c r="U93" s="3"/>
      <c r="V93" s="3"/>
      <c r="W93" s="3"/>
      <c r="X93" s="3"/>
      <c r="Y93" s="3"/>
      <c r="Z93" s="20">
        <f t="shared" si="14"/>
        <v>194</v>
      </c>
      <c r="AA93" s="20">
        <f t="shared" si="13"/>
        <v>7</v>
      </c>
      <c r="AB93" s="20">
        <f t="shared" si="13"/>
        <v>20</v>
      </c>
      <c r="AC93" s="20">
        <f t="shared" si="13"/>
        <v>0</v>
      </c>
      <c r="AD93" s="20">
        <f t="shared" si="12"/>
        <v>0</v>
      </c>
      <c r="AE93" s="20">
        <f t="shared" si="12"/>
        <v>7</v>
      </c>
      <c r="AF93" s="20">
        <f t="shared" si="12"/>
        <v>10</v>
      </c>
      <c r="AG93" s="300">
        <f t="shared" si="15"/>
        <v>238</v>
      </c>
      <c r="AH93" s="42">
        <f t="shared" si="20"/>
        <v>2</v>
      </c>
      <c r="AI93" s="42">
        <f t="shared" si="20"/>
        <v>0</v>
      </c>
      <c r="AJ93" s="42">
        <f t="shared" si="20"/>
        <v>0</v>
      </c>
      <c r="AK93" s="42">
        <f t="shared" si="19"/>
        <v>0</v>
      </c>
      <c r="AL93" s="42">
        <f t="shared" si="19"/>
        <v>0</v>
      </c>
      <c r="AM93" s="42">
        <f t="shared" si="19"/>
        <v>0</v>
      </c>
      <c r="AN93" s="42">
        <f t="shared" si="19"/>
        <v>0</v>
      </c>
      <c r="AO93" s="42">
        <f t="shared" si="10"/>
        <v>2</v>
      </c>
    </row>
    <row r="94" spans="1:41" ht="15.75">
      <c r="A94" s="16">
        <f t="shared" si="18"/>
        <v>91</v>
      </c>
      <c r="B94" s="8">
        <v>1057</v>
      </c>
      <c r="C94" s="62" t="s">
        <v>1085</v>
      </c>
      <c r="D94" s="63" t="s">
        <v>1086</v>
      </c>
      <c r="E94" s="13" t="s">
        <v>1087</v>
      </c>
      <c r="F94" s="14" t="s">
        <v>1088</v>
      </c>
      <c r="G94" s="429" t="s">
        <v>6473</v>
      </c>
      <c r="H94" s="385">
        <v>32393</v>
      </c>
      <c r="I94" s="383">
        <v>42209</v>
      </c>
      <c r="J94" s="430" t="s">
        <v>6293</v>
      </c>
      <c r="K94" s="366" t="s">
        <v>6299</v>
      </c>
      <c r="L94" s="366" t="s">
        <v>6335</v>
      </c>
      <c r="M94" s="1">
        <v>192</v>
      </c>
      <c r="N94" s="431">
        <f t="shared" si="16"/>
        <v>7</v>
      </c>
      <c r="O94" s="432">
        <v>20</v>
      </c>
      <c r="P94" s="432">
        <v>0</v>
      </c>
      <c r="Q94" s="432">
        <v>0</v>
      </c>
      <c r="R94" s="1">
        <v>7</v>
      </c>
      <c r="S94" s="1">
        <v>10</v>
      </c>
      <c r="T94" s="300">
        <f t="shared" si="17"/>
        <v>236</v>
      </c>
      <c r="U94" s="3"/>
      <c r="V94" s="3"/>
      <c r="W94" s="3"/>
      <c r="X94" s="3"/>
      <c r="Y94" s="3"/>
      <c r="Z94" s="20">
        <f t="shared" si="14"/>
        <v>194</v>
      </c>
      <c r="AA94" s="20">
        <f t="shared" si="13"/>
        <v>7</v>
      </c>
      <c r="AB94" s="20">
        <f t="shared" si="13"/>
        <v>20</v>
      </c>
      <c r="AC94" s="20">
        <f t="shared" si="13"/>
        <v>0</v>
      </c>
      <c r="AD94" s="20">
        <f t="shared" si="12"/>
        <v>0</v>
      </c>
      <c r="AE94" s="20">
        <f t="shared" si="12"/>
        <v>7</v>
      </c>
      <c r="AF94" s="20">
        <f t="shared" si="12"/>
        <v>10</v>
      </c>
      <c r="AG94" s="300">
        <f t="shared" si="15"/>
        <v>238</v>
      </c>
      <c r="AH94" s="42">
        <f t="shared" si="20"/>
        <v>2</v>
      </c>
      <c r="AI94" s="42">
        <f t="shared" si="20"/>
        <v>0</v>
      </c>
      <c r="AJ94" s="42">
        <f t="shared" si="20"/>
        <v>0</v>
      </c>
      <c r="AK94" s="42">
        <f t="shared" si="19"/>
        <v>0</v>
      </c>
      <c r="AL94" s="42">
        <f t="shared" si="19"/>
        <v>0</v>
      </c>
      <c r="AM94" s="42">
        <f t="shared" si="19"/>
        <v>0</v>
      </c>
      <c r="AN94" s="42">
        <f t="shared" si="19"/>
        <v>0</v>
      </c>
      <c r="AO94" s="42">
        <f t="shared" si="10"/>
        <v>2</v>
      </c>
    </row>
    <row r="95" spans="1:41" ht="15.75">
      <c r="A95" s="16">
        <f t="shared" si="18"/>
        <v>92</v>
      </c>
      <c r="B95" s="8">
        <v>1122</v>
      </c>
      <c r="C95" s="62" t="s">
        <v>1100</v>
      </c>
      <c r="D95" s="63" t="s">
        <v>1101</v>
      </c>
      <c r="E95" s="13" t="s">
        <v>1102</v>
      </c>
      <c r="F95" s="14" t="s">
        <v>1103</v>
      </c>
      <c r="G95" s="429" t="s">
        <v>6473</v>
      </c>
      <c r="H95" s="385">
        <v>27900</v>
      </c>
      <c r="I95" s="383">
        <v>42257</v>
      </c>
      <c r="J95" s="430" t="s">
        <v>6293</v>
      </c>
      <c r="K95" s="366" t="s">
        <v>6125</v>
      </c>
      <c r="L95" s="366" t="s">
        <v>6339</v>
      </c>
      <c r="M95" s="1">
        <v>192</v>
      </c>
      <c r="N95" s="431">
        <f t="shared" si="16"/>
        <v>7</v>
      </c>
      <c r="O95" s="432">
        <v>20</v>
      </c>
      <c r="P95" s="432">
        <v>0</v>
      </c>
      <c r="Q95" s="432">
        <v>0</v>
      </c>
      <c r="R95" s="1">
        <v>7</v>
      </c>
      <c r="S95" s="1">
        <v>10</v>
      </c>
      <c r="T95" s="300">
        <f t="shared" si="17"/>
        <v>236</v>
      </c>
      <c r="U95" s="3"/>
      <c r="V95" s="3"/>
      <c r="W95" s="3"/>
      <c r="X95" s="3"/>
      <c r="Y95" s="3"/>
      <c r="Z95" s="20">
        <f t="shared" si="14"/>
        <v>194</v>
      </c>
      <c r="AA95" s="20">
        <f t="shared" si="13"/>
        <v>7</v>
      </c>
      <c r="AB95" s="20">
        <f t="shared" si="13"/>
        <v>20</v>
      </c>
      <c r="AC95" s="20">
        <f t="shared" si="13"/>
        <v>0</v>
      </c>
      <c r="AD95" s="20">
        <f t="shared" si="12"/>
        <v>0</v>
      </c>
      <c r="AE95" s="20">
        <f t="shared" si="12"/>
        <v>7</v>
      </c>
      <c r="AF95" s="20">
        <f t="shared" si="12"/>
        <v>10</v>
      </c>
      <c r="AG95" s="300">
        <f t="shared" si="15"/>
        <v>238</v>
      </c>
      <c r="AH95" s="42">
        <f t="shared" si="20"/>
        <v>2</v>
      </c>
      <c r="AI95" s="42">
        <f t="shared" si="20"/>
        <v>0</v>
      </c>
      <c r="AJ95" s="42">
        <f t="shared" si="20"/>
        <v>0</v>
      </c>
      <c r="AK95" s="42">
        <f t="shared" si="19"/>
        <v>0</v>
      </c>
      <c r="AL95" s="42">
        <f t="shared" si="19"/>
        <v>0</v>
      </c>
      <c r="AM95" s="42">
        <f t="shared" si="19"/>
        <v>0</v>
      </c>
      <c r="AN95" s="42">
        <f t="shared" si="19"/>
        <v>0</v>
      </c>
      <c r="AO95" s="42">
        <f t="shared" si="10"/>
        <v>2</v>
      </c>
    </row>
    <row r="96" spans="1:41" ht="15.75">
      <c r="A96" s="16">
        <f t="shared" si="18"/>
        <v>93</v>
      </c>
      <c r="B96" s="8">
        <v>1128</v>
      </c>
      <c r="C96" s="62" t="s">
        <v>1109</v>
      </c>
      <c r="D96" s="63" t="s">
        <v>1110</v>
      </c>
      <c r="E96" s="13" t="s">
        <v>1111</v>
      </c>
      <c r="F96" s="14" t="s">
        <v>1112</v>
      </c>
      <c r="G96" s="429" t="s">
        <v>6473</v>
      </c>
      <c r="H96" s="385">
        <v>31755</v>
      </c>
      <c r="I96" s="383">
        <v>42262</v>
      </c>
      <c r="J96" s="430" t="s">
        <v>6293</v>
      </c>
      <c r="K96" s="366" t="s">
        <v>397</v>
      </c>
      <c r="L96" s="366" t="s">
        <v>6336</v>
      </c>
      <c r="M96" s="1">
        <v>192</v>
      </c>
      <c r="N96" s="431">
        <f t="shared" si="16"/>
        <v>7</v>
      </c>
      <c r="O96" s="432">
        <v>20</v>
      </c>
      <c r="P96" s="432">
        <v>10</v>
      </c>
      <c r="Q96" s="432">
        <v>0</v>
      </c>
      <c r="R96" s="1">
        <v>7</v>
      </c>
      <c r="S96" s="1">
        <v>10</v>
      </c>
      <c r="T96" s="300">
        <f t="shared" si="17"/>
        <v>246</v>
      </c>
      <c r="U96" s="3"/>
      <c r="V96" s="3"/>
      <c r="W96" s="3"/>
      <c r="X96" s="3"/>
      <c r="Y96" s="3"/>
      <c r="Z96" s="20">
        <f t="shared" si="14"/>
        <v>194</v>
      </c>
      <c r="AA96" s="20">
        <f t="shared" si="13"/>
        <v>7</v>
      </c>
      <c r="AB96" s="20">
        <f t="shared" si="13"/>
        <v>20</v>
      </c>
      <c r="AC96" s="20">
        <f t="shared" si="13"/>
        <v>10</v>
      </c>
      <c r="AD96" s="20">
        <f t="shared" si="12"/>
        <v>0</v>
      </c>
      <c r="AE96" s="20">
        <f t="shared" si="12"/>
        <v>7</v>
      </c>
      <c r="AF96" s="20">
        <f t="shared" si="12"/>
        <v>10</v>
      </c>
      <c r="AG96" s="300">
        <f t="shared" si="15"/>
        <v>248</v>
      </c>
      <c r="AH96" s="42">
        <f t="shared" si="20"/>
        <v>2</v>
      </c>
      <c r="AI96" s="42">
        <f t="shared" si="20"/>
        <v>0</v>
      </c>
      <c r="AJ96" s="42">
        <f t="shared" si="20"/>
        <v>0</v>
      </c>
      <c r="AK96" s="42">
        <f t="shared" si="19"/>
        <v>0</v>
      </c>
      <c r="AL96" s="42">
        <f t="shared" si="19"/>
        <v>0</v>
      </c>
      <c r="AM96" s="42">
        <f t="shared" si="19"/>
        <v>0</v>
      </c>
      <c r="AN96" s="42">
        <f t="shared" si="19"/>
        <v>0</v>
      </c>
      <c r="AO96" s="42">
        <f t="shared" si="10"/>
        <v>2</v>
      </c>
    </row>
    <row r="97" spans="1:41" ht="15.75">
      <c r="A97" s="16">
        <f t="shared" si="18"/>
        <v>94</v>
      </c>
      <c r="B97" s="8">
        <v>1152</v>
      </c>
      <c r="C97" s="62" t="s">
        <v>1126</v>
      </c>
      <c r="D97" s="63" t="s">
        <v>1127</v>
      </c>
      <c r="E97" s="13" t="s">
        <v>1128</v>
      </c>
      <c r="F97" s="14" t="s">
        <v>1129</v>
      </c>
      <c r="G97" s="429" t="s">
        <v>6473</v>
      </c>
      <c r="H97" s="385">
        <v>29978</v>
      </c>
      <c r="I97" s="383">
        <v>42272</v>
      </c>
      <c r="J97" s="430" t="s">
        <v>6293</v>
      </c>
      <c r="K97" s="366" t="s">
        <v>6307</v>
      </c>
      <c r="L97" s="366" t="s">
        <v>6335</v>
      </c>
      <c r="M97" s="1">
        <v>192</v>
      </c>
      <c r="N97" s="431">
        <f t="shared" si="16"/>
        <v>7</v>
      </c>
      <c r="O97" s="432">
        <v>20</v>
      </c>
      <c r="P97" s="432">
        <v>0</v>
      </c>
      <c r="Q97" s="432">
        <v>0</v>
      </c>
      <c r="R97" s="1">
        <v>7</v>
      </c>
      <c r="S97" s="1">
        <v>10</v>
      </c>
      <c r="T97" s="300">
        <f t="shared" si="17"/>
        <v>236</v>
      </c>
      <c r="U97" s="3"/>
      <c r="V97" s="3"/>
      <c r="W97" s="3"/>
      <c r="X97" s="3"/>
      <c r="Y97" s="3"/>
      <c r="Z97" s="20">
        <f t="shared" si="14"/>
        <v>194</v>
      </c>
      <c r="AA97" s="20">
        <f t="shared" si="13"/>
        <v>7</v>
      </c>
      <c r="AB97" s="20">
        <f t="shared" si="13"/>
        <v>20</v>
      </c>
      <c r="AC97" s="20">
        <f t="shared" si="13"/>
        <v>0</v>
      </c>
      <c r="AD97" s="20">
        <f t="shared" si="12"/>
        <v>0</v>
      </c>
      <c r="AE97" s="20">
        <f t="shared" si="12"/>
        <v>7</v>
      </c>
      <c r="AF97" s="20">
        <f t="shared" si="12"/>
        <v>10</v>
      </c>
      <c r="AG97" s="300">
        <f t="shared" si="15"/>
        <v>238</v>
      </c>
      <c r="AH97" s="42">
        <f t="shared" si="20"/>
        <v>2</v>
      </c>
      <c r="AI97" s="42">
        <f t="shared" si="20"/>
        <v>0</v>
      </c>
      <c r="AJ97" s="42">
        <f t="shared" si="20"/>
        <v>0</v>
      </c>
      <c r="AK97" s="42">
        <f t="shared" si="19"/>
        <v>0</v>
      </c>
      <c r="AL97" s="42">
        <f t="shared" si="19"/>
        <v>0</v>
      </c>
      <c r="AM97" s="42">
        <f t="shared" si="19"/>
        <v>0</v>
      </c>
      <c r="AN97" s="42">
        <f t="shared" si="19"/>
        <v>0</v>
      </c>
      <c r="AO97" s="42">
        <f t="shared" si="10"/>
        <v>2</v>
      </c>
    </row>
    <row r="98" spans="1:41" ht="15.75">
      <c r="A98" s="16">
        <f t="shared" si="18"/>
        <v>95</v>
      </c>
      <c r="B98" s="8">
        <v>1153</v>
      </c>
      <c r="C98" s="62" t="s">
        <v>1134</v>
      </c>
      <c r="D98" s="63" t="s">
        <v>1135</v>
      </c>
      <c r="E98" s="13" t="s">
        <v>1136</v>
      </c>
      <c r="F98" s="14" t="s">
        <v>1137</v>
      </c>
      <c r="G98" s="429" t="s">
        <v>6473</v>
      </c>
      <c r="H98" s="385">
        <v>30029</v>
      </c>
      <c r="I98" s="383">
        <v>42271</v>
      </c>
      <c r="J98" s="430" t="s">
        <v>6293</v>
      </c>
      <c r="K98" s="366" t="s">
        <v>6307</v>
      </c>
      <c r="L98" s="366" t="s">
        <v>6095</v>
      </c>
      <c r="M98" s="1">
        <v>192</v>
      </c>
      <c r="N98" s="431">
        <f t="shared" si="16"/>
        <v>7</v>
      </c>
      <c r="O98" s="432">
        <v>20</v>
      </c>
      <c r="P98" s="432">
        <v>45</v>
      </c>
      <c r="Q98" s="432">
        <v>0</v>
      </c>
      <c r="R98" s="1">
        <v>7</v>
      </c>
      <c r="S98" s="1">
        <v>10</v>
      </c>
      <c r="T98" s="300">
        <f t="shared" si="17"/>
        <v>281</v>
      </c>
      <c r="U98" s="3"/>
      <c r="V98" s="3"/>
      <c r="W98" s="3"/>
      <c r="X98" s="3"/>
      <c r="Y98" s="3"/>
      <c r="Z98" s="20">
        <f t="shared" si="14"/>
        <v>194</v>
      </c>
      <c r="AA98" s="20">
        <f t="shared" si="13"/>
        <v>7</v>
      </c>
      <c r="AB98" s="20">
        <f t="shared" si="13"/>
        <v>20</v>
      </c>
      <c r="AC98" s="20">
        <f t="shared" si="13"/>
        <v>45</v>
      </c>
      <c r="AD98" s="20">
        <f t="shared" si="12"/>
        <v>0</v>
      </c>
      <c r="AE98" s="20">
        <f t="shared" si="12"/>
        <v>7</v>
      </c>
      <c r="AF98" s="20">
        <f t="shared" si="12"/>
        <v>10</v>
      </c>
      <c r="AG98" s="300">
        <f t="shared" si="15"/>
        <v>283</v>
      </c>
      <c r="AH98" s="42">
        <f t="shared" si="20"/>
        <v>2</v>
      </c>
      <c r="AI98" s="42">
        <f t="shared" si="20"/>
        <v>0</v>
      </c>
      <c r="AJ98" s="42">
        <f t="shared" si="20"/>
        <v>0</v>
      </c>
      <c r="AK98" s="42">
        <f t="shared" si="19"/>
        <v>0</v>
      </c>
      <c r="AL98" s="42">
        <f t="shared" si="19"/>
        <v>0</v>
      </c>
      <c r="AM98" s="42">
        <f t="shared" si="19"/>
        <v>0</v>
      </c>
      <c r="AN98" s="42">
        <f t="shared" si="19"/>
        <v>0</v>
      </c>
      <c r="AO98" s="42">
        <f t="shared" si="10"/>
        <v>2</v>
      </c>
    </row>
    <row r="99" spans="1:41" ht="15.75">
      <c r="A99" s="16">
        <f t="shared" si="18"/>
        <v>96</v>
      </c>
      <c r="B99" s="8">
        <v>1166</v>
      </c>
      <c r="C99" s="62" t="s">
        <v>1141</v>
      </c>
      <c r="D99" s="63" t="s">
        <v>1142</v>
      </c>
      <c r="E99" s="13" t="s">
        <v>1143</v>
      </c>
      <c r="F99" s="14" t="s">
        <v>1144</v>
      </c>
      <c r="G99" s="429" t="s">
        <v>6473</v>
      </c>
      <c r="H99" s="385">
        <v>29830</v>
      </c>
      <c r="I99" s="383">
        <v>42280</v>
      </c>
      <c r="J99" s="430" t="s">
        <v>6293</v>
      </c>
      <c r="K99" s="366" t="s">
        <v>6296</v>
      </c>
      <c r="L99" s="366" t="s">
        <v>6091</v>
      </c>
      <c r="M99" s="1">
        <v>192</v>
      </c>
      <c r="N99" s="431">
        <f t="shared" si="16"/>
        <v>7</v>
      </c>
      <c r="O99" s="432">
        <v>20</v>
      </c>
      <c r="P99" s="432">
        <v>47</v>
      </c>
      <c r="Q99" s="432">
        <v>0</v>
      </c>
      <c r="R99" s="1">
        <v>7</v>
      </c>
      <c r="S99" s="1">
        <v>10</v>
      </c>
      <c r="T99" s="300">
        <f t="shared" si="17"/>
        <v>283</v>
      </c>
      <c r="U99" s="3"/>
      <c r="V99" s="3"/>
      <c r="W99" s="3"/>
      <c r="X99" s="3"/>
      <c r="Y99" s="3"/>
      <c r="Z99" s="20">
        <f t="shared" si="14"/>
        <v>194</v>
      </c>
      <c r="AA99" s="20">
        <f t="shared" si="13"/>
        <v>7</v>
      </c>
      <c r="AB99" s="20">
        <f t="shared" si="13"/>
        <v>20</v>
      </c>
      <c r="AC99" s="20">
        <f t="shared" si="13"/>
        <v>47</v>
      </c>
      <c r="AD99" s="20">
        <f t="shared" si="12"/>
        <v>0</v>
      </c>
      <c r="AE99" s="20">
        <f t="shared" si="12"/>
        <v>7</v>
      </c>
      <c r="AF99" s="20">
        <f t="shared" si="12"/>
        <v>10</v>
      </c>
      <c r="AG99" s="300">
        <f t="shared" si="15"/>
        <v>285</v>
      </c>
      <c r="AH99" s="42">
        <f t="shared" si="20"/>
        <v>2</v>
      </c>
      <c r="AI99" s="42">
        <f t="shared" si="20"/>
        <v>0</v>
      </c>
      <c r="AJ99" s="42">
        <f t="shared" si="20"/>
        <v>0</v>
      </c>
      <c r="AK99" s="42">
        <f t="shared" si="19"/>
        <v>0</v>
      </c>
      <c r="AL99" s="42">
        <f t="shared" si="19"/>
        <v>0</v>
      </c>
      <c r="AM99" s="42">
        <f t="shared" si="19"/>
        <v>0</v>
      </c>
      <c r="AN99" s="42">
        <f t="shared" si="19"/>
        <v>0</v>
      </c>
      <c r="AO99" s="42">
        <f t="shared" si="10"/>
        <v>2</v>
      </c>
    </row>
    <row r="100" spans="1:41" ht="15.75">
      <c r="A100" s="16">
        <f t="shared" si="18"/>
        <v>97</v>
      </c>
      <c r="B100" s="8">
        <v>1182</v>
      </c>
      <c r="C100" s="90" t="s">
        <v>1157</v>
      </c>
      <c r="D100" s="91" t="s">
        <v>1158</v>
      </c>
      <c r="E100" s="24" t="s">
        <v>1159</v>
      </c>
      <c r="F100" s="25" t="s">
        <v>1160</v>
      </c>
      <c r="G100" s="429" t="s">
        <v>6473</v>
      </c>
      <c r="H100" s="386">
        <v>29620</v>
      </c>
      <c r="I100" s="383">
        <v>42294</v>
      </c>
      <c r="J100" s="430" t="s">
        <v>6293</v>
      </c>
      <c r="K100" s="366" t="s">
        <v>6307</v>
      </c>
      <c r="L100" s="366" t="s">
        <v>6335</v>
      </c>
      <c r="M100" s="1">
        <v>192</v>
      </c>
      <c r="N100" s="431">
        <f t="shared" si="16"/>
        <v>7</v>
      </c>
      <c r="O100" s="432">
        <v>20</v>
      </c>
      <c r="P100" s="432">
        <v>0</v>
      </c>
      <c r="Q100" s="432">
        <v>0</v>
      </c>
      <c r="R100" s="1">
        <v>7</v>
      </c>
      <c r="S100" s="1">
        <v>10</v>
      </c>
      <c r="T100" s="300">
        <f t="shared" si="17"/>
        <v>236</v>
      </c>
      <c r="U100" s="3"/>
      <c r="V100" s="3"/>
      <c r="W100" s="3"/>
      <c r="X100" s="3"/>
      <c r="Y100" s="3"/>
      <c r="Z100" s="20">
        <f t="shared" si="14"/>
        <v>194</v>
      </c>
      <c r="AA100" s="20">
        <f t="shared" si="13"/>
        <v>7</v>
      </c>
      <c r="AB100" s="20">
        <f t="shared" si="13"/>
        <v>20</v>
      </c>
      <c r="AC100" s="20">
        <f t="shared" si="13"/>
        <v>0</v>
      </c>
      <c r="AD100" s="20">
        <f t="shared" si="12"/>
        <v>0</v>
      </c>
      <c r="AE100" s="20">
        <f t="shared" si="12"/>
        <v>7</v>
      </c>
      <c r="AF100" s="20">
        <f t="shared" si="12"/>
        <v>10</v>
      </c>
      <c r="AG100" s="300">
        <f t="shared" si="15"/>
        <v>238</v>
      </c>
      <c r="AH100" s="42">
        <f t="shared" si="20"/>
        <v>2</v>
      </c>
      <c r="AI100" s="42">
        <f t="shared" si="20"/>
        <v>0</v>
      </c>
      <c r="AJ100" s="42">
        <f t="shared" si="20"/>
        <v>0</v>
      </c>
      <c r="AK100" s="42">
        <f t="shared" si="19"/>
        <v>0</v>
      </c>
      <c r="AL100" s="42">
        <f t="shared" si="19"/>
        <v>0</v>
      </c>
      <c r="AM100" s="42">
        <f t="shared" si="19"/>
        <v>0</v>
      </c>
      <c r="AN100" s="42">
        <f t="shared" si="19"/>
        <v>0</v>
      </c>
      <c r="AO100" s="42">
        <f t="shared" si="10"/>
        <v>2</v>
      </c>
    </row>
    <row r="101" spans="1:41" ht="15.75">
      <c r="A101" s="16">
        <f t="shared" si="18"/>
        <v>98</v>
      </c>
      <c r="B101" s="8">
        <v>1187</v>
      </c>
      <c r="C101" s="90" t="s">
        <v>1165</v>
      </c>
      <c r="D101" s="91" t="s">
        <v>1166</v>
      </c>
      <c r="E101" s="24" t="s">
        <v>1167</v>
      </c>
      <c r="F101" s="25" t="s">
        <v>1168</v>
      </c>
      <c r="G101" s="429" t="s">
        <v>6473</v>
      </c>
      <c r="H101" s="386">
        <v>30408</v>
      </c>
      <c r="I101" s="383">
        <v>42297</v>
      </c>
      <c r="J101" s="430" t="s">
        <v>6293</v>
      </c>
      <c r="K101" s="366" t="s">
        <v>6307</v>
      </c>
      <c r="L101" s="366" t="s">
        <v>6335</v>
      </c>
      <c r="M101" s="1">
        <v>192</v>
      </c>
      <c r="N101" s="431">
        <f t="shared" si="16"/>
        <v>7</v>
      </c>
      <c r="O101" s="432">
        <v>20</v>
      </c>
      <c r="P101" s="432">
        <v>0</v>
      </c>
      <c r="Q101" s="432">
        <v>0</v>
      </c>
      <c r="R101" s="1">
        <v>7</v>
      </c>
      <c r="S101" s="1">
        <v>10</v>
      </c>
      <c r="T101" s="300">
        <f t="shared" si="17"/>
        <v>236</v>
      </c>
      <c r="U101" s="3"/>
      <c r="V101" s="3"/>
      <c r="W101" s="3"/>
      <c r="X101" s="3"/>
      <c r="Y101" s="3"/>
      <c r="Z101" s="20">
        <f t="shared" si="14"/>
        <v>194</v>
      </c>
      <c r="AA101" s="20">
        <f t="shared" si="13"/>
        <v>7</v>
      </c>
      <c r="AB101" s="20">
        <f t="shared" si="13"/>
        <v>20</v>
      </c>
      <c r="AC101" s="20">
        <f t="shared" si="13"/>
        <v>0</v>
      </c>
      <c r="AD101" s="20">
        <f t="shared" si="12"/>
        <v>0</v>
      </c>
      <c r="AE101" s="20">
        <f t="shared" si="12"/>
        <v>7</v>
      </c>
      <c r="AF101" s="20">
        <f t="shared" si="12"/>
        <v>10</v>
      </c>
      <c r="AG101" s="300">
        <f t="shared" si="15"/>
        <v>238</v>
      </c>
      <c r="AH101" s="42">
        <f t="shared" si="20"/>
        <v>2</v>
      </c>
      <c r="AI101" s="42">
        <f t="shared" si="20"/>
        <v>0</v>
      </c>
      <c r="AJ101" s="42">
        <f t="shared" si="20"/>
        <v>0</v>
      </c>
      <c r="AK101" s="42">
        <f t="shared" si="19"/>
        <v>0</v>
      </c>
      <c r="AL101" s="42">
        <f t="shared" si="19"/>
        <v>0</v>
      </c>
      <c r="AM101" s="42">
        <f t="shared" si="19"/>
        <v>0</v>
      </c>
      <c r="AN101" s="42">
        <f t="shared" si="19"/>
        <v>0</v>
      </c>
      <c r="AO101" s="42">
        <f t="shared" si="10"/>
        <v>2</v>
      </c>
    </row>
    <row r="102" spans="1:41" ht="15.75">
      <c r="A102" s="16">
        <f t="shared" si="18"/>
        <v>99</v>
      </c>
      <c r="B102" s="8">
        <v>1218</v>
      </c>
      <c r="C102" s="62" t="s">
        <v>1173</v>
      </c>
      <c r="D102" s="63" t="s">
        <v>1174</v>
      </c>
      <c r="E102" s="13" t="s">
        <v>1175</v>
      </c>
      <c r="F102" s="14" t="s">
        <v>1176</v>
      </c>
      <c r="G102" s="429" t="s">
        <v>6473</v>
      </c>
      <c r="H102" s="385">
        <v>27427</v>
      </c>
      <c r="I102" s="383">
        <v>42298</v>
      </c>
      <c r="J102" s="430" t="s">
        <v>6293</v>
      </c>
      <c r="K102" s="366" t="s">
        <v>6307</v>
      </c>
      <c r="L102" s="366" t="s">
        <v>6335</v>
      </c>
      <c r="M102" s="1">
        <v>192</v>
      </c>
      <c r="N102" s="431">
        <f t="shared" si="16"/>
        <v>7</v>
      </c>
      <c r="O102" s="432">
        <v>20</v>
      </c>
      <c r="P102" s="432">
        <v>0</v>
      </c>
      <c r="Q102" s="432">
        <v>0</v>
      </c>
      <c r="R102" s="1">
        <v>7</v>
      </c>
      <c r="S102" s="1">
        <v>10</v>
      </c>
      <c r="T102" s="300">
        <f t="shared" si="17"/>
        <v>236</v>
      </c>
      <c r="U102" s="3"/>
      <c r="V102" s="3"/>
      <c r="W102" s="3"/>
      <c r="X102" s="3"/>
      <c r="Y102" s="3"/>
      <c r="Z102" s="20">
        <f t="shared" si="14"/>
        <v>194</v>
      </c>
      <c r="AA102" s="20">
        <f t="shared" si="13"/>
        <v>7</v>
      </c>
      <c r="AB102" s="20">
        <f t="shared" si="13"/>
        <v>20</v>
      </c>
      <c r="AC102" s="20">
        <f t="shared" si="13"/>
        <v>0</v>
      </c>
      <c r="AD102" s="20">
        <f t="shared" si="12"/>
        <v>0</v>
      </c>
      <c r="AE102" s="20">
        <f t="shared" si="12"/>
        <v>7</v>
      </c>
      <c r="AF102" s="20">
        <f t="shared" si="12"/>
        <v>10</v>
      </c>
      <c r="AG102" s="300">
        <f t="shared" si="15"/>
        <v>238</v>
      </c>
      <c r="AH102" s="42">
        <f t="shared" si="20"/>
        <v>2</v>
      </c>
      <c r="AI102" s="42">
        <f t="shared" si="20"/>
        <v>0</v>
      </c>
      <c r="AJ102" s="42">
        <f t="shared" si="20"/>
        <v>0</v>
      </c>
      <c r="AK102" s="42">
        <f t="shared" si="19"/>
        <v>0</v>
      </c>
      <c r="AL102" s="42">
        <f t="shared" si="19"/>
        <v>0</v>
      </c>
      <c r="AM102" s="42">
        <f t="shared" si="19"/>
        <v>0</v>
      </c>
      <c r="AN102" s="42">
        <f t="shared" si="19"/>
        <v>0</v>
      </c>
      <c r="AO102" s="42">
        <f t="shared" si="10"/>
        <v>2</v>
      </c>
    </row>
    <row r="103" spans="1:41" ht="15.75">
      <c r="A103" s="16">
        <f t="shared" si="18"/>
        <v>100</v>
      </c>
      <c r="B103" s="8">
        <v>1238</v>
      </c>
      <c r="C103" s="62" t="s">
        <v>431</v>
      </c>
      <c r="D103" s="63" t="s">
        <v>1182</v>
      </c>
      <c r="E103" s="13" t="s">
        <v>1183</v>
      </c>
      <c r="F103" s="14" t="s">
        <v>1184</v>
      </c>
      <c r="G103" s="429" t="s">
        <v>6473</v>
      </c>
      <c r="H103" s="385">
        <v>30334</v>
      </c>
      <c r="I103" s="383">
        <v>42299</v>
      </c>
      <c r="J103" s="430" t="s">
        <v>6293</v>
      </c>
      <c r="K103" s="366" t="s">
        <v>6305</v>
      </c>
      <c r="L103" s="366" t="s">
        <v>6335</v>
      </c>
      <c r="M103" s="1">
        <v>192</v>
      </c>
      <c r="N103" s="431">
        <f t="shared" si="16"/>
        <v>7</v>
      </c>
      <c r="O103" s="432">
        <v>20</v>
      </c>
      <c r="P103" s="432">
        <v>0</v>
      </c>
      <c r="Q103" s="432">
        <v>0</v>
      </c>
      <c r="R103" s="1">
        <v>7</v>
      </c>
      <c r="S103" s="1">
        <v>10</v>
      </c>
      <c r="T103" s="300">
        <f t="shared" si="17"/>
        <v>236</v>
      </c>
      <c r="U103" s="3"/>
      <c r="V103" s="3"/>
      <c r="W103" s="3"/>
      <c r="X103" s="3"/>
      <c r="Y103" s="3"/>
      <c r="Z103" s="20">
        <f t="shared" si="14"/>
        <v>194</v>
      </c>
      <c r="AA103" s="20">
        <f t="shared" si="13"/>
        <v>7</v>
      </c>
      <c r="AB103" s="20">
        <f t="shared" si="13"/>
        <v>20</v>
      </c>
      <c r="AC103" s="20">
        <f t="shared" si="13"/>
        <v>0</v>
      </c>
      <c r="AD103" s="20">
        <f t="shared" si="12"/>
        <v>0</v>
      </c>
      <c r="AE103" s="20">
        <f t="shared" si="12"/>
        <v>7</v>
      </c>
      <c r="AF103" s="20">
        <f t="shared" si="12"/>
        <v>10</v>
      </c>
      <c r="AG103" s="300">
        <f t="shared" si="15"/>
        <v>238</v>
      </c>
      <c r="AH103" s="42">
        <f t="shared" si="20"/>
        <v>2</v>
      </c>
      <c r="AI103" s="42">
        <f t="shared" si="20"/>
        <v>0</v>
      </c>
      <c r="AJ103" s="42">
        <f t="shared" si="20"/>
        <v>0</v>
      </c>
      <c r="AK103" s="42">
        <f t="shared" si="19"/>
        <v>0</v>
      </c>
      <c r="AL103" s="42">
        <f t="shared" si="19"/>
        <v>0</v>
      </c>
      <c r="AM103" s="42">
        <f t="shared" si="19"/>
        <v>0</v>
      </c>
      <c r="AN103" s="42">
        <f t="shared" si="19"/>
        <v>0</v>
      </c>
      <c r="AO103" s="42">
        <f t="shared" si="10"/>
        <v>2</v>
      </c>
    </row>
    <row r="104" spans="1:41" ht="15.75">
      <c r="A104" s="16">
        <f t="shared" si="18"/>
        <v>101</v>
      </c>
      <c r="B104" s="8">
        <v>1239</v>
      </c>
      <c r="C104" s="62" t="s">
        <v>1190</v>
      </c>
      <c r="D104" s="63" t="s">
        <v>1191</v>
      </c>
      <c r="E104" s="13" t="s">
        <v>1192</v>
      </c>
      <c r="F104" s="14" t="s">
        <v>1193</v>
      </c>
      <c r="G104" s="429" t="s">
        <v>6473</v>
      </c>
      <c r="H104" s="385">
        <v>30688</v>
      </c>
      <c r="I104" s="383">
        <v>42299</v>
      </c>
      <c r="J104" s="430" t="s">
        <v>6293</v>
      </c>
      <c r="K104" s="366" t="s">
        <v>6296</v>
      </c>
      <c r="L104" s="366" t="s">
        <v>6335</v>
      </c>
      <c r="M104" s="1">
        <v>192</v>
      </c>
      <c r="N104" s="431">
        <f t="shared" si="16"/>
        <v>7</v>
      </c>
      <c r="O104" s="432">
        <v>20</v>
      </c>
      <c r="P104" s="432">
        <v>0</v>
      </c>
      <c r="Q104" s="432">
        <v>0</v>
      </c>
      <c r="R104" s="1">
        <v>7</v>
      </c>
      <c r="S104" s="1">
        <v>10</v>
      </c>
      <c r="T104" s="300">
        <f t="shared" si="17"/>
        <v>236</v>
      </c>
      <c r="U104" s="3"/>
      <c r="V104" s="3"/>
      <c r="W104" s="3"/>
      <c r="X104" s="3"/>
      <c r="Y104" s="3"/>
      <c r="Z104" s="20">
        <f t="shared" si="14"/>
        <v>194</v>
      </c>
      <c r="AA104" s="20">
        <f t="shared" si="13"/>
        <v>7</v>
      </c>
      <c r="AB104" s="20">
        <f t="shared" si="13"/>
        <v>20</v>
      </c>
      <c r="AC104" s="20">
        <f t="shared" si="13"/>
        <v>0</v>
      </c>
      <c r="AD104" s="20">
        <f t="shared" si="12"/>
        <v>0</v>
      </c>
      <c r="AE104" s="20">
        <f t="shared" si="12"/>
        <v>7</v>
      </c>
      <c r="AF104" s="20">
        <f t="shared" si="12"/>
        <v>10</v>
      </c>
      <c r="AG104" s="300">
        <f t="shared" si="15"/>
        <v>238</v>
      </c>
      <c r="AH104" s="42">
        <f t="shared" si="20"/>
        <v>2</v>
      </c>
      <c r="AI104" s="42">
        <f t="shared" si="20"/>
        <v>0</v>
      </c>
      <c r="AJ104" s="42">
        <f t="shared" si="20"/>
        <v>0</v>
      </c>
      <c r="AK104" s="42">
        <f t="shared" si="19"/>
        <v>0</v>
      </c>
      <c r="AL104" s="42">
        <f t="shared" si="19"/>
        <v>0</v>
      </c>
      <c r="AM104" s="42">
        <f t="shared" si="19"/>
        <v>0</v>
      </c>
      <c r="AN104" s="42">
        <f t="shared" si="19"/>
        <v>0</v>
      </c>
      <c r="AO104" s="42">
        <f t="shared" si="10"/>
        <v>2</v>
      </c>
    </row>
    <row r="105" spans="1:41" ht="15.75">
      <c r="A105" s="16">
        <f t="shared" si="18"/>
        <v>102</v>
      </c>
      <c r="B105" s="8">
        <v>1240</v>
      </c>
      <c r="C105" s="62" t="s">
        <v>1197</v>
      </c>
      <c r="D105" s="63" t="s">
        <v>1198</v>
      </c>
      <c r="E105" s="13" t="s">
        <v>1199</v>
      </c>
      <c r="F105" s="14" t="s">
        <v>1200</v>
      </c>
      <c r="G105" s="429" t="s">
        <v>6473</v>
      </c>
      <c r="H105" s="385">
        <v>33423</v>
      </c>
      <c r="I105" s="383">
        <v>42299</v>
      </c>
      <c r="J105" s="430" t="s">
        <v>6293</v>
      </c>
      <c r="K105" s="366" t="s">
        <v>6308</v>
      </c>
      <c r="L105" s="366" t="s">
        <v>6335</v>
      </c>
      <c r="M105" s="1">
        <v>192</v>
      </c>
      <c r="N105" s="431">
        <f t="shared" si="16"/>
        <v>7</v>
      </c>
      <c r="O105" s="432">
        <v>20</v>
      </c>
      <c r="P105" s="432">
        <v>30</v>
      </c>
      <c r="Q105" s="432">
        <v>0</v>
      </c>
      <c r="R105" s="1">
        <v>7</v>
      </c>
      <c r="S105" s="1">
        <v>10</v>
      </c>
      <c r="T105" s="300">
        <f t="shared" si="17"/>
        <v>266</v>
      </c>
      <c r="U105" s="3"/>
      <c r="V105" s="3"/>
      <c r="W105" s="3"/>
      <c r="X105" s="3"/>
      <c r="Y105" s="3"/>
      <c r="Z105" s="20">
        <f t="shared" si="14"/>
        <v>194</v>
      </c>
      <c r="AA105" s="20">
        <f t="shared" si="13"/>
        <v>7</v>
      </c>
      <c r="AB105" s="20">
        <f t="shared" si="13"/>
        <v>20</v>
      </c>
      <c r="AC105" s="20">
        <f t="shared" si="13"/>
        <v>30</v>
      </c>
      <c r="AD105" s="20">
        <f t="shared" si="12"/>
        <v>0</v>
      </c>
      <c r="AE105" s="20">
        <f t="shared" si="12"/>
        <v>7</v>
      </c>
      <c r="AF105" s="20">
        <f t="shared" si="12"/>
        <v>10</v>
      </c>
      <c r="AG105" s="300">
        <f t="shared" si="15"/>
        <v>268</v>
      </c>
      <c r="AH105" s="42">
        <f t="shared" si="20"/>
        <v>2</v>
      </c>
      <c r="AI105" s="42">
        <f t="shared" si="20"/>
        <v>0</v>
      </c>
      <c r="AJ105" s="42">
        <f t="shared" si="20"/>
        <v>0</v>
      </c>
      <c r="AK105" s="42">
        <f t="shared" si="19"/>
        <v>0</v>
      </c>
      <c r="AL105" s="42">
        <f t="shared" si="19"/>
        <v>0</v>
      </c>
      <c r="AM105" s="42">
        <f t="shared" si="19"/>
        <v>0</v>
      </c>
      <c r="AN105" s="42">
        <f t="shared" si="19"/>
        <v>0</v>
      </c>
      <c r="AO105" s="42">
        <f t="shared" si="10"/>
        <v>2</v>
      </c>
    </row>
    <row r="106" spans="1:41" ht="15.75">
      <c r="A106" s="16">
        <f t="shared" si="18"/>
        <v>103</v>
      </c>
      <c r="B106" s="8">
        <v>1251</v>
      </c>
      <c r="C106" s="62" t="s">
        <v>1207</v>
      </c>
      <c r="D106" s="63" t="s">
        <v>1208</v>
      </c>
      <c r="E106" s="13" t="s">
        <v>1209</v>
      </c>
      <c r="F106" s="14" t="s">
        <v>1210</v>
      </c>
      <c r="G106" s="429" t="s">
        <v>6473</v>
      </c>
      <c r="H106" s="385">
        <v>34552</v>
      </c>
      <c r="I106" s="383">
        <v>42301</v>
      </c>
      <c r="J106" s="430" t="s">
        <v>6293</v>
      </c>
      <c r="K106" s="366" t="s">
        <v>6302</v>
      </c>
      <c r="L106" s="366" t="s">
        <v>6335</v>
      </c>
      <c r="M106" s="1">
        <v>192</v>
      </c>
      <c r="N106" s="431">
        <f t="shared" si="16"/>
        <v>7</v>
      </c>
      <c r="O106" s="432">
        <v>20</v>
      </c>
      <c r="P106" s="432">
        <v>0</v>
      </c>
      <c r="Q106" s="432">
        <v>0</v>
      </c>
      <c r="R106" s="1">
        <v>7</v>
      </c>
      <c r="S106" s="1">
        <v>10</v>
      </c>
      <c r="T106" s="300">
        <f t="shared" si="17"/>
        <v>236</v>
      </c>
      <c r="U106" s="3"/>
      <c r="V106" s="3"/>
      <c r="W106" s="3"/>
      <c r="X106" s="3"/>
      <c r="Y106" s="3"/>
      <c r="Z106" s="20">
        <f t="shared" si="14"/>
        <v>194</v>
      </c>
      <c r="AA106" s="20">
        <f t="shared" si="13"/>
        <v>7</v>
      </c>
      <c r="AB106" s="20">
        <f t="shared" si="13"/>
        <v>20</v>
      </c>
      <c r="AC106" s="20">
        <f t="shared" si="13"/>
        <v>0</v>
      </c>
      <c r="AD106" s="20">
        <f t="shared" si="12"/>
        <v>0</v>
      </c>
      <c r="AE106" s="20">
        <f t="shared" si="12"/>
        <v>7</v>
      </c>
      <c r="AF106" s="20">
        <f t="shared" si="12"/>
        <v>10</v>
      </c>
      <c r="AG106" s="300">
        <f t="shared" si="15"/>
        <v>238</v>
      </c>
      <c r="AH106" s="42">
        <f t="shared" si="20"/>
        <v>2</v>
      </c>
      <c r="AI106" s="42">
        <f t="shared" si="20"/>
        <v>0</v>
      </c>
      <c r="AJ106" s="42">
        <f t="shared" si="20"/>
        <v>0</v>
      </c>
      <c r="AK106" s="42">
        <f t="shared" si="19"/>
        <v>0</v>
      </c>
      <c r="AL106" s="42">
        <f t="shared" si="19"/>
        <v>0</v>
      </c>
      <c r="AM106" s="42">
        <f t="shared" si="19"/>
        <v>0</v>
      </c>
      <c r="AN106" s="42">
        <f t="shared" si="19"/>
        <v>0</v>
      </c>
      <c r="AO106" s="42">
        <f t="shared" si="10"/>
        <v>2</v>
      </c>
    </row>
    <row r="107" spans="1:41" ht="15.75">
      <c r="A107" s="16">
        <f t="shared" si="18"/>
        <v>104</v>
      </c>
      <c r="B107" s="8">
        <v>1255</v>
      </c>
      <c r="C107" s="62" t="s">
        <v>737</v>
      </c>
      <c r="D107" s="63" t="s">
        <v>330</v>
      </c>
      <c r="E107" s="13" t="s">
        <v>22</v>
      </c>
      <c r="F107" s="14" t="s">
        <v>1215</v>
      </c>
      <c r="G107" s="429" t="s">
        <v>6473</v>
      </c>
      <c r="H107" s="385">
        <v>31086</v>
      </c>
      <c r="I107" s="383">
        <v>42303</v>
      </c>
      <c r="J107" s="430" t="s">
        <v>6293</v>
      </c>
      <c r="K107" s="366" t="s">
        <v>6296</v>
      </c>
      <c r="L107" s="366" t="s">
        <v>6335</v>
      </c>
      <c r="M107" s="1">
        <v>192</v>
      </c>
      <c r="N107" s="431">
        <f t="shared" si="16"/>
        <v>7</v>
      </c>
      <c r="O107" s="432">
        <v>20</v>
      </c>
      <c r="P107" s="432">
        <v>0</v>
      </c>
      <c r="Q107" s="432">
        <v>0</v>
      </c>
      <c r="R107" s="1">
        <v>7</v>
      </c>
      <c r="S107" s="1">
        <v>10</v>
      </c>
      <c r="T107" s="300">
        <f t="shared" si="17"/>
        <v>236</v>
      </c>
      <c r="U107" s="3"/>
      <c r="V107" s="3"/>
      <c r="W107" s="3"/>
      <c r="X107" s="3"/>
      <c r="Y107" s="3"/>
      <c r="Z107" s="20">
        <f t="shared" si="14"/>
        <v>194</v>
      </c>
      <c r="AA107" s="20">
        <f t="shared" si="13"/>
        <v>7</v>
      </c>
      <c r="AB107" s="20">
        <f t="shared" si="13"/>
        <v>20</v>
      </c>
      <c r="AC107" s="20">
        <f t="shared" si="13"/>
        <v>0</v>
      </c>
      <c r="AD107" s="20">
        <f t="shared" si="12"/>
        <v>0</v>
      </c>
      <c r="AE107" s="20">
        <f t="shared" si="12"/>
        <v>7</v>
      </c>
      <c r="AF107" s="20">
        <f t="shared" si="12"/>
        <v>10</v>
      </c>
      <c r="AG107" s="300">
        <f t="shared" si="15"/>
        <v>238</v>
      </c>
      <c r="AH107" s="42">
        <f t="shared" si="20"/>
        <v>2</v>
      </c>
      <c r="AI107" s="42">
        <f t="shared" si="20"/>
        <v>0</v>
      </c>
      <c r="AJ107" s="42">
        <f t="shared" si="20"/>
        <v>0</v>
      </c>
      <c r="AK107" s="42">
        <f t="shared" si="19"/>
        <v>0</v>
      </c>
      <c r="AL107" s="42">
        <f t="shared" si="19"/>
        <v>0</v>
      </c>
      <c r="AM107" s="42">
        <f t="shared" si="19"/>
        <v>0</v>
      </c>
      <c r="AN107" s="42">
        <f t="shared" si="19"/>
        <v>0</v>
      </c>
      <c r="AO107" s="42">
        <f t="shared" si="10"/>
        <v>2</v>
      </c>
    </row>
    <row r="108" spans="1:41" ht="15.75">
      <c r="A108" s="16">
        <f t="shared" si="18"/>
        <v>105</v>
      </c>
      <c r="B108" s="8">
        <v>1266</v>
      </c>
      <c r="C108" s="62" t="s">
        <v>1218</v>
      </c>
      <c r="D108" s="63" t="s">
        <v>1219</v>
      </c>
      <c r="E108" s="13" t="s">
        <v>1220</v>
      </c>
      <c r="F108" s="14" t="s">
        <v>1221</v>
      </c>
      <c r="G108" s="429" t="s">
        <v>6473</v>
      </c>
      <c r="H108" s="385">
        <v>32614</v>
      </c>
      <c r="I108" s="383">
        <v>42300</v>
      </c>
      <c r="J108" s="430" t="s">
        <v>6293</v>
      </c>
      <c r="K108" s="366" t="s">
        <v>6297</v>
      </c>
      <c r="L108" s="366" t="s">
        <v>6335</v>
      </c>
      <c r="M108" s="1">
        <v>192</v>
      </c>
      <c r="N108" s="431">
        <f t="shared" si="16"/>
        <v>7</v>
      </c>
      <c r="O108" s="432">
        <v>20</v>
      </c>
      <c r="P108" s="432">
        <v>0</v>
      </c>
      <c r="Q108" s="432">
        <v>0</v>
      </c>
      <c r="R108" s="1">
        <v>7</v>
      </c>
      <c r="S108" s="1">
        <v>10</v>
      </c>
      <c r="T108" s="300">
        <f t="shared" si="17"/>
        <v>236</v>
      </c>
      <c r="U108" s="3"/>
      <c r="V108" s="3"/>
      <c r="W108" s="3"/>
      <c r="X108" s="3"/>
      <c r="Y108" s="3"/>
      <c r="Z108" s="20">
        <f t="shared" si="14"/>
        <v>194</v>
      </c>
      <c r="AA108" s="20">
        <f t="shared" si="13"/>
        <v>7</v>
      </c>
      <c r="AB108" s="20">
        <f t="shared" si="13"/>
        <v>20</v>
      </c>
      <c r="AC108" s="20">
        <f t="shared" si="13"/>
        <v>0</v>
      </c>
      <c r="AD108" s="20">
        <f t="shared" si="12"/>
        <v>0</v>
      </c>
      <c r="AE108" s="20">
        <f t="shared" si="12"/>
        <v>7</v>
      </c>
      <c r="AF108" s="20">
        <f t="shared" si="12"/>
        <v>10</v>
      </c>
      <c r="AG108" s="300">
        <f t="shared" si="15"/>
        <v>238</v>
      </c>
      <c r="AH108" s="42">
        <f t="shared" si="20"/>
        <v>2</v>
      </c>
      <c r="AI108" s="42">
        <f t="shared" si="20"/>
        <v>0</v>
      </c>
      <c r="AJ108" s="42">
        <f t="shared" si="20"/>
        <v>0</v>
      </c>
      <c r="AK108" s="42">
        <f t="shared" si="19"/>
        <v>0</v>
      </c>
      <c r="AL108" s="42">
        <f t="shared" si="19"/>
        <v>0</v>
      </c>
      <c r="AM108" s="42">
        <f t="shared" si="19"/>
        <v>0</v>
      </c>
      <c r="AN108" s="42">
        <f t="shared" si="19"/>
        <v>0</v>
      </c>
      <c r="AO108" s="42">
        <f t="shared" si="10"/>
        <v>2</v>
      </c>
    </row>
    <row r="109" spans="1:41" ht="15.75">
      <c r="A109" s="16">
        <f t="shared" si="18"/>
        <v>106</v>
      </c>
      <c r="B109" s="8">
        <v>1268</v>
      </c>
      <c r="C109" s="62" t="s">
        <v>1225</v>
      </c>
      <c r="D109" s="63" t="s">
        <v>1226</v>
      </c>
      <c r="E109" s="13" t="s">
        <v>537</v>
      </c>
      <c r="F109" s="14" t="s">
        <v>1227</v>
      </c>
      <c r="G109" s="429" t="s">
        <v>6473</v>
      </c>
      <c r="H109" s="385">
        <v>33728</v>
      </c>
      <c r="I109" s="383">
        <v>42304</v>
      </c>
      <c r="J109" s="430" t="s">
        <v>6293</v>
      </c>
      <c r="K109" s="366" t="s">
        <v>6125</v>
      </c>
      <c r="L109" s="366" t="s">
        <v>6339</v>
      </c>
      <c r="M109" s="1">
        <v>192</v>
      </c>
      <c r="N109" s="431">
        <f t="shared" si="16"/>
        <v>7</v>
      </c>
      <c r="O109" s="432">
        <v>20</v>
      </c>
      <c r="P109" s="432">
        <v>0</v>
      </c>
      <c r="Q109" s="432">
        <v>0</v>
      </c>
      <c r="R109" s="1">
        <v>7</v>
      </c>
      <c r="S109" s="1">
        <v>10</v>
      </c>
      <c r="T109" s="300">
        <f t="shared" si="17"/>
        <v>236</v>
      </c>
      <c r="U109" s="3"/>
      <c r="V109" s="3"/>
      <c r="W109" s="3"/>
      <c r="X109" s="3"/>
      <c r="Y109" s="3"/>
      <c r="Z109" s="20">
        <f t="shared" si="14"/>
        <v>194</v>
      </c>
      <c r="AA109" s="20">
        <f t="shared" si="13"/>
        <v>7</v>
      </c>
      <c r="AB109" s="20">
        <f t="shared" si="13"/>
        <v>20</v>
      </c>
      <c r="AC109" s="20">
        <f t="shared" si="13"/>
        <v>0</v>
      </c>
      <c r="AD109" s="20">
        <f t="shared" si="12"/>
        <v>0</v>
      </c>
      <c r="AE109" s="20">
        <f t="shared" si="12"/>
        <v>7</v>
      </c>
      <c r="AF109" s="20">
        <f t="shared" si="12"/>
        <v>10</v>
      </c>
      <c r="AG109" s="300">
        <f t="shared" si="15"/>
        <v>238</v>
      </c>
      <c r="AH109" s="42">
        <f t="shared" si="20"/>
        <v>2</v>
      </c>
      <c r="AI109" s="42">
        <f t="shared" si="20"/>
        <v>0</v>
      </c>
      <c r="AJ109" s="42">
        <f t="shared" si="20"/>
        <v>0</v>
      </c>
      <c r="AK109" s="42">
        <f t="shared" si="19"/>
        <v>0</v>
      </c>
      <c r="AL109" s="42">
        <f t="shared" si="19"/>
        <v>0</v>
      </c>
      <c r="AM109" s="42">
        <f t="shared" si="19"/>
        <v>0</v>
      </c>
      <c r="AN109" s="42">
        <f t="shared" si="19"/>
        <v>0</v>
      </c>
      <c r="AO109" s="42">
        <f t="shared" si="10"/>
        <v>2</v>
      </c>
    </row>
    <row r="110" spans="1:41" ht="15.75">
      <c r="A110" s="16">
        <f t="shared" si="18"/>
        <v>107</v>
      </c>
      <c r="B110" s="8">
        <v>1300</v>
      </c>
      <c r="C110" s="62" t="s">
        <v>1240</v>
      </c>
      <c r="D110" s="63" t="s">
        <v>1241</v>
      </c>
      <c r="E110" s="13" t="s">
        <v>1242</v>
      </c>
      <c r="F110" s="14" t="s">
        <v>1243</v>
      </c>
      <c r="G110" s="429" t="s">
        <v>6473</v>
      </c>
      <c r="H110" s="385">
        <v>30043</v>
      </c>
      <c r="I110" s="383">
        <v>42310</v>
      </c>
      <c r="J110" s="430" t="s">
        <v>6293</v>
      </c>
      <c r="K110" s="366" t="s">
        <v>6097</v>
      </c>
      <c r="L110" s="366" t="s">
        <v>6335</v>
      </c>
      <c r="M110" s="1">
        <v>192</v>
      </c>
      <c r="N110" s="431">
        <f t="shared" si="16"/>
        <v>7</v>
      </c>
      <c r="O110" s="432">
        <v>20</v>
      </c>
      <c r="P110" s="432">
        <v>0</v>
      </c>
      <c r="Q110" s="432">
        <v>0</v>
      </c>
      <c r="R110" s="1">
        <v>7</v>
      </c>
      <c r="S110" s="1">
        <v>10</v>
      </c>
      <c r="T110" s="300">
        <f t="shared" si="17"/>
        <v>236</v>
      </c>
      <c r="U110" s="3"/>
      <c r="V110" s="3"/>
      <c r="W110" s="3"/>
      <c r="X110" s="3"/>
      <c r="Y110" s="3"/>
      <c r="Z110" s="20">
        <f t="shared" si="14"/>
        <v>194</v>
      </c>
      <c r="AA110" s="20">
        <f t="shared" si="13"/>
        <v>7</v>
      </c>
      <c r="AB110" s="20">
        <f t="shared" si="13"/>
        <v>20</v>
      </c>
      <c r="AC110" s="20">
        <f t="shared" si="13"/>
        <v>0</v>
      </c>
      <c r="AD110" s="20">
        <f t="shared" si="12"/>
        <v>0</v>
      </c>
      <c r="AE110" s="20">
        <f t="shared" si="12"/>
        <v>7</v>
      </c>
      <c r="AF110" s="20">
        <f t="shared" si="12"/>
        <v>10</v>
      </c>
      <c r="AG110" s="300">
        <f t="shared" si="15"/>
        <v>238</v>
      </c>
      <c r="AH110" s="42">
        <f t="shared" si="20"/>
        <v>2</v>
      </c>
      <c r="AI110" s="42">
        <f t="shared" si="20"/>
        <v>0</v>
      </c>
      <c r="AJ110" s="42">
        <f t="shared" si="20"/>
        <v>0</v>
      </c>
      <c r="AK110" s="42">
        <f t="shared" si="19"/>
        <v>0</v>
      </c>
      <c r="AL110" s="42">
        <f t="shared" si="19"/>
        <v>0</v>
      </c>
      <c r="AM110" s="42">
        <f t="shared" si="19"/>
        <v>0</v>
      </c>
      <c r="AN110" s="42">
        <f t="shared" si="19"/>
        <v>0</v>
      </c>
      <c r="AO110" s="42">
        <f t="shared" si="10"/>
        <v>2</v>
      </c>
    </row>
    <row r="111" spans="1:41" ht="15.75">
      <c r="A111" s="16">
        <f t="shared" si="18"/>
        <v>108</v>
      </c>
      <c r="B111" s="8">
        <v>1302</v>
      </c>
      <c r="C111" s="62" t="s">
        <v>1248</v>
      </c>
      <c r="D111" s="63" t="s">
        <v>1249</v>
      </c>
      <c r="E111" s="13" t="s">
        <v>1250</v>
      </c>
      <c r="F111" s="14" t="s">
        <v>1251</v>
      </c>
      <c r="G111" s="429" t="s">
        <v>6473</v>
      </c>
      <c r="H111" s="385">
        <v>30195</v>
      </c>
      <c r="I111" s="383">
        <v>42311</v>
      </c>
      <c r="J111" s="430" t="s">
        <v>6293</v>
      </c>
      <c r="K111" s="366" t="s">
        <v>6296</v>
      </c>
      <c r="L111" s="366" t="s">
        <v>6335</v>
      </c>
      <c r="M111" s="1">
        <v>192</v>
      </c>
      <c r="N111" s="431">
        <f t="shared" si="16"/>
        <v>7</v>
      </c>
      <c r="O111" s="432">
        <v>20</v>
      </c>
      <c r="P111" s="432">
        <v>0</v>
      </c>
      <c r="Q111" s="432">
        <v>0</v>
      </c>
      <c r="R111" s="1">
        <v>7</v>
      </c>
      <c r="S111" s="1">
        <v>10</v>
      </c>
      <c r="T111" s="300">
        <f t="shared" si="17"/>
        <v>236</v>
      </c>
      <c r="U111" s="3"/>
      <c r="V111" s="3"/>
      <c r="W111" s="3"/>
      <c r="X111" s="3"/>
      <c r="Y111" s="3"/>
      <c r="Z111" s="20">
        <f t="shared" si="14"/>
        <v>194</v>
      </c>
      <c r="AA111" s="20">
        <f t="shared" si="13"/>
        <v>7</v>
      </c>
      <c r="AB111" s="20">
        <f t="shared" si="13"/>
        <v>20</v>
      </c>
      <c r="AC111" s="20">
        <f t="shared" si="13"/>
        <v>0</v>
      </c>
      <c r="AD111" s="20">
        <f t="shared" si="12"/>
        <v>0</v>
      </c>
      <c r="AE111" s="20">
        <f t="shared" si="12"/>
        <v>7</v>
      </c>
      <c r="AF111" s="20">
        <f t="shared" si="12"/>
        <v>10</v>
      </c>
      <c r="AG111" s="300">
        <f t="shared" si="15"/>
        <v>238</v>
      </c>
      <c r="AH111" s="42">
        <f t="shared" si="20"/>
        <v>2</v>
      </c>
      <c r="AI111" s="42">
        <f t="shared" si="20"/>
        <v>0</v>
      </c>
      <c r="AJ111" s="42">
        <f t="shared" si="20"/>
        <v>0</v>
      </c>
      <c r="AK111" s="42">
        <f t="shared" si="19"/>
        <v>0</v>
      </c>
      <c r="AL111" s="42">
        <f t="shared" si="19"/>
        <v>0</v>
      </c>
      <c r="AM111" s="42">
        <f t="shared" si="19"/>
        <v>0</v>
      </c>
      <c r="AN111" s="42">
        <f t="shared" si="19"/>
        <v>0</v>
      </c>
      <c r="AO111" s="42">
        <f t="shared" si="10"/>
        <v>2</v>
      </c>
    </row>
    <row r="112" spans="1:41" ht="15.75">
      <c r="A112" s="16">
        <f t="shared" si="18"/>
        <v>109</v>
      </c>
      <c r="B112" s="8">
        <v>1320</v>
      </c>
      <c r="C112" s="62" t="s">
        <v>1257</v>
      </c>
      <c r="D112" s="63" t="s">
        <v>1258</v>
      </c>
      <c r="E112" s="13" t="s">
        <v>1259</v>
      </c>
      <c r="F112" s="14" t="s">
        <v>1260</v>
      </c>
      <c r="G112" s="429" t="s">
        <v>6473</v>
      </c>
      <c r="H112" s="385">
        <v>30420</v>
      </c>
      <c r="I112" s="383">
        <v>42312</v>
      </c>
      <c r="J112" s="430" t="s">
        <v>6293</v>
      </c>
      <c r="K112" s="366" t="s">
        <v>6097</v>
      </c>
      <c r="L112" s="366" t="s">
        <v>6335</v>
      </c>
      <c r="M112" s="1">
        <v>192</v>
      </c>
      <c r="N112" s="431">
        <f t="shared" si="16"/>
        <v>7</v>
      </c>
      <c r="O112" s="432">
        <v>20</v>
      </c>
      <c r="P112" s="432">
        <v>0</v>
      </c>
      <c r="Q112" s="432">
        <v>0</v>
      </c>
      <c r="R112" s="1">
        <v>7</v>
      </c>
      <c r="S112" s="1">
        <v>10</v>
      </c>
      <c r="T112" s="300">
        <f t="shared" si="17"/>
        <v>236</v>
      </c>
      <c r="U112" s="3"/>
      <c r="V112" s="3"/>
      <c r="W112" s="3"/>
      <c r="X112" s="3"/>
      <c r="Y112" s="3"/>
      <c r="Z112" s="20">
        <f t="shared" si="14"/>
        <v>194</v>
      </c>
      <c r="AA112" s="20">
        <f t="shared" si="13"/>
        <v>7</v>
      </c>
      <c r="AB112" s="20">
        <f t="shared" si="13"/>
        <v>20</v>
      </c>
      <c r="AC112" s="20">
        <f t="shared" si="13"/>
        <v>0</v>
      </c>
      <c r="AD112" s="20">
        <f t="shared" si="12"/>
        <v>0</v>
      </c>
      <c r="AE112" s="20">
        <f t="shared" si="12"/>
        <v>7</v>
      </c>
      <c r="AF112" s="20">
        <f t="shared" si="12"/>
        <v>10</v>
      </c>
      <c r="AG112" s="300">
        <f t="shared" si="15"/>
        <v>238</v>
      </c>
      <c r="AH112" s="42">
        <f t="shared" si="20"/>
        <v>2</v>
      </c>
      <c r="AI112" s="42">
        <f t="shared" si="20"/>
        <v>0</v>
      </c>
      <c r="AJ112" s="42">
        <f t="shared" si="20"/>
        <v>0</v>
      </c>
      <c r="AK112" s="42">
        <f t="shared" si="19"/>
        <v>0</v>
      </c>
      <c r="AL112" s="42">
        <f t="shared" si="19"/>
        <v>0</v>
      </c>
      <c r="AM112" s="42">
        <f t="shared" si="19"/>
        <v>0</v>
      </c>
      <c r="AN112" s="42">
        <f t="shared" si="19"/>
        <v>0</v>
      </c>
      <c r="AO112" s="42">
        <f t="shared" si="10"/>
        <v>2</v>
      </c>
    </row>
    <row r="113" spans="1:41" ht="15.75">
      <c r="A113" s="16">
        <f t="shared" si="18"/>
        <v>110</v>
      </c>
      <c r="B113" s="8">
        <v>1349</v>
      </c>
      <c r="C113" s="62" t="s">
        <v>786</v>
      </c>
      <c r="D113" s="63" t="s">
        <v>700</v>
      </c>
      <c r="E113" s="13" t="s">
        <v>788</v>
      </c>
      <c r="F113" s="14" t="s">
        <v>15</v>
      </c>
      <c r="G113" s="429" t="s">
        <v>6473</v>
      </c>
      <c r="H113" s="385">
        <v>33258</v>
      </c>
      <c r="I113" s="383">
        <v>42320</v>
      </c>
      <c r="J113" s="430" t="s">
        <v>6293</v>
      </c>
      <c r="K113" s="366" t="s">
        <v>6301</v>
      </c>
      <c r="L113" s="366" t="s">
        <v>6335</v>
      </c>
      <c r="M113" s="1">
        <v>192</v>
      </c>
      <c r="N113" s="431">
        <f t="shared" si="16"/>
        <v>7</v>
      </c>
      <c r="O113" s="432">
        <v>20</v>
      </c>
      <c r="P113" s="432">
        <v>0</v>
      </c>
      <c r="Q113" s="432">
        <v>0</v>
      </c>
      <c r="R113" s="1">
        <v>7</v>
      </c>
      <c r="S113" s="1">
        <v>10</v>
      </c>
      <c r="T113" s="300">
        <f t="shared" si="17"/>
        <v>236</v>
      </c>
      <c r="U113" s="3"/>
      <c r="V113" s="3"/>
      <c r="W113" s="3"/>
      <c r="X113" s="3"/>
      <c r="Y113" s="3"/>
      <c r="Z113" s="20">
        <f t="shared" si="14"/>
        <v>194</v>
      </c>
      <c r="AA113" s="20">
        <f t="shared" si="13"/>
        <v>7</v>
      </c>
      <c r="AB113" s="20">
        <f t="shared" si="13"/>
        <v>20</v>
      </c>
      <c r="AC113" s="20">
        <f t="shared" si="13"/>
        <v>0</v>
      </c>
      <c r="AD113" s="20">
        <f t="shared" si="12"/>
        <v>0</v>
      </c>
      <c r="AE113" s="20">
        <f t="shared" si="12"/>
        <v>7</v>
      </c>
      <c r="AF113" s="20">
        <f t="shared" si="12"/>
        <v>10</v>
      </c>
      <c r="AG113" s="300">
        <f t="shared" si="15"/>
        <v>238</v>
      </c>
      <c r="AH113" s="42">
        <f t="shared" si="20"/>
        <v>2</v>
      </c>
      <c r="AI113" s="42">
        <f t="shared" si="20"/>
        <v>0</v>
      </c>
      <c r="AJ113" s="42">
        <f t="shared" si="20"/>
        <v>0</v>
      </c>
      <c r="AK113" s="42">
        <f t="shared" si="19"/>
        <v>0</v>
      </c>
      <c r="AL113" s="42">
        <f t="shared" si="19"/>
        <v>0</v>
      </c>
      <c r="AM113" s="42">
        <f t="shared" si="19"/>
        <v>0</v>
      </c>
      <c r="AN113" s="42">
        <f t="shared" si="19"/>
        <v>0</v>
      </c>
      <c r="AO113" s="42">
        <f t="shared" si="10"/>
        <v>2</v>
      </c>
    </row>
    <row r="114" spans="1:41" ht="15.75">
      <c r="A114" s="16">
        <f t="shared" si="18"/>
        <v>111</v>
      </c>
      <c r="B114" s="8">
        <v>1350</v>
      </c>
      <c r="C114" s="62" t="s">
        <v>1272</v>
      </c>
      <c r="D114" s="63" t="s">
        <v>1273</v>
      </c>
      <c r="E114" s="13" t="s">
        <v>1274</v>
      </c>
      <c r="F114" s="14" t="s">
        <v>1275</v>
      </c>
      <c r="G114" s="429" t="s">
        <v>6473</v>
      </c>
      <c r="H114" s="385">
        <v>27851</v>
      </c>
      <c r="I114" s="383">
        <v>42321</v>
      </c>
      <c r="J114" s="430" t="s">
        <v>6293</v>
      </c>
      <c r="K114" s="366" t="s">
        <v>6097</v>
      </c>
      <c r="L114" s="366" t="s">
        <v>6335</v>
      </c>
      <c r="M114" s="1">
        <v>192</v>
      </c>
      <c r="N114" s="431">
        <f t="shared" si="16"/>
        <v>7</v>
      </c>
      <c r="O114" s="432">
        <v>20</v>
      </c>
      <c r="P114" s="432">
        <v>0</v>
      </c>
      <c r="Q114" s="432">
        <v>0</v>
      </c>
      <c r="R114" s="1">
        <v>7</v>
      </c>
      <c r="S114" s="1">
        <v>10</v>
      </c>
      <c r="T114" s="300">
        <f t="shared" si="17"/>
        <v>236</v>
      </c>
      <c r="U114" s="3"/>
      <c r="V114" s="3"/>
      <c r="W114" s="3"/>
      <c r="X114" s="3"/>
      <c r="Y114" s="3"/>
      <c r="Z114" s="20">
        <f t="shared" si="14"/>
        <v>194</v>
      </c>
      <c r="AA114" s="20">
        <f t="shared" si="13"/>
        <v>7</v>
      </c>
      <c r="AB114" s="20">
        <f t="shared" si="13"/>
        <v>20</v>
      </c>
      <c r="AC114" s="20">
        <f t="shared" si="13"/>
        <v>0</v>
      </c>
      <c r="AD114" s="20">
        <f t="shared" si="12"/>
        <v>0</v>
      </c>
      <c r="AE114" s="20">
        <f t="shared" si="12"/>
        <v>7</v>
      </c>
      <c r="AF114" s="20">
        <f t="shared" si="12"/>
        <v>10</v>
      </c>
      <c r="AG114" s="300">
        <f t="shared" si="15"/>
        <v>238</v>
      </c>
      <c r="AH114" s="42">
        <f t="shared" si="20"/>
        <v>2</v>
      </c>
      <c r="AI114" s="42">
        <f t="shared" si="20"/>
        <v>0</v>
      </c>
      <c r="AJ114" s="42">
        <f t="shared" si="20"/>
        <v>0</v>
      </c>
      <c r="AK114" s="42">
        <f t="shared" si="19"/>
        <v>0</v>
      </c>
      <c r="AL114" s="42">
        <f t="shared" si="19"/>
        <v>0</v>
      </c>
      <c r="AM114" s="42">
        <f t="shared" si="19"/>
        <v>0</v>
      </c>
      <c r="AN114" s="42">
        <f t="shared" si="19"/>
        <v>0</v>
      </c>
      <c r="AO114" s="42">
        <f t="shared" si="19"/>
        <v>2</v>
      </c>
    </row>
    <row r="115" spans="1:41" ht="15.75">
      <c r="A115" s="16">
        <f t="shared" si="18"/>
        <v>112</v>
      </c>
      <c r="B115" s="8">
        <v>1353</v>
      </c>
      <c r="C115" s="62" t="s">
        <v>1280</v>
      </c>
      <c r="D115" s="63" t="s">
        <v>1281</v>
      </c>
      <c r="E115" s="13" t="s">
        <v>1282</v>
      </c>
      <c r="F115" s="14" t="s">
        <v>1283</v>
      </c>
      <c r="G115" s="429" t="s">
        <v>6475</v>
      </c>
      <c r="H115" s="385">
        <v>32515</v>
      </c>
      <c r="I115" s="383">
        <v>42321</v>
      </c>
      <c r="J115" s="430" t="s">
        <v>6293</v>
      </c>
      <c r="K115" s="366" t="s">
        <v>45</v>
      </c>
      <c r="L115" s="366" t="s">
        <v>5</v>
      </c>
      <c r="M115" s="1">
        <v>192</v>
      </c>
      <c r="N115" s="431">
        <f t="shared" si="16"/>
        <v>7</v>
      </c>
      <c r="O115" s="432">
        <v>20</v>
      </c>
      <c r="P115" s="432">
        <v>148</v>
      </c>
      <c r="Q115" s="432">
        <v>20</v>
      </c>
      <c r="R115" s="1">
        <v>7</v>
      </c>
      <c r="S115" s="1">
        <v>10</v>
      </c>
      <c r="T115" s="300">
        <f t="shared" si="17"/>
        <v>404</v>
      </c>
      <c r="U115" s="3"/>
      <c r="V115" s="3"/>
      <c r="W115" s="3"/>
      <c r="X115" s="3"/>
      <c r="Y115" s="3"/>
      <c r="Z115" s="20">
        <f t="shared" si="14"/>
        <v>194</v>
      </c>
      <c r="AA115" s="20">
        <f t="shared" si="13"/>
        <v>7</v>
      </c>
      <c r="AB115" s="20">
        <f t="shared" si="13"/>
        <v>20</v>
      </c>
      <c r="AC115" s="20">
        <f t="shared" si="13"/>
        <v>148</v>
      </c>
      <c r="AD115" s="20">
        <f t="shared" si="12"/>
        <v>20</v>
      </c>
      <c r="AE115" s="20">
        <f t="shared" si="12"/>
        <v>7</v>
      </c>
      <c r="AF115" s="20">
        <f t="shared" si="12"/>
        <v>10</v>
      </c>
      <c r="AG115" s="300">
        <f t="shared" si="15"/>
        <v>406</v>
      </c>
      <c r="AH115" s="42">
        <f t="shared" si="20"/>
        <v>2</v>
      </c>
      <c r="AI115" s="42">
        <f t="shared" si="20"/>
        <v>0</v>
      </c>
      <c r="AJ115" s="42">
        <f t="shared" si="20"/>
        <v>0</v>
      </c>
      <c r="AK115" s="42">
        <f t="shared" si="19"/>
        <v>0</v>
      </c>
      <c r="AL115" s="42">
        <f t="shared" si="19"/>
        <v>0</v>
      </c>
      <c r="AM115" s="42">
        <f t="shared" si="19"/>
        <v>0</v>
      </c>
      <c r="AN115" s="42">
        <f t="shared" si="19"/>
        <v>0</v>
      </c>
      <c r="AO115" s="42">
        <f t="shared" si="19"/>
        <v>2</v>
      </c>
    </row>
    <row r="116" spans="1:41" ht="15.75">
      <c r="A116" s="16">
        <f t="shared" si="18"/>
        <v>113</v>
      </c>
      <c r="B116" s="8">
        <v>1384</v>
      </c>
      <c r="C116" s="62" t="s">
        <v>676</v>
      </c>
      <c r="D116" s="63" t="s">
        <v>1299</v>
      </c>
      <c r="E116" s="13" t="s">
        <v>1300</v>
      </c>
      <c r="F116" s="14" t="s">
        <v>908</v>
      </c>
      <c r="G116" s="429" t="s">
        <v>6473</v>
      </c>
      <c r="H116" s="385">
        <v>30878</v>
      </c>
      <c r="I116" s="383">
        <v>42332</v>
      </c>
      <c r="J116" s="430" t="s">
        <v>6293</v>
      </c>
      <c r="K116" s="366" t="s">
        <v>6299</v>
      </c>
      <c r="L116" s="366" t="s">
        <v>6335</v>
      </c>
      <c r="M116" s="1">
        <v>192</v>
      </c>
      <c r="N116" s="431">
        <f t="shared" si="16"/>
        <v>7</v>
      </c>
      <c r="O116" s="432">
        <v>20</v>
      </c>
      <c r="P116" s="432">
        <v>0</v>
      </c>
      <c r="Q116" s="432">
        <v>0</v>
      </c>
      <c r="R116" s="1">
        <v>7</v>
      </c>
      <c r="S116" s="1">
        <v>10</v>
      </c>
      <c r="T116" s="300">
        <f t="shared" si="17"/>
        <v>236</v>
      </c>
      <c r="U116" s="3"/>
      <c r="V116" s="3"/>
      <c r="W116" s="3"/>
      <c r="X116" s="3"/>
      <c r="Y116" s="3"/>
      <c r="Z116" s="20">
        <f t="shared" si="14"/>
        <v>194</v>
      </c>
      <c r="AA116" s="20">
        <f t="shared" si="13"/>
        <v>7</v>
      </c>
      <c r="AB116" s="20">
        <f t="shared" si="13"/>
        <v>20</v>
      </c>
      <c r="AC116" s="20">
        <f t="shared" si="13"/>
        <v>0</v>
      </c>
      <c r="AD116" s="20">
        <f t="shared" si="12"/>
        <v>0</v>
      </c>
      <c r="AE116" s="20">
        <f t="shared" si="12"/>
        <v>7</v>
      </c>
      <c r="AF116" s="20">
        <f t="shared" si="12"/>
        <v>10</v>
      </c>
      <c r="AG116" s="300">
        <f t="shared" si="15"/>
        <v>238</v>
      </c>
      <c r="AH116" s="42">
        <f t="shared" si="20"/>
        <v>2</v>
      </c>
      <c r="AI116" s="42">
        <f t="shared" si="20"/>
        <v>0</v>
      </c>
      <c r="AJ116" s="42">
        <f t="shared" si="20"/>
        <v>0</v>
      </c>
      <c r="AK116" s="42">
        <f t="shared" si="19"/>
        <v>0</v>
      </c>
      <c r="AL116" s="42">
        <f t="shared" si="19"/>
        <v>0</v>
      </c>
      <c r="AM116" s="42">
        <f t="shared" si="19"/>
        <v>0</v>
      </c>
      <c r="AN116" s="42">
        <f t="shared" si="19"/>
        <v>0</v>
      </c>
      <c r="AO116" s="42">
        <f t="shared" si="19"/>
        <v>2</v>
      </c>
    </row>
    <row r="117" spans="1:41" ht="15.75">
      <c r="A117" s="16">
        <f t="shared" si="18"/>
        <v>114</v>
      </c>
      <c r="B117" s="8">
        <v>1385</v>
      </c>
      <c r="C117" s="62" t="s">
        <v>958</v>
      </c>
      <c r="D117" s="63" t="s">
        <v>1303</v>
      </c>
      <c r="E117" s="13" t="s">
        <v>959</v>
      </c>
      <c r="F117" s="14" t="s">
        <v>1304</v>
      </c>
      <c r="G117" s="429" t="s">
        <v>6475</v>
      </c>
      <c r="H117" s="385">
        <v>34705</v>
      </c>
      <c r="I117" s="383">
        <v>42332</v>
      </c>
      <c r="J117" s="430" t="s">
        <v>6159</v>
      </c>
      <c r="K117" s="366" t="s">
        <v>3594</v>
      </c>
      <c r="L117" s="366" t="s">
        <v>6306</v>
      </c>
      <c r="M117" s="1">
        <v>192</v>
      </c>
      <c r="N117" s="431">
        <f t="shared" si="16"/>
        <v>7</v>
      </c>
      <c r="O117" s="432">
        <v>20</v>
      </c>
      <c r="P117" s="432">
        <v>40</v>
      </c>
      <c r="Q117" s="432">
        <v>24</v>
      </c>
      <c r="R117" s="1">
        <v>7</v>
      </c>
      <c r="S117" s="1">
        <v>10</v>
      </c>
      <c r="T117" s="300">
        <f t="shared" si="17"/>
        <v>300</v>
      </c>
      <c r="U117" s="3"/>
      <c r="V117" s="3"/>
      <c r="W117" s="3"/>
      <c r="X117" s="3"/>
      <c r="Y117" s="3"/>
      <c r="Z117" s="20">
        <f t="shared" si="14"/>
        <v>194</v>
      </c>
      <c r="AA117" s="20">
        <f t="shared" si="13"/>
        <v>7</v>
      </c>
      <c r="AB117" s="20">
        <f t="shared" si="13"/>
        <v>20</v>
      </c>
      <c r="AC117" s="20">
        <f t="shared" si="13"/>
        <v>40</v>
      </c>
      <c r="AD117" s="20">
        <f t="shared" si="12"/>
        <v>24</v>
      </c>
      <c r="AE117" s="20">
        <f t="shared" si="12"/>
        <v>7</v>
      </c>
      <c r="AF117" s="20">
        <f t="shared" si="12"/>
        <v>10</v>
      </c>
      <c r="AG117" s="300">
        <f t="shared" si="15"/>
        <v>302</v>
      </c>
      <c r="AH117" s="42">
        <f t="shared" si="20"/>
        <v>2</v>
      </c>
      <c r="AI117" s="42">
        <f t="shared" si="20"/>
        <v>0</v>
      </c>
      <c r="AJ117" s="42">
        <f t="shared" si="20"/>
        <v>0</v>
      </c>
      <c r="AK117" s="42">
        <f t="shared" si="19"/>
        <v>0</v>
      </c>
      <c r="AL117" s="42">
        <f t="shared" si="19"/>
        <v>0</v>
      </c>
      <c r="AM117" s="42">
        <f t="shared" si="19"/>
        <v>0</v>
      </c>
      <c r="AN117" s="42">
        <f t="shared" si="19"/>
        <v>0</v>
      </c>
      <c r="AO117" s="42">
        <f t="shared" si="19"/>
        <v>2</v>
      </c>
    </row>
    <row r="118" spans="1:41" ht="15.75">
      <c r="A118" s="16">
        <f t="shared" si="18"/>
        <v>115</v>
      </c>
      <c r="B118" s="8">
        <v>1396</v>
      </c>
      <c r="C118" s="62" t="s">
        <v>1307</v>
      </c>
      <c r="D118" s="63" t="s">
        <v>1308</v>
      </c>
      <c r="E118" s="13" t="s">
        <v>1309</v>
      </c>
      <c r="F118" s="14" t="s">
        <v>1310</v>
      </c>
      <c r="G118" s="429" t="s">
        <v>6473</v>
      </c>
      <c r="H118" s="385">
        <v>31757</v>
      </c>
      <c r="I118" s="383">
        <v>42340</v>
      </c>
      <c r="J118" s="430" t="s">
        <v>6293</v>
      </c>
      <c r="K118" s="366" t="s">
        <v>6097</v>
      </c>
      <c r="L118" s="366" t="s">
        <v>6335</v>
      </c>
      <c r="M118" s="1">
        <v>192</v>
      </c>
      <c r="N118" s="431">
        <f t="shared" si="16"/>
        <v>7</v>
      </c>
      <c r="O118" s="432">
        <v>20</v>
      </c>
      <c r="P118" s="432">
        <v>0</v>
      </c>
      <c r="Q118" s="432">
        <v>0</v>
      </c>
      <c r="R118" s="1">
        <v>7</v>
      </c>
      <c r="S118" s="1">
        <v>10</v>
      </c>
      <c r="T118" s="300">
        <f t="shared" si="17"/>
        <v>236</v>
      </c>
      <c r="U118" s="3"/>
      <c r="V118" s="3"/>
      <c r="W118" s="3"/>
      <c r="X118" s="3"/>
      <c r="Y118" s="3"/>
      <c r="Z118" s="20">
        <f t="shared" si="14"/>
        <v>194</v>
      </c>
      <c r="AA118" s="20">
        <f t="shared" si="13"/>
        <v>7</v>
      </c>
      <c r="AB118" s="20">
        <f t="shared" si="13"/>
        <v>20</v>
      </c>
      <c r="AC118" s="20">
        <f t="shared" si="13"/>
        <v>0</v>
      </c>
      <c r="AD118" s="20">
        <f t="shared" si="12"/>
        <v>0</v>
      </c>
      <c r="AE118" s="20">
        <f t="shared" si="12"/>
        <v>7</v>
      </c>
      <c r="AF118" s="20">
        <f t="shared" si="12"/>
        <v>10</v>
      </c>
      <c r="AG118" s="300">
        <f t="shared" si="15"/>
        <v>238</v>
      </c>
      <c r="AH118" s="42">
        <f t="shared" si="20"/>
        <v>2</v>
      </c>
      <c r="AI118" s="42">
        <f t="shared" si="20"/>
        <v>0</v>
      </c>
      <c r="AJ118" s="42">
        <f t="shared" si="20"/>
        <v>0</v>
      </c>
      <c r="AK118" s="42">
        <f t="shared" si="19"/>
        <v>0</v>
      </c>
      <c r="AL118" s="42">
        <f t="shared" si="19"/>
        <v>0</v>
      </c>
      <c r="AM118" s="42">
        <f t="shared" si="19"/>
        <v>0</v>
      </c>
      <c r="AN118" s="42">
        <f t="shared" si="19"/>
        <v>0</v>
      </c>
      <c r="AO118" s="42">
        <f t="shared" si="19"/>
        <v>2</v>
      </c>
    </row>
    <row r="119" spans="1:41" ht="15.75">
      <c r="A119" s="16">
        <f t="shared" si="18"/>
        <v>116</v>
      </c>
      <c r="B119" s="8">
        <v>1398</v>
      </c>
      <c r="C119" s="62" t="s">
        <v>801</v>
      </c>
      <c r="D119" s="63" t="s">
        <v>1315</v>
      </c>
      <c r="E119" s="13" t="s">
        <v>803</v>
      </c>
      <c r="F119" s="14" t="s">
        <v>1316</v>
      </c>
      <c r="G119" s="429" t="s">
        <v>6473</v>
      </c>
      <c r="H119" s="385">
        <v>36622</v>
      </c>
      <c r="I119" s="383">
        <v>42340</v>
      </c>
      <c r="J119" s="430" t="s">
        <v>6293</v>
      </c>
      <c r="K119" s="366" t="s">
        <v>6097</v>
      </c>
      <c r="L119" s="366" t="s">
        <v>6335</v>
      </c>
      <c r="M119" s="1">
        <v>192</v>
      </c>
      <c r="N119" s="431">
        <f t="shared" si="16"/>
        <v>7</v>
      </c>
      <c r="O119" s="432">
        <v>20</v>
      </c>
      <c r="P119" s="432">
        <v>0</v>
      </c>
      <c r="Q119" s="432">
        <v>0</v>
      </c>
      <c r="R119" s="1">
        <v>7</v>
      </c>
      <c r="S119" s="1">
        <v>10</v>
      </c>
      <c r="T119" s="300">
        <f t="shared" si="17"/>
        <v>236</v>
      </c>
      <c r="U119" s="3"/>
      <c r="V119" s="3"/>
      <c r="W119" s="3"/>
      <c r="X119" s="3"/>
      <c r="Y119" s="3"/>
      <c r="Z119" s="20">
        <f t="shared" si="14"/>
        <v>194</v>
      </c>
      <c r="AA119" s="20">
        <f t="shared" si="13"/>
        <v>7</v>
      </c>
      <c r="AB119" s="20">
        <f t="shared" si="13"/>
        <v>20</v>
      </c>
      <c r="AC119" s="20">
        <f t="shared" si="13"/>
        <v>0</v>
      </c>
      <c r="AD119" s="20">
        <f t="shared" si="12"/>
        <v>0</v>
      </c>
      <c r="AE119" s="20">
        <f t="shared" si="12"/>
        <v>7</v>
      </c>
      <c r="AF119" s="20">
        <f t="shared" si="12"/>
        <v>10</v>
      </c>
      <c r="AG119" s="300">
        <f t="shared" si="15"/>
        <v>238</v>
      </c>
      <c r="AH119" s="42">
        <f t="shared" si="20"/>
        <v>2</v>
      </c>
      <c r="AI119" s="42">
        <f t="shared" si="20"/>
        <v>0</v>
      </c>
      <c r="AJ119" s="42">
        <f t="shared" si="20"/>
        <v>0</v>
      </c>
      <c r="AK119" s="42">
        <f t="shared" si="19"/>
        <v>0</v>
      </c>
      <c r="AL119" s="42">
        <f t="shared" si="19"/>
        <v>0</v>
      </c>
      <c r="AM119" s="42">
        <f t="shared" si="19"/>
        <v>0</v>
      </c>
      <c r="AN119" s="42">
        <f t="shared" si="19"/>
        <v>0</v>
      </c>
      <c r="AO119" s="42">
        <f t="shared" si="19"/>
        <v>2</v>
      </c>
    </row>
    <row r="120" spans="1:41" ht="15.75">
      <c r="A120" s="16">
        <f t="shared" si="18"/>
        <v>117</v>
      </c>
      <c r="B120" s="8">
        <v>1408</v>
      </c>
      <c r="C120" s="62" t="s">
        <v>1320</v>
      </c>
      <c r="D120" s="63" t="s">
        <v>1321</v>
      </c>
      <c r="E120" s="13" t="s">
        <v>1322</v>
      </c>
      <c r="F120" s="14" t="s">
        <v>1323</v>
      </c>
      <c r="G120" s="429" t="s">
        <v>6473</v>
      </c>
      <c r="H120" s="385">
        <v>35621</v>
      </c>
      <c r="I120" s="383">
        <v>42342</v>
      </c>
      <c r="J120" s="430" t="s">
        <v>6293</v>
      </c>
      <c r="K120" s="366" t="s">
        <v>6125</v>
      </c>
      <c r="L120" s="366" t="s">
        <v>6339</v>
      </c>
      <c r="M120" s="1">
        <v>192</v>
      </c>
      <c r="N120" s="431">
        <f t="shared" si="16"/>
        <v>7</v>
      </c>
      <c r="O120" s="432">
        <v>20</v>
      </c>
      <c r="P120" s="432">
        <v>0</v>
      </c>
      <c r="Q120" s="432">
        <v>0</v>
      </c>
      <c r="R120" s="1">
        <v>7</v>
      </c>
      <c r="S120" s="1">
        <v>10</v>
      </c>
      <c r="T120" s="300">
        <f t="shared" si="17"/>
        <v>236</v>
      </c>
      <c r="U120" s="3"/>
      <c r="V120" s="3"/>
      <c r="W120" s="3"/>
      <c r="X120" s="3"/>
      <c r="Y120" s="3"/>
      <c r="Z120" s="20">
        <f t="shared" si="14"/>
        <v>194</v>
      </c>
      <c r="AA120" s="20">
        <f t="shared" si="13"/>
        <v>7</v>
      </c>
      <c r="AB120" s="20">
        <f t="shared" si="13"/>
        <v>20</v>
      </c>
      <c r="AC120" s="20">
        <f t="shared" si="13"/>
        <v>0</v>
      </c>
      <c r="AD120" s="20">
        <f t="shared" si="12"/>
        <v>0</v>
      </c>
      <c r="AE120" s="20">
        <f t="shared" si="12"/>
        <v>7</v>
      </c>
      <c r="AF120" s="20">
        <f t="shared" si="12"/>
        <v>10</v>
      </c>
      <c r="AG120" s="300">
        <f t="shared" si="15"/>
        <v>238</v>
      </c>
      <c r="AH120" s="42">
        <f t="shared" si="20"/>
        <v>2</v>
      </c>
      <c r="AI120" s="42">
        <f t="shared" si="20"/>
        <v>0</v>
      </c>
      <c r="AJ120" s="42">
        <f t="shared" si="20"/>
        <v>0</v>
      </c>
      <c r="AK120" s="42">
        <f t="shared" si="19"/>
        <v>0</v>
      </c>
      <c r="AL120" s="42">
        <f t="shared" si="19"/>
        <v>0</v>
      </c>
      <c r="AM120" s="42">
        <f t="shared" si="19"/>
        <v>0</v>
      </c>
      <c r="AN120" s="42">
        <f t="shared" si="19"/>
        <v>0</v>
      </c>
      <c r="AO120" s="42">
        <f t="shared" si="19"/>
        <v>2</v>
      </c>
    </row>
    <row r="121" spans="1:41" ht="15.75">
      <c r="A121" s="16">
        <f t="shared" si="18"/>
        <v>118</v>
      </c>
      <c r="B121" s="8">
        <v>1411</v>
      </c>
      <c r="C121" s="62" t="s">
        <v>1327</v>
      </c>
      <c r="D121" s="63" t="s">
        <v>1328</v>
      </c>
      <c r="E121" s="13" t="s">
        <v>1329</v>
      </c>
      <c r="F121" s="14" t="s">
        <v>1330</v>
      </c>
      <c r="G121" s="429" t="s">
        <v>6473</v>
      </c>
      <c r="H121" s="385">
        <v>35831</v>
      </c>
      <c r="I121" s="383">
        <v>42343</v>
      </c>
      <c r="J121" s="430" t="s">
        <v>6476</v>
      </c>
      <c r="K121" s="366" t="s">
        <v>6477</v>
      </c>
      <c r="L121" s="366" t="s">
        <v>6483</v>
      </c>
      <c r="M121" s="1">
        <v>192</v>
      </c>
      <c r="N121" s="431">
        <f t="shared" si="16"/>
        <v>7</v>
      </c>
      <c r="O121" s="432">
        <v>20</v>
      </c>
      <c r="P121" s="432">
        <v>85</v>
      </c>
      <c r="Q121" s="432">
        <v>30</v>
      </c>
      <c r="R121" s="1">
        <v>7</v>
      </c>
      <c r="S121" s="1">
        <v>10</v>
      </c>
      <c r="T121" s="300">
        <f t="shared" si="17"/>
        <v>351</v>
      </c>
      <c r="U121" s="3"/>
      <c r="V121" s="3"/>
      <c r="W121" s="3"/>
      <c r="X121" s="3"/>
      <c r="Y121" s="3"/>
      <c r="Z121" s="20">
        <f t="shared" si="14"/>
        <v>194</v>
      </c>
      <c r="AA121" s="20">
        <f t="shared" si="13"/>
        <v>7</v>
      </c>
      <c r="AB121" s="20">
        <f t="shared" si="13"/>
        <v>20</v>
      </c>
      <c r="AC121" s="20">
        <f t="shared" si="13"/>
        <v>85</v>
      </c>
      <c r="AD121" s="20">
        <f t="shared" si="12"/>
        <v>30</v>
      </c>
      <c r="AE121" s="20">
        <f t="shared" si="12"/>
        <v>7</v>
      </c>
      <c r="AF121" s="20">
        <f t="shared" si="12"/>
        <v>10</v>
      </c>
      <c r="AG121" s="300">
        <f t="shared" si="15"/>
        <v>353</v>
      </c>
      <c r="AH121" s="42">
        <f t="shared" si="20"/>
        <v>2</v>
      </c>
      <c r="AI121" s="42">
        <f t="shared" si="20"/>
        <v>0</v>
      </c>
      <c r="AJ121" s="42">
        <f t="shared" si="20"/>
        <v>0</v>
      </c>
      <c r="AK121" s="42">
        <f t="shared" si="19"/>
        <v>0</v>
      </c>
      <c r="AL121" s="42">
        <f t="shared" si="19"/>
        <v>0</v>
      </c>
      <c r="AM121" s="42">
        <f t="shared" si="19"/>
        <v>0</v>
      </c>
      <c r="AN121" s="42">
        <f t="shared" si="19"/>
        <v>0</v>
      </c>
      <c r="AO121" s="42">
        <f t="shared" si="19"/>
        <v>2</v>
      </c>
    </row>
    <row r="122" spans="1:41" ht="15.75">
      <c r="A122" s="16">
        <f t="shared" si="18"/>
        <v>119</v>
      </c>
      <c r="B122" s="8">
        <v>1427</v>
      </c>
      <c r="C122" s="62" t="s">
        <v>190</v>
      </c>
      <c r="D122" s="63" t="s">
        <v>920</v>
      </c>
      <c r="E122" s="13" t="s">
        <v>1342</v>
      </c>
      <c r="F122" s="14" t="s">
        <v>1343</v>
      </c>
      <c r="G122" s="429" t="s">
        <v>6473</v>
      </c>
      <c r="H122" s="385">
        <v>32621</v>
      </c>
      <c r="I122" s="383">
        <v>42353</v>
      </c>
      <c r="J122" s="430" t="s">
        <v>6293</v>
      </c>
      <c r="K122" s="366" t="s">
        <v>6308</v>
      </c>
      <c r="L122" s="366" t="s">
        <v>6335</v>
      </c>
      <c r="M122" s="1">
        <v>192</v>
      </c>
      <c r="N122" s="431">
        <f t="shared" si="16"/>
        <v>7</v>
      </c>
      <c r="O122" s="432">
        <v>20</v>
      </c>
      <c r="P122" s="432">
        <v>0</v>
      </c>
      <c r="Q122" s="432">
        <v>0</v>
      </c>
      <c r="R122" s="1">
        <v>7</v>
      </c>
      <c r="S122" s="1">
        <v>10</v>
      </c>
      <c r="T122" s="300">
        <f t="shared" si="17"/>
        <v>236</v>
      </c>
      <c r="U122" s="3"/>
      <c r="V122" s="3"/>
      <c r="W122" s="3"/>
      <c r="X122" s="3"/>
      <c r="Y122" s="3"/>
      <c r="Z122" s="20">
        <f t="shared" si="14"/>
        <v>194</v>
      </c>
      <c r="AA122" s="20">
        <f t="shared" si="13"/>
        <v>7</v>
      </c>
      <c r="AB122" s="20">
        <f t="shared" si="13"/>
        <v>20</v>
      </c>
      <c r="AC122" s="20">
        <f t="shared" si="13"/>
        <v>0</v>
      </c>
      <c r="AD122" s="20">
        <f t="shared" si="12"/>
        <v>0</v>
      </c>
      <c r="AE122" s="20">
        <f t="shared" si="12"/>
        <v>7</v>
      </c>
      <c r="AF122" s="20">
        <f t="shared" si="12"/>
        <v>10</v>
      </c>
      <c r="AG122" s="300">
        <f t="shared" si="15"/>
        <v>238</v>
      </c>
      <c r="AH122" s="42">
        <f t="shared" si="20"/>
        <v>2</v>
      </c>
      <c r="AI122" s="42">
        <f t="shared" si="20"/>
        <v>0</v>
      </c>
      <c r="AJ122" s="42">
        <f t="shared" si="20"/>
        <v>0</v>
      </c>
      <c r="AK122" s="42">
        <f t="shared" si="19"/>
        <v>0</v>
      </c>
      <c r="AL122" s="42">
        <f t="shared" si="19"/>
        <v>0</v>
      </c>
      <c r="AM122" s="42">
        <f t="shared" si="19"/>
        <v>0</v>
      </c>
      <c r="AN122" s="42">
        <f t="shared" si="19"/>
        <v>0</v>
      </c>
      <c r="AO122" s="42">
        <f t="shared" si="19"/>
        <v>2</v>
      </c>
    </row>
    <row r="123" spans="1:41" ht="15.75">
      <c r="A123" s="16">
        <f t="shared" si="18"/>
        <v>120</v>
      </c>
      <c r="B123" s="8">
        <v>1445</v>
      </c>
      <c r="C123" s="62" t="s">
        <v>1353</v>
      </c>
      <c r="D123" s="63" t="s">
        <v>1354</v>
      </c>
      <c r="E123" s="13" t="s">
        <v>1355</v>
      </c>
      <c r="F123" s="14" t="s">
        <v>1356</v>
      </c>
      <c r="G123" s="429" t="s">
        <v>6473</v>
      </c>
      <c r="H123" s="385">
        <v>29024</v>
      </c>
      <c r="I123" s="383">
        <v>42360</v>
      </c>
      <c r="J123" s="430" t="s">
        <v>6293</v>
      </c>
      <c r="K123" s="366" t="s">
        <v>6307</v>
      </c>
      <c r="L123" s="366" t="s">
        <v>6335</v>
      </c>
      <c r="M123" s="1">
        <v>192</v>
      </c>
      <c r="N123" s="431">
        <f t="shared" si="16"/>
        <v>7</v>
      </c>
      <c r="O123" s="432">
        <v>20</v>
      </c>
      <c r="P123" s="432">
        <v>0</v>
      </c>
      <c r="Q123" s="432">
        <v>0</v>
      </c>
      <c r="R123" s="1">
        <v>7</v>
      </c>
      <c r="S123" s="1">
        <v>10</v>
      </c>
      <c r="T123" s="300">
        <f t="shared" si="17"/>
        <v>236</v>
      </c>
      <c r="U123" s="3"/>
      <c r="V123" s="3"/>
      <c r="W123" s="3"/>
      <c r="X123" s="3"/>
      <c r="Y123" s="3"/>
      <c r="Z123" s="20">
        <f t="shared" si="14"/>
        <v>194</v>
      </c>
      <c r="AA123" s="20">
        <f t="shared" si="13"/>
        <v>7</v>
      </c>
      <c r="AB123" s="20">
        <f t="shared" si="13"/>
        <v>20</v>
      </c>
      <c r="AC123" s="20">
        <f t="shared" si="13"/>
        <v>0</v>
      </c>
      <c r="AD123" s="20">
        <f t="shared" si="12"/>
        <v>0</v>
      </c>
      <c r="AE123" s="20">
        <f t="shared" si="12"/>
        <v>7</v>
      </c>
      <c r="AF123" s="20">
        <f t="shared" si="12"/>
        <v>10</v>
      </c>
      <c r="AG123" s="300">
        <f t="shared" si="15"/>
        <v>238</v>
      </c>
      <c r="AH123" s="42">
        <f t="shared" si="20"/>
        <v>2</v>
      </c>
      <c r="AI123" s="42">
        <f t="shared" si="20"/>
        <v>0</v>
      </c>
      <c r="AJ123" s="42">
        <f t="shared" si="20"/>
        <v>0</v>
      </c>
      <c r="AK123" s="42">
        <f t="shared" si="19"/>
        <v>0</v>
      </c>
      <c r="AL123" s="42">
        <f t="shared" si="19"/>
        <v>0</v>
      </c>
      <c r="AM123" s="42">
        <f t="shared" si="19"/>
        <v>0</v>
      </c>
      <c r="AN123" s="42">
        <f t="shared" si="19"/>
        <v>0</v>
      </c>
      <c r="AO123" s="42">
        <f t="shared" si="19"/>
        <v>2</v>
      </c>
    </row>
    <row r="124" spans="1:41" ht="15.75">
      <c r="A124" s="16">
        <f t="shared" si="18"/>
        <v>121</v>
      </c>
      <c r="B124" s="8">
        <v>1466</v>
      </c>
      <c r="C124" s="62" t="s">
        <v>958</v>
      </c>
      <c r="D124" s="63" t="s">
        <v>1361</v>
      </c>
      <c r="E124" s="13" t="s">
        <v>959</v>
      </c>
      <c r="F124" s="14" t="s">
        <v>1362</v>
      </c>
      <c r="G124" s="429" t="s">
        <v>6473</v>
      </c>
      <c r="H124" s="385">
        <v>32525</v>
      </c>
      <c r="I124" s="383">
        <v>42388</v>
      </c>
      <c r="J124" s="430" t="s">
        <v>6293</v>
      </c>
      <c r="K124" s="366" t="s">
        <v>6296</v>
      </c>
      <c r="L124" s="366" t="s">
        <v>6335</v>
      </c>
      <c r="M124" s="1">
        <v>192</v>
      </c>
      <c r="N124" s="431">
        <f t="shared" si="16"/>
        <v>6</v>
      </c>
      <c r="O124" s="432">
        <v>20</v>
      </c>
      <c r="P124" s="432">
        <v>0</v>
      </c>
      <c r="Q124" s="432">
        <v>0</v>
      </c>
      <c r="R124" s="1">
        <v>7</v>
      </c>
      <c r="S124" s="1">
        <v>10</v>
      </c>
      <c r="T124" s="300">
        <f t="shared" si="17"/>
        <v>235</v>
      </c>
      <c r="U124" s="3"/>
      <c r="V124" s="3"/>
      <c r="W124" s="3"/>
      <c r="X124" s="3"/>
      <c r="Y124" s="3"/>
      <c r="Z124" s="20">
        <f t="shared" si="14"/>
        <v>194</v>
      </c>
      <c r="AA124" s="20">
        <f t="shared" si="13"/>
        <v>6</v>
      </c>
      <c r="AB124" s="20">
        <f t="shared" si="13"/>
        <v>20</v>
      </c>
      <c r="AC124" s="20">
        <f t="shared" si="13"/>
        <v>0</v>
      </c>
      <c r="AD124" s="20">
        <f t="shared" si="12"/>
        <v>0</v>
      </c>
      <c r="AE124" s="20">
        <f t="shared" si="12"/>
        <v>7</v>
      </c>
      <c r="AF124" s="20">
        <f t="shared" si="12"/>
        <v>10</v>
      </c>
      <c r="AG124" s="300">
        <f t="shared" si="15"/>
        <v>237</v>
      </c>
      <c r="AH124" s="42">
        <f t="shared" si="20"/>
        <v>2</v>
      </c>
      <c r="AI124" s="42">
        <f t="shared" si="20"/>
        <v>0</v>
      </c>
      <c r="AJ124" s="42">
        <f t="shared" si="20"/>
        <v>0</v>
      </c>
      <c r="AK124" s="42">
        <f t="shared" si="19"/>
        <v>0</v>
      </c>
      <c r="AL124" s="42">
        <f t="shared" si="19"/>
        <v>0</v>
      </c>
      <c r="AM124" s="42">
        <f t="shared" si="19"/>
        <v>0</v>
      </c>
      <c r="AN124" s="42">
        <f t="shared" si="19"/>
        <v>0</v>
      </c>
      <c r="AO124" s="42">
        <f t="shared" si="19"/>
        <v>2</v>
      </c>
    </row>
    <row r="125" spans="1:41" ht="15.75">
      <c r="A125" s="16">
        <f t="shared" si="18"/>
        <v>122</v>
      </c>
      <c r="B125" s="8">
        <v>1481</v>
      </c>
      <c r="C125" s="62" t="s">
        <v>402</v>
      </c>
      <c r="D125" s="63" t="s">
        <v>1367</v>
      </c>
      <c r="E125" s="13" t="s">
        <v>604</v>
      </c>
      <c r="F125" s="14" t="s">
        <v>1368</v>
      </c>
      <c r="G125" s="429" t="s">
        <v>6473</v>
      </c>
      <c r="H125" s="385">
        <v>31249</v>
      </c>
      <c r="I125" s="383">
        <v>42402</v>
      </c>
      <c r="J125" s="430" t="s">
        <v>6293</v>
      </c>
      <c r="K125" s="366" t="s">
        <v>6307</v>
      </c>
      <c r="L125" s="366" t="s">
        <v>6335</v>
      </c>
      <c r="M125" s="1">
        <v>192</v>
      </c>
      <c r="N125" s="431">
        <f t="shared" si="16"/>
        <v>6</v>
      </c>
      <c r="O125" s="432">
        <v>20</v>
      </c>
      <c r="P125" s="432">
        <v>0</v>
      </c>
      <c r="Q125" s="432">
        <v>0</v>
      </c>
      <c r="R125" s="1">
        <v>7</v>
      </c>
      <c r="S125" s="1">
        <v>10</v>
      </c>
      <c r="T125" s="300">
        <f t="shared" si="17"/>
        <v>235</v>
      </c>
      <c r="U125" s="3"/>
      <c r="V125" s="3"/>
      <c r="W125" s="3"/>
      <c r="X125" s="3"/>
      <c r="Y125" s="3"/>
      <c r="Z125" s="20">
        <f t="shared" si="14"/>
        <v>194</v>
      </c>
      <c r="AA125" s="20">
        <f t="shared" si="13"/>
        <v>6</v>
      </c>
      <c r="AB125" s="20">
        <f t="shared" si="13"/>
        <v>20</v>
      </c>
      <c r="AC125" s="20">
        <f t="shared" si="13"/>
        <v>0</v>
      </c>
      <c r="AD125" s="20">
        <f t="shared" si="13"/>
        <v>0</v>
      </c>
      <c r="AE125" s="20">
        <f t="shared" si="13"/>
        <v>7</v>
      </c>
      <c r="AF125" s="20">
        <f t="shared" si="13"/>
        <v>10</v>
      </c>
      <c r="AG125" s="300">
        <f t="shared" si="15"/>
        <v>237</v>
      </c>
      <c r="AH125" s="42">
        <f t="shared" si="20"/>
        <v>2</v>
      </c>
      <c r="AI125" s="42">
        <f t="shared" si="20"/>
        <v>0</v>
      </c>
      <c r="AJ125" s="42">
        <f t="shared" si="20"/>
        <v>0</v>
      </c>
      <c r="AK125" s="42">
        <f t="shared" si="19"/>
        <v>0</v>
      </c>
      <c r="AL125" s="42">
        <f t="shared" si="19"/>
        <v>0</v>
      </c>
      <c r="AM125" s="42">
        <f t="shared" si="19"/>
        <v>0</v>
      </c>
      <c r="AN125" s="42">
        <f t="shared" si="19"/>
        <v>0</v>
      </c>
      <c r="AO125" s="42">
        <f t="shared" si="19"/>
        <v>2</v>
      </c>
    </row>
    <row r="126" spans="1:41" ht="15.75">
      <c r="A126" s="16">
        <f t="shared" si="18"/>
        <v>123</v>
      </c>
      <c r="B126" s="8">
        <v>1486</v>
      </c>
      <c r="C126" s="62" t="s">
        <v>438</v>
      </c>
      <c r="D126" s="63" t="s">
        <v>1374</v>
      </c>
      <c r="E126" s="13" t="s">
        <v>959</v>
      </c>
      <c r="F126" s="14" t="s">
        <v>1375</v>
      </c>
      <c r="G126" s="429" t="s">
        <v>6473</v>
      </c>
      <c r="H126" s="385">
        <v>33522</v>
      </c>
      <c r="I126" s="383">
        <v>42409</v>
      </c>
      <c r="J126" s="430" t="s">
        <v>6293</v>
      </c>
      <c r="K126" s="366" t="s">
        <v>6296</v>
      </c>
      <c r="L126" s="366" t="s">
        <v>6335</v>
      </c>
      <c r="M126" s="1">
        <v>192</v>
      </c>
      <c r="N126" s="431">
        <f t="shared" si="16"/>
        <v>6</v>
      </c>
      <c r="O126" s="432">
        <v>20</v>
      </c>
      <c r="P126" s="432">
        <v>0</v>
      </c>
      <c r="Q126" s="432">
        <v>0</v>
      </c>
      <c r="R126" s="1">
        <v>7</v>
      </c>
      <c r="S126" s="1">
        <v>10</v>
      </c>
      <c r="T126" s="300">
        <f t="shared" si="17"/>
        <v>235</v>
      </c>
      <c r="U126" s="3"/>
      <c r="V126" s="3"/>
      <c r="W126" s="3"/>
      <c r="X126" s="3"/>
      <c r="Y126" s="3"/>
      <c r="Z126" s="20">
        <f t="shared" si="14"/>
        <v>194</v>
      </c>
      <c r="AA126" s="20">
        <f t="shared" ref="AA126:AF168" si="21">N126</f>
        <v>6</v>
      </c>
      <c r="AB126" s="20">
        <f t="shared" si="21"/>
        <v>20</v>
      </c>
      <c r="AC126" s="20">
        <f t="shared" si="21"/>
        <v>0</v>
      </c>
      <c r="AD126" s="20">
        <f t="shared" si="21"/>
        <v>0</v>
      </c>
      <c r="AE126" s="20">
        <f t="shared" si="21"/>
        <v>7</v>
      </c>
      <c r="AF126" s="20">
        <f t="shared" si="21"/>
        <v>10</v>
      </c>
      <c r="AG126" s="300">
        <f t="shared" si="15"/>
        <v>237</v>
      </c>
      <c r="AH126" s="42">
        <f t="shared" si="20"/>
        <v>2</v>
      </c>
      <c r="AI126" s="42">
        <f t="shared" si="20"/>
        <v>0</v>
      </c>
      <c r="AJ126" s="42">
        <f t="shared" si="20"/>
        <v>0</v>
      </c>
      <c r="AK126" s="42">
        <f t="shared" si="19"/>
        <v>0</v>
      </c>
      <c r="AL126" s="42">
        <f t="shared" si="19"/>
        <v>0</v>
      </c>
      <c r="AM126" s="42">
        <f t="shared" si="19"/>
        <v>0</v>
      </c>
      <c r="AN126" s="42">
        <f t="shared" si="19"/>
        <v>0</v>
      </c>
      <c r="AO126" s="42">
        <f t="shared" si="19"/>
        <v>2</v>
      </c>
    </row>
    <row r="127" spans="1:41" ht="15.75">
      <c r="A127" s="16">
        <f t="shared" si="18"/>
        <v>124</v>
      </c>
      <c r="B127" s="8">
        <v>1497</v>
      </c>
      <c r="C127" s="62" t="s">
        <v>552</v>
      </c>
      <c r="D127" s="63" t="s">
        <v>1378</v>
      </c>
      <c r="E127" s="13" t="s">
        <v>554</v>
      </c>
      <c r="F127" s="14" t="s">
        <v>1379</v>
      </c>
      <c r="G127" s="429" t="s">
        <v>6473</v>
      </c>
      <c r="H127" s="385">
        <v>34920</v>
      </c>
      <c r="I127" s="383">
        <v>42445</v>
      </c>
      <c r="J127" s="430" t="s">
        <v>6293</v>
      </c>
      <c r="K127" s="366" t="s">
        <v>6309</v>
      </c>
      <c r="L127" s="366" t="s">
        <v>6437</v>
      </c>
      <c r="M127" s="1">
        <v>192</v>
      </c>
      <c r="N127" s="431">
        <f t="shared" si="16"/>
        <v>6</v>
      </c>
      <c r="O127" s="432">
        <v>20</v>
      </c>
      <c r="P127" s="432">
        <v>20</v>
      </c>
      <c r="Q127" s="432">
        <v>0</v>
      </c>
      <c r="R127" s="1">
        <v>7</v>
      </c>
      <c r="S127" s="1">
        <v>10</v>
      </c>
      <c r="T127" s="300">
        <f t="shared" si="17"/>
        <v>255</v>
      </c>
      <c r="U127" s="3"/>
      <c r="V127" s="3"/>
      <c r="W127" s="3"/>
      <c r="X127" s="3"/>
      <c r="Y127" s="3"/>
      <c r="Z127" s="20">
        <f t="shared" si="14"/>
        <v>194</v>
      </c>
      <c r="AA127" s="20">
        <f t="shared" si="21"/>
        <v>6</v>
      </c>
      <c r="AB127" s="20">
        <f t="shared" si="21"/>
        <v>20</v>
      </c>
      <c r="AC127" s="20">
        <f t="shared" si="21"/>
        <v>20</v>
      </c>
      <c r="AD127" s="20">
        <f t="shared" si="21"/>
        <v>0</v>
      </c>
      <c r="AE127" s="20">
        <f t="shared" si="21"/>
        <v>7</v>
      </c>
      <c r="AF127" s="20">
        <f t="shared" si="21"/>
        <v>10</v>
      </c>
      <c r="AG127" s="300">
        <f t="shared" si="15"/>
        <v>257</v>
      </c>
      <c r="AH127" s="42">
        <f t="shared" si="20"/>
        <v>2</v>
      </c>
      <c r="AI127" s="42">
        <f t="shared" si="20"/>
        <v>0</v>
      </c>
      <c r="AJ127" s="42">
        <f t="shared" si="20"/>
        <v>0</v>
      </c>
      <c r="AK127" s="42">
        <f t="shared" si="19"/>
        <v>0</v>
      </c>
      <c r="AL127" s="42">
        <f t="shared" si="19"/>
        <v>0</v>
      </c>
      <c r="AM127" s="42">
        <f t="shared" si="19"/>
        <v>0</v>
      </c>
      <c r="AN127" s="42">
        <f t="shared" si="19"/>
        <v>0</v>
      </c>
      <c r="AO127" s="42">
        <f t="shared" si="19"/>
        <v>2</v>
      </c>
    </row>
    <row r="128" spans="1:41" ht="15.75">
      <c r="A128" s="16">
        <f t="shared" si="18"/>
        <v>125</v>
      </c>
      <c r="B128" s="172">
        <v>1505</v>
      </c>
      <c r="C128" s="175" t="s">
        <v>1391</v>
      </c>
      <c r="D128" s="446" t="s">
        <v>1392</v>
      </c>
      <c r="E128" s="436" t="s">
        <v>1393</v>
      </c>
      <c r="F128" s="437" t="s">
        <v>1394</v>
      </c>
      <c r="G128" s="429" t="s">
        <v>6475</v>
      </c>
      <c r="H128" s="445">
        <v>25563</v>
      </c>
      <c r="I128" s="439">
        <v>42466</v>
      </c>
      <c r="J128" s="440" t="s">
        <v>6159</v>
      </c>
      <c r="K128" s="440" t="s">
        <v>6324</v>
      </c>
      <c r="L128" s="441" t="s">
        <v>8</v>
      </c>
      <c r="M128" s="442">
        <v>352</v>
      </c>
      <c r="N128" s="443">
        <f t="shared" si="16"/>
        <v>6</v>
      </c>
      <c r="O128" s="442">
        <v>0</v>
      </c>
      <c r="P128" s="442">
        <v>30</v>
      </c>
      <c r="Q128" s="442">
        <v>0</v>
      </c>
      <c r="R128" s="442"/>
      <c r="S128" s="442"/>
      <c r="T128" s="300">
        <f t="shared" si="17"/>
        <v>388</v>
      </c>
      <c r="U128" s="3"/>
      <c r="V128" s="3"/>
      <c r="W128" s="3"/>
      <c r="X128" s="3"/>
      <c r="Y128" s="3"/>
      <c r="Z128" s="20">
        <f t="shared" si="14"/>
        <v>354</v>
      </c>
      <c r="AA128" s="20">
        <f t="shared" si="21"/>
        <v>6</v>
      </c>
      <c r="AB128" s="20">
        <f t="shared" si="21"/>
        <v>0</v>
      </c>
      <c r="AC128" s="20">
        <f t="shared" si="21"/>
        <v>30</v>
      </c>
      <c r="AD128" s="20">
        <f t="shared" si="21"/>
        <v>0</v>
      </c>
      <c r="AE128" s="20">
        <f t="shared" si="21"/>
        <v>0</v>
      </c>
      <c r="AF128" s="20">
        <f t="shared" si="21"/>
        <v>0</v>
      </c>
      <c r="AG128" s="300">
        <f t="shared" si="15"/>
        <v>390</v>
      </c>
      <c r="AH128" s="42">
        <f t="shared" si="20"/>
        <v>2</v>
      </c>
      <c r="AI128" s="42">
        <f t="shared" si="20"/>
        <v>0</v>
      </c>
      <c r="AJ128" s="42">
        <f t="shared" si="20"/>
        <v>0</v>
      </c>
      <c r="AK128" s="42">
        <f t="shared" si="19"/>
        <v>0</v>
      </c>
      <c r="AL128" s="42">
        <f t="shared" si="19"/>
        <v>0</v>
      </c>
      <c r="AM128" s="42">
        <f t="shared" si="19"/>
        <v>0</v>
      </c>
      <c r="AN128" s="42">
        <f t="shared" si="19"/>
        <v>0</v>
      </c>
      <c r="AO128" s="42">
        <f t="shared" si="19"/>
        <v>2</v>
      </c>
    </row>
    <row r="129" spans="1:41" ht="15.75">
      <c r="A129" s="16">
        <f t="shared" si="18"/>
        <v>126</v>
      </c>
      <c r="B129" s="8">
        <v>1522</v>
      </c>
      <c r="C129" s="62" t="s">
        <v>1406</v>
      </c>
      <c r="D129" s="63" t="s">
        <v>628</v>
      </c>
      <c r="E129" s="13" t="s">
        <v>1407</v>
      </c>
      <c r="F129" s="14" t="s">
        <v>1408</v>
      </c>
      <c r="G129" s="429" t="s">
        <v>6473</v>
      </c>
      <c r="H129" s="385">
        <v>33351</v>
      </c>
      <c r="I129" s="383">
        <v>42500</v>
      </c>
      <c r="J129" s="430" t="s">
        <v>6293</v>
      </c>
      <c r="K129" s="366" t="s">
        <v>6309</v>
      </c>
      <c r="L129" s="366" t="s">
        <v>6339</v>
      </c>
      <c r="M129" s="1">
        <v>192</v>
      </c>
      <c r="N129" s="431">
        <f t="shared" si="16"/>
        <v>6</v>
      </c>
      <c r="O129" s="432">
        <v>20</v>
      </c>
      <c r="P129" s="432">
        <v>0</v>
      </c>
      <c r="Q129" s="432">
        <v>0</v>
      </c>
      <c r="R129" s="1">
        <v>7</v>
      </c>
      <c r="S129" s="1">
        <v>10</v>
      </c>
      <c r="T129" s="300">
        <f t="shared" si="17"/>
        <v>235</v>
      </c>
      <c r="U129" s="3"/>
      <c r="V129" s="3"/>
      <c r="W129" s="3"/>
      <c r="X129" s="3"/>
      <c r="Y129" s="3"/>
      <c r="Z129" s="20">
        <f t="shared" si="14"/>
        <v>194</v>
      </c>
      <c r="AA129" s="20">
        <f t="shared" si="21"/>
        <v>6</v>
      </c>
      <c r="AB129" s="20">
        <f t="shared" si="21"/>
        <v>20</v>
      </c>
      <c r="AC129" s="20">
        <f t="shared" si="21"/>
        <v>0</v>
      </c>
      <c r="AD129" s="20">
        <f t="shared" si="21"/>
        <v>0</v>
      </c>
      <c r="AE129" s="20">
        <f t="shared" si="21"/>
        <v>7</v>
      </c>
      <c r="AF129" s="20">
        <f t="shared" si="21"/>
        <v>10</v>
      </c>
      <c r="AG129" s="300">
        <f t="shared" si="15"/>
        <v>237</v>
      </c>
      <c r="AH129" s="42">
        <f t="shared" si="20"/>
        <v>2</v>
      </c>
      <c r="AI129" s="42">
        <f t="shared" si="20"/>
        <v>0</v>
      </c>
      <c r="AJ129" s="42">
        <f t="shared" si="20"/>
        <v>0</v>
      </c>
      <c r="AK129" s="42">
        <f t="shared" si="19"/>
        <v>0</v>
      </c>
      <c r="AL129" s="42">
        <f t="shared" si="19"/>
        <v>0</v>
      </c>
      <c r="AM129" s="42">
        <f t="shared" si="19"/>
        <v>0</v>
      </c>
      <c r="AN129" s="42">
        <f t="shared" si="19"/>
        <v>0</v>
      </c>
      <c r="AO129" s="42">
        <f t="shared" si="19"/>
        <v>2</v>
      </c>
    </row>
    <row r="130" spans="1:41" ht="15.75">
      <c r="A130" s="16">
        <f t="shared" si="18"/>
        <v>127</v>
      </c>
      <c r="B130" s="8">
        <v>1531</v>
      </c>
      <c r="C130" s="62" t="s">
        <v>1418</v>
      </c>
      <c r="D130" s="63" t="s">
        <v>1419</v>
      </c>
      <c r="E130" s="13" t="s">
        <v>1420</v>
      </c>
      <c r="F130" s="14" t="s">
        <v>1421</v>
      </c>
      <c r="G130" s="429" t="s">
        <v>6473</v>
      </c>
      <c r="H130" s="385">
        <v>34586</v>
      </c>
      <c r="I130" s="383">
        <v>42523</v>
      </c>
      <c r="J130" s="430" t="s">
        <v>6293</v>
      </c>
      <c r="K130" s="366" t="s">
        <v>6297</v>
      </c>
      <c r="L130" s="366" t="s">
        <v>6335</v>
      </c>
      <c r="M130" s="1">
        <v>192</v>
      </c>
      <c r="N130" s="431">
        <f t="shared" si="16"/>
        <v>6</v>
      </c>
      <c r="O130" s="432">
        <v>20</v>
      </c>
      <c r="P130" s="432">
        <v>0</v>
      </c>
      <c r="Q130" s="432">
        <v>0</v>
      </c>
      <c r="R130" s="1">
        <v>7</v>
      </c>
      <c r="S130" s="1">
        <v>10</v>
      </c>
      <c r="T130" s="300">
        <f t="shared" si="17"/>
        <v>235</v>
      </c>
      <c r="U130" s="3"/>
      <c r="V130" s="3"/>
      <c r="W130" s="3"/>
      <c r="X130" s="3"/>
      <c r="Y130" s="3"/>
      <c r="Z130" s="20">
        <f t="shared" si="14"/>
        <v>194</v>
      </c>
      <c r="AA130" s="20">
        <f t="shared" si="21"/>
        <v>6</v>
      </c>
      <c r="AB130" s="20">
        <f t="shared" si="21"/>
        <v>20</v>
      </c>
      <c r="AC130" s="20">
        <f t="shared" si="21"/>
        <v>0</v>
      </c>
      <c r="AD130" s="20">
        <f t="shared" si="21"/>
        <v>0</v>
      </c>
      <c r="AE130" s="20">
        <f t="shared" si="21"/>
        <v>7</v>
      </c>
      <c r="AF130" s="20">
        <f t="shared" si="21"/>
        <v>10</v>
      </c>
      <c r="AG130" s="300">
        <f t="shared" si="15"/>
        <v>237</v>
      </c>
      <c r="AH130" s="42">
        <f t="shared" si="20"/>
        <v>2</v>
      </c>
      <c r="AI130" s="42">
        <f t="shared" si="20"/>
        <v>0</v>
      </c>
      <c r="AJ130" s="42">
        <f t="shared" si="20"/>
        <v>0</v>
      </c>
      <c r="AK130" s="42">
        <f t="shared" si="19"/>
        <v>0</v>
      </c>
      <c r="AL130" s="42">
        <f t="shared" si="19"/>
        <v>0</v>
      </c>
      <c r="AM130" s="42">
        <f t="shared" si="19"/>
        <v>0</v>
      </c>
      <c r="AN130" s="42">
        <f t="shared" si="19"/>
        <v>0</v>
      </c>
      <c r="AO130" s="42">
        <f t="shared" si="19"/>
        <v>2</v>
      </c>
    </row>
    <row r="131" spans="1:41" ht="15.75">
      <c r="A131" s="16">
        <f t="shared" si="18"/>
        <v>128</v>
      </c>
      <c r="B131" s="8">
        <v>1540</v>
      </c>
      <c r="C131" s="62" t="s">
        <v>476</v>
      </c>
      <c r="D131" s="63" t="s">
        <v>1427</v>
      </c>
      <c r="E131" s="13" t="s">
        <v>478</v>
      </c>
      <c r="F131" s="14" t="s">
        <v>1428</v>
      </c>
      <c r="G131" s="429" t="s">
        <v>6473</v>
      </c>
      <c r="H131" s="385">
        <v>34552</v>
      </c>
      <c r="I131" s="383">
        <v>42528</v>
      </c>
      <c r="J131" s="430" t="s">
        <v>6293</v>
      </c>
      <c r="K131" s="366" t="s">
        <v>6097</v>
      </c>
      <c r="L131" s="366" t="s">
        <v>6335</v>
      </c>
      <c r="M131" s="1">
        <v>192</v>
      </c>
      <c r="N131" s="431">
        <f t="shared" si="16"/>
        <v>6</v>
      </c>
      <c r="O131" s="432">
        <v>20</v>
      </c>
      <c r="P131" s="432">
        <v>0</v>
      </c>
      <c r="Q131" s="432">
        <v>0</v>
      </c>
      <c r="R131" s="1">
        <v>7</v>
      </c>
      <c r="S131" s="1">
        <v>10</v>
      </c>
      <c r="T131" s="300">
        <f t="shared" si="17"/>
        <v>235</v>
      </c>
      <c r="U131" s="3"/>
      <c r="V131" s="3"/>
      <c r="W131" s="3"/>
      <c r="X131" s="3"/>
      <c r="Y131" s="3"/>
      <c r="Z131" s="20">
        <f t="shared" si="14"/>
        <v>194</v>
      </c>
      <c r="AA131" s="20">
        <f t="shared" si="21"/>
        <v>6</v>
      </c>
      <c r="AB131" s="20">
        <f t="shared" si="21"/>
        <v>20</v>
      </c>
      <c r="AC131" s="20">
        <f t="shared" si="21"/>
        <v>0</v>
      </c>
      <c r="AD131" s="20">
        <f t="shared" si="21"/>
        <v>0</v>
      </c>
      <c r="AE131" s="20">
        <f t="shared" si="21"/>
        <v>7</v>
      </c>
      <c r="AF131" s="20">
        <f t="shared" si="21"/>
        <v>10</v>
      </c>
      <c r="AG131" s="300">
        <f t="shared" si="15"/>
        <v>237</v>
      </c>
      <c r="AH131" s="42">
        <f t="shared" si="20"/>
        <v>2</v>
      </c>
      <c r="AI131" s="42">
        <f t="shared" si="20"/>
        <v>0</v>
      </c>
      <c r="AJ131" s="42">
        <f t="shared" si="20"/>
        <v>0</v>
      </c>
      <c r="AK131" s="42">
        <f t="shared" si="19"/>
        <v>0</v>
      </c>
      <c r="AL131" s="42">
        <f t="shared" si="19"/>
        <v>0</v>
      </c>
      <c r="AM131" s="42">
        <f t="shared" si="19"/>
        <v>0</v>
      </c>
      <c r="AN131" s="42">
        <f t="shared" si="19"/>
        <v>0</v>
      </c>
      <c r="AO131" s="42">
        <f t="shared" si="19"/>
        <v>2</v>
      </c>
    </row>
    <row r="132" spans="1:41" ht="15.75">
      <c r="A132" s="16">
        <f t="shared" si="18"/>
        <v>129</v>
      </c>
      <c r="B132" s="8">
        <v>1553</v>
      </c>
      <c r="C132" s="62" t="s">
        <v>1432</v>
      </c>
      <c r="D132" s="63" t="s">
        <v>1433</v>
      </c>
      <c r="E132" s="13" t="s">
        <v>1434</v>
      </c>
      <c r="F132" s="14" t="s">
        <v>1435</v>
      </c>
      <c r="G132" s="429" t="s">
        <v>6473</v>
      </c>
      <c r="H132" s="385">
        <v>31240</v>
      </c>
      <c r="I132" s="383">
        <v>42537</v>
      </c>
      <c r="J132" s="430" t="s">
        <v>6293</v>
      </c>
      <c r="K132" s="366" t="s">
        <v>6097</v>
      </c>
      <c r="L132" s="366" t="s">
        <v>6335</v>
      </c>
      <c r="M132" s="1">
        <v>192</v>
      </c>
      <c r="N132" s="431">
        <f t="shared" si="16"/>
        <v>6</v>
      </c>
      <c r="O132" s="432">
        <v>20</v>
      </c>
      <c r="P132" s="432">
        <v>0</v>
      </c>
      <c r="Q132" s="432">
        <v>0</v>
      </c>
      <c r="R132" s="1">
        <v>7</v>
      </c>
      <c r="S132" s="1">
        <v>10</v>
      </c>
      <c r="T132" s="300">
        <f t="shared" si="17"/>
        <v>235</v>
      </c>
      <c r="U132" s="3"/>
      <c r="V132" s="3"/>
      <c r="W132" s="3"/>
      <c r="X132" s="3"/>
      <c r="Y132" s="3"/>
      <c r="Z132" s="20">
        <f t="shared" si="14"/>
        <v>194</v>
      </c>
      <c r="AA132" s="20">
        <f t="shared" si="21"/>
        <v>6</v>
      </c>
      <c r="AB132" s="20">
        <f t="shared" si="21"/>
        <v>20</v>
      </c>
      <c r="AC132" s="20">
        <f t="shared" si="21"/>
        <v>0</v>
      </c>
      <c r="AD132" s="20">
        <f t="shared" si="21"/>
        <v>0</v>
      </c>
      <c r="AE132" s="20">
        <f t="shared" si="21"/>
        <v>7</v>
      </c>
      <c r="AF132" s="20">
        <f t="shared" si="21"/>
        <v>10</v>
      </c>
      <c r="AG132" s="300">
        <f t="shared" si="15"/>
        <v>237</v>
      </c>
      <c r="AH132" s="42">
        <f t="shared" si="20"/>
        <v>2</v>
      </c>
      <c r="AI132" s="42">
        <f t="shared" si="20"/>
        <v>0</v>
      </c>
      <c r="AJ132" s="42">
        <f t="shared" si="20"/>
        <v>0</v>
      </c>
      <c r="AK132" s="42">
        <f t="shared" si="19"/>
        <v>0</v>
      </c>
      <c r="AL132" s="42">
        <f t="shared" si="19"/>
        <v>0</v>
      </c>
      <c r="AM132" s="42">
        <f t="shared" si="19"/>
        <v>0</v>
      </c>
      <c r="AN132" s="42">
        <f t="shared" si="19"/>
        <v>0</v>
      </c>
      <c r="AO132" s="42">
        <f t="shared" si="19"/>
        <v>2</v>
      </c>
    </row>
    <row r="133" spans="1:41" ht="15.75">
      <c r="A133" s="16">
        <f t="shared" si="18"/>
        <v>130</v>
      </c>
      <c r="B133" s="8">
        <v>1559</v>
      </c>
      <c r="C133" s="62" t="s">
        <v>1439</v>
      </c>
      <c r="D133" s="63" t="s">
        <v>1440</v>
      </c>
      <c r="E133" s="13" t="s">
        <v>1441</v>
      </c>
      <c r="F133" s="14" t="s">
        <v>1442</v>
      </c>
      <c r="G133" s="429" t="s">
        <v>6473</v>
      </c>
      <c r="H133" s="385">
        <v>31459</v>
      </c>
      <c r="I133" s="383">
        <v>42545</v>
      </c>
      <c r="J133" s="430" t="s">
        <v>6293</v>
      </c>
      <c r="K133" s="366" t="s">
        <v>6297</v>
      </c>
      <c r="L133" s="366" t="s">
        <v>6335</v>
      </c>
      <c r="M133" s="1">
        <v>192</v>
      </c>
      <c r="N133" s="431">
        <f t="shared" si="16"/>
        <v>6</v>
      </c>
      <c r="O133" s="432">
        <v>20</v>
      </c>
      <c r="P133" s="432">
        <v>0</v>
      </c>
      <c r="Q133" s="432">
        <v>0</v>
      </c>
      <c r="R133" s="1">
        <v>7</v>
      </c>
      <c r="S133" s="1">
        <v>10</v>
      </c>
      <c r="T133" s="300">
        <f t="shared" si="17"/>
        <v>235</v>
      </c>
      <c r="U133" s="3"/>
      <c r="V133" s="3"/>
      <c r="W133" s="3"/>
      <c r="X133" s="3"/>
      <c r="Y133" s="3"/>
      <c r="Z133" s="20">
        <f t="shared" si="14"/>
        <v>194</v>
      </c>
      <c r="AA133" s="20">
        <f t="shared" si="21"/>
        <v>6</v>
      </c>
      <c r="AB133" s="20">
        <f t="shared" si="21"/>
        <v>20</v>
      </c>
      <c r="AC133" s="20">
        <f t="shared" si="21"/>
        <v>0</v>
      </c>
      <c r="AD133" s="20">
        <f t="shared" si="21"/>
        <v>0</v>
      </c>
      <c r="AE133" s="20">
        <f t="shared" si="21"/>
        <v>7</v>
      </c>
      <c r="AF133" s="20">
        <f t="shared" si="21"/>
        <v>10</v>
      </c>
      <c r="AG133" s="300">
        <f t="shared" si="15"/>
        <v>237</v>
      </c>
      <c r="AH133" s="42">
        <f t="shared" si="20"/>
        <v>2</v>
      </c>
      <c r="AI133" s="42">
        <f t="shared" si="20"/>
        <v>0</v>
      </c>
      <c r="AJ133" s="42">
        <f t="shared" si="20"/>
        <v>0</v>
      </c>
      <c r="AK133" s="42">
        <f t="shared" si="19"/>
        <v>0</v>
      </c>
      <c r="AL133" s="42">
        <f t="shared" si="19"/>
        <v>0</v>
      </c>
      <c r="AM133" s="42">
        <f t="shared" si="19"/>
        <v>0</v>
      </c>
      <c r="AN133" s="42">
        <f t="shared" si="19"/>
        <v>0</v>
      </c>
      <c r="AO133" s="42">
        <f t="shared" si="19"/>
        <v>2</v>
      </c>
    </row>
    <row r="134" spans="1:41" ht="15.75">
      <c r="A134" s="16">
        <f t="shared" si="18"/>
        <v>131</v>
      </c>
      <c r="B134" s="8">
        <v>1569</v>
      </c>
      <c r="C134" s="62" t="s">
        <v>1446</v>
      </c>
      <c r="D134" s="63" t="s">
        <v>1447</v>
      </c>
      <c r="E134" s="13" t="s">
        <v>1448</v>
      </c>
      <c r="F134" s="14" t="s">
        <v>1449</v>
      </c>
      <c r="G134" s="429" t="s">
        <v>6473</v>
      </c>
      <c r="H134" s="385">
        <v>31659</v>
      </c>
      <c r="I134" s="383">
        <v>42565</v>
      </c>
      <c r="J134" s="430" t="s">
        <v>6293</v>
      </c>
      <c r="K134" s="366" t="s">
        <v>6097</v>
      </c>
      <c r="L134" s="366" t="s">
        <v>6098</v>
      </c>
      <c r="M134" s="1">
        <v>192</v>
      </c>
      <c r="N134" s="431">
        <f t="shared" si="16"/>
        <v>6</v>
      </c>
      <c r="O134" s="432">
        <v>20</v>
      </c>
      <c r="P134" s="432">
        <v>45</v>
      </c>
      <c r="Q134" s="432">
        <v>0</v>
      </c>
      <c r="R134" s="1">
        <v>7</v>
      </c>
      <c r="S134" s="1">
        <v>10</v>
      </c>
      <c r="T134" s="300">
        <f t="shared" si="17"/>
        <v>280</v>
      </c>
      <c r="U134" s="3"/>
      <c r="V134" s="3"/>
      <c r="W134" s="3"/>
      <c r="X134" s="3"/>
      <c r="Y134" s="3"/>
      <c r="Z134" s="20">
        <f t="shared" si="14"/>
        <v>194</v>
      </c>
      <c r="AA134" s="20">
        <f t="shared" si="21"/>
        <v>6</v>
      </c>
      <c r="AB134" s="20">
        <f t="shared" si="21"/>
        <v>20</v>
      </c>
      <c r="AC134" s="20">
        <f t="shared" si="21"/>
        <v>45</v>
      </c>
      <c r="AD134" s="20">
        <f t="shared" si="21"/>
        <v>0</v>
      </c>
      <c r="AE134" s="20">
        <f t="shared" si="21"/>
        <v>7</v>
      </c>
      <c r="AF134" s="20">
        <f t="shared" si="21"/>
        <v>10</v>
      </c>
      <c r="AG134" s="300">
        <f t="shared" si="15"/>
        <v>282</v>
      </c>
      <c r="AH134" s="42">
        <f t="shared" si="20"/>
        <v>2</v>
      </c>
      <c r="AI134" s="42">
        <f t="shared" si="20"/>
        <v>0</v>
      </c>
      <c r="AJ134" s="42">
        <f t="shared" si="20"/>
        <v>0</v>
      </c>
      <c r="AK134" s="42">
        <f t="shared" si="19"/>
        <v>0</v>
      </c>
      <c r="AL134" s="42">
        <f t="shared" si="19"/>
        <v>0</v>
      </c>
      <c r="AM134" s="42">
        <f t="shared" si="19"/>
        <v>0</v>
      </c>
      <c r="AN134" s="42">
        <f t="shared" si="19"/>
        <v>0</v>
      </c>
      <c r="AO134" s="42">
        <f t="shared" si="19"/>
        <v>2</v>
      </c>
    </row>
    <row r="135" spans="1:41" ht="15.75">
      <c r="A135" s="16">
        <f t="shared" si="18"/>
        <v>132</v>
      </c>
      <c r="B135" s="8">
        <v>1593</v>
      </c>
      <c r="C135" s="62" t="s">
        <v>256</v>
      </c>
      <c r="D135" s="63" t="s">
        <v>1467</v>
      </c>
      <c r="E135" s="13" t="s">
        <v>16</v>
      </c>
      <c r="F135" s="14" t="s">
        <v>17</v>
      </c>
      <c r="G135" s="429" t="s">
        <v>6473</v>
      </c>
      <c r="H135" s="385">
        <v>28495</v>
      </c>
      <c r="I135" s="383">
        <v>42597</v>
      </c>
      <c r="J135" s="430" t="s">
        <v>6293</v>
      </c>
      <c r="K135" s="366" t="s">
        <v>45</v>
      </c>
      <c r="L135" s="366" t="s">
        <v>6338</v>
      </c>
      <c r="M135" s="1">
        <v>192</v>
      </c>
      <c r="N135" s="431">
        <f t="shared" si="16"/>
        <v>6</v>
      </c>
      <c r="O135" s="432">
        <v>20</v>
      </c>
      <c r="P135" s="432">
        <v>0</v>
      </c>
      <c r="Q135" s="432">
        <v>0</v>
      </c>
      <c r="R135" s="1">
        <v>7</v>
      </c>
      <c r="S135" s="1">
        <v>10</v>
      </c>
      <c r="T135" s="300">
        <f t="shared" si="17"/>
        <v>235</v>
      </c>
      <c r="U135" s="3"/>
      <c r="V135" s="3"/>
      <c r="W135" s="3"/>
      <c r="X135" s="3"/>
      <c r="Y135" s="3"/>
      <c r="Z135" s="20">
        <f t="shared" ref="Z135:Z198" si="22">M135+2</f>
        <v>194</v>
      </c>
      <c r="AA135" s="20">
        <f t="shared" si="21"/>
        <v>6</v>
      </c>
      <c r="AB135" s="20">
        <f t="shared" si="21"/>
        <v>20</v>
      </c>
      <c r="AC135" s="20">
        <f t="shared" si="21"/>
        <v>0</v>
      </c>
      <c r="AD135" s="20">
        <f t="shared" si="21"/>
        <v>0</v>
      </c>
      <c r="AE135" s="20">
        <f t="shared" si="21"/>
        <v>7</v>
      </c>
      <c r="AF135" s="20">
        <f t="shared" si="21"/>
        <v>10</v>
      </c>
      <c r="AG135" s="300">
        <f t="shared" ref="AG135:AG198" si="23">SUM(Z135:AF135)</f>
        <v>237</v>
      </c>
      <c r="AH135" s="42">
        <f t="shared" si="20"/>
        <v>2</v>
      </c>
      <c r="AI135" s="42">
        <f t="shared" si="20"/>
        <v>0</v>
      </c>
      <c r="AJ135" s="42">
        <f t="shared" si="20"/>
        <v>0</v>
      </c>
      <c r="AK135" s="42">
        <f t="shared" si="19"/>
        <v>0</v>
      </c>
      <c r="AL135" s="42">
        <f t="shared" si="19"/>
        <v>0</v>
      </c>
      <c r="AM135" s="42">
        <f t="shared" si="19"/>
        <v>0</v>
      </c>
      <c r="AN135" s="42">
        <f t="shared" si="19"/>
        <v>0</v>
      </c>
      <c r="AO135" s="42">
        <f t="shared" si="19"/>
        <v>2</v>
      </c>
    </row>
    <row r="136" spans="1:41" ht="15.75">
      <c r="A136" s="16">
        <f t="shared" si="18"/>
        <v>133</v>
      </c>
      <c r="B136" s="8">
        <v>1608</v>
      </c>
      <c r="C136" s="62" t="s">
        <v>1478</v>
      </c>
      <c r="D136" s="63" t="s">
        <v>1479</v>
      </c>
      <c r="E136" s="13" t="s">
        <v>1480</v>
      </c>
      <c r="F136" s="14" t="s">
        <v>1481</v>
      </c>
      <c r="G136" s="429" t="s">
        <v>6473</v>
      </c>
      <c r="H136" s="385">
        <v>31124</v>
      </c>
      <c r="I136" s="383">
        <v>42615</v>
      </c>
      <c r="J136" s="430" t="s">
        <v>6293</v>
      </c>
      <c r="K136" s="366" t="s">
        <v>6299</v>
      </c>
      <c r="L136" s="366" t="s">
        <v>6335</v>
      </c>
      <c r="M136" s="1">
        <v>192</v>
      </c>
      <c r="N136" s="431">
        <f t="shared" ref="N136:N199" si="24">ROUNDDOWN(INT($N$1-I136-16)/365,0)+1</f>
        <v>6</v>
      </c>
      <c r="O136" s="432">
        <v>20</v>
      </c>
      <c r="P136" s="432">
        <v>0</v>
      </c>
      <c r="Q136" s="432">
        <v>0</v>
      </c>
      <c r="R136" s="1">
        <v>7</v>
      </c>
      <c r="S136" s="1">
        <v>10</v>
      </c>
      <c r="T136" s="300">
        <f t="shared" ref="T136:T199" si="25">SUM(M136:S136)</f>
        <v>235</v>
      </c>
      <c r="U136" s="3"/>
      <c r="V136" s="3"/>
      <c r="W136" s="3"/>
      <c r="X136" s="3"/>
      <c r="Y136" s="3"/>
      <c r="Z136" s="20">
        <f t="shared" si="22"/>
        <v>194</v>
      </c>
      <c r="AA136" s="20">
        <f t="shared" si="21"/>
        <v>6</v>
      </c>
      <c r="AB136" s="20">
        <f t="shared" si="21"/>
        <v>20</v>
      </c>
      <c r="AC136" s="20">
        <f t="shared" si="21"/>
        <v>0</v>
      </c>
      <c r="AD136" s="20">
        <f t="shared" si="21"/>
        <v>0</v>
      </c>
      <c r="AE136" s="20">
        <f t="shared" si="21"/>
        <v>7</v>
      </c>
      <c r="AF136" s="20">
        <f t="shared" si="21"/>
        <v>10</v>
      </c>
      <c r="AG136" s="300">
        <f t="shared" si="23"/>
        <v>237</v>
      </c>
      <c r="AH136" s="42">
        <f t="shared" si="20"/>
        <v>2</v>
      </c>
      <c r="AI136" s="42">
        <f t="shared" si="20"/>
        <v>0</v>
      </c>
      <c r="AJ136" s="42">
        <f t="shared" si="20"/>
        <v>0</v>
      </c>
      <c r="AK136" s="42">
        <f t="shared" si="19"/>
        <v>0</v>
      </c>
      <c r="AL136" s="42">
        <f t="shared" si="19"/>
        <v>0</v>
      </c>
      <c r="AM136" s="42">
        <f t="shared" si="19"/>
        <v>0</v>
      </c>
      <c r="AN136" s="42">
        <f t="shared" si="19"/>
        <v>0</v>
      </c>
      <c r="AO136" s="42">
        <f t="shared" si="19"/>
        <v>2</v>
      </c>
    </row>
    <row r="137" spans="1:41" ht="15.75">
      <c r="A137" s="16">
        <f t="shared" ref="A137:A200" si="26">1+A136</f>
        <v>134</v>
      </c>
      <c r="B137" s="8">
        <v>1610</v>
      </c>
      <c r="C137" s="62" t="s">
        <v>1487</v>
      </c>
      <c r="D137" s="63" t="s">
        <v>1488</v>
      </c>
      <c r="E137" s="13" t="s">
        <v>18</v>
      </c>
      <c r="F137" s="14" t="s">
        <v>19</v>
      </c>
      <c r="G137" s="429" t="s">
        <v>6473</v>
      </c>
      <c r="H137" s="385">
        <v>29710</v>
      </c>
      <c r="I137" s="383">
        <v>42618</v>
      </c>
      <c r="J137" s="430" t="s">
        <v>6293</v>
      </c>
      <c r="K137" s="366" t="s">
        <v>45</v>
      </c>
      <c r="L137" s="366" t="s">
        <v>6338</v>
      </c>
      <c r="M137" s="1">
        <v>192</v>
      </c>
      <c r="N137" s="431">
        <f t="shared" si="24"/>
        <v>6</v>
      </c>
      <c r="O137" s="432">
        <v>20</v>
      </c>
      <c r="P137" s="432">
        <v>0</v>
      </c>
      <c r="Q137" s="432">
        <v>0</v>
      </c>
      <c r="R137" s="1">
        <v>7</v>
      </c>
      <c r="S137" s="1">
        <v>10</v>
      </c>
      <c r="T137" s="300">
        <f t="shared" si="25"/>
        <v>235</v>
      </c>
      <c r="U137" s="3"/>
      <c r="V137" s="3"/>
      <c r="W137" s="3"/>
      <c r="X137" s="3"/>
      <c r="Y137" s="3"/>
      <c r="Z137" s="20">
        <f t="shared" si="22"/>
        <v>194</v>
      </c>
      <c r="AA137" s="20">
        <f t="shared" si="21"/>
        <v>6</v>
      </c>
      <c r="AB137" s="20">
        <f t="shared" si="21"/>
        <v>20</v>
      </c>
      <c r="AC137" s="20">
        <f t="shared" si="21"/>
        <v>0</v>
      </c>
      <c r="AD137" s="20">
        <f t="shared" si="21"/>
        <v>0</v>
      </c>
      <c r="AE137" s="20">
        <f t="shared" si="21"/>
        <v>7</v>
      </c>
      <c r="AF137" s="20">
        <f t="shared" si="21"/>
        <v>10</v>
      </c>
      <c r="AG137" s="300">
        <f t="shared" si="23"/>
        <v>237</v>
      </c>
      <c r="AH137" s="42">
        <f t="shared" si="20"/>
        <v>2</v>
      </c>
      <c r="AI137" s="42">
        <f t="shared" si="20"/>
        <v>0</v>
      </c>
      <c r="AJ137" s="42">
        <f t="shared" si="20"/>
        <v>0</v>
      </c>
      <c r="AK137" s="42">
        <f t="shared" si="19"/>
        <v>0</v>
      </c>
      <c r="AL137" s="42">
        <f t="shared" si="19"/>
        <v>0</v>
      </c>
      <c r="AM137" s="42">
        <f t="shared" si="19"/>
        <v>0</v>
      </c>
      <c r="AN137" s="42">
        <f t="shared" si="19"/>
        <v>0</v>
      </c>
      <c r="AO137" s="42">
        <f t="shared" si="19"/>
        <v>2</v>
      </c>
    </row>
    <row r="138" spans="1:41" ht="15.75">
      <c r="A138" s="16">
        <f t="shared" si="26"/>
        <v>135</v>
      </c>
      <c r="B138" s="8">
        <v>1611</v>
      </c>
      <c r="C138" s="62" t="s">
        <v>264</v>
      </c>
      <c r="D138" s="63" t="s">
        <v>754</v>
      </c>
      <c r="E138" s="13" t="s">
        <v>1494</v>
      </c>
      <c r="F138" s="14" t="s">
        <v>756</v>
      </c>
      <c r="G138" s="429" t="s">
        <v>6473</v>
      </c>
      <c r="H138" s="385">
        <v>29315</v>
      </c>
      <c r="I138" s="383">
        <v>42615</v>
      </c>
      <c r="J138" s="430" t="s">
        <v>6293</v>
      </c>
      <c r="K138" s="366" t="s">
        <v>6296</v>
      </c>
      <c r="L138" s="366" t="s">
        <v>6335</v>
      </c>
      <c r="M138" s="1">
        <v>192</v>
      </c>
      <c r="N138" s="431">
        <f t="shared" si="24"/>
        <v>6</v>
      </c>
      <c r="O138" s="432">
        <v>20</v>
      </c>
      <c r="P138" s="432">
        <v>0</v>
      </c>
      <c r="Q138" s="432">
        <v>0</v>
      </c>
      <c r="R138" s="1">
        <v>7</v>
      </c>
      <c r="S138" s="1">
        <v>10</v>
      </c>
      <c r="T138" s="300">
        <f t="shared" si="25"/>
        <v>235</v>
      </c>
      <c r="U138" s="3"/>
      <c r="V138" s="3"/>
      <c r="W138" s="3"/>
      <c r="X138" s="3"/>
      <c r="Y138" s="3"/>
      <c r="Z138" s="20">
        <f t="shared" si="22"/>
        <v>194</v>
      </c>
      <c r="AA138" s="20">
        <f t="shared" si="21"/>
        <v>6</v>
      </c>
      <c r="AB138" s="20">
        <f t="shared" si="21"/>
        <v>20</v>
      </c>
      <c r="AC138" s="20">
        <f t="shared" si="21"/>
        <v>0</v>
      </c>
      <c r="AD138" s="20">
        <f t="shared" si="21"/>
        <v>0</v>
      </c>
      <c r="AE138" s="20">
        <f t="shared" si="21"/>
        <v>7</v>
      </c>
      <c r="AF138" s="20">
        <f t="shared" si="21"/>
        <v>10</v>
      </c>
      <c r="AG138" s="300">
        <f t="shared" si="23"/>
        <v>237</v>
      </c>
      <c r="AH138" s="42">
        <f t="shared" si="20"/>
        <v>2</v>
      </c>
      <c r="AI138" s="42">
        <f t="shared" si="20"/>
        <v>0</v>
      </c>
      <c r="AJ138" s="42">
        <f t="shared" si="20"/>
        <v>0</v>
      </c>
      <c r="AK138" s="42">
        <f t="shared" si="19"/>
        <v>0</v>
      </c>
      <c r="AL138" s="42">
        <f t="shared" si="19"/>
        <v>0</v>
      </c>
      <c r="AM138" s="42">
        <f t="shared" si="19"/>
        <v>0</v>
      </c>
      <c r="AN138" s="42">
        <f t="shared" si="19"/>
        <v>0</v>
      </c>
      <c r="AO138" s="42">
        <f t="shared" si="19"/>
        <v>2</v>
      </c>
    </row>
    <row r="139" spans="1:41" ht="15.75">
      <c r="A139" s="16">
        <f t="shared" si="26"/>
        <v>136</v>
      </c>
      <c r="B139" s="8">
        <v>1622</v>
      </c>
      <c r="C139" s="62" t="s">
        <v>1512</v>
      </c>
      <c r="D139" s="63" t="s">
        <v>1513</v>
      </c>
      <c r="E139" s="13" t="s">
        <v>1514</v>
      </c>
      <c r="F139" s="14" t="s">
        <v>1515</v>
      </c>
      <c r="G139" s="429" t="s">
        <v>6473</v>
      </c>
      <c r="H139" s="385">
        <v>26160</v>
      </c>
      <c r="I139" s="383">
        <v>42655</v>
      </c>
      <c r="J139" s="430" t="s">
        <v>6159</v>
      </c>
      <c r="K139" s="366" t="s">
        <v>3070</v>
      </c>
      <c r="L139" s="366" t="s">
        <v>6310</v>
      </c>
      <c r="M139" s="1">
        <v>192</v>
      </c>
      <c r="N139" s="431">
        <f t="shared" si="24"/>
        <v>6</v>
      </c>
      <c r="O139" s="432">
        <v>20</v>
      </c>
      <c r="P139" s="432">
        <v>80</v>
      </c>
      <c r="Q139" s="432">
        <v>0</v>
      </c>
      <c r="R139" s="1">
        <v>7</v>
      </c>
      <c r="S139" s="1">
        <v>10</v>
      </c>
      <c r="T139" s="300">
        <f t="shared" si="25"/>
        <v>315</v>
      </c>
      <c r="U139" s="3"/>
      <c r="V139" s="3"/>
      <c r="W139" s="3"/>
      <c r="X139" s="3"/>
      <c r="Y139" s="3"/>
      <c r="Z139" s="20">
        <f t="shared" si="22"/>
        <v>194</v>
      </c>
      <c r="AA139" s="20">
        <f t="shared" si="21"/>
        <v>6</v>
      </c>
      <c r="AB139" s="20">
        <f t="shared" si="21"/>
        <v>20</v>
      </c>
      <c r="AC139" s="20">
        <f t="shared" si="21"/>
        <v>80</v>
      </c>
      <c r="AD139" s="20">
        <f t="shared" si="21"/>
        <v>0</v>
      </c>
      <c r="AE139" s="20">
        <f t="shared" si="21"/>
        <v>7</v>
      </c>
      <c r="AF139" s="20">
        <f t="shared" si="21"/>
        <v>10</v>
      </c>
      <c r="AG139" s="300">
        <f t="shared" si="23"/>
        <v>317</v>
      </c>
      <c r="AH139" s="42">
        <f t="shared" si="20"/>
        <v>2</v>
      </c>
      <c r="AI139" s="42">
        <f t="shared" si="20"/>
        <v>0</v>
      </c>
      <c r="AJ139" s="42">
        <f t="shared" si="20"/>
        <v>0</v>
      </c>
      <c r="AK139" s="42">
        <f t="shared" si="19"/>
        <v>0</v>
      </c>
      <c r="AL139" s="42">
        <f t="shared" si="19"/>
        <v>0</v>
      </c>
      <c r="AM139" s="42">
        <f t="shared" si="19"/>
        <v>0</v>
      </c>
      <c r="AN139" s="42">
        <f t="shared" si="19"/>
        <v>0</v>
      </c>
      <c r="AO139" s="42">
        <f t="shared" si="19"/>
        <v>2</v>
      </c>
    </row>
    <row r="140" spans="1:41" ht="15.75">
      <c r="A140" s="16">
        <f t="shared" si="26"/>
        <v>137</v>
      </c>
      <c r="B140" s="8">
        <v>1627</v>
      </c>
      <c r="C140" s="387" t="s">
        <v>1520</v>
      </c>
      <c r="D140" s="388" t="s">
        <v>1521</v>
      </c>
      <c r="E140" s="13" t="s">
        <v>1522</v>
      </c>
      <c r="F140" s="14" t="s">
        <v>1523</v>
      </c>
      <c r="G140" s="429" t="s">
        <v>6473</v>
      </c>
      <c r="H140" s="385">
        <v>29676</v>
      </c>
      <c r="I140" s="383">
        <v>42656</v>
      </c>
      <c r="J140" s="430" t="s">
        <v>6293</v>
      </c>
      <c r="K140" s="366" t="s">
        <v>6296</v>
      </c>
      <c r="L140" s="366" t="s">
        <v>6335</v>
      </c>
      <c r="M140" s="1">
        <v>192</v>
      </c>
      <c r="N140" s="431">
        <f t="shared" si="24"/>
        <v>6</v>
      </c>
      <c r="O140" s="432">
        <v>20</v>
      </c>
      <c r="P140" s="432">
        <v>0</v>
      </c>
      <c r="Q140" s="432">
        <v>0</v>
      </c>
      <c r="R140" s="1">
        <v>7</v>
      </c>
      <c r="S140" s="1">
        <v>10</v>
      </c>
      <c r="T140" s="300">
        <f t="shared" si="25"/>
        <v>235</v>
      </c>
      <c r="U140" s="3"/>
      <c r="V140" s="3"/>
      <c r="W140" s="3"/>
      <c r="X140" s="3"/>
      <c r="Y140" s="3"/>
      <c r="Z140" s="20">
        <f t="shared" si="22"/>
        <v>194</v>
      </c>
      <c r="AA140" s="20">
        <f t="shared" si="21"/>
        <v>6</v>
      </c>
      <c r="AB140" s="20">
        <f t="shared" si="21"/>
        <v>20</v>
      </c>
      <c r="AC140" s="20">
        <f t="shared" si="21"/>
        <v>0</v>
      </c>
      <c r="AD140" s="20">
        <f t="shared" si="21"/>
        <v>0</v>
      </c>
      <c r="AE140" s="20">
        <f t="shared" si="21"/>
        <v>7</v>
      </c>
      <c r="AF140" s="20">
        <f t="shared" si="21"/>
        <v>10</v>
      </c>
      <c r="AG140" s="300">
        <f t="shared" si="23"/>
        <v>237</v>
      </c>
      <c r="AH140" s="42">
        <f t="shared" si="20"/>
        <v>2</v>
      </c>
      <c r="AI140" s="42">
        <f t="shared" si="20"/>
        <v>0</v>
      </c>
      <c r="AJ140" s="42">
        <f t="shared" si="20"/>
        <v>0</v>
      </c>
      <c r="AK140" s="42">
        <f t="shared" si="19"/>
        <v>0</v>
      </c>
      <c r="AL140" s="42">
        <f t="shared" si="19"/>
        <v>0</v>
      </c>
      <c r="AM140" s="42">
        <f t="shared" si="19"/>
        <v>0</v>
      </c>
      <c r="AN140" s="42">
        <f t="shared" si="19"/>
        <v>0</v>
      </c>
      <c r="AO140" s="42">
        <f t="shared" si="19"/>
        <v>2</v>
      </c>
    </row>
    <row r="141" spans="1:41" ht="15.75">
      <c r="A141" s="16">
        <f t="shared" si="26"/>
        <v>138</v>
      </c>
      <c r="B141" s="8">
        <v>1637</v>
      </c>
      <c r="C141" s="62" t="s">
        <v>1280</v>
      </c>
      <c r="D141" s="63" t="s">
        <v>1419</v>
      </c>
      <c r="E141" s="13" t="s">
        <v>1282</v>
      </c>
      <c r="F141" s="14" t="s">
        <v>1421</v>
      </c>
      <c r="G141" s="429" t="s">
        <v>6473</v>
      </c>
      <c r="H141" s="385">
        <v>31307</v>
      </c>
      <c r="I141" s="383">
        <v>42656</v>
      </c>
      <c r="J141" s="430" t="s">
        <v>6293</v>
      </c>
      <c r="K141" s="366" t="s">
        <v>6302</v>
      </c>
      <c r="L141" s="366" t="s">
        <v>6335</v>
      </c>
      <c r="M141" s="1">
        <v>192</v>
      </c>
      <c r="N141" s="431">
        <f t="shared" si="24"/>
        <v>6</v>
      </c>
      <c r="O141" s="432">
        <v>20</v>
      </c>
      <c r="P141" s="432">
        <v>0</v>
      </c>
      <c r="Q141" s="432">
        <v>0</v>
      </c>
      <c r="R141" s="1">
        <v>7</v>
      </c>
      <c r="S141" s="1">
        <v>10</v>
      </c>
      <c r="T141" s="300">
        <f t="shared" si="25"/>
        <v>235</v>
      </c>
      <c r="U141" s="3"/>
      <c r="V141" s="3"/>
      <c r="W141" s="3"/>
      <c r="X141" s="3"/>
      <c r="Y141" s="3"/>
      <c r="Z141" s="20">
        <f t="shared" si="22"/>
        <v>194</v>
      </c>
      <c r="AA141" s="20">
        <f t="shared" si="21"/>
        <v>6</v>
      </c>
      <c r="AB141" s="20">
        <f t="shared" si="21"/>
        <v>20</v>
      </c>
      <c r="AC141" s="20">
        <f t="shared" si="21"/>
        <v>0</v>
      </c>
      <c r="AD141" s="20">
        <f t="shared" si="21"/>
        <v>0</v>
      </c>
      <c r="AE141" s="20">
        <f t="shared" si="21"/>
        <v>7</v>
      </c>
      <c r="AF141" s="20">
        <f t="shared" si="21"/>
        <v>10</v>
      </c>
      <c r="AG141" s="300">
        <f t="shared" si="23"/>
        <v>237</v>
      </c>
      <c r="AH141" s="42">
        <f t="shared" si="20"/>
        <v>2</v>
      </c>
      <c r="AI141" s="42">
        <f t="shared" si="20"/>
        <v>0</v>
      </c>
      <c r="AJ141" s="42">
        <f t="shared" si="20"/>
        <v>0</v>
      </c>
      <c r="AK141" s="42">
        <f t="shared" si="19"/>
        <v>0</v>
      </c>
      <c r="AL141" s="42">
        <f t="shared" si="19"/>
        <v>0</v>
      </c>
      <c r="AM141" s="42">
        <f t="shared" si="19"/>
        <v>0</v>
      </c>
      <c r="AN141" s="42">
        <f t="shared" si="19"/>
        <v>0</v>
      </c>
      <c r="AO141" s="42">
        <f t="shared" si="19"/>
        <v>2</v>
      </c>
    </row>
    <row r="142" spans="1:41" ht="15.75">
      <c r="A142" s="16">
        <f t="shared" si="26"/>
        <v>139</v>
      </c>
      <c r="B142" s="8">
        <v>1644</v>
      </c>
      <c r="C142" s="62" t="s">
        <v>644</v>
      </c>
      <c r="D142" s="63" t="s">
        <v>575</v>
      </c>
      <c r="E142" s="13" t="s">
        <v>1531</v>
      </c>
      <c r="F142" s="14" t="s">
        <v>577</v>
      </c>
      <c r="G142" s="429" t="s">
        <v>6473</v>
      </c>
      <c r="H142" s="385">
        <v>28541</v>
      </c>
      <c r="I142" s="383">
        <v>42657</v>
      </c>
      <c r="J142" s="430" t="s">
        <v>6293</v>
      </c>
      <c r="K142" s="366" t="s">
        <v>6097</v>
      </c>
      <c r="L142" s="366" t="s">
        <v>6335</v>
      </c>
      <c r="M142" s="1">
        <v>192</v>
      </c>
      <c r="N142" s="431">
        <f t="shared" si="24"/>
        <v>6</v>
      </c>
      <c r="O142" s="432">
        <v>20</v>
      </c>
      <c r="P142" s="432">
        <v>0</v>
      </c>
      <c r="Q142" s="432">
        <v>0</v>
      </c>
      <c r="R142" s="1">
        <v>7</v>
      </c>
      <c r="S142" s="1">
        <v>10</v>
      </c>
      <c r="T142" s="300">
        <f t="shared" si="25"/>
        <v>235</v>
      </c>
      <c r="U142" s="3"/>
      <c r="V142" s="3"/>
      <c r="W142" s="3"/>
      <c r="X142" s="3"/>
      <c r="Y142" s="3"/>
      <c r="Z142" s="20">
        <f t="shared" si="22"/>
        <v>194</v>
      </c>
      <c r="AA142" s="20">
        <f t="shared" si="21"/>
        <v>6</v>
      </c>
      <c r="AB142" s="20">
        <f t="shared" si="21"/>
        <v>20</v>
      </c>
      <c r="AC142" s="20">
        <f t="shared" si="21"/>
        <v>0</v>
      </c>
      <c r="AD142" s="20">
        <f t="shared" si="21"/>
        <v>0</v>
      </c>
      <c r="AE142" s="20">
        <f t="shared" si="21"/>
        <v>7</v>
      </c>
      <c r="AF142" s="20">
        <f t="shared" si="21"/>
        <v>10</v>
      </c>
      <c r="AG142" s="300">
        <f t="shared" si="23"/>
        <v>237</v>
      </c>
      <c r="AH142" s="42">
        <f t="shared" si="20"/>
        <v>2</v>
      </c>
      <c r="AI142" s="42">
        <f t="shared" si="20"/>
        <v>0</v>
      </c>
      <c r="AJ142" s="42">
        <f t="shared" si="20"/>
        <v>0</v>
      </c>
      <c r="AK142" s="42">
        <f t="shared" si="19"/>
        <v>0</v>
      </c>
      <c r="AL142" s="42">
        <f t="shared" si="19"/>
        <v>0</v>
      </c>
      <c r="AM142" s="42">
        <f t="shared" si="19"/>
        <v>0</v>
      </c>
      <c r="AN142" s="42">
        <f t="shared" si="19"/>
        <v>0</v>
      </c>
      <c r="AO142" s="42">
        <f t="shared" si="19"/>
        <v>2</v>
      </c>
    </row>
    <row r="143" spans="1:41" ht="15.75">
      <c r="A143" s="16">
        <f t="shared" si="26"/>
        <v>140</v>
      </c>
      <c r="B143" s="8">
        <v>1648</v>
      </c>
      <c r="C143" s="62" t="s">
        <v>1512</v>
      </c>
      <c r="D143" s="63" t="s">
        <v>1537</v>
      </c>
      <c r="E143" s="13" t="s">
        <v>1538</v>
      </c>
      <c r="F143" s="14" t="s">
        <v>1539</v>
      </c>
      <c r="G143" s="429" t="s">
        <v>6473</v>
      </c>
      <c r="H143" s="385">
        <v>29691</v>
      </c>
      <c r="I143" s="383">
        <v>42657</v>
      </c>
      <c r="J143" s="430" t="s">
        <v>6293</v>
      </c>
      <c r="K143" s="366" t="s">
        <v>6301</v>
      </c>
      <c r="L143" s="366" t="s">
        <v>6335</v>
      </c>
      <c r="M143" s="1">
        <v>192</v>
      </c>
      <c r="N143" s="431">
        <f t="shared" si="24"/>
        <v>6</v>
      </c>
      <c r="O143" s="432">
        <v>20</v>
      </c>
      <c r="P143" s="432">
        <v>0</v>
      </c>
      <c r="Q143" s="432">
        <v>0</v>
      </c>
      <c r="R143" s="1">
        <v>7</v>
      </c>
      <c r="S143" s="1">
        <v>10</v>
      </c>
      <c r="T143" s="300">
        <f t="shared" si="25"/>
        <v>235</v>
      </c>
      <c r="U143" s="3"/>
      <c r="V143" s="3"/>
      <c r="W143" s="3"/>
      <c r="X143" s="3"/>
      <c r="Y143" s="3"/>
      <c r="Z143" s="20">
        <f t="shared" si="22"/>
        <v>194</v>
      </c>
      <c r="AA143" s="20">
        <f t="shared" si="21"/>
        <v>6</v>
      </c>
      <c r="AB143" s="20">
        <f t="shared" si="21"/>
        <v>20</v>
      </c>
      <c r="AC143" s="20">
        <f t="shared" si="21"/>
        <v>0</v>
      </c>
      <c r="AD143" s="20">
        <f t="shared" si="21"/>
        <v>0</v>
      </c>
      <c r="AE143" s="20">
        <f t="shared" si="21"/>
        <v>7</v>
      </c>
      <c r="AF143" s="20">
        <f t="shared" si="21"/>
        <v>10</v>
      </c>
      <c r="AG143" s="300">
        <f t="shared" si="23"/>
        <v>237</v>
      </c>
      <c r="AH143" s="42">
        <f t="shared" si="20"/>
        <v>2</v>
      </c>
      <c r="AI143" s="42">
        <f t="shared" si="20"/>
        <v>0</v>
      </c>
      <c r="AJ143" s="42">
        <f t="shared" si="20"/>
        <v>0</v>
      </c>
      <c r="AK143" s="42">
        <f t="shared" si="19"/>
        <v>0</v>
      </c>
      <c r="AL143" s="42">
        <f t="shared" si="19"/>
        <v>0</v>
      </c>
      <c r="AM143" s="42">
        <f t="shared" ref="AM143:AO206" si="27">AE143-R143</f>
        <v>0</v>
      </c>
      <c r="AN143" s="42">
        <f t="shared" si="27"/>
        <v>0</v>
      </c>
      <c r="AO143" s="42">
        <f t="shared" si="27"/>
        <v>2</v>
      </c>
    </row>
    <row r="144" spans="1:41" ht="15.75">
      <c r="A144" s="16">
        <f t="shared" si="26"/>
        <v>141</v>
      </c>
      <c r="B144" s="8">
        <v>1655</v>
      </c>
      <c r="C144" s="62" t="s">
        <v>1544</v>
      </c>
      <c r="D144" s="63" t="s">
        <v>356</v>
      </c>
      <c r="E144" s="13" t="s">
        <v>1545</v>
      </c>
      <c r="F144" s="14" t="s">
        <v>1251</v>
      </c>
      <c r="G144" s="429" t="s">
        <v>6473</v>
      </c>
      <c r="H144" s="385">
        <v>30385</v>
      </c>
      <c r="I144" s="383">
        <v>42656</v>
      </c>
      <c r="J144" s="430" t="s">
        <v>6293</v>
      </c>
      <c r="K144" s="366" t="s">
        <v>6298</v>
      </c>
      <c r="L144" s="366" t="s">
        <v>6335</v>
      </c>
      <c r="M144" s="1">
        <v>192</v>
      </c>
      <c r="N144" s="431">
        <f t="shared" si="24"/>
        <v>6</v>
      </c>
      <c r="O144" s="432">
        <v>20</v>
      </c>
      <c r="P144" s="432">
        <v>0</v>
      </c>
      <c r="Q144" s="432">
        <v>0</v>
      </c>
      <c r="R144" s="1">
        <v>7</v>
      </c>
      <c r="S144" s="1">
        <v>10</v>
      </c>
      <c r="T144" s="300">
        <f t="shared" si="25"/>
        <v>235</v>
      </c>
      <c r="U144" s="3"/>
      <c r="V144" s="3"/>
      <c r="W144" s="3"/>
      <c r="X144" s="3"/>
      <c r="Y144" s="3"/>
      <c r="Z144" s="20">
        <f t="shared" si="22"/>
        <v>194</v>
      </c>
      <c r="AA144" s="20">
        <f t="shared" si="21"/>
        <v>6</v>
      </c>
      <c r="AB144" s="20">
        <f t="shared" si="21"/>
        <v>20</v>
      </c>
      <c r="AC144" s="20">
        <f t="shared" si="21"/>
        <v>0</v>
      </c>
      <c r="AD144" s="20">
        <f t="shared" si="21"/>
        <v>0</v>
      </c>
      <c r="AE144" s="20">
        <f t="shared" si="21"/>
        <v>7</v>
      </c>
      <c r="AF144" s="20">
        <f t="shared" si="21"/>
        <v>10</v>
      </c>
      <c r="AG144" s="300">
        <f t="shared" si="23"/>
        <v>237</v>
      </c>
      <c r="AH144" s="42">
        <f t="shared" si="20"/>
        <v>2</v>
      </c>
      <c r="AI144" s="42">
        <f t="shared" si="20"/>
        <v>0</v>
      </c>
      <c r="AJ144" s="42">
        <f t="shared" si="20"/>
        <v>0</v>
      </c>
      <c r="AK144" s="42">
        <f t="shared" si="20"/>
        <v>0</v>
      </c>
      <c r="AL144" s="42">
        <f t="shared" si="20"/>
        <v>0</v>
      </c>
      <c r="AM144" s="42">
        <f t="shared" si="27"/>
        <v>0</v>
      </c>
      <c r="AN144" s="42">
        <f t="shared" si="27"/>
        <v>0</v>
      </c>
      <c r="AO144" s="42">
        <f t="shared" si="27"/>
        <v>2</v>
      </c>
    </row>
    <row r="145" spans="1:41" ht="15.75">
      <c r="A145" s="16">
        <f t="shared" si="26"/>
        <v>142</v>
      </c>
      <c r="B145" s="8">
        <v>1657</v>
      </c>
      <c r="C145" s="62" t="s">
        <v>958</v>
      </c>
      <c r="D145" s="63" t="s">
        <v>1550</v>
      </c>
      <c r="E145" s="13" t="s">
        <v>959</v>
      </c>
      <c r="F145" s="14" t="s">
        <v>1551</v>
      </c>
      <c r="G145" s="429" t="s">
        <v>6473</v>
      </c>
      <c r="H145" s="385">
        <v>31058</v>
      </c>
      <c r="I145" s="383">
        <v>42656</v>
      </c>
      <c r="J145" s="430" t="s">
        <v>6293</v>
      </c>
      <c r="K145" s="366" t="s">
        <v>6097</v>
      </c>
      <c r="L145" s="366" t="s">
        <v>6335</v>
      </c>
      <c r="M145" s="1">
        <v>192</v>
      </c>
      <c r="N145" s="431">
        <f t="shared" si="24"/>
        <v>6</v>
      </c>
      <c r="O145" s="432">
        <v>20</v>
      </c>
      <c r="P145" s="432">
        <v>0</v>
      </c>
      <c r="Q145" s="432">
        <v>0</v>
      </c>
      <c r="R145" s="1">
        <v>7</v>
      </c>
      <c r="S145" s="1">
        <v>10</v>
      </c>
      <c r="T145" s="300">
        <f t="shared" si="25"/>
        <v>235</v>
      </c>
      <c r="U145" s="3"/>
      <c r="V145" s="3"/>
      <c r="W145" s="3"/>
      <c r="X145" s="3"/>
      <c r="Y145" s="3"/>
      <c r="Z145" s="20">
        <f t="shared" si="22"/>
        <v>194</v>
      </c>
      <c r="AA145" s="20">
        <f t="shared" si="21"/>
        <v>6</v>
      </c>
      <c r="AB145" s="20">
        <f t="shared" si="21"/>
        <v>20</v>
      </c>
      <c r="AC145" s="20">
        <f t="shared" si="21"/>
        <v>0</v>
      </c>
      <c r="AD145" s="20">
        <f t="shared" si="21"/>
        <v>0</v>
      </c>
      <c r="AE145" s="20">
        <f t="shared" si="21"/>
        <v>7</v>
      </c>
      <c r="AF145" s="20">
        <f t="shared" si="21"/>
        <v>10</v>
      </c>
      <c r="AG145" s="300">
        <f t="shared" si="23"/>
        <v>237</v>
      </c>
      <c r="AH145" s="42">
        <f t="shared" si="20"/>
        <v>2</v>
      </c>
      <c r="AI145" s="42">
        <f t="shared" si="20"/>
        <v>0</v>
      </c>
      <c r="AJ145" s="42">
        <f t="shared" si="20"/>
        <v>0</v>
      </c>
      <c r="AK145" s="42">
        <f t="shared" si="20"/>
        <v>0</v>
      </c>
      <c r="AL145" s="42">
        <f t="shared" si="20"/>
        <v>0</v>
      </c>
      <c r="AM145" s="42">
        <f t="shared" si="27"/>
        <v>0</v>
      </c>
      <c r="AN145" s="42">
        <f t="shared" si="27"/>
        <v>0</v>
      </c>
      <c r="AO145" s="42">
        <f t="shared" si="27"/>
        <v>2</v>
      </c>
    </row>
    <row r="146" spans="1:41" ht="15.75">
      <c r="A146" s="16">
        <f t="shared" si="26"/>
        <v>143</v>
      </c>
      <c r="B146" s="8">
        <v>1665</v>
      </c>
      <c r="C146" s="62" t="s">
        <v>190</v>
      </c>
      <c r="D146" s="63" t="s">
        <v>1554</v>
      </c>
      <c r="E146" s="13" t="s">
        <v>694</v>
      </c>
      <c r="F146" s="14" t="s">
        <v>1555</v>
      </c>
      <c r="G146" s="429" t="s">
        <v>6475</v>
      </c>
      <c r="H146" s="385">
        <v>22819</v>
      </c>
      <c r="I146" s="383">
        <v>42657</v>
      </c>
      <c r="J146" s="430" t="s">
        <v>6293</v>
      </c>
      <c r="K146" s="411" t="s">
        <v>1556</v>
      </c>
      <c r="L146" s="411" t="s">
        <v>1556</v>
      </c>
      <c r="M146" s="1">
        <v>192</v>
      </c>
      <c r="N146" s="431">
        <f t="shared" si="24"/>
        <v>6</v>
      </c>
      <c r="O146" s="432">
        <v>20</v>
      </c>
      <c r="P146" s="432">
        <v>0</v>
      </c>
      <c r="Q146" s="432">
        <v>0</v>
      </c>
      <c r="R146" s="1">
        <v>7</v>
      </c>
      <c r="S146" s="1">
        <v>10</v>
      </c>
      <c r="T146" s="300">
        <f t="shared" si="25"/>
        <v>235</v>
      </c>
      <c r="U146" s="3"/>
      <c r="V146" s="3"/>
      <c r="W146" s="3"/>
      <c r="X146" s="3"/>
      <c r="Y146" s="3"/>
      <c r="Z146" s="20">
        <f t="shared" si="22"/>
        <v>194</v>
      </c>
      <c r="AA146" s="20">
        <f t="shared" si="21"/>
        <v>6</v>
      </c>
      <c r="AB146" s="20">
        <f t="shared" si="21"/>
        <v>20</v>
      </c>
      <c r="AC146" s="20">
        <f t="shared" si="21"/>
        <v>0</v>
      </c>
      <c r="AD146" s="20">
        <f t="shared" si="21"/>
        <v>0</v>
      </c>
      <c r="AE146" s="20">
        <f t="shared" si="21"/>
        <v>7</v>
      </c>
      <c r="AF146" s="20">
        <f t="shared" si="21"/>
        <v>10</v>
      </c>
      <c r="AG146" s="300">
        <f t="shared" si="23"/>
        <v>237</v>
      </c>
      <c r="AH146" s="42">
        <f t="shared" si="20"/>
        <v>2</v>
      </c>
      <c r="AI146" s="42">
        <f t="shared" si="20"/>
        <v>0</v>
      </c>
      <c r="AJ146" s="42">
        <f t="shared" si="20"/>
        <v>0</v>
      </c>
      <c r="AK146" s="42">
        <f t="shared" si="20"/>
        <v>0</v>
      </c>
      <c r="AL146" s="42">
        <f t="shared" si="20"/>
        <v>0</v>
      </c>
      <c r="AM146" s="42">
        <f t="shared" si="27"/>
        <v>0</v>
      </c>
      <c r="AN146" s="42">
        <f t="shared" si="27"/>
        <v>0</v>
      </c>
      <c r="AO146" s="42">
        <f t="shared" si="27"/>
        <v>2</v>
      </c>
    </row>
    <row r="147" spans="1:41" ht="15.75">
      <c r="A147" s="16">
        <f t="shared" si="26"/>
        <v>144</v>
      </c>
      <c r="B147" s="8">
        <v>1668</v>
      </c>
      <c r="C147" s="62" t="s">
        <v>1560</v>
      </c>
      <c r="D147" s="63" t="s">
        <v>1561</v>
      </c>
      <c r="E147" s="13" t="s">
        <v>479</v>
      </c>
      <c r="F147" s="14" t="s">
        <v>1562</v>
      </c>
      <c r="G147" s="429" t="s">
        <v>6473</v>
      </c>
      <c r="H147" s="385">
        <v>28927</v>
      </c>
      <c r="I147" s="383">
        <v>42656</v>
      </c>
      <c r="J147" s="430" t="s">
        <v>6293</v>
      </c>
      <c r="K147" s="411" t="s">
        <v>6298</v>
      </c>
      <c r="L147" s="411" t="s">
        <v>6335</v>
      </c>
      <c r="M147" s="1">
        <v>192</v>
      </c>
      <c r="N147" s="431">
        <f t="shared" si="24"/>
        <v>6</v>
      </c>
      <c r="O147" s="432">
        <v>20</v>
      </c>
      <c r="P147" s="432">
        <v>0</v>
      </c>
      <c r="Q147" s="432">
        <v>0</v>
      </c>
      <c r="R147" s="1">
        <v>7</v>
      </c>
      <c r="S147" s="1">
        <v>10</v>
      </c>
      <c r="T147" s="300">
        <f t="shared" si="25"/>
        <v>235</v>
      </c>
      <c r="U147" s="3"/>
      <c r="V147" s="3"/>
      <c r="W147" s="3"/>
      <c r="X147" s="3"/>
      <c r="Y147" s="3"/>
      <c r="Z147" s="20">
        <f t="shared" si="22"/>
        <v>194</v>
      </c>
      <c r="AA147" s="20">
        <f t="shared" si="21"/>
        <v>6</v>
      </c>
      <c r="AB147" s="20">
        <f t="shared" si="21"/>
        <v>20</v>
      </c>
      <c r="AC147" s="20">
        <f t="shared" si="21"/>
        <v>0</v>
      </c>
      <c r="AD147" s="20">
        <f t="shared" si="21"/>
        <v>0</v>
      </c>
      <c r="AE147" s="20">
        <f t="shared" si="21"/>
        <v>7</v>
      </c>
      <c r="AF147" s="20">
        <f t="shared" si="21"/>
        <v>10</v>
      </c>
      <c r="AG147" s="300">
        <f t="shared" si="23"/>
        <v>237</v>
      </c>
      <c r="AH147" s="42">
        <f t="shared" si="20"/>
        <v>2</v>
      </c>
      <c r="AI147" s="42">
        <f t="shared" si="20"/>
        <v>0</v>
      </c>
      <c r="AJ147" s="42">
        <f t="shared" si="20"/>
        <v>0</v>
      </c>
      <c r="AK147" s="42">
        <f t="shared" si="20"/>
        <v>0</v>
      </c>
      <c r="AL147" s="42">
        <f t="shared" si="20"/>
        <v>0</v>
      </c>
      <c r="AM147" s="42">
        <f t="shared" si="27"/>
        <v>0</v>
      </c>
      <c r="AN147" s="42">
        <f t="shared" si="27"/>
        <v>0</v>
      </c>
      <c r="AO147" s="42">
        <f t="shared" si="27"/>
        <v>2</v>
      </c>
    </row>
    <row r="148" spans="1:41" ht="15.75">
      <c r="A148" s="16">
        <f t="shared" si="26"/>
        <v>145</v>
      </c>
      <c r="B148" s="8">
        <v>1653</v>
      </c>
      <c r="C148" s="62" t="s">
        <v>355</v>
      </c>
      <c r="D148" s="63" t="s">
        <v>1566</v>
      </c>
      <c r="E148" s="13" t="s">
        <v>576</v>
      </c>
      <c r="F148" s="14" t="s">
        <v>1567</v>
      </c>
      <c r="G148" s="429" t="s">
        <v>6473</v>
      </c>
      <c r="H148" s="385">
        <v>34588</v>
      </c>
      <c r="I148" s="383">
        <v>42656</v>
      </c>
      <c r="J148" s="430" t="s">
        <v>6293</v>
      </c>
      <c r="K148" s="411" t="s">
        <v>6125</v>
      </c>
      <c r="L148" s="411" t="s">
        <v>6313</v>
      </c>
      <c r="M148" s="1">
        <v>192</v>
      </c>
      <c r="N148" s="431">
        <f t="shared" si="24"/>
        <v>6</v>
      </c>
      <c r="O148" s="432">
        <v>20</v>
      </c>
      <c r="P148" s="432">
        <v>35</v>
      </c>
      <c r="Q148" s="432">
        <v>0</v>
      </c>
      <c r="R148" s="1">
        <v>7</v>
      </c>
      <c r="S148" s="1">
        <v>10</v>
      </c>
      <c r="T148" s="300">
        <f t="shared" si="25"/>
        <v>270</v>
      </c>
      <c r="U148" s="3"/>
      <c r="V148" s="3"/>
      <c r="W148" s="3"/>
      <c r="X148" s="3"/>
      <c r="Y148" s="3"/>
      <c r="Z148" s="20">
        <f t="shared" si="22"/>
        <v>194</v>
      </c>
      <c r="AA148" s="20">
        <f t="shared" si="21"/>
        <v>6</v>
      </c>
      <c r="AB148" s="20">
        <f t="shared" si="21"/>
        <v>20</v>
      </c>
      <c r="AC148" s="20">
        <f t="shared" si="21"/>
        <v>35</v>
      </c>
      <c r="AD148" s="20">
        <f t="shared" si="21"/>
        <v>0</v>
      </c>
      <c r="AE148" s="20">
        <f t="shared" si="21"/>
        <v>7</v>
      </c>
      <c r="AF148" s="20">
        <f t="shared" si="21"/>
        <v>10</v>
      </c>
      <c r="AG148" s="300">
        <f t="shared" si="23"/>
        <v>272</v>
      </c>
      <c r="AH148" s="42">
        <f t="shared" si="20"/>
        <v>2</v>
      </c>
      <c r="AI148" s="42">
        <f t="shared" si="20"/>
        <v>0</v>
      </c>
      <c r="AJ148" s="42">
        <f t="shared" si="20"/>
        <v>0</v>
      </c>
      <c r="AK148" s="42">
        <f t="shared" si="20"/>
        <v>0</v>
      </c>
      <c r="AL148" s="42">
        <f t="shared" si="20"/>
        <v>0</v>
      </c>
      <c r="AM148" s="42">
        <f t="shared" si="27"/>
        <v>0</v>
      </c>
      <c r="AN148" s="42">
        <f t="shared" si="27"/>
        <v>0</v>
      </c>
      <c r="AO148" s="42">
        <f t="shared" si="27"/>
        <v>2</v>
      </c>
    </row>
    <row r="149" spans="1:41" ht="15.75">
      <c r="A149" s="16">
        <f t="shared" si="26"/>
        <v>146</v>
      </c>
      <c r="B149" s="8">
        <v>1666</v>
      </c>
      <c r="C149" s="62" t="s">
        <v>855</v>
      </c>
      <c r="D149" s="63" t="s">
        <v>1572</v>
      </c>
      <c r="E149" s="13" t="s">
        <v>1573</v>
      </c>
      <c r="F149" s="14" t="s">
        <v>1574</v>
      </c>
      <c r="G149" s="429" t="s">
        <v>6473</v>
      </c>
      <c r="H149" s="385">
        <v>29900</v>
      </c>
      <c r="I149" s="383">
        <v>42656</v>
      </c>
      <c r="J149" s="430" t="s">
        <v>6293</v>
      </c>
      <c r="K149" s="411" t="s">
        <v>6304</v>
      </c>
      <c r="L149" s="411" t="s">
        <v>6335</v>
      </c>
      <c r="M149" s="1">
        <v>192</v>
      </c>
      <c r="N149" s="431">
        <f t="shared" si="24"/>
        <v>6</v>
      </c>
      <c r="O149" s="432">
        <v>20</v>
      </c>
      <c r="P149" s="432">
        <v>0</v>
      </c>
      <c r="Q149" s="432">
        <v>0</v>
      </c>
      <c r="R149" s="1">
        <v>7</v>
      </c>
      <c r="S149" s="1">
        <v>10</v>
      </c>
      <c r="T149" s="300">
        <f t="shared" si="25"/>
        <v>235</v>
      </c>
      <c r="U149" s="3"/>
      <c r="V149" s="3"/>
      <c r="W149" s="3"/>
      <c r="X149" s="3"/>
      <c r="Y149" s="3"/>
      <c r="Z149" s="20">
        <f t="shared" si="22"/>
        <v>194</v>
      </c>
      <c r="AA149" s="20">
        <f t="shared" si="21"/>
        <v>6</v>
      </c>
      <c r="AB149" s="20">
        <f t="shared" si="21"/>
        <v>20</v>
      </c>
      <c r="AC149" s="20">
        <f t="shared" si="21"/>
        <v>0</v>
      </c>
      <c r="AD149" s="20">
        <f t="shared" si="21"/>
        <v>0</v>
      </c>
      <c r="AE149" s="20">
        <f t="shared" si="21"/>
        <v>7</v>
      </c>
      <c r="AF149" s="20">
        <f t="shared" si="21"/>
        <v>10</v>
      </c>
      <c r="AG149" s="300">
        <f t="shared" si="23"/>
        <v>237</v>
      </c>
      <c r="AH149" s="42">
        <f t="shared" si="20"/>
        <v>2</v>
      </c>
      <c r="AI149" s="42">
        <f t="shared" si="20"/>
        <v>0</v>
      </c>
      <c r="AJ149" s="42">
        <f t="shared" si="20"/>
        <v>0</v>
      </c>
      <c r="AK149" s="42">
        <f t="shared" si="20"/>
        <v>0</v>
      </c>
      <c r="AL149" s="42">
        <f t="shared" si="20"/>
        <v>0</v>
      </c>
      <c r="AM149" s="42">
        <f t="shared" si="27"/>
        <v>0</v>
      </c>
      <c r="AN149" s="42">
        <f t="shared" si="27"/>
        <v>0</v>
      </c>
      <c r="AO149" s="42">
        <f t="shared" si="27"/>
        <v>2</v>
      </c>
    </row>
    <row r="150" spans="1:41" ht="15.75">
      <c r="A150" s="16">
        <f t="shared" si="26"/>
        <v>147</v>
      </c>
      <c r="B150" s="8">
        <v>1689</v>
      </c>
      <c r="C150" s="62" t="s">
        <v>1118</v>
      </c>
      <c r="D150" s="63" t="s">
        <v>1587</v>
      </c>
      <c r="E150" s="13" t="s">
        <v>1120</v>
      </c>
      <c r="F150" s="14" t="s">
        <v>1588</v>
      </c>
      <c r="G150" s="429" t="s">
        <v>6473</v>
      </c>
      <c r="H150" s="385">
        <v>31417</v>
      </c>
      <c r="I150" s="383">
        <v>42657</v>
      </c>
      <c r="J150" s="430" t="s">
        <v>6293</v>
      </c>
      <c r="K150" s="411" t="s">
        <v>6298</v>
      </c>
      <c r="L150" s="411" t="s">
        <v>6088</v>
      </c>
      <c r="M150" s="1">
        <v>192</v>
      </c>
      <c r="N150" s="431">
        <f t="shared" si="24"/>
        <v>6</v>
      </c>
      <c r="O150" s="432">
        <v>20</v>
      </c>
      <c r="P150" s="432">
        <v>45</v>
      </c>
      <c r="Q150" s="432">
        <v>0</v>
      </c>
      <c r="R150" s="1">
        <v>7</v>
      </c>
      <c r="S150" s="1">
        <v>10</v>
      </c>
      <c r="T150" s="300">
        <f t="shared" si="25"/>
        <v>280</v>
      </c>
      <c r="U150" s="3"/>
      <c r="V150" s="3"/>
      <c r="W150" s="3"/>
      <c r="X150" s="3"/>
      <c r="Y150" s="3"/>
      <c r="Z150" s="20">
        <f t="shared" si="22"/>
        <v>194</v>
      </c>
      <c r="AA150" s="20">
        <f t="shared" si="21"/>
        <v>6</v>
      </c>
      <c r="AB150" s="20">
        <f t="shared" si="21"/>
        <v>20</v>
      </c>
      <c r="AC150" s="20">
        <f t="shared" si="21"/>
        <v>45</v>
      </c>
      <c r="AD150" s="20">
        <f t="shared" si="21"/>
        <v>0</v>
      </c>
      <c r="AE150" s="20">
        <f t="shared" si="21"/>
        <v>7</v>
      </c>
      <c r="AF150" s="20">
        <f t="shared" si="21"/>
        <v>10</v>
      </c>
      <c r="AG150" s="300">
        <f t="shared" si="23"/>
        <v>282</v>
      </c>
      <c r="AH150" s="42">
        <f t="shared" si="20"/>
        <v>2</v>
      </c>
      <c r="AI150" s="42">
        <f t="shared" si="20"/>
        <v>0</v>
      </c>
      <c r="AJ150" s="42">
        <f t="shared" si="20"/>
        <v>0</v>
      </c>
      <c r="AK150" s="42">
        <f t="shared" si="20"/>
        <v>0</v>
      </c>
      <c r="AL150" s="42">
        <f t="shared" si="20"/>
        <v>0</v>
      </c>
      <c r="AM150" s="42">
        <f t="shared" si="27"/>
        <v>0</v>
      </c>
      <c r="AN150" s="42">
        <f t="shared" si="27"/>
        <v>0</v>
      </c>
      <c r="AO150" s="42">
        <f t="shared" si="27"/>
        <v>2</v>
      </c>
    </row>
    <row r="151" spans="1:41" ht="15.75">
      <c r="A151" s="16">
        <f t="shared" si="26"/>
        <v>148</v>
      </c>
      <c r="B151" s="8">
        <v>1700</v>
      </c>
      <c r="C151" s="62" t="s">
        <v>1613</v>
      </c>
      <c r="D151" s="63" t="s">
        <v>1614</v>
      </c>
      <c r="E151" s="13" t="s">
        <v>20</v>
      </c>
      <c r="F151" s="14" t="s">
        <v>21</v>
      </c>
      <c r="G151" s="429" t="s">
        <v>6475</v>
      </c>
      <c r="H151" s="385">
        <v>31093</v>
      </c>
      <c r="I151" s="383">
        <v>42661</v>
      </c>
      <c r="J151" s="430" t="s">
        <v>6293</v>
      </c>
      <c r="K151" s="411" t="s">
        <v>45</v>
      </c>
      <c r="L151" s="411" t="s">
        <v>6338</v>
      </c>
      <c r="M151" s="1">
        <v>192</v>
      </c>
      <c r="N151" s="431">
        <f t="shared" si="24"/>
        <v>6</v>
      </c>
      <c r="O151" s="432">
        <v>20</v>
      </c>
      <c r="P151" s="432">
        <v>24</v>
      </c>
      <c r="Q151" s="432">
        <v>0</v>
      </c>
      <c r="R151" s="1">
        <v>7</v>
      </c>
      <c r="S151" s="1">
        <v>10</v>
      </c>
      <c r="T151" s="300">
        <f t="shared" si="25"/>
        <v>259</v>
      </c>
      <c r="U151" s="3"/>
      <c r="V151" s="3"/>
      <c r="W151" s="3"/>
      <c r="X151" s="3"/>
      <c r="Y151" s="3"/>
      <c r="Z151" s="20">
        <f t="shared" si="22"/>
        <v>194</v>
      </c>
      <c r="AA151" s="20">
        <f t="shared" si="21"/>
        <v>6</v>
      </c>
      <c r="AB151" s="20">
        <f t="shared" si="21"/>
        <v>20</v>
      </c>
      <c r="AC151" s="20">
        <f t="shared" si="21"/>
        <v>24</v>
      </c>
      <c r="AD151" s="20">
        <f t="shared" si="21"/>
        <v>0</v>
      </c>
      <c r="AE151" s="20">
        <f t="shared" si="21"/>
        <v>7</v>
      </c>
      <c r="AF151" s="20">
        <f t="shared" si="21"/>
        <v>10</v>
      </c>
      <c r="AG151" s="300">
        <f t="shared" si="23"/>
        <v>261</v>
      </c>
      <c r="AH151" s="42">
        <f t="shared" si="20"/>
        <v>2</v>
      </c>
      <c r="AI151" s="42">
        <f t="shared" si="20"/>
        <v>0</v>
      </c>
      <c r="AJ151" s="42">
        <f t="shared" si="20"/>
        <v>0</v>
      </c>
      <c r="AK151" s="42">
        <f t="shared" si="20"/>
        <v>0</v>
      </c>
      <c r="AL151" s="42">
        <f t="shared" si="20"/>
        <v>0</v>
      </c>
      <c r="AM151" s="42">
        <f t="shared" si="27"/>
        <v>0</v>
      </c>
      <c r="AN151" s="42">
        <f t="shared" si="27"/>
        <v>0</v>
      </c>
      <c r="AO151" s="42">
        <f t="shared" si="27"/>
        <v>2</v>
      </c>
    </row>
    <row r="152" spans="1:41" ht="15.75">
      <c r="A152" s="16">
        <f t="shared" si="26"/>
        <v>149</v>
      </c>
      <c r="B152" s="8">
        <v>1710</v>
      </c>
      <c r="C152" s="62" t="s">
        <v>256</v>
      </c>
      <c r="D152" s="63" t="s">
        <v>1119</v>
      </c>
      <c r="E152" s="13" t="s">
        <v>16</v>
      </c>
      <c r="F152" s="14" t="s">
        <v>1121</v>
      </c>
      <c r="G152" s="429" t="s">
        <v>6473</v>
      </c>
      <c r="H152" s="385">
        <v>26342</v>
      </c>
      <c r="I152" s="383">
        <v>42669</v>
      </c>
      <c r="J152" s="430" t="s">
        <v>6293</v>
      </c>
      <c r="K152" s="411" t="s">
        <v>6307</v>
      </c>
      <c r="L152" s="411" t="s">
        <v>6335</v>
      </c>
      <c r="M152" s="1">
        <v>192</v>
      </c>
      <c r="N152" s="431">
        <f t="shared" si="24"/>
        <v>6</v>
      </c>
      <c r="O152" s="432">
        <v>20</v>
      </c>
      <c r="P152" s="432">
        <v>0</v>
      </c>
      <c r="Q152" s="432">
        <v>0</v>
      </c>
      <c r="R152" s="1">
        <v>7</v>
      </c>
      <c r="S152" s="1">
        <v>10</v>
      </c>
      <c r="T152" s="300">
        <f t="shared" si="25"/>
        <v>235</v>
      </c>
      <c r="U152" s="3"/>
      <c r="V152" s="3"/>
      <c r="W152" s="3"/>
      <c r="X152" s="3"/>
      <c r="Y152" s="3"/>
      <c r="Z152" s="20">
        <f t="shared" si="22"/>
        <v>194</v>
      </c>
      <c r="AA152" s="20">
        <f t="shared" si="21"/>
        <v>6</v>
      </c>
      <c r="AB152" s="20">
        <f t="shared" si="21"/>
        <v>20</v>
      </c>
      <c r="AC152" s="20">
        <f t="shared" si="21"/>
        <v>0</v>
      </c>
      <c r="AD152" s="20">
        <f t="shared" si="21"/>
        <v>0</v>
      </c>
      <c r="AE152" s="20">
        <f t="shared" si="21"/>
        <v>7</v>
      </c>
      <c r="AF152" s="20">
        <f t="shared" si="21"/>
        <v>10</v>
      </c>
      <c r="AG152" s="300">
        <f t="shared" si="23"/>
        <v>237</v>
      </c>
      <c r="AH152" s="42">
        <f t="shared" ref="AH152:AL202" si="28">Z152-M152</f>
        <v>2</v>
      </c>
      <c r="AI152" s="42">
        <f t="shared" si="28"/>
        <v>0</v>
      </c>
      <c r="AJ152" s="42">
        <f t="shared" si="28"/>
        <v>0</v>
      </c>
      <c r="AK152" s="42">
        <f t="shared" si="28"/>
        <v>0</v>
      </c>
      <c r="AL152" s="42">
        <f t="shared" si="28"/>
        <v>0</v>
      </c>
      <c r="AM152" s="42">
        <f t="shared" si="27"/>
        <v>0</v>
      </c>
      <c r="AN152" s="42">
        <f t="shared" si="27"/>
        <v>0</v>
      </c>
      <c r="AO152" s="42">
        <f t="shared" si="27"/>
        <v>2</v>
      </c>
    </row>
    <row r="153" spans="1:41" ht="15.75">
      <c r="A153" s="16">
        <f t="shared" si="26"/>
        <v>150</v>
      </c>
      <c r="B153" s="8">
        <v>1711</v>
      </c>
      <c r="C153" s="62" t="s">
        <v>1630</v>
      </c>
      <c r="D153" s="63" t="s">
        <v>130</v>
      </c>
      <c r="E153" s="13" t="s">
        <v>1631</v>
      </c>
      <c r="F153" s="14" t="s">
        <v>661</v>
      </c>
      <c r="G153" s="429" t="s">
        <v>6473</v>
      </c>
      <c r="H153" s="385">
        <v>31446</v>
      </c>
      <c r="I153" s="383">
        <v>42665</v>
      </c>
      <c r="J153" s="430" t="s">
        <v>6293</v>
      </c>
      <c r="K153" s="411" t="s">
        <v>6307</v>
      </c>
      <c r="L153" s="411" t="s">
        <v>6092</v>
      </c>
      <c r="M153" s="1">
        <v>192</v>
      </c>
      <c r="N153" s="431">
        <f t="shared" si="24"/>
        <v>6</v>
      </c>
      <c r="O153" s="432">
        <v>20</v>
      </c>
      <c r="P153" s="432">
        <v>15</v>
      </c>
      <c r="Q153" s="432">
        <v>0</v>
      </c>
      <c r="R153" s="1">
        <v>7</v>
      </c>
      <c r="S153" s="1">
        <v>10</v>
      </c>
      <c r="T153" s="300">
        <f t="shared" si="25"/>
        <v>250</v>
      </c>
      <c r="U153" s="3"/>
      <c r="V153" s="3"/>
      <c r="W153" s="3"/>
      <c r="X153" s="3"/>
      <c r="Y153" s="3"/>
      <c r="Z153" s="20">
        <f t="shared" si="22"/>
        <v>194</v>
      </c>
      <c r="AA153" s="20">
        <f t="shared" si="21"/>
        <v>6</v>
      </c>
      <c r="AB153" s="20">
        <f t="shared" si="21"/>
        <v>20</v>
      </c>
      <c r="AC153" s="20">
        <f t="shared" si="21"/>
        <v>15</v>
      </c>
      <c r="AD153" s="20">
        <f t="shared" si="21"/>
        <v>0</v>
      </c>
      <c r="AE153" s="20">
        <f t="shared" si="21"/>
        <v>7</v>
      </c>
      <c r="AF153" s="20">
        <f t="shared" si="21"/>
        <v>10</v>
      </c>
      <c r="AG153" s="300">
        <f t="shared" si="23"/>
        <v>252</v>
      </c>
      <c r="AH153" s="42">
        <f t="shared" si="28"/>
        <v>2</v>
      </c>
      <c r="AI153" s="42">
        <f t="shared" si="28"/>
        <v>0</v>
      </c>
      <c r="AJ153" s="42">
        <f t="shared" si="28"/>
        <v>0</v>
      </c>
      <c r="AK153" s="42">
        <f t="shared" si="28"/>
        <v>0</v>
      </c>
      <c r="AL153" s="42">
        <f t="shared" si="28"/>
        <v>0</v>
      </c>
      <c r="AM153" s="42">
        <f t="shared" si="27"/>
        <v>0</v>
      </c>
      <c r="AN153" s="42">
        <f t="shared" si="27"/>
        <v>0</v>
      </c>
      <c r="AO153" s="42">
        <f t="shared" si="27"/>
        <v>2</v>
      </c>
    </row>
    <row r="154" spans="1:41" ht="15.75">
      <c r="A154" s="16">
        <f t="shared" si="26"/>
        <v>151</v>
      </c>
      <c r="B154" s="8">
        <v>1719</v>
      </c>
      <c r="C154" s="62" t="s">
        <v>1635</v>
      </c>
      <c r="D154" s="63" t="s">
        <v>1636</v>
      </c>
      <c r="E154" s="13" t="s">
        <v>1637</v>
      </c>
      <c r="F154" s="14" t="s">
        <v>1144</v>
      </c>
      <c r="G154" s="429" t="s">
        <v>6473</v>
      </c>
      <c r="H154" s="385">
        <v>33394</v>
      </c>
      <c r="I154" s="383">
        <v>42670</v>
      </c>
      <c r="J154" s="430" t="s">
        <v>6293</v>
      </c>
      <c r="K154" s="411" t="s">
        <v>6305</v>
      </c>
      <c r="L154" s="411" t="s">
        <v>6335</v>
      </c>
      <c r="M154" s="1">
        <v>192</v>
      </c>
      <c r="N154" s="431">
        <f t="shared" si="24"/>
        <v>6</v>
      </c>
      <c r="O154" s="432">
        <v>20</v>
      </c>
      <c r="P154" s="432">
        <v>0</v>
      </c>
      <c r="Q154" s="432">
        <v>0</v>
      </c>
      <c r="R154" s="1">
        <v>7</v>
      </c>
      <c r="S154" s="1">
        <v>10</v>
      </c>
      <c r="T154" s="300">
        <f t="shared" si="25"/>
        <v>235</v>
      </c>
      <c r="U154" s="3"/>
      <c r="V154" s="3"/>
      <c r="W154" s="3"/>
      <c r="X154" s="3"/>
      <c r="Y154" s="3"/>
      <c r="Z154" s="20">
        <f t="shared" si="22"/>
        <v>194</v>
      </c>
      <c r="AA154" s="20">
        <f t="shared" si="21"/>
        <v>6</v>
      </c>
      <c r="AB154" s="20">
        <f t="shared" si="21"/>
        <v>20</v>
      </c>
      <c r="AC154" s="20">
        <f t="shared" si="21"/>
        <v>0</v>
      </c>
      <c r="AD154" s="20">
        <f t="shared" si="21"/>
        <v>0</v>
      </c>
      <c r="AE154" s="20">
        <f t="shared" si="21"/>
        <v>7</v>
      </c>
      <c r="AF154" s="20">
        <f t="shared" si="21"/>
        <v>10</v>
      </c>
      <c r="AG154" s="300">
        <f t="shared" si="23"/>
        <v>237</v>
      </c>
      <c r="AH154" s="42">
        <f t="shared" si="28"/>
        <v>2</v>
      </c>
      <c r="AI154" s="42">
        <f t="shared" si="28"/>
        <v>0</v>
      </c>
      <c r="AJ154" s="42">
        <f t="shared" si="28"/>
        <v>0</v>
      </c>
      <c r="AK154" s="42">
        <f t="shared" si="28"/>
        <v>0</v>
      </c>
      <c r="AL154" s="42">
        <f t="shared" si="28"/>
        <v>0</v>
      </c>
      <c r="AM154" s="42">
        <f t="shared" si="27"/>
        <v>0</v>
      </c>
      <c r="AN154" s="42">
        <f t="shared" si="27"/>
        <v>0</v>
      </c>
      <c r="AO154" s="42">
        <f t="shared" si="27"/>
        <v>2</v>
      </c>
    </row>
    <row r="155" spans="1:41" ht="15.75">
      <c r="A155" s="16">
        <f t="shared" si="26"/>
        <v>152</v>
      </c>
      <c r="B155" s="8">
        <v>1727</v>
      </c>
      <c r="C155" s="62" t="s">
        <v>1648</v>
      </c>
      <c r="D155" s="63" t="s">
        <v>700</v>
      </c>
      <c r="E155" s="13" t="s">
        <v>1600</v>
      </c>
      <c r="F155" s="14" t="s">
        <v>15</v>
      </c>
      <c r="G155" s="429" t="s">
        <v>6473</v>
      </c>
      <c r="H155" s="385">
        <v>32694</v>
      </c>
      <c r="I155" s="383">
        <v>42676</v>
      </c>
      <c r="J155" s="430" t="s">
        <v>6293</v>
      </c>
      <c r="K155" s="411" t="s">
        <v>6305</v>
      </c>
      <c r="L155" s="411" t="s">
        <v>6133</v>
      </c>
      <c r="M155" s="1">
        <v>192</v>
      </c>
      <c r="N155" s="431">
        <f t="shared" si="24"/>
        <v>6</v>
      </c>
      <c r="O155" s="432">
        <v>20</v>
      </c>
      <c r="P155" s="432">
        <v>10</v>
      </c>
      <c r="Q155" s="432">
        <v>0</v>
      </c>
      <c r="R155" s="1">
        <v>7</v>
      </c>
      <c r="S155" s="1">
        <v>10</v>
      </c>
      <c r="T155" s="300">
        <f t="shared" si="25"/>
        <v>245</v>
      </c>
      <c r="U155" s="3"/>
      <c r="V155" s="3"/>
      <c r="W155" s="3"/>
      <c r="X155" s="3"/>
      <c r="Y155" s="3"/>
      <c r="Z155" s="20">
        <f t="shared" si="22"/>
        <v>194</v>
      </c>
      <c r="AA155" s="20">
        <f t="shared" si="21"/>
        <v>6</v>
      </c>
      <c r="AB155" s="20">
        <f t="shared" si="21"/>
        <v>20</v>
      </c>
      <c r="AC155" s="20">
        <f t="shared" si="21"/>
        <v>10</v>
      </c>
      <c r="AD155" s="20">
        <f t="shared" si="21"/>
        <v>0</v>
      </c>
      <c r="AE155" s="20">
        <f t="shared" si="21"/>
        <v>7</v>
      </c>
      <c r="AF155" s="20">
        <f t="shared" si="21"/>
        <v>10</v>
      </c>
      <c r="AG155" s="300">
        <f t="shared" si="23"/>
        <v>247</v>
      </c>
      <c r="AH155" s="42">
        <f t="shared" si="28"/>
        <v>2</v>
      </c>
      <c r="AI155" s="42">
        <f t="shared" si="28"/>
        <v>0</v>
      </c>
      <c r="AJ155" s="42">
        <f t="shared" si="28"/>
        <v>0</v>
      </c>
      <c r="AK155" s="42">
        <f t="shared" si="28"/>
        <v>0</v>
      </c>
      <c r="AL155" s="42">
        <f t="shared" si="28"/>
        <v>0</v>
      </c>
      <c r="AM155" s="42">
        <f t="shared" si="27"/>
        <v>0</v>
      </c>
      <c r="AN155" s="42">
        <f t="shared" si="27"/>
        <v>0</v>
      </c>
      <c r="AO155" s="42">
        <f t="shared" si="27"/>
        <v>2</v>
      </c>
    </row>
    <row r="156" spans="1:41" ht="15.75">
      <c r="A156" s="16">
        <f t="shared" si="26"/>
        <v>153</v>
      </c>
      <c r="B156" s="8">
        <v>1743</v>
      </c>
      <c r="C156" s="62" t="s">
        <v>1652</v>
      </c>
      <c r="D156" s="63" t="s">
        <v>1653</v>
      </c>
      <c r="E156" s="13" t="s">
        <v>1128</v>
      </c>
      <c r="F156" s="14" t="s">
        <v>1654</v>
      </c>
      <c r="G156" s="429" t="s">
        <v>6473</v>
      </c>
      <c r="H156" s="385">
        <v>35827</v>
      </c>
      <c r="I156" s="383">
        <v>42682</v>
      </c>
      <c r="J156" s="430" t="s">
        <v>6293</v>
      </c>
      <c r="K156" s="411" t="s">
        <v>6309</v>
      </c>
      <c r="L156" s="411" t="s">
        <v>6339</v>
      </c>
      <c r="M156" s="1">
        <v>192</v>
      </c>
      <c r="N156" s="431">
        <f t="shared" si="24"/>
        <v>6</v>
      </c>
      <c r="O156" s="432">
        <v>20</v>
      </c>
      <c r="P156" s="432">
        <v>0</v>
      </c>
      <c r="Q156" s="432">
        <v>0</v>
      </c>
      <c r="R156" s="1">
        <v>7</v>
      </c>
      <c r="S156" s="1">
        <v>10</v>
      </c>
      <c r="T156" s="300">
        <f t="shared" si="25"/>
        <v>235</v>
      </c>
      <c r="U156" s="3"/>
      <c r="V156" s="3"/>
      <c r="W156" s="3"/>
      <c r="X156" s="3"/>
      <c r="Y156" s="3"/>
      <c r="Z156" s="20">
        <f t="shared" si="22"/>
        <v>194</v>
      </c>
      <c r="AA156" s="20">
        <f t="shared" si="21"/>
        <v>6</v>
      </c>
      <c r="AB156" s="20">
        <f t="shared" si="21"/>
        <v>20</v>
      </c>
      <c r="AC156" s="20">
        <f t="shared" si="21"/>
        <v>0</v>
      </c>
      <c r="AD156" s="20">
        <f t="shared" si="21"/>
        <v>0</v>
      </c>
      <c r="AE156" s="20">
        <f t="shared" si="21"/>
        <v>7</v>
      </c>
      <c r="AF156" s="20">
        <f t="shared" si="21"/>
        <v>10</v>
      </c>
      <c r="AG156" s="300">
        <f t="shared" si="23"/>
        <v>237</v>
      </c>
      <c r="AH156" s="42">
        <f t="shared" si="28"/>
        <v>2</v>
      </c>
      <c r="AI156" s="42">
        <f t="shared" si="28"/>
        <v>0</v>
      </c>
      <c r="AJ156" s="42">
        <f t="shared" si="28"/>
        <v>0</v>
      </c>
      <c r="AK156" s="42">
        <f t="shared" si="28"/>
        <v>0</v>
      </c>
      <c r="AL156" s="42">
        <f t="shared" si="28"/>
        <v>0</v>
      </c>
      <c r="AM156" s="42">
        <f t="shared" si="27"/>
        <v>0</v>
      </c>
      <c r="AN156" s="42">
        <f t="shared" si="27"/>
        <v>0</v>
      </c>
      <c r="AO156" s="42">
        <f t="shared" si="27"/>
        <v>2</v>
      </c>
    </row>
    <row r="157" spans="1:41" ht="15.75">
      <c r="A157" s="16">
        <f t="shared" si="26"/>
        <v>154</v>
      </c>
      <c r="B157" s="8">
        <v>1747</v>
      </c>
      <c r="C157" s="62" t="s">
        <v>1663</v>
      </c>
      <c r="D157" s="63" t="s">
        <v>1664</v>
      </c>
      <c r="E157" s="13" t="s">
        <v>1665</v>
      </c>
      <c r="F157" s="14" t="s">
        <v>1666</v>
      </c>
      <c r="G157" s="429" t="s">
        <v>6473</v>
      </c>
      <c r="H157" s="385">
        <v>30688</v>
      </c>
      <c r="I157" s="383">
        <v>42685</v>
      </c>
      <c r="J157" s="430" t="s">
        <v>6293</v>
      </c>
      <c r="K157" s="411" t="s">
        <v>6309</v>
      </c>
      <c r="L157" s="411" t="s">
        <v>6484</v>
      </c>
      <c r="M157" s="1">
        <v>192</v>
      </c>
      <c r="N157" s="431">
        <f t="shared" si="24"/>
        <v>6</v>
      </c>
      <c r="O157" s="432">
        <v>20</v>
      </c>
      <c r="P157" s="432">
        <v>35</v>
      </c>
      <c r="Q157" s="432">
        <v>0</v>
      </c>
      <c r="R157" s="1">
        <v>7</v>
      </c>
      <c r="S157" s="1">
        <v>10</v>
      </c>
      <c r="T157" s="300">
        <f t="shared" si="25"/>
        <v>270</v>
      </c>
      <c r="U157" s="3"/>
      <c r="V157" s="3"/>
      <c r="W157" s="3"/>
      <c r="X157" s="3"/>
      <c r="Y157" s="3"/>
      <c r="Z157" s="20">
        <f t="shared" si="22"/>
        <v>194</v>
      </c>
      <c r="AA157" s="20">
        <f t="shared" si="21"/>
        <v>6</v>
      </c>
      <c r="AB157" s="20">
        <f t="shared" si="21"/>
        <v>20</v>
      </c>
      <c r="AC157" s="20">
        <f t="shared" si="21"/>
        <v>35</v>
      </c>
      <c r="AD157" s="20">
        <f t="shared" si="21"/>
        <v>0</v>
      </c>
      <c r="AE157" s="20">
        <f t="shared" si="21"/>
        <v>7</v>
      </c>
      <c r="AF157" s="20">
        <f t="shared" si="21"/>
        <v>10</v>
      </c>
      <c r="AG157" s="300">
        <f t="shared" si="23"/>
        <v>272</v>
      </c>
      <c r="AH157" s="42">
        <f t="shared" si="28"/>
        <v>2</v>
      </c>
      <c r="AI157" s="42">
        <f t="shared" si="28"/>
        <v>0</v>
      </c>
      <c r="AJ157" s="42">
        <f t="shared" si="28"/>
        <v>0</v>
      </c>
      <c r="AK157" s="42">
        <f t="shared" si="28"/>
        <v>0</v>
      </c>
      <c r="AL157" s="42">
        <f t="shared" si="28"/>
        <v>0</v>
      </c>
      <c r="AM157" s="42">
        <f t="shared" si="27"/>
        <v>0</v>
      </c>
      <c r="AN157" s="42">
        <f t="shared" si="27"/>
        <v>0</v>
      </c>
      <c r="AO157" s="42">
        <f t="shared" si="27"/>
        <v>2</v>
      </c>
    </row>
    <row r="158" spans="1:41" ht="15.75">
      <c r="A158" s="16">
        <f t="shared" si="26"/>
        <v>155</v>
      </c>
      <c r="B158" s="8">
        <v>1755</v>
      </c>
      <c r="C158" s="62" t="s">
        <v>1061</v>
      </c>
      <c r="D158" s="63" t="s">
        <v>1670</v>
      </c>
      <c r="E158" s="13" t="s">
        <v>1063</v>
      </c>
      <c r="F158" s="14" t="s">
        <v>1671</v>
      </c>
      <c r="G158" s="429" t="s">
        <v>6473</v>
      </c>
      <c r="H158" s="385">
        <v>33655</v>
      </c>
      <c r="I158" s="383">
        <v>42692</v>
      </c>
      <c r="J158" s="430" t="s">
        <v>6293</v>
      </c>
      <c r="K158" s="411" t="s">
        <v>6305</v>
      </c>
      <c r="L158" s="411" t="s">
        <v>6335</v>
      </c>
      <c r="M158" s="1">
        <v>192</v>
      </c>
      <c r="N158" s="431">
        <f t="shared" si="24"/>
        <v>6</v>
      </c>
      <c r="O158" s="432">
        <v>20</v>
      </c>
      <c r="P158" s="432">
        <v>0</v>
      </c>
      <c r="Q158" s="432">
        <v>0</v>
      </c>
      <c r="R158" s="1">
        <v>7</v>
      </c>
      <c r="S158" s="1">
        <v>10</v>
      </c>
      <c r="T158" s="300">
        <f t="shared" si="25"/>
        <v>235</v>
      </c>
      <c r="U158" s="3"/>
      <c r="V158" s="3"/>
      <c r="W158" s="3"/>
      <c r="X158" s="3"/>
      <c r="Y158" s="3"/>
      <c r="Z158" s="20">
        <f t="shared" si="22"/>
        <v>194</v>
      </c>
      <c r="AA158" s="20">
        <f t="shared" si="21"/>
        <v>6</v>
      </c>
      <c r="AB158" s="20">
        <f t="shared" si="21"/>
        <v>20</v>
      </c>
      <c r="AC158" s="20">
        <f t="shared" si="21"/>
        <v>0</v>
      </c>
      <c r="AD158" s="20">
        <f t="shared" si="21"/>
        <v>0</v>
      </c>
      <c r="AE158" s="20">
        <f t="shared" si="21"/>
        <v>7</v>
      </c>
      <c r="AF158" s="20">
        <f t="shared" si="21"/>
        <v>10</v>
      </c>
      <c r="AG158" s="300">
        <f t="shared" si="23"/>
        <v>237</v>
      </c>
      <c r="AH158" s="42">
        <f t="shared" si="28"/>
        <v>2</v>
      </c>
      <c r="AI158" s="42">
        <f t="shared" si="28"/>
        <v>0</v>
      </c>
      <c r="AJ158" s="42">
        <f t="shared" si="28"/>
        <v>0</v>
      </c>
      <c r="AK158" s="42">
        <f t="shared" si="28"/>
        <v>0</v>
      </c>
      <c r="AL158" s="42">
        <f t="shared" si="28"/>
        <v>0</v>
      </c>
      <c r="AM158" s="42">
        <f t="shared" si="27"/>
        <v>0</v>
      </c>
      <c r="AN158" s="42">
        <f t="shared" si="27"/>
        <v>0</v>
      </c>
      <c r="AO158" s="42">
        <f t="shared" si="27"/>
        <v>2</v>
      </c>
    </row>
    <row r="159" spans="1:41" ht="15.75">
      <c r="A159" s="16">
        <f t="shared" si="26"/>
        <v>156</v>
      </c>
      <c r="B159" s="8">
        <v>1766</v>
      </c>
      <c r="C159" s="62" t="s">
        <v>869</v>
      </c>
      <c r="D159" s="63" t="s">
        <v>1418</v>
      </c>
      <c r="E159" s="13" t="s">
        <v>720</v>
      </c>
      <c r="F159" s="14" t="s">
        <v>1675</v>
      </c>
      <c r="G159" s="429" t="s">
        <v>6473</v>
      </c>
      <c r="H159" s="385">
        <v>31264</v>
      </c>
      <c r="I159" s="383">
        <v>42697</v>
      </c>
      <c r="J159" s="430" t="s">
        <v>6293</v>
      </c>
      <c r="K159" s="411" t="s">
        <v>6298</v>
      </c>
      <c r="L159" s="411" t="s">
        <v>6335</v>
      </c>
      <c r="M159" s="1">
        <v>192</v>
      </c>
      <c r="N159" s="431">
        <f t="shared" si="24"/>
        <v>6</v>
      </c>
      <c r="O159" s="432">
        <v>20</v>
      </c>
      <c r="P159" s="432">
        <v>0</v>
      </c>
      <c r="Q159" s="432">
        <v>0</v>
      </c>
      <c r="R159" s="1">
        <v>7</v>
      </c>
      <c r="S159" s="1">
        <v>10</v>
      </c>
      <c r="T159" s="300">
        <f t="shared" si="25"/>
        <v>235</v>
      </c>
      <c r="U159" s="3"/>
      <c r="V159" s="3"/>
      <c r="W159" s="3"/>
      <c r="X159" s="3"/>
      <c r="Y159" s="3"/>
      <c r="Z159" s="20">
        <f t="shared" si="22"/>
        <v>194</v>
      </c>
      <c r="AA159" s="20">
        <f t="shared" si="21"/>
        <v>6</v>
      </c>
      <c r="AB159" s="20">
        <f t="shared" si="21"/>
        <v>20</v>
      </c>
      <c r="AC159" s="20">
        <f t="shared" si="21"/>
        <v>0</v>
      </c>
      <c r="AD159" s="20">
        <f t="shared" si="21"/>
        <v>0</v>
      </c>
      <c r="AE159" s="20">
        <f t="shared" si="21"/>
        <v>7</v>
      </c>
      <c r="AF159" s="20">
        <f t="shared" si="21"/>
        <v>10</v>
      </c>
      <c r="AG159" s="300">
        <f t="shared" si="23"/>
        <v>237</v>
      </c>
      <c r="AH159" s="42">
        <f t="shared" si="28"/>
        <v>2</v>
      </c>
      <c r="AI159" s="42">
        <f t="shared" si="28"/>
        <v>0</v>
      </c>
      <c r="AJ159" s="42">
        <f t="shared" si="28"/>
        <v>0</v>
      </c>
      <c r="AK159" s="42">
        <f t="shared" si="28"/>
        <v>0</v>
      </c>
      <c r="AL159" s="42">
        <f t="shared" si="28"/>
        <v>0</v>
      </c>
      <c r="AM159" s="42">
        <f t="shared" si="27"/>
        <v>0</v>
      </c>
      <c r="AN159" s="42">
        <f t="shared" si="27"/>
        <v>0</v>
      </c>
      <c r="AO159" s="42">
        <f t="shared" si="27"/>
        <v>2</v>
      </c>
    </row>
    <row r="160" spans="1:41" ht="15.75">
      <c r="A160" s="16">
        <f t="shared" si="26"/>
        <v>157</v>
      </c>
      <c r="B160" s="8">
        <v>1728</v>
      </c>
      <c r="C160" s="62" t="s">
        <v>1679</v>
      </c>
      <c r="D160" s="63" t="s">
        <v>1680</v>
      </c>
      <c r="E160" s="13" t="s">
        <v>1681</v>
      </c>
      <c r="F160" s="14" t="s">
        <v>1682</v>
      </c>
      <c r="G160" s="429" t="s">
        <v>6473</v>
      </c>
      <c r="H160" s="385">
        <v>27436</v>
      </c>
      <c r="I160" s="383">
        <v>42677</v>
      </c>
      <c r="J160" s="430" t="s">
        <v>6293</v>
      </c>
      <c r="K160" s="411" t="s">
        <v>6125</v>
      </c>
      <c r="L160" s="411" t="s">
        <v>6339</v>
      </c>
      <c r="M160" s="1">
        <v>192</v>
      </c>
      <c r="N160" s="431">
        <f t="shared" si="24"/>
        <v>6</v>
      </c>
      <c r="O160" s="432">
        <v>20</v>
      </c>
      <c r="P160" s="432">
        <v>0</v>
      </c>
      <c r="Q160" s="432">
        <v>0</v>
      </c>
      <c r="R160" s="1">
        <v>7</v>
      </c>
      <c r="S160" s="1">
        <v>10</v>
      </c>
      <c r="T160" s="300">
        <f t="shared" si="25"/>
        <v>235</v>
      </c>
      <c r="U160" s="3"/>
      <c r="V160" s="3"/>
      <c r="W160" s="3"/>
      <c r="X160" s="3"/>
      <c r="Y160" s="3"/>
      <c r="Z160" s="20">
        <f t="shared" si="22"/>
        <v>194</v>
      </c>
      <c r="AA160" s="20">
        <f t="shared" si="21"/>
        <v>6</v>
      </c>
      <c r="AB160" s="20">
        <f t="shared" si="21"/>
        <v>20</v>
      </c>
      <c r="AC160" s="20">
        <f t="shared" si="21"/>
        <v>0</v>
      </c>
      <c r="AD160" s="20">
        <f t="shared" si="21"/>
        <v>0</v>
      </c>
      <c r="AE160" s="20">
        <f t="shared" si="21"/>
        <v>7</v>
      </c>
      <c r="AF160" s="20">
        <f t="shared" si="21"/>
        <v>10</v>
      </c>
      <c r="AG160" s="300">
        <f t="shared" si="23"/>
        <v>237</v>
      </c>
      <c r="AH160" s="42">
        <f t="shared" si="28"/>
        <v>2</v>
      </c>
      <c r="AI160" s="42">
        <f t="shared" si="28"/>
        <v>0</v>
      </c>
      <c r="AJ160" s="42">
        <f t="shared" si="28"/>
        <v>0</v>
      </c>
      <c r="AK160" s="42">
        <f t="shared" si="28"/>
        <v>0</v>
      </c>
      <c r="AL160" s="42">
        <f t="shared" si="28"/>
        <v>0</v>
      </c>
      <c r="AM160" s="42">
        <f t="shared" si="27"/>
        <v>0</v>
      </c>
      <c r="AN160" s="42">
        <f t="shared" si="27"/>
        <v>0</v>
      </c>
      <c r="AO160" s="42">
        <f t="shared" si="27"/>
        <v>2</v>
      </c>
    </row>
    <row r="161" spans="1:41" ht="15.75">
      <c r="A161" s="16">
        <f t="shared" si="26"/>
        <v>158</v>
      </c>
      <c r="B161" s="8">
        <v>1779</v>
      </c>
      <c r="C161" s="62" t="s">
        <v>1157</v>
      </c>
      <c r="D161" s="63" t="s">
        <v>1687</v>
      </c>
      <c r="E161" s="13" t="s">
        <v>1688</v>
      </c>
      <c r="F161" s="14" t="s">
        <v>98</v>
      </c>
      <c r="G161" s="429" t="s">
        <v>6473</v>
      </c>
      <c r="H161" s="385">
        <v>30650</v>
      </c>
      <c r="I161" s="383">
        <v>42712</v>
      </c>
      <c r="J161" s="430" t="s">
        <v>6293</v>
      </c>
      <c r="K161" s="411" t="s">
        <v>6305</v>
      </c>
      <c r="L161" s="411" t="s">
        <v>6335</v>
      </c>
      <c r="M161" s="1">
        <v>192</v>
      </c>
      <c r="N161" s="431">
        <f t="shared" si="24"/>
        <v>6</v>
      </c>
      <c r="O161" s="432">
        <v>20</v>
      </c>
      <c r="P161" s="432">
        <v>0</v>
      </c>
      <c r="Q161" s="432">
        <v>0</v>
      </c>
      <c r="R161" s="1">
        <v>7</v>
      </c>
      <c r="S161" s="1">
        <v>10</v>
      </c>
      <c r="T161" s="300">
        <f t="shared" si="25"/>
        <v>235</v>
      </c>
      <c r="U161" s="3"/>
      <c r="V161" s="3"/>
      <c r="W161" s="3"/>
      <c r="X161" s="3"/>
      <c r="Y161" s="3"/>
      <c r="Z161" s="20">
        <f t="shared" si="22"/>
        <v>194</v>
      </c>
      <c r="AA161" s="20">
        <f t="shared" si="21"/>
        <v>6</v>
      </c>
      <c r="AB161" s="20">
        <f t="shared" si="21"/>
        <v>20</v>
      </c>
      <c r="AC161" s="20">
        <f t="shared" si="21"/>
        <v>0</v>
      </c>
      <c r="AD161" s="20">
        <f t="shared" si="21"/>
        <v>0</v>
      </c>
      <c r="AE161" s="20">
        <f t="shared" si="21"/>
        <v>7</v>
      </c>
      <c r="AF161" s="20">
        <f t="shared" si="21"/>
        <v>10</v>
      </c>
      <c r="AG161" s="300">
        <f t="shared" si="23"/>
        <v>237</v>
      </c>
      <c r="AH161" s="42">
        <f t="shared" si="28"/>
        <v>2</v>
      </c>
      <c r="AI161" s="42">
        <f t="shared" si="28"/>
        <v>0</v>
      </c>
      <c r="AJ161" s="42">
        <f t="shared" si="28"/>
        <v>0</v>
      </c>
      <c r="AK161" s="42">
        <f t="shared" si="28"/>
        <v>0</v>
      </c>
      <c r="AL161" s="42">
        <f t="shared" si="28"/>
        <v>0</v>
      </c>
      <c r="AM161" s="42">
        <f t="shared" si="27"/>
        <v>0</v>
      </c>
      <c r="AN161" s="42">
        <f t="shared" si="27"/>
        <v>0</v>
      </c>
      <c r="AO161" s="42">
        <f t="shared" si="27"/>
        <v>2</v>
      </c>
    </row>
    <row r="162" spans="1:41" ht="15.75">
      <c r="A162" s="16">
        <f t="shared" si="26"/>
        <v>159</v>
      </c>
      <c r="B162" s="8">
        <v>1793</v>
      </c>
      <c r="C162" s="62" t="s">
        <v>1692</v>
      </c>
      <c r="D162" s="63" t="s">
        <v>1693</v>
      </c>
      <c r="E162" s="13" t="s">
        <v>1694</v>
      </c>
      <c r="F162" s="14" t="s">
        <v>1294</v>
      </c>
      <c r="G162" s="429" t="s">
        <v>6473</v>
      </c>
      <c r="H162" s="385">
        <v>32725</v>
      </c>
      <c r="I162" s="383">
        <v>42744</v>
      </c>
      <c r="J162" s="430" t="s">
        <v>6293</v>
      </c>
      <c r="K162" s="411" t="s">
        <v>6125</v>
      </c>
      <c r="L162" s="411" t="s">
        <v>6313</v>
      </c>
      <c r="M162" s="1">
        <v>192</v>
      </c>
      <c r="N162" s="431">
        <f t="shared" si="24"/>
        <v>6</v>
      </c>
      <c r="O162" s="432">
        <v>20</v>
      </c>
      <c r="P162" s="432">
        <v>35</v>
      </c>
      <c r="Q162" s="432">
        <v>0</v>
      </c>
      <c r="R162" s="1">
        <v>7</v>
      </c>
      <c r="S162" s="1">
        <v>10</v>
      </c>
      <c r="T162" s="300">
        <f t="shared" si="25"/>
        <v>270</v>
      </c>
      <c r="U162" s="3"/>
      <c r="V162" s="3"/>
      <c r="W162" s="3"/>
      <c r="X162" s="3"/>
      <c r="Y162" s="3"/>
      <c r="Z162" s="20">
        <f t="shared" si="22"/>
        <v>194</v>
      </c>
      <c r="AA162" s="20">
        <f t="shared" si="21"/>
        <v>6</v>
      </c>
      <c r="AB162" s="20">
        <f t="shared" si="21"/>
        <v>20</v>
      </c>
      <c r="AC162" s="20">
        <f t="shared" si="21"/>
        <v>35</v>
      </c>
      <c r="AD162" s="20">
        <f t="shared" si="21"/>
        <v>0</v>
      </c>
      <c r="AE162" s="20">
        <f t="shared" si="21"/>
        <v>7</v>
      </c>
      <c r="AF162" s="20">
        <f t="shared" si="21"/>
        <v>10</v>
      </c>
      <c r="AG162" s="300">
        <f t="shared" si="23"/>
        <v>272</v>
      </c>
      <c r="AH162" s="42">
        <f t="shared" si="28"/>
        <v>2</v>
      </c>
      <c r="AI162" s="42">
        <f t="shared" si="28"/>
        <v>0</v>
      </c>
      <c r="AJ162" s="42">
        <f t="shared" si="28"/>
        <v>0</v>
      </c>
      <c r="AK162" s="42">
        <f t="shared" si="28"/>
        <v>0</v>
      </c>
      <c r="AL162" s="42">
        <f t="shared" si="28"/>
        <v>0</v>
      </c>
      <c r="AM162" s="42">
        <f t="shared" si="27"/>
        <v>0</v>
      </c>
      <c r="AN162" s="42">
        <f t="shared" si="27"/>
        <v>0</v>
      </c>
      <c r="AO162" s="42">
        <f t="shared" si="27"/>
        <v>2</v>
      </c>
    </row>
    <row r="163" spans="1:41" ht="15.75">
      <c r="A163" s="16">
        <f t="shared" si="26"/>
        <v>160</v>
      </c>
      <c r="B163" s="8">
        <v>1795</v>
      </c>
      <c r="C163" s="62" t="s">
        <v>1307</v>
      </c>
      <c r="D163" s="63" t="s">
        <v>1699</v>
      </c>
      <c r="E163" s="13" t="s">
        <v>1700</v>
      </c>
      <c r="F163" s="14" t="s">
        <v>1701</v>
      </c>
      <c r="G163" s="429" t="s">
        <v>6475</v>
      </c>
      <c r="H163" s="385">
        <v>29426</v>
      </c>
      <c r="I163" s="383">
        <v>42745</v>
      </c>
      <c r="J163" s="430" t="s">
        <v>6293</v>
      </c>
      <c r="K163" s="411" t="s">
        <v>1556</v>
      </c>
      <c r="L163" s="411" t="s">
        <v>6485</v>
      </c>
      <c r="M163" s="1">
        <v>192</v>
      </c>
      <c r="N163" s="431">
        <f t="shared" si="24"/>
        <v>6</v>
      </c>
      <c r="O163" s="432">
        <v>20</v>
      </c>
      <c r="P163" s="432">
        <v>10</v>
      </c>
      <c r="Q163" s="432">
        <v>0</v>
      </c>
      <c r="R163" s="1">
        <v>7</v>
      </c>
      <c r="S163" s="1">
        <v>10</v>
      </c>
      <c r="T163" s="300">
        <f t="shared" si="25"/>
        <v>245</v>
      </c>
      <c r="U163" s="3"/>
      <c r="V163" s="3"/>
      <c r="W163" s="3"/>
      <c r="X163" s="3"/>
      <c r="Y163" s="3"/>
      <c r="Z163" s="20">
        <f t="shared" si="22"/>
        <v>194</v>
      </c>
      <c r="AA163" s="20">
        <f t="shared" si="21"/>
        <v>6</v>
      </c>
      <c r="AB163" s="20">
        <f t="shared" si="21"/>
        <v>20</v>
      </c>
      <c r="AC163" s="20">
        <f t="shared" si="21"/>
        <v>10</v>
      </c>
      <c r="AD163" s="20">
        <f t="shared" si="21"/>
        <v>0</v>
      </c>
      <c r="AE163" s="20">
        <f t="shared" si="21"/>
        <v>7</v>
      </c>
      <c r="AF163" s="20">
        <f t="shared" si="21"/>
        <v>10</v>
      </c>
      <c r="AG163" s="300">
        <f t="shared" si="23"/>
        <v>247</v>
      </c>
      <c r="AH163" s="42">
        <f t="shared" si="28"/>
        <v>2</v>
      </c>
      <c r="AI163" s="42">
        <f t="shared" si="28"/>
        <v>0</v>
      </c>
      <c r="AJ163" s="42">
        <f t="shared" si="28"/>
        <v>0</v>
      </c>
      <c r="AK163" s="42">
        <f t="shared" si="28"/>
        <v>0</v>
      </c>
      <c r="AL163" s="42">
        <f t="shared" si="28"/>
        <v>0</v>
      </c>
      <c r="AM163" s="42">
        <f t="shared" si="27"/>
        <v>0</v>
      </c>
      <c r="AN163" s="42">
        <f t="shared" si="27"/>
        <v>0</v>
      </c>
      <c r="AO163" s="42">
        <f t="shared" si="27"/>
        <v>2</v>
      </c>
    </row>
    <row r="164" spans="1:41" ht="15.75">
      <c r="A164" s="16">
        <f t="shared" si="26"/>
        <v>161</v>
      </c>
      <c r="B164" s="8">
        <v>1800</v>
      </c>
      <c r="C164" s="62" t="s">
        <v>958</v>
      </c>
      <c r="D164" s="63" t="s">
        <v>1705</v>
      </c>
      <c r="E164" s="13" t="s">
        <v>959</v>
      </c>
      <c r="F164" s="14" t="s">
        <v>1706</v>
      </c>
      <c r="G164" s="429" t="s">
        <v>6473</v>
      </c>
      <c r="H164" s="385">
        <v>35374</v>
      </c>
      <c r="I164" s="383">
        <v>42748</v>
      </c>
      <c r="J164" s="430" t="s">
        <v>6293</v>
      </c>
      <c r="K164" s="411" t="s">
        <v>6097</v>
      </c>
      <c r="L164" s="411" t="s">
        <v>6335</v>
      </c>
      <c r="M164" s="1">
        <v>192</v>
      </c>
      <c r="N164" s="431">
        <f t="shared" si="24"/>
        <v>6</v>
      </c>
      <c r="O164" s="432">
        <v>20</v>
      </c>
      <c r="P164" s="432">
        <v>0</v>
      </c>
      <c r="Q164" s="432">
        <v>0</v>
      </c>
      <c r="R164" s="1">
        <v>7</v>
      </c>
      <c r="S164" s="1">
        <v>10</v>
      </c>
      <c r="T164" s="300">
        <f t="shared" si="25"/>
        <v>235</v>
      </c>
      <c r="U164" s="3"/>
      <c r="V164" s="3"/>
      <c r="W164" s="3"/>
      <c r="X164" s="3"/>
      <c r="Y164" s="3"/>
      <c r="Z164" s="20">
        <f t="shared" si="22"/>
        <v>194</v>
      </c>
      <c r="AA164" s="20">
        <f t="shared" si="21"/>
        <v>6</v>
      </c>
      <c r="AB164" s="20">
        <f t="shared" si="21"/>
        <v>20</v>
      </c>
      <c r="AC164" s="20">
        <f t="shared" si="21"/>
        <v>0</v>
      </c>
      <c r="AD164" s="20">
        <f t="shared" si="21"/>
        <v>0</v>
      </c>
      <c r="AE164" s="20">
        <f t="shared" si="21"/>
        <v>7</v>
      </c>
      <c r="AF164" s="20">
        <f t="shared" si="21"/>
        <v>10</v>
      </c>
      <c r="AG164" s="300">
        <f t="shared" si="23"/>
        <v>237</v>
      </c>
      <c r="AH164" s="42">
        <f t="shared" si="28"/>
        <v>2</v>
      </c>
      <c r="AI164" s="42">
        <f t="shared" si="28"/>
        <v>0</v>
      </c>
      <c r="AJ164" s="42">
        <f t="shared" si="28"/>
        <v>0</v>
      </c>
      <c r="AK164" s="42">
        <f t="shared" si="28"/>
        <v>0</v>
      </c>
      <c r="AL164" s="42">
        <f t="shared" si="28"/>
        <v>0</v>
      </c>
      <c r="AM164" s="42">
        <f t="shared" si="27"/>
        <v>0</v>
      </c>
      <c r="AN164" s="42">
        <f t="shared" si="27"/>
        <v>0</v>
      </c>
      <c r="AO164" s="42">
        <f t="shared" si="27"/>
        <v>2</v>
      </c>
    </row>
    <row r="165" spans="1:41" ht="15.75">
      <c r="A165" s="16">
        <f t="shared" si="26"/>
        <v>162</v>
      </c>
      <c r="B165" s="8">
        <v>1811</v>
      </c>
      <c r="C165" s="62" t="s">
        <v>1711</v>
      </c>
      <c r="D165" s="63" t="s">
        <v>1712</v>
      </c>
      <c r="E165" s="13" t="s">
        <v>1713</v>
      </c>
      <c r="F165" s="14" t="s">
        <v>1714</v>
      </c>
      <c r="G165" s="429" t="s">
        <v>6473</v>
      </c>
      <c r="H165" s="385">
        <v>35683</v>
      </c>
      <c r="I165" s="383">
        <v>42753</v>
      </c>
      <c r="J165" s="430" t="s">
        <v>6293</v>
      </c>
      <c r="K165" s="411" t="s">
        <v>6296</v>
      </c>
      <c r="L165" s="411" t="s">
        <v>6335</v>
      </c>
      <c r="M165" s="1">
        <v>192</v>
      </c>
      <c r="N165" s="431">
        <f t="shared" si="24"/>
        <v>5</v>
      </c>
      <c r="O165" s="432">
        <v>20</v>
      </c>
      <c r="P165" s="432">
        <v>0</v>
      </c>
      <c r="Q165" s="432">
        <v>0</v>
      </c>
      <c r="R165" s="1">
        <v>7</v>
      </c>
      <c r="S165" s="1">
        <v>10</v>
      </c>
      <c r="T165" s="300">
        <f t="shared" si="25"/>
        <v>234</v>
      </c>
      <c r="U165" s="3"/>
      <c r="V165" s="3"/>
      <c r="W165" s="3"/>
      <c r="X165" s="3"/>
      <c r="Y165" s="3"/>
      <c r="Z165" s="20">
        <f t="shared" si="22"/>
        <v>194</v>
      </c>
      <c r="AA165" s="20">
        <f t="shared" si="21"/>
        <v>5</v>
      </c>
      <c r="AB165" s="20">
        <f t="shared" si="21"/>
        <v>20</v>
      </c>
      <c r="AC165" s="20">
        <f t="shared" si="21"/>
        <v>0</v>
      </c>
      <c r="AD165" s="20">
        <f t="shared" si="21"/>
        <v>0</v>
      </c>
      <c r="AE165" s="20">
        <f t="shared" si="21"/>
        <v>7</v>
      </c>
      <c r="AF165" s="20">
        <f t="shared" si="21"/>
        <v>10</v>
      </c>
      <c r="AG165" s="300">
        <f t="shared" si="23"/>
        <v>236</v>
      </c>
      <c r="AH165" s="42">
        <f t="shared" si="28"/>
        <v>2</v>
      </c>
      <c r="AI165" s="42">
        <f t="shared" si="28"/>
        <v>0</v>
      </c>
      <c r="AJ165" s="42">
        <f t="shared" si="28"/>
        <v>0</v>
      </c>
      <c r="AK165" s="42">
        <f t="shared" si="28"/>
        <v>0</v>
      </c>
      <c r="AL165" s="42">
        <f t="shared" si="28"/>
        <v>0</v>
      </c>
      <c r="AM165" s="42">
        <f t="shared" si="27"/>
        <v>0</v>
      </c>
      <c r="AN165" s="42">
        <f t="shared" si="27"/>
        <v>0</v>
      </c>
      <c r="AO165" s="42">
        <f t="shared" si="27"/>
        <v>2</v>
      </c>
    </row>
    <row r="166" spans="1:41" ht="15.75">
      <c r="A166" s="16">
        <f t="shared" si="26"/>
        <v>163</v>
      </c>
      <c r="B166" s="8">
        <v>1819</v>
      </c>
      <c r="C166" s="62" t="s">
        <v>1718</v>
      </c>
      <c r="D166" s="63" t="s">
        <v>1719</v>
      </c>
      <c r="E166" s="13" t="s">
        <v>1720</v>
      </c>
      <c r="F166" s="14" t="s">
        <v>1721</v>
      </c>
      <c r="G166" s="429" t="s">
        <v>6473</v>
      </c>
      <c r="H166" s="385">
        <v>31536</v>
      </c>
      <c r="I166" s="383">
        <v>42758</v>
      </c>
      <c r="J166" s="430" t="s">
        <v>6293</v>
      </c>
      <c r="K166" s="411" t="s">
        <v>6097</v>
      </c>
      <c r="L166" s="411" t="s">
        <v>6335</v>
      </c>
      <c r="M166" s="1">
        <v>192</v>
      </c>
      <c r="N166" s="431">
        <f t="shared" si="24"/>
        <v>5</v>
      </c>
      <c r="O166" s="432">
        <v>20</v>
      </c>
      <c r="P166" s="432">
        <v>0</v>
      </c>
      <c r="Q166" s="432">
        <v>0</v>
      </c>
      <c r="R166" s="1">
        <v>7</v>
      </c>
      <c r="S166" s="1">
        <v>10</v>
      </c>
      <c r="T166" s="300">
        <f t="shared" si="25"/>
        <v>234</v>
      </c>
      <c r="U166" s="3"/>
      <c r="V166" s="3"/>
      <c r="W166" s="3"/>
      <c r="X166" s="3"/>
      <c r="Y166" s="3"/>
      <c r="Z166" s="20">
        <f t="shared" si="22"/>
        <v>194</v>
      </c>
      <c r="AA166" s="20">
        <f t="shared" si="21"/>
        <v>5</v>
      </c>
      <c r="AB166" s="20">
        <f t="shared" si="21"/>
        <v>20</v>
      </c>
      <c r="AC166" s="20">
        <f t="shared" si="21"/>
        <v>0</v>
      </c>
      <c r="AD166" s="20">
        <f t="shared" si="21"/>
        <v>0</v>
      </c>
      <c r="AE166" s="20">
        <f t="shared" si="21"/>
        <v>7</v>
      </c>
      <c r="AF166" s="20">
        <f t="shared" si="21"/>
        <v>10</v>
      </c>
      <c r="AG166" s="300">
        <f t="shared" si="23"/>
        <v>236</v>
      </c>
      <c r="AH166" s="42">
        <f t="shared" si="28"/>
        <v>2</v>
      </c>
      <c r="AI166" s="42">
        <f t="shared" si="28"/>
        <v>0</v>
      </c>
      <c r="AJ166" s="42">
        <f t="shared" si="28"/>
        <v>0</v>
      </c>
      <c r="AK166" s="42">
        <f t="shared" si="28"/>
        <v>0</v>
      </c>
      <c r="AL166" s="42">
        <f t="shared" si="28"/>
        <v>0</v>
      </c>
      <c r="AM166" s="42">
        <f t="shared" si="27"/>
        <v>0</v>
      </c>
      <c r="AN166" s="42">
        <f t="shared" si="27"/>
        <v>0</v>
      </c>
      <c r="AO166" s="42">
        <f t="shared" si="27"/>
        <v>2</v>
      </c>
    </row>
    <row r="167" spans="1:41" ht="15.75">
      <c r="A167" s="16">
        <f t="shared" si="26"/>
        <v>164</v>
      </c>
      <c r="B167" s="8">
        <v>1831</v>
      </c>
      <c r="C167" s="62" t="s">
        <v>190</v>
      </c>
      <c r="D167" s="63" t="s">
        <v>1725</v>
      </c>
      <c r="E167" s="13" t="s">
        <v>694</v>
      </c>
      <c r="F167" s="14" t="s">
        <v>1726</v>
      </c>
      <c r="G167" s="429" t="s">
        <v>6473</v>
      </c>
      <c r="H167" s="385">
        <v>29637</v>
      </c>
      <c r="I167" s="383">
        <v>42768</v>
      </c>
      <c r="J167" s="430" t="s">
        <v>6293</v>
      </c>
      <c r="K167" s="411" t="s">
        <v>45</v>
      </c>
      <c r="L167" s="411" t="s">
        <v>6</v>
      </c>
      <c r="M167" s="1">
        <v>192</v>
      </c>
      <c r="N167" s="431">
        <f t="shared" si="24"/>
        <v>5</v>
      </c>
      <c r="O167" s="432">
        <v>20</v>
      </c>
      <c r="P167" s="442">
        <v>10</v>
      </c>
      <c r="Q167" s="432">
        <v>0</v>
      </c>
      <c r="R167" s="1">
        <v>7</v>
      </c>
      <c r="S167" s="1">
        <v>10</v>
      </c>
      <c r="T167" s="300">
        <f t="shared" si="25"/>
        <v>244</v>
      </c>
      <c r="U167" s="3"/>
      <c r="V167" s="3"/>
      <c r="W167" s="3"/>
      <c r="X167" s="3"/>
      <c r="Y167" s="3"/>
      <c r="Z167" s="20">
        <f t="shared" si="22"/>
        <v>194</v>
      </c>
      <c r="AA167" s="20">
        <f t="shared" si="21"/>
        <v>5</v>
      </c>
      <c r="AB167" s="20">
        <f t="shared" si="21"/>
        <v>20</v>
      </c>
      <c r="AC167" s="20">
        <f t="shared" si="21"/>
        <v>10</v>
      </c>
      <c r="AD167" s="20">
        <f t="shared" si="21"/>
        <v>0</v>
      </c>
      <c r="AE167" s="20">
        <f t="shared" si="21"/>
        <v>7</v>
      </c>
      <c r="AF167" s="20">
        <f t="shared" si="21"/>
        <v>10</v>
      </c>
      <c r="AG167" s="300">
        <f t="shared" si="23"/>
        <v>246</v>
      </c>
      <c r="AH167" s="42">
        <f t="shared" si="28"/>
        <v>2</v>
      </c>
      <c r="AI167" s="42">
        <f t="shared" si="28"/>
        <v>0</v>
      </c>
      <c r="AJ167" s="42">
        <f t="shared" si="28"/>
        <v>0</v>
      </c>
      <c r="AK167" s="42">
        <f t="shared" si="28"/>
        <v>0</v>
      </c>
      <c r="AL167" s="42">
        <f t="shared" si="28"/>
        <v>0</v>
      </c>
      <c r="AM167" s="42">
        <f t="shared" si="27"/>
        <v>0</v>
      </c>
      <c r="AN167" s="42">
        <f t="shared" si="27"/>
        <v>0</v>
      </c>
      <c r="AO167" s="42">
        <f t="shared" si="27"/>
        <v>2</v>
      </c>
    </row>
    <row r="168" spans="1:41" ht="15.75">
      <c r="A168" s="16">
        <f t="shared" si="26"/>
        <v>165</v>
      </c>
      <c r="B168" s="8">
        <v>1827</v>
      </c>
      <c r="C168" s="62" t="s">
        <v>1730</v>
      </c>
      <c r="D168" s="63" t="s">
        <v>1731</v>
      </c>
      <c r="E168" s="13" t="s">
        <v>1732</v>
      </c>
      <c r="F168" s="14" t="s">
        <v>1733</v>
      </c>
      <c r="G168" s="429" t="s">
        <v>6473</v>
      </c>
      <c r="H168" s="385">
        <v>31452</v>
      </c>
      <c r="I168" s="383">
        <v>42768</v>
      </c>
      <c r="J168" s="430" t="s">
        <v>6293</v>
      </c>
      <c r="K168" s="411" t="s">
        <v>397</v>
      </c>
      <c r="L168" s="366" t="s">
        <v>6336</v>
      </c>
      <c r="M168" s="1">
        <v>192</v>
      </c>
      <c r="N168" s="431">
        <f t="shared" si="24"/>
        <v>5</v>
      </c>
      <c r="O168" s="432">
        <v>20</v>
      </c>
      <c r="P168" s="432">
        <v>10</v>
      </c>
      <c r="Q168" s="432">
        <v>0</v>
      </c>
      <c r="R168" s="1">
        <v>7</v>
      </c>
      <c r="S168" s="1">
        <v>10</v>
      </c>
      <c r="T168" s="300">
        <f t="shared" si="25"/>
        <v>244</v>
      </c>
      <c r="U168" s="3"/>
      <c r="V168" s="3"/>
      <c r="W168" s="3"/>
      <c r="X168" s="3"/>
      <c r="Y168" s="3"/>
      <c r="Z168" s="20">
        <f t="shared" si="22"/>
        <v>194</v>
      </c>
      <c r="AA168" s="20">
        <f t="shared" si="21"/>
        <v>5</v>
      </c>
      <c r="AB168" s="20">
        <f t="shared" si="21"/>
        <v>20</v>
      </c>
      <c r="AC168" s="20">
        <f t="shared" si="21"/>
        <v>10</v>
      </c>
      <c r="AD168" s="20">
        <f t="shared" ref="AD168:AF231" si="29">Q168</f>
        <v>0</v>
      </c>
      <c r="AE168" s="20">
        <f t="shared" si="29"/>
        <v>7</v>
      </c>
      <c r="AF168" s="20">
        <f t="shared" si="29"/>
        <v>10</v>
      </c>
      <c r="AG168" s="300">
        <f t="shared" si="23"/>
        <v>246</v>
      </c>
      <c r="AH168" s="42">
        <f t="shared" si="28"/>
        <v>2</v>
      </c>
      <c r="AI168" s="42">
        <f t="shared" si="28"/>
        <v>0</v>
      </c>
      <c r="AJ168" s="42">
        <f t="shared" si="28"/>
        <v>0</v>
      </c>
      <c r="AK168" s="42">
        <f t="shared" si="28"/>
        <v>0</v>
      </c>
      <c r="AL168" s="42">
        <f t="shared" si="28"/>
        <v>0</v>
      </c>
      <c r="AM168" s="42">
        <f t="shared" si="27"/>
        <v>0</v>
      </c>
      <c r="AN168" s="42">
        <f t="shared" si="27"/>
        <v>0</v>
      </c>
      <c r="AO168" s="42">
        <f t="shared" si="27"/>
        <v>2</v>
      </c>
    </row>
    <row r="169" spans="1:41" ht="15.75">
      <c r="A169" s="16">
        <f t="shared" si="26"/>
        <v>166</v>
      </c>
      <c r="B169" s="8">
        <v>1853</v>
      </c>
      <c r="C169" s="62" t="s">
        <v>958</v>
      </c>
      <c r="D169" s="63" t="s">
        <v>1742</v>
      </c>
      <c r="E169" s="13" t="s">
        <v>959</v>
      </c>
      <c r="F169" s="14" t="s">
        <v>1743</v>
      </c>
      <c r="G169" s="429" t="s">
        <v>6473</v>
      </c>
      <c r="H169" s="385">
        <v>34469</v>
      </c>
      <c r="I169" s="383">
        <v>42797</v>
      </c>
      <c r="J169" s="430" t="s">
        <v>6293</v>
      </c>
      <c r="K169" s="411" t="s">
        <v>6296</v>
      </c>
      <c r="L169" s="411" t="s">
        <v>6335</v>
      </c>
      <c r="M169" s="1">
        <v>192</v>
      </c>
      <c r="N169" s="431">
        <f t="shared" si="24"/>
        <v>5</v>
      </c>
      <c r="O169" s="432">
        <v>20</v>
      </c>
      <c r="P169" s="432">
        <v>0</v>
      </c>
      <c r="Q169" s="432">
        <v>0</v>
      </c>
      <c r="R169" s="1">
        <v>7</v>
      </c>
      <c r="S169" s="1">
        <v>10</v>
      </c>
      <c r="T169" s="300">
        <f t="shared" si="25"/>
        <v>234</v>
      </c>
      <c r="U169" s="3"/>
      <c r="V169" s="3"/>
      <c r="W169" s="3"/>
      <c r="X169" s="3"/>
      <c r="Y169" s="3"/>
      <c r="Z169" s="20">
        <f t="shared" si="22"/>
        <v>194</v>
      </c>
      <c r="AA169" s="20">
        <f t="shared" ref="AA169:AC231" si="30">N169</f>
        <v>5</v>
      </c>
      <c r="AB169" s="20">
        <f t="shared" si="30"/>
        <v>20</v>
      </c>
      <c r="AC169" s="20">
        <f t="shared" si="30"/>
        <v>0</v>
      </c>
      <c r="AD169" s="20">
        <f t="shared" si="29"/>
        <v>0</v>
      </c>
      <c r="AE169" s="20">
        <f t="shared" si="29"/>
        <v>7</v>
      </c>
      <c r="AF169" s="20">
        <f t="shared" si="29"/>
        <v>10</v>
      </c>
      <c r="AG169" s="300">
        <f t="shared" si="23"/>
        <v>236</v>
      </c>
      <c r="AH169" s="42">
        <f t="shared" si="28"/>
        <v>2</v>
      </c>
      <c r="AI169" s="42">
        <f t="shared" si="28"/>
        <v>0</v>
      </c>
      <c r="AJ169" s="42">
        <f t="shared" si="28"/>
        <v>0</v>
      </c>
      <c r="AK169" s="42">
        <f t="shared" si="28"/>
        <v>0</v>
      </c>
      <c r="AL169" s="42">
        <f t="shared" si="28"/>
        <v>0</v>
      </c>
      <c r="AM169" s="42">
        <f t="shared" si="27"/>
        <v>0</v>
      </c>
      <c r="AN169" s="42">
        <f t="shared" si="27"/>
        <v>0</v>
      </c>
      <c r="AO169" s="42">
        <f t="shared" si="27"/>
        <v>2</v>
      </c>
    </row>
    <row r="170" spans="1:41" ht="15.75">
      <c r="A170" s="16">
        <f t="shared" si="26"/>
        <v>167</v>
      </c>
      <c r="B170" s="8">
        <v>1857</v>
      </c>
      <c r="C170" s="62" t="s">
        <v>958</v>
      </c>
      <c r="D170" s="63" t="s">
        <v>1754</v>
      </c>
      <c r="E170" s="13" t="s">
        <v>959</v>
      </c>
      <c r="F170" s="14" t="s">
        <v>1755</v>
      </c>
      <c r="G170" s="429" t="s">
        <v>6473</v>
      </c>
      <c r="H170" s="385">
        <v>31478</v>
      </c>
      <c r="I170" s="383">
        <v>42796</v>
      </c>
      <c r="J170" s="430" t="s">
        <v>6293</v>
      </c>
      <c r="K170" s="411" t="s">
        <v>6299</v>
      </c>
      <c r="L170" s="411" t="s">
        <v>6335</v>
      </c>
      <c r="M170" s="1">
        <v>192</v>
      </c>
      <c r="N170" s="431">
        <f t="shared" si="24"/>
        <v>5</v>
      </c>
      <c r="O170" s="432">
        <v>20</v>
      </c>
      <c r="P170" s="432">
        <v>0</v>
      </c>
      <c r="Q170" s="432">
        <v>0</v>
      </c>
      <c r="R170" s="1">
        <v>7</v>
      </c>
      <c r="S170" s="1">
        <v>10</v>
      </c>
      <c r="T170" s="300">
        <f t="shared" si="25"/>
        <v>234</v>
      </c>
      <c r="U170" s="3"/>
      <c r="V170" s="3"/>
      <c r="W170" s="3"/>
      <c r="X170" s="3"/>
      <c r="Y170" s="3"/>
      <c r="Z170" s="20">
        <f t="shared" si="22"/>
        <v>194</v>
      </c>
      <c r="AA170" s="20">
        <f t="shared" si="30"/>
        <v>5</v>
      </c>
      <c r="AB170" s="20">
        <f t="shared" si="30"/>
        <v>20</v>
      </c>
      <c r="AC170" s="20">
        <f t="shared" si="30"/>
        <v>0</v>
      </c>
      <c r="AD170" s="20">
        <f t="shared" si="29"/>
        <v>0</v>
      </c>
      <c r="AE170" s="20">
        <f t="shared" si="29"/>
        <v>7</v>
      </c>
      <c r="AF170" s="20">
        <f t="shared" si="29"/>
        <v>10</v>
      </c>
      <c r="AG170" s="300">
        <f t="shared" si="23"/>
        <v>236</v>
      </c>
      <c r="AH170" s="42">
        <f t="shared" si="28"/>
        <v>2</v>
      </c>
      <c r="AI170" s="42">
        <f t="shared" si="28"/>
        <v>0</v>
      </c>
      <c r="AJ170" s="42">
        <f t="shared" si="28"/>
        <v>0</v>
      </c>
      <c r="AK170" s="42">
        <f t="shared" si="28"/>
        <v>0</v>
      </c>
      <c r="AL170" s="42">
        <f t="shared" si="28"/>
        <v>0</v>
      </c>
      <c r="AM170" s="42">
        <f t="shared" si="27"/>
        <v>0</v>
      </c>
      <c r="AN170" s="42">
        <f t="shared" si="27"/>
        <v>0</v>
      </c>
      <c r="AO170" s="42">
        <f t="shared" si="27"/>
        <v>2</v>
      </c>
    </row>
    <row r="171" spans="1:41" ht="15.75">
      <c r="A171" s="16">
        <f t="shared" si="26"/>
        <v>168</v>
      </c>
      <c r="B171" s="8">
        <v>1874</v>
      </c>
      <c r="C171" s="62" t="s">
        <v>552</v>
      </c>
      <c r="D171" s="63" t="s">
        <v>1385</v>
      </c>
      <c r="E171" s="13" t="s">
        <v>1771</v>
      </c>
      <c r="F171" s="14" t="s">
        <v>1387</v>
      </c>
      <c r="G171" s="429" t="s">
        <v>6473</v>
      </c>
      <c r="H171" s="385">
        <v>34982</v>
      </c>
      <c r="I171" s="383">
        <v>42804</v>
      </c>
      <c r="J171" s="430" t="s">
        <v>6293</v>
      </c>
      <c r="K171" s="411" t="s">
        <v>6298</v>
      </c>
      <c r="L171" s="411" t="s">
        <v>6335</v>
      </c>
      <c r="M171" s="1">
        <v>192</v>
      </c>
      <c r="N171" s="431">
        <f t="shared" si="24"/>
        <v>5</v>
      </c>
      <c r="O171" s="432">
        <v>20</v>
      </c>
      <c r="P171" s="432">
        <v>0</v>
      </c>
      <c r="Q171" s="432">
        <v>0</v>
      </c>
      <c r="R171" s="1">
        <v>7</v>
      </c>
      <c r="S171" s="1">
        <v>10</v>
      </c>
      <c r="T171" s="300">
        <f t="shared" si="25"/>
        <v>234</v>
      </c>
      <c r="U171" s="3"/>
      <c r="V171" s="3"/>
      <c r="W171" s="3"/>
      <c r="X171" s="3"/>
      <c r="Y171" s="3"/>
      <c r="Z171" s="20">
        <f t="shared" si="22"/>
        <v>194</v>
      </c>
      <c r="AA171" s="20">
        <f t="shared" si="30"/>
        <v>5</v>
      </c>
      <c r="AB171" s="20">
        <f t="shared" si="30"/>
        <v>20</v>
      </c>
      <c r="AC171" s="20">
        <f t="shared" si="30"/>
        <v>0</v>
      </c>
      <c r="AD171" s="20">
        <f t="shared" si="29"/>
        <v>0</v>
      </c>
      <c r="AE171" s="20">
        <f t="shared" si="29"/>
        <v>7</v>
      </c>
      <c r="AF171" s="20">
        <f t="shared" si="29"/>
        <v>10</v>
      </c>
      <c r="AG171" s="300">
        <f t="shared" si="23"/>
        <v>236</v>
      </c>
      <c r="AH171" s="42">
        <f t="shared" si="28"/>
        <v>2</v>
      </c>
      <c r="AI171" s="42">
        <f t="shared" si="28"/>
        <v>0</v>
      </c>
      <c r="AJ171" s="42">
        <f t="shared" si="28"/>
        <v>0</v>
      </c>
      <c r="AK171" s="42">
        <f t="shared" si="28"/>
        <v>0</v>
      </c>
      <c r="AL171" s="42">
        <f t="shared" si="28"/>
        <v>0</v>
      </c>
      <c r="AM171" s="42">
        <f t="shared" si="27"/>
        <v>0</v>
      </c>
      <c r="AN171" s="42">
        <f t="shared" si="27"/>
        <v>0</v>
      </c>
      <c r="AO171" s="42">
        <f t="shared" si="27"/>
        <v>2</v>
      </c>
    </row>
    <row r="172" spans="1:41" ht="15.75">
      <c r="A172" s="16">
        <f t="shared" si="26"/>
        <v>169</v>
      </c>
      <c r="B172" s="8">
        <v>1886</v>
      </c>
      <c r="C172" s="62" t="s">
        <v>737</v>
      </c>
      <c r="D172" s="63" t="s">
        <v>1781</v>
      </c>
      <c r="E172" s="13" t="s">
        <v>22</v>
      </c>
      <c r="F172" s="14" t="s">
        <v>23</v>
      </c>
      <c r="G172" s="429" t="s">
        <v>6475</v>
      </c>
      <c r="H172" s="385">
        <v>32759</v>
      </c>
      <c r="I172" s="383">
        <v>42811</v>
      </c>
      <c r="J172" s="430" t="s">
        <v>6293</v>
      </c>
      <c r="K172" s="411" t="s">
        <v>45</v>
      </c>
      <c r="L172" s="411" t="s">
        <v>6338</v>
      </c>
      <c r="M172" s="1">
        <v>192</v>
      </c>
      <c r="N172" s="431">
        <f t="shared" si="24"/>
        <v>5</v>
      </c>
      <c r="O172" s="432">
        <v>20</v>
      </c>
      <c r="P172" s="432">
        <v>15</v>
      </c>
      <c r="Q172" s="432">
        <v>0</v>
      </c>
      <c r="R172" s="1">
        <v>7</v>
      </c>
      <c r="S172" s="1">
        <v>10</v>
      </c>
      <c r="T172" s="300">
        <f t="shared" si="25"/>
        <v>249</v>
      </c>
      <c r="U172" s="3"/>
      <c r="V172" s="3"/>
      <c r="W172" s="3"/>
      <c r="X172" s="3"/>
      <c r="Y172" s="3"/>
      <c r="Z172" s="20">
        <f t="shared" si="22"/>
        <v>194</v>
      </c>
      <c r="AA172" s="20">
        <f t="shared" si="30"/>
        <v>5</v>
      </c>
      <c r="AB172" s="20">
        <f t="shared" si="30"/>
        <v>20</v>
      </c>
      <c r="AC172" s="20">
        <f t="shared" si="30"/>
        <v>15</v>
      </c>
      <c r="AD172" s="20">
        <f t="shared" si="29"/>
        <v>0</v>
      </c>
      <c r="AE172" s="20">
        <f t="shared" si="29"/>
        <v>7</v>
      </c>
      <c r="AF172" s="20">
        <f t="shared" si="29"/>
        <v>10</v>
      </c>
      <c r="AG172" s="300">
        <f t="shared" si="23"/>
        <v>251</v>
      </c>
      <c r="AH172" s="42">
        <f t="shared" si="28"/>
        <v>2</v>
      </c>
      <c r="AI172" s="42">
        <f t="shared" si="28"/>
        <v>0</v>
      </c>
      <c r="AJ172" s="42">
        <f t="shared" si="28"/>
        <v>0</v>
      </c>
      <c r="AK172" s="42">
        <f t="shared" si="28"/>
        <v>0</v>
      </c>
      <c r="AL172" s="42">
        <f t="shared" si="28"/>
        <v>0</v>
      </c>
      <c r="AM172" s="42">
        <f t="shared" si="27"/>
        <v>0</v>
      </c>
      <c r="AN172" s="42">
        <f t="shared" si="27"/>
        <v>0</v>
      </c>
      <c r="AO172" s="42">
        <f t="shared" si="27"/>
        <v>2</v>
      </c>
    </row>
    <row r="173" spans="1:41" ht="15.75">
      <c r="A173" s="16">
        <f t="shared" si="26"/>
        <v>170</v>
      </c>
      <c r="B173" s="8">
        <v>1870</v>
      </c>
      <c r="C173" s="62" t="s">
        <v>1784</v>
      </c>
      <c r="D173" s="63" t="s">
        <v>1785</v>
      </c>
      <c r="E173" s="13" t="s">
        <v>1786</v>
      </c>
      <c r="F173" s="14" t="s">
        <v>893</v>
      </c>
      <c r="G173" s="429" t="s">
        <v>6473</v>
      </c>
      <c r="H173" s="385">
        <v>31598</v>
      </c>
      <c r="I173" s="383">
        <v>42801</v>
      </c>
      <c r="J173" s="430" t="s">
        <v>6293</v>
      </c>
      <c r="K173" s="411" t="s">
        <v>6097</v>
      </c>
      <c r="L173" s="411" t="s">
        <v>6335</v>
      </c>
      <c r="M173" s="1">
        <v>192</v>
      </c>
      <c r="N173" s="431">
        <f t="shared" si="24"/>
        <v>5</v>
      </c>
      <c r="O173" s="432">
        <v>20</v>
      </c>
      <c r="P173" s="432">
        <v>0</v>
      </c>
      <c r="Q173" s="432">
        <v>0</v>
      </c>
      <c r="R173" s="1">
        <v>7</v>
      </c>
      <c r="S173" s="1">
        <v>10</v>
      </c>
      <c r="T173" s="300">
        <f t="shared" si="25"/>
        <v>234</v>
      </c>
      <c r="U173" s="3"/>
      <c r="V173" s="3"/>
      <c r="W173" s="3"/>
      <c r="X173" s="3"/>
      <c r="Y173" s="3"/>
      <c r="Z173" s="20">
        <f t="shared" si="22"/>
        <v>194</v>
      </c>
      <c r="AA173" s="20">
        <f t="shared" si="30"/>
        <v>5</v>
      </c>
      <c r="AB173" s="20">
        <f t="shared" si="30"/>
        <v>20</v>
      </c>
      <c r="AC173" s="20">
        <f t="shared" si="30"/>
        <v>0</v>
      </c>
      <c r="AD173" s="20">
        <f t="shared" si="29"/>
        <v>0</v>
      </c>
      <c r="AE173" s="20">
        <f t="shared" si="29"/>
        <v>7</v>
      </c>
      <c r="AF173" s="20">
        <f t="shared" si="29"/>
        <v>10</v>
      </c>
      <c r="AG173" s="300">
        <f t="shared" si="23"/>
        <v>236</v>
      </c>
      <c r="AH173" s="42">
        <f t="shared" si="28"/>
        <v>2</v>
      </c>
      <c r="AI173" s="42">
        <f t="shared" si="28"/>
        <v>0</v>
      </c>
      <c r="AJ173" s="42">
        <f t="shared" si="28"/>
        <v>0</v>
      </c>
      <c r="AK173" s="42">
        <f t="shared" si="28"/>
        <v>0</v>
      </c>
      <c r="AL173" s="42">
        <f t="shared" si="28"/>
        <v>0</v>
      </c>
      <c r="AM173" s="42">
        <f t="shared" si="27"/>
        <v>0</v>
      </c>
      <c r="AN173" s="42">
        <f t="shared" si="27"/>
        <v>0</v>
      </c>
      <c r="AO173" s="42">
        <f t="shared" si="27"/>
        <v>2</v>
      </c>
    </row>
    <row r="174" spans="1:41" ht="30">
      <c r="A174" s="16">
        <f t="shared" si="26"/>
        <v>171</v>
      </c>
      <c r="B174" s="8">
        <v>1910</v>
      </c>
      <c r="C174" s="62" t="s">
        <v>1791</v>
      </c>
      <c r="D174" s="63" t="s">
        <v>1792</v>
      </c>
      <c r="E174" s="13" t="s">
        <v>1793</v>
      </c>
      <c r="F174" s="14" t="s">
        <v>1794</v>
      </c>
      <c r="G174" s="429" t="s">
        <v>6473</v>
      </c>
      <c r="H174" s="385">
        <v>35107</v>
      </c>
      <c r="I174" s="383">
        <v>42828</v>
      </c>
      <c r="J174" s="430" t="s">
        <v>6159</v>
      </c>
      <c r="K174" s="411" t="s">
        <v>6324</v>
      </c>
      <c r="L174" s="411" t="s">
        <v>6303</v>
      </c>
      <c r="M174" s="1">
        <v>192</v>
      </c>
      <c r="N174" s="431">
        <f t="shared" si="24"/>
        <v>5</v>
      </c>
      <c r="O174" s="432">
        <v>0</v>
      </c>
      <c r="P174" s="432">
        <v>88</v>
      </c>
      <c r="Q174" s="432">
        <v>15</v>
      </c>
      <c r="R174" s="1">
        <v>7</v>
      </c>
      <c r="S174" s="1">
        <v>10</v>
      </c>
      <c r="T174" s="300">
        <f t="shared" si="25"/>
        <v>317</v>
      </c>
      <c r="U174" s="3"/>
      <c r="V174" s="3"/>
      <c r="W174" s="3"/>
      <c r="X174" s="3"/>
      <c r="Y174" s="3"/>
      <c r="Z174" s="20">
        <f t="shared" si="22"/>
        <v>194</v>
      </c>
      <c r="AA174" s="20">
        <f t="shared" si="30"/>
        <v>5</v>
      </c>
      <c r="AB174" s="20">
        <f t="shared" si="30"/>
        <v>0</v>
      </c>
      <c r="AC174" s="20">
        <f t="shared" si="30"/>
        <v>88</v>
      </c>
      <c r="AD174" s="20">
        <f t="shared" si="29"/>
        <v>15</v>
      </c>
      <c r="AE174" s="20">
        <f t="shared" si="29"/>
        <v>7</v>
      </c>
      <c r="AF174" s="20">
        <f t="shared" si="29"/>
        <v>10</v>
      </c>
      <c r="AG174" s="300">
        <f t="shared" si="23"/>
        <v>319</v>
      </c>
      <c r="AH174" s="42">
        <f t="shared" si="28"/>
        <v>2</v>
      </c>
      <c r="AI174" s="42">
        <f t="shared" si="28"/>
        <v>0</v>
      </c>
      <c r="AJ174" s="42">
        <f t="shared" si="28"/>
        <v>0</v>
      </c>
      <c r="AK174" s="42">
        <f t="shared" si="28"/>
        <v>0</v>
      </c>
      <c r="AL174" s="42">
        <f t="shared" si="28"/>
        <v>0</v>
      </c>
      <c r="AM174" s="42">
        <f t="shared" si="27"/>
        <v>0</v>
      </c>
      <c r="AN174" s="42">
        <f t="shared" si="27"/>
        <v>0</v>
      </c>
      <c r="AO174" s="42">
        <f t="shared" si="27"/>
        <v>2</v>
      </c>
    </row>
    <row r="175" spans="1:41" ht="15.75">
      <c r="A175" s="16">
        <f t="shared" si="26"/>
        <v>172</v>
      </c>
      <c r="B175" s="8">
        <v>1917</v>
      </c>
      <c r="C175" s="62" t="s">
        <v>825</v>
      </c>
      <c r="D175" s="63" t="s">
        <v>1798</v>
      </c>
      <c r="E175" s="13" t="s">
        <v>1799</v>
      </c>
      <c r="F175" s="14" t="s">
        <v>1800</v>
      </c>
      <c r="G175" s="429" t="s">
        <v>6473</v>
      </c>
      <c r="H175" s="385">
        <v>33727</v>
      </c>
      <c r="I175" s="383">
        <v>42845</v>
      </c>
      <c r="J175" s="430" t="s">
        <v>6293</v>
      </c>
      <c r="K175" s="411" t="s">
        <v>6097</v>
      </c>
      <c r="L175" s="411" t="s">
        <v>6335</v>
      </c>
      <c r="M175" s="1">
        <v>192</v>
      </c>
      <c r="N175" s="431">
        <f t="shared" si="24"/>
        <v>5</v>
      </c>
      <c r="O175" s="432">
        <v>20</v>
      </c>
      <c r="P175" s="432">
        <v>0</v>
      </c>
      <c r="Q175" s="432">
        <v>0</v>
      </c>
      <c r="R175" s="1">
        <v>7</v>
      </c>
      <c r="S175" s="1">
        <v>10</v>
      </c>
      <c r="T175" s="300">
        <f t="shared" si="25"/>
        <v>234</v>
      </c>
      <c r="U175" s="3"/>
      <c r="V175" s="3"/>
      <c r="W175" s="3"/>
      <c r="X175" s="3"/>
      <c r="Y175" s="3"/>
      <c r="Z175" s="20">
        <f t="shared" si="22"/>
        <v>194</v>
      </c>
      <c r="AA175" s="20">
        <f t="shared" si="30"/>
        <v>5</v>
      </c>
      <c r="AB175" s="20">
        <f t="shared" si="30"/>
        <v>20</v>
      </c>
      <c r="AC175" s="20">
        <f t="shared" si="30"/>
        <v>0</v>
      </c>
      <c r="AD175" s="20">
        <f t="shared" si="29"/>
        <v>0</v>
      </c>
      <c r="AE175" s="20">
        <f t="shared" si="29"/>
        <v>7</v>
      </c>
      <c r="AF175" s="20">
        <f t="shared" si="29"/>
        <v>10</v>
      </c>
      <c r="AG175" s="300">
        <f t="shared" si="23"/>
        <v>236</v>
      </c>
      <c r="AH175" s="42">
        <f t="shared" si="28"/>
        <v>2</v>
      </c>
      <c r="AI175" s="42">
        <f t="shared" si="28"/>
        <v>0</v>
      </c>
      <c r="AJ175" s="42">
        <f t="shared" si="28"/>
        <v>0</v>
      </c>
      <c r="AK175" s="42">
        <f t="shared" si="28"/>
        <v>0</v>
      </c>
      <c r="AL175" s="42">
        <f t="shared" si="28"/>
        <v>0</v>
      </c>
      <c r="AM175" s="42">
        <f t="shared" si="27"/>
        <v>0</v>
      </c>
      <c r="AN175" s="42">
        <f t="shared" si="27"/>
        <v>0</v>
      </c>
      <c r="AO175" s="42">
        <f t="shared" si="27"/>
        <v>2</v>
      </c>
    </row>
    <row r="176" spans="1:41" ht="15.75">
      <c r="A176" s="16">
        <f t="shared" si="26"/>
        <v>173</v>
      </c>
      <c r="B176" s="8">
        <v>1925</v>
      </c>
      <c r="C176" s="62" t="s">
        <v>452</v>
      </c>
      <c r="D176" s="63" t="s">
        <v>1817</v>
      </c>
      <c r="E176" s="13" t="s">
        <v>454</v>
      </c>
      <c r="F176" s="14" t="s">
        <v>1818</v>
      </c>
      <c r="G176" s="429" t="s">
        <v>6473</v>
      </c>
      <c r="H176" s="385">
        <v>32417</v>
      </c>
      <c r="I176" s="383">
        <v>42846</v>
      </c>
      <c r="J176" s="430" t="s">
        <v>6293</v>
      </c>
      <c r="K176" s="411" t="s">
        <v>6295</v>
      </c>
      <c r="L176" s="411" t="s">
        <v>6335</v>
      </c>
      <c r="M176" s="1">
        <v>192</v>
      </c>
      <c r="N176" s="431">
        <f t="shared" si="24"/>
        <v>5</v>
      </c>
      <c r="O176" s="432">
        <v>20</v>
      </c>
      <c r="P176" s="432">
        <v>0</v>
      </c>
      <c r="Q176" s="432">
        <v>0</v>
      </c>
      <c r="R176" s="1">
        <v>7</v>
      </c>
      <c r="S176" s="1">
        <v>10</v>
      </c>
      <c r="T176" s="300">
        <f t="shared" si="25"/>
        <v>234</v>
      </c>
      <c r="U176" s="3"/>
      <c r="V176" s="3"/>
      <c r="W176" s="3"/>
      <c r="X176" s="3"/>
      <c r="Y176" s="3"/>
      <c r="Z176" s="20">
        <f t="shared" si="22"/>
        <v>194</v>
      </c>
      <c r="AA176" s="20">
        <f t="shared" si="30"/>
        <v>5</v>
      </c>
      <c r="AB176" s="20">
        <f t="shared" si="30"/>
        <v>20</v>
      </c>
      <c r="AC176" s="20">
        <f t="shared" si="30"/>
        <v>0</v>
      </c>
      <c r="AD176" s="20">
        <f t="shared" si="29"/>
        <v>0</v>
      </c>
      <c r="AE176" s="20">
        <f t="shared" si="29"/>
        <v>7</v>
      </c>
      <c r="AF176" s="20">
        <f t="shared" si="29"/>
        <v>10</v>
      </c>
      <c r="AG176" s="300">
        <f t="shared" si="23"/>
        <v>236</v>
      </c>
      <c r="AH176" s="42">
        <f t="shared" si="28"/>
        <v>2</v>
      </c>
      <c r="AI176" s="42">
        <f t="shared" si="28"/>
        <v>0</v>
      </c>
      <c r="AJ176" s="42">
        <f t="shared" si="28"/>
        <v>0</v>
      </c>
      <c r="AK176" s="42">
        <f t="shared" si="28"/>
        <v>0</v>
      </c>
      <c r="AL176" s="42">
        <f t="shared" si="28"/>
        <v>0</v>
      </c>
      <c r="AM176" s="42">
        <f t="shared" si="27"/>
        <v>0</v>
      </c>
      <c r="AN176" s="42">
        <f t="shared" si="27"/>
        <v>0</v>
      </c>
      <c r="AO176" s="42">
        <f t="shared" si="27"/>
        <v>2</v>
      </c>
    </row>
    <row r="177" spans="1:41" ht="15.75">
      <c r="A177" s="16">
        <f t="shared" si="26"/>
        <v>174</v>
      </c>
      <c r="B177" s="8">
        <v>1931</v>
      </c>
      <c r="C177" s="62" t="s">
        <v>1823</v>
      </c>
      <c r="D177" s="63" t="s">
        <v>274</v>
      </c>
      <c r="E177" s="13" t="s">
        <v>1824</v>
      </c>
      <c r="F177" s="14" t="s">
        <v>1825</v>
      </c>
      <c r="G177" s="429" t="s">
        <v>6473</v>
      </c>
      <c r="H177" s="385">
        <v>29465</v>
      </c>
      <c r="I177" s="383">
        <v>42846</v>
      </c>
      <c r="J177" s="430" t="s">
        <v>6293</v>
      </c>
      <c r="K177" s="411" t="s">
        <v>6305</v>
      </c>
      <c r="L177" s="411" t="s">
        <v>6335</v>
      </c>
      <c r="M177" s="1">
        <v>192</v>
      </c>
      <c r="N177" s="431">
        <f t="shared" si="24"/>
        <v>5</v>
      </c>
      <c r="O177" s="432">
        <v>20</v>
      </c>
      <c r="P177" s="432">
        <v>0</v>
      </c>
      <c r="Q177" s="432">
        <v>0</v>
      </c>
      <c r="R177" s="1">
        <v>7</v>
      </c>
      <c r="S177" s="1">
        <v>10</v>
      </c>
      <c r="T177" s="300">
        <f t="shared" si="25"/>
        <v>234</v>
      </c>
      <c r="U177" s="3"/>
      <c r="V177" s="3"/>
      <c r="W177" s="3"/>
      <c r="X177" s="3"/>
      <c r="Y177" s="3"/>
      <c r="Z177" s="20">
        <f t="shared" si="22"/>
        <v>194</v>
      </c>
      <c r="AA177" s="20">
        <f t="shared" si="30"/>
        <v>5</v>
      </c>
      <c r="AB177" s="20">
        <f t="shared" si="30"/>
        <v>20</v>
      </c>
      <c r="AC177" s="20">
        <f t="shared" si="30"/>
        <v>0</v>
      </c>
      <c r="AD177" s="20">
        <f t="shared" si="29"/>
        <v>0</v>
      </c>
      <c r="AE177" s="20">
        <f t="shared" si="29"/>
        <v>7</v>
      </c>
      <c r="AF177" s="20">
        <f t="shared" si="29"/>
        <v>10</v>
      </c>
      <c r="AG177" s="300">
        <f t="shared" si="23"/>
        <v>236</v>
      </c>
      <c r="AH177" s="42">
        <f t="shared" si="28"/>
        <v>2</v>
      </c>
      <c r="AI177" s="42">
        <f t="shared" si="28"/>
        <v>0</v>
      </c>
      <c r="AJ177" s="42">
        <f t="shared" si="28"/>
        <v>0</v>
      </c>
      <c r="AK177" s="42">
        <f t="shared" si="28"/>
        <v>0</v>
      </c>
      <c r="AL177" s="42">
        <f t="shared" si="28"/>
        <v>0</v>
      </c>
      <c r="AM177" s="42">
        <f t="shared" si="27"/>
        <v>0</v>
      </c>
      <c r="AN177" s="42">
        <f t="shared" si="27"/>
        <v>0</v>
      </c>
      <c r="AO177" s="42">
        <f t="shared" si="27"/>
        <v>2</v>
      </c>
    </row>
    <row r="178" spans="1:41" ht="15.75">
      <c r="A178" s="16">
        <f t="shared" si="26"/>
        <v>175</v>
      </c>
      <c r="B178" s="8">
        <v>1942</v>
      </c>
      <c r="C178" s="62" t="s">
        <v>971</v>
      </c>
      <c r="D178" s="63" t="s">
        <v>1833</v>
      </c>
      <c r="E178" s="13" t="s">
        <v>972</v>
      </c>
      <c r="F178" s="14" t="s">
        <v>1834</v>
      </c>
      <c r="G178" s="429" t="s">
        <v>6473</v>
      </c>
      <c r="H178" s="385">
        <v>33361</v>
      </c>
      <c r="I178" s="383">
        <v>42847</v>
      </c>
      <c r="J178" s="430" t="s">
        <v>6293</v>
      </c>
      <c r="K178" s="411" t="s">
        <v>6083</v>
      </c>
      <c r="L178" s="411" t="s">
        <v>6335</v>
      </c>
      <c r="M178" s="1">
        <v>192</v>
      </c>
      <c r="N178" s="431">
        <f t="shared" si="24"/>
        <v>5</v>
      </c>
      <c r="O178" s="432">
        <v>20</v>
      </c>
      <c r="P178" s="432">
        <v>0</v>
      </c>
      <c r="Q178" s="432">
        <v>0</v>
      </c>
      <c r="R178" s="1">
        <v>7</v>
      </c>
      <c r="S178" s="1">
        <v>10</v>
      </c>
      <c r="T178" s="300">
        <f t="shared" si="25"/>
        <v>234</v>
      </c>
      <c r="U178" s="3"/>
      <c r="V178" s="3"/>
      <c r="W178" s="3"/>
      <c r="X178" s="3"/>
      <c r="Y178" s="3"/>
      <c r="Z178" s="20">
        <f t="shared" si="22"/>
        <v>194</v>
      </c>
      <c r="AA178" s="20">
        <f t="shared" si="30"/>
        <v>5</v>
      </c>
      <c r="AB178" s="20">
        <f t="shared" si="30"/>
        <v>20</v>
      </c>
      <c r="AC178" s="20">
        <f t="shared" si="30"/>
        <v>0</v>
      </c>
      <c r="AD178" s="20">
        <f t="shared" si="29"/>
        <v>0</v>
      </c>
      <c r="AE178" s="20">
        <f t="shared" si="29"/>
        <v>7</v>
      </c>
      <c r="AF178" s="20">
        <f t="shared" si="29"/>
        <v>10</v>
      </c>
      <c r="AG178" s="300">
        <f t="shared" si="23"/>
        <v>236</v>
      </c>
      <c r="AH178" s="42">
        <f t="shared" si="28"/>
        <v>2</v>
      </c>
      <c r="AI178" s="42">
        <f t="shared" si="28"/>
        <v>0</v>
      </c>
      <c r="AJ178" s="42">
        <f t="shared" si="28"/>
        <v>0</v>
      </c>
      <c r="AK178" s="42">
        <f t="shared" si="28"/>
        <v>0</v>
      </c>
      <c r="AL178" s="42">
        <f t="shared" si="28"/>
        <v>0</v>
      </c>
      <c r="AM178" s="42">
        <f t="shared" si="27"/>
        <v>0</v>
      </c>
      <c r="AN178" s="42">
        <f t="shared" si="27"/>
        <v>0</v>
      </c>
      <c r="AO178" s="42">
        <f t="shared" si="27"/>
        <v>2</v>
      </c>
    </row>
    <row r="179" spans="1:41" ht="15.75">
      <c r="A179" s="16">
        <f t="shared" si="26"/>
        <v>176</v>
      </c>
      <c r="B179" s="8">
        <v>1945</v>
      </c>
      <c r="C179" s="62" t="s">
        <v>476</v>
      </c>
      <c r="D179" s="63" t="s">
        <v>1024</v>
      </c>
      <c r="E179" s="13" t="s">
        <v>1056</v>
      </c>
      <c r="F179" s="14" t="s">
        <v>1026</v>
      </c>
      <c r="G179" s="429" t="s">
        <v>6473</v>
      </c>
      <c r="H179" s="385">
        <v>35285</v>
      </c>
      <c r="I179" s="383">
        <v>42849</v>
      </c>
      <c r="J179" s="430" t="s">
        <v>6293</v>
      </c>
      <c r="K179" s="411" t="s">
        <v>6309</v>
      </c>
      <c r="L179" s="411" t="s">
        <v>6339</v>
      </c>
      <c r="M179" s="1">
        <v>192</v>
      </c>
      <c r="N179" s="431">
        <f t="shared" si="24"/>
        <v>5</v>
      </c>
      <c r="O179" s="432">
        <v>20</v>
      </c>
      <c r="P179" s="432">
        <v>0</v>
      </c>
      <c r="Q179" s="432">
        <v>0</v>
      </c>
      <c r="R179" s="1">
        <v>7</v>
      </c>
      <c r="S179" s="1">
        <v>10</v>
      </c>
      <c r="T179" s="300">
        <f t="shared" si="25"/>
        <v>234</v>
      </c>
      <c r="U179" s="3"/>
      <c r="V179" s="3"/>
      <c r="W179" s="3"/>
      <c r="X179" s="3"/>
      <c r="Y179" s="3"/>
      <c r="Z179" s="20">
        <f t="shared" si="22"/>
        <v>194</v>
      </c>
      <c r="AA179" s="20">
        <f t="shared" si="30"/>
        <v>5</v>
      </c>
      <c r="AB179" s="20">
        <f t="shared" si="30"/>
        <v>20</v>
      </c>
      <c r="AC179" s="20">
        <f t="shared" si="30"/>
        <v>0</v>
      </c>
      <c r="AD179" s="20">
        <f t="shared" si="29"/>
        <v>0</v>
      </c>
      <c r="AE179" s="20">
        <f t="shared" si="29"/>
        <v>7</v>
      </c>
      <c r="AF179" s="20">
        <f t="shared" si="29"/>
        <v>10</v>
      </c>
      <c r="AG179" s="300">
        <f t="shared" si="23"/>
        <v>236</v>
      </c>
      <c r="AH179" s="42">
        <f t="shared" si="28"/>
        <v>2</v>
      </c>
      <c r="AI179" s="42">
        <f t="shared" si="28"/>
        <v>0</v>
      </c>
      <c r="AJ179" s="42">
        <f t="shared" si="28"/>
        <v>0</v>
      </c>
      <c r="AK179" s="42">
        <f t="shared" si="28"/>
        <v>0</v>
      </c>
      <c r="AL179" s="42">
        <f t="shared" si="28"/>
        <v>0</v>
      </c>
      <c r="AM179" s="42">
        <f t="shared" si="27"/>
        <v>0</v>
      </c>
      <c r="AN179" s="42">
        <f t="shared" si="27"/>
        <v>0</v>
      </c>
      <c r="AO179" s="42">
        <f t="shared" si="27"/>
        <v>2</v>
      </c>
    </row>
    <row r="180" spans="1:41" ht="15.75">
      <c r="A180" s="16">
        <f t="shared" si="26"/>
        <v>177</v>
      </c>
      <c r="B180" s="93">
        <v>1920</v>
      </c>
      <c r="C180" s="62" t="s">
        <v>1061</v>
      </c>
      <c r="D180" s="63" t="s">
        <v>1804</v>
      </c>
      <c r="E180" s="13" t="s">
        <v>1063</v>
      </c>
      <c r="F180" s="14" t="s">
        <v>1805</v>
      </c>
      <c r="G180" s="429" t="s">
        <v>6473</v>
      </c>
      <c r="H180" s="382">
        <v>35999</v>
      </c>
      <c r="I180" s="383">
        <v>42846</v>
      </c>
      <c r="J180" s="430" t="s">
        <v>6293</v>
      </c>
      <c r="K180" s="411" t="s">
        <v>6307</v>
      </c>
      <c r="L180" s="411" t="s">
        <v>6335</v>
      </c>
      <c r="M180" s="1">
        <v>192</v>
      </c>
      <c r="N180" s="431">
        <f t="shared" si="24"/>
        <v>5</v>
      </c>
      <c r="O180" s="432">
        <v>20</v>
      </c>
      <c r="P180" s="432">
        <v>0</v>
      </c>
      <c r="Q180" s="432">
        <v>0</v>
      </c>
      <c r="R180" s="1">
        <v>7</v>
      </c>
      <c r="S180" s="1">
        <v>10</v>
      </c>
      <c r="T180" s="300">
        <f t="shared" si="25"/>
        <v>234</v>
      </c>
      <c r="U180" s="3"/>
      <c r="V180" s="3"/>
      <c r="W180" s="3"/>
      <c r="X180" s="3"/>
      <c r="Y180" s="3"/>
      <c r="Z180" s="20">
        <f t="shared" si="22"/>
        <v>194</v>
      </c>
      <c r="AA180" s="20">
        <f t="shared" si="30"/>
        <v>5</v>
      </c>
      <c r="AB180" s="20">
        <f t="shared" si="30"/>
        <v>20</v>
      </c>
      <c r="AC180" s="20">
        <f t="shared" si="30"/>
        <v>0</v>
      </c>
      <c r="AD180" s="20">
        <f t="shared" si="29"/>
        <v>0</v>
      </c>
      <c r="AE180" s="20">
        <f t="shared" si="29"/>
        <v>7</v>
      </c>
      <c r="AF180" s="20">
        <f t="shared" si="29"/>
        <v>10</v>
      </c>
      <c r="AG180" s="300">
        <f t="shared" si="23"/>
        <v>236</v>
      </c>
      <c r="AH180" s="42">
        <f t="shared" si="28"/>
        <v>2</v>
      </c>
      <c r="AI180" s="42">
        <f t="shared" si="28"/>
        <v>0</v>
      </c>
      <c r="AJ180" s="42">
        <f t="shared" si="28"/>
        <v>0</v>
      </c>
      <c r="AK180" s="42">
        <f t="shared" si="28"/>
        <v>0</v>
      </c>
      <c r="AL180" s="42">
        <f t="shared" si="28"/>
        <v>0</v>
      </c>
      <c r="AM180" s="42">
        <f t="shared" si="27"/>
        <v>0</v>
      </c>
      <c r="AN180" s="42">
        <f t="shared" si="27"/>
        <v>0</v>
      </c>
      <c r="AO180" s="42">
        <f t="shared" si="27"/>
        <v>2</v>
      </c>
    </row>
    <row r="181" spans="1:41" ht="15.75">
      <c r="A181" s="16">
        <f t="shared" si="26"/>
        <v>178</v>
      </c>
      <c r="B181" s="8">
        <v>2022</v>
      </c>
      <c r="C181" s="62" t="s">
        <v>431</v>
      </c>
      <c r="D181" s="63" t="s">
        <v>1878</v>
      </c>
      <c r="E181" s="13" t="s">
        <v>1879</v>
      </c>
      <c r="F181" s="14" t="s">
        <v>1880</v>
      </c>
      <c r="G181" s="429" t="s">
        <v>6473</v>
      </c>
      <c r="H181" s="385">
        <v>29219</v>
      </c>
      <c r="I181" s="154">
        <v>42899</v>
      </c>
      <c r="J181" s="430" t="s">
        <v>6293</v>
      </c>
      <c r="K181" s="411" t="s">
        <v>6305</v>
      </c>
      <c r="L181" s="411" t="s">
        <v>6335</v>
      </c>
      <c r="M181" s="1">
        <v>192</v>
      </c>
      <c r="N181" s="431">
        <f t="shared" si="24"/>
        <v>5</v>
      </c>
      <c r="O181" s="432">
        <v>20</v>
      </c>
      <c r="P181" s="432">
        <v>0</v>
      </c>
      <c r="Q181" s="432">
        <v>0</v>
      </c>
      <c r="R181" s="1">
        <v>7</v>
      </c>
      <c r="S181" s="1">
        <v>10</v>
      </c>
      <c r="T181" s="300">
        <f t="shared" si="25"/>
        <v>234</v>
      </c>
      <c r="U181" s="3"/>
      <c r="V181" s="3"/>
      <c r="W181" s="3"/>
      <c r="X181" s="3"/>
      <c r="Y181" s="3"/>
      <c r="Z181" s="20">
        <f t="shared" si="22"/>
        <v>194</v>
      </c>
      <c r="AA181" s="20">
        <f t="shared" si="30"/>
        <v>5</v>
      </c>
      <c r="AB181" s="20">
        <f t="shared" si="30"/>
        <v>20</v>
      </c>
      <c r="AC181" s="20">
        <f t="shared" si="30"/>
        <v>0</v>
      </c>
      <c r="AD181" s="20">
        <f t="shared" si="29"/>
        <v>0</v>
      </c>
      <c r="AE181" s="20">
        <f t="shared" si="29"/>
        <v>7</v>
      </c>
      <c r="AF181" s="20">
        <f t="shared" si="29"/>
        <v>10</v>
      </c>
      <c r="AG181" s="300">
        <f t="shared" si="23"/>
        <v>236</v>
      </c>
      <c r="AH181" s="42">
        <f t="shared" si="28"/>
        <v>2</v>
      </c>
      <c r="AI181" s="42">
        <f t="shared" si="28"/>
        <v>0</v>
      </c>
      <c r="AJ181" s="42">
        <f t="shared" si="28"/>
        <v>0</v>
      </c>
      <c r="AK181" s="42">
        <f t="shared" si="28"/>
        <v>0</v>
      </c>
      <c r="AL181" s="42">
        <f t="shared" si="28"/>
        <v>0</v>
      </c>
      <c r="AM181" s="42">
        <f t="shared" si="27"/>
        <v>0</v>
      </c>
      <c r="AN181" s="42">
        <f t="shared" si="27"/>
        <v>0</v>
      </c>
      <c r="AO181" s="42">
        <f t="shared" si="27"/>
        <v>2</v>
      </c>
    </row>
    <row r="182" spans="1:41" ht="15.75">
      <c r="A182" s="16">
        <f t="shared" si="26"/>
        <v>179</v>
      </c>
      <c r="B182" s="8">
        <v>2037</v>
      </c>
      <c r="C182" s="62" t="s">
        <v>1884</v>
      </c>
      <c r="D182" s="63" t="s">
        <v>1885</v>
      </c>
      <c r="E182" s="13" t="s">
        <v>1886</v>
      </c>
      <c r="F182" s="14" t="s">
        <v>1887</v>
      </c>
      <c r="G182" s="429" t="s">
        <v>6475</v>
      </c>
      <c r="H182" s="385">
        <v>31810</v>
      </c>
      <c r="I182" s="154">
        <v>42917</v>
      </c>
      <c r="J182" s="430" t="s">
        <v>6330</v>
      </c>
      <c r="K182" s="411" t="s">
        <v>6311</v>
      </c>
      <c r="L182" s="411" t="s">
        <v>6342</v>
      </c>
      <c r="M182" s="1">
        <v>192</v>
      </c>
      <c r="N182" s="431">
        <f t="shared" si="24"/>
        <v>5</v>
      </c>
      <c r="O182" s="432">
        <v>20</v>
      </c>
      <c r="P182" s="432">
        <v>200</v>
      </c>
      <c r="Q182" s="432">
        <v>50</v>
      </c>
      <c r="R182" s="1">
        <v>7</v>
      </c>
      <c r="S182" s="1">
        <v>10</v>
      </c>
      <c r="T182" s="300">
        <f t="shared" si="25"/>
        <v>484</v>
      </c>
      <c r="U182" s="3"/>
      <c r="V182" s="3"/>
      <c r="W182" s="3"/>
      <c r="X182" s="3"/>
      <c r="Y182" s="3"/>
      <c r="Z182" s="20">
        <f t="shared" si="22"/>
        <v>194</v>
      </c>
      <c r="AA182" s="20">
        <f t="shared" si="30"/>
        <v>5</v>
      </c>
      <c r="AB182" s="20">
        <f t="shared" si="30"/>
        <v>20</v>
      </c>
      <c r="AC182" s="20">
        <f t="shared" si="30"/>
        <v>200</v>
      </c>
      <c r="AD182" s="20">
        <f t="shared" si="29"/>
        <v>50</v>
      </c>
      <c r="AE182" s="20">
        <f t="shared" si="29"/>
        <v>7</v>
      </c>
      <c r="AF182" s="20">
        <f t="shared" si="29"/>
        <v>10</v>
      </c>
      <c r="AG182" s="300">
        <f t="shared" si="23"/>
        <v>486</v>
      </c>
      <c r="AH182" s="42">
        <f t="shared" si="28"/>
        <v>2</v>
      </c>
      <c r="AI182" s="42">
        <f t="shared" si="28"/>
        <v>0</v>
      </c>
      <c r="AJ182" s="42">
        <f t="shared" si="28"/>
        <v>0</v>
      </c>
      <c r="AK182" s="42">
        <f t="shared" si="28"/>
        <v>0</v>
      </c>
      <c r="AL182" s="42">
        <f t="shared" si="28"/>
        <v>0</v>
      </c>
      <c r="AM182" s="42">
        <f t="shared" si="27"/>
        <v>0</v>
      </c>
      <c r="AN182" s="42">
        <f t="shared" si="27"/>
        <v>0</v>
      </c>
      <c r="AO182" s="42">
        <f t="shared" si="27"/>
        <v>2</v>
      </c>
    </row>
    <row r="183" spans="1:41" ht="15.75">
      <c r="A183" s="16">
        <f t="shared" si="26"/>
        <v>180</v>
      </c>
      <c r="B183" s="8">
        <v>2107</v>
      </c>
      <c r="C183" s="62" t="s">
        <v>1892</v>
      </c>
      <c r="D183" s="63" t="s">
        <v>1893</v>
      </c>
      <c r="E183" s="13" t="s">
        <v>1894</v>
      </c>
      <c r="F183" s="14" t="s">
        <v>1895</v>
      </c>
      <c r="G183" s="429" t="s">
        <v>6473</v>
      </c>
      <c r="H183" s="385">
        <v>35705</v>
      </c>
      <c r="I183" s="154">
        <v>42931</v>
      </c>
      <c r="J183" s="430" t="s">
        <v>6293</v>
      </c>
      <c r="K183" s="411" t="s">
        <v>6297</v>
      </c>
      <c r="L183" s="411" t="s">
        <v>6335</v>
      </c>
      <c r="M183" s="1">
        <v>192</v>
      </c>
      <c r="N183" s="431">
        <f t="shared" si="24"/>
        <v>5</v>
      </c>
      <c r="O183" s="432">
        <v>20</v>
      </c>
      <c r="P183" s="432">
        <v>0</v>
      </c>
      <c r="Q183" s="432">
        <v>0</v>
      </c>
      <c r="R183" s="1">
        <v>7</v>
      </c>
      <c r="S183" s="1">
        <v>10</v>
      </c>
      <c r="T183" s="300">
        <f t="shared" si="25"/>
        <v>234</v>
      </c>
      <c r="U183" s="3"/>
      <c r="V183" s="3"/>
      <c r="W183" s="3"/>
      <c r="X183" s="3"/>
      <c r="Y183" s="3"/>
      <c r="Z183" s="20">
        <f t="shared" si="22"/>
        <v>194</v>
      </c>
      <c r="AA183" s="20">
        <f t="shared" si="30"/>
        <v>5</v>
      </c>
      <c r="AB183" s="20">
        <f t="shared" si="30"/>
        <v>20</v>
      </c>
      <c r="AC183" s="20">
        <f t="shared" si="30"/>
        <v>0</v>
      </c>
      <c r="AD183" s="20">
        <f t="shared" si="29"/>
        <v>0</v>
      </c>
      <c r="AE183" s="20">
        <f t="shared" si="29"/>
        <v>7</v>
      </c>
      <c r="AF183" s="20">
        <f t="shared" si="29"/>
        <v>10</v>
      </c>
      <c r="AG183" s="300">
        <f t="shared" si="23"/>
        <v>236</v>
      </c>
      <c r="AH183" s="42">
        <f t="shared" si="28"/>
        <v>2</v>
      </c>
      <c r="AI183" s="42">
        <f t="shared" si="28"/>
        <v>0</v>
      </c>
      <c r="AJ183" s="42">
        <f t="shared" si="28"/>
        <v>0</v>
      </c>
      <c r="AK183" s="42">
        <f t="shared" si="28"/>
        <v>0</v>
      </c>
      <c r="AL183" s="42">
        <f t="shared" si="28"/>
        <v>0</v>
      </c>
      <c r="AM183" s="42">
        <f t="shared" si="27"/>
        <v>0</v>
      </c>
      <c r="AN183" s="42">
        <f t="shared" si="27"/>
        <v>0</v>
      </c>
      <c r="AO183" s="42">
        <f t="shared" si="27"/>
        <v>2</v>
      </c>
    </row>
    <row r="184" spans="1:41" ht="15.75">
      <c r="A184" s="16">
        <f t="shared" si="26"/>
        <v>181</v>
      </c>
      <c r="B184" s="8">
        <v>2103</v>
      </c>
      <c r="C184" s="62" t="s">
        <v>1899</v>
      </c>
      <c r="D184" s="63" t="s">
        <v>1636</v>
      </c>
      <c r="E184" s="13" t="s">
        <v>1900</v>
      </c>
      <c r="F184" s="14" t="s">
        <v>1144</v>
      </c>
      <c r="G184" s="429" t="s">
        <v>6473</v>
      </c>
      <c r="H184" s="385">
        <v>33270</v>
      </c>
      <c r="I184" s="154">
        <v>42930</v>
      </c>
      <c r="J184" s="430" t="s">
        <v>6293</v>
      </c>
      <c r="K184" s="411" t="s">
        <v>6302</v>
      </c>
      <c r="L184" s="411" t="s">
        <v>6335</v>
      </c>
      <c r="M184" s="1">
        <v>192</v>
      </c>
      <c r="N184" s="431">
        <f t="shared" si="24"/>
        <v>5</v>
      </c>
      <c r="O184" s="432">
        <v>20</v>
      </c>
      <c r="P184" s="432">
        <v>0</v>
      </c>
      <c r="Q184" s="432">
        <v>0</v>
      </c>
      <c r="R184" s="1">
        <v>7</v>
      </c>
      <c r="S184" s="1">
        <v>10</v>
      </c>
      <c r="T184" s="300">
        <f t="shared" si="25"/>
        <v>234</v>
      </c>
      <c r="U184" s="3"/>
      <c r="V184" s="3"/>
      <c r="W184" s="3"/>
      <c r="X184" s="3"/>
      <c r="Y184" s="3"/>
      <c r="Z184" s="20">
        <f t="shared" si="22"/>
        <v>194</v>
      </c>
      <c r="AA184" s="20">
        <f t="shared" si="30"/>
        <v>5</v>
      </c>
      <c r="AB184" s="20">
        <f t="shared" si="30"/>
        <v>20</v>
      </c>
      <c r="AC184" s="20">
        <f t="shared" si="30"/>
        <v>0</v>
      </c>
      <c r="AD184" s="20">
        <f t="shared" si="29"/>
        <v>0</v>
      </c>
      <c r="AE184" s="20">
        <f t="shared" si="29"/>
        <v>7</v>
      </c>
      <c r="AF184" s="20">
        <f t="shared" si="29"/>
        <v>10</v>
      </c>
      <c r="AG184" s="300">
        <f t="shared" si="23"/>
        <v>236</v>
      </c>
      <c r="AH184" s="42">
        <f t="shared" si="28"/>
        <v>2</v>
      </c>
      <c r="AI184" s="42">
        <f t="shared" si="28"/>
        <v>0</v>
      </c>
      <c r="AJ184" s="42">
        <f t="shared" si="28"/>
        <v>0</v>
      </c>
      <c r="AK184" s="42">
        <f t="shared" si="28"/>
        <v>0</v>
      </c>
      <c r="AL184" s="42">
        <f t="shared" si="28"/>
        <v>0</v>
      </c>
      <c r="AM184" s="42">
        <f t="shared" si="27"/>
        <v>0</v>
      </c>
      <c r="AN184" s="42">
        <f t="shared" si="27"/>
        <v>0</v>
      </c>
      <c r="AO184" s="42">
        <f t="shared" si="27"/>
        <v>2</v>
      </c>
    </row>
    <row r="185" spans="1:41" ht="15.75">
      <c r="A185" s="16">
        <f t="shared" si="26"/>
        <v>182</v>
      </c>
      <c r="B185" s="8">
        <v>2043</v>
      </c>
      <c r="C185" s="62" t="s">
        <v>1904</v>
      </c>
      <c r="D185" s="63" t="s">
        <v>1905</v>
      </c>
      <c r="E185" s="13" t="s">
        <v>1906</v>
      </c>
      <c r="F185" s="14" t="s">
        <v>1907</v>
      </c>
      <c r="G185" s="429" t="s">
        <v>6473</v>
      </c>
      <c r="H185" s="385">
        <v>34037</v>
      </c>
      <c r="I185" s="154">
        <v>42920</v>
      </c>
      <c r="J185" s="430" t="s">
        <v>6293</v>
      </c>
      <c r="K185" s="411" t="s">
        <v>6097</v>
      </c>
      <c r="L185" s="411" t="s">
        <v>6100</v>
      </c>
      <c r="M185" s="1">
        <v>192</v>
      </c>
      <c r="N185" s="431">
        <f t="shared" si="24"/>
        <v>5</v>
      </c>
      <c r="O185" s="432">
        <v>20</v>
      </c>
      <c r="P185" s="432">
        <v>10</v>
      </c>
      <c r="Q185" s="432">
        <v>0</v>
      </c>
      <c r="R185" s="1">
        <v>7</v>
      </c>
      <c r="S185" s="1">
        <v>10</v>
      </c>
      <c r="T185" s="300">
        <f t="shared" si="25"/>
        <v>244</v>
      </c>
      <c r="U185" s="3"/>
      <c r="V185" s="3"/>
      <c r="W185" s="3"/>
      <c r="X185" s="3"/>
      <c r="Y185" s="3"/>
      <c r="Z185" s="20">
        <f t="shared" si="22"/>
        <v>194</v>
      </c>
      <c r="AA185" s="20">
        <f t="shared" si="30"/>
        <v>5</v>
      </c>
      <c r="AB185" s="20">
        <f t="shared" si="30"/>
        <v>20</v>
      </c>
      <c r="AC185" s="20">
        <f t="shared" si="30"/>
        <v>10</v>
      </c>
      <c r="AD185" s="20">
        <f t="shared" si="29"/>
        <v>0</v>
      </c>
      <c r="AE185" s="20">
        <f t="shared" si="29"/>
        <v>7</v>
      </c>
      <c r="AF185" s="20">
        <f t="shared" si="29"/>
        <v>10</v>
      </c>
      <c r="AG185" s="300">
        <f t="shared" si="23"/>
        <v>246</v>
      </c>
      <c r="AH185" s="42">
        <f t="shared" si="28"/>
        <v>2</v>
      </c>
      <c r="AI185" s="42">
        <f t="shared" si="28"/>
        <v>0</v>
      </c>
      <c r="AJ185" s="42">
        <f t="shared" si="28"/>
        <v>0</v>
      </c>
      <c r="AK185" s="42">
        <f t="shared" si="28"/>
        <v>0</v>
      </c>
      <c r="AL185" s="42">
        <f t="shared" si="28"/>
        <v>0</v>
      </c>
      <c r="AM185" s="42">
        <f t="shared" si="27"/>
        <v>0</v>
      </c>
      <c r="AN185" s="42">
        <f t="shared" si="27"/>
        <v>0</v>
      </c>
      <c r="AO185" s="42">
        <f t="shared" si="27"/>
        <v>2</v>
      </c>
    </row>
    <row r="186" spans="1:41" ht="15.75">
      <c r="A186" s="16">
        <f t="shared" si="26"/>
        <v>183</v>
      </c>
      <c r="B186" s="8">
        <v>2121</v>
      </c>
      <c r="C186" s="62" t="s">
        <v>1865</v>
      </c>
      <c r="D186" s="63" t="s">
        <v>1249</v>
      </c>
      <c r="E186" s="13" t="s">
        <v>1867</v>
      </c>
      <c r="F186" s="14" t="s">
        <v>1251</v>
      </c>
      <c r="G186" s="429" t="s">
        <v>6473</v>
      </c>
      <c r="H186" s="385">
        <v>32523</v>
      </c>
      <c r="I186" s="154">
        <v>42936</v>
      </c>
      <c r="J186" s="430" t="s">
        <v>6293</v>
      </c>
      <c r="K186" s="411" t="s">
        <v>6300</v>
      </c>
      <c r="L186" s="411" t="s">
        <v>6335</v>
      </c>
      <c r="M186" s="1">
        <v>192</v>
      </c>
      <c r="N186" s="431">
        <f t="shared" si="24"/>
        <v>5</v>
      </c>
      <c r="O186" s="432">
        <v>20</v>
      </c>
      <c r="P186" s="432">
        <v>0</v>
      </c>
      <c r="Q186" s="432">
        <v>0</v>
      </c>
      <c r="R186" s="1">
        <v>7</v>
      </c>
      <c r="S186" s="1">
        <v>10</v>
      </c>
      <c r="T186" s="300">
        <f t="shared" si="25"/>
        <v>234</v>
      </c>
      <c r="U186" s="3"/>
      <c r="V186" s="3"/>
      <c r="W186" s="3"/>
      <c r="X186" s="3"/>
      <c r="Y186" s="3"/>
      <c r="Z186" s="20">
        <f t="shared" si="22"/>
        <v>194</v>
      </c>
      <c r="AA186" s="20">
        <f t="shared" si="30"/>
        <v>5</v>
      </c>
      <c r="AB186" s="20">
        <f t="shared" si="30"/>
        <v>20</v>
      </c>
      <c r="AC186" s="20">
        <f t="shared" si="30"/>
        <v>0</v>
      </c>
      <c r="AD186" s="20">
        <f t="shared" si="29"/>
        <v>0</v>
      </c>
      <c r="AE186" s="20">
        <f t="shared" si="29"/>
        <v>7</v>
      </c>
      <c r="AF186" s="20">
        <f t="shared" si="29"/>
        <v>10</v>
      </c>
      <c r="AG186" s="300">
        <f t="shared" si="23"/>
        <v>236</v>
      </c>
      <c r="AH186" s="42">
        <f t="shared" si="28"/>
        <v>2</v>
      </c>
      <c r="AI186" s="42">
        <f t="shared" si="28"/>
        <v>0</v>
      </c>
      <c r="AJ186" s="42">
        <f t="shared" si="28"/>
        <v>0</v>
      </c>
      <c r="AK186" s="42">
        <f t="shared" si="28"/>
        <v>0</v>
      </c>
      <c r="AL186" s="42">
        <f t="shared" si="28"/>
        <v>0</v>
      </c>
      <c r="AM186" s="42">
        <f t="shared" si="27"/>
        <v>0</v>
      </c>
      <c r="AN186" s="42">
        <f t="shared" si="27"/>
        <v>0</v>
      </c>
      <c r="AO186" s="42">
        <f t="shared" si="27"/>
        <v>2</v>
      </c>
    </row>
    <row r="187" spans="1:41" ht="15.75">
      <c r="A187" s="16">
        <f t="shared" si="26"/>
        <v>184</v>
      </c>
      <c r="B187" s="8">
        <v>2108</v>
      </c>
      <c r="C187" s="62" t="s">
        <v>1592</v>
      </c>
      <c r="D187" s="63" t="s">
        <v>1922</v>
      </c>
      <c r="E187" s="13" t="s">
        <v>1593</v>
      </c>
      <c r="F187" s="14" t="s">
        <v>1923</v>
      </c>
      <c r="G187" s="429" t="s">
        <v>6473</v>
      </c>
      <c r="H187" s="385">
        <v>31869</v>
      </c>
      <c r="I187" s="154">
        <v>42931</v>
      </c>
      <c r="J187" s="430" t="s">
        <v>6293</v>
      </c>
      <c r="K187" s="411" t="s">
        <v>6297</v>
      </c>
      <c r="L187" s="411" t="s">
        <v>6335</v>
      </c>
      <c r="M187" s="1">
        <v>192</v>
      </c>
      <c r="N187" s="431">
        <f t="shared" si="24"/>
        <v>5</v>
      </c>
      <c r="O187" s="432">
        <v>20</v>
      </c>
      <c r="P187" s="432">
        <v>0</v>
      </c>
      <c r="Q187" s="432">
        <v>0</v>
      </c>
      <c r="R187" s="1">
        <v>7</v>
      </c>
      <c r="S187" s="1">
        <v>10</v>
      </c>
      <c r="T187" s="300">
        <f t="shared" si="25"/>
        <v>234</v>
      </c>
      <c r="U187" s="3"/>
      <c r="V187" s="3"/>
      <c r="W187" s="3"/>
      <c r="X187" s="3"/>
      <c r="Y187" s="3"/>
      <c r="Z187" s="20">
        <f t="shared" si="22"/>
        <v>194</v>
      </c>
      <c r="AA187" s="20">
        <f t="shared" si="30"/>
        <v>5</v>
      </c>
      <c r="AB187" s="20">
        <f t="shared" si="30"/>
        <v>20</v>
      </c>
      <c r="AC187" s="20">
        <f t="shared" si="30"/>
        <v>0</v>
      </c>
      <c r="AD187" s="20">
        <f t="shared" si="29"/>
        <v>0</v>
      </c>
      <c r="AE187" s="20">
        <f t="shared" si="29"/>
        <v>7</v>
      </c>
      <c r="AF187" s="20">
        <f t="shared" si="29"/>
        <v>10</v>
      </c>
      <c r="AG187" s="300">
        <f t="shared" si="23"/>
        <v>236</v>
      </c>
      <c r="AH187" s="42">
        <f t="shared" si="28"/>
        <v>2</v>
      </c>
      <c r="AI187" s="42">
        <f t="shared" si="28"/>
        <v>0</v>
      </c>
      <c r="AJ187" s="42">
        <f t="shared" si="28"/>
        <v>0</v>
      </c>
      <c r="AK187" s="42">
        <f t="shared" si="28"/>
        <v>0</v>
      </c>
      <c r="AL187" s="42">
        <f t="shared" si="28"/>
        <v>0</v>
      </c>
      <c r="AM187" s="42">
        <f t="shared" si="27"/>
        <v>0</v>
      </c>
      <c r="AN187" s="42">
        <f t="shared" si="27"/>
        <v>0</v>
      </c>
      <c r="AO187" s="42">
        <f t="shared" si="27"/>
        <v>2</v>
      </c>
    </row>
    <row r="188" spans="1:41" ht="15.75">
      <c r="A188" s="16">
        <f t="shared" si="26"/>
        <v>185</v>
      </c>
      <c r="B188" s="8">
        <v>2054</v>
      </c>
      <c r="C188" s="62" t="s">
        <v>1934</v>
      </c>
      <c r="D188" s="63" t="s">
        <v>1935</v>
      </c>
      <c r="E188" s="13" t="s">
        <v>1637</v>
      </c>
      <c r="F188" s="14" t="s">
        <v>1936</v>
      </c>
      <c r="G188" s="429" t="s">
        <v>6473</v>
      </c>
      <c r="H188" s="385">
        <v>32936</v>
      </c>
      <c r="I188" s="154">
        <v>42921</v>
      </c>
      <c r="J188" s="430" t="s">
        <v>6293</v>
      </c>
      <c r="K188" s="411" t="s">
        <v>6299</v>
      </c>
      <c r="L188" s="411" t="s">
        <v>6335</v>
      </c>
      <c r="M188" s="1">
        <v>192</v>
      </c>
      <c r="N188" s="431">
        <f t="shared" si="24"/>
        <v>5</v>
      </c>
      <c r="O188" s="432">
        <v>20</v>
      </c>
      <c r="P188" s="432">
        <v>0</v>
      </c>
      <c r="Q188" s="432">
        <v>0</v>
      </c>
      <c r="R188" s="1">
        <v>7</v>
      </c>
      <c r="S188" s="1">
        <v>10</v>
      </c>
      <c r="T188" s="300">
        <f t="shared" si="25"/>
        <v>234</v>
      </c>
      <c r="U188" s="3"/>
      <c r="V188" s="3"/>
      <c r="W188" s="3"/>
      <c r="X188" s="3"/>
      <c r="Y188" s="3"/>
      <c r="Z188" s="20">
        <f t="shared" si="22"/>
        <v>194</v>
      </c>
      <c r="AA188" s="20">
        <f t="shared" si="30"/>
        <v>5</v>
      </c>
      <c r="AB188" s="20">
        <f t="shared" si="30"/>
        <v>20</v>
      </c>
      <c r="AC188" s="20">
        <f t="shared" si="30"/>
        <v>0</v>
      </c>
      <c r="AD188" s="20">
        <f t="shared" si="29"/>
        <v>0</v>
      </c>
      <c r="AE188" s="20">
        <f t="shared" si="29"/>
        <v>7</v>
      </c>
      <c r="AF188" s="20">
        <f t="shared" si="29"/>
        <v>10</v>
      </c>
      <c r="AG188" s="300">
        <f t="shared" si="23"/>
        <v>236</v>
      </c>
      <c r="AH188" s="42">
        <f t="shared" si="28"/>
        <v>2</v>
      </c>
      <c r="AI188" s="42">
        <f t="shared" si="28"/>
        <v>0</v>
      </c>
      <c r="AJ188" s="42">
        <f t="shared" si="28"/>
        <v>0</v>
      </c>
      <c r="AK188" s="42">
        <f t="shared" si="28"/>
        <v>0</v>
      </c>
      <c r="AL188" s="42">
        <f t="shared" si="28"/>
        <v>0</v>
      </c>
      <c r="AM188" s="42">
        <f t="shared" si="27"/>
        <v>0</v>
      </c>
      <c r="AN188" s="42">
        <f t="shared" si="27"/>
        <v>0</v>
      </c>
      <c r="AO188" s="42">
        <f t="shared" si="27"/>
        <v>2</v>
      </c>
    </row>
    <row r="189" spans="1:41" ht="15.75">
      <c r="A189" s="16">
        <f t="shared" si="26"/>
        <v>186</v>
      </c>
      <c r="B189" s="8">
        <v>2066</v>
      </c>
      <c r="C189" s="62" t="s">
        <v>393</v>
      </c>
      <c r="D189" s="63" t="s">
        <v>1947</v>
      </c>
      <c r="E189" s="13" t="s">
        <v>1948</v>
      </c>
      <c r="F189" s="14" t="s">
        <v>1949</v>
      </c>
      <c r="G189" s="429" t="s">
        <v>6473</v>
      </c>
      <c r="H189" s="385">
        <v>36193</v>
      </c>
      <c r="I189" s="154">
        <v>42922</v>
      </c>
      <c r="J189" s="430" t="s">
        <v>6293</v>
      </c>
      <c r="K189" s="411" t="s">
        <v>6298</v>
      </c>
      <c r="L189" s="411" t="s">
        <v>6335</v>
      </c>
      <c r="M189" s="1">
        <v>192</v>
      </c>
      <c r="N189" s="431">
        <f t="shared" si="24"/>
        <v>5</v>
      </c>
      <c r="O189" s="432">
        <v>20</v>
      </c>
      <c r="P189" s="432">
        <v>0</v>
      </c>
      <c r="Q189" s="432">
        <v>0</v>
      </c>
      <c r="R189" s="1">
        <v>7</v>
      </c>
      <c r="S189" s="1">
        <v>10</v>
      </c>
      <c r="T189" s="300">
        <f t="shared" si="25"/>
        <v>234</v>
      </c>
      <c r="U189" s="3"/>
      <c r="V189" s="3"/>
      <c r="W189" s="3"/>
      <c r="X189" s="3"/>
      <c r="Y189" s="3"/>
      <c r="Z189" s="20">
        <f t="shared" si="22"/>
        <v>194</v>
      </c>
      <c r="AA189" s="20">
        <f t="shared" si="30"/>
        <v>5</v>
      </c>
      <c r="AB189" s="20">
        <f t="shared" si="30"/>
        <v>20</v>
      </c>
      <c r="AC189" s="20">
        <f t="shared" si="30"/>
        <v>0</v>
      </c>
      <c r="AD189" s="20">
        <f t="shared" si="29"/>
        <v>0</v>
      </c>
      <c r="AE189" s="20">
        <f t="shared" si="29"/>
        <v>7</v>
      </c>
      <c r="AF189" s="20">
        <f t="shared" si="29"/>
        <v>10</v>
      </c>
      <c r="AG189" s="300">
        <f t="shared" si="23"/>
        <v>236</v>
      </c>
      <c r="AH189" s="42">
        <f t="shared" si="28"/>
        <v>2</v>
      </c>
      <c r="AI189" s="42">
        <f t="shared" si="28"/>
        <v>0</v>
      </c>
      <c r="AJ189" s="42">
        <f t="shared" si="28"/>
        <v>0</v>
      </c>
      <c r="AK189" s="42">
        <f t="shared" si="28"/>
        <v>0</v>
      </c>
      <c r="AL189" s="42">
        <f t="shared" si="28"/>
        <v>0</v>
      </c>
      <c r="AM189" s="42">
        <f t="shared" si="27"/>
        <v>0</v>
      </c>
      <c r="AN189" s="42">
        <f t="shared" si="27"/>
        <v>0</v>
      </c>
      <c r="AO189" s="42">
        <f t="shared" si="27"/>
        <v>2</v>
      </c>
    </row>
    <row r="190" spans="1:41" ht="15.75">
      <c r="A190" s="16">
        <f t="shared" si="26"/>
        <v>187</v>
      </c>
      <c r="B190" s="8">
        <v>2044</v>
      </c>
      <c r="C190" s="62" t="s">
        <v>670</v>
      </c>
      <c r="D190" s="63" t="s">
        <v>1315</v>
      </c>
      <c r="E190" s="13" t="s">
        <v>1961</v>
      </c>
      <c r="F190" s="14" t="s">
        <v>1316</v>
      </c>
      <c r="G190" s="429" t="s">
        <v>6473</v>
      </c>
      <c r="H190" s="385">
        <v>31200</v>
      </c>
      <c r="I190" s="154">
        <v>42920</v>
      </c>
      <c r="J190" s="430" t="s">
        <v>6293</v>
      </c>
      <c r="K190" s="411" t="s">
        <v>6097</v>
      </c>
      <c r="L190" s="411" t="s">
        <v>6335</v>
      </c>
      <c r="M190" s="1">
        <v>192</v>
      </c>
      <c r="N190" s="431">
        <f t="shared" si="24"/>
        <v>5</v>
      </c>
      <c r="O190" s="432">
        <v>20</v>
      </c>
      <c r="P190" s="432">
        <v>0</v>
      </c>
      <c r="Q190" s="432">
        <v>0</v>
      </c>
      <c r="R190" s="1">
        <v>7</v>
      </c>
      <c r="S190" s="1">
        <v>10</v>
      </c>
      <c r="T190" s="300">
        <f t="shared" si="25"/>
        <v>234</v>
      </c>
      <c r="U190" s="3"/>
      <c r="V190" s="3"/>
      <c r="W190" s="3"/>
      <c r="X190" s="3"/>
      <c r="Y190" s="3"/>
      <c r="Z190" s="20">
        <f t="shared" si="22"/>
        <v>194</v>
      </c>
      <c r="AA190" s="20">
        <f t="shared" si="30"/>
        <v>5</v>
      </c>
      <c r="AB190" s="20">
        <f t="shared" si="30"/>
        <v>20</v>
      </c>
      <c r="AC190" s="20">
        <f t="shared" si="30"/>
        <v>0</v>
      </c>
      <c r="AD190" s="20">
        <f t="shared" si="29"/>
        <v>0</v>
      </c>
      <c r="AE190" s="20">
        <f t="shared" si="29"/>
        <v>7</v>
      </c>
      <c r="AF190" s="20">
        <f t="shared" si="29"/>
        <v>10</v>
      </c>
      <c r="AG190" s="300">
        <f t="shared" si="23"/>
        <v>236</v>
      </c>
      <c r="AH190" s="42">
        <f t="shared" si="28"/>
        <v>2</v>
      </c>
      <c r="AI190" s="42">
        <f t="shared" si="28"/>
        <v>0</v>
      </c>
      <c r="AJ190" s="42">
        <f t="shared" si="28"/>
        <v>0</v>
      </c>
      <c r="AK190" s="42">
        <f t="shared" si="28"/>
        <v>0</v>
      </c>
      <c r="AL190" s="42">
        <f t="shared" si="28"/>
        <v>0</v>
      </c>
      <c r="AM190" s="42">
        <f t="shared" si="27"/>
        <v>0</v>
      </c>
      <c r="AN190" s="42">
        <f t="shared" si="27"/>
        <v>0</v>
      </c>
      <c r="AO190" s="42">
        <f t="shared" si="27"/>
        <v>2</v>
      </c>
    </row>
    <row r="191" spans="1:41" ht="15.75">
      <c r="A191" s="16">
        <f t="shared" si="26"/>
        <v>188</v>
      </c>
      <c r="B191" s="8">
        <v>2093</v>
      </c>
      <c r="C191" s="62" t="s">
        <v>355</v>
      </c>
      <c r="D191" s="63" t="s">
        <v>1966</v>
      </c>
      <c r="E191" s="13" t="s">
        <v>576</v>
      </c>
      <c r="F191" s="14" t="s">
        <v>1003</v>
      </c>
      <c r="G191" s="429" t="s">
        <v>6473</v>
      </c>
      <c r="H191" s="385">
        <v>35449</v>
      </c>
      <c r="I191" s="154">
        <v>42929</v>
      </c>
      <c r="J191" s="430" t="s">
        <v>6293</v>
      </c>
      <c r="K191" s="411" t="s">
        <v>6097</v>
      </c>
      <c r="L191" s="411" t="s">
        <v>6335</v>
      </c>
      <c r="M191" s="1">
        <v>192</v>
      </c>
      <c r="N191" s="431">
        <f t="shared" si="24"/>
        <v>5</v>
      </c>
      <c r="O191" s="432">
        <v>20</v>
      </c>
      <c r="P191" s="432">
        <v>0</v>
      </c>
      <c r="Q191" s="432">
        <v>0</v>
      </c>
      <c r="R191" s="1">
        <v>7</v>
      </c>
      <c r="S191" s="1">
        <v>10</v>
      </c>
      <c r="T191" s="300">
        <f t="shared" si="25"/>
        <v>234</v>
      </c>
      <c r="U191" s="3"/>
      <c r="V191" s="3"/>
      <c r="W191" s="3"/>
      <c r="X191" s="3"/>
      <c r="Y191" s="3"/>
      <c r="Z191" s="20">
        <f t="shared" si="22"/>
        <v>194</v>
      </c>
      <c r="AA191" s="20">
        <f t="shared" si="30"/>
        <v>5</v>
      </c>
      <c r="AB191" s="20">
        <f t="shared" si="30"/>
        <v>20</v>
      </c>
      <c r="AC191" s="20">
        <f t="shared" si="30"/>
        <v>0</v>
      </c>
      <c r="AD191" s="20">
        <f t="shared" si="29"/>
        <v>0</v>
      </c>
      <c r="AE191" s="20">
        <f t="shared" si="29"/>
        <v>7</v>
      </c>
      <c r="AF191" s="20">
        <f t="shared" si="29"/>
        <v>10</v>
      </c>
      <c r="AG191" s="300">
        <f t="shared" si="23"/>
        <v>236</v>
      </c>
      <c r="AH191" s="42">
        <f t="shared" si="28"/>
        <v>2</v>
      </c>
      <c r="AI191" s="42">
        <f t="shared" si="28"/>
        <v>0</v>
      </c>
      <c r="AJ191" s="42">
        <f t="shared" si="28"/>
        <v>0</v>
      </c>
      <c r="AK191" s="42">
        <f t="shared" si="28"/>
        <v>0</v>
      </c>
      <c r="AL191" s="42">
        <f t="shared" si="28"/>
        <v>0</v>
      </c>
      <c r="AM191" s="42">
        <f t="shared" si="27"/>
        <v>0</v>
      </c>
      <c r="AN191" s="42">
        <f t="shared" si="27"/>
        <v>0</v>
      </c>
      <c r="AO191" s="42">
        <f t="shared" si="27"/>
        <v>2</v>
      </c>
    </row>
    <row r="192" spans="1:41" ht="15.75">
      <c r="A192" s="16">
        <f t="shared" si="26"/>
        <v>189</v>
      </c>
      <c r="B192" s="8">
        <v>2112</v>
      </c>
      <c r="C192" s="62" t="s">
        <v>1971</v>
      </c>
      <c r="D192" s="63" t="s">
        <v>1972</v>
      </c>
      <c r="E192" s="13" t="s">
        <v>1973</v>
      </c>
      <c r="F192" s="14" t="s">
        <v>1974</v>
      </c>
      <c r="G192" s="429" t="s">
        <v>6473</v>
      </c>
      <c r="H192" s="385">
        <v>31518</v>
      </c>
      <c r="I192" s="154">
        <v>42931</v>
      </c>
      <c r="J192" s="430" t="s">
        <v>6293</v>
      </c>
      <c r="K192" s="411" t="s">
        <v>6307</v>
      </c>
      <c r="L192" s="411" t="s">
        <v>6335</v>
      </c>
      <c r="M192" s="1">
        <v>192</v>
      </c>
      <c r="N192" s="431">
        <f t="shared" si="24"/>
        <v>5</v>
      </c>
      <c r="O192" s="432">
        <v>20</v>
      </c>
      <c r="P192" s="432">
        <v>0</v>
      </c>
      <c r="Q192" s="432">
        <v>0</v>
      </c>
      <c r="R192" s="1">
        <v>7</v>
      </c>
      <c r="S192" s="1">
        <v>10</v>
      </c>
      <c r="T192" s="300">
        <f t="shared" si="25"/>
        <v>234</v>
      </c>
      <c r="U192" s="3"/>
      <c r="V192" s="3"/>
      <c r="W192" s="3"/>
      <c r="X192" s="3"/>
      <c r="Y192" s="3"/>
      <c r="Z192" s="20">
        <f t="shared" si="22"/>
        <v>194</v>
      </c>
      <c r="AA192" s="20">
        <f t="shared" si="30"/>
        <v>5</v>
      </c>
      <c r="AB192" s="20">
        <f t="shared" si="30"/>
        <v>20</v>
      </c>
      <c r="AC192" s="20">
        <f t="shared" si="30"/>
        <v>0</v>
      </c>
      <c r="AD192" s="20">
        <f t="shared" si="29"/>
        <v>0</v>
      </c>
      <c r="AE192" s="20">
        <f t="shared" si="29"/>
        <v>7</v>
      </c>
      <c r="AF192" s="20">
        <f t="shared" si="29"/>
        <v>10</v>
      </c>
      <c r="AG192" s="300">
        <f t="shared" si="23"/>
        <v>236</v>
      </c>
      <c r="AH192" s="42">
        <f t="shared" si="28"/>
        <v>2</v>
      </c>
      <c r="AI192" s="42">
        <f t="shared" si="28"/>
        <v>0</v>
      </c>
      <c r="AJ192" s="42">
        <f t="shared" si="28"/>
        <v>0</v>
      </c>
      <c r="AK192" s="42">
        <f t="shared" si="28"/>
        <v>0</v>
      </c>
      <c r="AL192" s="42">
        <f t="shared" si="28"/>
        <v>0</v>
      </c>
      <c r="AM192" s="42">
        <f t="shared" si="27"/>
        <v>0</v>
      </c>
      <c r="AN192" s="42">
        <f t="shared" si="27"/>
        <v>0</v>
      </c>
      <c r="AO192" s="42">
        <f t="shared" si="27"/>
        <v>2</v>
      </c>
    </row>
    <row r="193" spans="1:41" ht="15.75">
      <c r="A193" s="16">
        <f t="shared" si="26"/>
        <v>190</v>
      </c>
      <c r="B193" s="8">
        <v>2127</v>
      </c>
      <c r="C193" s="62" t="s">
        <v>1978</v>
      </c>
      <c r="D193" s="63" t="s">
        <v>1979</v>
      </c>
      <c r="E193" s="13" t="s">
        <v>1894</v>
      </c>
      <c r="F193" s="14" t="s">
        <v>1980</v>
      </c>
      <c r="G193" s="429" t="s">
        <v>6473</v>
      </c>
      <c r="H193" s="385">
        <v>34444</v>
      </c>
      <c r="I193" s="154">
        <v>42949</v>
      </c>
      <c r="J193" s="430" t="s">
        <v>6293</v>
      </c>
      <c r="K193" s="411" t="s">
        <v>6305</v>
      </c>
      <c r="L193" s="411" t="s">
        <v>6335</v>
      </c>
      <c r="M193" s="1">
        <v>192</v>
      </c>
      <c r="N193" s="431">
        <f t="shared" si="24"/>
        <v>5</v>
      </c>
      <c r="O193" s="432">
        <v>20</v>
      </c>
      <c r="P193" s="432">
        <v>0</v>
      </c>
      <c r="Q193" s="432">
        <v>0</v>
      </c>
      <c r="R193" s="1">
        <v>7</v>
      </c>
      <c r="S193" s="1">
        <v>10</v>
      </c>
      <c r="T193" s="300">
        <f t="shared" si="25"/>
        <v>234</v>
      </c>
      <c r="U193" s="3"/>
      <c r="V193" s="3"/>
      <c r="W193" s="3"/>
      <c r="X193" s="3"/>
      <c r="Y193" s="3"/>
      <c r="Z193" s="20">
        <f t="shared" si="22"/>
        <v>194</v>
      </c>
      <c r="AA193" s="20">
        <f t="shared" si="30"/>
        <v>5</v>
      </c>
      <c r="AB193" s="20">
        <f t="shared" si="30"/>
        <v>20</v>
      </c>
      <c r="AC193" s="20">
        <f t="shared" si="30"/>
        <v>0</v>
      </c>
      <c r="AD193" s="20">
        <f t="shared" si="29"/>
        <v>0</v>
      </c>
      <c r="AE193" s="20">
        <f t="shared" si="29"/>
        <v>7</v>
      </c>
      <c r="AF193" s="20">
        <f t="shared" si="29"/>
        <v>10</v>
      </c>
      <c r="AG193" s="300">
        <f t="shared" si="23"/>
        <v>236</v>
      </c>
      <c r="AH193" s="42">
        <f t="shared" si="28"/>
        <v>2</v>
      </c>
      <c r="AI193" s="42">
        <f t="shared" si="28"/>
        <v>0</v>
      </c>
      <c r="AJ193" s="42">
        <f t="shared" si="28"/>
        <v>0</v>
      </c>
      <c r="AK193" s="42">
        <f t="shared" si="28"/>
        <v>0</v>
      </c>
      <c r="AL193" s="42">
        <f t="shared" si="28"/>
        <v>0</v>
      </c>
      <c r="AM193" s="42">
        <f t="shared" si="27"/>
        <v>0</v>
      </c>
      <c r="AN193" s="42">
        <f t="shared" si="27"/>
        <v>0</v>
      </c>
      <c r="AO193" s="42">
        <f t="shared" si="27"/>
        <v>2</v>
      </c>
    </row>
    <row r="194" spans="1:41" ht="15.75">
      <c r="A194" s="16">
        <f t="shared" si="26"/>
        <v>191</v>
      </c>
      <c r="B194" s="8">
        <v>2130</v>
      </c>
      <c r="C194" s="62" t="s">
        <v>213</v>
      </c>
      <c r="D194" s="63" t="s">
        <v>514</v>
      </c>
      <c r="E194" s="13" t="s">
        <v>1984</v>
      </c>
      <c r="F194" s="14" t="s">
        <v>516</v>
      </c>
      <c r="G194" s="429" t="s">
        <v>6473</v>
      </c>
      <c r="H194" s="385">
        <v>35860</v>
      </c>
      <c r="I194" s="154">
        <v>42949</v>
      </c>
      <c r="J194" s="430" t="s">
        <v>6293</v>
      </c>
      <c r="K194" s="411" t="s">
        <v>6300</v>
      </c>
      <c r="L194" s="411" t="s">
        <v>6335</v>
      </c>
      <c r="M194" s="1">
        <v>192</v>
      </c>
      <c r="N194" s="431">
        <f t="shared" si="24"/>
        <v>5</v>
      </c>
      <c r="O194" s="432">
        <v>20</v>
      </c>
      <c r="P194" s="432">
        <v>0</v>
      </c>
      <c r="Q194" s="432">
        <v>0</v>
      </c>
      <c r="R194" s="1">
        <v>7</v>
      </c>
      <c r="S194" s="1">
        <v>10</v>
      </c>
      <c r="T194" s="300">
        <f t="shared" si="25"/>
        <v>234</v>
      </c>
      <c r="U194" s="3"/>
      <c r="V194" s="3"/>
      <c r="W194" s="3"/>
      <c r="X194" s="3"/>
      <c r="Y194" s="3"/>
      <c r="Z194" s="20">
        <f t="shared" si="22"/>
        <v>194</v>
      </c>
      <c r="AA194" s="20">
        <f t="shared" si="30"/>
        <v>5</v>
      </c>
      <c r="AB194" s="20">
        <f t="shared" si="30"/>
        <v>20</v>
      </c>
      <c r="AC194" s="20">
        <f t="shared" si="30"/>
        <v>0</v>
      </c>
      <c r="AD194" s="20">
        <f t="shared" si="29"/>
        <v>0</v>
      </c>
      <c r="AE194" s="20">
        <f t="shared" si="29"/>
        <v>7</v>
      </c>
      <c r="AF194" s="20">
        <f t="shared" si="29"/>
        <v>10</v>
      </c>
      <c r="AG194" s="300">
        <f t="shared" si="23"/>
        <v>236</v>
      </c>
      <c r="AH194" s="42">
        <f t="shared" si="28"/>
        <v>2</v>
      </c>
      <c r="AI194" s="42">
        <f t="shared" si="28"/>
        <v>0</v>
      </c>
      <c r="AJ194" s="42">
        <f t="shared" si="28"/>
        <v>0</v>
      </c>
      <c r="AK194" s="42">
        <f t="shared" si="28"/>
        <v>0</v>
      </c>
      <c r="AL194" s="42">
        <f t="shared" si="28"/>
        <v>0</v>
      </c>
      <c r="AM194" s="42">
        <f t="shared" si="27"/>
        <v>0</v>
      </c>
      <c r="AN194" s="42">
        <f t="shared" si="27"/>
        <v>0</v>
      </c>
      <c r="AO194" s="42">
        <f t="shared" si="27"/>
        <v>2</v>
      </c>
    </row>
    <row r="195" spans="1:41" ht="15.75">
      <c r="A195" s="16">
        <f t="shared" si="26"/>
        <v>192</v>
      </c>
      <c r="B195" s="8">
        <v>2242</v>
      </c>
      <c r="C195" s="62" t="s">
        <v>316</v>
      </c>
      <c r="D195" s="63" t="s">
        <v>363</v>
      </c>
      <c r="E195" s="13" t="s">
        <v>1989</v>
      </c>
      <c r="F195" s="14" t="s">
        <v>365</v>
      </c>
      <c r="G195" s="429" t="s">
        <v>6473</v>
      </c>
      <c r="H195" s="385">
        <v>34837</v>
      </c>
      <c r="I195" s="154">
        <v>42962</v>
      </c>
      <c r="J195" s="430" t="s">
        <v>6293</v>
      </c>
      <c r="K195" s="411" t="s">
        <v>6312</v>
      </c>
      <c r="L195" s="411" t="s">
        <v>6343</v>
      </c>
      <c r="M195" s="1">
        <v>192</v>
      </c>
      <c r="N195" s="431">
        <f t="shared" si="24"/>
        <v>5</v>
      </c>
      <c r="O195" s="432">
        <v>0</v>
      </c>
      <c r="P195" s="432">
        <v>153</v>
      </c>
      <c r="Q195" s="432">
        <v>40</v>
      </c>
      <c r="R195" s="1">
        <v>7</v>
      </c>
      <c r="S195" s="1">
        <v>10</v>
      </c>
      <c r="T195" s="300">
        <f t="shared" si="25"/>
        <v>407</v>
      </c>
      <c r="U195" s="3"/>
      <c r="V195" s="3"/>
      <c r="W195" s="3"/>
      <c r="X195" s="3"/>
      <c r="Y195" s="3"/>
      <c r="Z195" s="20">
        <f t="shared" si="22"/>
        <v>194</v>
      </c>
      <c r="AA195" s="20">
        <f t="shared" si="30"/>
        <v>5</v>
      </c>
      <c r="AB195" s="20">
        <f t="shared" si="30"/>
        <v>0</v>
      </c>
      <c r="AC195" s="20">
        <f t="shared" si="30"/>
        <v>153</v>
      </c>
      <c r="AD195" s="20">
        <f t="shared" si="29"/>
        <v>40</v>
      </c>
      <c r="AE195" s="20">
        <f t="shared" si="29"/>
        <v>7</v>
      </c>
      <c r="AF195" s="20">
        <f t="shared" si="29"/>
        <v>10</v>
      </c>
      <c r="AG195" s="300">
        <f t="shared" si="23"/>
        <v>409</v>
      </c>
      <c r="AH195" s="42">
        <f t="shared" si="28"/>
        <v>2</v>
      </c>
      <c r="AI195" s="42">
        <f t="shared" si="28"/>
        <v>0</v>
      </c>
      <c r="AJ195" s="42">
        <f t="shared" si="28"/>
        <v>0</v>
      </c>
      <c r="AK195" s="42">
        <f t="shared" si="28"/>
        <v>0</v>
      </c>
      <c r="AL195" s="42">
        <f t="shared" si="28"/>
        <v>0</v>
      </c>
      <c r="AM195" s="42">
        <f t="shared" si="27"/>
        <v>0</v>
      </c>
      <c r="AN195" s="42">
        <f t="shared" si="27"/>
        <v>0</v>
      </c>
      <c r="AO195" s="42">
        <f t="shared" si="27"/>
        <v>2</v>
      </c>
    </row>
    <row r="196" spans="1:41" ht="15.75">
      <c r="A196" s="16">
        <f t="shared" si="26"/>
        <v>193</v>
      </c>
      <c r="B196" s="8">
        <v>2250</v>
      </c>
      <c r="C196" s="62" t="s">
        <v>2003</v>
      </c>
      <c r="D196" s="63" t="s">
        <v>2004</v>
      </c>
      <c r="E196" s="13" t="s">
        <v>2005</v>
      </c>
      <c r="F196" s="14" t="s">
        <v>2006</v>
      </c>
      <c r="G196" s="429" t="s">
        <v>6473</v>
      </c>
      <c r="H196" s="385">
        <v>33856</v>
      </c>
      <c r="I196" s="154">
        <v>42985</v>
      </c>
      <c r="J196" s="430" t="s">
        <v>6293</v>
      </c>
      <c r="K196" s="411" t="s">
        <v>6097</v>
      </c>
      <c r="L196" s="411" t="s">
        <v>6335</v>
      </c>
      <c r="M196" s="1">
        <v>192</v>
      </c>
      <c r="N196" s="431">
        <f t="shared" si="24"/>
        <v>5</v>
      </c>
      <c r="O196" s="432">
        <v>20</v>
      </c>
      <c r="P196" s="432">
        <v>0</v>
      </c>
      <c r="Q196" s="432">
        <v>0</v>
      </c>
      <c r="R196" s="1">
        <v>7</v>
      </c>
      <c r="S196" s="1">
        <v>10</v>
      </c>
      <c r="T196" s="300">
        <f t="shared" si="25"/>
        <v>234</v>
      </c>
      <c r="U196" s="3"/>
      <c r="V196" s="3"/>
      <c r="W196" s="3"/>
      <c r="X196" s="3"/>
      <c r="Y196" s="3"/>
      <c r="Z196" s="20">
        <f t="shared" si="22"/>
        <v>194</v>
      </c>
      <c r="AA196" s="20">
        <f t="shared" si="30"/>
        <v>5</v>
      </c>
      <c r="AB196" s="20">
        <f t="shared" si="30"/>
        <v>20</v>
      </c>
      <c r="AC196" s="20">
        <f t="shared" si="30"/>
        <v>0</v>
      </c>
      <c r="AD196" s="20">
        <f t="shared" si="29"/>
        <v>0</v>
      </c>
      <c r="AE196" s="20">
        <f t="shared" si="29"/>
        <v>7</v>
      </c>
      <c r="AF196" s="20">
        <f t="shared" si="29"/>
        <v>10</v>
      </c>
      <c r="AG196" s="300">
        <f t="shared" si="23"/>
        <v>236</v>
      </c>
      <c r="AH196" s="42">
        <f t="shared" si="28"/>
        <v>2</v>
      </c>
      <c r="AI196" s="42">
        <f t="shared" si="28"/>
        <v>0</v>
      </c>
      <c r="AJ196" s="42">
        <f t="shared" si="28"/>
        <v>0</v>
      </c>
      <c r="AK196" s="42">
        <f t="shared" si="28"/>
        <v>0</v>
      </c>
      <c r="AL196" s="42">
        <f t="shared" si="28"/>
        <v>0</v>
      </c>
      <c r="AM196" s="42">
        <f t="shared" si="27"/>
        <v>0</v>
      </c>
      <c r="AN196" s="42">
        <f t="shared" si="27"/>
        <v>0</v>
      </c>
      <c r="AO196" s="42">
        <f t="shared" si="27"/>
        <v>2</v>
      </c>
    </row>
    <row r="197" spans="1:41" ht="15.75">
      <c r="A197" s="16">
        <f t="shared" si="26"/>
        <v>194</v>
      </c>
      <c r="B197" s="8">
        <v>2305</v>
      </c>
      <c r="C197" s="62" t="s">
        <v>2022</v>
      </c>
      <c r="D197" s="63" t="s">
        <v>460</v>
      </c>
      <c r="E197" s="13" t="s">
        <v>26</v>
      </c>
      <c r="F197" s="14" t="s">
        <v>27</v>
      </c>
      <c r="G197" s="429" t="s">
        <v>6475</v>
      </c>
      <c r="H197" s="385">
        <v>25691</v>
      </c>
      <c r="I197" s="154">
        <v>43022</v>
      </c>
      <c r="J197" s="430" t="s">
        <v>6293</v>
      </c>
      <c r="K197" s="411" t="s">
        <v>45</v>
      </c>
      <c r="L197" s="411" t="s">
        <v>6344</v>
      </c>
      <c r="M197" s="1">
        <v>192</v>
      </c>
      <c r="N197" s="431">
        <f t="shared" si="24"/>
        <v>5</v>
      </c>
      <c r="O197" s="432">
        <v>20</v>
      </c>
      <c r="P197" s="432">
        <v>23</v>
      </c>
      <c r="Q197" s="432">
        <v>0</v>
      </c>
      <c r="R197" s="1">
        <v>7</v>
      </c>
      <c r="S197" s="1">
        <v>10</v>
      </c>
      <c r="T197" s="300">
        <f t="shared" si="25"/>
        <v>257</v>
      </c>
      <c r="U197" s="3"/>
      <c r="V197" s="3"/>
      <c r="W197" s="3"/>
      <c r="X197" s="3"/>
      <c r="Y197" s="3"/>
      <c r="Z197" s="20">
        <f t="shared" si="22"/>
        <v>194</v>
      </c>
      <c r="AA197" s="20">
        <f t="shared" si="30"/>
        <v>5</v>
      </c>
      <c r="AB197" s="20">
        <f t="shared" si="30"/>
        <v>20</v>
      </c>
      <c r="AC197" s="20">
        <f t="shared" si="30"/>
        <v>23</v>
      </c>
      <c r="AD197" s="20">
        <f t="shared" si="29"/>
        <v>0</v>
      </c>
      <c r="AE197" s="20">
        <f t="shared" si="29"/>
        <v>7</v>
      </c>
      <c r="AF197" s="20">
        <f t="shared" si="29"/>
        <v>10</v>
      </c>
      <c r="AG197" s="300">
        <f t="shared" si="23"/>
        <v>259</v>
      </c>
      <c r="AH197" s="42">
        <f t="shared" si="28"/>
        <v>2</v>
      </c>
      <c r="AI197" s="42">
        <f t="shared" si="28"/>
        <v>0</v>
      </c>
      <c r="AJ197" s="42">
        <f t="shared" si="28"/>
        <v>0</v>
      </c>
      <c r="AK197" s="42">
        <f t="shared" si="28"/>
        <v>0</v>
      </c>
      <c r="AL197" s="42">
        <f t="shared" si="28"/>
        <v>0</v>
      </c>
      <c r="AM197" s="42">
        <f t="shared" si="27"/>
        <v>0</v>
      </c>
      <c r="AN197" s="42">
        <f t="shared" si="27"/>
        <v>0</v>
      </c>
      <c r="AO197" s="42">
        <f t="shared" si="27"/>
        <v>2</v>
      </c>
    </row>
    <row r="198" spans="1:41" ht="15.75">
      <c r="A198" s="16">
        <f t="shared" si="26"/>
        <v>195</v>
      </c>
      <c r="B198" s="8">
        <v>2304</v>
      </c>
      <c r="C198" s="62" t="s">
        <v>742</v>
      </c>
      <c r="D198" s="63" t="s">
        <v>2026</v>
      </c>
      <c r="E198" s="13" t="s">
        <v>2027</v>
      </c>
      <c r="F198" s="14" t="s">
        <v>2028</v>
      </c>
      <c r="G198" s="429" t="s">
        <v>6473</v>
      </c>
      <c r="H198" s="385">
        <v>27881</v>
      </c>
      <c r="I198" s="154">
        <v>43022</v>
      </c>
      <c r="J198" s="430" t="s">
        <v>6293</v>
      </c>
      <c r="K198" s="411" t="s">
        <v>6125</v>
      </c>
      <c r="L198" s="411" t="s">
        <v>6339</v>
      </c>
      <c r="M198" s="1">
        <v>192</v>
      </c>
      <c r="N198" s="431">
        <f t="shared" si="24"/>
        <v>5</v>
      </c>
      <c r="O198" s="432">
        <v>20</v>
      </c>
      <c r="P198" s="432">
        <v>0</v>
      </c>
      <c r="Q198" s="432">
        <v>0</v>
      </c>
      <c r="R198" s="1">
        <v>7</v>
      </c>
      <c r="S198" s="1">
        <v>10</v>
      </c>
      <c r="T198" s="300">
        <f t="shared" si="25"/>
        <v>234</v>
      </c>
      <c r="U198" s="3"/>
      <c r="V198" s="3"/>
      <c r="W198" s="3"/>
      <c r="X198" s="3"/>
      <c r="Y198" s="3"/>
      <c r="Z198" s="20">
        <f t="shared" si="22"/>
        <v>194</v>
      </c>
      <c r="AA198" s="20">
        <f t="shared" si="30"/>
        <v>5</v>
      </c>
      <c r="AB198" s="20">
        <f t="shared" si="30"/>
        <v>20</v>
      </c>
      <c r="AC198" s="20">
        <f t="shared" si="30"/>
        <v>0</v>
      </c>
      <c r="AD198" s="20">
        <f t="shared" si="29"/>
        <v>0</v>
      </c>
      <c r="AE198" s="20">
        <f t="shared" si="29"/>
        <v>7</v>
      </c>
      <c r="AF198" s="20">
        <f t="shared" si="29"/>
        <v>10</v>
      </c>
      <c r="AG198" s="300">
        <f t="shared" si="23"/>
        <v>236</v>
      </c>
      <c r="AH198" s="42">
        <f t="shared" si="28"/>
        <v>2</v>
      </c>
      <c r="AI198" s="42">
        <f t="shared" si="28"/>
        <v>0</v>
      </c>
      <c r="AJ198" s="42">
        <f t="shared" si="28"/>
        <v>0</v>
      </c>
      <c r="AK198" s="42">
        <f t="shared" si="28"/>
        <v>0</v>
      </c>
      <c r="AL198" s="42">
        <f t="shared" si="28"/>
        <v>0</v>
      </c>
      <c r="AM198" s="42">
        <f t="shared" si="27"/>
        <v>0</v>
      </c>
      <c r="AN198" s="42">
        <f t="shared" si="27"/>
        <v>0</v>
      </c>
      <c r="AO198" s="42">
        <f t="shared" si="27"/>
        <v>2</v>
      </c>
    </row>
    <row r="199" spans="1:41" ht="15.75">
      <c r="A199" s="16">
        <f t="shared" si="26"/>
        <v>196</v>
      </c>
      <c r="B199" s="8">
        <v>2286</v>
      </c>
      <c r="C199" s="62" t="s">
        <v>989</v>
      </c>
      <c r="D199" s="63" t="s">
        <v>2049</v>
      </c>
      <c r="E199" s="13" t="s">
        <v>991</v>
      </c>
      <c r="F199" s="14" t="s">
        <v>2050</v>
      </c>
      <c r="G199" s="429" t="s">
        <v>6473</v>
      </c>
      <c r="H199" s="385">
        <v>31491</v>
      </c>
      <c r="I199" s="154">
        <v>43012</v>
      </c>
      <c r="J199" s="430" t="s">
        <v>6293</v>
      </c>
      <c r="K199" s="411" t="s">
        <v>6307</v>
      </c>
      <c r="L199" s="411" t="s">
        <v>6335</v>
      </c>
      <c r="M199" s="1">
        <v>192</v>
      </c>
      <c r="N199" s="431">
        <f t="shared" si="24"/>
        <v>5</v>
      </c>
      <c r="O199" s="432">
        <v>20</v>
      </c>
      <c r="P199" s="432">
        <v>0</v>
      </c>
      <c r="Q199" s="432">
        <v>0</v>
      </c>
      <c r="R199" s="1">
        <v>7</v>
      </c>
      <c r="S199" s="1">
        <v>10</v>
      </c>
      <c r="T199" s="300">
        <f t="shared" si="25"/>
        <v>234</v>
      </c>
      <c r="U199" s="3"/>
      <c r="V199" s="3"/>
      <c r="W199" s="3"/>
      <c r="X199" s="3"/>
      <c r="Y199" s="3"/>
      <c r="Z199" s="20">
        <f t="shared" ref="Z199:Z259" si="31">M199+2</f>
        <v>194</v>
      </c>
      <c r="AA199" s="20">
        <f t="shared" si="30"/>
        <v>5</v>
      </c>
      <c r="AB199" s="20">
        <f t="shared" si="30"/>
        <v>20</v>
      </c>
      <c r="AC199" s="20">
        <f t="shared" si="30"/>
        <v>0</v>
      </c>
      <c r="AD199" s="20">
        <f t="shared" si="29"/>
        <v>0</v>
      </c>
      <c r="AE199" s="20">
        <f t="shared" si="29"/>
        <v>7</v>
      </c>
      <c r="AF199" s="20">
        <f t="shared" si="29"/>
        <v>10</v>
      </c>
      <c r="AG199" s="300">
        <f t="shared" ref="AG199:AG259" si="32">SUM(Z199:AF199)</f>
        <v>236</v>
      </c>
      <c r="AH199" s="42">
        <f t="shared" si="28"/>
        <v>2</v>
      </c>
      <c r="AI199" s="42">
        <f t="shared" si="28"/>
        <v>0</v>
      </c>
      <c r="AJ199" s="42">
        <f t="shared" si="28"/>
        <v>0</v>
      </c>
      <c r="AK199" s="42">
        <f t="shared" si="28"/>
        <v>0</v>
      </c>
      <c r="AL199" s="42">
        <f t="shared" si="28"/>
        <v>0</v>
      </c>
      <c r="AM199" s="42">
        <f t="shared" si="27"/>
        <v>0</v>
      </c>
      <c r="AN199" s="42">
        <f t="shared" si="27"/>
        <v>0</v>
      </c>
      <c r="AO199" s="42">
        <f t="shared" si="27"/>
        <v>2</v>
      </c>
    </row>
    <row r="200" spans="1:41" ht="15.75">
      <c r="A200" s="16">
        <f t="shared" si="26"/>
        <v>197</v>
      </c>
      <c r="B200" s="8">
        <v>2325</v>
      </c>
      <c r="C200" s="62" t="s">
        <v>173</v>
      </c>
      <c r="D200" s="63" t="s">
        <v>2060</v>
      </c>
      <c r="E200" s="13" t="s">
        <v>28</v>
      </c>
      <c r="F200" s="14" t="s">
        <v>29</v>
      </c>
      <c r="G200" s="429" t="s">
        <v>6475</v>
      </c>
      <c r="H200" s="385">
        <v>33004</v>
      </c>
      <c r="I200" s="154">
        <v>43050</v>
      </c>
      <c r="J200" s="430" t="s">
        <v>6293</v>
      </c>
      <c r="K200" s="411" t="s">
        <v>45</v>
      </c>
      <c r="L200" s="411" t="s">
        <v>6344</v>
      </c>
      <c r="M200" s="1">
        <v>192</v>
      </c>
      <c r="N200" s="431">
        <f t="shared" ref="N200:N260" si="33">ROUNDDOWN(INT($N$1-I200-16)/365,0)+1</f>
        <v>5</v>
      </c>
      <c r="O200" s="432">
        <v>20</v>
      </c>
      <c r="P200" s="432">
        <v>23</v>
      </c>
      <c r="Q200" s="432">
        <v>0</v>
      </c>
      <c r="R200" s="1">
        <v>7</v>
      </c>
      <c r="S200" s="1">
        <v>10</v>
      </c>
      <c r="T200" s="300">
        <f t="shared" ref="T200:T260" si="34">SUM(M200:S200)</f>
        <v>257</v>
      </c>
      <c r="U200" s="3"/>
      <c r="V200" s="3"/>
      <c r="W200" s="3"/>
      <c r="X200" s="3"/>
      <c r="Y200" s="3"/>
      <c r="Z200" s="20">
        <f t="shared" si="31"/>
        <v>194</v>
      </c>
      <c r="AA200" s="20">
        <f t="shared" si="30"/>
        <v>5</v>
      </c>
      <c r="AB200" s="20">
        <f t="shared" si="30"/>
        <v>20</v>
      </c>
      <c r="AC200" s="20">
        <f t="shared" si="30"/>
        <v>23</v>
      </c>
      <c r="AD200" s="20">
        <f t="shared" si="29"/>
        <v>0</v>
      </c>
      <c r="AE200" s="20">
        <f t="shared" si="29"/>
        <v>7</v>
      </c>
      <c r="AF200" s="20">
        <f t="shared" si="29"/>
        <v>10</v>
      </c>
      <c r="AG200" s="300">
        <f t="shared" si="32"/>
        <v>259</v>
      </c>
      <c r="AH200" s="42">
        <f t="shared" si="28"/>
        <v>2</v>
      </c>
      <c r="AI200" s="42">
        <f t="shared" si="28"/>
        <v>0</v>
      </c>
      <c r="AJ200" s="42">
        <f t="shared" si="28"/>
        <v>0</v>
      </c>
      <c r="AK200" s="42">
        <f t="shared" si="28"/>
        <v>0</v>
      </c>
      <c r="AL200" s="42">
        <f t="shared" si="28"/>
        <v>0</v>
      </c>
      <c r="AM200" s="42">
        <f t="shared" si="27"/>
        <v>0</v>
      </c>
      <c r="AN200" s="42">
        <f t="shared" si="27"/>
        <v>0</v>
      </c>
      <c r="AO200" s="42">
        <f t="shared" si="27"/>
        <v>2</v>
      </c>
    </row>
    <row r="201" spans="1:41" ht="15.75">
      <c r="A201" s="16">
        <f t="shared" ref="A201:A264" si="35">1+A200</f>
        <v>198</v>
      </c>
      <c r="B201" s="8">
        <v>2403</v>
      </c>
      <c r="C201" s="62" t="s">
        <v>568</v>
      </c>
      <c r="D201" s="63" t="s">
        <v>2076</v>
      </c>
      <c r="E201" s="13" t="s">
        <v>537</v>
      </c>
      <c r="F201" s="14" t="s">
        <v>2077</v>
      </c>
      <c r="G201" s="429" t="s">
        <v>6473</v>
      </c>
      <c r="H201" s="385">
        <v>35098</v>
      </c>
      <c r="I201" s="154">
        <v>43166</v>
      </c>
      <c r="J201" s="430" t="s">
        <v>6293</v>
      </c>
      <c r="K201" s="411" t="s">
        <v>6298</v>
      </c>
      <c r="L201" s="411" t="s">
        <v>6099</v>
      </c>
      <c r="M201" s="1">
        <v>192</v>
      </c>
      <c r="N201" s="431">
        <f t="shared" si="33"/>
        <v>4</v>
      </c>
      <c r="O201" s="432">
        <v>20</v>
      </c>
      <c r="P201" s="432">
        <v>10</v>
      </c>
      <c r="Q201" s="432">
        <v>0</v>
      </c>
      <c r="R201" s="1">
        <v>7</v>
      </c>
      <c r="S201" s="1">
        <v>10</v>
      </c>
      <c r="T201" s="300">
        <f t="shared" si="34"/>
        <v>243</v>
      </c>
      <c r="U201" s="3"/>
      <c r="V201" s="3"/>
      <c r="W201" s="3"/>
      <c r="X201" s="3"/>
      <c r="Y201" s="3"/>
      <c r="Z201" s="20">
        <f t="shared" si="31"/>
        <v>194</v>
      </c>
      <c r="AA201" s="20">
        <f t="shared" si="30"/>
        <v>4</v>
      </c>
      <c r="AB201" s="20">
        <f t="shared" si="30"/>
        <v>20</v>
      </c>
      <c r="AC201" s="20">
        <f t="shared" si="30"/>
        <v>10</v>
      </c>
      <c r="AD201" s="20">
        <f t="shared" si="29"/>
        <v>0</v>
      </c>
      <c r="AE201" s="20">
        <f t="shared" si="29"/>
        <v>7</v>
      </c>
      <c r="AF201" s="20">
        <f t="shared" si="29"/>
        <v>10</v>
      </c>
      <c r="AG201" s="300">
        <f t="shared" si="32"/>
        <v>245</v>
      </c>
      <c r="AH201" s="42">
        <f t="shared" si="28"/>
        <v>2</v>
      </c>
      <c r="AI201" s="42">
        <f t="shared" si="28"/>
        <v>0</v>
      </c>
      <c r="AJ201" s="42">
        <f t="shared" si="28"/>
        <v>0</v>
      </c>
      <c r="AK201" s="42">
        <f t="shared" si="28"/>
        <v>0</v>
      </c>
      <c r="AL201" s="42">
        <f t="shared" si="28"/>
        <v>0</v>
      </c>
      <c r="AM201" s="42">
        <f t="shared" si="27"/>
        <v>0</v>
      </c>
      <c r="AN201" s="42">
        <f t="shared" si="27"/>
        <v>0</v>
      </c>
      <c r="AO201" s="42">
        <f t="shared" si="27"/>
        <v>2</v>
      </c>
    </row>
    <row r="202" spans="1:41" ht="15.75">
      <c r="A202" s="16">
        <f t="shared" si="35"/>
        <v>199</v>
      </c>
      <c r="B202" s="8">
        <v>2426</v>
      </c>
      <c r="C202" s="62" t="s">
        <v>2088</v>
      </c>
      <c r="D202" s="63" t="s">
        <v>2089</v>
      </c>
      <c r="E202" s="13" t="s">
        <v>81</v>
      </c>
      <c r="F202" s="14" t="s">
        <v>82</v>
      </c>
      <c r="G202" s="429" t="s">
        <v>6475</v>
      </c>
      <c r="H202" s="385">
        <v>32516</v>
      </c>
      <c r="I202" s="154">
        <v>43222</v>
      </c>
      <c r="J202" s="430" t="s">
        <v>6293</v>
      </c>
      <c r="K202" s="411" t="s">
        <v>6104</v>
      </c>
      <c r="L202" s="411" t="s">
        <v>6345</v>
      </c>
      <c r="M202" s="1">
        <v>192</v>
      </c>
      <c r="N202" s="431">
        <f t="shared" si="33"/>
        <v>4</v>
      </c>
      <c r="O202" s="432">
        <v>20</v>
      </c>
      <c r="P202" s="432">
        <v>25</v>
      </c>
      <c r="Q202" s="432">
        <v>0</v>
      </c>
      <c r="R202" s="1">
        <v>7</v>
      </c>
      <c r="S202" s="1">
        <v>10</v>
      </c>
      <c r="T202" s="300">
        <f t="shared" si="34"/>
        <v>258</v>
      </c>
      <c r="U202" s="3"/>
      <c r="V202" s="3"/>
      <c r="W202" s="3"/>
      <c r="X202" s="3"/>
      <c r="Y202" s="3"/>
      <c r="Z202" s="20">
        <f t="shared" si="31"/>
        <v>194</v>
      </c>
      <c r="AA202" s="20">
        <f t="shared" si="30"/>
        <v>4</v>
      </c>
      <c r="AB202" s="20">
        <f t="shared" si="30"/>
        <v>20</v>
      </c>
      <c r="AC202" s="20">
        <f t="shared" si="30"/>
        <v>25</v>
      </c>
      <c r="AD202" s="20">
        <f t="shared" si="29"/>
        <v>0</v>
      </c>
      <c r="AE202" s="20">
        <f t="shared" si="29"/>
        <v>7</v>
      </c>
      <c r="AF202" s="20">
        <f t="shared" si="29"/>
        <v>10</v>
      </c>
      <c r="AG202" s="300">
        <f t="shared" si="32"/>
        <v>260</v>
      </c>
      <c r="AH202" s="42">
        <f t="shared" si="28"/>
        <v>2</v>
      </c>
      <c r="AI202" s="42">
        <f t="shared" si="28"/>
        <v>0</v>
      </c>
      <c r="AJ202" s="42">
        <f t="shared" si="28"/>
        <v>0</v>
      </c>
      <c r="AK202" s="42">
        <f t="shared" si="28"/>
        <v>0</v>
      </c>
      <c r="AL202" s="42">
        <f t="shared" si="28"/>
        <v>0</v>
      </c>
      <c r="AM202" s="42">
        <f t="shared" si="27"/>
        <v>0</v>
      </c>
      <c r="AN202" s="42">
        <f t="shared" si="27"/>
        <v>0</v>
      </c>
      <c r="AO202" s="42">
        <f t="shared" si="27"/>
        <v>2</v>
      </c>
    </row>
    <row r="203" spans="1:41" ht="15.75">
      <c r="A203" s="16">
        <f t="shared" si="35"/>
        <v>200</v>
      </c>
      <c r="B203" s="8">
        <v>2432</v>
      </c>
      <c r="C203" s="62" t="s">
        <v>2093</v>
      </c>
      <c r="D203" s="63" t="s">
        <v>2094</v>
      </c>
      <c r="E203" s="13" t="s">
        <v>2095</v>
      </c>
      <c r="F203" s="14" t="s">
        <v>2096</v>
      </c>
      <c r="G203" s="429" t="s">
        <v>6473</v>
      </c>
      <c r="H203" s="385">
        <v>30749</v>
      </c>
      <c r="I203" s="154">
        <v>43245</v>
      </c>
      <c r="J203" s="430" t="s">
        <v>6293</v>
      </c>
      <c r="K203" s="411" t="s">
        <v>6309</v>
      </c>
      <c r="L203" s="411" t="s">
        <v>6339</v>
      </c>
      <c r="M203" s="1">
        <v>192</v>
      </c>
      <c r="N203" s="431">
        <f t="shared" si="33"/>
        <v>4</v>
      </c>
      <c r="O203" s="432">
        <v>20</v>
      </c>
      <c r="P203" s="432">
        <v>0</v>
      </c>
      <c r="Q203" s="432">
        <v>0</v>
      </c>
      <c r="R203" s="1">
        <v>7</v>
      </c>
      <c r="S203" s="1">
        <v>10</v>
      </c>
      <c r="T203" s="300">
        <f t="shared" si="34"/>
        <v>233</v>
      </c>
      <c r="U203" s="3"/>
      <c r="V203" s="3"/>
      <c r="W203" s="3"/>
      <c r="X203" s="3"/>
      <c r="Y203" s="3"/>
      <c r="Z203" s="20">
        <f t="shared" si="31"/>
        <v>194</v>
      </c>
      <c r="AA203" s="20">
        <f t="shared" si="30"/>
        <v>4</v>
      </c>
      <c r="AB203" s="20">
        <f t="shared" si="30"/>
        <v>20</v>
      </c>
      <c r="AC203" s="20">
        <f t="shared" si="30"/>
        <v>0</v>
      </c>
      <c r="AD203" s="20">
        <f t="shared" si="29"/>
        <v>0</v>
      </c>
      <c r="AE203" s="20">
        <f t="shared" si="29"/>
        <v>7</v>
      </c>
      <c r="AF203" s="20">
        <f t="shared" si="29"/>
        <v>10</v>
      </c>
      <c r="AG203" s="300">
        <f t="shared" si="32"/>
        <v>235</v>
      </c>
      <c r="AH203" s="42">
        <f t="shared" ref="AH203:AO235" si="36">Z203-M203</f>
        <v>2</v>
      </c>
      <c r="AI203" s="42">
        <f t="shared" si="36"/>
        <v>0</v>
      </c>
      <c r="AJ203" s="42">
        <f t="shared" si="36"/>
        <v>0</v>
      </c>
      <c r="AK203" s="42">
        <f t="shared" si="36"/>
        <v>0</v>
      </c>
      <c r="AL203" s="42">
        <f t="shared" si="36"/>
        <v>0</v>
      </c>
      <c r="AM203" s="42">
        <f t="shared" si="27"/>
        <v>0</v>
      </c>
      <c r="AN203" s="42">
        <f t="shared" si="27"/>
        <v>0</v>
      </c>
      <c r="AO203" s="42">
        <f t="shared" si="27"/>
        <v>2</v>
      </c>
    </row>
    <row r="204" spans="1:41" ht="15.75">
      <c r="A204" s="16">
        <f t="shared" si="35"/>
        <v>201</v>
      </c>
      <c r="B204" s="8">
        <v>2435</v>
      </c>
      <c r="C204" s="62" t="s">
        <v>1791</v>
      </c>
      <c r="D204" s="63" t="s">
        <v>1636</v>
      </c>
      <c r="E204" s="13" t="s">
        <v>2108</v>
      </c>
      <c r="F204" s="14" t="s">
        <v>2109</v>
      </c>
      <c r="G204" s="429" t="s">
        <v>6473</v>
      </c>
      <c r="H204" s="385">
        <v>32785</v>
      </c>
      <c r="I204" s="154">
        <v>43263</v>
      </c>
      <c r="J204" s="430" t="s">
        <v>6293</v>
      </c>
      <c r="K204" s="411" t="s">
        <v>6302</v>
      </c>
      <c r="L204" s="411" t="s">
        <v>6335</v>
      </c>
      <c r="M204" s="1">
        <v>192</v>
      </c>
      <c r="N204" s="431">
        <f t="shared" si="33"/>
        <v>4</v>
      </c>
      <c r="O204" s="432">
        <v>20</v>
      </c>
      <c r="P204" s="432">
        <v>0</v>
      </c>
      <c r="Q204" s="432">
        <v>0</v>
      </c>
      <c r="R204" s="1">
        <v>7</v>
      </c>
      <c r="S204" s="1">
        <v>10</v>
      </c>
      <c r="T204" s="300">
        <f t="shared" si="34"/>
        <v>233</v>
      </c>
      <c r="U204" s="3"/>
      <c r="V204" s="3"/>
      <c r="W204" s="3"/>
      <c r="X204" s="3"/>
      <c r="Y204" s="3"/>
      <c r="Z204" s="20">
        <f t="shared" si="31"/>
        <v>194</v>
      </c>
      <c r="AA204" s="20">
        <f t="shared" si="30"/>
        <v>4</v>
      </c>
      <c r="AB204" s="20">
        <f t="shared" si="30"/>
        <v>20</v>
      </c>
      <c r="AC204" s="20">
        <f t="shared" si="30"/>
        <v>0</v>
      </c>
      <c r="AD204" s="20">
        <f t="shared" si="29"/>
        <v>0</v>
      </c>
      <c r="AE204" s="20">
        <f t="shared" si="29"/>
        <v>7</v>
      </c>
      <c r="AF204" s="20">
        <f t="shared" si="29"/>
        <v>10</v>
      </c>
      <c r="AG204" s="300">
        <f t="shared" si="32"/>
        <v>235</v>
      </c>
      <c r="AH204" s="42">
        <f t="shared" si="36"/>
        <v>2</v>
      </c>
      <c r="AI204" s="42">
        <f t="shared" si="36"/>
        <v>0</v>
      </c>
      <c r="AJ204" s="42">
        <f t="shared" si="36"/>
        <v>0</v>
      </c>
      <c r="AK204" s="42">
        <f t="shared" si="36"/>
        <v>0</v>
      </c>
      <c r="AL204" s="42">
        <f t="shared" si="36"/>
        <v>0</v>
      </c>
      <c r="AM204" s="42">
        <f t="shared" si="27"/>
        <v>0</v>
      </c>
      <c r="AN204" s="42">
        <f t="shared" si="27"/>
        <v>0</v>
      </c>
      <c r="AO204" s="42">
        <f t="shared" si="27"/>
        <v>2</v>
      </c>
    </row>
    <row r="205" spans="1:41" ht="15.75">
      <c r="A205" s="16">
        <f t="shared" si="35"/>
        <v>202</v>
      </c>
      <c r="B205" s="8">
        <v>2444</v>
      </c>
      <c r="C205" s="62" t="s">
        <v>2112</v>
      </c>
      <c r="D205" s="63" t="s">
        <v>2113</v>
      </c>
      <c r="E205" s="13" t="s">
        <v>30</v>
      </c>
      <c r="F205" s="14" t="s">
        <v>31</v>
      </c>
      <c r="G205" s="429" t="s">
        <v>6473</v>
      </c>
      <c r="H205" s="385">
        <v>26613</v>
      </c>
      <c r="I205" s="154">
        <v>43273</v>
      </c>
      <c r="J205" s="430" t="s">
        <v>6293</v>
      </c>
      <c r="K205" s="411" t="s">
        <v>45</v>
      </c>
      <c r="L205" s="411" t="s">
        <v>6344</v>
      </c>
      <c r="M205" s="1">
        <v>192</v>
      </c>
      <c r="N205" s="431">
        <f t="shared" si="33"/>
        <v>4</v>
      </c>
      <c r="O205" s="432">
        <v>20</v>
      </c>
      <c r="P205" s="432">
        <v>0</v>
      </c>
      <c r="Q205" s="432">
        <v>0</v>
      </c>
      <c r="R205" s="1">
        <v>7</v>
      </c>
      <c r="S205" s="1">
        <v>10</v>
      </c>
      <c r="T205" s="300">
        <f t="shared" si="34"/>
        <v>233</v>
      </c>
      <c r="U205" s="3"/>
      <c r="V205" s="3"/>
      <c r="W205" s="3"/>
      <c r="X205" s="3"/>
      <c r="Y205" s="3"/>
      <c r="Z205" s="20">
        <f t="shared" si="31"/>
        <v>194</v>
      </c>
      <c r="AA205" s="20">
        <f t="shared" si="30"/>
        <v>4</v>
      </c>
      <c r="AB205" s="20">
        <f t="shared" si="30"/>
        <v>20</v>
      </c>
      <c r="AC205" s="20">
        <f t="shared" si="30"/>
        <v>0</v>
      </c>
      <c r="AD205" s="20">
        <f t="shared" si="29"/>
        <v>0</v>
      </c>
      <c r="AE205" s="20">
        <f t="shared" si="29"/>
        <v>7</v>
      </c>
      <c r="AF205" s="20">
        <f t="shared" si="29"/>
        <v>10</v>
      </c>
      <c r="AG205" s="300">
        <f t="shared" si="32"/>
        <v>235</v>
      </c>
      <c r="AH205" s="42">
        <f t="shared" si="36"/>
        <v>2</v>
      </c>
      <c r="AI205" s="42">
        <f t="shared" si="36"/>
        <v>0</v>
      </c>
      <c r="AJ205" s="42">
        <f t="shared" si="36"/>
        <v>0</v>
      </c>
      <c r="AK205" s="42">
        <f t="shared" si="36"/>
        <v>0</v>
      </c>
      <c r="AL205" s="42">
        <f t="shared" si="36"/>
        <v>0</v>
      </c>
      <c r="AM205" s="42">
        <f t="shared" si="27"/>
        <v>0</v>
      </c>
      <c r="AN205" s="42">
        <f t="shared" si="27"/>
        <v>0</v>
      </c>
      <c r="AO205" s="42">
        <f t="shared" si="27"/>
        <v>2</v>
      </c>
    </row>
    <row r="206" spans="1:41" ht="15.75">
      <c r="A206" s="16">
        <f t="shared" si="35"/>
        <v>203</v>
      </c>
      <c r="B206" s="8">
        <v>2469</v>
      </c>
      <c r="C206" s="62" t="s">
        <v>2125</v>
      </c>
      <c r="D206" s="63" t="s">
        <v>408</v>
      </c>
      <c r="E206" s="13" t="s">
        <v>2126</v>
      </c>
      <c r="F206" s="14" t="s">
        <v>2127</v>
      </c>
      <c r="G206" s="429" t="s">
        <v>6473</v>
      </c>
      <c r="H206" s="385">
        <v>30170</v>
      </c>
      <c r="I206" s="154">
        <v>43287</v>
      </c>
      <c r="J206" s="430" t="s">
        <v>6293</v>
      </c>
      <c r="K206" s="411" t="s">
        <v>6298</v>
      </c>
      <c r="L206" s="411" t="s">
        <v>6335</v>
      </c>
      <c r="M206" s="1">
        <v>192</v>
      </c>
      <c r="N206" s="431">
        <f t="shared" si="33"/>
        <v>4</v>
      </c>
      <c r="O206" s="432">
        <v>20</v>
      </c>
      <c r="P206" s="432">
        <v>0</v>
      </c>
      <c r="Q206" s="432">
        <v>0</v>
      </c>
      <c r="R206" s="1">
        <v>7</v>
      </c>
      <c r="S206" s="1">
        <v>10</v>
      </c>
      <c r="T206" s="300">
        <f t="shared" si="34"/>
        <v>233</v>
      </c>
      <c r="U206" s="3"/>
      <c r="V206" s="3"/>
      <c r="W206" s="3"/>
      <c r="X206" s="3"/>
      <c r="Y206" s="3"/>
      <c r="Z206" s="20">
        <f t="shared" si="31"/>
        <v>194</v>
      </c>
      <c r="AA206" s="20">
        <f t="shared" si="30"/>
        <v>4</v>
      </c>
      <c r="AB206" s="20">
        <f t="shared" si="30"/>
        <v>20</v>
      </c>
      <c r="AC206" s="20">
        <f t="shared" si="30"/>
        <v>0</v>
      </c>
      <c r="AD206" s="20">
        <f t="shared" si="29"/>
        <v>0</v>
      </c>
      <c r="AE206" s="20">
        <f t="shared" si="29"/>
        <v>7</v>
      </c>
      <c r="AF206" s="20">
        <f t="shared" si="29"/>
        <v>10</v>
      </c>
      <c r="AG206" s="300">
        <f t="shared" si="32"/>
        <v>235</v>
      </c>
      <c r="AH206" s="42">
        <f t="shared" si="36"/>
        <v>2</v>
      </c>
      <c r="AI206" s="42">
        <f t="shared" si="36"/>
        <v>0</v>
      </c>
      <c r="AJ206" s="42">
        <f t="shared" si="36"/>
        <v>0</v>
      </c>
      <c r="AK206" s="42">
        <f t="shared" si="36"/>
        <v>0</v>
      </c>
      <c r="AL206" s="42">
        <f t="shared" si="36"/>
        <v>0</v>
      </c>
      <c r="AM206" s="42">
        <f t="shared" si="27"/>
        <v>0</v>
      </c>
      <c r="AN206" s="42">
        <f t="shared" si="27"/>
        <v>0</v>
      </c>
      <c r="AO206" s="42">
        <f t="shared" si="27"/>
        <v>2</v>
      </c>
    </row>
    <row r="207" spans="1:41" ht="15.75">
      <c r="A207" s="16">
        <f t="shared" si="35"/>
        <v>204</v>
      </c>
      <c r="B207" s="8">
        <v>2478</v>
      </c>
      <c r="C207" s="62" t="s">
        <v>1758</v>
      </c>
      <c r="D207" s="63" t="s">
        <v>1293</v>
      </c>
      <c r="E207" s="13" t="s">
        <v>2131</v>
      </c>
      <c r="F207" s="14" t="s">
        <v>2132</v>
      </c>
      <c r="G207" s="429" t="s">
        <v>6473</v>
      </c>
      <c r="H207" s="385">
        <v>29373</v>
      </c>
      <c r="I207" s="154">
        <v>43299</v>
      </c>
      <c r="J207" s="430" t="s">
        <v>6293</v>
      </c>
      <c r="K207" s="411" t="s">
        <v>6302</v>
      </c>
      <c r="L207" s="411" t="s">
        <v>6335</v>
      </c>
      <c r="M207" s="1">
        <v>192</v>
      </c>
      <c r="N207" s="431">
        <f t="shared" si="33"/>
        <v>4</v>
      </c>
      <c r="O207" s="432">
        <v>20</v>
      </c>
      <c r="P207" s="432">
        <v>0</v>
      </c>
      <c r="Q207" s="432">
        <v>0</v>
      </c>
      <c r="R207" s="1">
        <v>7</v>
      </c>
      <c r="S207" s="1">
        <v>10</v>
      </c>
      <c r="T207" s="300">
        <f t="shared" si="34"/>
        <v>233</v>
      </c>
      <c r="U207" s="3"/>
      <c r="V207" s="3"/>
      <c r="W207" s="3"/>
      <c r="X207" s="3"/>
      <c r="Y207" s="3"/>
      <c r="Z207" s="20">
        <f t="shared" si="31"/>
        <v>194</v>
      </c>
      <c r="AA207" s="20">
        <f t="shared" si="30"/>
        <v>4</v>
      </c>
      <c r="AB207" s="20">
        <f t="shared" si="30"/>
        <v>20</v>
      </c>
      <c r="AC207" s="20">
        <f t="shared" si="30"/>
        <v>0</v>
      </c>
      <c r="AD207" s="20">
        <f t="shared" si="29"/>
        <v>0</v>
      </c>
      <c r="AE207" s="20">
        <f t="shared" si="29"/>
        <v>7</v>
      </c>
      <c r="AF207" s="20">
        <f t="shared" si="29"/>
        <v>10</v>
      </c>
      <c r="AG207" s="300">
        <f t="shared" si="32"/>
        <v>235</v>
      </c>
      <c r="AH207" s="42">
        <f t="shared" si="36"/>
        <v>2</v>
      </c>
      <c r="AI207" s="42">
        <f t="shared" si="36"/>
        <v>0</v>
      </c>
      <c r="AJ207" s="42">
        <f t="shared" si="36"/>
        <v>0</v>
      </c>
      <c r="AK207" s="42">
        <f t="shared" si="36"/>
        <v>0</v>
      </c>
      <c r="AL207" s="42">
        <f t="shared" si="36"/>
        <v>0</v>
      </c>
      <c r="AM207" s="42">
        <f t="shared" si="36"/>
        <v>0</v>
      </c>
      <c r="AN207" s="42">
        <f t="shared" si="36"/>
        <v>0</v>
      </c>
      <c r="AO207" s="42">
        <f t="shared" si="36"/>
        <v>2</v>
      </c>
    </row>
    <row r="208" spans="1:41" ht="15.75">
      <c r="A208" s="16">
        <f t="shared" si="35"/>
        <v>205</v>
      </c>
      <c r="B208" s="8">
        <v>2480</v>
      </c>
      <c r="C208" s="62" t="s">
        <v>2136</v>
      </c>
      <c r="D208" s="63" t="s">
        <v>2137</v>
      </c>
      <c r="E208" s="13" t="s">
        <v>2138</v>
      </c>
      <c r="F208" s="14" t="s">
        <v>2139</v>
      </c>
      <c r="G208" s="429" t="s">
        <v>6473</v>
      </c>
      <c r="H208" s="385">
        <v>35888</v>
      </c>
      <c r="I208" s="154">
        <v>43299</v>
      </c>
      <c r="J208" s="430" t="s">
        <v>6293</v>
      </c>
      <c r="K208" s="411" t="s">
        <v>6125</v>
      </c>
      <c r="L208" s="411" t="s">
        <v>6339</v>
      </c>
      <c r="M208" s="1">
        <v>192</v>
      </c>
      <c r="N208" s="431">
        <f t="shared" si="33"/>
        <v>4</v>
      </c>
      <c r="O208" s="432">
        <v>20</v>
      </c>
      <c r="P208" s="432">
        <v>0</v>
      </c>
      <c r="Q208" s="432">
        <v>0</v>
      </c>
      <c r="R208" s="1">
        <v>7</v>
      </c>
      <c r="S208" s="1">
        <v>10</v>
      </c>
      <c r="T208" s="300">
        <f t="shared" si="34"/>
        <v>233</v>
      </c>
      <c r="U208" s="3"/>
      <c r="V208" s="3"/>
      <c r="W208" s="3"/>
      <c r="X208" s="3"/>
      <c r="Y208" s="3"/>
      <c r="Z208" s="20">
        <f t="shared" si="31"/>
        <v>194</v>
      </c>
      <c r="AA208" s="20">
        <f t="shared" si="30"/>
        <v>4</v>
      </c>
      <c r="AB208" s="20">
        <f t="shared" si="30"/>
        <v>20</v>
      </c>
      <c r="AC208" s="20">
        <f t="shared" si="30"/>
        <v>0</v>
      </c>
      <c r="AD208" s="20">
        <f t="shared" si="29"/>
        <v>0</v>
      </c>
      <c r="AE208" s="20">
        <f t="shared" si="29"/>
        <v>7</v>
      </c>
      <c r="AF208" s="20">
        <f t="shared" si="29"/>
        <v>10</v>
      </c>
      <c r="AG208" s="300">
        <f t="shared" si="32"/>
        <v>235</v>
      </c>
      <c r="AH208" s="42">
        <f t="shared" si="36"/>
        <v>2</v>
      </c>
      <c r="AI208" s="42">
        <f t="shared" si="36"/>
        <v>0</v>
      </c>
      <c r="AJ208" s="42">
        <f t="shared" si="36"/>
        <v>0</v>
      </c>
      <c r="AK208" s="42">
        <f t="shared" si="36"/>
        <v>0</v>
      </c>
      <c r="AL208" s="42">
        <f t="shared" si="36"/>
        <v>0</v>
      </c>
      <c r="AM208" s="42">
        <f t="shared" si="36"/>
        <v>0</v>
      </c>
      <c r="AN208" s="42">
        <f t="shared" si="36"/>
        <v>0</v>
      </c>
      <c r="AO208" s="42">
        <f t="shared" si="36"/>
        <v>2</v>
      </c>
    </row>
    <row r="209" spans="1:41" ht="15.75">
      <c r="A209" s="16">
        <f t="shared" si="35"/>
        <v>206</v>
      </c>
      <c r="B209" s="8">
        <v>2481</v>
      </c>
      <c r="C209" s="62" t="s">
        <v>415</v>
      </c>
      <c r="D209" s="63" t="s">
        <v>408</v>
      </c>
      <c r="E209" s="13" t="s">
        <v>417</v>
      </c>
      <c r="F209" s="14" t="s">
        <v>2127</v>
      </c>
      <c r="G209" s="429" t="s">
        <v>6473</v>
      </c>
      <c r="H209" s="385">
        <v>32154</v>
      </c>
      <c r="I209" s="154">
        <v>43314</v>
      </c>
      <c r="J209" s="430" t="s">
        <v>6293</v>
      </c>
      <c r="K209" s="411" t="s">
        <v>6302</v>
      </c>
      <c r="L209" s="411" t="s">
        <v>6335</v>
      </c>
      <c r="M209" s="1">
        <v>192</v>
      </c>
      <c r="N209" s="431">
        <f t="shared" si="33"/>
        <v>4</v>
      </c>
      <c r="O209" s="432">
        <v>20</v>
      </c>
      <c r="P209" s="432">
        <v>0</v>
      </c>
      <c r="Q209" s="432">
        <v>0</v>
      </c>
      <c r="R209" s="1">
        <v>7</v>
      </c>
      <c r="S209" s="1">
        <v>10</v>
      </c>
      <c r="T209" s="300">
        <f t="shared" si="34"/>
        <v>233</v>
      </c>
      <c r="U209" s="3"/>
      <c r="V209" s="3"/>
      <c r="W209" s="3"/>
      <c r="X209" s="3"/>
      <c r="Y209" s="3"/>
      <c r="Z209" s="20">
        <f t="shared" si="31"/>
        <v>194</v>
      </c>
      <c r="AA209" s="20">
        <f t="shared" si="30"/>
        <v>4</v>
      </c>
      <c r="AB209" s="20">
        <f t="shared" si="30"/>
        <v>20</v>
      </c>
      <c r="AC209" s="20">
        <f t="shared" si="30"/>
        <v>0</v>
      </c>
      <c r="AD209" s="20">
        <f t="shared" si="29"/>
        <v>0</v>
      </c>
      <c r="AE209" s="20">
        <f t="shared" si="29"/>
        <v>7</v>
      </c>
      <c r="AF209" s="20">
        <f t="shared" si="29"/>
        <v>10</v>
      </c>
      <c r="AG209" s="300">
        <f t="shared" si="32"/>
        <v>235</v>
      </c>
      <c r="AH209" s="42">
        <f t="shared" si="36"/>
        <v>2</v>
      </c>
      <c r="AI209" s="42">
        <f t="shared" si="36"/>
        <v>0</v>
      </c>
      <c r="AJ209" s="42">
        <f t="shared" si="36"/>
        <v>0</v>
      </c>
      <c r="AK209" s="42">
        <f t="shared" si="36"/>
        <v>0</v>
      </c>
      <c r="AL209" s="42">
        <f t="shared" si="36"/>
        <v>0</v>
      </c>
      <c r="AM209" s="42">
        <f t="shared" si="36"/>
        <v>0</v>
      </c>
      <c r="AN209" s="42">
        <f t="shared" si="36"/>
        <v>0</v>
      </c>
      <c r="AO209" s="42">
        <f t="shared" si="36"/>
        <v>2</v>
      </c>
    </row>
    <row r="210" spans="1:41" ht="15.75">
      <c r="A210" s="16">
        <f t="shared" si="35"/>
        <v>207</v>
      </c>
      <c r="B210" s="8">
        <v>2524</v>
      </c>
      <c r="C210" s="62" t="s">
        <v>1471</v>
      </c>
      <c r="D210" s="63" t="s">
        <v>317</v>
      </c>
      <c r="E210" s="13" t="s">
        <v>2177</v>
      </c>
      <c r="F210" s="14" t="s">
        <v>319</v>
      </c>
      <c r="G210" s="429" t="s">
        <v>6473</v>
      </c>
      <c r="H210" s="385">
        <v>29803</v>
      </c>
      <c r="I210" s="154">
        <v>43348</v>
      </c>
      <c r="J210" s="430" t="s">
        <v>6293</v>
      </c>
      <c r="K210" s="411" t="s">
        <v>6305</v>
      </c>
      <c r="L210" s="411" t="s">
        <v>6335</v>
      </c>
      <c r="M210" s="1">
        <v>192</v>
      </c>
      <c r="N210" s="431">
        <f t="shared" si="33"/>
        <v>4</v>
      </c>
      <c r="O210" s="432">
        <v>0</v>
      </c>
      <c r="P210" s="432">
        <v>0</v>
      </c>
      <c r="Q210" s="432">
        <v>0</v>
      </c>
      <c r="R210" s="1">
        <v>7</v>
      </c>
      <c r="S210" s="1">
        <v>10</v>
      </c>
      <c r="T210" s="300">
        <f t="shared" si="34"/>
        <v>213</v>
      </c>
      <c r="U210" s="3"/>
      <c r="V210" s="3"/>
      <c r="W210" s="3"/>
      <c r="X210" s="3"/>
      <c r="Y210" s="3"/>
      <c r="Z210" s="20">
        <f t="shared" si="31"/>
        <v>194</v>
      </c>
      <c r="AA210" s="20">
        <f t="shared" si="30"/>
        <v>4</v>
      </c>
      <c r="AB210" s="20">
        <f t="shared" si="30"/>
        <v>0</v>
      </c>
      <c r="AC210" s="20">
        <f t="shared" si="30"/>
        <v>0</v>
      </c>
      <c r="AD210" s="20">
        <f t="shared" si="29"/>
        <v>0</v>
      </c>
      <c r="AE210" s="20">
        <f t="shared" si="29"/>
        <v>7</v>
      </c>
      <c r="AF210" s="20">
        <f t="shared" si="29"/>
        <v>10</v>
      </c>
      <c r="AG210" s="300">
        <f t="shared" si="32"/>
        <v>215</v>
      </c>
      <c r="AH210" s="42">
        <f t="shared" si="36"/>
        <v>2</v>
      </c>
      <c r="AI210" s="42">
        <f t="shared" si="36"/>
        <v>0</v>
      </c>
      <c r="AJ210" s="42">
        <f t="shared" si="36"/>
        <v>0</v>
      </c>
      <c r="AK210" s="42">
        <f t="shared" si="36"/>
        <v>0</v>
      </c>
      <c r="AL210" s="42">
        <f t="shared" si="36"/>
        <v>0</v>
      </c>
      <c r="AM210" s="42">
        <f t="shared" si="36"/>
        <v>0</v>
      </c>
      <c r="AN210" s="42">
        <f t="shared" si="36"/>
        <v>0</v>
      </c>
      <c r="AO210" s="42">
        <f t="shared" si="36"/>
        <v>2</v>
      </c>
    </row>
    <row r="211" spans="1:41" ht="15.75">
      <c r="A211" s="16">
        <f t="shared" si="35"/>
        <v>208</v>
      </c>
      <c r="B211" s="8">
        <v>2546</v>
      </c>
      <c r="C211" s="62" t="s">
        <v>568</v>
      </c>
      <c r="D211" s="63" t="s">
        <v>2191</v>
      </c>
      <c r="E211" s="13" t="s">
        <v>2192</v>
      </c>
      <c r="F211" s="14" t="s">
        <v>2193</v>
      </c>
      <c r="G211" s="429" t="s">
        <v>6473</v>
      </c>
      <c r="H211" s="385">
        <v>30906</v>
      </c>
      <c r="I211" s="154">
        <v>43407</v>
      </c>
      <c r="J211" s="430" t="s">
        <v>6293</v>
      </c>
      <c r="K211" s="411" t="s">
        <v>6301</v>
      </c>
      <c r="L211" s="411" t="s">
        <v>6335</v>
      </c>
      <c r="M211" s="1">
        <v>192</v>
      </c>
      <c r="N211" s="431">
        <f t="shared" si="33"/>
        <v>4</v>
      </c>
      <c r="O211" s="432">
        <v>0</v>
      </c>
      <c r="P211" s="432">
        <v>0</v>
      </c>
      <c r="Q211" s="432">
        <v>0</v>
      </c>
      <c r="R211" s="1">
        <v>7</v>
      </c>
      <c r="S211" s="1">
        <v>10</v>
      </c>
      <c r="T211" s="300">
        <f t="shared" si="34"/>
        <v>213</v>
      </c>
      <c r="U211" s="3"/>
      <c r="V211" s="3"/>
      <c r="W211" s="3"/>
      <c r="X211" s="3"/>
      <c r="Y211" s="3"/>
      <c r="Z211" s="20">
        <f t="shared" si="31"/>
        <v>194</v>
      </c>
      <c r="AA211" s="20">
        <f t="shared" si="30"/>
        <v>4</v>
      </c>
      <c r="AB211" s="20">
        <f t="shared" si="30"/>
        <v>0</v>
      </c>
      <c r="AC211" s="20">
        <f t="shared" si="30"/>
        <v>0</v>
      </c>
      <c r="AD211" s="20">
        <f t="shared" si="29"/>
        <v>0</v>
      </c>
      <c r="AE211" s="20">
        <f t="shared" si="29"/>
        <v>7</v>
      </c>
      <c r="AF211" s="20">
        <f t="shared" si="29"/>
        <v>10</v>
      </c>
      <c r="AG211" s="300">
        <f t="shared" si="32"/>
        <v>215</v>
      </c>
      <c r="AH211" s="42">
        <f t="shared" si="36"/>
        <v>2</v>
      </c>
      <c r="AI211" s="42">
        <f t="shared" si="36"/>
        <v>0</v>
      </c>
      <c r="AJ211" s="42">
        <f t="shared" si="36"/>
        <v>0</v>
      </c>
      <c r="AK211" s="42">
        <f t="shared" si="36"/>
        <v>0</v>
      </c>
      <c r="AL211" s="42">
        <f t="shared" si="36"/>
        <v>0</v>
      </c>
      <c r="AM211" s="42">
        <f t="shared" si="36"/>
        <v>0</v>
      </c>
      <c r="AN211" s="42">
        <f t="shared" si="36"/>
        <v>0</v>
      </c>
      <c r="AO211" s="42">
        <f t="shared" si="36"/>
        <v>2</v>
      </c>
    </row>
    <row r="212" spans="1:41" ht="15.75">
      <c r="A212" s="16">
        <f t="shared" si="35"/>
        <v>209</v>
      </c>
      <c r="B212" s="8">
        <v>2548</v>
      </c>
      <c r="C212" s="62" t="s">
        <v>711</v>
      </c>
      <c r="D212" s="63" t="s">
        <v>899</v>
      </c>
      <c r="E212" s="13" t="s">
        <v>2121</v>
      </c>
      <c r="F212" s="14" t="s">
        <v>2202</v>
      </c>
      <c r="G212" s="429" t="s">
        <v>6473</v>
      </c>
      <c r="H212" s="385">
        <v>30169</v>
      </c>
      <c r="I212" s="154">
        <v>43407</v>
      </c>
      <c r="J212" s="430" t="s">
        <v>6293</v>
      </c>
      <c r="K212" s="411" t="s">
        <v>6299</v>
      </c>
      <c r="L212" s="411" t="s">
        <v>6335</v>
      </c>
      <c r="M212" s="1">
        <v>192</v>
      </c>
      <c r="N212" s="431">
        <f t="shared" si="33"/>
        <v>4</v>
      </c>
      <c r="O212" s="432">
        <v>0</v>
      </c>
      <c r="P212" s="432">
        <v>0</v>
      </c>
      <c r="Q212" s="432">
        <v>0</v>
      </c>
      <c r="R212" s="1">
        <v>7</v>
      </c>
      <c r="S212" s="1">
        <v>10</v>
      </c>
      <c r="T212" s="300">
        <f t="shared" si="34"/>
        <v>213</v>
      </c>
      <c r="U212" s="3"/>
      <c r="V212" s="3"/>
      <c r="W212" s="3"/>
      <c r="X212" s="3"/>
      <c r="Y212" s="3"/>
      <c r="Z212" s="20">
        <f t="shared" si="31"/>
        <v>194</v>
      </c>
      <c r="AA212" s="20">
        <f t="shared" si="30"/>
        <v>4</v>
      </c>
      <c r="AB212" s="20">
        <f t="shared" si="30"/>
        <v>0</v>
      </c>
      <c r="AC212" s="20">
        <f t="shared" si="30"/>
        <v>0</v>
      </c>
      <c r="AD212" s="20">
        <f t="shared" si="29"/>
        <v>0</v>
      </c>
      <c r="AE212" s="20">
        <f t="shared" si="29"/>
        <v>7</v>
      </c>
      <c r="AF212" s="20">
        <f t="shared" si="29"/>
        <v>10</v>
      </c>
      <c r="AG212" s="300">
        <f t="shared" si="32"/>
        <v>215</v>
      </c>
      <c r="AH212" s="42">
        <f t="shared" si="36"/>
        <v>2</v>
      </c>
      <c r="AI212" s="42">
        <f t="shared" si="36"/>
        <v>0</v>
      </c>
      <c r="AJ212" s="42">
        <f t="shared" si="36"/>
        <v>0</v>
      </c>
      <c r="AK212" s="42">
        <f t="shared" si="36"/>
        <v>0</v>
      </c>
      <c r="AL212" s="42">
        <f t="shared" si="36"/>
        <v>0</v>
      </c>
      <c r="AM212" s="42">
        <f t="shared" si="36"/>
        <v>0</v>
      </c>
      <c r="AN212" s="42">
        <f t="shared" si="36"/>
        <v>0</v>
      </c>
      <c r="AO212" s="42">
        <f t="shared" si="36"/>
        <v>2</v>
      </c>
    </row>
    <row r="213" spans="1:41" ht="15.75">
      <c r="A213" s="16">
        <f t="shared" si="35"/>
        <v>210</v>
      </c>
      <c r="B213" s="8">
        <v>2551</v>
      </c>
      <c r="C213" s="62" t="s">
        <v>2206</v>
      </c>
      <c r="D213" s="63" t="s">
        <v>2207</v>
      </c>
      <c r="E213" s="13" t="s">
        <v>2208</v>
      </c>
      <c r="F213" s="14" t="s">
        <v>2209</v>
      </c>
      <c r="G213" s="429" t="s">
        <v>6473</v>
      </c>
      <c r="H213" s="385">
        <v>36770</v>
      </c>
      <c r="I213" s="154">
        <v>43411</v>
      </c>
      <c r="J213" s="430" t="s">
        <v>6293</v>
      </c>
      <c r="K213" s="411" t="s">
        <v>6295</v>
      </c>
      <c r="L213" s="411" t="s">
        <v>6335</v>
      </c>
      <c r="M213" s="1">
        <v>192</v>
      </c>
      <c r="N213" s="431">
        <f t="shared" si="33"/>
        <v>4</v>
      </c>
      <c r="O213" s="432">
        <v>0</v>
      </c>
      <c r="P213" s="432">
        <v>0</v>
      </c>
      <c r="Q213" s="432">
        <v>0</v>
      </c>
      <c r="R213" s="1">
        <v>7</v>
      </c>
      <c r="S213" s="1">
        <v>10</v>
      </c>
      <c r="T213" s="300">
        <f t="shared" si="34"/>
        <v>213</v>
      </c>
      <c r="U213" s="3"/>
      <c r="V213" s="3"/>
      <c r="W213" s="3"/>
      <c r="X213" s="3"/>
      <c r="Y213" s="3"/>
      <c r="Z213" s="20">
        <f t="shared" si="31"/>
        <v>194</v>
      </c>
      <c r="AA213" s="20">
        <f t="shared" si="30"/>
        <v>4</v>
      </c>
      <c r="AB213" s="20">
        <f t="shared" si="30"/>
        <v>0</v>
      </c>
      <c r="AC213" s="20">
        <f t="shared" si="30"/>
        <v>0</v>
      </c>
      <c r="AD213" s="20">
        <f t="shared" si="29"/>
        <v>0</v>
      </c>
      <c r="AE213" s="20">
        <f t="shared" si="29"/>
        <v>7</v>
      </c>
      <c r="AF213" s="20">
        <f t="shared" si="29"/>
        <v>10</v>
      </c>
      <c r="AG213" s="300">
        <f t="shared" si="32"/>
        <v>215</v>
      </c>
      <c r="AH213" s="42">
        <f t="shared" si="36"/>
        <v>2</v>
      </c>
      <c r="AI213" s="42">
        <f t="shared" si="36"/>
        <v>0</v>
      </c>
      <c r="AJ213" s="42">
        <f t="shared" si="36"/>
        <v>0</v>
      </c>
      <c r="AK213" s="42">
        <f t="shared" si="36"/>
        <v>0</v>
      </c>
      <c r="AL213" s="42">
        <f t="shared" si="36"/>
        <v>0</v>
      </c>
      <c r="AM213" s="42">
        <f t="shared" si="36"/>
        <v>0</v>
      </c>
      <c r="AN213" s="42">
        <f t="shared" si="36"/>
        <v>0</v>
      </c>
      <c r="AO213" s="42">
        <f t="shared" si="36"/>
        <v>2</v>
      </c>
    </row>
    <row r="214" spans="1:41" ht="15.75">
      <c r="A214" s="16">
        <f t="shared" si="35"/>
        <v>211</v>
      </c>
      <c r="B214" s="8">
        <v>2554</v>
      </c>
      <c r="C214" s="62" t="s">
        <v>2212</v>
      </c>
      <c r="D214" s="63" t="s">
        <v>2213</v>
      </c>
      <c r="E214" s="13" t="s">
        <v>2214</v>
      </c>
      <c r="F214" s="14" t="s">
        <v>2215</v>
      </c>
      <c r="G214" s="429" t="s">
        <v>6475</v>
      </c>
      <c r="H214" s="385">
        <v>34011</v>
      </c>
      <c r="I214" s="154">
        <v>43413</v>
      </c>
      <c r="J214" s="430" t="s">
        <v>6293</v>
      </c>
      <c r="K214" s="366" t="s">
        <v>6129</v>
      </c>
      <c r="L214" s="411" t="s">
        <v>6346</v>
      </c>
      <c r="M214" s="1">
        <v>192</v>
      </c>
      <c r="N214" s="431">
        <f t="shared" si="33"/>
        <v>4</v>
      </c>
      <c r="O214" s="432">
        <v>0</v>
      </c>
      <c r="P214" s="432">
        <v>0</v>
      </c>
      <c r="Q214" s="432">
        <v>0</v>
      </c>
      <c r="R214" s="1">
        <v>7</v>
      </c>
      <c r="S214" s="1">
        <v>10</v>
      </c>
      <c r="T214" s="300">
        <f t="shared" si="34"/>
        <v>213</v>
      </c>
      <c r="U214" s="3"/>
      <c r="V214" s="3"/>
      <c r="W214" s="3"/>
      <c r="X214" s="3"/>
      <c r="Y214" s="3"/>
      <c r="Z214" s="20">
        <f t="shared" si="31"/>
        <v>194</v>
      </c>
      <c r="AA214" s="20">
        <f t="shared" si="30"/>
        <v>4</v>
      </c>
      <c r="AB214" s="20">
        <f t="shared" si="30"/>
        <v>0</v>
      </c>
      <c r="AC214" s="20">
        <f t="shared" si="30"/>
        <v>0</v>
      </c>
      <c r="AD214" s="20">
        <f t="shared" si="29"/>
        <v>0</v>
      </c>
      <c r="AE214" s="20">
        <f t="shared" si="29"/>
        <v>7</v>
      </c>
      <c r="AF214" s="20">
        <f t="shared" si="29"/>
        <v>10</v>
      </c>
      <c r="AG214" s="300">
        <f t="shared" si="32"/>
        <v>215</v>
      </c>
      <c r="AH214" s="42">
        <f t="shared" si="36"/>
        <v>2</v>
      </c>
      <c r="AI214" s="42">
        <f t="shared" si="36"/>
        <v>0</v>
      </c>
      <c r="AJ214" s="42">
        <f t="shared" si="36"/>
        <v>0</v>
      </c>
      <c r="AK214" s="42">
        <f t="shared" si="36"/>
        <v>0</v>
      </c>
      <c r="AL214" s="42">
        <f t="shared" si="36"/>
        <v>0</v>
      </c>
      <c r="AM214" s="42">
        <f t="shared" si="36"/>
        <v>0</v>
      </c>
      <c r="AN214" s="42">
        <f t="shared" si="36"/>
        <v>0</v>
      </c>
      <c r="AO214" s="42">
        <f t="shared" si="36"/>
        <v>2</v>
      </c>
    </row>
    <row r="215" spans="1:41" ht="15.75">
      <c r="A215" s="16">
        <f t="shared" si="35"/>
        <v>212</v>
      </c>
      <c r="B215" s="8">
        <v>2555</v>
      </c>
      <c r="C215" s="62" t="s">
        <v>2224</v>
      </c>
      <c r="D215" s="63" t="s">
        <v>2225</v>
      </c>
      <c r="E215" s="13" t="s">
        <v>46</v>
      </c>
      <c r="F215" s="14" t="s">
        <v>2226</v>
      </c>
      <c r="G215" s="429" t="s">
        <v>6473</v>
      </c>
      <c r="H215" s="385">
        <v>35104</v>
      </c>
      <c r="I215" s="154">
        <v>43413</v>
      </c>
      <c r="J215" s="430" t="s">
        <v>6293</v>
      </c>
      <c r="K215" s="411" t="s">
        <v>6298</v>
      </c>
      <c r="L215" s="411" t="s">
        <v>6335</v>
      </c>
      <c r="M215" s="1">
        <v>192</v>
      </c>
      <c r="N215" s="431">
        <f t="shared" si="33"/>
        <v>4</v>
      </c>
      <c r="O215" s="432">
        <v>0</v>
      </c>
      <c r="P215" s="432">
        <v>0</v>
      </c>
      <c r="Q215" s="432">
        <v>0</v>
      </c>
      <c r="R215" s="1">
        <v>7</v>
      </c>
      <c r="S215" s="1">
        <v>10</v>
      </c>
      <c r="T215" s="300">
        <f t="shared" si="34"/>
        <v>213</v>
      </c>
      <c r="U215" s="3"/>
      <c r="V215" s="3"/>
      <c r="W215" s="3"/>
      <c r="X215" s="3"/>
      <c r="Y215" s="3"/>
      <c r="Z215" s="20">
        <f t="shared" si="31"/>
        <v>194</v>
      </c>
      <c r="AA215" s="20">
        <f t="shared" si="30"/>
        <v>4</v>
      </c>
      <c r="AB215" s="20">
        <f t="shared" si="30"/>
        <v>0</v>
      </c>
      <c r="AC215" s="20">
        <f t="shared" si="30"/>
        <v>0</v>
      </c>
      <c r="AD215" s="20">
        <f t="shared" si="29"/>
        <v>0</v>
      </c>
      <c r="AE215" s="20">
        <f t="shared" si="29"/>
        <v>7</v>
      </c>
      <c r="AF215" s="20">
        <f t="shared" si="29"/>
        <v>10</v>
      </c>
      <c r="AG215" s="300">
        <f t="shared" si="32"/>
        <v>215</v>
      </c>
      <c r="AH215" s="42">
        <f t="shared" si="36"/>
        <v>2</v>
      </c>
      <c r="AI215" s="42">
        <f t="shared" si="36"/>
        <v>0</v>
      </c>
      <c r="AJ215" s="42">
        <f t="shared" si="36"/>
        <v>0</v>
      </c>
      <c r="AK215" s="42">
        <f t="shared" si="36"/>
        <v>0</v>
      </c>
      <c r="AL215" s="42">
        <f t="shared" si="36"/>
        <v>0</v>
      </c>
      <c r="AM215" s="42">
        <f t="shared" si="36"/>
        <v>0</v>
      </c>
      <c r="AN215" s="42">
        <f t="shared" si="36"/>
        <v>0</v>
      </c>
      <c r="AO215" s="42">
        <f t="shared" si="36"/>
        <v>2</v>
      </c>
    </row>
    <row r="216" spans="1:41" ht="15.75">
      <c r="A216" s="16">
        <f t="shared" si="35"/>
        <v>213</v>
      </c>
      <c r="B216" s="8">
        <v>2573</v>
      </c>
      <c r="C216" s="62" t="s">
        <v>1935</v>
      </c>
      <c r="D216" s="63" t="s">
        <v>2240</v>
      </c>
      <c r="E216" s="13" t="s">
        <v>2241</v>
      </c>
      <c r="F216" s="14" t="s">
        <v>2242</v>
      </c>
      <c r="G216" s="429" t="s">
        <v>6475</v>
      </c>
      <c r="H216" s="382">
        <v>30560</v>
      </c>
      <c r="I216" s="154">
        <v>43421</v>
      </c>
      <c r="J216" s="430" t="s">
        <v>6293</v>
      </c>
      <c r="K216" s="411" t="s">
        <v>45</v>
      </c>
      <c r="L216" s="411" t="s">
        <v>5</v>
      </c>
      <c r="M216" s="1">
        <v>192</v>
      </c>
      <c r="N216" s="431">
        <f t="shared" si="33"/>
        <v>4</v>
      </c>
      <c r="O216" s="432">
        <v>0</v>
      </c>
      <c r="P216" s="432">
        <v>158</v>
      </c>
      <c r="Q216" s="432">
        <v>30</v>
      </c>
      <c r="R216" s="1">
        <v>7</v>
      </c>
      <c r="S216" s="1">
        <v>10</v>
      </c>
      <c r="T216" s="300">
        <f t="shared" si="34"/>
        <v>401</v>
      </c>
      <c r="U216" s="3"/>
      <c r="V216" s="3"/>
      <c r="W216" s="3"/>
      <c r="X216" s="3"/>
      <c r="Y216" s="3"/>
      <c r="Z216" s="20">
        <f t="shared" si="31"/>
        <v>194</v>
      </c>
      <c r="AA216" s="20">
        <f t="shared" si="30"/>
        <v>4</v>
      </c>
      <c r="AB216" s="20">
        <f t="shared" si="30"/>
        <v>0</v>
      </c>
      <c r="AC216" s="20">
        <f t="shared" si="30"/>
        <v>158</v>
      </c>
      <c r="AD216" s="20">
        <f t="shared" si="29"/>
        <v>30</v>
      </c>
      <c r="AE216" s="20">
        <f t="shared" si="29"/>
        <v>7</v>
      </c>
      <c r="AF216" s="20">
        <f t="shared" si="29"/>
        <v>10</v>
      </c>
      <c r="AG216" s="300">
        <f t="shared" si="32"/>
        <v>403</v>
      </c>
      <c r="AH216" s="42">
        <f t="shared" si="36"/>
        <v>2</v>
      </c>
      <c r="AI216" s="42">
        <f t="shared" si="36"/>
        <v>0</v>
      </c>
      <c r="AJ216" s="42">
        <f t="shared" si="36"/>
        <v>0</v>
      </c>
      <c r="AK216" s="42">
        <f t="shared" si="36"/>
        <v>0</v>
      </c>
      <c r="AL216" s="42">
        <f t="shared" si="36"/>
        <v>0</v>
      </c>
      <c r="AM216" s="42">
        <f t="shared" si="36"/>
        <v>0</v>
      </c>
      <c r="AN216" s="42">
        <f t="shared" si="36"/>
        <v>0</v>
      </c>
      <c r="AO216" s="42">
        <f t="shared" si="36"/>
        <v>2</v>
      </c>
    </row>
    <row r="217" spans="1:41" ht="15.75">
      <c r="A217" s="16">
        <f t="shared" si="35"/>
        <v>214</v>
      </c>
      <c r="B217" s="8">
        <v>2570</v>
      </c>
      <c r="C217" s="62" t="s">
        <v>958</v>
      </c>
      <c r="D217" s="63" t="s">
        <v>2246</v>
      </c>
      <c r="E217" s="13" t="s">
        <v>2247</v>
      </c>
      <c r="F217" s="14" t="s">
        <v>2248</v>
      </c>
      <c r="G217" s="429" t="s">
        <v>6473</v>
      </c>
      <c r="H217" s="385">
        <v>31603</v>
      </c>
      <c r="I217" s="154">
        <v>43421</v>
      </c>
      <c r="J217" s="430" t="s">
        <v>6293</v>
      </c>
      <c r="K217" s="411" t="s">
        <v>6298</v>
      </c>
      <c r="L217" s="411" t="s">
        <v>6335</v>
      </c>
      <c r="M217" s="1">
        <v>192</v>
      </c>
      <c r="N217" s="431">
        <f t="shared" si="33"/>
        <v>4</v>
      </c>
      <c r="O217" s="432">
        <v>0</v>
      </c>
      <c r="P217" s="432">
        <v>0</v>
      </c>
      <c r="Q217" s="432">
        <v>0</v>
      </c>
      <c r="R217" s="1">
        <v>7</v>
      </c>
      <c r="S217" s="1">
        <v>10</v>
      </c>
      <c r="T217" s="300">
        <f t="shared" si="34"/>
        <v>213</v>
      </c>
      <c r="U217" s="3"/>
      <c r="V217" s="3"/>
      <c r="W217" s="3"/>
      <c r="X217" s="3"/>
      <c r="Y217" s="3"/>
      <c r="Z217" s="20">
        <f t="shared" si="31"/>
        <v>194</v>
      </c>
      <c r="AA217" s="20">
        <f t="shared" si="30"/>
        <v>4</v>
      </c>
      <c r="AB217" s="20">
        <f t="shared" si="30"/>
        <v>0</v>
      </c>
      <c r="AC217" s="20">
        <f t="shared" si="30"/>
        <v>0</v>
      </c>
      <c r="AD217" s="20">
        <f t="shared" si="29"/>
        <v>0</v>
      </c>
      <c r="AE217" s="20">
        <f t="shared" si="29"/>
        <v>7</v>
      </c>
      <c r="AF217" s="20">
        <f t="shared" si="29"/>
        <v>10</v>
      </c>
      <c r="AG217" s="300">
        <f t="shared" si="32"/>
        <v>215</v>
      </c>
      <c r="AH217" s="42">
        <f t="shared" si="36"/>
        <v>2</v>
      </c>
      <c r="AI217" s="42">
        <f t="shared" si="36"/>
        <v>0</v>
      </c>
      <c r="AJ217" s="42">
        <f t="shared" si="36"/>
        <v>0</v>
      </c>
      <c r="AK217" s="42">
        <f t="shared" si="36"/>
        <v>0</v>
      </c>
      <c r="AL217" s="42">
        <f t="shared" si="36"/>
        <v>0</v>
      </c>
      <c r="AM217" s="42">
        <f t="shared" si="36"/>
        <v>0</v>
      </c>
      <c r="AN217" s="42">
        <f t="shared" si="36"/>
        <v>0</v>
      </c>
      <c r="AO217" s="42">
        <f t="shared" si="36"/>
        <v>2</v>
      </c>
    </row>
    <row r="218" spans="1:41" ht="15.75">
      <c r="A218" s="16">
        <f t="shared" si="35"/>
        <v>215</v>
      </c>
      <c r="B218" s="8">
        <v>2590</v>
      </c>
      <c r="C218" s="62" t="s">
        <v>2252</v>
      </c>
      <c r="D218" s="63" t="s">
        <v>2032</v>
      </c>
      <c r="E218" s="13" t="s">
        <v>2253</v>
      </c>
      <c r="F218" s="14" t="s">
        <v>2254</v>
      </c>
      <c r="G218" s="429" t="s">
        <v>6473</v>
      </c>
      <c r="H218" s="385">
        <v>32942</v>
      </c>
      <c r="I218" s="154">
        <v>43421</v>
      </c>
      <c r="J218" s="430" t="s">
        <v>6293</v>
      </c>
      <c r="K218" s="411" t="s">
        <v>6298</v>
      </c>
      <c r="L218" s="411" t="s">
        <v>6335</v>
      </c>
      <c r="M218" s="1">
        <v>192</v>
      </c>
      <c r="N218" s="431">
        <f t="shared" si="33"/>
        <v>4</v>
      </c>
      <c r="O218" s="432">
        <v>0</v>
      </c>
      <c r="P218" s="432">
        <v>0</v>
      </c>
      <c r="Q218" s="432">
        <v>0</v>
      </c>
      <c r="R218" s="1">
        <v>7</v>
      </c>
      <c r="S218" s="1">
        <v>10</v>
      </c>
      <c r="T218" s="300">
        <f t="shared" si="34"/>
        <v>213</v>
      </c>
      <c r="U218" s="3"/>
      <c r="V218" s="3"/>
      <c r="W218" s="3"/>
      <c r="X218" s="3"/>
      <c r="Y218" s="3"/>
      <c r="Z218" s="20">
        <f t="shared" si="31"/>
        <v>194</v>
      </c>
      <c r="AA218" s="20">
        <f t="shared" si="30"/>
        <v>4</v>
      </c>
      <c r="AB218" s="20">
        <f t="shared" si="30"/>
        <v>0</v>
      </c>
      <c r="AC218" s="20">
        <f t="shared" si="30"/>
        <v>0</v>
      </c>
      <c r="AD218" s="20">
        <f t="shared" si="29"/>
        <v>0</v>
      </c>
      <c r="AE218" s="20">
        <f t="shared" si="29"/>
        <v>7</v>
      </c>
      <c r="AF218" s="20">
        <f t="shared" si="29"/>
        <v>10</v>
      </c>
      <c r="AG218" s="300">
        <f t="shared" si="32"/>
        <v>215</v>
      </c>
      <c r="AH218" s="42">
        <f t="shared" si="36"/>
        <v>2</v>
      </c>
      <c r="AI218" s="42">
        <f t="shared" si="36"/>
        <v>0</v>
      </c>
      <c r="AJ218" s="42">
        <f t="shared" si="36"/>
        <v>0</v>
      </c>
      <c r="AK218" s="42">
        <f t="shared" si="36"/>
        <v>0</v>
      </c>
      <c r="AL218" s="42">
        <f t="shared" si="36"/>
        <v>0</v>
      </c>
      <c r="AM218" s="42">
        <f t="shared" si="36"/>
        <v>0</v>
      </c>
      <c r="AN218" s="42">
        <f t="shared" si="36"/>
        <v>0</v>
      </c>
      <c r="AO218" s="42">
        <f t="shared" si="36"/>
        <v>2</v>
      </c>
    </row>
    <row r="219" spans="1:41" ht="15.75">
      <c r="A219" s="16">
        <f t="shared" si="35"/>
        <v>216</v>
      </c>
      <c r="B219" s="389">
        <v>2589</v>
      </c>
      <c r="C219" s="62" t="s">
        <v>2257</v>
      </c>
      <c r="D219" s="63" t="s">
        <v>2258</v>
      </c>
      <c r="E219" s="13" t="s">
        <v>2259</v>
      </c>
      <c r="F219" s="14" t="s">
        <v>2260</v>
      </c>
      <c r="G219" s="429" t="s">
        <v>6473</v>
      </c>
      <c r="H219" s="385">
        <v>31961</v>
      </c>
      <c r="I219" s="154">
        <v>43421</v>
      </c>
      <c r="J219" s="430" t="s">
        <v>6293</v>
      </c>
      <c r="K219" s="411" t="s">
        <v>6301</v>
      </c>
      <c r="L219" s="411" t="s">
        <v>6335</v>
      </c>
      <c r="M219" s="1">
        <v>192</v>
      </c>
      <c r="N219" s="431">
        <f t="shared" si="33"/>
        <v>4</v>
      </c>
      <c r="O219" s="432">
        <v>0</v>
      </c>
      <c r="P219" s="432">
        <v>0</v>
      </c>
      <c r="Q219" s="432">
        <v>0</v>
      </c>
      <c r="R219" s="1">
        <v>7</v>
      </c>
      <c r="S219" s="1">
        <v>10</v>
      </c>
      <c r="T219" s="300">
        <f t="shared" si="34"/>
        <v>213</v>
      </c>
      <c r="U219" s="3"/>
      <c r="V219" s="3"/>
      <c r="W219" s="3"/>
      <c r="X219" s="3"/>
      <c r="Y219" s="3"/>
      <c r="Z219" s="20">
        <f t="shared" si="31"/>
        <v>194</v>
      </c>
      <c r="AA219" s="20">
        <f t="shared" si="30"/>
        <v>4</v>
      </c>
      <c r="AB219" s="20">
        <f t="shared" si="30"/>
        <v>0</v>
      </c>
      <c r="AC219" s="20">
        <f t="shared" si="30"/>
        <v>0</v>
      </c>
      <c r="AD219" s="20">
        <f t="shared" si="29"/>
        <v>0</v>
      </c>
      <c r="AE219" s="20">
        <f t="shared" si="29"/>
        <v>7</v>
      </c>
      <c r="AF219" s="20">
        <f t="shared" si="29"/>
        <v>10</v>
      </c>
      <c r="AG219" s="300">
        <f t="shared" si="32"/>
        <v>215</v>
      </c>
      <c r="AH219" s="42">
        <f t="shared" si="36"/>
        <v>2</v>
      </c>
      <c r="AI219" s="42">
        <f t="shared" si="36"/>
        <v>0</v>
      </c>
      <c r="AJ219" s="42">
        <f t="shared" si="36"/>
        <v>0</v>
      </c>
      <c r="AK219" s="42">
        <f t="shared" si="36"/>
        <v>0</v>
      </c>
      <c r="AL219" s="42">
        <f t="shared" si="36"/>
        <v>0</v>
      </c>
      <c r="AM219" s="42">
        <f t="shared" si="36"/>
        <v>0</v>
      </c>
      <c r="AN219" s="42">
        <f t="shared" si="36"/>
        <v>0</v>
      </c>
      <c r="AO219" s="42">
        <f t="shared" si="36"/>
        <v>2</v>
      </c>
    </row>
    <row r="220" spans="1:41" ht="15.75">
      <c r="A220" s="16">
        <f t="shared" si="35"/>
        <v>217</v>
      </c>
      <c r="B220" s="8">
        <v>2606</v>
      </c>
      <c r="C220" s="447" t="s">
        <v>2267</v>
      </c>
      <c r="D220" s="448" t="s">
        <v>2268</v>
      </c>
      <c r="E220" s="449" t="s">
        <v>2269</v>
      </c>
      <c r="F220" s="450" t="s">
        <v>2270</v>
      </c>
      <c r="G220" s="451" t="s">
        <v>6473</v>
      </c>
      <c r="H220" s="452">
        <v>33299</v>
      </c>
      <c r="I220" s="453">
        <v>43469</v>
      </c>
      <c r="J220" s="454" t="s">
        <v>6293</v>
      </c>
      <c r="K220" s="455" t="s">
        <v>6296</v>
      </c>
      <c r="L220" s="455" t="s">
        <v>6335</v>
      </c>
      <c r="M220" s="1">
        <v>192</v>
      </c>
      <c r="N220" s="431">
        <f t="shared" si="33"/>
        <v>4</v>
      </c>
      <c r="O220" s="432">
        <v>0</v>
      </c>
      <c r="P220" s="432">
        <v>0</v>
      </c>
      <c r="Q220" s="432">
        <v>0</v>
      </c>
      <c r="R220" s="1">
        <v>7</v>
      </c>
      <c r="S220" s="1">
        <v>10</v>
      </c>
      <c r="T220" s="300">
        <f t="shared" si="34"/>
        <v>213</v>
      </c>
      <c r="U220" s="3"/>
      <c r="V220" s="3"/>
      <c r="W220" s="3"/>
      <c r="X220" s="3"/>
      <c r="Y220" s="3"/>
      <c r="Z220" s="20">
        <f t="shared" si="31"/>
        <v>194</v>
      </c>
      <c r="AA220" s="20">
        <f t="shared" si="30"/>
        <v>4</v>
      </c>
      <c r="AB220" s="20">
        <f t="shared" si="30"/>
        <v>0</v>
      </c>
      <c r="AC220" s="20">
        <f t="shared" si="30"/>
        <v>0</v>
      </c>
      <c r="AD220" s="20">
        <f t="shared" si="29"/>
        <v>0</v>
      </c>
      <c r="AE220" s="20">
        <f t="shared" si="29"/>
        <v>7</v>
      </c>
      <c r="AF220" s="20">
        <f t="shared" si="29"/>
        <v>10</v>
      </c>
      <c r="AG220" s="300">
        <f t="shared" si="32"/>
        <v>215</v>
      </c>
      <c r="AH220" s="42">
        <f t="shared" si="36"/>
        <v>2</v>
      </c>
      <c r="AI220" s="42">
        <f t="shared" si="36"/>
        <v>0</v>
      </c>
      <c r="AJ220" s="42">
        <f t="shared" si="36"/>
        <v>0</v>
      </c>
      <c r="AK220" s="42">
        <f t="shared" si="36"/>
        <v>0</v>
      </c>
      <c r="AL220" s="42">
        <f t="shared" si="36"/>
        <v>0</v>
      </c>
      <c r="AM220" s="42">
        <f t="shared" si="36"/>
        <v>0</v>
      </c>
      <c r="AN220" s="42">
        <f t="shared" si="36"/>
        <v>0</v>
      </c>
      <c r="AO220" s="42">
        <f t="shared" si="36"/>
        <v>2</v>
      </c>
    </row>
    <row r="221" spans="1:41" ht="15.75">
      <c r="A221" s="16">
        <f t="shared" si="35"/>
        <v>218</v>
      </c>
      <c r="B221" s="8">
        <v>2612</v>
      </c>
      <c r="C221" s="62" t="s">
        <v>919</v>
      </c>
      <c r="D221" s="63" t="s">
        <v>2280</v>
      </c>
      <c r="E221" s="13" t="s">
        <v>921</v>
      </c>
      <c r="F221" s="14" t="s">
        <v>2281</v>
      </c>
      <c r="G221" s="429" t="s">
        <v>6473</v>
      </c>
      <c r="H221" s="385">
        <v>36742</v>
      </c>
      <c r="I221" s="154">
        <v>43474</v>
      </c>
      <c r="J221" s="430" t="s">
        <v>6293</v>
      </c>
      <c r="K221" s="411" t="s">
        <v>6312</v>
      </c>
      <c r="L221" s="411" t="s">
        <v>6347</v>
      </c>
      <c r="M221" s="1">
        <v>192</v>
      </c>
      <c r="N221" s="431">
        <f t="shared" si="33"/>
        <v>4</v>
      </c>
      <c r="O221" s="432">
        <v>0</v>
      </c>
      <c r="P221" s="432">
        <v>61</v>
      </c>
      <c r="Q221" s="432">
        <v>0</v>
      </c>
      <c r="R221" s="1">
        <v>7</v>
      </c>
      <c r="S221" s="1">
        <v>10</v>
      </c>
      <c r="T221" s="300">
        <f t="shared" si="34"/>
        <v>274</v>
      </c>
      <c r="U221" s="3"/>
      <c r="V221" s="3"/>
      <c r="W221" s="3"/>
      <c r="X221" s="3"/>
      <c r="Y221" s="3"/>
      <c r="Z221" s="20">
        <f t="shared" si="31"/>
        <v>194</v>
      </c>
      <c r="AA221" s="20">
        <f t="shared" si="30"/>
        <v>4</v>
      </c>
      <c r="AB221" s="20">
        <f t="shared" si="30"/>
        <v>0</v>
      </c>
      <c r="AC221" s="20">
        <f t="shared" si="30"/>
        <v>61</v>
      </c>
      <c r="AD221" s="20">
        <f t="shared" si="29"/>
        <v>0</v>
      </c>
      <c r="AE221" s="20">
        <f t="shared" si="29"/>
        <v>7</v>
      </c>
      <c r="AF221" s="20">
        <f t="shared" si="29"/>
        <v>10</v>
      </c>
      <c r="AG221" s="300">
        <f t="shared" si="32"/>
        <v>276</v>
      </c>
      <c r="AH221" s="42">
        <f t="shared" si="36"/>
        <v>2</v>
      </c>
      <c r="AI221" s="42">
        <f t="shared" si="36"/>
        <v>0</v>
      </c>
      <c r="AJ221" s="42">
        <f t="shared" si="36"/>
        <v>0</v>
      </c>
      <c r="AK221" s="42">
        <f t="shared" si="36"/>
        <v>0</v>
      </c>
      <c r="AL221" s="42">
        <f t="shared" si="36"/>
        <v>0</v>
      </c>
      <c r="AM221" s="42">
        <f t="shared" si="36"/>
        <v>0</v>
      </c>
      <c r="AN221" s="42">
        <f t="shared" si="36"/>
        <v>0</v>
      </c>
      <c r="AO221" s="42">
        <f t="shared" si="36"/>
        <v>2</v>
      </c>
    </row>
    <row r="222" spans="1:41" ht="15.75">
      <c r="A222" s="16">
        <f t="shared" si="35"/>
        <v>219</v>
      </c>
      <c r="B222" s="8">
        <v>2637</v>
      </c>
      <c r="C222" s="62" t="s">
        <v>2312</v>
      </c>
      <c r="D222" s="63" t="s">
        <v>2313</v>
      </c>
      <c r="E222" s="13" t="s">
        <v>2314</v>
      </c>
      <c r="F222" s="14" t="s">
        <v>2315</v>
      </c>
      <c r="G222" s="429" t="s">
        <v>6473</v>
      </c>
      <c r="H222" s="385">
        <v>31696</v>
      </c>
      <c r="I222" s="154">
        <v>43488</v>
      </c>
      <c r="J222" s="430" t="s">
        <v>6293</v>
      </c>
      <c r="K222" s="411" t="s">
        <v>6307</v>
      </c>
      <c r="L222" s="411" t="s">
        <v>6335</v>
      </c>
      <c r="M222" s="1">
        <v>192</v>
      </c>
      <c r="N222" s="431">
        <f t="shared" si="33"/>
        <v>3</v>
      </c>
      <c r="O222" s="432">
        <v>0</v>
      </c>
      <c r="P222" s="432">
        <v>0</v>
      </c>
      <c r="Q222" s="432">
        <v>0</v>
      </c>
      <c r="R222" s="1">
        <v>7</v>
      </c>
      <c r="S222" s="1">
        <v>10</v>
      </c>
      <c r="T222" s="300">
        <f t="shared" si="34"/>
        <v>212</v>
      </c>
      <c r="U222" s="3"/>
      <c r="V222" s="3"/>
      <c r="W222" s="3"/>
      <c r="X222" s="3"/>
      <c r="Y222" s="3"/>
      <c r="Z222" s="20">
        <f t="shared" si="31"/>
        <v>194</v>
      </c>
      <c r="AA222" s="20">
        <f t="shared" si="30"/>
        <v>3</v>
      </c>
      <c r="AB222" s="20">
        <f t="shared" si="30"/>
        <v>0</v>
      </c>
      <c r="AC222" s="20">
        <f t="shared" si="30"/>
        <v>0</v>
      </c>
      <c r="AD222" s="20">
        <f t="shared" si="29"/>
        <v>0</v>
      </c>
      <c r="AE222" s="20">
        <f t="shared" si="29"/>
        <v>7</v>
      </c>
      <c r="AF222" s="20">
        <f t="shared" si="29"/>
        <v>10</v>
      </c>
      <c r="AG222" s="300">
        <f t="shared" si="32"/>
        <v>214</v>
      </c>
      <c r="AH222" s="42">
        <f t="shared" si="36"/>
        <v>2</v>
      </c>
      <c r="AI222" s="42">
        <f t="shared" si="36"/>
        <v>0</v>
      </c>
      <c r="AJ222" s="42">
        <f t="shared" si="36"/>
        <v>0</v>
      </c>
      <c r="AK222" s="42">
        <f t="shared" si="36"/>
        <v>0</v>
      </c>
      <c r="AL222" s="42">
        <f t="shared" si="36"/>
        <v>0</v>
      </c>
      <c r="AM222" s="42">
        <f t="shared" si="36"/>
        <v>0</v>
      </c>
      <c r="AN222" s="42">
        <f t="shared" si="36"/>
        <v>0</v>
      </c>
      <c r="AO222" s="42">
        <f t="shared" si="36"/>
        <v>2</v>
      </c>
    </row>
    <row r="223" spans="1:41" ht="15.75">
      <c r="A223" s="16">
        <f t="shared" si="35"/>
        <v>220</v>
      </c>
      <c r="B223" s="8">
        <v>2642</v>
      </c>
      <c r="C223" s="62" t="s">
        <v>552</v>
      </c>
      <c r="D223" s="63" t="s">
        <v>1001</v>
      </c>
      <c r="E223" s="13" t="s">
        <v>2327</v>
      </c>
      <c r="F223" s="14" t="s">
        <v>2328</v>
      </c>
      <c r="G223" s="429" t="s">
        <v>6473</v>
      </c>
      <c r="H223" s="385">
        <v>29838</v>
      </c>
      <c r="I223" s="154">
        <v>43493</v>
      </c>
      <c r="J223" s="430" t="s">
        <v>6293</v>
      </c>
      <c r="K223" s="411" t="s">
        <v>6295</v>
      </c>
      <c r="L223" s="411" t="s">
        <v>6335</v>
      </c>
      <c r="M223" s="1">
        <v>192</v>
      </c>
      <c r="N223" s="431">
        <f t="shared" si="33"/>
        <v>3</v>
      </c>
      <c r="O223" s="432">
        <v>0</v>
      </c>
      <c r="P223" s="432">
        <v>0</v>
      </c>
      <c r="Q223" s="432">
        <v>0</v>
      </c>
      <c r="R223" s="1">
        <v>7</v>
      </c>
      <c r="S223" s="1">
        <v>10</v>
      </c>
      <c r="T223" s="300">
        <f t="shared" si="34"/>
        <v>212</v>
      </c>
      <c r="U223" s="3"/>
      <c r="V223" s="3"/>
      <c r="W223" s="3"/>
      <c r="X223" s="3"/>
      <c r="Y223" s="3"/>
      <c r="Z223" s="20">
        <f t="shared" si="31"/>
        <v>194</v>
      </c>
      <c r="AA223" s="20">
        <f t="shared" si="30"/>
        <v>3</v>
      </c>
      <c r="AB223" s="20">
        <f t="shared" si="30"/>
        <v>0</v>
      </c>
      <c r="AC223" s="20">
        <f t="shared" si="30"/>
        <v>0</v>
      </c>
      <c r="AD223" s="20">
        <f t="shared" si="29"/>
        <v>0</v>
      </c>
      <c r="AE223" s="20">
        <f t="shared" si="29"/>
        <v>7</v>
      </c>
      <c r="AF223" s="20">
        <f t="shared" si="29"/>
        <v>10</v>
      </c>
      <c r="AG223" s="300">
        <f t="shared" si="32"/>
        <v>214</v>
      </c>
      <c r="AH223" s="42">
        <f t="shared" si="36"/>
        <v>2</v>
      </c>
      <c r="AI223" s="42">
        <f t="shared" si="36"/>
        <v>0</v>
      </c>
      <c r="AJ223" s="42">
        <f t="shared" si="36"/>
        <v>0</v>
      </c>
      <c r="AK223" s="42">
        <f t="shared" si="36"/>
        <v>0</v>
      </c>
      <c r="AL223" s="42">
        <f t="shared" si="36"/>
        <v>0</v>
      </c>
      <c r="AM223" s="42">
        <f t="shared" si="36"/>
        <v>0</v>
      </c>
      <c r="AN223" s="42">
        <f t="shared" si="36"/>
        <v>0</v>
      </c>
      <c r="AO223" s="42">
        <f t="shared" si="36"/>
        <v>2</v>
      </c>
    </row>
    <row r="224" spans="1:41" ht="15.75">
      <c r="A224" s="16">
        <f t="shared" si="35"/>
        <v>221</v>
      </c>
      <c r="B224" s="8">
        <v>2654</v>
      </c>
      <c r="C224" s="62" t="s">
        <v>2341</v>
      </c>
      <c r="D224" s="63" t="s">
        <v>1248</v>
      </c>
      <c r="E224" s="13" t="s">
        <v>2342</v>
      </c>
      <c r="F224" s="14" t="s">
        <v>1250</v>
      </c>
      <c r="G224" s="429" t="s">
        <v>6473</v>
      </c>
      <c r="H224" s="385">
        <v>34061</v>
      </c>
      <c r="I224" s="154">
        <v>43497</v>
      </c>
      <c r="J224" s="430" t="s">
        <v>6293</v>
      </c>
      <c r="K224" s="411" t="s">
        <v>6307</v>
      </c>
      <c r="L224" s="411" t="s">
        <v>6335</v>
      </c>
      <c r="M224" s="1">
        <v>192</v>
      </c>
      <c r="N224" s="431">
        <f t="shared" si="33"/>
        <v>3</v>
      </c>
      <c r="O224" s="432">
        <v>0</v>
      </c>
      <c r="P224" s="432">
        <v>0</v>
      </c>
      <c r="Q224" s="432">
        <v>0</v>
      </c>
      <c r="R224" s="1">
        <v>7</v>
      </c>
      <c r="S224" s="1">
        <v>10</v>
      </c>
      <c r="T224" s="300">
        <f t="shared" si="34"/>
        <v>212</v>
      </c>
      <c r="U224" s="3"/>
      <c r="V224" s="3"/>
      <c r="W224" s="3"/>
      <c r="X224" s="3"/>
      <c r="Y224" s="3"/>
      <c r="Z224" s="20">
        <f t="shared" si="31"/>
        <v>194</v>
      </c>
      <c r="AA224" s="20">
        <f t="shared" si="30"/>
        <v>3</v>
      </c>
      <c r="AB224" s="20">
        <f t="shared" si="30"/>
        <v>0</v>
      </c>
      <c r="AC224" s="20">
        <f t="shared" si="30"/>
        <v>0</v>
      </c>
      <c r="AD224" s="20">
        <f t="shared" si="29"/>
        <v>0</v>
      </c>
      <c r="AE224" s="20">
        <f t="shared" si="29"/>
        <v>7</v>
      </c>
      <c r="AF224" s="20">
        <f t="shared" si="29"/>
        <v>10</v>
      </c>
      <c r="AG224" s="300">
        <f t="shared" si="32"/>
        <v>214</v>
      </c>
      <c r="AH224" s="42">
        <f t="shared" si="36"/>
        <v>2</v>
      </c>
      <c r="AI224" s="42">
        <f t="shared" si="36"/>
        <v>0</v>
      </c>
      <c r="AJ224" s="42">
        <f t="shared" si="36"/>
        <v>0</v>
      </c>
      <c r="AK224" s="42">
        <f t="shared" si="36"/>
        <v>0</v>
      </c>
      <c r="AL224" s="42">
        <f t="shared" si="36"/>
        <v>0</v>
      </c>
      <c r="AM224" s="42">
        <f t="shared" si="36"/>
        <v>0</v>
      </c>
      <c r="AN224" s="42">
        <f t="shared" si="36"/>
        <v>0</v>
      </c>
      <c r="AO224" s="42">
        <f t="shared" si="36"/>
        <v>2</v>
      </c>
    </row>
    <row r="225" spans="1:41" ht="15.75">
      <c r="A225" s="16">
        <f t="shared" si="35"/>
        <v>222</v>
      </c>
      <c r="B225" s="8">
        <v>2678</v>
      </c>
      <c r="C225" s="62" t="s">
        <v>670</v>
      </c>
      <c r="D225" s="63" t="s">
        <v>2347</v>
      </c>
      <c r="E225" s="13" t="s">
        <v>1961</v>
      </c>
      <c r="F225" s="14" t="s">
        <v>2230</v>
      </c>
      <c r="G225" s="429" t="s">
        <v>6473</v>
      </c>
      <c r="H225" s="385">
        <v>33645</v>
      </c>
      <c r="I225" s="154">
        <v>43498</v>
      </c>
      <c r="J225" s="430" t="s">
        <v>6293</v>
      </c>
      <c r="K225" s="411" t="s">
        <v>6307</v>
      </c>
      <c r="L225" s="411" t="s">
        <v>6335</v>
      </c>
      <c r="M225" s="1">
        <v>192</v>
      </c>
      <c r="N225" s="431">
        <f t="shared" si="33"/>
        <v>3</v>
      </c>
      <c r="O225" s="432">
        <v>0</v>
      </c>
      <c r="P225" s="432">
        <v>0</v>
      </c>
      <c r="Q225" s="432">
        <v>0</v>
      </c>
      <c r="R225" s="1">
        <v>7</v>
      </c>
      <c r="S225" s="1">
        <v>10</v>
      </c>
      <c r="T225" s="300">
        <f t="shared" si="34"/>
        <v>212</v>
      </c>
      <c r="U225" s="3"/>
      <c r="V225" s="3"/>
      <c r="W225" s="3"/>
      <c r="X225" s="3"/>
      <c r="Y225" s="3"/>
      <c r="Z225" s="20">
        <f t="shared" si="31"/>
        <v>194</v>
      </c>
      <c r="AA225" s="20">
        <f t="shared" si="30"/>
        <v>3</v>
      </c>
      <c r="AB225" s="20">
        <f t="shared" si="30"/>
        <v>0</v>
      </c>
      <c r="AC225" s="20">
        <f t="shared" si="30"/>
        <v>0</v>
      </c>
      <c r="AD225" s="20">
        <f t="shared" si="29"/>
        <v>0</v>
      </c>
      <c r="AE225" s="20">
        <f t="shared" si="29"/>
        <v>7</v>
      </c>
      <c r="AF225" s="20">
        <f t="shared" si="29"/>
        <v>10</v>
      </c>
      <c r="AG225" s="300">
        <f t="shared" si="32"/>
        <v>214</v>
      </c>
      <c r="AH225" s="42">
        <f t="shared" si="36"/>
        <v>2</v>
      </c>
      <c r="AI225" s="42">
        <f t="shared" si="36"/>
        <v>0</v>
      </c>
      <c r="AJ225" s="42">
        <f t="shared" si="36"/>
        <v>0</v>
      </c>
      <c r="AK225" s="42">
        <f t="shared" si="36"/>
        <v>0</v>
      </c>
      <c r="AL225" s="42">
        <f t="shared" si="36"/>
        <v>0</v>
      </c>
      <c r="AM225" s="42">
        <f t="shared" si="36"/>
        <v>0</v>
      </c>
      <c r="AN225" s="42">
        <f t="shared" si="36"/>
        <v>0</v>
      </c>
      <c r="AO225" s="42">
        <f t="shared" si="36"/>
        <v>2</v>
      </c>
    </row>
    <row r="226" spans="1:41" ht="15.75">
      <c r="A226" s="16">
        <f t="shared" si="35"/>
        <v>223</v>
      </c>
      <c r="B226" s="8">
        <v>2706</v>
      </c>
      <c r="C226" s="62" t="s">
        <v>2352</v>
      </c>
      <c r="D226" s="63" t="s">
        <v>2246</v>
      </c>
      <c r="E226" s="13" t="s">
        <v>2353</v>
      </c>
      <c r="F226" s="14" t="s">
        <v>2248</v>
      </c>
      <c r="G226" s="429" t="s">
        <v>6473</v>
      </c>
      <c r="H226" s="385">
        <v>35801</v>
      </c>
      <c r="I226" s="154">
        <v>43502</v>
      </c>
      <c r="J226" s="430" t="s">
        <v>6293</v>
      </c>
      <c r="K226" s="411" t="s">
        <v>6301</v>
      </c>
      <c r="L226" s="411" t="s">
        <v>6335</v>
      </c>
      <c r="M226" s="1">
        <v>192</v>
      </c>
      <c r="N226" s="431">
        <f t="shared" si="33"/>
        <v>3</v>
      </c>
      <c r="O226" s="432">
        <v>0</v>
      </c>
      <c r="P226" s="432">
        <v>0</v>
      </c>
      <c r="Q226" s="432">
        <v>0</v>
      </c>
      <c r="R226" s="1">
        <v>7</v>
      </c>
      <c r="S226" s="1">
        <v>10</v>
      </c>
      <c r="T226" s="300">
        <f t="shared" si="34"/>
        <v>212</v>
      </c>
      <c r="U226" s="3"/>
      <c r="V226" s="3"/>
      <c r="W226" s="3"/>
      <c r="X226" s="3"/>
      <c r="Y226" s="3"/>
      <c r="Z226" s="20">
        <f t="shared" si="31"/>
        <v>194</v>
      </c>
      <c r="AA226" s="20">
        <f t="shared" si="30"/>
        <v>3</v>
      </c>
      <c r="AB226" s="20">
        <f t="shared" si="30"/>
        <v>0</v>
      </c>
      <c r="AC226" s="20">
        <f t="shared" si="30"/>
        <v>0</v>
      </c>
      <c r="AD226" s="20">
        <f t="shared" si="29"/>
        <v>0</v>
      </c>
      <c r="AE226" s="20">
        <f t="shared" si="29"/>
        <v>7</v>
      </c>
      <c r="AF226" s="20">
        <f t="shared" si="29"/>
        <v>10</v>
      </c>
      <c r="AG226" s="300">
        <f t="shared" si="32"/>
        <v>214</v>
      </c>
      <c r="AH226" s="42">
        <f t="shared" si="36"/>
        <v>2</v>
      </c>
      <c r="AI226" s="42">
        <f t="shared" si="36"/>
        <v>0</v>
      </c>
      <c r="AJ226" s="42">
        <f t="shared" si="36"/>
        <v>0</v>
      </c>
      <c r="AK226" s="42">
        <f t="shared" si="36"/>
        <v>0</v>
      </c>
      <c r="AL226" s="42">
        <f t="shared" si="36"/>
        <v>0</v>
      </c>
      <c r="AM226" s="42">
        <f t="shared" si="36"/>
        <v>0</v>
      </c>
      <c r="AN226" s="42">
        <f t="shared" si="36"/>
        <v>0</v>
      </c>
      <c r="AO226" s="42">
        <f t="shared" si="36"/>
        <v>2</v>
      </c>
    </row>
    <row r="227" spans="1:41" ht="15.75">
      <c r="A227" s="16">
        <f t="shared" si="35"/>
        <v>224</v>
      </c>
      <c r="B227" s="8">
        <v>2702</v>
      </c>
      <c r="C227" s="62" t="s">
        <v>1865</v>
      </c>
      <c r="D227" s="63" t="s">
        <v>2365</v>
      </c>
      <c r="E227" s="13" t="s">
        <v>2366</v>
      </c>
      <c r="F227" s="14" t="s">
        <v>2367</v>
      </c>
      <c r="G227" s="429" t="s">
        <v>6473</v>
      </c>
      <c r="H227" s="385">
        <v>30012</v>
      </c>
      <c r="I227" s="154">
        <v>43502</v>
      </c>
      <c r="J227" s="430" t="s">
        <v>6293</v>
      </c>
      <c r="K227" s="411" t="s">
        <v>6296</v>
      </c>
      <c r="L227" s="411" t="s">
        <v>6335</v>
      </c>
      <c r="M227" s="1">
        <v>192</v>
      </c>
      <c r="N227" s="431">
        <f t="shared" si="33"/>
        <v>3</v>
      </c>
      <c r="O227" s="432">
        <v>0</v>
      </c>
      <c r="P227" s="432">
        <v>0</v>
      </c>
      <c r="Q227" s="432">
        <v>0</v>
      </c>
      <c r="R227" s="1">
        <v>7</v>
      </c>
      <c r="S227" s="1">
        <v>10</v>
      </c>
      <c r="T227" s="300">
        <f t="shared" si="34"/>
        <v>212</v>
      </c>
      <c r="U227" s="3"/>
      <c r="V227" s="3"/>
      <c r="W227" s="3"/>
      <c r="X227" s="3"/>
      <c r="Y227" s="3"/>
      <c r="Z227" s="20">
        <f t="shared" si="31"/>
        <v>194</v>
      </c>
      <c r="AA227" s="20">
        <f t="shared" si="30"/>
        <v>3</v>
      </c>
      <c r="AB227" s="20">
        <f t="shared" si="30"/>
        <v>0</v>
      </c>
      <c r="AC227" s="20">
        <f t="shared" si="30"/>
        <v>0</v>
      </c>
      <c r="AD227" s="20">
        <f t="shared" si="29"/>
        <v>0</v>
      </c>
      <c r="AE227" s="20">
        <f t="shared" si="29"/>
        <v>7</v>
      </c>
      <c r="AF227" s="20">
        <f t="shared" si="29"/>
        <v>10</v>
      </c>
      <c r="AG227" s="300">
        <f t="shared" si="32"/>
        <v>214</v>
      </c>
      <c r="AH227" s="42">
        <f t="shared" si="36"/>
        <v>2</v>
      </c>
      <c r="AI227" s="42">
        <f t="shared" si="36"/>
        <v>0</v>
      </c>
      <c r="AJ227" s="42">
        <f t="shared" si="36"/>
        <v>0</v>
      </c>
      <c r="AK227" s="42">
        <f t="shared" si="36"/>
        <v>0</v>
      </c>
      <c r="AL227" s="42">
        <f t="shared" si="36"/>
        <v>0</v>
      </c>
      <c r="AM227" s="42">
        <f t="shared" si="36"/>
        <v>0</v>
      </c>
      <c r="AN227" s="42">
        <f t="shared" si="36"/>
        <v>0</v>
      </c>
      <c r="AO227" s="42">
        <f t="shared" si="36"/>
        <v>2</v>
      </c>
    </row>
    <row r="228" spans="1:41" ht="15.75">
      <c r="A228" s="16">
        <f t="shared" si="35"/>
        <v>225</v>
      </c>
      <c r="B228" s="8">
        <v>2716</v>
      </c>
      <c r="C228" s="62" t="s">
        <v>2370</v>
      </c>
      <c r="D228" s="63" t="s">
        <v>2371</v>
      </c>
      <c r="E228" s="13" t="s">
        <v>2372</v>
      </c>
      <c r="F228" s="14" t="s">
        <v>2373</v>
      </c>
      <c r="G228" s="429" t="s">
        <v>6473</v>
      </c>
      <c r="H228" s="385">
        <v>32265</v>
      </c>
      <c r="I228" s="154">
        <v>43504</v>
      </c>
      <c r="J228" s="430" t="s">
        <v>6293</v>
      </c>
      <c r="K228" s="411" t="s">
        <v>6307</v>
      </c>
      <c r="L228" s="411" t="s">
        <v>6335</v>
      </c>
      <c r="M228" s="1">
        <v>192</v>
      </c>
      <c r="N228" s="431">
        <f t="shared" si="33"/>
        <v>3</v>
      </c>
      <c r="O228" s="432">
        <v>0</v>
      </c>
      <c r="P228" s="432">
        <v>0</v>
      </c>
      <c r="Q228" s="432">
        <v>0</v>
      </c>
      <c r="R228" s="1">
        <v>7</v>
      </c>
      <c r="S228" s="1">
        <v>10</v>
      </c>
      <c r="T228" s="300">
        <f t="shared" si="34"/>
        <v>212</v>
      </c>
      <c r="U228" s="3"/>
      <c r="V228" s="3"/>
      <c r="W228" s="3"/>
      <c r="X228" s="3"/>
      <c r="Y228" s="3"/>
      <c r="Z228" s="20">
        <f t="shared" si="31"/>
        <v>194</v>
      </c>
      <c r="AA228" s="20">
        <f t="shared" si="30"/>
        <v>3</v>
      </c>
      <c r="AB228" s="20">
        <f t="shared" si="30"/>
        <v>0</v>
      </c>
      <c r="AC228" s="20">
        <f t="shared" si="30"/>
        <v>0</v>
      </c>
      <c r="AD228" s="20">
        <f t="shared" si="29"/>
        <v>0</v>
      </c>
      <c r="AE228" s="20">
        <f t="shared" si="29"/>
        <v>7</v>
      </c>
      <c r="AF228" s="20">
        <f t="shared" si="29"/>
        <v>10</v>
      </c>
      <c r="AG228" s="300">
        <f t="shared" si="32"/>
        <v>214</v>
      </c>
      <c r="AH228" s="42">
        <f t="shared" si="36"/>
        <v>2</v>
      </c>
      <c r="AI228" s="42">
        <f t="shared" si="36"/>
        <v>0</v>
      </c>
      <c r="AJ228" s="42">
        <f t="shared" si="36"/>
        <v>0</v>
      </c>
      <c r="AK228" s="42">
        <f t="shared" si="36"/>
        <v>0</v>
      </c>
      <c r="AL228" s="42">
        <f t="shared" si="36"/>
        <v>0</v>
      </c>
      <c r="AM228" s="42">
        <f t="shared" si="36"/>
        <v>0</v>
      </c>
      <c r="AN228" s="42">
        <f t="shared" si="36"/>
        <v>0</v>
      </c>
      <c r="AO228" s="42">
        <f t="shared" si="36"/>
        <v>2</v>
      </c>
    </row>
    <row r="229" spans="1:41" ht="15.75">
      <c r="A229" s="16">
        <f t="shared" si="35"/>
        <v>226</v>
      </c>
      <c r="B229" s="8">
        <v>2695</v>
      </c>
      <c r="C229" s="62" t="s">
        <v>1157</v>
      </c>
      <c r="D229" s="63" t="s">
        <v>2377</v>
      </c>
      <c r="E229" s="13" t="s">
        <v>53</v>
      </c>
      <c r="F229" s="14" t="s">
        <v>2378</v>
      </c>
      <c r="G229" s="429" t="s">
        <v>6473</v>
      </c>
      <c r="H229" s="385">
        <v>32307</v>
      </c>
      <c r="I229" s="154">
        <v>43503</v>
      </c>
      <c r="J229" s="430" t="s">
        <v>6293</v>
      </c>
      <c r="K229" s="411" t="s">
        <v>6302</v>
      </c>
      <c r="L229" s="411" t="s">
        <v>6335</v>
      </c>
      <c r="M229" s="1">
        <v>192</v>
      </c>
      <c r="N229" s="431">
        <f t="shared" si="33"/>
        <v>3</v>
      </c>
      <c r="O229" s="432">
        <v>0</v>
      </c>
      <c r="P229" s="432">
        <v>0</v>
      </c>
      <c r="Q229" s="432">
        <v>0</v>
      </c>
      <c r="R229" s="1">
        <v>7</v>
      </c>
      <c r="S229" s="1">
        <v>10</v>
      </c>
      <c r="T229" s="300">
        <f t="shared" si="34"/>
        <v>212</v>
      </c>
      <c r="U229" s="3"/>
      <c r="V229" s="3"/>
      <c r="W229" s="3"/>
      <c r="X229" s="3"/>
      <c r="Y229" s="3"/>
      <c r="Z229" s="20">
        <f t="shared" si="31"/>
        <v>194</v>
      </c>
      <c r="AA229" s="20">
        <f t="shared" si="30"/>
        <v>3</v>
      </c>
      <c r="AB229" s="20">
        <f t="shared" si="30"/>
        <v>0</v>
      </c>
      <c r="AC229" s="20">
        <f t="shared" si="30"/>
        <v>0</v>
      </c>
      <c r="AD229" s="20">
        <f t="shared" si="29"/>
        <v>0</v>
      </c>
      <c r="AE229" s="20">
        <f t="shared" si="29"/>
        <v>7</v>
      </c>
      <c r="AF229" s="20">
        <f t="shared" si="29"/>
        <v>10</v>
      </c>
      <c r="AG229" s="300">
        <f t="shared" si="32"/>
        <v>214</v>
      </c>
      <c r="AH229" s="42">
        <f t="shared" si="36"/>
        <v>2</v>
      </c>
      <c r="AI229" s="42">
        <f t="shared" si="36"/>
        <v>0</v>
      </c>
      <c r="AJ229" s="42">
        <f t="shared" si="36"/>
        <v>0</v>
      </c>
      <c r="AK229" s="42">
        <f t="shared" si="36"/>
        <v>0</v>
      </c>
      <c r="AL229" s="42">
        <f t="shared" si="36"/>
        <v>0</v>
      </c>
      <c r="AM229" s="42">
        <f t="shared" si="36"/>
        <v>0</v>
      </c>
      <c r="AN229" s="42">
        <f t="shared" si="36"/>
        <v>0</v>
      </c>
      <c r="AO229" s="42">
        <f t="shared" si="36"/>
        <v>2</v>
      </c>
    </row>
    <row r="230" spans="1:41" ht="15.75">
      <c r="A230" s="16">
        <f t="shared" si="35"/>
        <v>227</v>
      </c>
      <c r="B230" s="8">
        <v>2701</v>
      </c>
      <c r="C230" s="62" t="s">
        <v>2388</v>
      </c>
      <c r="D230" s="63" t="s">
        <v>2389</v>
      </c>
      <c r="E230" s="13" t="s">
        <v>2390</v>
      </c>
      <c r="F230" s="14" t="s">
        <v>2391</v>
      </c>
      <c r="G230" s="429" t="s">
        <v>6473</v>
      </c>
      <c r="H230" s="385">
        <v>30532</v>
      </c>
      <c r="I230" s="154">
        <v>43502</v>
      </c>
      <c r="J230" s="430" t="s">
        <v>6293</v>
      </c>
      <c r="K230" s="411" t="s">
        <v>6299</v>
      </c>
      <c r="L230" s="411" t="s">
        <v>6335</v>
      </c>
      <c r="M230" s="1">
        <v>192</v>
      </c>
      <c r="N230" s="431">
        <f t="shared" si="33"/>
        <v>3</v>
      </c>
      <c r="O230" s="432">
        <v>0</v>
      </c>
      <c r="P230" s="432">
        <v>0</v>
      </c>
      <c r="Q230" s="432">
        <v>0</v>
      </c>
      <c r="R230" s="1">
        <v>7</v>
      </c>
      <c r="S230" s="1">
        <v>10</v>
      </c>
      <c r="T230" s="300">
        <f t="shared" si="34"/>
        <v>212</v>
      </c>
      <c r="U230" s="3"/>
      <c r="V230" s="3"/>
      <c r="W230" s="3"/>
      <c r="X230" s="3"/>
      <c r="Y230" s="3"/>
      <c r="Z230" s="20">
        <f t="shared" si="31"/>
        <v>194</v>
      </c>
      <c r="AA230" s="20">
        <f t="shared" si="30"/>
        <v>3</v>
      </c>
      <c r="AB230" s="20">
        <f t="shared" si="30"/>
        <v>0</v>
      </c>
      <c r="AC230" s="20">
        <f t="shared" si="30"/>
        <v>0</v>
      </c>
      <c r="AD230" s="20">
        <f t="shared" si="29"/>
        <v>0</v>
      </c>
      <c r="AE230" s="20">
        <f t="shared" si="29"/>
        <v>7</v>
      </c>
      <c r="AF230" s="20">
        <f t="shared" si="29"/>
        <v>10</v>
      </c>
      <c r="AG230" s="300">
        <f t="shared" si="32"/>
        <v>214</v>
      </c>
      <c r="AH230" s="42">
        <f t="shared" si="36"/>
        <v>2</v>
      </c>
      <c r="AI230" s="42">
        <f t="shared" si="36"/>
        <v>0</v>
      </c>
      <c r="AJ230" s="42">
        <f t="shared" si="36"/>
        <v>0</v>
      </c>
      <c r="AK230" s="42">
        <f t="shared" si="36"/>
        <v>0</v>
      </c>
      <c r="AL230" s="42">
        <f t="shared" si="36"/>
        <v>0</v>
      </c>
      <c r="AM230" s="42">
        <f t="shared" si="36"/>
        <v>0</v>
      </c>
      <c r="AN230" s="42">
        <f t="shared" si="36"/>
        <v>0</v>
      </c>
      <c r="AO230" s="42">
        <f t="shared" si="36"/>
        <v>2</v>
      </c>
    </row>
    <row r="231" spans="1:41" ht="15.75">
      <c r="A231" s="16">
        <f t="shared" si="35"/>
        <v>228</v>
      </c>
      <c r="B231" s="456">
        <v>2679</v>
      </c>
      <c r="C231" s="62" t="s">
        <v>2401</v>
      </c>
      <c r="D231" s="63" t="s">
        <v>2402</v>
      </c>
      <c r="E231" s="13" t="s">
        <v>2403</v>
      </c>
      <c r="F231" s="14" t="s">
        <v>2404</v>
      </c>
      <c r="G231" s="429" t="s">
        <v>6475</v>
      </c>
      <c r="H231" s="385">
        <v>26419</v>
      </c>
      <c r="I231" s="154">
        <v>43498</v>
      </c>
      <c r="J231" s="430" t="s">
        <v>6293</v>
      </c>
      <c r="K231" s="411" t="s">
        <v>2405</v>
      </c>
      <c r="L231" s="411" t="s">
        <v>6348</v>
      </c>
      <c r="M231" s="1">
        <v>192</v>
      </c>
      <c r="N231" s="431">
        <f t="shared" si="33"/>
        <v>3</v>
      </c>
      <c r="O231" s="432">
        <v>0</v>
      </c>
      <c r="P231" s="432">
        <v>148</v>
      </c>
      <c r="Q231" s="432">
        <v>0</v>
      </c>
      <c r="R231" s="1">
        <v>7</v>
      </c>
      <c r="S231" s="1">
        <v>10</v>
      </c>
      <c r="T231" s="300">
        <f t="shared" si="34"/>
        <v>360</v>
      </c>
      <c r="U231" s="3"/>
      <c r="V231" s="3"/>
      <c r="W231" s="3"/>
      <c r="X231" s="3"/>
      <c r="Y231" s="3"/>
      <c r="Z231" s="20">
        <f t="shared" si="31"/>
        <v>194</v>
      </c>
      <c r="AA231" s="20">
        <f t="shared" si="30"/>
        <v>3</v>
      </c>
      <c r="AB231" s="20">
        <f t="shared" si="30"/>
        <v>0</v>
      </c>
      <c r="AC231" s="20">
        <f t="shared" si="30"/>
        <v>148</v>
      </c>
      <c r="AD231" s="20">
        <f t="shared" si="29"/>
        <v>0</v>
      </c>
      <c r="AE231" s="20">
        <f t="shared" si="29"/>
        <v>7</v>
      </c>
      <c r="AF231" s="20">
        <f t="shared" si="29"/>
        <v>10</v>
      </c>
      <c r="AG231" s="300">
        <f t="shared" si="32"/>
        <v>362</v>
      </c>
      <c r="AH231" s="42">
        <f t="shared" si="36"/>
        <v>2</v>
      </c>
      <c r="AI231" s="42">
        <f t="shared" si="36"/>
        <v>0</v>
      </c>
      <c r="AJ231" s="42">
        <f t="shared" si="36"/>
        <v>0</v>
      </c>
      <c r="AK231" s="42">
        <f t="shared" si="36"/>
        <v>0</v>
      </c>
      <c r="AL231" s="42">
        <f t="shared" si="36"/>
        <v>0</v>
      </c>
      <c r="AM231" s="42">
        <f t="shared" si="36"/>
        <v>0</v>
      </c>
      <c r="AN231" s="42">
        <f t="shared" si="36"/>
        <v>0</v>
      </c>
      <c r="AO231" s="42">
        <f t="shared" si="36"/>
        <v>2</v>
      </c>
    </row>
    <row r="232" spans="1:41" ht="15.75">
      <c r="A232" s="16">
        <f t="shared" si="35"/>
        <v>229</v>
      </c>
      <c r="B232" s="8">
        <v>2710</v>
      </c>
      <c r="C232" s="62" t="s">
        <v>552</v>
      </c>
      <c r="D232" s="63" t="s">
        <v>2434</v>
      </c>
      <c r="E232" s="13" t="s">
        <v>2327</v>
      </c>
      <c r="F232" s="14" t="s">
        <v>2435</v>
      </c>
      <c r="G232" s="429" t="s">
        <v>6475</v>
      </c>
      <c r="H232" s="385">
        <v>29314</v>
      </c>
      <c r="I232" s="154">
        <v>43508</v>
      </c>
      <c r="J232" s="430" t="s">
        <v>6293</v>
      </c>
      <c r="K232" s="411" t="s">
        <v>2405</v>
      </c>
      <c r="L232" s="411" t="s">
        <v>6348</v>
      </c>
      <c r="M232" s="1">
        <v>192</v>
      </c>
      <c r="N232" s="431">
        <f t="shared" si="33"/>
        <v>3</v>
      </c>
      <c r="O232" s="432">
        <v>0</v>
      </c>
      <c r="P232" s="432">
        <v>173</v>
      </c>
      <c r="Q232" s="432">
        <v>0</v>
      </c>
      <c r="R232" s="1">
        <v>7</v>
      </c>
      <c r="S232" s="1">
        <v>10</v>
      </c>
      <c r="T232" s="300">
        <f t="shared" si="34"/>
        <v>385</v>
      </c>
      <c r="U232" s="3"/>
      <c r="V232" s="3"/>
      <c r="W232" s="3"/>
      <c r="X232" s="3"/>
      <c r="Y232" s="3"/>
      <c r="Z232" s="20">
        <f t="shared" si="31"/>
        <v>194</v>
      </c>
      <c r="AA232" s="20">
        <f t="shared" ref="AA232:AF272" si="37">N232</f>
        <v>3</v>
      </c>
      <c r="AB232" s="20">
        <f t="shared" si="37"/>
        <v>0</v>
      </c>
      <c r="AC232" s="20">
        <f t="shared" si="37"/>
        <v>173</v>
      </c>
      <c r="AD232" s="20">
        <f t="shared" si="37"/>
        <v>0</v>
      </c>
      <c r="AE232" s="20">
        <f t="shared" si="37"/>
        <v>7</v>
      </c>
      <c r="AF232" s="20">
        <f t="shared" si="37"/>
        <v>10</v>
      </c>
      <c r="AG232" s="300">
        <f t="shared" si="32"/>
        <v>387</v>
      </c>
      <c r="AH232" s="42">
        <f t="shared" si="36"/>
        <v>2</v>
      </c>
      <c r="AI232" s="42">
        <f t="shared" si="36"/>
        <v>0</v>
      </c>
      <c r="AJ232" s="42">
        <f t="shared" si="36"/>
        <v>0</v>
      </c>
      <c r="AK232" s="42">
        <f t="shared" si="36"/>
        <v>0</v>
      </c>
      <c r="AL232" s="42">
        <f t="shared" si="36"/>
        <v>0</v>
      </c>
      <c r="AM232" s="42">
        <f t="shared" si="36"/>
        <v>0</v>
      </c>
      <c r="AN232" s="42">
        <f t="shared" si="36"/>
        <v>0</v>
      </c>
      <c r="AO232" s="42">
        <f t="shared" si="36"/>
        <v>2</v>
      </c>
    </row>
    <row r="233" spans="1:41" ht="15.75">
      <c r="A233" s="16">
        <f t="shared" si="35"/>
        <v>230</v>
      </c>
      <c r="B233" s="8">
        <v>2738</v>
      </c>
      <c r="C233" s="62" t="s">
        <v>2439</v>
      </c>
      <c r="D233" s="63" t="s">
        <v>2120</v>
      </c>
      <c r="E233" s="13" t="s">
        <v>95</v>
      </c>
      <c r="F233" s="14" t="s">
        <v>2440</v>
      </c>
      <c r="G233" s="429" t="s">
        <v>6473</v>
      </c>
      <c r="H233" s="385">
        <v>32987</v>
      </c>
      <c r="I233" s="154">
        <v>43509</v>
      </c>
      <c r="J233" s="430" t="s">
        <v>6293</v>
      </c>
      <c r="K233" s="411" t="s">
        <v>6295</v>
      </c>
      <c r="L233" s="411" t="s">
        <v>6335</v>
      </c>
      <c r="M233" s="1">
        <v>192</v>
      </c>
      <c r="N233" s="431">
        <f t="shared" si="33"/>
        <v>3</v>
      </c>
      <c r="O233" s="432">
        <v>0</v>
      </c>
      <c r="P233" s="432">
        <v>0</v>
      </c>
      <c r="Q233" s="432">
        <v>0</v>
      </c>
      <c r="R233" s="1">
        <v>7</v>
      </c>
      <c r="S233" s="1">
        <v>10</v>
      </c>
      <c r="T233" s="300">
        <f t="shared" si="34"/>
        <v>212</v>
      </c>
      <c r="U233" s="3"/>
      <c r="V233" s="3"/>
      <c r="W233" s="3"/>
      <c r="X233" s="3"/>
      <c r="Y233" s="3"/>
      <c r="Z233" s="20">
        <f t="shared" si="31"/>
        <v>194</v>
      </c>
      <c r="AA233" s="20">
        <f t="shared" si="37"/>
        <v>3</v>
      </c>
      <c r="AB233" s="20">
        <f t="shared" si="37"/>
        <v>0</v>
      </c>
      <c r="AC233" s="20">
        <f t="shared" si="37"/>
        <v>0</v>
      </c>
      <c r="AD233" s="20">
        <f t="shared" si="37"/>
        <v>0</v>
      </c>
      <c r="AE233" s="20">
        <f t="shared" si="37"/>
        <v>7</v>
      </c>
      <c r="AF233" s="20">
        <f t="shared" si="37"/>
        <v>10</v>
      </c>
      <c r="AG233" s="300">
        <f t="shared" si="32"/>
        <v>214</v>
      </c>
      <c r="AH233" s="42">
        <f t="shared" si="36"/>
        <v>2</v>
      </c>
      <c r="AI233" s="42">
        <f t="shared" si="36"/>
        <v>0</v>
      </c>
      <c r="AJ233" s="42">
        <f t="shared" si="36"/>
        <v>0</v>
      </c>
      <c r="AK233" s="42">
        <f t="shared" si="36"/>
        <v>0</v>
      </c>
      <c r="AL233" s="42">
        <f t="shared" si="36"/>
        <v>0</v>
      </c>
      <c r="AM233" s="42">
        <f t="shared" si="36"/>
        <v>0</v>
      </c>
      <c r="AN233" s="42">
        <f t="shared" si="36"/>
        <v>0</v>
      </c>
      <c r="AO233" s="42">
        <f t="shared" si="36"/>
        <v>2</v>
      </c>
    </row>
    <row r="234" spans="1:41" ht="15.75">
      <c r="A234" s="16">
        <f t="shared" si="35"/>
        <v>231</v>
      </c>
      <c r="B234" s="8">
        <v>2732</v>
      </c>
      <c r="C234" s="62" t="s">
        <v>644</v>
      </c>
      <c r="D234" s="63" t="s">
        <v>1705</v>
      </c>
      <c r="E234" s="13" t="s">
        <v>43</v>
      </c>
      <c r="F234" s="14" t="s">
        <v>58</v>
      </c>
      <c r="G234" s="429" t="s">
        <v>6473</v>
      </c>
      <c r="H234" s="385">
        <v>34532</v>
      </c>
      <c r="I234" s="154">
        <v>43507</v>
      </c>
      <c r="J234" s="430" t="s">
        <v>6293</v>
      </c>
      <c r="K234" s="411" t="s">
        <v>6299</v>
      </c>
      <c r="L234" s="411" t="s">
        <v>6335</v>
      </c>
      <c r="M234" s="1">
        <v>192</v>
      </c>
      <c r="N234" s="431">
        <f t="shared" si="33"/>
        <v>3</v>
      </c>
      <c r="O234" s="432">
        <v>0</v>
      </c>
      <c r="P234" s="432">
        <v>0</v>
      </c>
      <c r="Q234" s="432">
        <v>0</v>
      </c>
      <c r="R234" s="1">
        <v>7</v>
      </c>
      <c r="S234" s="1">
        <v>10</v>
      </c>
      <c r="T234" s="300">
        <f t="shared" si="34"/>
        <v>212</v>
      </c>
      <c r="U234" s="3"/>
      <c r="V234" s="3"/>
      <c r="W234" s="3"/>
      <c r="X234" s="3"/>
      <c r="Y234" s="3"/>
      <c r="Z234" s="20">
        <f t="shared" si="31"/>
        <v>194</v>
      </c>
      <c r="AA234" s="20">
        <f t="shared" si="37"/>
        <v>3</v>
      </c>
      <c r="AB234" s="20">
        <f t="shared" si="37"/>
        <v>0</v>
      </c>
      <c r="AC234" s="20">
        <f t="shared" si="37"/>
        <v>0</v>
      </c>
      <c r="AD234" s="20">
        <f t="shared" si="37"/>
        <v>0</v>
      </c>
      <c r="AE234" s="20">
        <f t="shared" si="37"/>
        <v>7</v>
      </c>
      <c r="AF234" s="20">
        <f t="shared" si="37"/>
        <v>10</v>
      </c>
      <c r="AG234" s="300">
        <f t="shared" si="32"/>
        <v>214</v>
      </c>
      <c r="AH234" s="42">
        <f t="shared" si="36"/>
        <v>2</v>
      </c>
      <c r="AI234" s="42">
        <f t="shared" si="36"/>
        <v>0</v>
      </c>
      <c r="AJ234" s="42">
        <f t="shared" si="36"/>
        <v>0</v>
      </c>
      <c r="AK234" s="42">
        <f t="shared" si="36"/>
        <v>0</v>
      </c>
      <c r="AL234" s="42">
        <f t="shared" si="36"/>
        <v>0</v>
      </c>
      <c r="AM234" s="42">
        <f t="shared" si="36"/>
        <v>0</v>
      </c>
      <c r="AN234" s="42">
        <f t="shared" si="36"/>
        <v>0</v>
      </c>
      <c r="AO234" s="42">
        <f t="shared" si="36"/>
        <v>2</v>
      </c>
    </row>
    <row r="235" spans="1:41" ht="15.75">
      <c r="A235" s="16">
        <f t="shared" si="35"/>
        <v>232</v>
      </c>
      <c r="B235" s="8">
        <v>2703</v>
      </c>
      <c r="C235" s="62" t="s">
        <v>2491</v>
      </c>
      <c r="D235" s="63" t="s">
        <v>1249</v>
      </c>
      <c r="E235" s="13" t="s">
        <v>2254</v>
      </c>
      <c r="F235" s="14" t="s">
        <v>2492</v>
      </c>
      <c r="G235" s="429" t="s">
        <v>6473</v>
      </c>
      <c r="H235" s="385">
        <v>33364</v>
      </c>
      <c r="I235" s="154">
        <v>43502</v>
      </c>
      <c r="J235" s="430" t="s">
        <v>6293</v>
      </c>
      <c r="K235" s="411" t="s">
        <v>6297</v>
      </c>
      <c r="L235" s="411" t="s">
        <v>6335</v>
      </c>
      <c r="M235" s="1">
        <v>192</v>
      </c>
      <c r="N235" s="431">
        <f t="shared" si="33"/>
        <v>3</v>
      </c>
      <c r="O235" s="432">
        <v>0</v>
      </c>
      <c r="P235" s="432">
        <v>0</v>
      </c>
      <c r="Q235" s="432">
        <v>0</v>
      </c>
      <c r="R235" s="1">
        <v>7</v>
      </c>
      <c r="S235" s="1">
        <v>10</v>
      </c>
      <c r="T235" s="300">
        <f t="shared" si="34"/>
        <v>212</v>
      </c>
      <c r="U235" s="3"/>
      <c r="V235" s="3"/>
      <c r="W235" s="3"/>
      <c r="X235" s="3"/>
      <c r="Y235" s="3"/>
      <c r="Z235" s="20">
        <f t="shared" si="31"/>
        <v>194</v>
      </c>
      <c r="AA235" s="20">
        <f t="shared" si="37"/>
        <v>3</v>
      </c>
      <c r="AB235" s="20">
        <f t="shared" si="37"/>
        <v>0</v>
      </c>
      <c r="AC235" s="20">
        <f t="shared" si="37"/>
        <v>0</v>
      </c>
      <c r="AD235" s="20">
        <f t="shared" si="37"/>
        <v>0</v>
      </c>
      <c r="AE235" s="20">
        <f t="shared" si="37"/>
        <v>7</v>
      </c>
      <c r="AF235" s="20">
        <f t="shared" si="37"/>
        <v>10</v>
      </c>
      <c r="AG235" s="300">
        <f t="shared" si="32"/>
        <v>214</v>
      </c>
      <c r="AH235" s="42">
        <f t="shared" si="36"/>
        <v>2</v>
      </c>
      <c r="AI235" s="42">
        <f t="shared" si="36"/>
        <v>0</v>
      </c>
      <c r="AJ235" s="42">
        <f t="shared" si="36"/>
        <v>0</v>
      </c>
      <c r="AK235" s="42">
        <f t="shared" ref="AK235:AO282" si="38">AC235-P235</f>
        <v>0</v>
      </c>
      <c r="AL235" s="42">
        <f t="shared" si="38"/>
        <v>0</v>
      </c>
      <c r="AM235" s="42">
        <f t="shared" si="38"/>
        <v>0</v>
      </c>
      <c r="AN235" s="42">
        <f t="shared" si="38"/>
        <v>0</v>
      </c>
      <c r="AO235" s="42">
        <f t="shared" si="38"/>
        <v>2</v>
      </c>
    </row>
    <row r="236" spans="1:41" ht="15.75">
      <c r="A236" s="16">
        <f t="shared" si="35"/>
        <v>233</v>
      </c>
      <c r="B236" s="8">
        <v>2808</v>
      </c>
      <c r="C236" s="304" t="s">
        <v>2497</v>
      </c>
      <c r="D236" s="305" t="s">
        <v>2498</v>
      </c>
      <c r="E236" s="13" t="s">
        <v>2197</v>
      </c>
      <c r="F236" s="14" t="s">
        <v>2499</v>
      </c>
      <c r="G236" s="429" t="s">
        <v>6473</v>
      </c>
      <c r="H236" s="385">
        <v>32731</v>
      </c>
      <c r="I236" s="154">
        <v>43549</v>
      </c>
      <c r="J236" s="430" t="s">
        <v>6293</v>
      </c>
      <c r="K236" s="411" t="s">
        <v>6296</v>
      </c>
      <c r="L236" s="411" t="s">
        <v>6335</v>
      </c>
      <c r="M236" s="1">
        <v>192</v>
      </c>
      <c r="N236" s="431">
        <f t="shared" si="33"/>
        <v>3</v>
      </c>
      <c r="O236" s="432">
        <v>0</v>
      </c>
      <c r="P236" s="432">
        <v>0</v>
      </c>
      <c r="Q236" s="432">
        <v>0</v>
      </c>
      <c r="R236" s="1">
        <v>7</v>
      </c>
      <c r="S236" s="1">
        <v>10</v>
      </c>
      <c r="T236" s="300">
        <f t="shared" si="34"/>
        <v>212</v>
      </c>
      <c r="U236" s="3"/>
      <c r="V236" s="3"/>
      <c r="W236" s="3"/>
      <c r="X236" s="3"/>
      <c r="Y236" s="3"/>
      <c r="Z236" s="20">
        <f t="shared" si="31"/>
        <v>194</v>
      </c>
      <c r="AA236" s="20">
        <f t="shared" si="37"/>
        <v>3</v>
      </c>
      <c r="AB236" s="20">
        <f t="shared" si="37"/>
        <v>0</v>
      </c>
      <c r="AC236" s="20">
        <f t="shared" si="37"/>
        <v>0</v>
      </c>
      <c r="AD236" s="20">
        <f t="shared" si="37"/>
        <v>0</v>
      </c>
      <c r="AE236" s="20">
        <f t="shared" si="37"/>
        <v>7</v>
      </c>
      <c r="AF236" s="20">
        <f t="shared" si="37"/>
        <v>10</v>
      </c>
      <c r="AG236" s="300">
        <f t="shared" si="32"/>
        <v>214</v>
      </c>
      <c r="AH236" s="42">
        <f t="shared" ref="AH236:AO296" si="39">Z236-M236</f>
        <v>2</v>
      </c>
      <c r="AI236" s="42">
        <f t="shared" si="39"/>
        <v>0</v>
      </c>
      <c r="AJ236" s="42">
        <f t="shared" si="39"/>
        <v>0</v>
      </c>
      <c r="AK236" s="42">
        <f t="shared" si="38"/>
        <v>0</v>
      </c>
      <c r="AL236" s="42">
        <f t="shared" si="38"/>
        <v>0</v>
      </c>
      <c r="AM236" s="42">
        <f t="shared" si="38"/>
        <v>0</v>
      </c>
      <c r="AN236" s="42">
        <f t="shared" si="38"/>
        <v>0</v>
      </c>
      <c r="AO236" s="42">
        <f t="shared" si="38"/>
        <v>2</v>
      </c>
    </row>
    <row r="237" spans="1:41" ht="15.75">
      <c r="A237" s="16">
        <f t="shared" si="35"/>
        <v>234</v>
      </c>
      <c r="B237" s="8">
        <v>2838</v>
      </c>
      <c r="C237" s="304" t="s">
        <v>2508</v>
      </c>
      <c r="D237" s="305" t="s">
        <v>2509</v>
      </c>
      <c r="E237" s="13" t="s">
        <v>2510</v>
      </c>
      <c r="F237" s="14" t="s">
        <v>2511</v>
      </c>
      <c r="G237" s="429" t="s">
        <v>6473</v>
      </c>
      <c r="H237" s="385">
        <v>28250</v>
      </c>
      <c r="I237" s="154">
        <v>43578</v>
      </c>
      <c r="J237" s="430" t="s">
        <v>6293</v>
      </c>
      <c r="K237" s="411" t="s">
        <v>6309</v>
      </c>
      <c r="L237" s="411" t="s">
        <v>6339</v>
      </c>
      <c r="M237" s="1">
        <v>192</v>
      </c>
      <c r="N237" s="431">
        <f t="shared" si="33"/>
        <v>3</v>
      </c>
      <c r="O237" s="432">
        <v>0</v>
      </c>
      <c r="P237" s="432">
        <v>0</v>
      </c>
      <c r="Q237" s="432">
        <v>0</v>
      </c>
      <c r="R237" s="1">
        <v>7</v>
      </c>
      <c r="S237" s="1">
        <v>10</v>
      </c>
      <c r="T237" s="300">
        <f t="shared" si="34"/>
        <v>212</v>
      </c>
      <c r="U237" s="3"/>
      <c r="V237" s="3"/>
      <c r="W237" s="3"/>
      <c r="X237" s="3"/>
      <c r="Y237" s="3"/>
      <c r="Z237" s="20">
        <f t="shared" si="31"/>
        <v>194</v>
      </c>
      <c r="AA237" s="20">
        <f t="shared" si="37"/>
        <v>3</v>
      </c>
      <c r="AB237" s="20">
        <f t="shared" si="37"/>
        <v>0</v>
      </c>
      <c r="AC237" s="20">
        <f t="shared" si="37"/>
        <v>0</v>
      </c>
      <c r="AD237" s="20">
        <f t="shared" si="37"/>
        <v>0</v>
      </c>
      <c r="AE237" s="20">
        <f t="shared" si="37"/>
        <v>7</v>
      </c>
      <c r="AF237" s="20">
        <f t="shared" si="37"/>
        <v>10</v>
      </c>
      <c r="AG237" s="300">
        <f t="shared" si="32"/>
        <v>214</v>
      </c>
      <c r="AH237" s="42">
        <f t="shared" si="39"/>
        <v>2</v>
      </c>
      <c r="AI237" s="42">
        <f t="shared" si="39"/>
        <v>0</v>
      </c>
      <c r="AJ237" s="42">
        <f t="shared" si="39"/>
        <v>0</v>
      </c>
      <c r="AK237" s="42">
        <f t="shared" si="38"/>
        <v>0</v>
      </c>
      <c r="AL237" s="42">
        <f t="shared" si="38"/>
        <v>0</v>
      </c>
      <c r="AM237" s="42">
        <f t="shared" si="38"/>
        <v>0</v>
      </c>
      <c r="AN237" s="42">
        <f t="shared" si="38"/>
        <v>0</v>
      </c>
      <c r="AO237" s="42">
        <f t="shared" si="38"/>
        <v>2</v>
      </c>
    </row>
    <row r="238" spans="1:41" ht="15.75">
      <c r="A238" s="16">
        <f t="shared" si="35"/>
        <v>235</v>
      </c>
      <c r="B238" s="8">
        <v>2827</v>
      </c>
      <c r="C238" s="304" t="s">
        <v>2545</v>
      </c>
      <c r="D238" s="305" t="s">
        <v>2546</v>
      </c>
      <c r="E238" s="13" t="s">
        <v>37</v>
      </c>
      <c r="F238" s="14" t="s">
        <v>38</v>
      </c>
      <c r="G238" s="429" t="s">
        <v>6473</v>
      </c>
      <c r="H238" s="385">
        <v>31328</v>
      </c>
      <c r="I238" s="154">
        <v>43577</v>
      </c>
      <c r="J238" s="430" t="s">
        <v>6293</v>
      </c>
      <c r="K238" s="411" t="s">
        <v>45</v>
      </c>
      <c r="L238" s="411" t="s">
        <v>6344</v>
      </c>
      <c r="M238" s="1">
        <v>192</v>
      </c>
      <c r="N238" s="431">
        <f t="shared" si="33"/>
        <v>3</v>
      </c>
      <c r="O238" s="432">
        <v>0</v>
      </c>
      <c r="P238" s="432">
        <v>0</v>
      </c>
      <c r="Q238" s="432">
        <v>0</v>
      </c>
      <c r="R238" s="1">
        <v>7</v>
      </c>
      <c r="S238" s="1">
        <v>10</v>
      </c>
      <c r="T238" s="300">
        <f t="shared" si="34"/>
        <v>212</v>
      </c>
      <c r="U238" s="3"/>
      <c r="V238" s="3"/>
      <c r="W238" s="3"/>
      <c r="X238" s="3"/>
      <c r="Y238" s="3"/>
      <c r="Z238" s="20">
        <f t="shared" si="31"/>
        <v>194</v>
      </c>
      <c r="AA238" s="20">
        <f t="shared" si="37"/>
        <v>3</v>
      </c>
      <c r="AB238" s="20">
        <f t="shared" si="37"/>
        <v>0</v>
      </c>
      <c r="AC238" s="20">
        <f t="shared" si="37"/>
        <v>0</v>
      </c>
      <c r="AD238" s="20">
        <f t="shared" si="37"/>
        <v>0</v>
      </c>
      <c r="AE238" s="20">
        <f t="shared" si="37"/>
        <v>7</v>
      </c>
      <c r="AF238" s="20">
        <f t="shared" si="37"/>
        <v>10</v>
      </c>
      <c r="AG238" s="300">
        <f t="shared" si="32"/>
        <v>214</v>
      </c>
      <c r="AH238" s="42">
        <f t="shared" si="39"/>
        <v>2</v>
      </c>
      <c r="AI238" s="42">
        <f t="shared" si="39"/>
        <v>0</v>
      </c>
      <c r="AJ238" s="42">
        <f t="shared" si="39"/>
        <v>0</v>
      </c>
      <c r="AK238" s="42">
        <f t="shared" si="38"/>
        <v>0</v>
      </c>
      <c r="AL238" s="42">
        <f t="shared" si="38"/>
        <v>0</v>
      </c>
      <c r="AM238" s="42">
        <f t="shared" si="38"/>
        <v>0</v>
      </c>
      <c r="AN238" s="42">
        <f t="shared" si="38"/>
        <v>0</v>
      </c>
      <c r="AO238" s="42">
        <f t="shared" si="38"/>
        <v>2</v>
      </c>
    </row>
    <row r="239" spans="1:41" ht="15.75">
      <c r="A239" s="16">
        <f t="shared" si="35"/>
        <v>236</v>
      </c>
      <c r="B239" s="8">
        <v>2840</v>
      </c>
      <c r="C239" s="304" t="s">
        <v>2575</v>
      </c>
      <c r="D239" s="305" t="s">
        <v>2576</v>
      </c>
      <c r="E239" s="13" t="s">
        <v>2577</v>
      </c>
      <c r="F239" s="14" t="s">
        <v>2578</v>
      </c>
      <c r="G239" s="429" t="s">
        <v>6475</v>
      </c>
      <c r="H239" s="385">
        <v>35349</v>
      </c>
      <c r="I239" s="154">
        <v>43578</v>
      </c>
      <c r="J239" s="430" t="s">
        <v>6293</v>
      </c>
      <c r="K239" s="411" t="s">
        <v>6304</v>
      </c>
      <c r="L239" s="411" t="s">
        <v>6335</v>
      </c>
      <c r="M239" s="1">
        <v>192</v>
      </c>
      <c r="N239" s="431">
        <f t="shared" si="33"/>
        <v>3</v>
      </c>
      <c r="O239" s="432">
        <v>0</v>
      </c>
      <c r="P239" s="432">
        <v>0</v>
      </c>
      <c r="Q239" s="432">
        <v>0</v>
      </c>
      <c r="R239" s="1">
        <v>7</v>
      </c>
      <c r="S239" s="1">
        <v>10</v>
      </c>
      <c r="T239" s="300">
        <f t="shared" si="34"/>
        <v>212</v>
      </c>
      <c r="U239" s="3"/>
      <c r="V239" s="3"/>
      <c r="W239" s="3"/>
      <c r="X239" s="3"/>
      <c r="Y239" s="3"/>
      <c r="Z239" s="20">
        <f t="shared" si="31"/>
        <v>194</v>
      </c>
      <c r="AA239" s="20">
        <f t="shared" si="37"/>
        <v>3</v>
      </c>
      <c r="AB239" s="20">
        <f t="shared" si="37"/>
        <v>0</v>
      </c>
      <c r="AC239" s="20">
        <f t="shared" si="37"/>
        <v>0</v>
      </c>
      <c r="AD239" s="20">
        <f t="shared" si="37"/>
        <v>0</v>
      </c>
      <c r="AE239" s="20">
        <f t="shared" si="37"/>
        <v>7</v>
      </c>
      <c r="AF239" s="20">
        <f t="shared" si="37"/>
        <v>10</v>
      </c>
      <c r="AG239" s="300">
        <f t="shared" si="32"/>
        <v>214</v>
      </c>
      <c r="AH239" s="42">
        <f t="shared" si="39"/>
        <v>2</v>
      </c>
      <c r="AI239" s="42">
        <f t="shared" si="39"/>
        <v>0</v>
      </c>
      <c r="AJ239" s="42">
        <f t="shared" si="39"/>
        <v>0</v>
      </c>
      <c r="AK239" s="42">
        <f t="shared" si="38"/>
        <v>0</v>
      </c>
      <c r="AL239" s="42">
        <f t="shared" si="38"/>
        <v>0</v>
      </c>
      <c r="AM239" s="42">
        <f t="shared" si="38"/>
        <v>0</v>
      </c>
      <c r="AN239" s="42">
        <f t="shared" si="38"/>
        <v>0</v>
      </c>
      <c r="AO239" s="42">
        <f t="shared" si="38"/>
        <v>2</v>
      </c>
    </row>
    <row r="240" spans="1:41" ht="15.75">
      <c r="A240" s="16">
        <f t="shared" si="35"/>
        <v>237</v>
      </c>
      <c r="B240" s="8">
        <v>2847</v>
      </c>
      <c r="C240" s="304" t="s">
        <v>1648</v>
      </c>
      <c r="D240" s="305" t="s">
        <v>1150</v>
      </c>
      <c r="E240" s="13" t="s">
        <v>2582</v>
      </c>
      <c r="F240" s="14" t="s">
        <v>2583</v>
      </c>
      <c r="G240" s="429" t="s">
        <v>6473</v>
      </c>
      <c r="H240" s="385">
        <v>35747</v>
      </c>
      <c r="I240" s="154">
        <v>43578</v>
      </c>
      <c r="J240" s="430" t="s">
        <v>6293</v>
      </c>
      <c r="K240" s="411" t="s">
        <v>6083</v>
      </c>
      <c r="L240" s="411" t="s">
        <v>6335</v>
      </c>
      <c r="M240" s="1">
        <v>192</v>
      </c>
      <c r="N240" s="431">
        <f t="shared" si="33"/>
        <v>3</v>
      </c>
      <c r="O240" s="432">
        <v>0</v>
      </c>
      <c r="P240" s="432">
        <v>0</v>
      </c>
      <c r="Q240" s="432">
        <v>0</v>
      </c>
      <c r="R240" s="1">
        <v>7</v>
      </c>
      <c r="S240" s="1">
        <v>10</v>
      </c>
      <c r="T240" s="300">
        <f t="shared" si="34"/>
        <v>212</v>
      </c>
      <c r="U240" s="3"/>
      <c r="V240" s="3"/>
      <c r="W240" s="3"/>
      <c r="X240" s="3"/>
      <c r="Y240" s="3"/>
      <c r="Z240" s="20">
        <f t="shared" si="31"/>
        <v>194</v>
      </c>
      <c r="AA240" s="20">
        <f t="shared" si="37"/>
        <v>3</v>
      </c>
      <c r="AB240" s="20">
        <f t="shared" si="37"/>
        <v>0</v>
      </c>
      <c r="AC240" s="20">
        <f t="shared" si="37"/>
        <v>0</v>
      </c>
      <c r="AD240" s="20">
        <f t="shared" si="37"/>
        <v>0</v>
      </c>
      <c r="AE240" s="20">
        <f t="shared" si="37"/>
        <v>7</v>
      </c>
      <c r="AF240" s="20">
        <f t="shared" si="37"/>
        <v>10</v>
      </c>
      <c r="AG240" s="300">
        <f t="shared" si="32"/>
        <v>214</v>
      </c>
      <c r="AH240" s="42">
        <f t="shared" si="39"/>
        <v>2</v>
      </c>
      <c r="AI240" s="42">
        <f t="shared" si="39"/>
        <v>0</v>
      </c>
      <c r="AJ240" s="42">
        <f t="shared" si="39"/>
        <v>0</v>
      </c>
      <c r="AK240" s="42">
        <f t="shared" si="38"/>
        <v>0</v>
      </c>
      <c r="AL240" s="42">
        <f t="shared" si="38"/>
        <v>0</v>
      </c>
      <c r="AM240" s="42">
        <f t="shared" si="38"/>
        <v>0</v>
      </c>
      <c r="AN240" s="42">
        <f t="shared" si="38"/>
        <v>0</v>
      </c>
      <c r="AO240" s="42">
        <f t="shared" si="38"/>
        <v>2</v>
      </c>
    </row>
    <row r="241" spans="1:41" ht="15.75">
      <c r="A241" s="16">
        <f t="shared" si="35"/>
        <v>238</v>
      </c>
      <c r="B241" s="8">
        <v>2851</v>
      </c>
      <c r="C241" s="304" t="s">
        <v>1872</v>
      </c>
      <c r="D241" s="305" t="s">
        <v>989</v>
      </c>
      <c r="E241" s="13" t="s">
        <v>87</v>
      </c>
      <c r="F241" s="14" t="s">
        <v>88</v>
      </c>
      <c r="G241" s="429" t="s">
        <v>6475</v>
      </c>
      <c r="H241" s="385">
        <v>35160</v>
      </c>
      <c r="I241" s="154">
        <v>43573</v>
      </c>
      <c r="J241" s="430" t="s">
        <v>6293</v>
      </c>
      <c r="K241" s="411" t="s">
        <v>6104</v>
      </c>
      <c r="L241" s="411" t="s">
        <v>6345</v>
      </c>
      <c r="M241" s="1">
        <v>192</v>
      </c>
      <c r="N241" s="431">
        <f t="shared" si="33"/>
        <v>3</v>
      </c>
      <c r="O241" s="432">
        <v>0</v>
      </c>
      <c r="P241" s="432">
        <v>20</v>
      </c>
      <c r="Q241" s="432">
        <v>0</v>
      </c>
      <c r="R241" s="1">
        <v>7</v>
      </c>
      <c r="S241" s="1">
        <v>10</v>
      </c>
      <c r="T241" s="300">
        <f t="shared" si="34"/>
        <v>232</v>
      </c>
      <c r="U241" s="3"/>
      <c r="V241" s="3"/>
      <c r="W241" s="3"/>
      <c r="X241" s="3"/>
      <c r="Y241" s="3"/>
      <c r="Z241" s="20">
        <f t="shared" si="31"/>
        <v>194</v>
      </c>
      <c r="AA241" s="20">
        <f t="shared" si="37"/>
        <v>3</v>
      </c>
      <c r="AB241" s="20">
        <f t="shared" si="37"/>
        <v>0</v>
      </c>
      <c r="AC241" s="20">
        <f t="shared" si="37"/>
        <v>20</v>
      </c>
      <c r="AD241" s="20">
        <f t="shared" si="37"/>
        <v>0</v>
      </c>
      <c r="AE241" s="20">
        <f t="shared" si="37"/>
        <v>7</v>
      </c>
      <c r="AF241" s="20">
        <f t="shared" si="37"/>
        <v>10</v>
      </c>
      <c r="AG241" s="300">
        <f t="shared" si="32"/>
        <v>234</v>
      </c>
      <c r="AH241" s="42">
        <f t="shared" si="39"/>
        <v>2</v>
      </c>
      <c r="AI241" s="42">
        <f t="shared" si="39"/>
        <v>0</v>
      </c>
      <c r="AJ241" s="42">
        <f t="shared" si="39"/>
        <v>0</v>
      </c>
      <c r="AK241" s="42">
        <f t="shared" si="38"/>
        <v>0</v>
      </c>
      <c r="AL241" s="42">
        <f t="shared" si="38"/>
        <v>0</v>
      </c>
      <c r="AM241" s="42">
        <f t="shared" si="38"/>
        <v>0</v>
      </c>
      <c r="AN241" s="42">
        <f t="shared" si="38"/>
        <v>0</v>
      </c>
      <c r="AO241" s="42">
        <f t="shared" si="38"/>
        <v>2</v>
      </c>
    </row>
    <row r="242" spans="1:41" ht="15.75">
      <c r="A242" s="16">
        <f t="shared" si="35"/>
        <v>239</v>
      </c>
      <c r="B242" s="8">
        <v>2833</v>
      </c>
      <c r="C242" s="304" t="s">
        <v>2609</v>
      </c>
      <c r="D242" s="305" t="s">
        <v>2610</v>
      </c>
      <c r="E242" s="13" t="s">
        <v>2611</v>
      </c>
      <c r="F242" s="14" t="s">
        <v>2612</v>
      </c>
      <c r="G242" s="429" t="s">
        <v>6473</v>
      </c>
      <c r="H242" s="385">
        <v>32253</v>
      </c>
      <c r="I242" s="154">
        <v>43578</v>
      </c>
      <c r="J242" s="430" t="s">
        <v>6293</v>
      </c>
      <c r="K242" s="411" t="s">
        <v>6299</v>
      </c>
      <c r="L242" s="411" t="s">
        <v>6335</v>
      </c>
      <c r="M242" s="1">
        <v>192</v>
      </c>
      <c r="N242" s="431">
        <f t="shared" si="33"/>
        <v>3</v>
      </c>
      <c r="O242" s="432">
        <v>0</v>
      </c>
      <c r="P242" s="432">
        <v>0</v>
      </c>
      <c r="Q242" s="432">
        <v>0</v>
      </c>
      <c r="R242" s="1">
        <v>7</v>
      </c>
      <c r="S242" s="1">
        <v>10</v>
      </c>
      <c r="T242" s="300">
        <f t="shared" si="34"/>
        <v>212</v>
      </c>
      <c r="U242" s="3"/>
      <c r="V242" s="3"/>
      <c r="W242" s="3"/>
      <c r="X242" s="3"/>
      <c r="Y242" s="3"/>
      <c r="Z242" s="20">
        <f t="shared" si="31"/>
        <v>194</v>
      </c>
      <c r="AA242" s="20">
        <f t="shared" si="37"/>
        <v>3</v>
      </c>
      <c r="AB242" s="20">
        <f t="shared" si="37"/>
        <v>0</v>
      </c>
      <c r="AC242" s="20">
        <f t="shared" si="37"/>
        <v>0</v>
      </c>
      <c r="AD242" s="20">
        <f t="shared" si="37"/>
        <v>0</v>
      </c>
      <c r="AE242" s="20">
        <f t="shared" si="37"/>
        <v>7</v>
      </c>
      <c r="AF242" s="20">
        <f t="shared" si="37"/>
        <v>10</v>
      </c>
      <c r="AG242" s="300">
        <f t="shared" si="32"/>
        <v>214</v>
      </c>
      <c r="AH242" s="42">
        <f t="shared" si="39"/>
        <v>2</v>
      </c>
      <c r="AI242" s="42">
        <f t="shared" si="39"/>
        <v>0</v>
      </c>
      <c r="AJ242" s="42">
        <f t="shared" si="39"/>
        <v>0</v>
      </c>
      <c r="AK242" s="42">
        <f t="shared" si="38"/>
        <v>0</v>
      </c>
      <c r="AL242" s="42">
        <f t="shared" si="38"/>
        <v>0</v>
      </c>
      <c r="AM242" s="42">
        <f t="shared" si="38"/>
        <v>0</v>
      </c>
      <c r="AN242" s="42">
        <f t="shared" si="38"/>
        <v>0</v>
      </c>
      <c r="AO242" s="42">
        <f t="shared" si="38"/>
        <v>2</v>
      </c>
    </row>
    <row r="243" spans="1:41" ht="15.75">
      <c r="A243" s="16">
        <f t="shared" si="35"/>
        <v>240</v>
      </c>
      <c r="B243" s="8">
        <v>2890</v>
      </c>
      <c r="C243" s="304" t="s">
        <v>2633</v>
      </c>
      <c r="D243" s="305" t="s">
        <v>2276</v>
      </c>
      <c r="E243" s="13" t="s">
        <v>41</v>
      </c>
      <c r="F243" s="14" t="s">
        <v>42</v>
      </c>
      <c r="G243" s="429" t="s">
        <v>6475</v>
      </c>
      <c r="H243" s="385">
        <v>34920</v>
      </c>
      <c r="I243" s="154">
        <v>43587</v>
      </c>
      <c r="J243" s="430" t="s">
        <v>6293</v>
      </c>
      <c r="K243" s="411" t="s">
        <v>45</v>
      </c>
      <c r="L243" s="411" t="s">
        <v>6344</v>
      </c>
      <c r="M243" s="1">
        <v>192</v>
      </c>
      <c r="N243" s="431">
        <f t="shared" si="33"/>
        <v>3</v>
      </c>
      <c r="O243" s="432">
        <v>0</v>
      </c>
      <c r="P243" s="432">
        <v>0</v>
      </c>
      <c r="Q243" s="432">
        <v>0</v>
      </c>
      <c r="R243" s="1">
        <v>7</v>
      </c>
      <c r="S243" s="1">
        <v>10</v>
      </c>
      <c r="T243" s="300">
        <f t="shared" si="34"/>
        <v>212</v>
      </c>
      <c r="U243" s="3"/>
      <c r="V243" s="3"/>
      <c r="W243" s="3"/>
      <c r="X243" s="3"/>
      <c r="Y243" s="3"/>
      <c r="Z243" s="20">
        <f t="shared" si="31"/>
        <v>194</v>
      </c>
      <c r="AA243" s="20">
        <f t="shared" si="37"/>
        <v>3</v>
      </c>
      <c r="AB243" s="20">
        <f t="shared" si="37"/>
        <v>0</v>
      </c>
      <c r="AC243" s="20">
        <f t="shared" si="37"/>
        <v>0</v>
      </c>
      <c r="AD243" s="20">
        <f t="shared" si="37"/>
        <v>0</v>
      </c>
      <c r="AE243" s="20">
        <f t="shared" si="37"/>
        <v>7</v>
      </c>
      <c r="AF243" s="20">
        <f t="shared" si="37"/>
        <v>10</v>
      </c>
      <c r="AG243" s="300">
        <f t="shared" si="32"/>
        <v>214</v>
      </c>
      <c r="AH243" s="42">
        <f t="shared" si="39"/>
        <v>2</v>
      </c>
      <c r="AI243" s="42">
        <f t="shared" si="39"/>
        <v>0</v>
      </c>
      <c r="AJ243" s="42">
        <f t="shared" si="39"/>
        <v>0</v>
      </c>
      <c r="AK243" s="42">
        <f t="shared" si="38"/>
        <v>0</v>
      </c>
      <c r="AL243" s="42">
        <f t="shared" si="38"/>
        <v>0</v>
      </c>
      <c r="AM243" s="42">
        <f t="shared" si="38"/>
        <v>0</v>
      </c>
      <c r="AN243" s="42">
        <f t="shared" si="38"/>
        <v>0</v>
      </c>
      <c r="AO243" s="42">
        <f t="shared" si="38"/>
        <v>2</v>
      </c>
    </row>
    <row r="244" spans="1:41" ht="15.75">
      <c r="A244" s="16">
        <f t="shared" si="35"/>
        <v>241</v>
      </c>
      <c r="B244" s="8">
        <v>2906</v>
      </c>
      <c r="C244" s="304" t="s">
        <v>899</v>
      </c>
      <c r="D244" s="305" t="s">
        <v>2159</v>
      </c>
      <c r="E244" s="13" t="s">
        <v>2202</v>
      </c>
      <c r="F244" s="14" t="s">
        <v>2644</v>
      </c>
      <c r="G244" s="429" t="s">
        <v>6473</v>
      </c>
      <c r="H244" s="385">
        <v>25684</v>
      </c>
      <c r="I244" s="154">
        <v>43591</v>
      </c>
      <c r="J244" s="430" t="s">
        <v>6159</v>
      </c>
      <c r="K244" s="366" t="s">
        <v>3070</v>
      </c>
      <c r="L244" s="411" t="s">
        <v>194</v>
      </c>
      <c r="M244" s="1">
        <v>192</v>
      </c>
      <c r="N244" s="431">
        <f t="shared" si="33"/>
        <v>3</v>
      </c>
      <c r="O244" s="432">
        <v>0</v>
      </c>
      <c r="P244" s="432">
        <v>0</v>
      </c>
      <c r="Q244" s="432">
        <v>0</v>
      </c>
      <c r="R244" s="1">
        <v>7</v>
      </c>
      <c r="S244" s="1">
        <v>10</v>
      </c>
      <c r="T244" s="300">
        <f t="shared" si="34"/>
        <v>212</v>
      </c>
      <c r="U244" s="3"/>
      <c r="V244" s="3"/>
      <c r="W244" s="3"/>
      <c r="X244" s="3"/>
      <c r="Y244" s="3"/>
      <c r="Z244" s="20">
        <f t="shared" si="31"/>
        <v>194</v>
      </c>
      <c r="AA244" s="20">
        <f t="shared" si="37"/>
        <v>3</v>
      </c>
      <c r="AB244" s="20">
        <f t="shared" si="37"/>
        <v>0</v>
      </c>
      <c r="AC244" s="20">
        <f t="shared" si="37"/>
        <v>0</v>
      </c>
      <c r="AD244" s="20">
        <f t="shared" si="37"/>
        <v>0</v>
      </c>
      <c r="AE244" s="20">
        <f t="shared" si="37"/>
        <v>7</v>
      </c>
      <c r="AF244" s="20">
        <f t="shared" si="37"/>
        <v>10</v>
      </c>
      <c r="AG244" s="300">
        <f t="shared" si="32"/>
        <v>214</v>
      </c>
      <c r="AH244" s="42">
        <f t="shared" si="39"/>
        <v>2</v>
      </c>
      <c r="AI244" s="42">
        <f t="shared" si="39"/>
        <v>0</v>
      </c>
      <c r="AJ244" s="42">
        <f t="shared" si="39"/>
        <v>0</v>
      </c>
      <c r="AK244" s="42">
        <f t="shared" si="38"/>
        <v>0</v>
      </c>
      <c r="AL244" s="42">
        <f t="shared" si="38"/>
        <v>0</v>
      </c>
      <c r="AM244" s="42">
        <f t="shared" si="38"/>
        <v>0</v>
      </c>
      <c r="AN244" s="42">
        <f t="shared" si="38"/>
        <v>0</v>
      </c>
      <c r="AO244" s="42">
        <f t="shared" si="38"/>
        <v>2</v>
      </c>
    </row>
    <row r="245" spans="1:41" ht="15.75">
      <c r="A245" s="16">
        <f t="shared" si="35"/>
        <v>242</v>
      </c>
      <c r="B245" s="8">
        <v>2887</v>
      </c>
      <c r="C245" s="304" t="s">
        <v>2665</v>
      </c>
      <c r="D245" s="305" t="s">
        <v>2666</v>
      </c>
      <c r="E245" s="13" t="s">
        <v>2667</v>
      </c>
      <c r="F245" s="14" t="s">
        <v>2668</v>
      </c>
      <c r="G245" s="429" t="s">
        <v>6473</v>
      </c>
      <c r="H245" s="385">
        <v>31140</v>
      </c>
      <c r="I245" s="154">
        <v>43588</v>
      </c>
      <c r="J245" s="430" t="s">
        <v>6293</v>
      </c>
      <c r="K245" s="411" t="s">
        <v>6299</v>
      </c>
      <c r="L245" s="411" t="s">
        <v>6335</v>
      </c>
      <c r="M245" s="1">
        <v>192</v>
      </c>
      <c r="N245" s="431">
        <f t="shared" si="33"/>
        <v>3</v>
      </c>
      <c r="O245" s="432">
        <v>0</v>
      </c>
      <c r="P245" s="432">
        <v>0</v>
      </c>
      <c r="Q245" s="432">
        <v>0</v>
      </c>
      <c r="R245" s="1">
        <v>7</v>
      </c>
      <c r="S245" s="1">
        <v>10</v>
      </c>
      <c r="T245" s="300">
        <f t="shared" si="34"/>
        <v>212</v>
      </c>
      <c r="U245" s="3"/>
      <c r="V245" s="3"/>
      <c r="W245" s="3"/>
      <c r="X245" s="3"/>
      <c r="Y245" s="3"/>
      <c r="Z245" s="20">
        <f t="shared" si="31"/>
        <v>194</v>
      </c>
      <c r="AA245" s="20">
        <f t="shared" si="37"/>
        <v>3</v>
      </c>
      <c r="AB245" s="20">
        <f t="shared" si="37"/>
        <v>0</v>
      </c>
      <c r="AC245" s="20">
        <f t="shared" si="37"/>
        <v>0</v>
      </c>
      <c r="AD245" s="20">
        <f t="shared" si="37"/>
        <v>0</v>
      </c>
      <c r="AE245" s="20">
        <f t="shared" si="37"/>
        <v>7</v>
      </c>
      <c r="AF245" s="20">
        <f t="shared" si="37"/>
        <v>10</v>
      </c>
      <c r="AG245" s="300">
        <f t="shared" si="32"/>
        <v>214</v>
      </c>
      <c r="AH245" s="42">
        <f t="shared" si="39"/>
        <v>2</v>
      </c>
      <c r="AI245" s="42">
        <f t="shared" si="39"/>
        <v>0</v>
      </c>
      <c r="AJ245" s="42">
        <f t="shared" si="39"/>
        <v>0</v>
      </c>
      <c r="AK245" s="42">
        <f t="shared" si="38"/>
        <v>0</v>
      </c>
      <c r="AL245" s="42">
        <f t="shared" si="38"/>
        <v>0</v>
      </c>
      <c r="AM245" s="42">
        <f t="shared" si="38"/>
        <v>0</v>
      </c>
      <c r="AN245" s="42">
        <f t="shared" si="38"/>
        <v>0</v>
      </c>
      <c r="AO245" s="42">
        <f t="shared" si="38"/>
        <v>2</v>
      </c>
    </row>
    <row r="246" spans="1:41" ht="15.75">
      <c r="A246" s="16">
        <f t="shared" si="35"/>
        <v>243</v>
      </c>
      <c r="B246" s="8">
        <v>2897</v>
      </c>
      <c r="C246" s="304" t="s">
        <v>2674</v>
      </c>
      <c r="D246" s="305" t="s">
        <v>848</v>
      </c>
      <c r="E246" s="13" t="s">
        <v>2675</v>
      </c>
      <c r="F246" s="14" t="s">
        <v>2676</v>
      </c>
      <c r="G246" s="429" t="s">
        <v>6473</v>
      </c>
      <c r="H246" s="385">
        <v>31505</v>
      </c>
      <c r="I246" s="154">
        <v>43589</v>
      </c>
      <c r="J246" s="430" t="s">
        <v>6293</v>
      </c>
      <c r="K246" s="411" t="s">
        <v>6083</v>
      </c>
      <c r="L246" s="411" t="s">
        <v>6335</v>
      </c>
      <c r="M246" s="1">
        <v>192</v>
      </c>
      <c r="N246" s="431">
        <f t="shared" si="33"/>
        <v>3</v>
      </c>
      <c r="O246" s="432">
        <v>0</v>
      </c>
      <c r="P246" s="432">
        <v>0</v>
      </c>
      <c r="Q246" s="432">
        <v>0</v>
      </c>
      <c r="R246" s="1">
        <v>7</v>
      </c>
      <c r="S246" s="1">
        <v>10</v>
      </c>
      <c r="T246" s="300">
        <f t="shared" si="34"/>
        <v>212</v>
      </c>
      <c r="U246" s="3"/>
      <c r="V246" s="3"/>
      <c r="W246" s="3"/>
      <c r="X246" s="3"/>
      <c r="Y246" s="3"/>
      <c r="Z246" s="20">
        <f t="shared" si="31"/>
        <v>194</v>
      </c>
      <c r="AA246" s="20">
        <f t="shared" si="37"/>
        <v>3</v>
      </c>
      <c r="AB246" s="20">
        <f t="shared" si="37"/>
        <v>0</v>
      </c>
      <c r="AC246" s="20">
        <f t="shared" si="37"/>
        <v>0</v>
      </c>
      <c r="AD246" s="20">
        <f t="shared" si="37"/>
        <v>0</v>
      </c>
      <c r="AE246" s="20">
        <f t="shared" si="37"/>
        <v>7</v>
      </c>
      <c r="AF246" s="20">
        <f t="shared" si="37"/>
        <v>10</v>
      </c>
      <c r="AG246" s="300">
        <f t="shared" si="32"/>
        <v>214</v>
      </c>
      <c r="AH246" s="42">
        <f t="shared" si="39"/>
        <v>2</v>
      </c>
      <c r="AI246" s="42">
        <f t="shared" si="39"/>
        <v>0</v>
      </c>
      <c r="AJ246" s="42">
        <f t="shared" si="39"/>
        <v>0</v>
      </c>
      <c r="AK246" s="42">
        <f t="shared" si="38"/>
        <v>0</v>
      </c>
      <c r="AL246" s="42">
        <f t="shared" si="38"/>
        <v>0</v>
      </c>
      <c r="AM246" s="42">
        <f t="shared" si="38"/>
        <v>0</v>
      </c>
      <c r="AN246" s="42">
        <f t="shared" si="38"/>
        <v>0</v>
      </c>
      <c r="AO246" s="42">
        <f t="shared" si="38"/>
        <v>2</v>
      </c>
    </row>
    <row r="247" spans="1:41" ht="15.75">
      <c r="A247" s="16">
        <f t="shared" si="35"/>
        <v>244</v>
      </c>
      <c r="B247" s="8">
        <v>2898</v>
      </c>
      <c r="C247" s="304" t="s">
        <v>1791</v>
      </c>
      <c r="D247" s="305" t="s">
        <v>2685</v>
      </c>
      <c r="E247" s="13" t="s">
        <v>2108</v>
      </c>
      <c r="F247" s="14" t="s">
        <v>2686</v>
      </c>
      <c r="G247" s="429" t="s">
        <v>6473</v>
      </c>
      <c r="H247" s="385">
        <v>36267</v>
      </c>
      <c r="I247" s="154">
        <v>43592</v>
      </c>
      <c r="J247" s="430" t="s">
        <v>6293</v>
      </c>
      <c r="K247" s="411" t="s">
        <v>6302</v>
      </c>
      <c r="L247" s="411" t="s">
        <v>6335</v>
      </c>
      <c r="M247" s="1">
        <v>192</v>
      </c>
      <c r="N247" s="431">
        <f t="shared" si="33"/>
        <v>3</v>
      </c>
      <c r="O247" s="432">
        <v>0</v>
      </c>
      <c r="P247" s="432">
        <v>0</v>
      </c>
      <c r="Q247" s="432">
        <v>0</v>
      </c>
      <c r="R247" s="1">
        <v>7</v>
      </c>
      <c r="S247" s="1">
        <v>10</v>
      </c>
      <c r="T247" s="300">
        <f t="shared" si="34"/>
        <v>212</v>
      </c>
      <c r="U247" s="3"/>
      <c r="V247" s="3"/>
      <c r="W247" s="3"/>
      <c r="X247" s="3"/>
      <c r="Y247" s="3"/>
      <c r="Z247" s="20">
        <f t="shared" si="31"/>
        <v>194</v>
      </c>
      <c r="AA247" s="20">
        <f t="shared" si="37"/>
        <v>3</v>
      </c>
      <c r="AB247" s="20">
        <f t="shared" si="37"/>
        <v>0</v>
      </c>
      <c r="AC247" s="20">
        <f t="shared" si="37"/>
        <v>0</v>
      </c>
      <c r="AD247" s="20">
        <f t="shared" si="37"/>
        <v>0</v>
      </c>
      <c r="AE247" s="20">
        <f t="shared" si="37"/>
        <v>7</v>
      </c>
      <c r="AF247" s="20">
        <f t="shared" si="37"/>
        <v>10</v>
      </c>
      <c r="AG247" s="300">
        <f t="shared" si="32"/>
        <v>214</v>
      </c>
      <c r="AH247" s="42">
        <f t="shared" si="39"/>
        <v>2</v>
      </c>
      <c r="AI247" s="42">
        <f t="shared" si="39"/>
        <v>0</v>
      </c>
      <c r="AJ247" s="42">
        <f t="shared" si="39"/>
        <v>0</v>
      </c>
      <c r="AK247" s="42">
        <f t="shared" si="38"/>
        <v>0</v>
      </c>
      <c r="AL247" s="42">
        <f t="shared" si="38"/>
        <v>0</v>
      </c>
      <c r="AM247" s="42">
        <f t="shared" si="38"/>
        <v>0</v>
      </c>
      <c r="AN247" s="42">
        <f t="shared" si="38"/>
        <v>0</v>
      </c>
      <c r="AO247" s="42">
        <f t="shared" si="38"/>
        <v>2</v>
      </c>
    </row>
    <row r="248" spans="1:41" ht="15.75">
      <c r="A248" s="16">
        <f t="shared" si="35"/>
        <v>245</v>
      </c>
      <c r="B248" s="8">
        <v>2834</v>
      </c>
      <c r="C248" s="304" t="s">
        <v>2723</v>
      </c>
      <c r="D248" s="305" t="s">
        <v>2724</v>
      </c>
      <c r="E248" s="13" t="s">
        <v>2725</v>
      </c>
      <c r="F248" s="14" t="s">
        <v>2726</v>
      </c>
      <c r="G248" s="429" t="s">
        <v>6473</v>
      </c>
      <c r="H248" s="385">
        <v>33793</v>
      </c>
      <c r="I248" s="154">
        <v>43578</v>
      </c>
      <c r="J248" s="430" t="s">
        <v>6293</v>
      </c>
      <c r="K248" s="411" t="s">
        <v>6307</v>
      </c>
      <c r="L248" s="411" t="s">
        <v>6335</v>
      </c>
      <c r="M248" s="1">
        <v>192</v>
      </c>
      <c r="N248" s="431">
        <f t="shared" si="33"/>
        <v>3</v>
      </c>
      <c r="O248" s="432">
        <v>0</v>
      </c>
      <c r="P248" s="432">
        <v>0</v>
      </c>
      <c r="Q248" s="432">
        <v>0</v>
      </c>
      <c r="R248" s="1">
        <v>7</v>
      </c>
      <c r="S248" s="1">
        <v>10</v>
      </c>
      <c r="T248" s="300">
        <f t="shared" si="34"/>
        <v>212</v>
      </c>
      <c r="U248" s="3"/>
      <c r="V248" s="3"/>
      <c r="W248" s="3"/>
      <c r="X248" s="3"/>
      <c r="Y248" s="3"/>
      <c r="Z248" s="20">
        <f t="shared" si="31"/>
        <v>194</v>
      </c>
      <c r="AA248" s="20">
        <f t="shared" si="37"/>
        <v>3</v>
      </c>
      <c r="AB248" s="20">
        <f t="shared" si="37"/>
        <v>0</v>
      </c>
      <c r="AC248" s="20">
        <f t="shared" si="37"/>
        <v>0</v>
      </c>
      <c r="AD248" s="20">
        <f t="shared" si="37"/>
        <v>0</v>
      </c>
      <c r="AE248" s="20">
        <f t="shared" si="37"/>
        <v>7</v>
      </c>
      <c r="AF248" s="20">
        <f t="shared" si="37"/>
        <v>10</v>
      </c>
      <c r="AG248" s="300">
        <f t="shared" si="32"/>
        <v>214</v>
      </c>
      <c r="AH248" s="42">
        <f t="shared" si="39"/>
        <v>2</v>
      </c>
      <c r="AI248" s="42">
        <f t="shared" si="39"/>
        <v>0</v>
      </c>
      <c r="AJ248" s="42">
        <f t="shared" si="39"/>
        <v>0</v>
      </c>
      <c r="AK248" s="42">
        <f t="shared" si="38"/>
        <v>0</v>
      </c>
      <c r="AL248" s="42">
        <f t="shared" si="38"/>
        <v>0</v>
      </c>
      <c r="AM248" s="42">
        <f t="shared" si="38"/>
        <v>0</v>
      </c>
      <c r="AN248" s="42">
        <f t="shared" si="38"/>
        <v>0</v>
      </c>
      <c r="AO248" s="42">
        <f t="shared" si="38"/>
        <v>2</v>
      </c>
    </row>
    <row r="249" spans="1:41" ht="15.75">
      <c r="A249" s="16">
        <f t="shared" si="35"/>
        <v>246</v>
      </c>
      <c r="B249" s="8">
        <v>2943</v>
      </c>
      <c r="C249" s="304" t="s">
        <v>2730</v>
      </c>
      <c r="D249" s="305" t="s">
        <v>2164</v>
      </c>
      <c r="E249" s="13" t="s">
        <v>2731</v>
      </c>
      <c r="F249" s="14" t="s">
        <v>2732</v>
      </c>
      <c r="G249" s="429" t="s">
        <v>6473</v>
      </c>
      <c r="H249" s="385">
        <v>29405</v>
      </c>
      <c r="I249" s="154">
        <v>43627</v>
      </c>
      <c r="J249" s="430" t="s">
        <v>6293</v>
      </c>
      <c r="K249" s="411" t="s">
        <v>6305</v>
      </c>
      <c r="L249" s="411" t="s">
        <v>6335</v>
      </c>
      <c r="M249" s="1">
        <v>192</v>
      </c>
      <c r="N249" s="431">
        <f t="shared" si="33"/>
        <v>3</v>
      </c>
      <c r="O249" s="432">
        <v>0</v>
      </c>
      <c r="P249" s="432">
        <v>0</v>
      </c>
      <c r="Q249" s="432">
        <v>0</v>
      </c>
      <c r="R249" s="1">
        <v>7</v>
      </c>
      <c r="S249" s="1">
        <v>10</v>
      </c>
      <c r="T249" s="300">
        <f t="shared" si="34"/>
        <v>212</v>
      </c>
      <c r="U249" s="3"/>
      <c r="V249" s="3"/>
      <c r="W249" s="3"/>
      <c r="X249" s="3"/>
      <c r="Y249" s="3"/>
      <c r="Z249" s="20">
        <f t="shared" si="31"/>
        <v>194</v>
      </c>
      <c r="AA249" s="20">
        <f t="shared" si="37"/>
        <v>3</v>
      </c>
      <c r="AB249" s="20">
        <f t="shared" si="37"/>
        <v>0</v>
      </c>
      <c r="AC249" s="20">
        <f t="shared" si="37"/>
        <v>0</v>
      </c>
      <c r="AD249" s="20">
        <f t="shared" si="37"/>
        <v>0</v>
      </c>
      <c r="AE249" s="20">
        <f t="shared" si="37"/>
        <v>7</v>
      </c>
      <c r="AF249" s="20">
        <f t="shared" si="37"/>
        <v>10</v>
      </c>
      <c r="AG249" s="300">
        <f t="shared" si="32"/>
        <v>214</v>
      </c>
      <c r="AH249" s="42">
        <f t="shared" si="39"/>
        <v>2</v>
      </c>
      <c r="AI249" s="42">
        <f t="shared" si="39"/>
        <v>0</v>
      </c>
      <c r="AJ249" s="42">
        <f t="shared" si="39"/>
        <v>0</v>
      </c>
      <c r="AK249" s="42">
        <f t="shared" si="38"/>
        <v>0</v>
      </c>
      <c r="AL249" s="42">
        <f t="shared" si="38"/>
        <v>0</v>
      </c>
      <c r="AM249" s="42">
        <f t="shared" si="38"/>
        <v>0</v>
      </c>
      <c r="AN249" s="42">
        <f t="shared" si="38"/>
        <v>0</v>
      </c>
      <c r="AO249" s="42">
        <f t="shared" si="38"/>
        <v>2</v>
      </c>
    </row>
    <row r="250" spans="1:41" ht="15.75">
      <c r="A250" s="16">
        <f t="shared" si="35"/>
        <v>247</v>
      </c>
      <c r="B250" s="8">
        <v>2929</v>
      </c>
      <c r="C250" s="304" t="s">
        <v>309</v>
      </c>
      <c r="D250" s="305" t="s">
        <v>2767</v>
      </c>
      <c r="E250" s="13" t="s">
        <v>2768</v>
      </c>
      <c r="F250" s="14" t="s">
        <v>2769</v>
      </c>
      <c r="G250" s="429" t="s">
        <v>6473</v>
      </c>
      <c r="H250" s="385">
        <v>29869</v>
      </c>
      <c r="I250" s="154">
        <v>43589</v>
      </c>
      <c r="J250" s="430" t="s">
        <v>6293</v>
      </c>
      <c r="K250" s="411" t="s">
        <v>6296</v>
      </c>
      <c r="L250" s="411" t="s">
        <v>6335</v>
      </c>
      <c r="M250" s="1">
        <v>192</v>
      </c>
      <c r="N250" s="431">
        <f t="shared" si="33"/>
        <v>3</v>
      </c>
      <c r="O250" s="432">
        <v>0</v>
      </c>
      <c r="P250" s="432">
        <v>0</v>
      </c>
      <c r="Q250" s="432">
        <v>0</v>
      </c>
      <c r="R250" s="1">
        <v>7</v>
      </c>
      <c r="S250" s="1">
        <v>10</v>
      </c>
      <c r="T250" s="300">
        <f t="shared" si="34"/>
        <v>212</v>
      </c>
      <c r="U250" s="3"/>
      <c r="V250" s="3"/>
      <c r="W250" s="3"/>
      <c r="X250" s="3"/>
      <c r="Y250" s="3"/>
      <c r="Z250" s="20">
        <f t="shared" si="31"/>
        <v>194</v>
      </c>
      <c r="AA250" s="20">
        <f t="shared" si="37"/>
        <v>3</v>
      </c>
      <c r="AB250" s="20">
        <f t="shared" si="37"/>
        <v>0</v>
      </c>
      <c r="AC250" s="20">
        <f t="shared" si="37"/>
        <v>0</v>
      </c>
      <c r="AD250" s="20">
        <f t="shared" si="37"/>
        <v>0</v>
      </c>
      <c r="AE250" s="20">
        <f t="shared" si="37"/>
        <v>7</v>
      </c>
      <c r="AF250" s="20">
        <f t="shared" si="37"/>
        <v>10</v>
      </c>
      <c r="AG250" s="300">
        <f t="shared" si="32"/>
        <v>214</v>
      </c>
      <c r="AH250" s="42">
        <f t="shared" si="39"/>
        <v>2</v>
      </c>
      <c r="AI250" s="42">
        <f t="shared" si="39"/>
        <v>0</v>
      </c>
      <c r="AJ250" s="42">
        <f t="shared" si="39"/>
        <v>0</v>
      </c>
      <c r="AK250" s="42">
        <f t="shared" si="38"/>
        <v>0</v>
      </c>
      <c r="AL250" s="42">
        <f t="shared" si="38"/>
        <v>0</v>
      </c>
      <c r="AM250" s="42">
        <f t="shared" si="38"/>
        <v>0</v>
      </c>
      <c r="AN250" s="42">
        <f t="shared" si="38"/>
        <v>0</v>
      </c>
      <c r="AO250" s="42">
        <f t="shared" si="38"/>
        <v>2</v>
      </c>
    </row>
    <row r="251" spans="1:41" ht="15.75">
      <c r="A251" s="16">
        <f t="shared" si="35"/>
        <v>248</v>
      </c>
      <c r="B251" s="8">
        <v>2931</v>
      </c>
      <c r="C251" s="304" t="s">
        <v>190</v>
      </c>
      <c r="D251" s="305" t="s">
        <v>2774</v>
      </c>
      <c r="E251" s="13" t="s">
        <v>95</v>
      </c>
      <c r="F251" s="14" t="s">
        <v>2775</v>
      </c>
      <c r="G251" s="429" t="s">
        <v>6473</v>
      </c>
      <c r="H251" s="385">
        <v>29317</v>
      </c>
      <c r="I251" s="154">
        <v>43621</v>
      </c>
      <c r="J251" s="430" t="s">
        <v>6293</v>
      </c>
      <c r="K251" s="411" t="s">
        <v>6296</v>
      </c>
      <c r="L251" s="411" t="s">
        <v>6335</v>
      </c>
      <c r="M251" s="1">
        <v>192</v>
      </c>
      <c r="N251" s="431">
        <f t="shared" si="33"/>
        <v>3</v>
      </c>
      <c r="O251" s="432">
        <v>0</v>
      </c>
      <c r="P251" s="432">
        <v>0</v>
      </c>
      <c r="Q251" s="432">
        <v>0</v>
      </c>
      <c r="R251" s="1">
        <v>7</v>
      </c>
      <c r="S251" s="1">
        <v>10</v>
      </c>
      <c r="T251" s="300">
        <f t="shared" si="34"/>
        <v>212</v>
      </c>
      <c r="U251" s="3"/>
      <c r="V251" s="3"/>
      <c r="W251" s="3"/>
      <c r="X251" s="3"/>
      <c r="Y251" s="3"/>
      <c r="Z251" s="20">
        <f t="shared" si="31"/>
        <v>194</v>
      </c>
      <c r="AA251" s="20">
        <f t="shared" si="37"/>
        <v>3</v>
      </c>
      <c r="AB251" s="20">
        <f t="shared" si="37"/>
        <v>0</v>
      </c>
      <c r="AC251" s="20">
        <f t="shared" si="37"/>
        <v>0</v>
      </c>
      <c r="AD251" s="20">
        <f t="shared" si="37"/>
        <v>0</v>
      </c>
      <c r="AE251" s="20">
        <f t="shared" si="37"/>
        <v>7</v>
      </c>
      <c r="AF251" s="20">
        <f t="shared" si="37"/>
        <v>10</v>
      </c>
      <c r="AG251" s="300">
        <f t="shared" si="32"/>
        <v>214</v>
      </c>
      <c r="AH251" s="42">
        <f t="shared" si="39"/>
        <v>2</v>
      </c>
      <c r="AI251" s="42">
        <f t="shared" si="39"/>
        <v>0</v>
      </c>
      <c r="AJ251" s="42">
        <f t="shared" si="39"/>
        <v>0</v>
      </c>
      <c r="AK251" s="42">
        <f t="shared" si="38"/>
        <v>0</v>
      </c>
      <c r="AL251" s="42">
        <f t="shared" si="38"/>
        <v>0</v>
      </c>
      <c r="AM251" s="42">
        <f t="shared" si="38"/>
        <v>0</v>
      </c>
      <c r="AN251" s="42">
        <f t="shared" si="38"/>
        <v>0</v>
      </c>
      <c r="AO251" s="42">
        <f t="shared" si="38"/>
        <v>2</v>
      </c>
    </row>
    <row r="252" spans="1:41" ht="15.75">
      <c r="A252" s="16">
        <f t="shared" si="35"/>
        <v>249</v>
      </c>
      <c r="B252" s="8">
        <v>2940</v>
      </c>
      <c r="C252" s="304" t="s">
        <v>2850</v>
      </c>
      <c r="D252" s="305" t="s">
        <v>2851</v>
      </c>
      <c r="E252" s="13" t="s">
        <v>2852</v>
      </c>
      <c r="F252" s="14" t="s">
        <v>2853</v>
      </c>
      <c r="G252" s="429" t="s">
        <v>6473</v>
      </c>
      <c r="H252" s="385">
        <v>35251</v>
      </c>
      <c r="I252" s="154">
        <v>43596</v>
      </c>
      <c r="J252" s="430" t="s">
        <v>6293</v>
      </c>
      <c r="K252" s="411" t="s">
        <v>6297</v>
      </c>
      <c r="L252" s="411" t="s">
        <v>6103</v>
      </c>
      <c r="M252" s="1">
        <v>192</v>
      </c>
      <c r="N252" s="431">
        <f t="shared" si="33"/>
        <v>3</v>
      </c>
      <c r="O252" s="432">
        <v>0</v>
      </c>
      <c r="P252" s="432">
        <v>10</v>
      </c>
      <c r="Q252" s="432">
        <v>0</v>
      </c>
      <c r="R252" s="1">
        <v>7</v>
      </c>
      <c r="S252" s="1">
        <v>10</v>
      </c>
      <c r="T252" s="300">
        <f t="shared" si="34"/>
        <v>222</v>
      </c>
      <c r="U252" s="3"/>
      <c r="V252" s="3"/>
      <c r="W252" s="3"/>
      <c r="X252" s="3"/>
      <c r="Y252" s="3"/>
      <c r="Z252" s="20">
        <f t="shared" si="31"/>
        <v>194</v>
      </c>
      <c r="AA252" s="20">
        <f t="shared" si="37"/>
        <v>3</v>
      </c>
      <c r="AB252" s="20">
        <f t="shared" si="37"/>
        <v>0</v>
      </c>
      <c r="AC252" s="20">
        <f t="shared" si="37"/>
        <v>10</v>
      </c>
      <c r="AD252" s="20">
        <f t="shared" si="37"/>
        <v>0</v>
      </c>
      <c r="AE252" s="20">
        <f t="shared" si="37"/>
        <v>7</v>
      </c>
      <c r="AF252" s="20">
        <f t="shared" si="37"/>
        <v>10</v>
      </c>
      <c r="AG252" s="300">
        <f t="shared" si="32"/>
        <v>224</v>
      </c>
      <c r="AH252" s="42">
        <f t="shared" si="39"/>
        <v>2</v>
      </c>
      <c r="AI252" s="42">
        <f t="shared" si="39"/>
        <v>0</v>
      </c>
      <c r="AJ252" s="42">
        <f t="shared" si="39"/>
        <v>0</v>
      </c>
      <c r="AK252" s="42">
        <f t="shared" si="38"/>
        <v>0</v>
      </c>
      <c r="AL252" s="42">
        <f t="shared" si="38"/>
        <v>0</v>
      </c>
      <c r="AM252" s="42">
        <f t="shared" si="38"/>
        <v>0</v>
      </c>
      <c r="AN252" s="42">
        <f t="shared" si="38"/>
        <v>0</v>
      </c>
      <c r="AO252" s="42">
        <f t="shared" si="38"/>
        <v>2</v>
      </c>
    </row>
    <row r="253" spans="1:41" ht="15.75">
      <c r="A253" s="16">
        <f t="shared" si="35"/>
        <v>250</v>
      </c>
      <c r="B253" s="8">
        <v>2963</v>
      </c>
      <c r="C253" s="304" t="s">
        <v>2804</v>
      </c>
      <c r="D253" s="305" t="s">
        <v>2805</v>
      </c>
      <c r="E253" s="13" t="s">
        <v>2806</v>
      </c>
      <c r="F253" s="14" t="s">
        <v>2807</v>
      </c>
      <c r="G253" s="429" t="s">
        <v>6473</v>
      </c>
      <c r="H253" s="385">
        <v>35534</v>
      </c>
      <c r="I253" s="154">
        <v>43635</v>
      </c>
      <c r="J253" s="430" t="s">
        <v>6293</v>
      </c>
      <c r="K253" s="411" t="s">
        <v>6298</v>
      </c>
      <c r="L253" s="411" t="s">
        <v>6335</v>
      </c>
      <c r="M253" s="1">
        <v>192</v>
      </c>
      <c r="N253" s="431">
        <f t="shared" si="33"/>
        <v>3</v>
      </c>
      <c r="O253" s="432">
        <v>0</v>
      </c>
      <c r="P253" s="432">
        <v>0</v>
      </c>
      <c r="Q253" s="432">
        <v>0</v>
      </c>
      <c r="R253" s="1">
        <v>7</v>
      </c>
      <c r="S253" s="1">
        <v>10</v>
      </c>
      <c r="T253" s="300">
        <f t="shared" si="34"/>
        <v>212</v>
      </c>
      <c r="U253" s="3"/>
      <c r="V253" s="3"/>
      <c r="W253" s="3"/>
      <c r="X253" s="3"/>
      <c r="Y253" s="3"/>
      <c r="Z253" s="20">
        <f t="shared" si="31"/>
        <v>194</v>
      </c>
      <c r="AA253" s="20">
        <f t="shared" si="37"/>
        <v>3</v>
      </c>
      <c r="AB253" s="20">
        <f t="shared" si="37"/>
        <v>0</v>
      </c>
      <c r="AC253" s="20">
        <f t="shared" si="37"/>
        <v>0</v>
      </c>
      <c r="AD253" s="20">
        <f t="shared" si="37"/>
        <v>0</v>
      </c>
      <c r="AE253" s="20">
        <f t="shared" si="37"/>
        <v>7</v>
      </c>
      <c r="AF253" s="20">
        <f t="shared" si="37"/>
        <v>10</v>
      </c>
      <c r="AG253" s="300">
        <f t="shared" si="32"/>
        <v>214</v>
      </c>
      <c r="AH253" s="42">
        <f t="shared" si="39"/>
        <v>2</v>
      </c>
      <c r="AI253" s="42">
        <f t="shared" si="39"/>
        <v>0</v>
      </c>
      <c r="AJ253" s="42">
        <f t="shared" si="39"/>
        <v>0</v>
      </c>
      <c r="AK253" s="42">
        <f t="shared" si="38"/>
        <v>0</v>
      </c>
      <c r="AL253" s="42">
        <f t="shared" si="38"/>
        <v>0</v>
      </c>
      <c r="AM253" s="42">
        <f t="shared" si="38"/>
        <v>0</v>
      </c>
      <c r="AN253" s="42">
        <f t="shared" si="38"/>
        <v>0</v>
      </c>
      <c r="AO253" s="42">
        <f t="shared" si="38"/>
        <v>2</v>
      </c>
    </row>
    <row r="254" spans="1:41" ht="15.75">
      <c r="A254" s="16">
        <f t="shared" si="35"/>
        <v>251</v>
      </c>
      <c r="B254" s="8">
        <v>2966</v>
      </c>
      <c r="C254" s="304" t="s">
        <v>173</v>
      </c>
      <c r="D254" s="305" t="s">
        <v>2840</v>
      </c>
      <c r="E254" s="13" t="s">
        <v>93</v>
      </c>
      <c r="F254" s="14" t="s">
        <v>94</v>
      </c>
      <c r="G254" s="429" t="s">
        <v>6475</v>
      </c>
      <c r="H254" s="385">
        <v>28194</v>
      </c>
      <c r="I254" s="154">
        <v>43636</v>
      </c>
      <c r="J254" s="430" t="s">
        <v>6293</v>
      </c>
      <c r="K254" s="411" t="s">
        <v>6104</v>
      </c>
      <c r="L254" s="411" t="s">
        <v>6345</v>
      </c>
      <c r="M254" s="1">
        <v>192</v>
      </c>
      <c r="N254" s="431">
        <f t="shared" si="33"/>
        <v>3</v>
      </c>
      <c r="O254" s="432">
        <v>0</v>
      </c>
      <c r="P254" s="432">
        <v>0</v>
      </c>
      <c r="Q254" s="432">
        <v>0</v>
      </c>
      <c r="R254" s="1">
        <v>7</v>
      </c>
      <c r="S254" s="1">
        <v>10</v>
      </c>
      <c r="T254" s="300">
        <f t="shared" si="34"/>
        <v>212</v>
      </c>
      <c r="U254" s="3"/>
      <c r="V254" s="3"/>
      <c r="W254" s="3"/>
      <c r="X254" s="3"/>
      <c r="Y254" s="3"/>
      <c r="Z254" s="20">
        <f t="shared" si="31"/>
        <v>194</v>
      </c>
      <c r="AA254" s="20">
        <f t="shared" si="37"/>
        <v>3</v>
      </c>
      <c r="AB254" s="20">
        <f t="shared" si="37"/>
        <v>0</v>
      </c>
      <c r="AC254" s="20">
        <f t="shared" si="37"/>
        <v>0</v>
      </c>
      <c r="AD254" s="20">
        <f t="shared" si="37"/>
        <v>0</v>
      </c>
      <c r="AE254" s="20">
        <f t="shared" si="37"/>
        <v>7</v>
      </c>
      <c r="AF254" s="20">
        <f t="shared" si="37"/>
        <v>10</v>
      </c>
      <c r="AG254" s="300">
        <f t="shared" si="32"/>
        <v>214</v>
      </c>
      <c r="AH254" s="42">
        <f t="shared" si="39"/>
        <v>2</v>
      </c>
      <c r="AI254" s="42">
        <f t="shared" si="39"/>
        <v>0</v>
      </c>
      <c r="AJ254" s="42">
        <f t="shared" si="39"/>
        <v>0</v>
      </c>
      <c r="AK254" s="42">
        <f t="shared" si="38"/>
        <v>0</v>
      </c>
      <c r="AL254" s="42">
        <f t="shared" si="38"/>
        <v>0</v>
      </c>
      <c r="AM254" s="42">
        <f t="shared" si="38"/>
        <v>0</v>
      </c>
      <c r="AN254" s="42">
        <f t="shared" si="38"/>
        <v>0</v>
      </c>
      <c r="AO254" s="42">
        <f t="shared" si="38"/>
        <v>2</v>
      </c>
    </row>
    <row r="255" spans="1:41" ht="15.75">
      <c r="A255" s="16">
        <f t="shared" si="35"/>
        <v>252</v>
      </c>
      <c r="B255" s="8">
        <v>2974</v>
      </c>
      <c r="C255" s="304" t="s">
        <v>2444</v>
      </c>
      <c r="D255" s="305" t="s">
        <v>2763</v>
      </c>
      <c r="E255" s="13" t="s">
        <v>104</v>
      </c>
      <c r="F255" s="14" t="s">
        <v>105</v>
      </c>
      <c r="G255" s="429" t="s">
        <v>6473</v>
      </c>
      <c r="H255" s="385">
        <v>28470</v>
      </c>
      <c r="I255" s="154">
        <v>43636</v>
      </c>
      <c r="J255" s="430" t="s">
        <v>6293</v>
      </c>
      <c r="K255" s="411" t="s">
        <v>80</v>
      </c>
      <c r="L255" s="411" t="s">
        <v>6337</v>
      </c>
      <c r="M255" s="1">
        <v>192</v>
      </c>
      <c r="N255" s="431">
        <f t="shared" si="33"/>
        <v>3</v>
      </c>
      <c r="O255" s="432">
        <v>0</v>
      </c>
      <c r="P255" s="432">
        <v>0</v>
      </c>
      <c r="Q255" s="432">
        <v>0</v>
      </c>
      <c r="R255" s="1">
        <v>7</v>
      </c>
      <c r="S255" s="1">
        <v>10</v>
      </c>
      <c r="T255" s="300">
        <f t="shared" si="34"/>
        <v>212</v>
      </c>
      <c r="U255" s="3"/>
      <c r="V255" s="3"/>
      <c r="W255" s="3"/>
      <c r="X255" s="3"/>
      <c r="Y255" s="3"/>
      <c r="Z255" s="20">
        <f t="shared" si="31"/>
        <v>194</v>
      </c>
      <c r="AA255" s="20">
        <f t="shared" si="37"/>
        <v>3</v>
      </c>
      <c r="AB255" s="20">
        <f t="shared" si="37"/>
        <v>0</v>
      </c>
      <c r="AC255" s="20">
        <f t="shared" si="37"/>
        <v>0</v>
      </c>
      <c r="AD255" s="20">
        <f t="shared" si="37"/>
        <v>0</v>
      </c>
      <c r="AE255" s="20">
        <f t="shared" si="37"/>
        <v>7</v>
      </c>
      <c r="AF255" s="20">
        <f t="shared" si="37"/>
        <v>10</v>
      </c>
      <c r="AG255" s="300">
        <f t="shared" si="32"/>
        <v>214</v>
      </c>
      <c r="AH255" s="42">
        <f t="shared" si="39"/>
        <v>2</v>
      </c>
      <c r="AI255" s="42">
        <f t="shared" si="39"/>
        <v>0</v>
      </c>
      <c r="AJ255" s="42">
        <f t="shared" si="39"/>
        <v>0</v>
      </c>
      <c r="AK255" s="42">
        <f t="shared" si="38"/>
        <v>0</v>
      </c>
      <c r="AL255" s="42">
        <f t="shared" si="38"/>
        <v>0</v>
      </c>
      <c r="AM255" s="42">
        <f t="shared" si="38"/>
        <v>0</v>
      </c>
      <c r="AN255" s="42">
        <f t="shared" si="38"/>
        <v>0</v>
      </c>
      <c r="AO255" s="42">
        <f t="shared" si="38"/>
        <v>2</v>
      </c>
    </row>
    <row r="256" spans="1:41" ht="15.75">
      <c r="A256" s="16">
        <f t="shared" si="35"/>
        <v>253</v>
      </c>
      <c r="B256" s="8">
        <v>2992</v>
      </c>
      <c r="C256" s="304" t="s">
        <v>2868</v>
      </c>
      <c r="D256" s="305" t="s">
        <v>2869</v>
      </c>
      <c r="E256" s="13" t="s">
        <v>50</v>
      </c>
      <c r="F256" s="14" t="s">
        <v>51</v>
      </c>
      <c r="G256" s="429" t="s">
        <v>6475</v>
      </c>
      <c r="H256" s="385">
        <v>36285</v>
      </c>
      <c r="I256" s="154">
        <v>43619</v>
      </c>
      <c r="J256" s="430" t="s">
        <v>6293</v>
      </c>
      <c r="K256" s="411" t="s">
        <v>45</v>
      </c>
      <c r="L256" s="411" t="s">
        <v>6344</v>
      </c>
      <c r="M256" s="1">
        <v>192</v>
      </c>
      <c r="N256" s="431">
        <f t="shared" si="33"/>
        <v>3</v>
      </c>
      <c r="O256" s="432">
        <v>0</v>
      </c>
      <c r="P256" s="432">
        <v>0</v>
      </c>
      <c r="Q256" s="432">
        <v>0</v>
      </c>
      <c r="R256" s="1">
        <v>7</v>
      </c>
      <c r="S256" s="1">
        <v>10</v>
      </c>
      <c r="T256" s="300">
        <f t="shared" si="34"/>
        <v>212</v>
      </c>
      <c r="U256" s="3"/>
      <c r="V256" s="3"/>
      <c r="W256" s="3"/>
      <c r="X256" s="3"/>
      <c r="Y256" s="3"/>
      <c r="Z256" s="20">
        <f t="shared" si="31"/>
        <v>194</v>
      </c>
      <c r="AA256" s="20">
        <f t="shared" si="37"/>
        <v>3</v>
      </c>
      <c r="AB256" s="20">
        <f t="shared" si="37"/>
        <v>0</v>
      </c>
      <c r="AC256" s="20">
        <f t="shared" si="37"/>
        <v>0</v>
      </c>
      <c r="AD256" s="20">
        <f t="shared" si="37"/>
        <v>0</v>
      </c>
      <c r="AE256" s="20">
        <f t="shared" si="37"/>
        <v>7</v>
      </c>
      <c r="AF256" s="20">
        <f t="shared" si="37"/>
        <v>10</v>
      </c>
      <c r="AG256" s="300">
        <f t="shared" si="32"/>
        <v>214</v>
      </c>
      <c r="AH256" s="42">
        <f t="shared" si="39"/>
        <v>2</v>
      </c>
      <c r="AI256" s="42">
        <f t="shared" si="39"/>
        <v>0</v>
      </c>
      <c r="AJ256" s="42">
        <f t="shared" si="39"/>
        <v>0</v>
      </c>
      <c r="AK256" s="42">
        <f t="shared" si="38"/>
        <v>0</v>
      </c>
      <c r="AL256" s="42">
        <f t="shared" si="38"/>
        <v>0</v>
      </c>
      <c r="AM256" s="42">
        <f t="shared" si="38"/>
        <v>0</v>
      </c>
      <c r="AN256" s="42">
        <f t="shared" si="38"/>
        <v>0</v>
      </c>
      <c r="AO256" s="42">
        <f t="shared" si="38"/>
        <v>2</v>
      </c>
    </row>
    <row r="257" spans="1:41" ht="15.75">
      <c r="A257" s="16">
        <f t="shared" si="35"/>
        <v>254</v>
      </c>
      <c r="B257" s="8">
        <v>2989</v>
      </c>
      <c r="C257" s="304" t="s">
        <v>3002</v>
      </c>
      <c r="D257" s="305" t="s">
        <v>826</v>
      </c>
      <c r="E257" s="13" t="s">
        <v>3003</v>
      </c>
      <c r="F257" s="14" t="s">
        <v>3004</v>
      </c>
      <c r="G257" s="429" t="s">
        <v>6473</v>
      </c>
      <c r="H257" s="385">
        <v>31260</v>
      </c>
      <c r="I257" s="154">
        <v>43618</v>
      </c>
      <c r="J257" s="430" t="s">
        <v>6293</v>
      </c>
      <c r="K257" s="411" t="s">
        <v>6302</v>
      </c>
      <c r="L257" s="411" t="s">
        <v>6335</v>
      </c>
      <c r="M257" s="1">
        <v>192</v>
      </c>
      <c r="N257" s="431">
        <f t="shared" si="33"/>
        <v>3</v>
      </c>
      <c r="O257" s="432">
        <v>0</v>
      </c>
      <c r="P257" s="432">
        <v>0</v>
      </c>
      <c r="Q257" s="432">
        <v>0</v>
      </c>
      <c r="R257" s="1">
        <v>7</v>
      </c>
      <c r="S257" s="1">
        <v>10</v>
      </c>
      <c r="T257" s="300">
        <f t="shared" si="34"/>
        <v>212</v>
      </c>
      <c r="U257" s="3"/>
      <c r="V257" s="3"/>
      <c r="W257" s="3"/>
      <c r="X257" s="3"/>
      <c r="Y257" s="3"/>
      <c r="Z257" s="20">
        <f t="shared" si="31"/>
        <v>194</v>
      </c>
      <c r="AA257" s="20">
        <f t="shared" si="37"/>
        <v>3</v>
      </c>
      <c r="AB257" s="20">
        <f t="shared" si="37"/>
        <v>0</v>
      </c>
      <c r="AC257" s="20">
        <f t="shared" si="37"/>
        <v>0</v>
      </c>
      <c r="AD257" s="20">
        <f t="shared" si="37"/>
        <v>0</v>
      </c>
      <c r="AE257" s="20">
        <f t="shared" si="37"/>
        <v>7</v>
      </c>
      <c r="AF257" s="20">
        <f t="shared" si="37"/>
        <v>10</v>
      </c>
      <c r="AG257" s="300">
        <f t="shared" si="32"/>
        <v>214</v>
      </c>
      <c r="AH257" s="42">
        <f t="shared" si="39"/>
        <v>2</v>
      </c>
      <c r="AI257" s="42">
        <f t="shared" si="39"/>
        <v>0</v>
      </c>
      <c r="AJ257" s="42">
        <f t="shared" si="39"/>
        <v>0</v>
      </c>
      <c r="AK257" s="42">
        <f t="shared" si="38"/>
        <v>0</v>
      </c>
      <c r="AL257" s="42">
        <f t="shared" si="38"/>
        <v>0</v>
      </c>
      <c r="AM257" s="42">
        <f t="shared" si="38"/>
        <v>0</v>
      </c>
      <c r="AN257" s="42">
        <f t="shared" si="38"/>
        <v>0</v>
      </c>
      <c r="AO257" s="42">
        <f t="shared" si="38"/>
        <v>2</v>
      </c>
    </row>
    <row r="258" spans="1:41" ht="15.75">
      <c r="A258" s="16">
        <f t="shared" si="35"/>
        <v>255</v>
      </c>
      <c r="B258" s="8">
        <v>3013</v>
      </c>
      <c r="C258" s="304" t="s">
        <v>1692</v>
      </c>
      <c r="D258" s="305" t="s">
        <v>2430</v>
      </c>
      <c r="E258" s="13" t="s">
        <v>2510</v>
      </c>
      <c r="F258" s="14" t="s">
        <v>36</v>
      </c>
      <c r="G258" s="429" t="s">
        <v>6475</v>
      </c>
      <c r="H258" s="385">
        <v>26817</v>
      </c>
      <c r="I258" s="154">
        <v>43628</v>
      </c>
      <c r="J258" s="430" t="s">
        <v>6159</v>
      </c>
      <c r="K258" s="366" t="s">
        <v>3070</v>
      </c>
      <c r="L258" s="411" t="s">
        <v>194</v>
      </c>
      <c r="M258" s="1">
        <v>192</v>
      </c>
      <c r="N258" s="431">
        <f t="shared" si="33"/>
        <v>3</v>
      </c>
      <c r="O258" s="432">
        <v>0</v>
      </c>
      <c r="P258" s="432">
        <v>0</v>
      </c>
      <c r="Q258" s="432">
        <v>0</v>
      </c>
      <c r="R258" s="1">
        <v>7</v>
      </c>
      <c r="S258" s="1">
        <v>10</v>
      </c>
      <c r="T258" s="300">
        <f t="shared" si="34"/>
        <v>212</v>
      </c>
      <c r="U258" s="3"/>
      <c r="V258" s="3"/>
      <c r="W258" s="3"/>
      <c r="X258" s="3"/>
      <c r="Y258" s="3"/>
      <c r="Z258" s="20">
        <f t="shared" si="31"/>
        <v>194</v>
      </c>
      <c r="AA258" s="20">
        <f t="shared" si="37"/>
        <v>3</v>
      </c>
      <c r="AB258" s="20">
        <f t="shared" si="37"/>
        <v>0</v>
      </c>
      <c r="AC258" s="20">
        <f t="shared" si="37"/>
        <v>0</v>
      </c>
      <c r="AD258" s="20">
        <f t="shared" si="37"/>
        <v>0</v>
      </c>
      <c r="AE258" s="20">
        <f t="shared" si="37"/>
        <v>7</v>
      </c>
      <c r="AF258" s="20">
        <f t="shared" si="37"/>
        <v>10</v>
      </c>
      <c r="AG258" s="300">
        <f t="shared" si="32"/>
        <v>214</v>
      </c>
      <c r="AH258" s="42">
        <f t="shared" si="39"/>
        <v>2</v>
      </c>
      <c r="AI258" s="42">
        <f t="shared" si="39"/>
        <v>0</v>
      </c>
      <c r="AJ258" s="42">
        <f t="shared" si="39"/>
        <v>0</v>
      </c>
      <c r="AK258" s="42">
        <f t="shared" si="38"/>
        <v>0</v>
      </c>
      <c r="AL258" s="42">
        <f t="shared" si="38"/>
        <v>0</v>
      </c>
      <c r="AM258" s="42">
        <f t="shared" si="38"/>
        <v>0</v>
      </c>
      <c r="AN258" s="42">
        <f t="shared" si="38"/>
        <v>0</v>
      </c>
      <c r="AO258" s="42">
        <f t="shared" si="38"/>
        <v>2</v>
      </c>
    </row>
    <row r="259" spans="1:41" ht="15.75">
      <c r="A259" s="16">
        <f t="shared" si="35"/>
        <v>256</v>
      </c>
      <c r="B259" s="8">
        <v>3017</v>
      </c>
      <c r="C259" s="304" t="s">
        <v>2908</v>
      </c>
      <c r="D259" s="305" t="s">
        <v>2914</v>
      </c>
      <c r="E259" s="13" t="s">
        <v>2910</v>
      </c>
      <c r="F259" s="14" t="s">
        <v>2219</v>
      </c>
      <c r="G259" s="429" t="s">
        <v>6473</v>
      </c>
      <c r="H259" s="385">
        <v>34314</v>
      </c>
      <c r="I259" s="154">
        <v>43663</v>
      </c>
      <c r="J259" s="430" t="s">
        <v>6293</v>
      </c>
      <c r="K259" s="411" t="s">
        <v>6296</v>
      </c>
      <c r="L259" s="411" t="s">
        <v>6335</v>
      </c>
      <c r="M259" s="1">
        <v>192</v>
      </c>
      <c r="N259" s="431">
        <f t="shared" si="33"/>
        <v>3</v>
      </c>
      <c r="O259" s="432">
        <v>0</v>
      </c>
      <c r="P259" s="432">
        <v>0</v>
      </c>
      <c r="Q259" s="432">
        <v>0</v>
      </c>
      <c r="R259" s="1">
        <v>7</v>
      </c>
      <c r="S259" s="1">
        <v>10</v>
      </c>
      <c r="T259" s="300">
        <f t="shared" si="34"/>
        <v>212</v>
      </c>
      <c r="U259" s="3"/>
      <c r="V259" s="3"/>
      <c r="W259" s="3"/>
      <c r="X259" s="3"/>
      <c r="Y259" s="3"/>
      <c r="Z259" s="20">
        <f t="shared" si="31"/>
        <v>194</v>
      </c>
      <c r="AA259" s="20">
        <f t="shared" si="37"/>
        <v>3</v>
      </c>
      <c r="AB259" s="20">
        <f t="shared" si="37"/>
        <v>0</v>
      </c>
      <c r="AC259" s="20">
        <f t="shared" si="37"/>
        <v>0</v>
      </c>
      <c r="AD259" s="20">
        <f t="shared" si="37"/>
        <v>0</v>
      </c>
      <c r="AE259" s="20">
        <f t="shared" si="37"/>
        <v>7</v>
      </c>
      <c r="AF259" s="20">
        <f t="shared" si="37"/>
        <v>10</v>
      </c>
      <c r="AG259" s="300">
        <f t="shared" si="32"/>
        <v>214</v>
      </c>
      <c r="AH259" s="42">
        <f t="shared" si="39"/>
        <v>2</v>
      </c>
      <c r="AI259" s="42">
        <f t="shared" si="39"/>
        <v>0</v>
      </c>
      <c r="AJ259" s="42">
        <f t="shared" si="39"/>
        <v>0</v>
      </c>
      <c r="AK259" s="42">
        <f t="shared" si="38"/>
        <v>0</v>
      </c>
      <c r="AL259" s="42">
        <f t="shared" si="38"/>
        <v>0</v>
      </c>
      <c r="AM259" s="42">
        <f t="shared" si="38"/>
        <v>0</v>
      </c>
      <c r="AN259" s="42">
        <f t="shared" si="38"/>
        <v>0</v>
      </c>
      <c r="AO259" s="42">
        <f t="shared" si="38"/>
        <v>2</v>
      </c>
    </row>
    <row r="260" spans="1:41" ht="15.75">
      <c r="A260" s="16">
        <f t="shared" si="35"/>
        <v>257</v>
      </c>
      <c r="B260" s="8">
        <v>3014</v>
      </c>
      <c r="C260" s="304" t="s">
        <v>2932</v>
      </c>
      <c r="D260" s="305" t="s">
        <v>2933</v>
      </c>
      <c r="E260" s="13" t="s">
        <v>2934</v>
      </c>
      <c r="F260" s="14" t="s">
        <v>2935</v>
      </c>
      <c r="G260" s="429" t="s">
        <v>6473</v>
      </c>
      <c r="H260" s="385">
        <v>31170</v>
      </c>
      <c r="I260" s="154">
        <v>43631</v>
      </c>
      <c r="J260" s="430" t="s">
        <v>6293</v>
      </c>
      <c r="K260" s="411" t="s">
        <v>6297</v>
      </c>
      <c r="L260" s="411" t="s">
        <v>6335</v>
      </c>
      <c r="M260" s="1">
        <v>192</v>
      </c>
      <c r="N260" s="431">
        <f t="shared" si="33"/>
        <v>3</v>
      </c>
      <c r="O260" s="432">
        <v>0</v>
      </c>
      <c r="P260" s="432">
        <v>0</v>
      </c>
      <c r="Q260" s="432">
        <v>0</v>
      </c>
      <c r="R260" s="1">
        <v>7</v>
      </c>
      <c r="S260" s="1">
        <v>10</v>
      </c>
      <c r="T260" s="300">
        <f t="shared" si="34"/>
        <v>212</v>
      </c>
      <c r="U260" s="3"/>
      <c r="V260" s="3"/>
      <c r="W260" s="3"/>
      <c r="X260" s="3"/>
      <c r="Y260" s="3"/>
      <c r="Z260" s="20">
        <f t="shared" ref="Z260:Z320" si="40">M260+2</f>
        <v>194</v>
      </c>
      <c r="AA260" s="20">
        <f t="shared" si="37"/>
        <v>3</v>
      </c>
      <c r="AB260" s="20">
        <f t="shared" si="37"/>
        <v>0</v>
      </c>
      <c r="AC260" s="20">
        <f t="shared" si="37"/>
        <v>0</v>
      </c>
      <c r="AD260" s="20">
        <f t="shared" si="37"/>
        <v>0</v>
      </c>
      <c r="AE260" s="20">
        <f t="shared" si="37"/>
        <v>7</v>
      </c>
      <c r="AF260" s="20">
        <f t="shared" si="37"/>
        <v>10</v>
      </c>
      <c r="AG260" s="300">
        <f t="shared" ref="AG260:AG320" si="41">SUM(Z260:AF260)</f>
        <v>214</v>
      </c>
      <c r="AH260" s="42">
        <f t="shared" si="39"/>
        <v>2</v>
      </c>
      <c r="AI260" s="42">
        <f t="shared" si="39"/>
        <v>0</v>
      </c>
      <c r="AJ260" s="42">
        <f t="shared" si="39"/>
        <v>0</v>
      </c>
      <c r="AK260" s="42">
        <f t="shared" si="38"/>
        <v>0</v>
      </c>
      <c r="AL260" s="42">
        <f t="shared" si="38"/>
        <v>0</v>
      </c>
      <c r="AM260" s="42">
        <f t="shared" si="38"/>
        <v>0</v>
      </c>
      <c r="AN260" s="42">
        <f t="shared" si="38"/>
        <v>0</v>
      </c>
      <c r="AO260" s="42">
        <f t="shared" si="38"/>
        <v>2</v>
      </c>
    </row>
    <row r="261" spans="1:41" ht="15.75">
      <c r="A261" s="16">
        <f t="shared" si="35"/>
        <v>258</v>
      </c>
      <c r="B261" s="8">
        <v>3030</v>
      </c>
      <c r="C261" s="304" t="s">
        <v>190</v>
      </c>
      <c r="D261" s="305" t="s">
        <v>522</v>
      </c>
      <c r="E261" s="13" t="s">
        <v>95</v>
      </c>
      <c r="F261" s="14" t="s">
        <v>89</v>
      </c>
      <c r="G261" s="429" t="s">
        <v>6473</v>
      </c>
      <c r="H261" s="385">
        <v>30753</v>
      </c>
      <c r="I261" s="154">
        <v>43670</v>
      </c>
      <c r="J261" s="430" t="s">
        <v>6293</v>
      </c>
      <c r="K261" s="411" t="s">
        <v>6304</v>
      </c>
      <c r="L261" s="411" t="s">
        <v>6335</v>
      </c>
      <c r="M261" s="1">
        <v>192</v>
      </c>
      <c r="N261" s="431">
        <f t="shared" ref="N261:N321" si="42">ROUNDDOWN(INT($N$1-I261-16)/365,0)+1</f>
        <v>3</v>
      </c>
      <c r="O261" s="432">
        <v>0</v>
      </c>
      <c r="P261" s="432">
        <v>0</v>
      </c>
      <c r="Q261" s="432">
        <v>0</v>
      </c>
      <c r="R261" s="1">
        <v>7</v>
      </c>
      <c r="S261" s="1">
        <v>10</v>
      </c>
      <c r="T261" s="300">
        <f t="shared" ref="T261:T321" si="43">SUM(M261:S261)</f>
        <v>212</v>
      </c>
      <c r="U261" s="3"/>
      <c r="V261" s="3"/>
      <c r="W261" s="3"/>
      <c r="X261" s="3"/>
      <c r="Y261" s="3"/>
      <c r="Z261" s="20">
        <f t="shared" si="40"/>
        <v>194</v>
      </c>
      <c r="AA261" s="20">
        <f t="shared" si="37"/>
        <v>3</v>
      </c>
      <c r="AB261" s="20">
        <f t="shared" si="37"/>
        <v>0</v>
      </c>
      <c r="AC261" s="20">
        <f t="shared" si="37"/>
        <v>0</v>
      </c>
      <c r="AD261" s="20">
        <f t="shared" si="37"/>
        <v>0</v>
      </c>
      <c r="AE261" s="20">
        <f t="shared" si="37"/>
        <v>7</v>
      </c>
      <c r="AF261" s="20">
        <f t="shared" si="37"/>
        <v>10</v>
      </c>
      <c r="AG261" s="300">
        <f t="shared" si="41"/>
        <v>214</v>
      </c>
      <c r="AH261" s="42">
        <f t="shared" si="39"/>
        <v>2</v>
      </c>
      <c r="AI261" s="42">
        <f t="shared" si="39"/>
        <v>0</v>
      </c>
      <c r="AJ261" s="42">
        <f t="shared" si="39"/>
        <v>0</v>
      </c>
      <c r="AK261" s="42">
        <f t="shared" si="38"/>
        <v>0</v>
      </c>
      <c r="AL261" s="42">
        <f t="shared" si="38"/>
        <v>0</v>
      </c>
      <c r="AM261" s="42">
        <f t="shared" si="38"/>
        <v>0</v>
      </c>
      <c r="AN261" s="42">
        <f t="shared" si="38"/>
        <v>0</v>
      </c>
      <c r="AO261" s="42">
        <f t="shared" si="38"/>
        <v>2</v>
      </c>
    </row>
    <row r="262" spans="1:41" ht="15.75">
      <c r="A262" s="16">
        <f t="shared" si="35"/>
        <v>259</v>
      </c>
      <c r="B262" s="8">
        <v>3036</v>
      </c>
      <c r="C262" s="304" t="s">
        <v>1149</v>
      </c>
      <c r="D262" s="305" t="s">
        <v>416</v>
      </c>
      <c r="E262" s="13" t="s">
        <v>2990</v>
      </c>
      <c r="F262" s="14" t="s">
        <v>2991</v>
      </c>
      <c r="G262" s="429" t="s">
        <v>6475</v>
      </c>
      <c r="H262" s="385">
        <v>32145</v>
      </c>
      <c r="I262" s="154">
        <v>43670</v>
      </c>
      <c r="J262" s="430" t="s">
        <v>6293</v>
      </c>
      <c r="K262" s="411" t="s">
        <v>6299</v>
      </c>
      <c r="L262" s="411" t="s">
        <v>6335</v>
      </c>
      <c r="M262" s="1">
        <v>192</v>
      </c>
      <c r="N262" s="431">
        <f t="shared" si="42"/>
        <v>3</v>
      </c>
      <c r="O262" s="432">
        <v>0</v>
      </c>
      <c r="P262" s="432">
        <v>0</v>
      </c>
      <c r="Q262" s="432">
        <v>0</v>
      </c>
      <c r="R262" s="1">
        <v>7</v>
      </c>
      <c r="S262" s="1">
        <v>10</v>
      </c>
      <c r="T262" s="300">
        <f t="shared" si="43"/>
        <v>212</v>
      </c>
      <c r="U262" s="3"/>
      <c r="V262" s="3"/>
      <c r="W262" s="3"/>
      <c r="X262" s="3"/>
      <c r="Y262" s="3"/>
      <c r="Z262" s="20">
        <f t="shared" si="40"/>
        <v>194</v>
      </c>
      <c r="AA262" s="20">
        <f t="shared" si="37"/>
        <v>3</v>
      </c>
      <c r="AB262" s="20">
        <f t="shared" si="37"/>
        <v>0</v>
      </c>
      <c r="AC262" s="20">
        <f t="shared" si="37"/>
        <v>0</v>
      </c>
      <c r="AD262" s="20">
        <f t="shared" si="37"/>
        <v>0</v>
      </c>
      <c r="AE262" s="20">
        <f t="shared" si="37"/>
        <v>7</v>
      </c>
      <c r="AF262" s="20">
        <f t="shared" si="37"/>
        <v>10</v>
      </c>
      <c r="AG262" s="300">
        <f t="shared" si="41"/>
        <v>214</v>
      </c>
      <c r="AH262" s="42">
        <f t="shared" si="39"/>
        <v>2</v>
      </c>
      <c r="AI262" s="42">
        <f t="shared" si="39"/>
        <v>0</v>
      </c>
      <c r="AJ262" s="42">
        <f t="shared" si="39"/>
        <v>0</v>
      </c>
      <c r="AK262" s="42">
        <f t="shared" si="38"/>
        <v>0</v>
      </c>
      <c r="AL262" s="42">
        <f t="shared" si="38"/>
        <v>0</v>
      </c>
      <c r="AM262" s="42">
        <f t="shared" si="38"/>
        <v>0</v>
      </c>
      <c r="AN262" s="42">
        <f t="shared" si="38"/>
        <v>0</v>
      </c>
      <c r="AO262" s="42">
        <f t="shared" si="38"/>
        <v>2</v>
      </c>
    </row>
    <row r="263" spans="1:41" ht="15.75">
      <c r="A263" s="16">
        <f t="shared" si="35"/>
        <v>260</v>
      </c>
      <c r="B263" s="8">
        <v>3042</v>
      </c>
      <c r="C263" s="304" t="s">
        <v>2995</v>
      </c>
      <c r="D263" s="305" t="s">
        <v>2996</v>
      </c>
      <c r="E263" s="13" t="s">
        <v>2997</v>
      </c>
      <c r="F263" s="14" t="s">
        <v>2998</v>
      </c>
      <c r="G263" s="429" t="s">
        <v>6475</v>
      </c>
      <c r="H263" s="385">
        <v>37033</v>
      </c>
      <c r="I263" s="154">
        <v>43675</v>
      </c>
      <c r="J263" s="430" t="s">
        <v>6293</v>
      </c>
      <c r="K263" s="411" t="s">
        <v>6295</v>
      </c>
      <c r="L263" s="411" t="s">
        <v>6335</v>
      </c>
      <c r="M263" s="1">
        <v>192</v>
      </c>
      <c r="N263" s="431">
        <f t="shared" si="42"/>
        <v>3</v>
      </c>
      <c r="O263" s="432">
        <v>0</v>
      </c>
      <c r="P263" s="432">
        <v>0</v>
      </c>
      <c r="Q263" s="432">
        <v>0</v>
      </c>
      <c r="R263" s="1">
        <v>7</v>
      </c>
      <c r="S263" s="1">
        <v>10</v>
      </c>
      <c r="T263" s="300">
        <f t="shared" si="43"/>
        <v>212</v>
      </c>
      <c r="U263" s="3"/>
      <c r="V263" s="3"/>
      <c r="W263" s="3"/>
      <c r="X263" s="3"/>
      <c r="Y263" s="3"/>
      <c r="Z263" s="20">
        <f t="shared" si="40"/>
        <v>194</v>
      </c>
      <c r="AA263" s="20">
        <f t="shared" si="37"/>
        <v>3</v>
      </c>
      <c r="AB263" s="20">
        <f t="shared" si="37"/>
        <v>0</v>
      </c>
      <c r="AC263" s="20">
        <f t="shared" si="37"/>
        <v>0</v>
      </c>
      <c r="AD263" s="20">
        <f t="shared" si="37"/>
        <v>0</v>
      </c>
      <c r="AE263" s="20">
        <f t="shared" si="37"/>
        <v>7</v>
      </c>
      <c r="AF263" s="20">
        <f t="shared" si="37"/>
        <v>10</v>
      </c>
      <c r="AG263" s="300">
        <f t="shared" si="41"/>
        <v>214</v>
      </c>
      <c r="AH263" s="42">
        <f t="shared" si="39"/>
        <v>2</v>
      </c>
      <c r="AI263" s="42">
        <f t="shared" si="39"/>
        <v>0</v>
      </c>
      <c r="AJ263" s="42">
        <f t="shared" si="39"/>
        <v>0</v>
      </c>
      <c r="AK263" s="42">
        <f t="shared" si="38"/>
        <v>0</v>
      </c>
      <c r="AL263" s="42">
        <f t="shared" si="38"/>
        <v>0</v>
      </c>
      <c r="AM263" s="42">
        <f t="shared" si="38"/>
        <v>0</v>
      </c>
      <c r="AN263" s="42">
        <f t="shared" si="38"/>
        <v>0</v>
      </c>
      <c r="AO263" s="42">
        <f t="shared" si="38"/>
        <v>2</v>
      </c>
    </row>
    <row r="264" spans="1:41" ht="15.75">
      <c r="A264" s="16">
        <f t="shared" si="35"/>
        <v>261</v>
      </c>
      <c r="B264" s="8">
        <v>3047</v>
      </c>
      <c r="C264" s="304" t="s">
        <v>3048</v>
      </c>
      <c r="D264" s="305" t="s">
        <v>3049</v>
      </c>
      <c r="E264" s="13" t="s">
        <v>3050</v>
      </c>
      <c r="F264" s="14" t="s">
        <v>3051</v>
      </c>
      <c r="G264" s="429" t="s">
        <v>6473</v>
      </c>
      <c r="H264" s="385">
        <v>33765</v>
      </c>
      <c r="I264" s="154">
        <v>43648</v>
      </c>
      <c r="J264" s="430" t="s">
        <v>6293</v>
      </c>
      <c r="K264" s="411" t="s">
        <v>6297</v>
      </c>
      <c r="L264" s="411" t="s">
        <v>6102</v>
      </c>
      <c r="M264" s="1">
        <v>192</v>
      </c>
      <c r="N264" s="431">
        <f t="shared" si="42"/>
        <v>3</v>
      </c>
      <c r="O264" s="432">
        <v>0</v>
      </c>
      <c r="P264" s="432">
        <v>45</v>
      </c>
      <c r="Q264" s="432">
        <v>0</v>
      </c>
      <c r="R264" s="1">
        <v>7</v>
      </c>
      <c r="S264" s="1">
        <v>10</v>
      </c>
      <c r="T264" s="300">
        <f t="shared" si="43"/>
        <v>257</v>
      </c>
      <c r="U264" s="3"/>
      <c r="V264" s="3"/>
      <c r="W264" s="3"/>
      <c r="X264" s="3"/>
      <c r="Y264" s="3"/>
      <c r="Z264" s="20">
        <f t="shared" si="40"/>
        <v>194</v>
      </c>
      <c r="AA264" s="20">
        <f t="shared" si="37"/>
        <v>3</v>
      </c>
      <c r="AB264" s="20">
        <f t="shared" si="37"/>
        <v>0</v>
      </c>
      <c r="AC264" s="20">
        <f t="shared" si="37"/>
        <v>45</v>
      </c>
      <c r="AD264" s="20">
        <f t="shared" si="37"/>
        <v>0</v>
      </c>
      <c r="AE264" s="20">
        <f t="shared" si="37"/>
        <v>7</v>
      </c>
      <c r="AF264" s="20">
        <f t="shared" si="37"/>
        <v>10</v>
      </c>
      <c r="AG264" s="300">
        <f t="shared" si="41"/>
        <v>259</v>
      </c>
      <c r="AH264" s="42">
        <f t="shared" si="39"/>
        <v>2</v>
      </c>
      <c r="AI264" s="42">
        <f t="shared" si="39"/>
        <v>0</v>
      </c>
      <c r="AJ264" s="42">
        <f t="shared" si="39"/>
        <v>0</v>
      </c>
      <c r="AK264" s="42">
        <f t="shared" si="38"/>
        <v>0</v>
      </c>
      <c r="AL264" s="42">
        <f t="shared" si="38"/>
        <v>0</v>
      </c>
      <c r="AM264" s="42">
        <f t="shared" si="38"/>
        <v>0</v>
      </c>
      <c r="AN264" s="42">
        <f t="shared" si="38"/>
        <v>0</v>
      </c>
      <c r="AO264" s="42">
        <f t="shared" si="38"/>
        <v>2</v>
      </c>
    </row>
    <row r="265" spans="1:41" ht="15.75">
      <c r="A265" s="16">
        <f t="shared" ref="A265:A328" si="44">1+A264</f>
        <v>262</v>
      </c>
      <c r="B265" s="8">
        <v>3049</v>
      </c>
      <c r="C265" s="304" t="s">
        <v>3038</v>
      </c>
      <c r="D265" s="305" t="s">
        <v>438</v>
      </c>
      <c r="E265" s="13" t="s">
        <v>3039</v>
      </c>
      <c r="F265" s="14" t="s">
        <v>2247</v>
      </c>
      <c r="G265" s="429" t="s">
        <v>6473</v>
      </c>
      <c r="H265" s="385">
        <v>28136</v>
      </c>
      <c r="I265" s="154">
        <v>43648</v>
      </c>
      <c r="J265" s="430" t="s">
        <v>6293</v>
      </c>
      <c r="K265" s="411" t="s">
        <v>6297</v>
      </c>
      <c r="L265" s="411" t="s">
        <v>6335</v>
      </c>
      <c r="M265" s="1">
        <v>192</v>
      </c>
      <c r="N265" s="431">
        <f t="shared" si="42"/>
        <v>3</v>
      </c>
      <c r="O265" s="432">
        <v>0</v>
      </c>
      <c r="P265" s="432">
        <v>0</v>
      </c>
      <c r="Q265" s="432">
        <v>0</v>
      </c>
      <c r="R265" s="1">
        <v>7</v>
      </c>
      <c r="S265" s="1">
        <v>10</v>
      </c>
      <c r="T265" s="300">
        <f t="shared" si="43"/>
        <v>212</v>
      </c>
      <c r="U265" s="3"/>
      <c r="V265" s="3"/>
      <c r="W265" s="3"/>
      <c r="X265" s="3"/>
      <c r="Y265" s="3"/>
      <c r="Z265" s="20">
        <f t="shared" si="40"/>
        <v>194</v>
      </c>
      <c r="AA265" s="20">
        <f t="shared" si="37"/>
        <v>3</v>
      </c>
      <c r="AB265" s="20">
        <f t="shared" si="37"/>
        <v>0</v>
      </c>
      <c r="AC265" s="20">
        <f t="shared" si="37"/>
        <v>0</v>
      </c>
      <c r="AD265" s="20">
        <f t="shared" si="37"/>
        <v>0</v>
      </c>
      <c r="AE265" s="20">
        <f t="shared" si="37"/>
        <v>7</v>
      </c>
      <c r="AF265" s="20">
        <f t="shared" si="37"/>
        <v>10</v>
      </c>
      <c r="AG265" s="300">
        <f t="shared" si="41"/>
        <v>214</v>
      </c>
      <c r="AH265" s="42">
        <f t="shared" si="39"/>
        <v>2</v>
      </c>
      <c r="AI265" s="42">
        <f t="shared" si="39"/>
        <v>0</v>
      </c>
      <c r="AJ265" s="42">
        <f t="shared" si="39"/>
        <v>0</v>
      </c>
      <c r="AK265" s="42">
        <f t="shared" si="38"/>
        <v>0</v>
      </c>
      <c r="AL265" s="42">
        <f t="shared" si="38"/>
        <v>0</v>
      </c>
      <c r="AM265" s="42">
        <f t="shared" si="38"/>
        <v>0</v>
      </c>
      <c r="AN265" s="42">
        <f t="shared" si="38"/>
        <v>0</v>
      </c>
      <c r="AO265" s="42">
        <f t="shared" si="38"/>
        <v>2</v>
      </c>
    </row>
    <row r="266" spans="1:41" ht="15.75">
      <c r="A266" s="16">
        <f t="shared" si="44"/>
        <v>263</v>
      </c>
      <c r="B266" s="8">
        <v>3045</v>
      </c>
      <c r="C266" s="304" t="s">
        <v>402</v>
      </c>
      <c r="D266" s="305" t="s">
        <v>3116</v>
      </c>
      <c r="E266" s="13" t="s">
        <v>3117</v>
      </c>
      <c r="F266" s="14" t="s">
        <v>3118</v>
      </c>
      <c r="G266" s="429" t="s">
        <v>6475</v>
      </c>
      <c r="H266" s="385">
        <v>36616</v>
      </c>
      <c r="I266" s="154">
        <v>43647</v>
      </c>
      <c r="J266" s="430" t="s">
        <v>6159</v>
      </c>
      <c r="K266" s="411" t="s">
        <v>6324</v>
      </c>
      <c r="L266" s="411" t="s">
        <v>6319</v>
      </c>
      <c r="M266" s="1">
        <v>192</v>
      </c>
      <c r="N266" s="431">
        <f t="shared" si="42"/>
        <v>3</v>
      </c>
      <c r="O266" s="432">
        <v>0</v>
      </c>
      <c r="P266" s="432">
        <v>83</v>
      </c>
      <c r="Q266" s="432">
        <v>25</v>
      </c>
      <c r="R266" s="1">
        <v>7</v>
      </c>
      <c r="S266" s="1">
        <v>10</v>
      </c>
      <c r="T266" s="300">
        <f t="shared" si="43"/>
        <v>320</v>
      </c>
      <c r="U266" s="3"/>
      <c r="V266" s="3"/>
      <c r="W266" s="3"/>
      <c r="X266" s="3"/>
      <c r="Y266" s="3"/>
      <c r="Z266" s="20">
        <f t="shared" si="40"/>
        <v>194</v>
      </c>
      <c r="AA266" s="20">
        <f t="shared" si="37"/>
        <v>3</v>
      </c>
      <c r="AB266" s="20">
        <f t="shared" si="37"/>
        <v>0</v>
      </c>
      <c r="AC266" s="20">
        <f t="shared" si="37"/>
        <v>83</v>
      </c>
      <c r="AD266" s="20">
        <f t="shared" si="37"/>
        <v>25</v>
      </c>
      <c r="AE266" s="20">
        <f t="shared" si="37"/>
        <v>7</v>
      </c>
      <c r="AF266" s="20">
        <f t="shared" si="37"/>
        <v>10</v>
      </c>
      <c r="AG266" s="300">
        <f t="shared" si="41"/>
        <v>322</v>
      </c>
      <c r="AH266" s="42">
        <f t="shared" si="39"/>
        <v>2</v>
      </c>
      <c r="AI266" s="42">
        <f t="shared" si="39"/>
        <v>0</v>
      </c>
      <c r="AJ266" s="42">
        <f t="shared" si="39"/>
        <v>0</v>
      </c>
      <c r="AK266" s="42">
        <f t="shared" si="38"/>
        <v>0</v>
      </c>
      <c r="AL266" s="42">
        <f t="shared" si="38"/>
        <v>0</v>
      </c>
      <c r="AM266" s="42">
        <f t="shared" si="38"/>
        <v>0</v>
      </c>
      <c r="AN266" s="42">
        <f t="shared" si="38"/>
        <v>0</v>
      </c>
      <c r="AO266" s="42">
        <f t="shared" si="38"/>
        <v>2</v>
      </c>
    </row>
    <row r="267" spans="1:41" ht="15.75">
      <c r="A267" s="16">
        <f t="shared" si="44"/>
        <v>264</v>
      </c>
      <c r="B267" s="8">
        <v>3053</v>
      </c>
      <c r="C267" s="304" t="s">
        <v>3033</v>
      </c>
      <c r="D267" s="305" t="s">
        <v>3034</v>
      </c>
      <c r="E267" s="13" t="s">
        <v>111</v>
      </c>
      <c r="F267" s="14" t="s">
        <v>112</v>
      </c>
      <c r="G267" s="429" t="s">
        <v>6475</v>
      </c>
      <c r="H267" s="385">
        <v>36524</v>
      </c>
      <c r="I267" s="154">
        <v>43653</v>
      </c>
      <c r="J267" s="430" t="s">
        <v>6293</v>
      </c>
      <c r="K267" s="411" t="s">
        <v>80</v>
      </c>
      <c r="L267" s="411" t="s">
        <v>6337</v>
      </c>
      <c r="M267" s="1">
        <v>192</v>
      </c>
      <c r="N267" s="431">
        <f t="shared" si="42"/>
        <v>3</v>
      </c>
      <c r="O267" s="432">
        <v>0</v>
      </c>
      <c r="P267" s="432">
        <v>0</v>
      </c>
      <c r="Q267" s="432">
        <v>0</v>
      </c>
      <c r="R267" s="1">
        <v>7</v>
      </c>
      <c r="S267" s="1">
        <v>10</v>
      </c>
      <c r="T267" s="300">
        <f t="shared" si="43"/>
        <v>212</v>
      </c>
      <c r="U267" s="3"/>
      <c r="V267" s="3"/>
      <c r="W267" s="3"/>
      <c r="X267" s="3"/>
      <c r="Y267" s="3"/>
      <c r="Z267" s="20">
        <f t="shared" si="40"/>
        <v>194</v>
      </c>
      <c r="AA267" s="20">
        <f t="shared" si="37"/>
        <v>3</v>
      </c>
      <c r="AB267" s="20">
        <f t="shared" si="37"/>
        <v>0</v>
      </c>
      <c r="AC267" s="20">
        <f t="shared" si="37"/>
        <v>0</v>
      </c>
      <c r="AD267" s="20">
        <f t="shared" si="37"/>
        <v>0</v>
      </c>
      <c r="AE267" s="20">
        <f t="shared" si="37"/>
        <v>7</v>
      </c>
      <c r="AF267" s="20">
        <f t="shared" si="37"/>
        <v>10</v>
      </c>
      <c r="AG267" s="300">
        <f t="shared" si="41"/>
        <v>214</v>
      </c>
      <c r="AH267" s="42">
        <f t="shared" si="39"/>
        <v>2</v>
      </c>
      <c r="AI267" s="42">
        <f t="shared" si="39"/>
        <v>0</v>
      </c>
      <c r="AJ267" s="42">
        <f t="shared" si="39"/>
        <v>0</v>
      </c>
      <c r="AK267" s="42">
        <f t="shared" si="38"/>
        <v>0</v>
      </c>
      <c r="AL267" s="42">
        <f t="shared" si="38"/>
        <v>0</v>
      </c>
      <c r="AM267" s="42">
        <f t="shared" si="38"/>
        <v>0</v>
      </c>
      <c r="AN267" s="42">
        <f t="shared" si="38"/>
        <v>0</v>
      </c>
      <c r="AO267" s="42">
        <f t="shared" si="38"/>
        <v>2</v>
      </c>
    </row>
    <row r="268" spans="1:41" ht="15.75">
      <c r="A268" s="16">
        <f t="shared" si="44"/>
        <v>265</v>
      </c>
      <c r="B268" s="8">
        <v>3061</v>
      </c>
      <c r="C268" s="304" t="s">
        <v>3103</v>
      </c>
      <c r="D268" s="305" t="s">
        <v>1384</v>
      </c>
      <c r="E268" s="13" t="s">
        <v>3104</v>
      </c>
      <c r="F268" s="14" t="s">
        <v>3105</v>
      </c>
      <c r="G268" s="429" t="s">
        <v>6473</v>
      </c>
      <c r="H268" s="385">
        <v>32939</v>
      </c>
      <c r="I268" s="154">
        <v>43665</v>
      </c>
      <c r="J268" s="430" t="s">
        <v>6293</v>
      </c>
      <c r="K268" s="411" t="s">
        <v>6083</v>
      </c>
      <c r="L268" s="411" t="s">
        <v>6335</v>
      </c>
      <c r="M268" s="1">
        <v>192</v>
      </c>
      <c r="N268" s="431">
        <f t="shared" si="42"/>
        <v>3</v>
      </c>
      <c r="O268" s="432">
        <v>0</v>
      </c>
      <c r="P268" s="432">
        <v>0</v>
      </c>
      <c r="Q268" s="432">
        <v>0</v>
      </c>
      <c r="R268" s="1">
        <v>7</v>
      </c>
      <c r="S268" s="1">
        <v>10</v>
      </c>
      <c r="T268" s="300">
        <f t="shared" si="43"/>
        <v>212</v>
      </c>
      <c r="U268" s="3"/>
      <c r="V268" s="3"/>
      <c r="W268" s="3"/>
      <c r="X268" s="3"/>
      <c r="Y268" s="3"/>
      <c r="Z268" s="20">
        <f t="shared" si="40"/>
        <v>194</v>
      </c>
      <c r="AA268" s="20">
        <f t="shared" si="37"/>
        <v>3</v>
      </c>
      <c r="AB268" s="20">
        <f t="shared" si="37"/>
        <v>0</v>
      </c>
      <c r="AC268" s="20">
        <f t="shared" si="37"/>
        <v>0</v>
      </c>
      <c r="AD268" s="20">
        <f t="shared" si="37"/>
        <v>0</v>
      </c>
      <c r="AE268" s="20">
        <f t="shared" si="37"/>
        <v>7</v>
      </c>
      <c r="AF268" s="20">
        <f t="shared" si="37"/>
        <v>10</v>
      </c>
      <c r="AG268" s="300">
        <f t="shared" si="41"/>
        <v>214</v>
      </c>
      <c r="AH268" s="42">
        <f t="shared" si="39"/>
        <v>2</v>
      </c>
      <c r="AI268" s="42">
        <f t="shared" si="39"/>
        <v>0</v>
      </c>
      <c r="AJ268" s="42">
        <f t="shared" si="39"/>
        <v>0</v>
      </c>
      <c r="AK268" s="42">
        <f t="shared" si="38"/>
        <v>0</v>
      </c>
      <c r="AL268" s="42">
        <f t="shared" si="38"/>
        <v>0</v>
      </c>
      <c r="AM268" s="42">
        <f t="shared" si="38"/>
        <v>0</v>
      </c>
      <c r="AN268" s="42">
        <f t="shared" si="38"/>
        <v>0</v>
      </c>
      <c r="AO268" s="42">
        <f t="shared" si="38"/>
        <v>2</v>
      </c>
    </row>
    <row r="269" spans="1:41" ht="15.75">
      <c r="A269" s="16">
        <f t="shared" si="44"/>
        <v>266</v>
      </c>
      <c r="B269" s="8">
        <v>3062</v>
      </c>
      <c r="C269" s="304" t="s">
        <v>2633</v>
      </c>
      <c r="D269" s="305" t="s">
        <v>3108</v>
      </c>
      <c r="E269" s="13" t="s">
        <v>52</v>
      </c>
      <c r="F269" s="14" t="s">
        <v>53</v>
      </c>
      <c r="G269" s="429" t="s">
        <v>6475</v>
      </c>
      <c r="H269" s="385">
        <v>32569</v>
      </c>
      <c r="I269" s="154">
        <v>43664</v>
      </c>
      <c r="J269" s="430" t="s">
        <v>6293</v>
      </c>
      <c r="K269" s="411" t="s">
        <v>45</v>
      </c>
      <c r="L269" s="411" t="s">
        <v>6344</v>
      </c>
      <c r="M269" s="1">
        <v>192</v>
      </c>
      <c r="N269" s="431">
        <f t="shared" si="42"/>
        <v>3</v>
      </c>
      <c r="O269" s="432">
        <v>0</v>
      </c>
      <c r="P269" s="432">
        <v>0</v>
      </c>
      <c r="Q269" s="432">
        <v>0</v>
      </c>
      <c r="R269" s="1">
        <v>7</v>
      </c>
      <c r="S269" s="1">
        <v>10</v>
      </c>
      <c r="T269" s="300">
        <f t="shared" si="43"/>
        <v>212</v>
      </c>
      <c r="U269" s="3"/>
      <c r="V269" s="3"/>
      <c r="W269" s="3"/>
      <c r="X269" s="3"/>
      <c r="Y269" s="3"/>
      <c r="Z269" s="20">
        <f t="shared" si="40"/>
        <v>194</v>
      </c>
      <c r="AA269" s="20">
        <f t="shared" si="37"/>
        <v>3</v>
      </c>
      <c r="AB269" s="20">
        <f t="shared" si="37"/>
        <v>0</v>
      </c>
      <c r="AC269" s="20">
        <f t="shared" si="37"/>
        <v>0</v>
      </c>
      <c r="AD269" s="20">
        <f t="shared" si="37"/>
        <v>0</v>
      </c>
      <c r="AE269" s="20">
        <f t="shared" si="37"/>
        <v>7</v>
      </c>
      <c r="AF269" s="20">
        <f t="shared" si="37"/>
        <v>10</v>
      </c>
      <c r="AG269" s="300">
        <f t="shared" si="41"/>
        <v>214</v>
      </c>
      <c r="AH269" s="42">
        <f t="shared" si="39"/>
        <v>2</v>
      </c>
      <c r="AI269" s="42">
        <f t="shared" si="39"/>
        <v>0</v>
      </c>
      <c r="AJ269" s="42">
        <f t="shared" si="39"/>
        <v>0</v>
      </c>
      <c r="AK269" s="42">
        <f t="shared" si="38"/>
        <v>0</v>
      </c>
      <c r="AL269" s="42">
        <f t="shared" si="38"/>
        <v>0</v>
      </c>
      <c r="AM269" s="42">
        <f t="shared" si="38"/>
        <v>0</v>
      </c>
      <c r="AN269" s="42">
        <f t="shared" si="38"/>
        <v>0</v>
      </c>
      <c r="AO269" s="42">
        <f t="shared" si="38"/>
        <v>2</v>
      </c>
    </row>
    <row r="270" spans="1:41" ht="15.75">
      <c r="A270" s="16">
        <f t="shared" si="44"/>
        <v>267</v>
      </c>
      <c r="B270" s="8">
        <v>3067</v>
      </c>
      <c r="C270" s="304" t="s">
        <v>1061</v>
      </c>
      <c r="D270" s="305" t="s">
        <v>3112</v>
      </c>
      <c r="E270" s="13" t="s">
        <v>3113</v>
      </c>
      <c r="F270" s="14" t="s">
        <v>3114</v>
      </c>
      <c r="G270" s="429" t="s">
        <v>6473</v>
      </c>
      <c r="H270" s="385">
        <v>26436</v>
      </c>
      <c r="I270" s="154">
        <v>43667</v>
      </c>
      <c r="J270" s="430" t="s">
        <v>6293</v>
      </c>
      <c r="K270" s="411" t="s">
        <v>6297</v>
      </c>
      <c r="L270" s="411" t="s">
        <v>6335</v>
      </c>
      <c r="M270" s="1">
        <v>192</v>
      </c>
      <c r="N270" s="431">
        <f t="shared" si="42"/>
        <v>3</v>
      </c>
      <c r="O270" s="432">
        <v>0</v>
      </c>
      <c r="P270" s="432">
        <v>0</v>
      </c>
      <c r="Q270" s="432">
        <v>0</v>
      </c>
      <c r="R270" s="1">
        <v>7</v>
      </c>
      <c r="S270" s="1">
        <v>10</v>
      </c>
      <c r="T270" s="300">
        <f t="shared" si="43"/>
        <v>212</v>
      </c>
      <c r="U270" s="3"/>
      <c r="V270" s="3"/>
      <c r="W270" s="3"/>
      <c r="X270" s="3"/>
      <c r="Y270" s="3"/>
      <c r="Z270" s="20">
        <f t="shared" si="40"/>
        <v>194</v>
      </c>
      <c r="AA270" s="20">
        <f t="shared" si="37"/>
        <v>3</v>
      </c>
      <c r="AB270" s="20">
        <f t="shared" si="37"/>
        <v>0</v>
      </c>
      <c r="AC270" s="20">
        <f t="shared" si="37"/>
        <v>0</v>
      </c>
      <c r="AD270" s="20">
        <f t="shared" si="37"/>
        <v>0</v>
      </c>
      <c r="AE270" s="20">
        <f t="shared" si="37"/>
        <v>7</v>
      </c>
      <c r="AF270" s="20">
        <f t="shared" si="37"/>
        <v>10</v>
      </c>
      <c r="AG270" s="300">
        <f t="shared" si="41"/>
        <v>214</v>
      </c>
      <c r="AH270" s="42">
        <f t="shared" si="39"/>
        <v>2</v>
      </c>
      <c r="AI270" s="42">
        <f t="shared" si="39"/>
        <v>0</v>
      </c>
      <c r="AJ270" s="42">
        <f t="shared" si="39"/>
        <v>0</v>
      </c>
      <c r="AK270" s="42">
        <f t="shared" si="38"/>
        <v>0</v>
      </c>
      <c r="AL270" s="42">
        <f t="shared" si="38"/>
        <v>0</v>
      </c>
      <c r="AM270" s="42">
        <f t="shared" si="38"/>
        <v>0</v>
      </c>
      <c r="AN270" s="42">
        <f t="shared" si="38"/>
        <v>0</v>
      </c>
      <c r="AO270" s="42">
        <f t="shared" si="38"/>
        <v>2</v>
      </c>
    </row>
    <row r="271" spans="1:41" ht="15.75">
      <c r="A271" s="16">
        <f t="shared" si="44"/>
        <v>268</v>
      </c>
      <c r="B271" s="17">
        <v>3076</v>
      </c>
      <c r="C271" s="304" t="s">
        <v>1809</v>
      </c>
      <c r="D271" s="305" t="s">
        <v>3125</v>
      </c>
      <c r="E271" s="13" t="s">
        <v>3126</v>
      </c>
      <c r="F271" s="14" t="s">
        <v>3127</v>
      </c>
      <c r="G271" s="429" t="s">
        <v>6475</v>
      </c>
      <c r="H271" s="385">
        <v>31856</v>
      </c>
      <c r="I271" s="154">
        <v>43680</v>
      </c>
      <c r="J271" s="430" t="s">
        <v>6293</v>
      </c>
      <c r="K271" s="411" t="s">
        <v>6302</v>
      </c>
      <c r="L271" s="411" t="s">
        <v>6096</v>
      </c>
      <c r="M271" s="1">
        <v>192</v>
      </c>
      <c r="N271" s="431">
        <f t="shared" si="42"/>
        <v>3</v>
      </c>
      <c r="O271" s="432">
        <v>0</v>
      </c>
      <c r="P271" s="432">
        <v>10</v>
      </c>
      <c r="Q271" s="432">
        <v>0</v>
      </c>
      <c r="R271" s="1">
        <v>7</v>
      </c>
      <c r="S271" s="1">
        <v>10</v>
      </c>
      <c r="T271" s="300">
        <f t="shared" si="43"/>
        <v>222</v>
      </c>
      <c r="U271" s="3"/>
      <c r="V271" s="3"/>
      <c r="W271" s="3"/>
      <c r="X271" s="3"/>
      <c r="Y271" s="3"/>
      <c r="Z271" s="20">
        <f t="shared" si="40"/>
        <v>194</v>
      </c>
      <c r="AA271" s="20">
        <f t="shared" si="37"/>
        <v>3</v>
      </c>
      <c r="AB271" s="20">
        <f t="shared" si="37"/>
        <v>0</v>
      </c>
      <c r="AC271" s="20">
        <f t="shared" si="37"/>
        <v>10</v>
      </c>
      <c r="AD271" s="20">
        <f t="shared" si="37"/>
        <v>0</v>
      </c>
      <c r="AE271" s="20">
        <f t="shared" si="37"/>
        <v>7</v>
      </c>
      <c r="AF271" s="20">
        <f t="shared" si="37"/>
        <v>10</v>
      </c>
      <c r="AG271" s="300">
        <f t="shared" si="41"/>
        <v>224</v>
      </c>
      <c r="AH271" s="42">
        <f t="shared" si="39"/>
        <v>2</v>
      </c>
      <c r="AI271" s="42">
        <f t="shared" si="39"/>
        <v>0</v>
      </c>
      <c r="AJ271" s="42">
        <f t="shared" si="39"/>
        <v>0</v>
      </c>
      <c r="AK271" s="42">
        <f t="shared" si="38"/>
        <v>0</v>
      </c>
      <c r="AL271" s="42">
        <f t="shared" si="38"/>
        <v>0</v>
      </c>
      <c r="AM271" s="42">
        <f t="shared" si="38"/>
        <v>0</v>
      </c>
      <c r="AN271" s="42">
        <f t="shared" si="38"/>
        <v>0</v>
      </c>
      <c r="AO271" s="42">
        <f t="shared" si="38"/>
        <v>2</v>
      </c>
    </row>
    <row r="272" spans="1:41" ht="15.75">
      <c r="A272" s="16">
        <f t="shared" si="44"/>
        <v>269</v>
      </c>
      <c r="B272" s="8">
        <v>3081</v>
      </c>
      <c r="C272" s="304" t="s">
        <v>1173</v>
      </c>
      <c r="D272" s="305" t="s">
        <v>3137</v>
      </c>
      <c r="E272" s="13" t="s">
        <v>99</v>
      </c>
      <c r="F272" s="14" t="s">
        <v>3138</v>
      </c>
      <c r="G272" s="429" t="s">
        <v>6473</v>
      </c>
      <c r="H272" s="385">
        <v>36809</v>
      </c>
      <c r="I272" s="154">
        <v>43619</v>
      </c>
      <c r="J272" s="430" t="s">
        <v>6159</v>
      </c>
      <c r="K272" s="411" t="s">
        <v>6324</v>
      </c>
      <c r="L272" s="411" t="s">
        <v>6319</v>
      </c>
      <c r="M272" s="1">
        <v>192</v>
      </c>
      <c r="N272" s="431">
        <f t="shared" si="42"/>
        <v>3</v>
      </c>
      <c r="O272" s="432">
        <v>20</v>
      </c>
      <c r="P272" s="432">
        <v>20</v>
      </c>
      <c r="Q272" s="432">
        <v>10</v>
      </c>
      <c r="R272" s="1">
        <v>7</v>
      </c>
      <c r="S272" s="1">
        <v>10</v>
      </c>
      <c r="T272" s="300">
        <f t="shared" si="43"/>
        <v>262</v>
      </c>
      <c r="U272" s="3"/>
      <c r="V272" s="3"/>
      <c r="W272" s="3"/>
      <c r="X272" s="3"/>
      <c r="Y272" s="3"/>
      <c r="Z272" s="20">
        <f t="shared" si="40"/>
        <v>194</v>
      </c>
      <c r="AA272" s="20">
        <f t="shared" si="37"/>
        <v>3</v>
      </c>
      <c r="AB272" s="20">
        <f t="shared" si="37"/>
        <v>20</v>
      </c>
      <c r="AC272" s="20">
        <f t="shared" si="37"/>
        <v>20</v>
      </c>
      <c r="AD272" s="20">
        <f t="shared" ref="AD272:AF332" si="45">Q272</f>
        <v>10</v>
      </c>
      <c r="AE272" s="20">
        <f t="shared" si="45"/>
        <v>7</v>
      </c>
      <c r="AF272" s="20">
        <f t="shared" si="45"/>
        <v>10</v>
      </c>
      <c r="AG272" s="300">
        <f t="shared" si="41"/>
        <v>264</v>
      </c>
      <c r="AH272" s="42">
        <f t="shared" si="39"/>
        <v>2</v>
      </c>
      <c r="AI272" s="42">
        <f t="shared" si="39"/>
        <v>0</v>
      </c>
      <c r="AJ272" s="42">
        <f t="shared" si="39"/>
        <v>0</v>
      </c>
      <c r="AK272" s="42">
        <f t="shared" si="38"/>
        <v>0</v>
      </c>
      <c r="AL272" s="42">
        <f t="shared" si="38"/>
        <v>0</v>
      </c>
      <c r="AM272" s="42">
        <f t="shared" si="38"/>
        <v>0</v>
      </c>
      <c r="AN272" s="42">
        <f t="shared" si="38"/>
        <v>0</v>
      </c>
      <c r="AO272" s="42">
        <f t="shared" si="38"/>
        <v>2</v>
      </c>
    </row>
    <row r="273" spans="1:41" ht="15.75">
      <c r="A273" s="16">
        <f t="shared" si="44"/>
        <v>270</v>
      </c>
      <c r="B273" s="8">
        <v>3083</v>
      </c>
      <c r="C273" s="304" t="s">
        <v>3033</v>
      </c>
      <c r="D273" s="305" t="s">
        <v>3131</v>
      </c>
      <c r="E273" s="13" t="s">
        <v>3132</v>
      </c>
      <c r="F273" s="14" t="s">
        <v>3133</v>
      </c>
      <c r="G273" s="429" t="s">
        <v>6475</v>
      </c>
      <c r="H273" s="385">
        <v>34992</v>
      </c>
      <c r="I273" s="154">
        <v>43620</v>
      </c>
      <c r="J273" s="430" t="s">
        <v>6330</v>
      </c>
      <c r="K273" s="411" t="s">
        <v>9</v>
      </c>
      <c r="L273" s="411" t="s">
        <v>6349</v>
      </c>
      <c r="M273" s="1">
        <v>192</v>
      </c>
      <c r="N273" s="431">
        <f t="shared" si="42"/>
        <v>3</v>
      </c>
      <c r="O273" s="432">
        <v>163</v>
      </c>
      <c r="P273" s="432">
        <v>208</v>
      </c>
      <c r="Q273" s="432">
        <v>10</v>
      </c>
      <c r="R273" s="1">
        <v>7</v>
      </c>
      <c r="S273" s="1">
        <v>10</v>
      </c>
      <c r="T273" s="300">
        <f t="shared" si="43"/>
        <v>593</v>
      </c>
      <c r="U273" s="3"/>
      <c r="V273" s="3"/>
      <c r="W273" s="3"/>
      <c r="X273" s="3"/>
      <c r="Y273" s="3"/>
      <c r="Z273" s="20">
        <f t="shared" si="40"/>
        <v>194</v>
      </c>
      <c r="AA273" s="20">
        <f t="shared" ref="AA273:AF333" si="46">N273</f>
        <v>3</v>
      </c>
      <c r="AB273" s="20">
        <f t="shared" si="46"/>
        <v>163</v>
      </c>
      <c r="AC273" s="20">
        <f t="shared" si="46"/>
        <v>208</v>
      </c>
      <c r="AD273" s="20">
        <f t="shared" si="45"/>
        <v>10</v>
      </c>
      <c r="AE273" s="20">
        <f t="shared" si="45"/>
        <v>7</v>
      </c>
      <c r="AF273" s="20">
        <f t="shared" si="45"/>
        <v>10</v>
      </c>
      <c r="AG273" s="300">
        <f t="shared" si="41"/>
        <v>595</v>
      </c>
      <c r="AH273" s="42">
        <f t="shared" si="39"/>
        <v>2</v>
      </c>
      <c r="AI273" s="42">
        <f t="shared" si="39"/>
        <v>0</v>
      </c>
      <c r="AJ273" s="42">
        <f t="shared" si="39"/>
        <v>0</v>
      </c>
      <c r="AK273" s="42">
        <f t="shared" si="38"/>
        <v>0</v>
      </c>
      <c r="AL273" s="42">
        <f t="shared" si="38"/>
        <v>0</v>
      </c>
      <c r="AM273" s="42">
        <f t="shared" si="38"/>
        <v>0</v>
      </c>
      <c r="AN273" s="42">
        <f t="shared" si="38"/>
        <v>0</v>
      </c>
      <c r="AO273" s="42">
        <f t="shared" si="38"/>
        <v>2</v>
      </c>
    </row>
    <row r="274" spans="1:41" ht="15.75">
      <c r="A274" s="16">
        <f t="shared" si="44"/>
        <v>271</v>
      </c>
      <c r="B274" s="223">
        <v>3124</v>
      </c>
      <c r="C274" s="227" t="s">
        <v>3192</v>
      </c>
      <c r="D274" s="228" t="s">
        <v>1032</v>
      </c>
      <c r="E274" s="229" t="s">
        <v>2095</v>
      </c>
      <c r="F274" s="230" t="s">
        <v>3193</v>
      </c>
      <c r="G274" s="429" t="s">
        <v>6473</v>
      </c>
      <c r="H274" s="397">
        <v>36320</v>
      </c>
      <c r="I274" s="234">
        <v>43682</v>
      </c>
      <c r="J274" s="457" t="s">
        <v>6159</v>
      </c>
      <c r="K274" s="458" t="s">
        <v>6324</v>
      </c>
      <c r="L274" s="458" t="s">
        <v>6319</v>
      </c>
      <c r="M274" s="1">
        <v>192</v>
      </c>
      <c r="N274" s="431">
        <f t="shared" si="42"/>
        <v>3</v>
      </c>
      <c r="O274" s="432">
        <v>40</v>
      </c>
      <c r="P274" s="432">
        <v>40</v>
      </c>
      <c r="Q274" s="432">
        <v>0</v>
      </c>
      <c r="R274" s="1">
        <v>7</v>
      </c>
      <c r="S274" s="1">
        <v>10</v>
      </c>
      <c r="T274" s="300">
        <f t="shared" si="43"/>
        <v>292</v>
      </c>
      <c r="U274" s="3"/>
      <c r="V274" s="3"/>
      <c r="W274" s="3"/>
      <c r="X274" s="3"/>
      <c r="Y274" s="3"/>
      <c r="Z274" s="20">
        <f t="shared" si="40"/>
        <v>194</v>
      </c>
      <c r="AA274" s="20">
        <f t="shared" si="46"/>
        <v>3</v>
      </c>
      <c r="AB274" s="20">
        <f t="shared" si="46"/>
        <v>40</v>
      </c>
      <c r="AC274" s="20">
        <f t="shared" si="46"/>
        <v>40</v>
      </c>
      <c r="AD274" s="20">
        <f t="shared" si="45"/>
        <v>0</v>
      </c>
      <c r="AE274" s="20">
        <f t="shared" si="45"/>
        <v>7</v>
      </c>
      <c r="AF274" s="20">
        <f t="shared" si="45"/>
        <v>10</v>
      </c>
      <c r="AG274" s="300">
        <f t="shared" si="41"/>
        <v>294</v>
      </c>
      <c r="AH274" s="42">
        <f t="shared" si="39"/>
        <v>2</v>
      </c>
      <c r="AI274" s="42">
        <f t="shared" si="39"/>
        <v>0</v>
      </c>
      <c r="AJ274" s="42">
        <f t="shared" si="39"/>
        <v>0</v>
      </c>
      <c r="AK274" s="42">
        <f t="shared" si="38"/>
        <v>0</v>
      </c>
      <c r="AL274" s="42">
        <f t="shared" si="38"/>
        <v>0</v>
      </c>
      <c r="AM274" s="42">
        <f t="shared" si="38"/>
        <v>0</v>
      </c>
      <c r="AN274" s="42">
        <f t="shared" si="38"/>
        <v>0</v>
      </c>
      <c r="AO274" s="42">
        <f t="shared" si="38"/>
        <v>2</v>
      </c>
    </row>
    <row r="275" spans="1:41" ht="15.75">
      <c r="A275" s="16">
        <f t="shared" si="44"/>
        <v>272</v>
      </c>
      <c r="B275" s="250">
        <v>3585</v>
      </c>
      <c r="C275" s="252" t="s">
        <v>670</v>
      </c>
      <c r="D275" s="253" t="s">
        <v>504</v>
      </c>
      <c r="E275" s="229" t="s">
        <v>1961</v>
      </c>
      <c r="F275" s="230" t="s">
        <v>506</v>
      </c>
      <c r="G275" s="429" t="s">
        <v>6473</v>
      </c>
      <c r="H275" s="405">
        <v>30448</v>
      </c>
      <c r="I275" s="256">
        <v>43687</v>
      </c>
      <c r="J275" s="457" t="s">
        <v>6159</v>
      </c>
      <c r="K275" s="458" t="s">
        <v>3070</v>
      </c>
      <c r="L275" s="458" t="s">
        <v>6317</v>
      </c>
      <c r="M275" s="1">
        <v>192</v>
      </c>
      <c r="N275" s="431">
        <f t="shared" si="42"/>
        <v>3</v>
      </c>
      <c r="O275" s="432">
        <v>20</v>
      </c>
      <c r="P275" s="432">
        <v>190</v>
      </c>
      <c r="Q275" s="432">
        <v>86</v>
      </c>
      <c r="R275" s="1">
        <v>7</v>
      </c>
      <c r="S275" s="1">
        <v>10</v>
      </c>
      <c r="T275" s="300">
        <f t="shared" si="43"/>
        <v>508</v>
      </c>
      <c r="U275" s="3"/>
      <c r="V275" s="3"/>
      <c r="W275" s="3"/>
      <c r="X275" s="3"/>
      <c r="Y275" s="3"/>
      <c r="Z275" s="20">
        <f t="shared" si="40"/>
        <v>194</v>
      </c>
      <c r="AA275" s="20">
        <f t="shared" si="46"/>
        <v>3</v>
      </c>
      <c r="AB275" s="20">
        <f t="shared" si="46"/>
        <v>20</v>
      </c>
      <c r="AC275" s="20">
        <f t="shared" si="46"/>
        <v>190</v>
      </c>
      <c r="AD275" s="20">
        <f t="shared" si="45"/>
        <v>86</v>
      </c>
      <c r="AE275" s="20">
        <f t="shared" si="45"/>
        <v>7</v>
      </c>
      <c r="AF275" s="20">
        <f t="shared" si="45"/>
        <v>10</v>
      </c>
      <c r="AG275" s="300">
        <f t="shared" si="41"/>
        <v>510</v>
      </c>
      <c r="AH275" s="42">
        <f t="shared" si="39"/>
        <v>2</v>
      </c>
      <c r="AI275" s="42">
        <f t="shared" si="39"/>
        <v>0</v>
      </c>
      <c r="AJ275" s="42">
        <f t="shared" si="39"/>
        <v>0</v>
      </c>
      <c r="AK275" s="42">
        <f t="shared" si="38"/>
        <v>0</v>
      </c>
      <c r="AL275" s="42">
        <f t="shared" si="38"/>
        <v>0</v>
      </c>
      <c r="AM275" s="42">
        <f t="shared" si="38"/>
        <v>0</v>
      </c>
      <c r="AN275" s="42">
        <f t="shared" si="38"/>
        <v>0</v>
      </c>
      <c r="AO275" s="42">
        <f t="shared" si="38"/>
        <v>2</v>
      </c>
    </row>
    <row r="276" spans="1:41" ht="15.75">
      <c r="A276" s="16">
        <f t="shared" si="44"/>
        <v>273</v>
      </c>
      <c r="B276" s="390">
        <v>3110</v>
      </c>
      <c r="C276" s="391" t="s">
        <v>1061</v>
      </c>
      <c r="D276" s="392" t="s">
        <v>3201</v>
      </c>
      <c r="E276" s="398" t="s">
        <v>1063</v>
      </c>
      <c r="F276" s="399" t="s">
        <v>3531</v>
      </c>
      <c r="G276" s="429" t="s">
        <v>6473</v>
      </c>
      <c r="H276" s="395">
        <v>36630</v>
      </c>
      <c r="I276" s="396">
        <v>43741</v>
      </c>
      <c r="J276" s="459" t="s">
        <v>6293</v>
      </c>
      <c r="K276" s="460" t="s">
        <v>6304</v>
      </c>
      <c r="L276" s="460" t="s">
        <v>6335</v>
      </c>
      <c r="M276" s="1">
        <v>192</v>
      </c>
      <c r="N276" s="431">
        <f t="shared" si="42"/>
        <v>3</v>
      </c>
      <c r="O276" s="432">
        <v>0</v>
      </c>
      <c r="P276" s="432">
        <v>0</v>
      </c>
      <c r="Q276" s="432">
        <v>0</v>
      </c>
      <c r="R276" s="1">
        <v>7</v>
      </c>
      <c r="S276" s="1">
        <v>10</v>
      </c>
      <c r="T276" s="300">
        <f t="shared" si="43"/>
        <v>212</v>
      </c>
      <c r="U276" s="3"/>
      <c r="V276" s="3"/>
      <c r="W276" s="3"/>
      <c r="X276" s="3"/>
      <c r="Y276" s="3"/>
      <c r="Z276" s="20">
        <f t="shared" si="40"/>
        <v>194</v>
      </c>
      <c r="AA276" s="20">
        <f t="shared" si="46"/>
        <v>3</v>
      </c>
      <c r="AB276" s="20">
        <f t="shared" si="46"/>
        <v>0</v>
      </c>
      <c r="AC276" s="20">
        <f t="shared" si="46"/>
        <v>0</v>
      </c>
      <c r="AD276" s="20">
        <f t="shared" si="45"/>
        <v>0</v>
      </c>
      <c r="AE276" s="20">
        <f t="shared" si="45"/>
        <v>7</v>
      </c>
      <c r="AF276" s="20">
        <f t="shared" si="45"/>
        <v>10</v>
      </c>
      <c r="AG276" s="300">
        <f t="shared" si="41"/>
        <v>214</v>
      </c>
      <c r="AH276" s="42">
        <f t="shared" si="39"/>
        <v>2</v>
      </c>
      <c r="AI276" s="42">
        <f t="shared" si="39"/>
        <v>0</v>
      </c>
      <c r="AJ276" s="42">
        <f t="shared" si="39"/>
        <v>0</v>
      </c>
      <c r="AK276" s="42">
        <f t="shared" si="38"/>
        <v>0</v>
      </c>
      <c r="AL276" s="42">
        <f t="shared" si="38"/>
        <v>0</v>
      </c>
      <c r="AM276" s="42">
        <f t="shared" si="38"/>
        <v>0</v>
      </c>
      <c r="AN276" s="42">
        <f t="shared" si="38"/>
        <v>0</v>
      </c>
      <c r="AO276" s="42">
        <f t="shared" si="38"/>
        <v>2</v>
      </c>
    </row>
    <row r="277" spans="1:41" ht="15.75">
      <c r="A277" s="16">
        <f t="shared" si="44"/>
        <v>274</v>
      </c>
      <c r="B277" s="390">
        <v>3107</v>
      </c>
      <c r="C277" s="391" t="s">
        <v>2829</v>
      </c>
      <c r="D277" s="392" t="s">
        <v>3227</v>
      </c>
      <c r="E277" s="393" t="s">
        <v>3228</v>
      </c>
      <c r="F277" s="394" t="s">
        <v>3229</v>
      </c>
      <c r="G277" s="429" t="s">
        <v>6473</v>
      </c>
      <c r="H277" s="395">
        <v>30865</v>
      </c>
      <c r="I277" s="396">
        <v>43741</v>
      </c>
      <c r="J277" s="459" t="s">
        <v>6159</v>
      </c>
      <c r="K277" s="460" t="s">
        <v>3070</v>
      </c>
      <c r="L277" s="460" t="s">
        <v>6320</v>
      </c>
      <c r="M277" s="1">
        <v>192</v>
      </c>
      <c r="N277" s="431">
        <f t="shared" si="42"/>
        <v>3</v>
      </c>
      <c r="O277" s="432">
        <v>20</v>
      </c>
      <c r="P277" s="432">
        <v>70</v>
      </c>
      <c r="Q277" s="432">
        <v>0</v>
      </c>
      <c r="R277" s="1">
        <v>7</v>
      </c>
      <c r="S277" s="1">
        <v>10</v>
      </c>
      <c r="T277" s="300">
        <f t="shared" si="43"/>
        <v>302</v>
      </c>
      <c r="U277" s="3"/>
      <c r="V277" s="3"/>
      <c r="W277" s="3"/>
      <c r="X277" s="3"/>
      <c r="Y277" s="3"/>
      <c r="Z277" s="20">
        <f t="shared" si="40"/>
        <v>194</v>
      </c>
      <c r="AA277" s="20">
        <f t="shared" si="46"/>
        <v>3</v>
      </c>
      <c r="AB277" s="20">
        <f t="shared" si="46"/>
        <v>20</v>
      </c>
      <c r="AC277" s="20">
        <f t="shared" si="46"/>
        <v>70</v>
      </c>
      <c r="AD277" s="20">
        <f t="shared" si="45"/>
        <v>0</v>
      </c>
      <c r="AE277" s="20">
        <f t="shared" si="45"/>
        <v>7</v>
      </c>
      <c r="AF277" s="20">
        <f t="shared" si="45"/>
        <v>10</v>
      </c>
      <c r="AG277" s="300">
        <f t="shared" si="41"/>
        <v>304</v>
      </c>
      <c r="AH277" s="42">
        <f t="shared" si="39"/>
        <v>2</v>
      </c>
      <c r="AI277" s="42">
        <f t="shared" si="39"/>
        <v>0</v>
      </c>
      <c r="AJ277" s="42">
        <f t="shared" si="39"/>
        <v>0</v>
      </c>
      <c r="AK277" s="42">
        <f t="shared" si="38"/>
        <v>0</v>
      </c>
      <c r="AL277" s="42">
        <f t="shared" si="38"/>
        <v>0</v>
      </c>
      <c r="AM277" s="42">
        <f t="shared" si="38"/>
        <v>0</v>
      </c>
      <c r="AN277" s="42">
        <f t="shared" si="38"/>
        <v>0</v>
      </c>
      <c r="AO277" s="42">
        <f t="shared" si="38"/>
        <v>2</v>
      </c>
    </row>
    <row r="278" spans="1:41" ht="15.75">
      <c r="A278" s="16">
        <f t="shared" si="44"/>
        <v>275</v>
      </c>
      <c r="B278" s="390">
        <v>3109</v>
      </c>
      <c r="C278" s="391" t="s">
        <v>6203</v>
      </c>
      <c r="D278" s="392" t="s">
        <v>3201</v>
      </c>
      <c r="E278" s="393" t="s">
        <v>5513</v>
      </c>
      <c r="F278" s="394" t="s">
        <v>1582</v>
      </c>
      <c r="G278" s="429" t="s">
        <v>6473</v>
      </c>
      <c r="H278" s="395">
        <v>31149</v>
      </c>
      <c r="I278" s="396">
        <v>43741</v>
      </c>
      <c r="J278" s="459" t="s">
        <v>6293</v>
      </c>
      <c r="K278" s="460" t="s">
        <v>6305</v>
      </c>
      <c r="L278" s="460" t="s">
        <v>6335</v>
      </c>
      <c r="M278" s="1">
        <v>192</v>
      </c>
      <c r="N278" s="431">
        <f t="shared" si="42"/>
        <v>3</v>
      </c>
      <c r="O278" s="432">
        <v>0</v>
      </c>
      <c r="P278" s="432">
        <v>0</v>
      </c>
      <c r="Q278" s="432">
        <v>0</v>
      </c>
      <c r="R278" s="1">
        <v>7</v>
      </c>
      <c r="S278" s="1">
        <v>10</v>
      </c>
      <c r="T278" s="300">
        <f t="shared" si="43"/>
        <v>212</v>
      </c>
      <c r="U278" s="3"/>
      <c r="V278" s="3"/>
      <c r="W278" s="3"/>
      <c r="X278" s="3"/>
      <c r="Y278" s="3"/>
      <c r="Z278" s="20">
        <f t="shared" si="40"/>
        <v>194</v>
      </c>
      <c r="AA278" s="20">
        <f t="shared" si="46"/>
        <v>3</v>
      </c>
      <c r="AB278" s="20">
        <f t="shared" si="46"/>
        <v>0</v>
      </c>
      <c r="AC278" s="20">
        <f t="shared" si="46"/>
        <v>0</v>
      </c>
      <c r="AD278" s="20">
        <f t="shared" si="45"/>
        <v>0</v>
      </c>
      <c r="AE278" s="20">
        <f t="shared" si="45"/>
        <v>7</v>
      </c>
      <c r="AF278" s="20">
        <f t="shared" si="45"/>
        <v>10</v>
      </c>
      <c r="AG278" s="300">
        <f t="shared" si="41"/>
        <v>214</v>
      </c>
      <c r="AH278" s="42">
        <f t="shared" si="39"/>
        <v>2</v>
      </c>
      <c r="AI278" s="42">
        <f t="shared" si="39"/>
        <v>0</v>
      </c>
      <c r="AJ278" s="42">
        <f t="shared" si="39"/>
        <v>0</v>
      </c>
      <c r="AK278" s="42">
        <f t="shared" si="38"/>
        <v>0</v>
      </c>
      <c r="AL278" s="42">
        <f t="shared" si="38"/>
        <v>0</v>
      </c>
      <c r="AM278" s="42">
        <f t="shared" si="38"/>
        <v>0</v>
      </c>
      <c r="AN278" s="42">
        <f t="shared" si="38"/>
        <v>0</v>
      </c>
      <c r="AO278" s="42">
        <f t="shared" si="38"/>
        <v>2</v>
      </c>
    </row>
    <row r="279" spans="1:41" ht="15.75">
      <c r="A279" s="16">
        <f t="shared" si="44"/>
        <v>276</v>
      </c>
      <c r="B279" s="390">
        <v>3100</v>
      </c>
      <c r="C279" s="391" t="s">
        <v>3350</v>
      </c>
      <c r="D279" s="392" t="s">
        <v>3351</v>
      </c>
      <c r="E279" s="393" t="s">
        <v>115</v>
      </c>
      <c r="F279" s="394" t="s">
        <v>3352</v>
      </c>
      <c r="G279" s="429" t="s">
        <v>6475</v>
      </c>
      <c r="H279" s="395">
        <v>32364</v>
      </c>
      <c r="I279" s="396">
        <v>43740</v>
      </c>
      <c r="J279" s="459" t="s">
        <v>6293</v>
      </c>
      <c r="K279" s="460" t="s">
        <v>6097</v>
      </c>
      <c r="L279" s="460" t="s">
        <v>6335</v>
      </c>
      <c r="M279" s="1">
        <v>192</v>
      </c>
      <c r="N279" s="431">
        <f t="shared" si="42"/>
        <v>3</v>
      </c>
      <c r="O279" s="432">
        <v>0</v>
      </c>
      <c r="P279" s="432">
        <v>0</v>
      </c>
      <c r="Q279" s="432">
        <v>0</v>
      </c>
      <c r="R279" s="1">
        <v>7</v>
      </c>
      <c r="S279" s="1">
        <v>10</v>
      </c>
      <c r="T279" s="300">
        <f t="shared" si="43"/>
        <v>212</v>
      </c>
      <c r="U279" s="3"/>
      <c r="V279" s="3"/>
      <c r="W279" s="3"/>
      <c r="X279" s="3"/>
      <c r="Y279" s="3"/>
      <c r="Z279" s="20">
        <f t="shared" si="40"/>
        <v>194</v>
      </c>
      <c r="AA279" s="20">
        <f t="shared" si="46"/>
        <v>3</v>
      </c>
      <c r="AB279" s="20">
        <f t="shared" si="46"/>
        <v>0</v>
      </c>
      <c r="AC279" s="20">
        <f t="shared" si="46"/>
        <v>0</v>
      </c>
      <c r="AD279" s="20">
        <f t="shared" si="45"/>
        <v>0</v>
      </c>
      <c r="AE279" s="20">
        <f t="shared" si="45"/>
        <v>7</v>
      </c>
      <c r="AF279" s="20">
        <f t="shared" si="45"/>
        <v>10</v>
      </c>
      <c r="AG279" s="300">
        <f t="shared" si="41"/>
        <v>214</v>
      </c>
      <c r="AH279" s="42">
        <f t="shared" si="39"/>
        <v>2</v>
      </c>
      <c r="AI279" s="42">
        <f t="shared" si="39"/>
        <v>0</v>
      </c>
      <c r="AJ279" s="42">
        <f t="shared" si="39"/>
        <v>0</v>
      </c>
      <c r="AK279" s="42">
        <f t="shared" si="38"/>
        <v>0</v>
      </c>
      <c r="AL279" s="42">
        <f t="shared" si="38"/>
        <v>0</v>
      </c>
      <c r="AM279" s="42">
        <f t="shared" si="38"/>
        <v>0</v>
      </c>
      <c r="AN279" s="42">
        <f t="shared" si="38"/>
        <v>0</v>
      </c>
      <c r="AO279" s="42">
        <f t="shared" si="38"/>
        <v>2</v>
      </c>
    </row>
    <row r="280" spans="1:41" ht="15.75">
      <c r="A280" s="16">
        <f t="shared" si="44"/>
        <v>277</v>
      </c>
      <c r="B280" s="390">
        <v>3095</v>
      </c>
      <c r="C280" s="391" t="s">
        <v>3821</v>
      </c>
      <c r="D280" s="392" t="s">
        <v>3022</v>
      </c>
      <c r="E280" s="393" t="s">
        <v>3822</v>
      </c>
      <c r="F280" s="394" t="s">
        <v>114</v>
      </c>
      <c r="G280" s="429" t="s">
        <v>6475</v>
      </c>
      <c r="H280" s="395">
        <v>33118</v>
      </c>
      <c r="I280" s="396">
        <v>43740</v>
      </c>
      <c r="J280" s="459" t="s">
        <v>6293</v>
      </c>
      <c r="K280" s="460" t="s">
        <v>6104</v>
      </c>
      <c r="L280" s="460" t="s">
        <v>6345</v>
      </c>
      <c r="M280" s="1">
        <v>192</v>
      </c>
      <c r="N280" s="431">
        <f t="shared" si="42"/>
        <v>3</v>
      </c>
      <c r="O280" s="432">
        <v>0</v>
      </c>
      <c r="P280" s="432">
        <v>0</v>
      </c>
      <c r="Q280" s="432">
        <v>0</v>
      </c>
      <c r="R280" s="1">
        <v>7</v>
      </c>
      <c r="S280" s="1">
        <v>10</v>
      </c>
      <c r="T280" s="300">
        <f t="shared" si="43"/>
        <v>212</v>
      </c>
      <c r="U280" s="3"/>
      <c r="V280" s="3"/>
      <c r="W280" s="3"/>
      <c r="X280" s="3"/>
      <c r="Y280" s="3"/>
      <c r="Z280" s="20">
        <f t="shared" si="40"/>
        <v>194</v>
      </c>
      <c r="AA280" s="20">
        <f t="shared" si="46"/>
        <v>3</v>
      </c>
      <c r="AB280" s="20">
        <f t="shared" si="46"/>
        <v>0</v>
      </c>
      <c r="AC280" s="20">
        <f t="shared" si="46"/>
        <v>0</v>
      </c>
      <c r="AD280" s="20">
        <f t="shared" si="45"/>
        <v>0</v>
      </c>
      <c r="AE280" s="20">
        <f t="shared" si="45"/>
        <v>7</v>
      </c>
      <c r="AF280" s="20">
        <f t="shared" si="45"/>
        <v>10</v>
      </c>
      <c r="AG280" s="300">
        <f t="shared" si="41"/>
        <v>214</v>
      </c>
      <c r="AH280" s="42">
        <f t="shared" si="39"/>
        <v>2</v>
      </c>
      <c r="AI280" s="42">
        <f t="shared" si="39"/>
        <v>0</v>
      </c>
      <c r="AJ280" s="42">
        <f t="shared" si="39"/>
        <v>0</v>
      </c>
      <c r="AK280" s="42">
        <f t="shared" si="38"/>
        <v>0</v>
      </c>
      <c r="AL280" s="42">
        <f t="shared" si="38"/>
        <v>0</v>
      </c>
      <c r="AM280" s="42">
        <f t="shared" si="38"/>
        <v>0</v>
      </c>
      <c r="AN280" s="42">
        <f t="shared" si="38"/>
        <v>0</v>
      </c>
      <c r="AO280" s="42">
        <f t="shared" si="38"/>
        <v>2</v>
      </c>
    </row>
    <row r="281" spans="1:41" ht="15.75">
      <c r="A281" s="16">
        <f t="shared" si="44"/>
        <v>278</v>
      </c>
      <c r="B281" s="390">
        <v>3170</v>
      </c>
      <c r="C281" s="391" t="s">
        <v>1809</v>
      </c>
      <c r="D281" s="392" t="s">
        <v>1293</v>
      </c>
      <c r="E281" s="393" t="s">
        <v>1811</v>
      </c>
      <c r="F281" s="394" t="s">
        <v>1295</v>
      </c>
      <c r="G281" s="429" t="s">
        <v>6475</v>
      </c>
      <c r="H281" s="395">
        <v>30694</v>
      </c>
      <c r="I281" s="396">
        <v>43741</v>
      </c>
      <c r="J281" s="459" t="s">
        <v>6293</v>
      </c>
      <c r="K281" s="460" t="s">
        <v>1556</v>
      </c>
      <c r="L281" s="460" t="s">
        <v>1556</v>
      </c>
      <c r="M281" s="1">
        <v>192</v>
      </c>
      <c r="N281" s="431">
        <f t="shared" si="42"/>
        <v>3</v>
      </c>
      <c r="O281" s="432">
        <v>0</v>
      </c>
      <c r="P281" s="432">
        <v>0</v>
      </c>
      <c r="Q281" s="432">
        <v>0</v>
      </c>
      <c r="R281" s="1">
        <v>7</v>
      </c>
      <c r="S281" s="1">
        <v>10</v>
      </c>
      <c r="T281" s="300">
        <f t="shared" si="43"/>
        <v>212</v>
      </c>
      <c r="U281" s="3"/>
      <c r="V281" s="3"/>
      <c r="W281" s="3"/>
      <c r="X281" s="3"/>
      <c r="Y281" s="3"/>
      <c r="Z281" s="20">
        <f t="shared" si="40"/>
        <v>194</v>
      </c>
      <c r="AA281" s="20">
        <f t="shared" si="46"/>
        <v>3</v>
      </c>
      <c r="AB281" s="20">
        <f t="shared" si="46"/>
        <v>0</v>
      </c>
      <c r="AC281" s="20">
        <f t="shared" si="46"/>
        <v>0</v>
      </c>
      <c r="AD281" s="20">
        <f t="shared" si="45"/>
        <v>0</v>
      </c>
      <c r="AE281" s="20">
        <f t="shared" si="45"/>
        <v>7</v>
      </c>
      <c r="AF281" s="20">
        <f t="shared" si="45"/>
        <v>10</v>
      </c>
      <c r="AG281" s="300">
        <f t="shared" si="41"/>
        <v>214</v>
      </c>
      <c r="AH281" s="42">
        <f t="shared" si="39"/>
        <v>2</v>
      </c>
      <c r="AI281" s="42">
        <f t="shared" si="39"/>
        <v>0</v>
      </c>
      <c r="AJ281" s="42">
        <f t="shared" si="39"/>
        <v>0</v>
      </c>
      <c r="AK281" s="42">
        <f t="shared" si="38"/>
        <v>0</v>
      </c>
      <c r="AL281" s="42">
        <f t="shared" si="38"/>
        <v>0</v>
      </c>
      <c r="AM281" s="42">
        <f t="shared" si="38"/>
        <v>0</v>
      </c>
      <c r="AN281" s="42">
        <f t="shared" si="38"/>
        <v>0</v>
      </c>
      <c r="AO281" s="42">
        <f t="shared" si="38"/>
        <v>2</v>
      </c>
    </row>
    <row r="282" spans="1:41" ht="15.75">
      <c r="A282" s="16">
        <f t="shared" si="44"/>
        <v>279</v>
      </c>
      <c r="B282" s="400">
        <v>3161</v>
      </c>
      <c r="C282" s="401" t="s">
        <v>1400</v>
      </c>
      <c r="D282" s="402" t="s">
        <v>1719</v>
      </c>
      <c r="E282" s="393" t="s">
        <v>1402</v>
      </c>
      <c r="F282" s="394" t="s">
        <v>4075</v>
      </c>
      <c r="G282" s="429" t="s">
        <v>6475</v>
      </c>
      <c r="H282" s="403">
        <v>35951</v>
      </c>
      <c r="I282" s="404">
        <v>43740</v>
      </c>
      <c r="J282" s="459" t="s">
        <v>6293</v>
      </c>
      <c r="K282" s="460" t="s">
        <v>6300</v>
      </c>
      <c r="L282" s="460" t="s">
        <v>6335</v>
      </c>
      <c r="M282" s="1">
        <v>192</v>
      </c>
      <c r="N282" s="431">
        <f t="shared" si="42"/>
        <v>3</v>
      </c>
      <c r="O282" s="432">
        <v>0</v>
      </c>
      <c r="P282" s="432">
        <v>0</v>
      </c>
      <c r="Q282" s="432">
        <v>0</v>
      </c>
      <c r="R282" s="1">
        <v>7</v>
      </c>
      <c r="S282" s="1">
        <v>10</v>
      </c>
      <c r="T282" s="300">
        <f t="shared" si="43"/>
        <v>212</v>
      </c>
      <c r="U282" s="3"/>
      <c r="V282" s="3"/>
      <c r="W282" s="3"/>
      <c r="X282" s="3"/>
      <c r="Y282" s="3"/>
      <c r="Z282" s="20">
        <f t="shared" si="40"/>
        <v>194</v>
      </c>
      <c r="AA282" s="20">
        <f t="shared" si="46"/>
        <v>3</v>
      </c>
      <c r="AB282" s="20">
        <f t="shared" si="46"/>
        <v>0</v>
      </c>
      <c r="AC282" s="20">
        <f t="shared" si="46"/>
        <v>0</v>
      </c>
      <c r="AD282" s="20">
        <f t="shared" si="45"/>
        <v>0</v>
      </c>
      <c r="AE282" s="20">
        <f t="shared" si="45"/>
        <v>7</v>
      </c>
      <c r="AF282" s="20">
        <f t="shared" si="45"/>
        <v>10</v>
      </c>
      <c r="AG282" s="300">
        <f t="shared" si="41"/>
        <v>214</v>
      </c>
      <c r="AH282" s="42">
        <f t="shared" si="39"/>
        <v>2</v>
      </c>
      <c r="AI282" s="42">
        <f t="shared" si="39"/>
        <v>0</v>
      </c>
      <c r="AJ282" s="42">
        <f t="shared" si="39"/>
        <v>0</v>
      </c>
      <c r="AK282" s="42">
        <f t="shared" si="38"/>
        <v>0</v>
      </c>
      <c r="AL282" s="42">
        <f t="shared" si="38"/>
        <v>0</v>
      </c>
      <c r="AM282" s="42">
        <f t="shared" si="38"/>
        <v>0</v>
      </c>
      <c r="AN282" s="42">
        <f t="shared" si="38"/>
        <v>0</v>
      </c>
      <c r="AO282" s="42">
        <f t="shared" si="38"/>
        <v>2</v>
      </c>
    </row>
    <row r="283" spans="1:41" ht="15.75">
      <c r="A283" s="16">
        <f t="shared" si="44"/>
        <v>280</v>
      </c>
      <c r="B283" s="400">
        <v>3199</v>
      </c>
      <c r="C283" s="401" t="s">
        <v>4098</v>
      </c>
      <c r="D283" s="402" t="s">
        <v>4099</v>
      </c>
      <c r="E283" s="393" t="s">
        <v>4100</v>
      </c>
      <c r="F283" s="394" t="s">
        <v>4101</v>
      </c>
      <c r="G283" s="429" t="s">
        <v>6475</v>
      </c>
      <c r="H283" s="403">
        <v>34496</v>
      </c>
      <c r="I283" s="404">
        <v>43740</v>
      </c>
      <c r="J283" s="459" t="s">
        <v>6293</v>
      </c>
      <c r="K283" s="460" t="s">
        <v>1556</v>
      </c>
      <c r="L283" s="460" t="s">
        <v>1556</v>
      </c>
      <c r="M283" s="1">
        <v>192</v>
      </c>
      <c r="N283" s="431">
        <f t="shared" si="42"/>
        <v>3</v>
      </c>
      <c r="O283" s="432">
        <v>0</v>
      </c>
      <c r="P283" s="432">
        <v>10</v>
      </c>
      <c r="Q283" s="432">
        <v>0</v>
      </c>
      <c r="R283" s="1">
        <v>7</v>
      </c>
      <c r="S283" s="1">
        <v>10</v>
      </c>
      <c r="T283" s="300">
        <f t="shared" si="43"/>
        <v>222</v>
      </c>
      <c r="U283" s="3"/>
      <c r="V283" s="3"/>
      <c r="W283" s="3"/>
      <c r="X283" s="3"/>
      <c r="Y283" s="3"/>
      <c r="Z283" s="20">
        <f t="shared" si="40"/>
        <v>194</v>
      </c>
      <c r="AA283" s="20">
        <f t="shared" si="46"/>
        <v>3</v>
      </c>
      <c r="AB283" s="20">
        <f t="shared" si="46"/>
        <v>0</v>
      </c>
      <c r="AC283" s="20">
        <f t="shared" si="46"/>
        <v>10</v>
      </c>
      <c r="AD283" s="20">
        <f t="shared" si="45"/>
        <v>0</v>
      </c>
      <c r="AE283" s="20">
        <f t="shared" si="45"/>
        <v>7</v>
      </c>
      <c r="AF283" s="20">
        <f t="shared" si="45"/>
        <v>10</v>
      </c>
      <c r="AG283" s="300">
        <f t="shared" si="41"/>
        <v>224</v>
      </c>
      <c r="AH283" s="42">
        <f t="shared" si="39"/>
        <v>2</v>
      </c>
      <c r="AI283" s="42">
        <f t="shared" si="39"/>
        <v>0</v>
      </c>
      <c r="AJ283" s="42">
        <f t="shared" si="39"/>
        <v>0</v>
      </c>
      <c r="AK283" s="42">
        <f t="shared" si="39"/>
        <v>0</v>
      </c>
      <c r="AL283" s="42">
        <f t="shared" si="39"/>
        <v>0</v>
      </c>
      <c r="AM283" s="42">
        <f t="shared" si="39"/>
        <v>0</v>
      </c>
      <c r="AN283" s="42">
        <f t="shared" si="39"/>
        <v>0</v>
      </c>
      <c r="AO283" s="42">
        <f t="shared" si="39"/>
        <v>2</v>
      </c>
    </row>
    <row r="284" spans="1:41" ht="15.75">
      <c r="A284" s="16">
        <f t="shared" si="44"/>
        <v>281</v>
      </c>
      <c r="B284" s="400">
        <v>3147</v>
      </c>
      <c r="C284" s="401" t="s">
        <v>316</v>
      </c>
      <c r="D284" s="402" t="s">
        <v>4116</v>
      </c>
      <c r="E284" s="393" t="s">
        <v>1989</v>
      </c>
      <c r="F284" s="394" t="s">
        <v>4117</v>
      </c>
      <c r="G284" s="429" t="s">
        <v>6473</v>
      </c>
      <c r="H284" s="403">
        <v>31879</v>
      </c>
      <c r="I284" s="404">
        <v>43740</v>
      </c>
      <c r="J284" s="459" t="s">
        <v>6293</v>
      </c>
      <c r="K284" s="460" t="s">
        <v>6305</v>
      </c>
      <c r="L284" s="460" t="s">
        <v>6089</v>
      </c>
      <c r="M284" s="1">
        <v>192</v>
      </c>
      <c r="N284" s="431">
        <f t="shared" si="42"/>
        <v>3</v>
      </c>
      <c r="O284" s="432">
        <v>0</v>
      </c>
      <c r="P284" s="432">
        <v>45</v>
      </c>
      <c r="Q284" s="432">
        <v>0</v>
      </c>
      <c r="R284" s="1">
        <v>7</v>
      </c>
      <c r="S284" s="1">
        <v>10</v>
      </c>
      <c r="T284" s="300">
        <f t="shared" si="43"/>
        <v>257</v>
      </c>
      <c r="U284" s="3"/>
      <c r="V284" s="3"/>
      <c r="W284" s="3"/>
      <c r="X284" s="3"/>
      <c r="Y284" s="3"/>
      <c r="Z284" s="20">
        <f t="shared" si="40"/>
        <v>194</v>
      </c>
      <c r="AA284" s="20">
        <f t="shared" si="46"/>
        <v>3</v>
      </c>
      <c r="AB284" s="20">
        <f t="shared" si="46"/>
        <v>0</v>
      </c>
      <c r="AC284" s="20">
        <f t="shared" si="46"/>
        <v>45</v>
      </c>
      <c r="AD284" s="20">
        <f t="shared" si="45"/>
        <v>0</v>
      </c>
      <c r="AE284" s="20">
        <f t="shared" si="45"/>
        <v>7</v>
      </c>
      <c r="AF284" s="20">
        <f t="shared" si="45"/>
        <v>10</v>
      </c>
      <c r="AG284" s="300">
        <f t="shared" si="41"/>
        <v>259</v>
      </c>
      <c r="AH284" s="42">
        <f t="shared" si="39"/>
        <v>2</v>
      </c>
      <c r="AI284" s="42">
        <f t="shared" si="39"/>
        <v>0</v>
      </c>
      <c r="AJ284" s="42">
        <f t="shared" si="39"/>
        <v>0</v>
      </c>
      <c r="AK284" s="42">
        <f t="shared" si="39"/>
        <v>0</v>
      </c>
      <c r="AL284" s="42">
        <f t="shared" si="39"/>
        <v>0</v>
      </c>
      <c r="AM284" s="42">
        <f t="shared" si="39"/>
        <v>0</v>
      </c>
      <c r="AN284" s="42">
        <f t="shared" si="39"/>
        <v>0</v>
      </c>
      <c r="AO284" s="42">
        <f t="shared" si="39"/>
        <v>2</v>
      </c>
    </row>
    <row r="285" spans="1:41" ht="15.75">
      <c r="A285" s="16">
        <f t="shared" si="44"/>
        <v>282</v>
      </c>
      <c r="B285" s="400">
        <v>3175</v>
      </c>
      <c r="C285" s="401" t="s">
        <v>4435</v>
      </c>
      <c r="D285" s="402" t="s">
        <v>1572</v>
      </c>
      <c r="E285" s="393" t="s">
        <v>4436</v>
      </c>
      <c r="F285" s="394" t="s">
        <v>1574</v>
      </c>
      <c r="G285" s="429" t="s">
        <v>6473</v>
      </c>
      <c r="H285" s="403">
        <v>33646</v>
      </c>
      <c r="I285" s="404">
        <v>43742</v>
      </c>
      <c r="J285" s="459" t="s">
        <v>6293</v>
      </c>
      <c r="K285" s="460" t="s">
        <v>6083</v>
      </c>
      <c r="L285" s="460" t="s">
        <v>6335</v>
      </c>
      <c r="M285" s="1">
        <v>192</v>
      </c>
      <c r="N285" s="431">
        <f t="shared" si="42"/>
        <v>3</v>
      </c>
      <c r="O285" s="432">
        <v>0</v>
      </c>
      <c r="P285" s="432">
        <v>0</v>
      </c>
      <c r="Q285" s="432">
        <v>0</v>
      </c>
      <c r="R285" s="1">
        <v>7</v>
      </c>
      <c r="S285" s="1">
        <v>10</v>
      </c>
      <c r="T285" s="300">
        <f t="shared" si="43"/>
        <v>212</v>
      </c>
      <c r="U285" s="3"/>
      <c r="V285" s="3"/>
      <c r="W285" s="3"/>
      <c r="X285" s="3"/>
      <c r="Y285" s="3"/>
      <c r="Z285" s="20">
        <f t="shared" si="40"/>
        <v>194</v>
      </c>
      <c r="AA285" s="20">
        <f t="shared" si="46"/>
        <v>3</v>
      </c>
      <c r="AB285" s="20">
        <f t="shared" si="46"/>
        <v>0</v>
      </c>
      <c r="AC285" s="20">
        <f t="shared" si="46"/>
        <v>0</v>
      </c>
      <c r="AD285" s="20">
        <f t="shared" si="45"/>
        <v>0</v>
      </c>
      <c r="AE285" s="20">
        <f t="shared" si="45"/>
        <v>7</v>
      </c>
      <c r="AF285" s="20">
        <f t="shared" si="45"/>
        <v>10</v>
      </c>
      <c r="AG285" s="300">
        <f t="shared" si="41"/>
        <v>214</v>
      </c>
      <c r="AH285" s="42">
        <f t="shared" si="39"/>
        <v>2</v>
      </c>
      <c r="AI285" s="42">
        <f t="shared" si="39"/>
        <v>0</v>
      </c>
      <c r="AJ285" s="42">
        <f t="shared" si="39"/>
        <v>0</v>
      </c>
      <c r="AK285" s="42">
        <f t="shared" si="39"/>
        <v>0</v>
      </c>
      <c r="AL285" s="42">
        <f t="shared" si="39"/>
        <v>0</v>
      </c>
      <c r="AM285" s="42">
        <f t="shared" si="39"/>
        <v>0</v>
      </c>
      <c r="AN285" s="42">
        <f t="shared" si="39"/>
        <v>0</v>
      </c>
      <c r="AO285" s="42">
        <f t="shared" si="39"/>
        <v>2</v>
      </c>
    </row>
    <row r="286" spans="1:41" ht="15.75">
      <c r="A286" s="16">
        <f t="shared" si="44"/>
        <v>283</v>
      </c>
      <c r="B286" s="390">
        <v>3119</v>
      </c>
      <c r="C286" s="391" t="s">
        <v>1520</v>
      </c>
      <c r="D286" s="392" t="s">
        <v>3196</v>
      </c>
      <c r="E286" s="393" t="s">
        <v>3197</v>
      </c>
      <c r="F286" s="394" t="s">
        <v>3198</v>
      </c>
      <c r="G286" s="429" t="s">
        <v>6473</v>
      </c>
      <c r="H286" s="395">
        <v>25275</v>
      </c>
      <c r="I286" s="396">
        <v>43742</v>
      </c>
      <c r="J286" s="459" t="s">
        <v>6293</v>
      </c>
      <c r="K286" s="460" t="s">
        <v>6083</v>
      </c>
      <c r="L286" s="460" t="s">
        <v>6335</v>
      </c>
      <c r="M286" s="1">
        <v>192</v>
      </c>
      <c r="N286" s="431">
        <f t="shared" si="42"/>
        <v>3</v>
      </c>
      <c r="O286" s="432">
        <v>0</v>
      </c>
      <c r="P286" s="432">
        <v>0</v>
      </c>
      <c r="Q286" s="432">
        <v>0</v>
      </c>
      <c r="R286" s="1">
        <v>7</v>
      </c>
      <c r="S286" s="1">
        <v>10</v>
      </c>
      <c r="T286" s="300">
        <f t="shared" si="43"/>
        <v>212</v>
      </c>
      <c r="U286" s="3"/>
      <c r="V286" s="3"/>
      <c r="W286" s="3"/>
      <c r="X286" s="3"/>
      <c r="Y286" s="3"/>
      <c r="Z286" s="20">
        <f t="shared" si="40"/>
        <v>194</v>
      </c>
      <c r="AA286" s="20">
        <f t="shared" si="46"/>
        <v>3</v>
      </c>
      <c r="AB286" s="20">
        <f t="shared" si="46"/>
        <v>0</v>
      </c>
      <c r="AC286" s="20">
        <f t="shared" si="46"/>
        <v>0</v>
      </c>
      <c r="AD286" s="20">
        <f t="shared" si="45"/>
        <v>0</v>
      </c>
      <c r="AE286" s="20">
        <f t="shared" si="45"/>
        <v>7</v>
      </c>
      <c r="AF286" s="20">
        <f t="shared" si="45"/>
        <v>10</v>
      </c>
      <c r="AG286" s="300">
        <f t="shared" si="41"/>
        <v>214</v>
      </c>
      <c r="AH286" s="42">
        <f t="shared" si="39"/>
        <v>2</v>
      </c>
      <c r="AI286" s="42">
        <f t="shared" si="39"/>
        <v>0</v>
      </c>
      <c r="AJ286" s="42">
        <f t="shared" si="39"/>
        <v>0</v>
      </c>
      <c r="AK286" s="42">
        <f t="shared" si="39"/>
        <v>0</v>
      </c>
      <c r="AL286" s="42">
        <f t="shared" si="39"/>
        <v>0</v>
      </c>
      <c r="AM286" s="42">
        <f t="shared" si="39"/>
        <v>0</v>
      </c>
      <c r="AN286" s="42">
        <f t="shared" si="39"/>
        <v>0</v>
      </c>
      <c r="AO286" s="42">
        <f t="shared" si="39"/>
        <v>2</v>
      </c>
    </row>
    <row r="287" spans="1:41" ht="15.75">
      <c r="A287" s="16">
        <f t="shared" si="44"/>
        <v>284</v>
      </c>
      <c r="B287" s="390">
        <v>3130</v>
      </c>
      <c r="C287" s="391" t="s">
        <v>1663</v>
      </c>
      <c r="D287" s="392" t="s">
        <v>3205</v>
      </c>
      <c r="E287" s="393" t="s">
        <v>3206</v>
      </c>
      <c r="F287" s="394" t="s">
        <v>3207</v>
      </c>
      <c r="G287" s="429" t="s">
        <v>6473</v>
      </c>
      <c r="H287" s="395">
        <v>29345</v>
      </c>
      <c r="I287" s="396">
        <v>43745</v>
      </c>
      <c r="J287" s="459" t="s">
        <v>6293</v>
      </c>
      <c r="K287" s="460" t="s">
        <v>6129</v>
      </c>
      <c r="L287" s="460" t="s">
        <v>6346</v>
      </c>
      <c r="M287" s="1">
        <v>192</v>
      </c>
      <c r="N287" s="431">
        <f t="shared" si="42"/>
        <v>3</v>
      </c>
      <c r="O287" s="432">
        <v>0</v>
      </c>
      <c r="P287" s="432">
        <v>0</v>
      </c>
      <c r="Q287" s="432">
        <v>0</v>
      </c>
      <c r="R287" s="1">
        <v>7</v>
      </c>
      <c r="S287" s="1">
        <v>10</v>
      </c>
      <c r="T287" s="300">
        <f t="shared" si="43"/>
        <v>212</v>
      </c>
      <c r="U287" s="3"/>
      <c r="V287" s="3"/>
      <c r="W287" s="3"/>
      <c r="X287" s="3"/>
      <c r="Y287" s="3"/>
      <c r="Z287" s="20">
        <f t="shared" si="40"/>
        <v>194</v>
      </c>
      <c r="AA287" s="20">
        <f t="shared" si="46"/>
        <v>3</v>
      </c>
      <c r="AB287" s="20">
        <f t="shared" si="46"/>
        <v>0</v>
      </c>
      <c r="AC287" s="20">
        <f t="shared" si="46"/>
        <v>0</v>
      </c>
      <c r="AD287" s="20">
        <f t="shared" si="45"/>
        <v>0</v>
      </c>
      <c r="AE287" s="20">
        <f t="shared" si="45"/>
        <v>7</v>
      </c>
      <c r="AF287" s="20">
        <f t="shared" si="45"/>
        <v>10</v>
      </c>
      <c r="AG287" s="300">
        <f t="shared" si="41"/>
        <v>214</v>
      </c>
      <c r="AH287" s="42">
        <f t="shared" si="39"/>
        <v>2</v>
      </c>
      <c r="AI287" s="42">
        <f t="shared" si="39"/>
        <v>0</v>
      </c>
      <c r="AJ287" s="42">
        <f t="shared" si="39"/>
        <v>0</v>
      </c>
      <c r="AK287" s="42">
        <f t="shared" si="39"/>
        <v>0</v>
      </c>
      <c r="AL287" s="42">
        <f t="shared" si="39"/>
        <v>0</v>
      </c>
      <c r="AM287" s="42">
        <f t="shared" si="39"/>
        <v>0</v>
      </c>
      <c r="AN287" s="42">
        <f t="shared" si="39"/>
        <v>0</v>
      </c>
      <c r="AO287" s="42">
        <f t="shared" si="39"/>
        <v>2</v>
      </c>
    </row>
    <row r="288" spans="1:41" ht="15.75">
      <c r="A288" s="16">
        <f t="shared" si="44"/>
        <v>285</v>
      </c>
      <c r="B288" s="390">
        <v>3323</v>
      </c>
      <c r="C288" s="391" t="s">
        <v>1307</v>
      </c>
      <c r="D288" s="392" t="s">
        <v>1572</v>
      </c>
      <c r="E288" s="393" t="s">
        <v>3213</v>
      </c>
      <c r="F288" s="394" t="s">
        <v>3214</v>
      </c>
      <c r="G288" s="429" t="s">
        <v>6473</v>
      </c>
      <c r="H288" s="395">
        <v>36924</v>
      </c>
      <c r="I288" s="396">
        <v>43746</v>
      </c>
      <c r="J288" s="459" t="s">
        <v>6293</v>
      </c>
      <c r="K288" s="460" t="s">
        <v>6097</v>
      </c>
      <c r="L288" s="460" t="s">
        <v>6335</v>
      </c>
      <c r="M288" s="1">
        <v>192</v>
      </c>
      <c r="N288" s="431">
        <f t="shared" si="42"/>
        <v>3</v>
      </c>
      <c r="O288" s="432">
        <v>0</v>
      </c>
      <c r="P288" s="432">
        <v>0</v>
      </c>
      <c r="Q288" s="432">
        <v>0</v>
      </c>
      <c r="R288" s="1">
        <v>7</v>
      </c>
      <c r="S288" s="1">
        <v>10</v>
      </c>
      <c r="T288" s="300">
        <f t="shared" si="43"/>
        <v>212</v>
      </c>
      <c r="U288" s="3"/>
      <c r="V288" s="3"/>
      <c r="W288" s="3"/>
      <c r="X288" s="3"/>
      <c r="Y288" s="3"/>
      <c r="Z288" s="20">
        <f t="shared" si="40"/>
        <v>194</v>
      </c>
      <c r="AA288" s="20">
        <f t="shared" si="46"/>
        <v>3</v>
      </c>
      <c r="AB288" s="20">
        <f t="shared" si="46"/>
        <v>0</v>
      </c>
      <c r="AC288" s="20">
        <f t="shared" si="46"/>
        <v>0</v>
      </c>
      <c r="AD288" s="20">
        <f t="shared" si="45"/>
        <v>0</v>
      </c>
      <c r="AE288" s="20">
        <f t="shared" si="45"/>
        <v>7</v>
      </c>
      <c r="AF288" s="20">
        <f t="shared" si="45"/>
        <v>10</v>
      </c>
      <c r="AG288" s="300">
        <f t="shared" si="41"/>
        <v>214</v>
      </c>
      <c r="AH288" s="42">
        <f t="shared" si="39"/>
        <v>2</v>
      </c>
      <c r="AI288" s="42">
        <f t="shared" si="39"/>
        <v>0</v>
      </c>
      <c r="AJ288" s="42">
        <f t="shared" si="39"/>
        <v>0</v>
      </c>
      <c r="AK288" s="42">
        <f t="shared" si="39"/>
        <v>0</v>
      </c>
      <c r="AL288" s="42">
        <f t="shared" si="39"/>
        <v>0</v>
      </c>
      <c r="AM288" s="42">
        <f t="shared" si="39"/>
        <v>0</v>
      </c>
      <c r="AN288" s="42">
        <f t="shared" si="39"/>
        <v>0</v>
      </c>
      <c r="AO288" s="42">
        <f t="shared" si="39"/>
        <v>2</v>
      </c>
    </row>
    <row r="289" spans="1:41" ht="15.75">
      <c r="A289" s="16">
        <f t="shared" si="44"/>
        <v>286</v>
      </c>
      <c r="B289" s="390">
        <v>3134</v>
      </c>
      <c r="C289" s="391" t="s">
        <v>1899</v>
      </c>
      <c r="D289" s="392" t="s">
        <v>1249</v>
      </c>
      <c r="E289" s="393" t="s">
        <v>3240</v>
      </c>
      <c r="F289" s="394" t="s">
        <v>2492</v>
      </c>
      <c r="G289" s="429" t="s">
        <v>6473</v>
      </c>
      <c r="H289" s="395">
        <v>31413</v>
      </c>
      <c r="I289" s="396">
        <v>43745</v>
      </c>
      <c r="J289" s="459" t="s">
        <v>6293</v>
      </c>
      <c r="K289" s="460" t="s">
        <v>6302</v>
      </c>
      <c r="L289" s="460" t="s">
        <v>6335</v>
      </c>
      <c r="M289" s="1">
        <v>192</v>
      </c>
      <c r="N289" s="431">
        <f t="shared" si="42"/>
        <v>3</v>
      </c>
      <c r="O289" s="432">
        <v>0</v>
      </c>
      <c r="P289" s="432">
        <v>0</v>
      </c>
      <c r="Q289" s="432">
        <v>0</v>
      </c>
      <c r="R289" s="1">
        <v>7</v>
      </c>
      <c r="S289" s="1">
        <v>10</v>
      </c>
      <c r="T289" s="300">
        <f t="shared" si="43"/>
        <v>212</v>
      </c>
      <c r="U289" s="3"/>
      <c r="V289" s="3"/>
      <c r="W289" s="3"/>
      <c r="X289" s="3"/>
      <c r="Y289" s="3"/>
      <c r="Z289" s="20">
        <f t="shared" si="40"/>
        <v>194</v>
      </c>
      <c r="AA289" s="20">
        <f t="shared" si="46"/>
        <v>3</v>
      </c>
      <c r="AB289" s="20">
        <f t="shared" si="46"/>
        <v>0</v>
      </c>
      <c r="AC289" s="20">
        <f t="shared" si="46"/>
        <v>0</v>
      </c>
      <c r="AD289" s="20">
        <f t="shared" si="45"/>
        <v>0</v>
      </c>
      <c r="AE289" s="20">
        <f t="shared" si="45"/>
        <v>7</v>
      </c>
      <c r="AF289" s="20">
        <f t="shared" si="45"/>
        <v>10</v>
      </c>
      <c r="AG289" s="300">
        <f t="shared" si="41"/>
        <v>214</v>
      </c>
      <c r="AH289" s="42">
        <f t="shared" si="39"/>
        <v>2</v>
      </c>
      <c r="AI289" s="42">
        <f t="shared" si="39"/>
        <v>0</v>
      </c>
      <c r="AJ289" s="42">
        <f t="shared" si="39"/>
        <v>0</v>
      </c>
      <c r="AK289" s="42">
        <f t="shared" si="39"/>
        <v>0</v>
      </c>
      <c r="AL289" s="42">
        <f t="shared" si="39"/>
        <v>0</v>
      </c>
      <c r="AM289" s="42">
        <f t="shared" si="39"/>
        <v>0</v>
      </c>
      <c r="AN289" s="42">
        <f t="shared" si="39"/>
        <v>0</v>
      </c>
      <c r="AO289" s="42">
        <f t="shared" si="39"/>
        <v>2</v>
      </c>
    </row>
    <row r="290" spans="1:41" ht="15.75">
      <c r="A290" s="16">
        <f t="shared" si="44"/>
        <v>287</v>
      </c>
      <c r="B290" s="390">
        <v>3379</v>
      </c>
      <c r="C290" s="391" t="s">
        <v>1378</v>
      </c>
      <c r="D290" s="392" t="s">
        <v>1293</v>
      </c>
      <c r="E290" s="393" t="s">
        <v>3269</v>
      </c>
      <c r="F290" s="394" t="s">
        <v>2132</v>
      </c>
      <c r="G290" s="429" t="s">
        <v>6473</v>
      </c>
      <c r="H290" s="395">
        <v>28895</v>
      </c>
      <c r="I290" s="396">
        <v>43747</v>
      </c>
      <c r="J290" s="459" t="s">
        <v>6159</v>
      </c>
      <c r="K290" s="460" t="s">
        <v>3070</v>
      </c>
      <c r="L290" s="460" t="s">
        <v>6310</v>
      </c>
      <c r="M290" s="1">
        <v>192</v>
      </c>
      <c r="N290" s="431">
        <f t="shared" si="42"/>
        <v>3</v>
      </c>
      <c r="O290" s="432">
        <v>221</v>
      </c>
      <c r="P290" s="432">
        <v>0</v>
      </c>
      <c r="Q290" s="432">
        <v>0</v>
      </c>
      <c r="R290" s="1">
        <v>7</v>
      </c>
      <c r="S290" s="1">
        <v>10</v>
      </c>
      <c r="T290" s="300">
        <f t="shared" si="43"/>
        <v>433</v>
      </c>
      <c r="U290" s="3"/>
      <c r="V290" s="3"/>
      <c r="W290" s="3"/>
      <c r="X290" s="3"/>
      <c r="Y290" s="3"/>
      <c r="Z290" s="20">
        <f t="shared" si="40"/>
        <v>194</v>
      </c>
      <c r="AA290" s="20">
        <f t="shared" si="46"/>
        <v>3</v>
      </c>
      <c r="AB290" s="20">
        <f t="shared" si="46"/>
        <v>221</v>
      </c>
      <c r="AC290" s="20">
        <f t="shared" si="46"/>
        <v>0</v>
      </c>
      <c r="AD290" s="20">
        <f t="shared" si="45"/>
        <v>0</v>
      </c>
      <c r="AE290" s="20">
        <f t="shared" si="45"/>
        <v>7</v>
      </c>
      <c r="AF290" s="20">
        <f t="shared" si="45"/>
        <v>10</v>
      </c>
      <c r="AG290" s="300">
        <f t="shared" si="41"/>
        <v>435</v>
      </c>
      <c r="AH290" s="42">
        <f t="shared" si="39"/>
        <v>2</v>
      </c>
      <c r="AI290" s="42">
        <f t="shared" si="39"/>
        <v>0</v>
      </c>
      <c r="AJ290" s="42">
        <f t="shared" si="39"/>
        <v>0</v>
      </c>
      <c r="AK290" s="42">
        <f t="shared" si="39"/>
        <v>0</v>
      </c>
      <c r="AL290" s="42">
        <f t="shared" si="39"/>
        <v>0</v>
      </c>
      <c r="AM290" s="42">
        <f t="shared" si="39"/>
        <v>0</v>
      </c>
      <c r="AN290" s="42">
        <f t="shared" si="39"/>
        <v>0</v>
      </c>
      <c r="AO290" s="42">
        <f t="shared" si="39"/>
        <v>2</v>
      </c>
    </row>
    <row r="291" spans="1:41" ht="15.75">
      <c r="A291" s="16">
        <f t="shared" si="44"/>
        <v>288</v>
      </c>
      <c r="B291" s="390">
        <v>3375</v>
      </c>
      <c r="C291" s="391" t="s">
        <v>899</v>
      </c>
      <c r="D291" s="392" t="s">
        <v>1119</v>
      </c>
      <c r="E291" s="393" t="s">
        <v>2202</v>
      </c>
      <c r="F291" s="394" t="s">
        <v>3272</v>
      </c>
      <c r="G291" s="429" t="s">
        <v>6473</v>
      </c>
      <c r="H291" s="395">
        <v>23477</v>
      </c>
      <c r="I291" s="396">
        <v>43755</v>
      </c>
      <c r="J291" s="459" t="s">
        <v>6293</v>
      </c>
      <c r="K291" s="460" t="s">
        <v>397</v>
      </c>
      <c r="L291" s="460" t="s">
        <v>6336</v>
      </c>
      <c r="M291" s="1">
        <v>192</v>
      </c>
      <c r="N291" s="431">
        <f t="shared" si="42"/>
        <v>3</v>
      </c>
      <c r="O291" s="432">
        <v>0</v>
      </c>
      <c r="P291" s="432">
        <v>0</v>
      </c>
      <c r="Q291" s="432">
        <v>0</v>
      </c>
      <c r="R291" s="1">
        <v>7</v>
      </c>
      <c r="S291" s="1">
        <v>10</v>
      </c>
      <c r="T291" s="300">
        <f t="shared" si="43"/>
        <v>212</v>
      </c>
      <c r="U291" s="3"/>
      <c r="V291" s="3"/>
      <c r="W291" s="3"/>
      <c r="X291" s="3"/>
      <c r="Y291" s="3"/>
      <c r="Z291" s="20">
        <f t="shared" si="40"/>
        <v>194</v>
      </c>
      <c r="AA291" s="20">
        <f t="shared" si="46"/>
        <v>3</v>
      </c>
      <c r="AB291" s="20">
        <f t="shared" si="46"/>
        <v>0</v>
      </c>
      <c r="AC291" s="20">
        <f t="shared" si="46"/>
        <v>0</v>
      </c>
      <c r="AD291" s="20">
        <f t="shared" si="45"/>
        <v>0</v>
      </c>
      <c r="AE291" s="20">
        <f t="shared" si="45"/>
        <v>7</v>
      </c>
      <c r="AF291" s="20">
        <f t="shared" si="45"/>
        <v>10</v>
      </c>
      <c r="AG291" s="300">
        <f t="shared" si="41"/>
        <v>214</v>
      </c>
      <c r="AH291" s="42">
        <f t="shared" si="39"/>
        <v>2</v>
      </c>
      <c r="AI291" s="42">
        <f t="shared" si="39"/>
        <v>0</v>
      </c>
      <c r="AJ291" s="42">
        <f t="shared" si="39"/>
        <v>0</v>
      </c>
      <c r="AK291" s="42">
        <f t="shared" si="39"/>
        <v>0</v>
      </c>
      <c r="AL291" s="42">
        <f t="shared" si="39"/>
        <v>0</v>
      </c>
      <c r="AM291" s="42">
        <f t="shared" si="39"/>
        <v>0</v>
      </c>
      <c r="AN291" s="42">
        <f t="shared" si="39"/>
        <v>0</v>
      </c>
      <c r="AO291" s="42">
        <f t="shared" si="39"/>
        <v>2</v>
      </c>
    </row>
    <row r="292" spans="1:41" ht="15.75">
      <c r="A292" s="16">
        <f t="shared" si="44"/>
        <v>289</v>
      </c>
      <c r="B292" s="390">
        <v>3371</v>
      </c>
      <c r="C292" s="391" t="s">
        <v>1418</v>
      </c>
      <c r="D292" s="392" t="s">
        <v>3275</v>
      </c>
      <c r="E292" s="393" t="s">
        <v>3276</v>
      </c>
      <c r="F292" s="394" t="s">
        <v>3277</v>
      </c>
      <c r="G292" s="429" t="s">
        <v>6473</v>
      </c>
      <c r="H292" s="395">
        <v>33843</v>
      </c>
      <c r="I292" s="396">
        <v>43755</v>
      </c>
      <c r="J292" s="459" t="s">
        <v>6293</v>
      </c>
      <c r="K292" s="460" t="s">
        <v>6295</v>
      </c>
      <c r="L292" s="460" t="s">
        <v>6335</v>
      </c>
      <c r="M292" s="1">
        <v>192</v>
      </c>
      <c r="N292" s="431">
        <f t="shared" si="42"/>
        <v>3</v>
      </c>
      <c r="O292" s="432">
        <v>0</v>
      </c>
      <c r="P292" s="432">
        <v>0</v>
      </c>
      <c r="Q292" s="432">
        <v>0</v>
      </c>
      <c r="R292" s="1">
        <v>7</v>
      </c>
      <c r="S292" s="1">
        <v>10</v>
      </c>
      <c r="T292" s="300">
        <f t="shared" si="43"/>
        <v>212</v>
      </c>
      <c r="U292" s="3"/>
      <c r="V292" s="3"/>
      <c r="W292" s="3"/>
      <c r="X292" s="3"/>
      <c r="Y292" s="3"/>
      <c r="Z292" s="20">
        <f t="shared" si="40"/>
        <v>194</v>
      </c>
      <c r="AA292" s="20">
        <f t="shared" si="46"/>
        <v>3</v>
      </c>
      <c r="AB292" s="20">
        <f t="shared" si="46"/>
        <v>0</v>
      </c>
      <c r="AC292" s="20">
        <f t="shared" si="46"/>
        <v>0</v>
      </c>
      <c r="AD292" s="20">
        <f t="shared" si="45"/>
        <v>0</v>
      </c>
      <c r="AE292" s="20">
        <f t="shared" si="45"/>
        <v>7</v>
      </c>
      <c r="AF292" s="20">
        <f t="shared" si="45"/>
        <v>10</v>
      </c>
      <c r="AG292" s="300">
        <f t="shared" si="41"/>
        <v>214</v>
      </c>
      <c r="AH292" s="42">
        <f t="shared" si="39"/>
        <v>2</v>
      </c>
      <c r="AI292" s="42">
        <f t="shared" si="39"/>
        <v>0</v>
      </c>
      <c r="AJ292" s="42">
        <f t="shared" si="39"/>
        <v>0</v>
      </c>
      <c r="AK292" s="42">
        <f t="shared" si="39"/>
        <v>0</v>
      </c>
      <c r="AL292" s="42">
        <f t="shared" si="39"/>
        <v>0</v>
      </c>
      <c r="AM292" s="42">
        <f t="shared" si="39"/>
        <v>0</v>
      </c>
      <c r="AN292" s="42">
        <f t="shared" si="39"/>
        <v>0</v>
      </c>
      <c r="AO292" s="42">
        <f t="shared" si="39"/>
        <v>2</v>
      </c>
    </row>
    <row r="293" spans="1:41" ht="15.75">
      <c r="A293" s="16">
        <f t="shared" si="44"/>
        <v>290</v>
      </c>
      <c r="B293" s="390">
        <v>3370</v>
      </c>
      <c r="C293" s="391" t="s">
        <v>1418</v>
      </c>
      <c r="D293" s="392" t="s">
        <v>3285</v>
      </c>
      <c r="E293" s="393" t="s">
        <v>3276</v>
      </c>
      <c r="F293" s="394" t="s">
        <v>3286</v>
      </c>
      <c r="G293" s="429" t="s">
        <v>6473</v>
      </c>
      <c r="H293" s="395">
        <v>30480</v>
      </c>
      <c r="I293" s="396">
        <v>43755</v>
      </c>
      <c r="J293" s="459" t="s">
        <v>6293</v>
      </c>
      <c r="K293" s="460" t="s">
        <v>6296</v>
      </c>
      <c r="L293" s="460" t="s">
        <v>6335</v>
      </c>
      <c r="M293" s="1">
        <v>192</v>
      </c>
      <c r="N293" s="431">
        <f t="shared" si="42"/>
        <v>3</v>
      </c>
      <c r="O293" s="432">
        <v>0</v>
      </c>
      <c r="P293" s="432">
        <v>0</v>
      </c>
      <c r="Q293" s="432">
        <v>0</v>
      </c>
      <c r="R293" s="1">
        <v>7</v>
      </c>
      <c r="S293" s="1">
        <v>10</v>
      </c>
      <c r="T293" s="300">
        <f t="shared" si="43"/>
        <v>212</v>
      </c>
      <c r="U293" s="3"/>
      <c r="V293" s="3"/>
      <c r="W293" s="3"/>
      <c r="X293" s="3"/>
      <c r="Y293" s="3"/>
      <c r="Z293" s="20">
        <f t="shared" si="40"/>
        <v>194</v>
      </c>
      <c r="AA293" s="20">
        <f t="shared" si="46"/>
        <v>3</v>
      </c>
      <c r="AB293" s="20">
        <f t="shared" si="46"/>
        <v>0</v>
      </c>
      <c r="AC293" s="20">
        <f t="shared" si="46"/>
        <v>0</v>
      </c>
      <c r="AD293" s="20">
        <f t="shared" si="45"/>
        <v>0</v>
      </c>
      <c r="AE293" s="20">
        <f t="shared" si="45"/>
        <v>7</v>
      </c>
      <c r="AF293" s="20">
        <f t="shared" si="45"/>
        <v>10</v>
      </c>
      <c r="AG293" s="300">
        <f t="shared" si="41"/>
        <v>214</v>
      </c>
      <c r="AH293" s="42">
        <f t="shared" si="39"/>
        <v>2</v>
      </c>
      <c r="AI293" s="42">
        <f t="shared" si="39"/>
        <v>0</v>
      </c>
      <c r="AJ293" s="42">
        <f t="shared" si="39"/>
        <v>0</v>
      </c>
      <c r="AK293" s="42">
        <f t="shared" si="39"/>
        <v>0</v>
      </c>
      <c r="AL293" s="42">
        <f t="shared" si="39"/>
        <v>0</v>
      </c>
      <c r="AM293" s="42">
        <f t="shared" si="39"/>
        <v>0</v>
      </c>
      <c r="AN293" s="42">
        <f t="shared" si="39"/>
        <v>0</v>
      </c>
      <c r="AO293" s="42">
        <f t="shared" si="39"/>
        <v>2</v>
      </c>
    </row>
    <row r="294" spans="1:41" ht="15.75">
      <c r="A294" s="16">
        <f t="shared" si="44"/>
        <v>291</v>
      </c>
      <c r="B294" s="390">
        <v>3384</v>
      </c>
      <c r="C294" s="391" t="s">
        <v>670</v>
      </c>
      <c r="D294" s="392" t="s">
        <v>3292</v>
      </c>
      <c r="E294" s="393" t="s">
        <v>3293</v>
      </c>
      <c r="F294" s="394" t="s">
        <v>3294</v>
      </c>
      <c r="G294" s="429" t="s">
        <v>6473</v>
      </c>
      <c r="H294" s="395">
        <v>28401</v>
      </c>
      <c r="I294" s="396">
        <v>43756</v>
      </c>
      <c r="J294" s="459" t="s">
        <v>6293</v>
      </c>
      <c r="K294" s="460" t="s">
        <v>6307</v>
      </c>
      <c r="L294" s="460" t="s">
        <v>6335</v>
      </c>
      <c r="M294" s="1">
        <v>192</v>
      </c>
      <c r="N294" s="431">
        <f t="shared" si="42"/>
        <v>3</v>
      </c>
      <c r="O294" s="432">
        <v>0</v>
      </c>
      <c r="P294" s="432">
        <v>0</v>
      </c>
      <c r="Q294" s="432">
        <v>0</v>
      </c>
      <c r="R294" s="1">
        <v>7</v>
      </c>
      <c r="S294" s="1">
        <v>10</v>
      </c>
      <c r="T294" s="300">
        <f t="shared" si="43"/>
        <v>212</v>
      </c>
      <c r="U294" s="3"/>
      <c r="V294" s="3"/>
      <c r="W294" s="3"/>
      <c r="X294" s="3"/>
      <c r="Y294" s="3"/>
      <c r="Z294" s="20">
        <f t="shared" si="40"/>
        <v>194</v>
      </c>
      <c r="AA294" s="20">
        <f t="shared" si="46"/>
        <v>3</v>
      </c>
      <c r="AB294" s="20">
        <f t="shared" si="46"/>
        <v>0</v>
      </c>
      <c r="AC294" s="20">
        <f t="shared" si="46"/>
        <v>0</v>
      </c>
      <c r="AD294" s="20">
        <f t="shared" si="45"/>
        <v>0</v>
      </c>
      <c r="AE294" s="20">
        <f t="shared" si="45"/>
        <v>7</v>
      </c>
      <c r="AF294" s="20">
        <f t="shared" si="45"/>
        <v>10</v>
      </c>
      <c r="AG294" s="300">
        <f t="shared" si="41"/>
        <v>214</v>
      </c>
      <c r="AH294" s="42">
        <f t="shared" si="39"/>
        <v>2</v>
      </c>
      <c r="AI294" s="42">
        <f t="shared" si="39"/>
        <v>0</v>
      </c>
      <c r="AJ294" s="42">
        <f t="shared" si="39"/>
        <v>0</v>
      </c>
      <c r="AK294" s="42">
        <f t="shared" si="39"/>
        <v>0</v>
      </c>
      <c r="AL294" s="42">
        <f t="shared" si="39"/>
        <v>0</v>
      </c>
      <c r="AM294" s="42">
        <f t="shared" si="39"/>
        <v>0</v>
      </c>
      <c r="AN294" s="42">
        <f t="shared" si="39"/>
        <v>0</v>
      </c>
      <c r="AO294" s="42">
        <f t="shared" si="39"/>
        <v>2</v>
      </c>
    </row>
    <row r="295" spans="1:41" ht="15.75">
      <c r="A295" s="16">
        <f t="shared" si="44"/>
        <v>292</v>
      </c>
      <c r="B295" s="390">
        <v>3390</v>
      </c>
      <c r="C295" s="391" t="s">
        <v>1411</v>
      </c>
      <c r="D295" s="392" t="s">
        <v>3297</v>
      </c>
      <c r="E295" s="393" t="s">
        <v>3298</v>
      </c>
      <c r="F295" s="394" t="s">
        <v>3299</v>
      </c>
      <c r="G295" s="429" t="s">
        <v>6473</v>
      </c>
      <c r="H295" s="395">
        <v>33374</v>
      </c>
      <c r="I295" s="396">
        <v>43760</v>
      </c>
      <c r="J295" s="459" t="s">
        <v>6293</v>
      </c>
      <c r="K295" s="460" t="s">
        <v>6125</v>
      </c>
      <c r="L295" s="460" t="s">
        <v>6339</v>
      </c>
      <c r="M295" s="1">
        <v>192</v>
      </c>
      <c r="N295" s="431">
        <f t="shared" si="42"/>
        <v>3</v>
      </c>
      <c r="O295" s="432">
        <v>0</v>
      </c>
      <c r="P295" s="432">
        <v>0</v>
      </c>
      <c r="Q295" s="432">
        <v>0</v>
      </c>
      <c r="R295" s="1">
        <v>7</v>
      </c>
      <c r="S295" s="1">
        <v>10</v>
      </c>
      <c r="T295" s="300">
        <f t="shared" si="43"/>
        <v>212</v>
      </c>
      <c r="U295" s="3"/>
      <c r="V295" s="3"/>
      <c r="W295" s="3"/>
      <c r="X295" s="3"/>
      <c r="Y295" s="3"/>
      <c r="Z295" s="20">
        <f t="shared" si="40"/>
        <v>194</v>
      </c>
      <c r="AA295" s="20">
        <f t="shared" si="46"/>
        <v>3</v>
      </c>
      <c r="AB295" s="20">
        <f t="shared" si="46"/>
        <v>0</v>
      </c>
      <c r="AC295" s="20">
        <f t="shared" si="46"/>
        <v>0</v>
      </c>
      <c r="AD295" s="20">
        <f t="shared" si="45"/>
        <v>0</v>
      </c>
      <c r="AE295" s="20">
        <f t="shared" si="45"/>
        <v>7</v>
      </c>
      <c r="AF295" s="20">
        <f t="shared" si="45"/>
        <v>10</v>
      </c>
      <c r="AG295" s="300">
        <f t="shared" si="41"/>
        <v>214</v>
      </c>
      <c r="AH295" s="42">
        <f t="shared" si="39"/>
        <v>2</v>
      </c>
      <c r="AI295" s="42">
        <f t="shared" si="39"/>
        <v>0</v>
      </c>
      <c r="AJ295" s="42">
        <f t="shared" si="39"/>
        <v>0</v>
      </c>
      <c r="AK295" s="42">
        <f t="shared" si="39"/>
        <v>0</v>
      </c>
      <c r="AL295" s="42">
        <f t="shared" si="39"/>
        <v>0</v>
      </c>
      <c r="AM295" s="42">
        <f t="shared" si="39"/>
        <v>0</v>
      </c>
      <c r="AN295" s="42">
        <f t="shared" si="39"/>
        <v>0</v>
      </c>
      <c r="AO295" s="42">
        <f t="shared" si="39"/>
        <v>2</v>
      </c>
    </row>
    <row r="296" spans="1:41" ht="15.75">
      <c r="A296" s="16">
        <f t="shared" si="44"/>
        <v>293</v>
      </c>
      <c r="B296" s="390">
        <v>3369</v>
      </c>
      <c r="C296" s="391" t="s">
        <v>825</v>
      </c>
      <c r="D296" s="392" t="s">
        <v>6204</v>
      </c>
      <c r="E296" s="393" t="s">
        <v>2208</v>
      </c>
      <c r="F296" s="394" t="s">
        <v>6110</v>
      </c>
      <c r="G296" s="429" t="s">
        <v>6473</v>
      </c>
      <c r="H296" s="395">
        <v>29643</v>
      </c>
      <c r="I296" s="396">
        <v>43755</v>
      </c>
      <c r="J296" s="459" t="s">
        <v>6293</v>
      </c>
      <c r="K296" s="460" t="s">
        <v>397</v>
      </c>
      <c r="L296" s="460" t="s">
        <v>6336</v>
      </c>
      <c r="M296" s="1">
        <v>192</v>
      </c>
      <c r="N296" s="431">
        <f t="shared" si="42"/>
        <v>3</v>
      </c>
      <c r="O296" s="432">
        <v>0</v>
      </c>
      <c r="P296" s="432">
        <v>0</v>
      </c>
      <c r="Q296" s="432">
        <v>0</v>
      </c>
      <c r="R296" s="1">
        <v>7</v>
      </c>
      <c r="S296" s="1">
        <v>10</v>
      </c>
      <c r="T296" s="300">
        <f t="shared" si="43"/>
        <v>212</v>
      </c>
      <c r="U296" s="3"/>
      <c r="V296" s="3"/>
      <c r="W296" s="3"/>
      <c r="X296" s="3"/>
      <c r="Y296" s="3"/>
      <c r="Z296" s="20">
        <f t="shared" si="40"/>
        <v>194</v>
      </c>
      <c r="AA296" s="20">
        <f t="shared" si="46"/>
        <v>3</v>
      </c>
      <c r="AB296" s="20">
        <f t="shared" si="46"/>
        <v>0</v>
      </c>
      <c r="AC296" s="20">
        <f t="shared" si="46"/>
        <v>0</v>
      </c>
      <c r="AD296" s="20">
        <f t="shared" si="45"/>
        <v>0</v>
      </c>
      <c r="AE296" s="20">
        <f t="shared" si="45"/>
        <v>7</v>
      </c>
      <c r="AF296" s="20">
        <f t="shared" si="45"/>
        <v>10</v>
      </c>
      <c r="AG296" s="300">
        <f t="shared" si="41"/>
        <v>214</v>
      </c>
      <c r="AH296" s="42">
        <f t="shared" si="39"/>
        <v>2</v>
      </c>
      <c r="AI296" s="42">
        <f t="shared" ref="AI296:AO330" si="47">AA296-N296</f>
        <v>0</v>
      </c>
      <c r="AJ296" s="42">
        <f t="shared" si="47"/>
        <v>0</v>
      </c>
      <c r="AK296" s="42">
        <f t="shared" si="47"/>
        <v>0</v>
      </c>
      <c r="AL296" s="42">
        <f t="shared" si="47"/>
        <v>0</v>
      </c>
      <c r="AM296" s="42">
        <f t="shared" si="47"/>
        <v>0</v>
      </c>
      <c r="AN296" s="42">
        <f t="shared" si="47"/>
        <v>0</v>
      </c>
      <c r="AO296" s="42">
        <f t="shared" si="47"/>
        <v>2</v>
      </c>
    </row>
    <row r="297" spans="1:41" ht="15.75">
      <c r="A297" s="16">
        <f t="shared" si="44"/>
        <v>294</v>
      </c>
      <c r="B297" s="390">
        <v>3388</v>
      </c>
      <c r="C297" s="391" t="s">
        <v>958</v>
      </c>
      <c r="D297" s="392" t="s">
        <v>2263</v>
      </c>
      <c r="E297" s="393" t="s">
        <v>3308</v>
      </c>
      <c r="F297" s="394" t="s">
        <v>2122</v>
      </c>
      <c r="G297" s="429" t="s">
        <v>6473</v>
      </c>
      <c r="H297" s="395">
        <v>30142</v>
      </c>
      <c r="I297" s="396">
        <v>43760</v>
      </c>
      <c r="J297" s="459" t="s">
        <v>6293</v>
      </c>
      <c r="K297" s="460" t="s">
        <v>6295</v>
      </c>
      <c r="L297" s="460" t="s">
        <v>6335</v>
      </c>
      <c r="M297" s="1">
        <v>192</v>
      </c>
      <c r="N297" s="431">
        <f t="shared" si="42"/>
        <v>3</v>
      </c>
      <c r="O297" s="432">
        <v>0</v>
      </c>
      <c r="P297" s="432">
        <v>0</v>
      </c>
      <c r="Q297" s="432">
        <v>0</v>
      </c>
      <c r="R297" s="1">
        <v>7</v>
      </c>
      <c r="S297" s="1">
        <v>10</v>
      </c>
      <c r="T297" s="300">
        <f t="shared" si="43"/>
        <v>212</v>
      </c>
      <c r="U297" s="3"/>
      <c r="V297" s="3"/>
      <c r="W297" s="3"/>
      <c r="X297" s="3"/>
      <c r="Y297" s="3"/>
      <c r="Z297" s="20">
        <f t="shared" si="40"/>
        <v>194</v>
      </c>
      <c r="AA297" s="20">
        <f t="shared" si="46"/>
        <v>3</v>
      </c>
      <c r="AB297" s="20">
        <f t="shared" si="46"/>
        <v>0</v>
      </c>
      <c r="AC297" s="20">
        <f t="shared" si="46"/>
        <v>0</v>
      </c>
      <c r="AD297" s="20">
        <f t="shared" si="45"/>
        <v>0</v>
      </c>
      <c r="AE297" s="20">
        <f t="shared" si="45"/>
        <v>7</v>
      </c>
      <c r="AF297" s="20">
        <f t="shared" si="45"/>
        <v>10</v>
      </c>
      <c r="AG297" s="300">
        <f t="shared" si="41"/>
        <v>214</v>
      </c>
      <c r="AH297" s="42">
        <f t="shared" ref="AH297:AK358" si="48">Z297-M297</f>
        <v>2</v>
      </c>
      <c r="AI297" s="42">
        <f t="shared" si="47"/>
        <v>0</v>
      </c>
      <c r="AJ297" s="42">
        <f t="shared" si="47"/>
        <v>0</v>
      </c>
      <c r="AK297" s="42">
        <f t="shared" si="47"/>
        <v>0</v>
      </c>
      <c r="AL297" s="42">
        <f t="shared" si="47"/>
        <v>0</v>
      </c>
      <c r="AM297" s="42">
        <f t="shared" si="47"/>
        <v>0</v>
      </c>
      <c r="AN297" s="42">
        <f t="shared" si="47"/>
        <v>0</v>
      </c>
      <c r="AO297" s="42">
        <f t="shared" si="47"/>
        <v>2</v>
      </c>
    </row>
    <row r="298" spans="1:41" ht="15.75">
      <c r="A298" s="16">
        <f t="shared" si="44"/>
        <v>295</v>
      </c>
      <c r="B298" s="390">
        <v>3385</v>
      </c>
      <c r="C298" s="391" t="s">
        <v>2674</v>
      </c>
      <c r="D298" s="392" t="s">
        <v>3731</v>
      </c>
      <c r="E298" s="393" t="s">
        <v>6029</v>
      </c>
      <c r="F298" s="394" t="s">
        <v>6030</v>
      </c>
      <c r="G298" s="429" t="s">
        <v>6473</v>
      </c>
      <c r="H298" s="395">
        <v>33729</v>
      </c>
      <c r="I298" s="396">
        <v>43756</v>
      </c>
      <c r="J298" s="459" t="s">
        <v>6293</v>
      </c>
      <c r="K298" s="460" t="s">
        <v>6307</v>
      </c>
      <c r="L298" s="460" t="s">
        <v>6335</v>
      </c>
      <c r="M298" s="1">
        <v>192</v>
      </c>
      <c r="N298" s="431">
        <f t="shared" si="42"/>
        <v>3</v>
      </c>
      <c r="O298" s="432">
        <v>0</v>
      </c>
      <c r="P298" s="432">
        <v>0</v>
      </c>
      <c r="Q298" s="432">
        <v>0</v>
      </c>
      <c r="R298" s="1">
        <v>7</v>
      </c>
      <c r="S298" s="1">
        <v>10</v>
      </c>
      <c r="T298" s="300">
        <f t="shared" si="43"/>
        <v>212</v>
      </c>
      <c r="U298" s="3"/>
      <c r="V298" s="3"/>
      <c r="W298" s="3"/>
      <c r="X298" s="3"/>
      <c r="Y298" s="3"/>
      <c r="Z298" s="20">
        <f t="shared" si="40"/>
        <v>194</v>
      </c>
      <c r="AA298" s="20">
        <f t="shared" si="46"/>
        <v>3</v>
      </c>
      <c r="AB298" s="20">
        <f t="shared" si="46"/>
        <v>0</v>
      </c>
      <c r="AC298" s="20">
        <f t="shared" si="46"/>
        <v>0</v>
      </c>
      <c r="AD298" s="20">
        <f t="shared" si="45"/>
        <v>0</v>
      </c>
      <c r="AE298" s="20">
        <f t="shared" si="45"/>
        <v>7</v>
      </c>
      <c r="AF298" s="20">
        <f t="shared" si="45"/>
        <v>10</v>
      </c>
      <c r="AG298" s="300">
        <f t="shared" si="41"/>
        <v>214</v>
      </c>
      <c r="AH298" s="42">
        <f t="shared" si="48"/>
        <v>2</v>
      </c>
      <c r="AI298" s="42">
        <f t="shared" si="47"/>
        <v>0</v>
      </c>
      <c r="AJ298" s="42">
        <f t="shared" si="47"/>
        <v>0</v>
      </c>
      <c r="AK298" s="42">
        <f t="shared" si="47"/>
        <v>0</v>
      </c>
      <c r="AL298" s="42">
        <f t="shared" si="47"/>
        <v>0</v>
      </c>
      <c r="AM298" s="42">
        <f t="shared" si="47"/>
        <v>0</v>
      </c>
      <c r="AN298" s="42">
        <f t="shared" si="47"/>
        <v>0</v>
      </c>
      <c r="AO298" s="42">
        <f t="shared" si="47"/>
        <v>2</v>
      </c>
    </row>
    <row r="299" spans="1:41" ht="15.75">
      <c r="A299" s="16">
        <f t="shared" si="44"/>
        <v>296</v>
      </c>
      <c r="B299" s="390">
        <v>3399</v>
      </c>
      <c r="C299" s="391" t="s">
        <v>876</v>
      </c>
      <c r="D299" s="392" t="s">
        <v>3328</v>
      </c>
      <c r="E299" s="393" t="s">
        <v>3236</v>
      </c>
      <c r="F299" s="394" t="s">
        <v>3329</v>
      </c>
      <c r="G299" s="429" t="s">
        <v>6473</v>
      </c>
      <c r="H299" s="395">
        <v>27834</v>
      </c>
      <c r="I299" s="396">
        <v>43760</v>
      </c>
      <c r="J299" s="459" t="s">
        <v>6293</v>
      </c>
      <c r="K299" s="460" t="s">
        <v>6304</v>
      </c>
      <c r="L299" s="460" t="s">
        <v>6335</v>
      </c>
      <c r="M299" s="1">
        <v>192</v>
      </c>
      <c r="N299" s="431">
        <f t="shared" si="42"/>
        <v>3</v>
      </c>
      <c r="O299" s="432">
        <v>0</v>
      </c>
      <c r="P299" s="432">
        <v>0</v>
      </c>
      <c r="Q299" s="432">
        <v>0</v>
      </c>
      <c r="R299" s="1">
        <v>7</v>
      </c>
      <c r="S299" s="1">
        <v>10</v>
      </c>
      <c r="T299" s="300">
        <f t="shared" si="43"/>
        <v>212</v>
      </c>
      <c r="U299" s="3"/>
      <c r="V299" s="3"/>
      <c r="W299" s="3"/>
      <c r="X299" s="3"/>
      <c r="Y299" s="3"/>
      <c r="Z299" s="20">
        <f t="shared" si="40"/>
        <v>194</v>
      </c>
      <c r="AA299" s="20">
        <f t="shared" si="46"/>
        <v>3</v>
      </c>
      <c r="AB299" s="20">
        <f t="shared" si="46"/>
        <v>0</v>
      </c>
      <c r="AC299" s="20">
        <f t="shared" si="46"/>
        <v>0</v>
      </c>
      <c r="AD299" s="20">
        <f t="shared" si="45"/>
        <v>0</v>
      </c>
      <c r="AE299" s="20">
        <f t="shared" si="45"/>
        <v>7</v>
      </c>
      <c r="AF299" s="20">
        <f t="shared" si="45"/>
        <v>10</v>
      </c>
      <c r="AG299" s="300">
        <f t="shared" si="41"/>
        <v>214</v>
      </c>
      <c r="AH299" s="42">
        <f t="shared" si="48"/>
        <v>2</v>
      </c>
      <c r="AI299" s="42">
        <f t="shared" si="47"/>
        <v>0</v>
      </c>
      <c r="AJ299" s="42">
        <f t="shared" si="47"/>
        <v>0</v>
      </c>
      <c r="AK299" s="42">
        <f t="shared" si="47"/>
        <v>0</v>
      </c>
      <c r="AL299" s="42">
        <f t="shared" si="47"/>
        <v>0</v>
      </c>
      <c r="AM299" s="42">
        <f t="shared" si="47"/>
        <v>0</v>
      </c>
      <c r="AN299" s="42">
        <f t="shared" si="47"/>
        <v>0</v>
      </c>
      <c r="AO299" s="42">
        <f t="shared" si="47"/>
        <v>2</v>
      </c>
    </row>
    <row r="300" spans="1:41" ht="15.75">
      <c r="A300" s="16">
        <f t="shared" si="44"/>
        <v>297</v>
      </c>
      <c r="B300" s="390">
        <v>3393</v>
      </c>
      <c r="C300" s="391" t="s">
        <v>1173</v>
      </c>
      <c r="D300" s="392" t="s">
        <v>130</v>
      </c>
      <c r="E300" s="393" t="s">
        <v>3318</v>
      </c>
      <c r="F300" s="394" t="s">
        <v>3333</v>
      </c>
      <c r="G300" s="429" t="s">
        <v>6473</v>
      </c>
      <c r="H300" s="395">
        <v>29952</v>
      </c>
      <c r="I300" s="396">
        <v>43760</v>
      </c>
      <c r="J300" s="459" t="s">
        <v>6293</v>
      </c>
      <c r="K300" s="460" t="s">
        <v>6304</v>
      </c>
      <c r="L300" s="460" t="s">
        <v>6335</v>
      </c>
      <c r="M300" s="1">
        <v>192</v>
      </c>
      <c r="N300" s="431">
        <f t="shared" si="42"/>
        <v>3</v>
      </c>
      <c r="O300" s="432">
        <v>0</v>
      </c>
      <c r="P300" s="432">
        <v>0</v>
      </c>
      <c r="Q300" s="432">
        <v>0</v>
      </c>
      <c r="R300" s="1">
        <v>7</v>
      </c>
      <c r="S300" s="1">
        <v>10</v>
      </c>
      <c r="T300" s="300">
        <f t="shared" si="43"/>
        <v>212</v>
      </c>
      <c r="U300" s="3"/>
      <c r="V300" s="3"/>
      <c r="W300" s="3"/>
      <c r="X300" s="3"/>
      <c r="Y300" s="3"/>
      <c r="Z300" s="20">
        <f t="shared" si="40"/>
        <v>194</v>
      </c>
      <c r="AA300" s="20">
        <f t="shared" si="46"/>
        <v>3</v>
      </c>
      <c r="AB300" s="20">
        <f t="shared" si="46"/>
        <v>0</v>
      </c>
      <c r="AC300" s="20">
        <f t="shared" si="46"/>
        <v>0</v>
      </c>
      <c r="AD300" s="20">
        <f t="shared" si="45"/>
        <v>0</v>
      </c>
      <c r="AE300" s="20">
        <f t="shared" si="45"/>
        <v>7</v>
      </c>
      <c r="AF300" s="20">
        <f t="shared" si="45"/>
        <v>10</v>
      </c>
      <c r="AG300" s="300">
        <f t="shared" si="41"/>
        <v>214</v>
      </c>
      <c r="AH300" s="42">
        <f t="shared" si="48"/>
        <v>2</v>
      </c>
      <c r="AI300" s="42">
        <f t="shared" si="47"/>
        <v>0</v>
      </c>
      <c r="AJ300" s="42">
        <f t="shared" si="47"/>
        <v>0</v>
      </c>
      <c r="AK300" s="42">
        <f t="shared" si="47"/>
        <v>0</v>
      </c>
      <c r="AL300" s="42">
        <f t="shared" si="47"/>
        <v>0</v>
      </c>
      <c r="AM300" s="42">
        <f t="shared" si="47"/>
        <v>0</v>
      </c>
      <c r="AN300" s="42">
        <f t="shared" si="47"/>
        <v>0</v>
      </c>
      <c r="AO300" s="42">
        <f t="shared" si="47"/>
        <v>2</v>
      </c>
    </row>
    <row r="301" spans="1:41" ht="15.75">
      <c r="A301" s="16">
        <f t="shared" si="44"/>
        <v>298</v>
      </c>
      <c r="B301" s="390">
        <v>3396</v>
      </c>
      <c r="C301" s="391" t="s">
        <v>2054</v>
      </c>
      <c r="D301" s="392" t="s">
        <v>3339</v>
      </c>
      <c r="E301" s="393" t="s">
        <v>3340</v>
      </c>
      <c r="F301" s="394" t="s">
        <v>3341</v>
      </c>
      <c r="G301" s="429" t="s">
        <v>6473</v>
      </c>
      <c r="H301" s="395">
        <v>25973</v>
      </c>
      <c r="I301" s="396">
        <v>43760</v>
      </c>
      <c r="J301" s="459" t="s">
        <v>6293</v>
      </c>
      <c r="K301" s="460" t="s">
        <v>6296</v>
      </c>
      <c r="L301" s="460" t="s">
        <v>6335</v>
      </c>
      <c r="M301" s="1">
        <v>192</v>
      </c>
      <c r="N301" s="431">
        <f t="shared" si="42"/>
        <v>3</v>
      </c>
      <c r="O301" s="432">
        <v>0</v>
      </c>
      <c r="P301" s="432">
        <v>0</v>
      </c>
      <c r="Q301" s="432">
        <v>0</v>
      </c>
      <c r="R301" s="1">
        <v>7</v>
      </c>
      <c r="S301" s="1">
        <v>10</v>
      </c>
      <c r="T301" s="300">
        <f t="shared" si="43"/>
        <v>212</v>
      </c>
      <c r="U301" s="3"/>
      <c r="V301" s="3"/>
      <c r="W301" s="3"/>
      <c r="X301" s="3"/>
      <c r="Y301" s="3"/>
      <c r="Z301" s="20">
        <f t="shared" si="40"/>
        <v>194</v>
      </c>
      <c r="AA301" s="20">
        <f t="shared" si="46"/>
        <v>3</v>
      </c>
      <c r="AB301" s="20">
        <f t="shared" si="46"/>
        <v>0</v>
      </c>
      <c r="AC301" s="20">
        <f t="shared" si="46"/>
        <v>0</v>
      </c>
      <c r="AD301" s="20">
        <f t="shared" si="45"/>
        <v>0</v>
      </c>
      <c r="AE301" s="20">
        <f t="shared" si="45"/>
        <v>7</v>
      </c>
      <c r="AF301" s="20">
        <f t="shared" si="45"/>
        <v>10</v>
      </c>
      <c r="AG301" s="300">
        <f t="shared" si="41"/>
        <v>214</v>
      </c>
      <c r="AH301" s="42">
        <f t="shared" si="48"/>
        <v>2</v>
      </c>
      <c r="AI301" s="42">
        <f t="shared" si="47"/>
        <v>0</v>
      </c>
      <c r="AJ301" s="42">
        <f t="shared" si="47"/>
        <v>0</v>
      </c>
      <c r="AK301" s="42">
        <f t="shared" si="47"/>
        <v>0</v>
      </c>
      <c r="AL301" s="42">
        <f t="shared" si="47"/>
        <v>0</v>
      </c>
      <c r="AM301" s="42">
        <f t="shared" si="47"/>
        <v>0</v>
      </c>
      <c r="AN301" s="42">
        <f t="shared" si="47"/>
        <v>0</v>
      </c>
      <c r="AO301" s="42">
        <f t="shared" si="47"/>
        <v>2</v>
      </c>
    </row>
    <row r="302" spans="1:41" ht="15.75">
      <c r="A302" s="16">
        <f t="shared" si="44"/>
        <v>299</v>
      </c>
      <c r="B302" s="390">
        <v>3402</v>
      </c>
      <c r="C302" s="391" t="s">
        <v>3344</v>
      </c>
      <c r="D302" s="392" t="s">
        <v>3345</v>
      </c>
      <c r="E302" s="393" t="s">
        <v>3346</v>
      </c>
      <c r="F302" s="394" t="s">
        <v>3347</v>
      </c>
      <c r="G302" s="429" t="s">
        <v>6473</v>
      </c>
      <c r="H302" s="395">
        <v>29053</v>
      </c>
      <c r="I302" s="396">
        <v>43760</v>
      </c>
      <c r="J302" s="459" t="s">
        <v>6293</v>
      </c>
      <c r="K302" s="460" t="s">
        <v>6097</v>
      </c>
      <c r="L302" s="460" t="s">
        <v>6335</v>
      </c>
      <c r="M302" s="1">
        <v>192</v>
      </c>
      <c r="N302" s="431">
        <f t="shared" si="42"/>
        <v>3</v>
      </c>
      <c r="O302" s="432">
        <v>0</v>
      </c>
      <c r="P302" s="432">
        <v>0</v>
      </c>
      <c r="Q302" s="432">
        <v>0</v>
      </c>
      <c r="R302" s="1">
        <v>7</v>
      </c>
      <c r="S302" s="1">
        <v>10</v>
      </c>
      <c r="T302" s="300">
        <f t="shared" si="43"/>
        <v>212</v>
      </c>
      <c r="U302" s="3"/>
      <c r="V302" s="3"/>
      <c r="W302" s="3"/>
      <c r="X302" s="3"/>
      <c r="Y302" s="3"/>
      <c r="Z302" s="20">
        <f t="shared" si="40"/>
        <v>194</v>
      </c>
      <c r="AA302" s="20">
        <f t="shared" si="46"/>
        <v>3</v>
      </c>
      <c r="AB302" s="20">
        <f t="shared" si="46"/>
        <v>0</v>
      </c>
      <c r="AC302" s="20">
        <f t="shared" si="46"/>
        <v>0</v>
      </c>
      <c r="AD302" s="20">
        <f t="shared" si="45"/>
        <v>0</v>
      </c>
      <c r="AE302" s="20">
        <f t="shared" si="45"/>
        <v>7</v>
      </c>
      <c r="AF302" s="20">
        <f t="shared" si="45"/>
        <v>10</v>
      </c>
      <c r="AG302" s="300">
        <f t="shared" si="41"/>
        <v>214</v>
      </c>
      <c r="AH302" s="42">
        <f t="shared" si="48"/>
        <v>2</v>
      </c>
      <c r="AI302" s="42">
        <f t="shared" si="47"/>
        <v>0</v>
      </c>
      <c r="AJ302" s="42">
        <f t="shared" si="47"/>
        <v>0</v>
      </c>
      <c r="AK302" s="42">
        <f t="shared" si="47"/>
        <v>0</v>
      </c>
      <c r="AL302" s="42">
        <f t="shared" si="47"/>
        <v>0</v>
      </c>
      <c r="AM302" s="42">
        <f t="shared" si="47"/>
        <v>0</v>
      </c>
      <c r="AN302" s="42">
        <f t="shared" si="47"/>
        <v>0</v>
      </c>
      <c r="AO302" s="42">
        <f t="shared" si="47"/>
        <v>2</v>
      </c>
    </row>
    <row r="303" spans="1:41" ht="15.75">
      <c r="A303" s="16">
        <f t="shared" si="44"/>
        <v>300</v>
      </c>
      <c r="B303" s="390">
        <v>3328</v>
      </c>
      <c r="C303" s="391" t="s">
        <v>3182</v>
      </c>
      <c r="D303" s="392" t="s">
        <v>2359</v>
      </c>
      <c r="E303" s="393" t="s">
        <v>3183</v>
      </c>
      <c r="F303" s="394" t="s">
        <v>2361</v>
      </c>
      <c r="G303" s="429" t="s">
        <v>6473</v>
      </c>
      <c r="H303" s="395">
        <v>34012</v>
      </c>
      <c r="I303" s="396">
        <v>43746</v>
      </c>
      <c r="J303" s="459" t="s">
        <v>6293</v>
      </c>
      <c r="K303" s="460" t="s">
        <v>6097</v>
      </c>
      <c r="L303" s="460" t="s">
        <v>6335</v>
      </c>
      <c r="M303" s="1">
        <v>192</v>
      </c>
      <c r="N303" s="431">
        <f t="shared" si="42"/>
        <v>3</v>
      </c>
      <c r="O303" s="432">
        <v>0</v>
      </c>
      <c r="P303" s="432">
        <v>0</v>
      </c>
      <c r="Q303" s="432">
        <v>0</v>
      </c>
      <c r="R303" s="1">
        <v>7</v>
      </c>
      <c r="S303" s="1">
        <v>10</v>
      </c>
      <c r="T303" s="300">
        <f t="shared" si="43"/>
        <v>212</v>
      </c>
      <c r="U303" s="3"/>
      <c r="V303" s="3"/>
      <c r="W303" s="3"/>
      <c r="X303" s="3"/>
      <c r="Y303" s="3"/>
      <c r="Z303" s="20">
        <f t="shared" si="40"/>
        <v>194</v>
      </c>
      <c r="AA303" s="20">
        <f t="shared" si="46"/>
        <v>3</v>
      </c>
      <c r="AB303" s="20">
        <f t="shared" si="46"/>
        <v>0</v>
      </c>
      <c r="AC303" s="20">
        <f t="shared" si="46"/>
        <v>0</v>
      </c>
      <c r="AD303" s="20">
        <f t="shared" si="45"/>
        <v>0</v>
      </c>
      <c r="AE303" s="20">
        <f t="shared" si="45"/>
        <v>7</v>
      </c>
      <c r="AF303" s="20">
        <f t="shared" si="45"/>
        <v>10</v>
      </c>
      <c r="AG303" s="300">
        <f t="shared" si="41"/>
        <v>214</v>
      </c>
      <c r="AH303" s="42">
        <f t="shared" si="48"/>
        <v>2</v>
      </c>
      <c r="AI303" s="42">
        <f t="shared" si="47"/>
        <v>0</v>
      </c>
      <c r="AJ303" s="42">
        <f t="shared" si="47"/>
        <v>0</v>
      </c>
      <c r="AK303" s="42">
        <f t="shared" si="47"/>
        <v>0</v>
      </c>
      <c r="AL303" s="42">
        <f t="shared" si="47"/>
        <v>0</v>
      </c>
      <c r="AM303" s="42">
        <f t="shared" si="47"/>
        <v>0</v>
      </c>
      <c r="AN303" s="42">
        <f t="shared" si="47"/>
        <v>0</v>
      </c>
      <c r="AO303" s="42">
        <f t="shared" si="47"/>
        <v>2</v>
      </c>
    </row>
    <row r="304" spans="1:41" ht="15.75">
      <c r="A304" s="16">
        <f t="shared" si="44"/>
        <v>301</v>
      </c>
      <c r="B304" s="390">
        <v>3126</v>
      </c>
      <c r="C304" s="391" t="s">
        <v>3473</v>
      </c>
      <c r="D304" s="392" t="s">
        <v>3474</v>
      </c>
      <c r="E304" s="393" t="s">
        <v>3475</v>
      </c>
      <c r="F304" s="394" t="s">
        <v>3476</v>
      </c>
      <c r="G304" s="429" t="s">
        <v>6473</v>
      </c>
      <c r="H304" s="395">
        <v>30929</v>
      </c>
      <c r="I304" s="396">
        <v>43742</v>
      </c>
      <c r="J304" s="459" t="s">
        <v>6293</v>
      </c>
      <c r="K304" s="460" t="s">
        <v>6302</v>
      </c>
      <c r="L304" s="460" t="s">
        <v>6335</v>
      </c>
      <c r="M304" s="1">
        <v>192</v>
      </c>
      <c r="N304" s="431">
        <f t="shared" si="42"/>
        <v>3</v>
      </c>
      <c r="O304" s="432">
        <v>0</v>
      </c>
      <c r="P304" s="432">
        <v>0</v>
      </c>
      <c r="Q304" s="432">
        <v>0</v>
      </c>
      <c r="R304" s="1">
        <v>7</v>
      </c>
      <c r="S304" s="1">
        <v>10</v>
      </c>
      <c r="T304" s="300">
        <f t="shared" si="43"/>
        <v>212</v>
      </c>
      <c r="U304" s="3"/>
      <c r="V304" s="3"/>
      <c r="W304" s="3"/>
      <c r="X304" s="3"/>
      <c r="Y304" s="3"/>
      <c r="Z304" s="20">
        <f t="shared" si="40"/>
        <v>194</v>
      </c>
      <c r="AA304" s="20">
        <f t="shared" si="46"/>
        <v>3</v>
      </c>
      <c r="AB304" s="20">
        <f t="shared" si="46"/>
        <v>0</v>
      </c>
      <c r="AC304" s="20">
        <f t="shared" si="46"/>
        <v>0</v>
      </c>
      <c r="AD304" s="20">
        <f t="shared" si="45"/>
        <v>0</v>
      </c>
      <c r="AE304" s="20">
        <f t="shared" si="45"/>
        <v>7</v>
      </c>
      <c r="AF304" s="20">
        <f t="shared" si="45"/>
        <v>10</v>
      </c>
      <c r="AG304" s="300">
        <f t="shared" si="41"/>
        <v>214</v>
      </c>
      <c r="AH304" s="42">
        <f t="shared" si="48"/>
        <v>2</v>
      </c>
      <c r="AI304" s="42">
        <f t="shared" si="47"/>
        <v>0</v>
      </c>
      <c r="AJ304" s="42">
        <f t="shared" si="47"/>
        <v>0</v>
      </c>
      <c r="AK304" s="42">
        <f t="shared" si="47"/>
        <v>0</v>
      </c>
      <c r="AL304" s="42">
        <f t="shared" si="47"/>
        <v>0</v>
      </c>
      <c r="AM304" s="42">
        <f t="shared" si="47"/>
        <v>0</v>
      </c>
      <c r="AN304" s="42">
        <f t="shared" si="47"/>
        <v>0</v>
      </c>
      <c r="AO304" s="42">
        <f t="shared" si="47"/>
        <v>2</v>
      </c>
    </row>
    <row r="305" spans="1:41" ht="15.75">
      <c r="A305" s="16">
        <f t="shared" si="44"/>
        <v>302</v>
      </c>
      <c r="B305" s="390">
        <v>3318</v>
      </c>
      <c r="C305" s="391" t="s">
        <v>2434</v>
      </c>
      <c r="D305" s="392" t="s">
        <v>3481</v>
      </c>
      <c r="E305" s="393" t="s">
        <v>3482</v>
      </c>
      <c r="F305" s="394" t="s">
        <v>3483</v>
      </c>
      <c r="G305" s="429" t="s">
        <v>6473</v>
      </c>
      <c r="H305" s="395">
        <v>36471</v>
      </c>
      <c r="I305" s="396">
        <v>43743</v>
      </c>
      <c r="J305" s="459" t="s">
        <v>6293</v>
      </c>
      <c r="K305" s="460" t="s">
        <v>6125</v>
      </c>
      <c r="L305" s="460" t="s">
        <v>6339</v>
      </c>
      <c r="M305" s="1">
        <v>192</v>
      </c>
      <c r="N305" s="431">
        <f t="shared" si="42"/>
        <v>3</v>
      </c>
      <c r="O305" s="432">
        <v>0</v>
      </c>
      <c r="P305" s="432">
        <v>0</v>
      </c>
      <c r="Q305" s="432">
        <v>0</v>
      </c>
      <c r="R305" s="1">
        <v>7</v>
      </c>
      <c r="S305" s="1">
        <v>10</v>
      </c>
      <c r="T305" s="300">
        <f t="shared" si="43"/>
        <v>212</v>
      </c>
      <c r="U305" s="3"/>
      <c r="V305" s="3"/>
      <c r="W305" s="3"/>
      <c r="X305" s="3"/>
      <c r="Y305" s="3"/>
      <c r="Z305" s="20">
        <f t="shared" si="40"/>
        <v>194</v>
      </c>
      <c r="AA305" s="20">
        <f t="shared" si="46"/>
        <v>3</v>
      </c>
      <c r="AB305" s="20">
        <f t="shared" si="46"/>
        <v>0</v>
      </c>
      <c r="AC305" s="20">
        <f t="shared" si="46"/>
        <v>0</v>
      </c>
      <c r="AD305" s="20">
        <f t="shared" si="45"/>
        <v>0</v>
      </c>
      <c r="AE305" s="20">
        <f t="shared" si="45"/>
        <v>7</v>
      </c>
      <c r="AF305" s="20">
        <f t="shared" si="45"/>
        <v>10</v>
      </c>
      <c r="AG305" s="300">
        <f t="shared" si="41"/>
        <v>214</v>
      </c>
      <c r="AH305" s="42">
        <f t="shared" si="48"/>
        <v>2</v>
      </c>
      <c r="AI305" s="42">
        <f t="shared" si="47"/>
        <v>0</v>
      </c>
      <c r="AJ305" s="42">
        <f t="shared" si="47"/>
        <v>0</v>
      </c>
      <c r="AK305" s="42">
        <f t="shared" si="47"/>
        <v>0</v>
      </c>
      <c r="AL305" s="42">
        <f t="shared" si="47"/>
        <v>0</v>
      </c>
      <c r="AM305" s="42">
        <f t="shared" si="47"/>
        <v>0</v>
      </c>
      <c r="AN305" s="42">
        <f t="shared" si="47"/>
        <v>0</v>
      </c>
      <c r="AO305" s="42">
        <f t="shared" si="47"/>
        <v>2</v>
      </c>
    </row>
    <row r="306" spans="1:41" ht="15.75">
      <c r="A306" s="16">
        <f t="shared" si="44"/>
        <v>303</v>
      </c>
      <c r="B306" s="390">
        <v>3335</v>
      </c>
      <c r="C306" s="391" t="s">
        <v>173</v>
      </c>
      <c r="D306" s="392" t="s">
        <v>3487</v>
      </c>
      <c r="E306" s="393" t="s">
        <v>93</v>
      </c>
      <c r="F306" s="394" t="s">
        <v>3488</v>
      </c>
      <c r="G306" s="429" t="s">
        <v>6475</v>
      </c>
      <c r="H306" s="395">
        <v>30651</v>
      </c>
      <c r="I306" s="396">
        <v>43749</v>
      </c>
      <c r="J306" s="459" t="s">
        <v>6293</v>
      </c>
      <c r="K306" s="460" t="s">
        <v>45</v>
      </c>
      <c r="L306" s="460" t="s">
        <v>6350</v>
      </c>
      <c r="M306" s="1">
        <v>192</v>
      </c>
      <c r="N306" s="431">
        <f t="shared" si="42"/>
        <v>3</v>
      </c>
      <c r="O306" s="432">
        <v>0</v>
      </c>
      <c r="P306" s="432">
        <v>0</v>
      </c>
      <c r="Q306" s="432">
        <v>0</v>
      </c>
      <c r="R306" s="1">
        <v>7</v>
      </c>
      <c r="S306" s="1">
        <v>10</v>
      </c>
      <c r="T306" s="300">
        <f t="shared" si="43"/>
        <v>212</v>
      </c>
      <c r="U306" s="3"/>
      <c r="V306" s="3"/>
      <c r="W306" s="3"/>
      <c r="X306" s="3"/>
      <c r="Y306" s="3"/>
      <c r="Z306" s="20">
        <f t="shared" si="40"/>
        <v>194</v>
      </c>
      <c r="AA306" s="20">
        <f t="shared" si="46"/>
        <v>3</v>
      </c>
      <c r="AB306" s="20">
        <f t="shared" si="46"/>
        <v>0</v>
      </c>
      <c r="AC306" s="20">
        <f t="shared" si="46"/>
        <v>0</v>
      </c>
      <c r="AD306" s="20">
        <f t="shared" si="45"/>
        <v>0</v>
      </c>
      <c r="AE306" s="20">
        <f t="shared" si="45"/>
        <v>7</v>
      </c>
      <c r="AF306" s="20">
        <f t="shared" si="45"/>
        <v>10</v>
      </c>
      <c r="AG306" s="300">
        <f t="shared" si="41"/>
        <v>214</v>
      </c>
      <c r="AH306" s="42">
        <f t="shared" si="48"/>
        <v>2</v>
      </c>
      <c r="AI306" s="42">
        <f t="shared" si="47"/>
        <v>0</v>
      </c>
      <c r="AJ306" s="42">
        <f t="shared" si="47"/>
        <v>0</v>
      </c>
      <c r="AK306" s="42">
        <f t="shared" si="47"/>
        <v>0</v>
      </c>
      <c r="AL306" s="42">
        <f t="shared" si="47"/>
        <v>0</v>
      </c>
      <c r="AM306" s="42">
        <f t="shared" si="47"/>
        <v>0</v>
      </c>
      <c r="AN306" s="42">
        <f t="shared" si="47"/>
        <v>0</v>
      </c>
      <c r="AO306" s="42">
        <f t="shared" si="47"/>
        <v>2</v>
      </c>
    </row>
    <row r="307" spans="1:41" ht="15.75">
      <c r="A307" s="16">
        <f t="shared" si="44"/>
        <v>304</v>
      </c>
      <c r="B307" s="390">
        <v>3365</v>
      </c>
      <c r="C307" s="391" t="s">
        <v>3496</v>
      </c>
      <c r="D307" s="392" t="s">
        <v>2060</v>
      </c>
      <c r="E307" s="393" t="s">
        <v>3497</v>
      </c>
      <c r="F307" s="394" t="s">
        <v>3498</v>
      </c>
      <c r="G307" s="429" t="s">
        <v>6473</v>
      </c>
      <c r="H307" s="395">
        <v>33637</v>
      </c>
      <c r="I307" s="396">
        <v>43755</v>
      </c>
      <c r="J307" s="459" t="s">
        <v>6293</v>
      </c>
      <c r="K307" s="460" t="s">
        <v>6305</v>
      </c>
      <c r="L307" s="460" t="s">
        <v>6335</v>
      </c>
      <c r="M307" s="1">
        <v>192</v>
      </c>
      <c r="N307" s="431">
        <f t="shared" si="42"/>
        <v>3</v>
      </c>
      <c r="O307" s="432">
        <v>0</v>
      </c>
      <c r="P307" s="432">
        <v>0</v>
      </c>
      <c r="Q307" s="432">
        <v>0</v>
      </c>
      <c r="R307" s="1">
        <v>7</v>
      </c>
      <c r="S307" s="1">
        <v>10</v>
      </c>
      <c r="T307" s="300">
        <f t="shared" si="43"/>
        <v>212</v>
      </c>
      <c r="U307" s="3"/>
      <c r="V307" s="3"/>
      <c r="W307" s="3"/>
      <c r="X307" s="3"/>
      <c r="Y307" s="3"/>
      <c r="Z307" s="20">
        <f t="shared" si="40"/>
        <v>194</v>
      </c>
      <c r="AA307" s="20">
        <f t="shared" si="46"/>
        <v>3</v>
      </c>
      <c r="AB307" s="20">
        <f t="shared" si="46"/>
        <v>0</v>
      </c>
      <c r="AC307" s="20">
        <f t="shared" si="46"/>
        <v>0</v>
      </c>
      <c r="AD307" s="20">
        <f t="shared" si="45"/>
        <v>0</v>
      </c>
      <c r="AE307" s="20">
        <f t="shared" si="45"/>
        <v>7</v>
      </c>
      <c r="AF307" s="20">
        <f t="shared" si="45"/>
        <v>10</v>
      </c>
      <c r="AG307" s="300">
        <f t="shared" si="41"/>
        <v>214</v>
      </c>
      <c r="AH307" s="42">
        <f t="shared" si="48"/>
        <v>2</v>
      </c>
      <c r="AI307" s="42">
        <f t="shared" si="47"/>
        <v>0</v>
      </c>
      <c r="AJ307" s="42">
        <f t="shared" si="47"/>
        <v>0</v>
      </c>
      <c r="AK307" s="42">
        <f t="shared" si="47"/>
        <v>0</v>
      </c>
      <c r="AL307" s="42">
        <f t="shared" si="47"/>
        <v>0</v>
      </c>
      <c r="AM307" s="42">
        <f t="shared" si="47"/>
        <v>0</v>
      </c>
      <c r="AN307" s="42">
        <f t="shared" si="47"/>
        <v>0</v>
      </c>
      <c r="AO307" s="42">
        <f t="shared" si="47"/>
        <v>2</v>
      </c>
    </row>
    <row r="308" spans="1:41" ht="15.75">
      <c r="A308" s="16">
        <f t="shared" si="44"/>
        <v>305</v>
      </c>
      <c r="B308" s="390">
        <v>3377</v>
      </c>
      <c r="C308" s="391" t="s">
        <v>1418</v>
      </c>
      <c r="D308" s="392" t="s">
        <v>265</v>
      </c>
      <c r="E308" s="393" t="s">
        <v>3276</v>
      </c>
      <c r="F308" s="394" t="s">
        <v>3518</v>
      </c>
      <c r="G308" s="429" t="s">
        <v>6473</v>
      </c>
      <c r="H308" s="395">
        <v>31419</v>
      </c>
      <c r="I308" s="396">
        <v>43755</v>
      </c>
      <c r="J308" s="459" t="s">
        <v>6293</v>
      </c>
      <c r="K308" s="460" t="s">
        <v>6307</v>
      </c>
      <c r="L308" s="460" t="s">
        <v>6335</v>
      </c>
      <c r="M308" s="1">
        <v>192</v>
      </c>
      <c r="N308" s="431">
        <f t="shared" si="42"/>
        <v>3</v>
      </c>
      <c r="O308" s="432">
        <v>0</v>
      </c>
      <c r="P308" s="432">
        <v>0</v>
      </c>
      <c r="Q308" s="432">
        <v>0</v>
      </c>
      <c r="R308" s="1">
        <v>7</v>
      </c>
      <c r="S308" s="1">
        <v>10</v>
      </c>
      <c r="T308" s="300">
        <f t="shared" si="43"/>
        <v>212</v>
      </c>
      <c r="U308" s="3"/>
      <c r="V308" s="3"/>
      <c r="W308" s="3"/>
      <c r="X308" s="3"/>
      <c r="Y308" s="3"/>
      <c r="Z308" s="20">
        <f t="shared" si="40"/>
        <v>194</v>
      </c>
      <c r="AA308" s="20">
        <f t="shared" si="46"/>
        <v>3</v>
      </c>
      <c r="AB308" s="20">
        <f t="shared" si="46"/>
        <v>0</v>
      </c>
      <c r="AC308" s="20">
        <f t="shared" si="46"/>
        <v>0</v>
      </c>
      <c r="AD308" s="20">
        <f t="shared" si="45"/>
        <v>0</v>
      </c>
      <c r="AE308" s="20">
        <f t="shared" si="45"/>
        <v>7</v>
      </c>
      <c r="AF308" s="20">
        <f t="shared" si="45"/>
        <v>10</v>
      </c>
      <c r="AG308" s="300">
        <f t="shared" si="41"/>
        <v>214</v>
      </c>
      <c r="AH308" s="42">
        <f t="shared" si="48"/>
        <v>2</v>
      </c>
      <c r="AI308" s="42">
        <f t="shared" si="47"/>
        <v>0</v>
      </c>
      <c r="AJ308" s="42">
        <f t="shared" si="47"/>
        <v>0</v>
      </c>
      <c r="AK308" s="42">
        <f t="shared" si="47"/>
        <v>0</v>
      </c>
      <c r="AL308" s="42">
        <f t="shared" si="47"/>
        <v>0</v>
      </c>
      <c r="AM308" s="42">
        <f t="shared" si="47"/>
        <v>0</v>
      </c>
      <c r="AN308" s="42">
        <f t="shared" si="47"/>
        <v>0</v>
      </c>
      <c r="AO308" s="42">
        <f t="shared" si="47"/>
        <v>2</v>
      </c>
    </row>
    <row r="309" spans="1:41" ht="15.75">
      <c r="A309" s="16">
        <f t="shared" si="44"/>
        <v>306</v>
      </c>
      <c r="B309" s="390">
        <v>3415</v>
      </c>
      <c r="C309" s="391" t="s">
        <v>2032</v>
      </c>
      <c r="D309" s="392" t="s">
        <v>3534</v>
      </c>
      <c r="E309" s="398" t="s">
        <v>2034</v>
      </c>
      <c r="F309" s="399" t="s">
        <v>6124</v>
      </c>
      <c r="G309" s="429" t="s">
        <v>6473</v>
      </c>
      <c r="H309" s="395">
        <v>36990</v>
      </c>
      <c r="I309" s="396">
        <v>43765</v>
      </c>
      <c r="J309" s="459" t="s">
        <v>6293</v>
      </c>
      <c r="K309" s="460" t="s">
        <v>6125</v>
      </c>
      <c r="L309" s="460" t="s">
        <v>6339</v>
      </c>
      <c r="M309" s="1">
        <v>192</v>
      </c>
      <c r="N309" s="431">
        <f t="shared" si="42"/>
        <v>3</v>
      </c>
      <c r="O309" s="432">
        <v>0</v>
      </c>
      <c r="P309" s="432">
        <v>0</v>
      </c>
      <c r="Q309" s="432">
        <v>0</v>
      </c>
      <c r="R309" s="1">
        <v>7</v>
      </c>
      <c r="S309" s="1">
        <v>10</v>
      </c>
      <c r="T309" s="300">
        <f t="shared" si="43"/>
        <v>212</v>
      </c>
      <c r="U309" s="3"/>
      <c r="V309" s="3"/>
      <c r="W309" s="3"/>
      <c r="X309" s="3"/>
      <c r="Y309" s="3"/>
      <c r="Z309" s="20">
        <f t="shared" si="40"/>
        <v>194</v>
      </c>
      <c r="AA309" s="20">
        <f t="shared" si="46"/>
        <v>3</v>
      </c>
      <c r="AB309" s="20">
        <f t="shared" si="46"/>
        <v>0</v>
      </c>
      <c r="AC309" s="20">
        <f t="shared" si="46"/>
        <v>0</v>
      </c>
      <c r="AD309" s="20">
        <f t="shared" si="45"/>
        <v>0</v>
      </c>
      <c r="AE309" s="20">
        <f t="shared" si="45"/>
        <v>7</v>
      </c>
      <c r="AF309" s="20">
        <f t="shared" si="45"/>
        <v>10</v>
      </c>
      <c r="AG309" s="300">
        <f t="shared" si="41"/>
        <v>214</v>
      </c>
      <c r="AH309" s="42">
        <f t="shared" si="48"/>
        <v>2</v>
      </c>
      <c r="AI309" s="42">
        <f t="shared" si="47"/>
        <v>0</v>
      </c>
      <c r="AJ309" s="42">
        <f t="shared" si="47"/>
        <v>0</v>
      </c>
      <c r="AK309" s="42">
        <f t="shared" si="47"/>
        <v>0</v>
      </c>
      <c r="AL309" s="42">
        <f t="shared" si="47"/>
        <v>0</v>
      </c>
      <c r="AM309" s="42">
        <f t="shared" si="47"/>
        <v>0</v>
      </c>
      <c r="AN309" s="42">
        <f t="shared" si="47"/>
        <v>0</v>
      </c>
      <c r="AO309" s="42">
        <f t="shared" si="47"/>
        <v>2</v>
      </c>
    </row>
    <row r="310" spans="1:41" ht="15.75">
      <c r="A310" s="16">
        <f t="shared" si="44"/>
        <v>307</v>
      </c>
      <c r="B310" s="390">
        <v>3412</v>
      </c>
      <c r="C310" s="391" t="s">
        <v>958</v>
      </c>
      <c r="D310" s="392" t="s">
        <v>2520</v>
      </c>
      <c r="E310" s="398" t="s">
        <v>959</v>
      </c>
      <c r="F310" s="399" t="s">
        <v>3545</v>
      </c>
      <c r="G310" s="429" t="s">
        <v>6473</v>
      </c>
      <c r="H310" s="395">
        <v>30198</v>
      </c>
      <c r="I310" s="396">
        <v>43763</v>
      </c>
      <c r="J310" s="459" t="s">
        <v>6293</v>
      </c>
      <c r="K310" s="460" t="s">
        <v>6296</v>
      </c>
      <c r="L310" s="460" t="s">
        <v>6335</v>
      </c>
      <c r="M310" s="1">
        <v>192</v>
      </c>
      <c r="N310" s="431">
        <f t="shared" si="42"/>
        <v>3</v>
      </c>
      <c r="O310" s="432">
        <v>0</v>
      </c>
      <c r="P310" s="432">
        <v>0</v>
      </c>
      <c r="Q310" s="432">
        <v>0</v>
      </c>
      <c r="R310" s="1">
        <v>7</v>
      </c>
      <c r="S310" s="1">
        <v>10</v>
      </c>
      <c r="T310" s="300">
        <f t="shared" si="43"/>
        <v>212</v>
      </c>
      <c r="U310" s="3"/>
      <c r="V310" s="3"/>
      <c r="W310" s="3"/>
      <c r="X310" s="3"/>
      <c r="Y310" s="3"/>
      <c r="Z310" s="20">
        <f t="shared" si="40"/>
        <v>194</v>
      </c>
      <c r="AA310" s="20">
        <f t="shared" si="46"/>
        <v>3</v>
      </c>
      <c r="AB310" s="20">
        <f t="shared" si="46"/>
        <v>0</v>
      </c>
      <c r="AC310" s="20">
        <f t="shared" si="46"/>
        <v>0</v>
      </c>
      <c r="AD310" s="20">
        <f t="shared" si="45"/>
        <v>0</v>
      </c>
      <c r="AE310" s="20">
        <f t="shared" si="45"/>
        <v>7</v>
      </c>
      <c r="AF310" s="20">
        <f t="shared" si="45"/>
        <v>10</v>
      </c>
      <c r="AG310" s="300">
        <f t="shared" si="41"/>
        <v>214</v>
      </c>
      <c r="AH310" s="42">
        <f t="shared" si="48"/>
        <v>2</v>
      </c>
      <c r="AI310" s="42">
        <f t="shared" si="47"/>
        <v>0</v>
      </c>
      <c r="AJ310" s="42">
        <f t="shared" si="47"/>
        <v>0</v>
      </c>
      <c r="AK310" s="42">
        <f t="shared" si="47"/>
        <v>0</v>
      </c>
      <c r="AL310" s="42">
        <f t="shared" si="47"/>
        <v>0</v>
      </c>
      <c r="AM310" s="42">
        <f t="shared" si="47"/>
        <v>0</v>
      </c>
      <c r="AN310" s="42">
        <f t="shared" si="47"/>
        <v>0</v>
      </c>
      <c r="AO310" s="42">
        <f t="shared" si="47"/>
        <v>2</v>
      </c>
    </row>
    <row r="311" spans="1:41" ht="15.75">
      <c r="A311" s="16">
        <f t="shared" si="44"/>
        <v>308</v>
      </c>
      <c r="B311" s="390">
        <v>3397</v>
      </c>
      <c r="C311" s="391" t="s">
        <v>825</v>
      </c>
      <c r="D311" s="392" t="s">
        <v>1119</v>
      </c>
      <c r="E311" s="398" t="s">
        <v>1799</v>
      </c>
      <c r="F311" s="399" t="s">
        <v>1121</v>
      </c>
      <c r="G311" s="429" t="s">
        <v>6473</v>
      </c>
      <c r="H311" s="395">
        <v>30788</v>
      </c>
      <c r="I311" s="396">
        <v>43760</v>
      </c>
      <c r="J311" s="459" t="s">
        <v>6293</v>
      </c>
      <c r="K311" s="460" t="s">
        <v>6296</v>
      </c>
      <c r="L311" s="460" t="s">
        <v>6335</v>
      </c>
      <c r="M311" s="1">
        <v>192</v>
      </c>
      <c r="N311" s="431">
        <f t="shared" si="42"/>
        <v>3</v>
      </c>
      <c r="O311" s="432">
        <v>0</v>
      </c>
      <c r="P311" s="432">
        <v>0</v>
      </c>
      <c r="Q311" s="432">
        <v>0</v>
      </c>
      <c r="R311" s="1">
        <v>7</v>
      </c>
      <c r="S311" s="1">
        <v>10</v>
      </c>
      <c r="T311" s="300">
        <f t="shared" si="43"/>
        <v>212</v>
      </c>
      <c r="U311" s="3"/>
      <c r="V311" s="3"/>
      <c r="W311" s="3"/>
      <c r="X311" s="3"/>
      <c r="Y311" s="3"/>
      <c r="Z311" s="20">
        <f t="shared" si="40"/>
        <v>194</v>
      </c>
      <c r="AA311" s="20">
        <f t="shared" si="46"/>
        <v>3</v>
      </c>
      <c r="AB311" s="20">
        <f t="shared" si="46"/>
        <v>0</v>
      </c>
      <c r="AC311" s="20">
        <f t="shared" si="46"/>
        <v>0</v>
      </c>
      <c r="AD311" s="20">
        <f t="shared" si="45"/>
        <v>0</v>
      </c>
      <c r="AE311" s="20">
        <f t="shared" si="45"/>
        <v>7</v>
      </c>
      <c r="AF311" s="20">
        <f t="shared" si="45"/>
        <v>10</v>
      </c>
      <c r="AG311" s="300">
        <f t="shared" si="41"/>
        <v>214</v>
      </c>
      <c r="AH311" s="42">
        <f t="shared" si="48"/>
        <v>2</v>
      </c>
      <c r="AI311" s="42">
        <f t="shared" si="47"/>
        <v>0</v>
      </c>
      <c r="AJ311" s="42">
        <f t="shared" si="47"/>
        <v>0</v>
      </c>
      <c r="AK311" s="42">
        <f t="shared" si="47"/>
        <v>0</v>
      </c>
      <c r="AL311" s="42">
        <f t="shared" si="47"/>
        <v>0</v>
      </c>
      <c r="AM311" s="42">
        <f t="shared" si="47"/>
        <v>0</v>
      </c>
      <c r="AN311" s="42">
        <f t="shared" si="47"/>
        <v>0</v>
      </c>
      <c r="AO311" s="42">
        <f t="shared" si="47"/>
        <v>2</v>
      </c>
    </row>
    <row r="312" spans="1:41" ht="15.75">
      <c r="A312" s="16">
        <f t="shared" si="44"/>
        <v>309</v>
      </c>
      <c r="B312" s="390">
        <v>3359</v>
      </c>
      <c r="C312" s="391" t="s">
        <v>1512</v>
      </c>
      <c r="D312" s="392" t="s">
        <v>1419</v>
      </c>
      <c r="E312" s="398" t="s">
        <v>1538</v>
      </c>
      <c r="F312" s="399" t="s">
        <v>1421</v>
      </c>
      <c r="G312" s="429" t="s">
        <v>6473</v>
      </c>
      <c r="H312" s="395">
        <v>34182</v>
      </c>
      <c r="I312" s="396">
        <v>43755</v>
      </c>
      <c r="J312" s="459" t="s">
        <v>6293</v>
      </c>
      <c r="K312" s="460" t="s">
        <v>6387</v>
      </c>
      <c r="L312" s="460" t="s">
        <v>6486</v>
      </c>
      <c r="M312" s="1">
        <v>192</v>
      </c>
      <c r="N312" s="431">
        <f t="shared" si="42"/>
        <v>3</v>
      </c>
      <c r="O312" s="432">
        <v>0</v>
      </c>
      <c r="P312" s="432">
        <v>30</v>
      </c>
      <c r="Q312" s="432">
        <v>0</v>
      </c>
      <c r="R312" s="1">
        <v>7</v>
      </c>
      <c r="S312" s="1">
        <v>10</v>
      </c>
      <c r="T312" s="300">
        <f t="shared" si="43"/>
        <v>242</v>
      </c>
      <c r="U312" s="3"/>
      <c r="V312" s="3"/>
      <c r="W312" s="3"/>
      <c r="X312" s="3"/>
      <c r="Y312" s="3"/>
      <c r="Z312" s="20">
        <f t="shared" si="40"/>
        <v>194</v>
      </c>
      <c r="AA312" s="20">
        <f t="shared" si="46"/>
        <v>3</v>
      </c>
      <c r="AB312" s="20">
        <f t="shared" si="46"/>
        <v>0</v>
      </c>
      <c r="AC312" s="20">
        <f t="shared" si="46"/>
        <v>30</v>
      </c>
      <c r="AD312" s="20">
        <f t="shared" si="45"/>
        <v>0</v>
      </c>
      <c r="AE312" s="20">
        <f t="shared" si="45"/>
        <v>7</v>
      </c>
      <c r="AF312" s="20">
        <f t="shared" si="45"/>
        <v>10</v>
      </c>
      <c r="AG312" s="300">
        <f t="shared" si="41"/>
        <v>244</v>
      </c>
      <c r="AH312" s="42">
        <f t="shared" si="48"/>
        <v>2</v>
      </c>
      <c r="AI312" s="42">
        <f t="shared" si="47"/>
        <v>0</v>
      </c>
      <c r="AJ312" s="42">
        <f t="shared" si="47"/>
        <v>0</v>
      </c>
      <c r="AK312" s="42">
        <f t="shared" si="47"/>
        <v>0</v>
      </c>
      <c r="AL312" s="42">
        <f t="shared" si="47"/>
        <v>0</v>
      </c>
      <c r="AM312" s="42">
        <f t="shared" si="47"/>
        <v>0</v>
      </c>
      <c r="AN312" s="42">
        <f t="shared" si="47"/>
        <v>0</v>
      </c>
      <c r="AO312" s="42">
        <f t="shared" si="47"/>
        <v>2</v>
      </c>
    </row>
    <row r="313" spans="1:41" ht="15.75">
      <c r="A313" s="16">
        <f t="shared" si="44"/>
        <v>310</v>
      </c>
      <c r="B313" s="390">
        <v>3406</v>
      </c>
      <c r="C313" s="391" t="s">
        <v>256</v>
      </c>
      <c r="D313" s="392" t="s">
        <v>826</v>
      </c>
      <c r="E313" s="398" t="s">
        <v>16</v>
      </c>
      <c r="F313" s="399" t="s">
        <v>1914</v>
      </c>
      <c r="G313" s="429" t="s">
        <v>6473</v>
      </c>
      <c r="H313" s="395">
        <v>30867</v>
      </c>
      <c r="I313" s="396">
        <v>43760</v>
      </c>
      <c r="J313" s="459" t="s">
        <v>6293</v>
      </c>
      <c r="K313" s="460" t="s">
        <v>6307</v>
      </c>
      <c r="L313" s="460" t="s">
        <v>6335</v>
      </c>
      <c r="M313" s="1">
        <v>192</v>
      </c>
      <c r="N313" s="431">
        <f t="shared" si="42"/>
        <v>3</v>
      </c>
      <c r="O313" s="432">
        <v>0</v>
      </c>
      <c r="P313" s="432">
        <v>0</v>
      </c>
      <c r="Q313" s="432">
        <v>0</v>
      </c>
      <c r="R313" s="1">
        <v>7</v>
      </c>
      <c r="S313" s="1">
        <v>10</v>
      </c>
      <c r="T313" s="300">
        <f t="shared" si="43"/>
        <v>212</v>
      </c>
      <c r="U313" s="3"/>
      <c r="V313" s="3"/>
      <c r="W313" s="3"/>
      <c r="X313" s="3"/>
      <c r="Y313" s="3"/>
      <c r="Z313" s="20">
        <f t="shared" si="40"/>
        <v>194</v>
      </c>
      <c r="AA313" s="20">
        <f t="shared" si="46"/>
        <v>3</v>
      </c>
      <c r="AB313" s="20">
        <f t="shared" si="46"/>
        <v>0</v>
      </c>
      <c r="AC313" s="20">
        <f t="shared" si="46"/>
        <v>0</v>
      </c>
      <c r="AD313" s="20">
        <f t="shared" si="45"/>
        <v>0</v>
      </c>
      <c r="AE313" s="20">
        <f t="shared" si="45"/>
        <v>7</v>
      </c>
      <c r="AF313" s="20">
        <f t="shared" si="45"/>
        <v>10</v>
      </c>
      <c r="AG313" s="300">
        <f t="shared" si="41"/>
        <v>214</v>
      </c>
      <c r="AH313" s="42">
        <f t="shared" si="48"/>
        <v>2</v>
      </c>
      <c r="AI313" s="42">
        <f t="shared" si="47"/>
        <v>0</v>
      </c>
      <c r="AJ313" s="42">
        <f t="shared" si="47"/>
        <v>0</v>
      </c>
      <c r="AK313" s="42">
        <f t="shared" si="47"/>
        <v>0</v>
      </c>
      <c r="AL313" s="42">
        <f t="shared" si="47"/>
        <v>0</v>
      </c>
      <c r="AM313" s="42">
        <f t="shared" si="47"/>
        <v>0</v>
      </c>
      <c r="AN313" s="42">
        <f t="shared" si="47"/>
        <v>0</v>
      </c>
      <c r="AO313" s="42">
        <f t="shared" si="47"/>
        <v>2</v>
      </c>
    </row>
    <row r="314" spans="1:41" ht="15.75">
      <c r="A314" s="16">
        <f t="shared" si="44"/>
        <v>311</v>
      </c>
      <c r="B314" s="390">
        <v>3394</v>
      </c>
      <c r="C314" s="391" t="s">
        <v>3573</v>
      </c>
      <c r="D314" s="392" t="s">
        <v>3574</v>
      </c>
      <c r="E314" s="398" t="s">
        <v>1989</v>
      </c>
      <c r="F314" s="399" t="s">
        <v>3575</v>
      </c>
      <c r="G314" s="429" t="s">
        <v>6473</v>
      </c>
      <c r="H314" s="395">
        <v>27852</v>
      </c>
      <c r="I314" s="396">
        <v>43760</v>
      </c>
      <c r="J314" s="459" t="s">
        <v>6293</v>
      </c>
      <c r="K314" s="460" t="s">
        <v>6304</v>
      </c>
      <c r="L314" s="460" t="s">
        <v>6335</v>
      </c>
      <c r="M314" s="1">
        <v>192</v>
      </c>
      <c r="N314" s="431">
        <f t="shared" si="42"/>
        <v>3</v>
      </c>
      <c r="O314" s="432">
        <v>0</v>
      </c>
      <c r="P314" s="432">
        <v>0</v>
      </c>
      <c r="Q314" s="432">
        <v>0</v>
      </c>
      <c r="R314" s="1">
        <v>7</v>
      </c>
      <c r="S314" s="1">
        <v>10</v>
      </c>
      <c r="T314" s="300">
        <f t="shared" si="43"/>
        <v>212</v>
      </c>
      <c r="U314" s="3"/>
      <c r="V314" s="3"/>
      <c r="W314" s="3"/>
      <c r="X314" s="3"/>
      <c r="Y314" s="3"/>
      <c r="Z314" s="20">
        <f t="shared" si="40"/>
        <v>194</v>
      </c>
      <c r="AA314" s="20">
        <f t="shared" si="46"/>
        <v>3</v>
      </c>
      <c r="AB314" s="20">
        <f t="shared" si="46"/>
        <v>0</v>
      </c>
      <c r="AC314" s="20">
        <f t="shared" si="46"/>
        <v>0</v>
      </c>
      <c r="AD314" s="20">
        <f t="shared" si="45"/>
        <v>0</v>
      </c>
      <c r="AE314" s="20">
        <f t="shared" si="45"/>
        <v>7</v>
      </c>
      <c r="AF314" s="20">
        <f t="shared" si="45"/>
        <v>10</v>
      </c>
      <c r="AG314" s="300">
        <f t="shared" si="41"/>
        <v>214</v>
      </c>
      <c r="AH314" s="42">
        <f t="shared" si="48"/>
        <v>2</v>
      </c>
      <c r="AI314" s="42">
        <f t="shared" si="47"/>
        <v>0</v>
      </c>
      <c r="AJ314" s="42">
        <f t="shared" si="47"/>
        <v>0</v>
      </c>
      <c r="AK314" s="42">
        <f t="shared" si="47"/>
        <v>0</v>
      </c>
      <c r="AL314" s="42">
        <f t="shared" si="47"/>
        <v>0</v>
      </c>
      <c r="AM314" s="42">
        <f t="shared" si="47"/>
        <v>0</v>
      </c>
      <c r="AN314" s="42">
        <f t="shared" si="47"/>
        <v>0</v>
      </c>
      <c r="AO314" s="42">
        <f t="shared" si="47"/>
        <v>2</v>
      </c>
    </row>
    <row r="315" spans="1:41" ht="15.75">
      <c r="A315" s="16">
        <f t="shared" si="44"/>
        <v>312</v>
      </c>
      <c r="B315" s="390">
        <v>3411</v>
      </c>
      <c r="C315" s="391" t="s">
        <v>958</v>
      </c>
      <c r="D315" s="392" t="s">
        <v>3605</v>
      </c>
      <c r="E315" s="398" t="s">
        <v>959</v>
      </c>
      <c r="F315" s="399" t="s">
        <v>3606</v>
      </c>
      <c r="G315" s="429" t="s">
        <v>6473</v>
      </c>
      <c r="H315" s="395">
        <v>32048</v>
      </c>
      <c r="I315" s="396">
        <v>43763</v>
      </c>
      <c r="J315" s="459" t="s">
        <v>6293</v>
      </c>
      <c r="K315" s="460" t="s">
        <v>6296</v>
      </c>
      <c r="L315" s="460" t="s">
        <v>6335</v>
      </c>
      <c r="M315" s="1">
        <v>192</v>
      </c>
      <c r="N315" s="431">
        <f t="shared" si="42"/>
        <v>3</v>
      </c>
      <c r="O315" s="432">
        <v>0</v>
      </c>
      <c r="P315" s="432">
        <v>0</v>
      </c>
      <c r="Q315" s="432">
        <v>0</v>
      </c>
      <c r="R315" s="1">
        <v>7</v>
      </c>
      <c r="S315" s="1">
        <v>10</v>
      </c>
      <c r="T315" s="300">
        <f t="shared" si="43"/>
        <v>212</v>
      </c>
      <c r="U315" s="3"/>
      <c r="V315" s="3"/>
      <c r="W315" s="3"/>
      <c r="X315" s="3"/>
      <c r="Y315" s="3"/>
      <c r="Z315" s="20">
        <f t="shared" si="40"/>
        <v>194</v>
      </c>
      <c r="AA315" s="20">
        <f t="shared" si="46"/>
        <v>3</v>
      </c>
      <c r="AB315" s="20">
        <f t="shared" si="46"/>
        <v>0</v>
      </c>
      <c r="AC315" s="20">
        <f t="shared" si="46"/>
        <v>0</v>
      </c>
      <c r="AD315" s="20">
        <f t="shared" si="45"/>
        <v>0</v>
      </c>
      <c r="AE315" s="20">
        <f t="shared" si="45"/>
        <v>7</v>
      </c>
      <c r="AF315" s="20">
        <f t="shared" si="45"/>
        <v>10</v>
      </c>
      <c r="AG315" s="300">
        <f t="shared" si="41"/>
        <v>214</v>
      </c>
      <c r="AH315" s="42">
        <f t="shared" si="48"/>
        <v>2</v>
      </c>
      <c r="AI315" s="42">
        <f t="shared" si="47"/>
        <v>0</v>
      </c>
      <c r="AJ315" s="42">
        <f t="shared" si="47"/>
        <v>0</v>
      </c>
      <c r="AK315" s="42">
        <f t="shared" si="47"/>
        <v>0</v>
      </c>
      <c r="AL315" s="42">
        <f t="shared" si="47"/>
        <v>0</v>
      </c>
      <c r="AM315" s="42">
        <f t="shared" si="47"/>
        <v>0</v>
      </c>
      <c r="AN315" s="42">
        <f t="shared" si="47"/>
        <v>0</v>
      </c>
      <c r="AO315" s="42">
        <f t="shared" si="47"/>
        <v>2</v>
      </c>
    </row>
    <row r="316" spans="1:41" ht="15.75">
      <c r="A316" s="16">
        <f t="shared" si="44"/>
        <v>313</v>
      </c>
      <c r="B316" s="390">
        <v>3352</v>
      </c>
      <c r="C316" s="391" t="s">
        <v>213</v>
      </c>
      <c r="D316" s="392" t="s">
        <v>685</v>
      </c>
      <c r="E316" s="398" t="s">
        <v>1984</v>
      </c>
      <c r="F316" s="399" t="s">
        <v>687</v>
      </c>
      <c r="G316" s="429" t="s">
        <v>6473</v>
      </c>
      <c r="H316" s="395">
        <v>33119</v>
      </c>
      <c r="I316" s="396">
        <v>43755</v>
      </c>
      <c r="J316" s="459" t="s">
        <v>6293</v>
      </c>
      <c r="K316" s="460" t="s">
        <v>6298</v>
      </c>
      <c r="L316" s="460" t="s">
        <v>6335</v>
      </c>
      <c r="M316" s="1">
        <v>192</v>
      </c>
      <c r="N316" s="431">
        <f t="shared" si="42"/>
        <v>3</v>
      </c>
      <c r="O316" s="432">
        <v>0</v>
      </c>
      <c r="P316" s="432">
        <v>0</v>
      </c>
      <c r="Q316" s="432">
        <v>0</v>
      </c>
      <c r="R316" s="1">
        <v>7</v>
      </c>
      <c r="S316" s="1">
        <v>10</v>
      </c>
      <c r="T316" s="300">
        <f t="shared" si="43"/>
        <v>212</v>
      </c>
      <c r="U316" s="3"/>
      <c r="V316" s="3"/>
      <c r="W316" s="3"/>
      <c r="X316" s="3"/>
      <c r="Y316" s="3"/>
      <c r="Z316" s="20">
        <f t="shared" si="40"/>
        <v>194</v>
      </c>
      <c r="AA316" s="20">
        <f t="shared" si="46"/>
        <v>3</v>
      </c>
      <c r="AB316" s="20">
        <f t="shared" si="46"/>
        <v>0</v>
      </c>
      <c r="AC316" s="20">
        <f t="shared" si="46"/>
        <v>0</v>
      </c>
      <c r="AD316" s="20">
        <f t="shared" si="45"/>
        <v>0</v>
      </c>
      <c r="AE316" s="20">
        <f t="shared" si="45"/>
        <v>7</v>
      </c>
      <c r="AF316" s="20">
        <f t="shared" si="45"/>
        <v>10</v>
      </c>
      <c r="AG316" s="300">
        <f t="shared" si="41"/>
        <v>214</v>
      </c>
      <c r="AH316" s="42">
        <f t="shared" si="48"/>
        <v>2</v>
      </c>
      <c r="AI316" s="42">
        <f t="shared" si="47"/>
        <v>0</v>
      </c>
      <c r="AJ316" s="42">
        <f t="shared" si="47"/>
        <v>0</v>
      </c>
      <c r="AK316" s="42">
        <f t="shared" si="47"/>
        <v>0</v>
      </c>
      <c r="AL316" s="42">
        <f t="shared" si="47"/>
        <v>0</v>
      </c>
      <c r="AM316" s="42">
        <f t="shared" si="47"/>
        <v>0</v>
      </c>
      <c r="AN316" s="42">
        <f t="shared" si="47"/>
        <v>0</v>
      </c>
      <c r="AO316" s="42">
        <f t="shared" si="47"/>
        <v>2</v>
      </c>
    </row>
    <row r="317" spans="1:41" ht="15.75">
      <c r="A317" s="16">
        <f t="shared" si="44"/>
        <v>314</v>
      </c>
      <c r="B317" s="390">
        <v>3413</v>
      </c>
      <c r="C317" s="391" t="s">
        <v>1085</v>
      </c>
      <c r="D317" s="392" t="s">
        <v>3613</v>
      </c>
      <c r="E317" s="398" t="s">
        <v>295</v>
      </c>
      <c r="F317" s="399" t="s">
        <v>3614</v>
      </c>
      <c r="G317" s="429" t="s">
        <v>6473</v>
      </c>
      <c r="H317" s="395">
        <v>34355</v>
      </c>
      <c r="I317" s="396">
        <v>43763</v>
      </c>
      <c r="J317" s="459" t="s">
        <v>6293</v>
      </c>
      <c r="K317" s="460" t="s">
        <v>6296</v>
      </c>
      <c r="L317" s="460" t="s">
        <v>6335</v>
      </c>
      <c r="M317" s="1">
        <v>192</v>
      </c>
      <c r="N317" s="431">
        <f t="shared" si="42"/>
        <v>3</v>
      </c>
      <c r="O317" s="432">
        <v>0</v>
      </c>
      <c r="P317" s="432">
        <v>0</v>
      </c>
      <c r="Q317" s="432">
        <v>0</v>
      </c>
      <c r="R317" s="1">
        <v>7</v>
      </c>
      <c r="S317" s="1">
        <v>10</v>
      </c>
      <c r="T317" s="300">
        <f t="shared" si="43"/>
        <v>212</v>
      </c>
      <c r="U317" s="100">
        <v>10</v>
      </c>
      <c r="V317" s="350">
        <v>44197</v>
      </c>
      <c r="W317" s="68" t="s">
        <v>6158</v>
      </c>
      <c r="X317" s="347">
        <v>0.73</v>
      </c>
      <c r="Y317" s="3"/>
      <c r="Z317" s="20">
        <f t="shared" si="40"/>
        <v>194</v>
      </c>
      <c r="AA317" s="20">
        <f t="shared" si="46"/>
        <v>3</v>
      </c>
      <c r="AB317" s="20">
        <f t="shared" si="46"/>
        <v>0</v>
      </c>
      <c r="AC317" s="20">
        <f t="shared" si="46"/>
        <v>0</v>
      </c>
      <c r="AD317" s="20">
        <f t="shared" si="45"/>
        <v>0</v>
      </c>
      <c r="AE317" s="20">
        <f t="shared" si="45"/>
        <v>7</v>
      </c>
      <c r="AF317" s="20">
        <f t="shared" si="45"/>
        <v>10</v>
      </c>
      <c r="AG317" s="300">
        <f t="shared" si="41"/>
        <v>214</v>
      </c>
      <c r="AH317" s="42">
        <f t="shared" si="48"/>
        <v>2</v>
      </c>
      <c r="AI317" s="42">
        <f t="shared" si="47"/>
        <v>0</v>
      </c>
      <c r="AJ317" s="42">
        <f t="shared" si="47"/>
        <v>0</v>
      </c>
      <c r="AK317" s="42">
        <f t="shared" si="47"/>
        <v>0</v>
      </c>
      <c r="AL317" s="42">
        <f t="shared" si="47"/>
        <v>0</v>
      </c>
      <c r="AM317" s="42">
        <f t="shared" si="47"/>
        <v>0</v>
      </c>
      <c r="AN317" s="42">
        <f t="shared" si="47"/>
        <v>0</v>
      </c>
      <c r="AO317" s="42">
        <f t="shared" si="47"/>
        <v>2</v>
      </c>
    </row>
    <row r="318" spans="1:41" ht="15.75">
      <c r="A318" s="16">
        <f t="shared" si="44"/>
        <v>315</v>
      </c>
      <c r="B318" s="390">
        <v>3381</v>
      </c>
      <c r="C318" s="391" t="s">
        <v>1996</v>
      </c>
      <c r="D318" s="392" t="s">
        <v>3619</v>
      </c>
      <c r="E318" s="398" t="s">
        <v>937</v>
      </c>
      <c r="F318" s="399" t="s">
        <v>3620</v>
      </c>
      <c r="G318" s="429" t="s">
        <v>6473</v>
      </c>
      <c r="H318" s="395">
        <v>31579</v>
      </c>
      <c r="I318" s="396">
        <v>43755</v>
      </c>
      <c r="J318" s="459" t="s">
        <v>6293</v>
      </c>
      <c r="K318" s="460" t="s">
        <v>6296</v>
      </c>
      <c r="L318" s="460" t="s">
        <v>6335</v>
      </c>
      <c r="M318" s="1">
        <v>192</v>
      </c>
      <c r="N318" s="431">
        <f t="shared" si="42"/>
        <v>3</v>
      </c>
      <c r="O318" s="432">
        <v>0</v>
      </c>
      <c r="P318" s="432">
        <v>0</v>
      </c>
      <c r="Q318" s="432">
        <v>0</v>
      </c>
      <c r="R318" s="1">
        <v>7</v>
      </c>
      <c r="S318" s="1">
        <v>10</v>
      </c>
      <c r="T318" s="300">
        <f t="shared" si="43"/>
        <v>212</v>
      </c>
      <c r="U318" s="3"/>
      <c r="V318" s="3"/>
      <c r="W318" s="3"/>
      <c r="X318" s="3"/>
      <c r="Y318" s="3"/>
      <c r="Z318" s="20">
        <f t="shared" si="40"/>
        <v>194</v>
      </c>
      <c r="AA318" s="20">
        <f t="shared" si="46"/>
        <v>3</v>
      </c>
      <c r="AB318" s="20">
        <f t="shared" si="46"/>
        <v>0</v>
      </c>
      <c r="AC318" s="20">
        <f t="shared" si="46"/>
        <v>0</v>
      </c>
      <c r="AD318" s="20">
        <f t="shared" si="45"/>
        <v>0</v>
      </c>
      <c r="AE318" s="20">
        <f t="shared" si="45"/>
        <v>7</v>
      </c>
      <c r="AF318" s="20">
        <f t="shared" si="45"/>
        <v>10</v>
      </c>
      <c r="AG318" s="300">
        <f t="shared" si="41"/>
        <v>214</v>
      </c>
      <c r="AH318" s="42">
        <f t="shared" si="48"/>
        <v>2</v>
      </c>
      <c r="AI318" s="42">
        <f t="shared" si="47"/>
        <v>0</v>
      </c>
      <c r="AJ318" s="42">
        <f t="shared" si="47"/>
        <v>0</v>
      </c>
      <c r="AK318" s="42">
        <f t="shared" si="47"/>
        <v>0</v>
      </c>
      <c r="AL318" s="42">
        <f t="shared" si="47"/>
        <v>0</v>
      </c>
      <c r="AM318" s="42">
        <f t="shared" si="47"/>
        <v>0</v>
      </c>
      <c r="AN318" s="42">
        <f t="shared" si="47"/>
        <v>0</v>
      </c>
      <c r="AO318" s="42">
        <f t="shared" si="47"/>
        <v>2</v>
      </c>
    </row>
    <row r="319" spans="1:41" ht="15.75">
      <c r="A319" s="16">
        <f t="shared" si="44"/>
        <v>316</v>
      </c>
      <c r="B319" s="390">
        <v>3660</v>
      </c>
      <c r="C319" s="391" t="s">
        <v>2146</v>
      </c>
      <c r="D319" s="392" t="s">
        <v>2120</v>
      </c>
      <c r="E319" s="393" t="s">
        <v>3683</v>
      </c>
      <c r="F319" s="394" t="s">
        <v>2122</v>
      </c>
      <c r="G319" s="429" t="s">
        <v>6473</v>
      </c>
      <c r="H319" s="395">
        <v>33677</v>
      </c>
      <c r="I319" s="396">
        <v>43757</v>
      </c>
      <c r="J319" s="459" t="s">
        <v>6293</v>
      </c>
      <c r="K319" s="460" t="s">
        <v>6308</v>
      </c>
      <c r="L319" s="460" t="s">
        <v>6335</v>
      </c>
      <c r="M319" s="1">
        <v>192</v>
      </c>
      <c r="N319" s="431">
        <f t="shared" si="42"/>
        <v>3</v>
      </c>
      <c r="O319" s="432">
        <v>0</v>
      </c>
      <c r="P319" s="432">
        <v>0</v>
      </c>
      <c r="Q319" s="432">
        <v>0</v>
      </c>
      <c r="R319" s="1">
        <v>7</v>
      </c>
      <c r="S319" s="1">
        <v>10</v>
      </c>
      <c r="T319" s="300">
        <f t="shared" si="43"/>
        <v>212</v>
      </c>
      <c r="U319" s="3"/>
      <c r="V319" s="3"/>
      <c r="W319" s="3"/>
      <c r="X319" s="3"/>
      <c r="Y319" s="3"/>
      <c r="Z319" s="20">
        <f t="shared" si="40"/>
        <v>194</v>
      </c>
      <c r="AA319" s="20">
        <f t="shared" si="46"/>
        <v>3</v>
      </c>
      <c r="AB319" s="20">
        <f t="shared" si="46"/>
        <v>0</v>
      </c>
      <c r="AC319" s="20">
        <f t="shared" si="46"/>
        <v>0</v>
      </c>
      <c r="AD319" s="20">
        <f t="shared" si="45"/>
        <v>0</v>
      </c>
      <c r="AE319" s="20">
        <f t="shared" si="45"/>
        <v>7</v>
      </c>
      <c r="AF319" s="20">
        <f t="shared" si="45"/>
        <v>10</v>
      </c>
      <c r="AG319" s="300">
        <f t="shared" si="41"/>
        <v>214</v>
      </c>
      <c r="AH319" s="42">
        <f t="shared" si="48"/>
        <v>2</v>
      </c>
      <c r="AI319" s="42">
        <f t="shared" si="47"/>
        <v>0</v>
      </c>
      <c r="AJ319" s="42">
        <f t="shared" si="47"/>
        <v>0</v>
      </c>
      <c r="AK319" s="42">
        <f t="shared" si="47"/>
        <v>0</v>
      </c>
      <c r="AL319" s="42">
        <f t="shared" si="47"/>
        <v>0</v>
      </c>
      <c r="AM319" s="42">
        <f t="shared" si="47"/>
        <v>0</v>
      </c>
      <c r="AN319" s="42">
        <f t="shared" si="47"/>
        <v>0</v>
      </c>
      <c r="AO319" s="42">
        <f t="shared" si="47"/>
        <v>2</v>
      </c>
    </row>
    <row r="320" spans="1:41" ht="15.75">
      <c r="A320" s="16">
        <f t="shared" si="44"/>
        <v>317</v>
      </c>
      <c r="B320" s="390">
        <v>3677</v>
      </c>
      <c r="C320" s="391" t="s">
        <v>1173</v>
      </c>
      <c r="D320" s="392" t="s">
        <v>2291</v>
      </c>
      <c r="E320" s="393" t="s">
        <v>3318</v>
      </c>
      <c r="F320" s="394" t="s">
        <v>3748</v>
      </c>
      <c r="G320" s="429" t="s">
        <v>6473</v>
      </c>
      <c r="H320" s="395">
        <v>29747</v>
      </c>
      <c r="I320" s="396">
        <v>43757</v>
      </c>
      <c r="J320" s="459" t="s">
        <v>6293</v>
      </c>
      <c r="K320" s="460" t="s">
        <v>6134</v>
      </c>
      <c r="L320" s="460" t="s">
        <v>6335</v>
      </c>
      <c r="M320" s="1">
        <v>192</v>
      </c>
      <c r="N320" s="431">
        <f t="shared" si="42"/>
        <v>3</v>
      </c>
      <c r="O320" s="432">
        <v>0</v>
      </c>
      <c r="P320" s="432">
        <v>0</v>
      </c>
      <c r="Q320" s="432">
        <v>0</v>
      </c>
      <c r="R320" s="1">
        <v>7</v>
      </c>
      <c r="S320" s="1">
        <v>10</v>
      </c>
      <c r="T320" s="300">
        <f t="shared" si="43"/>
        <v>212</v>
      </c>
      <c r="U320" s="3"/>
      <c r="V320" s="3"/>
      <c r="W320" s="3"/>
      <c r="X320" s="3"/>
      <c r="Y320" s="3"/>
      <c r="Z320" s="20">
        <f t="shared" si="40"/>
        <v>194</v>
      </c>
      <c r="AA320" s="20">
        <f t="shared" si="46"/>
        <v>3</v>
      </c>
      <c r="AB320" s="20">
        <f t="shared" si="46"/>
        <v>0</v>
      </c>
      <c r="AC320" s="20">
        <f t="shared" si="46"/>
        <v>0</v>
      </c>
      <c r="AD320" s="20">
        <f t="shared" si="45"/>
        <v>0</v>
      </c>
      <c r="AE320" s="20">
        <f t="shared" si="45"/>
        <v>7</v>
      </c>
      <c r="AF320" s="20">
        <f t="shared" si="45"/>
        <v>10</v>
      </c>
      <c r="AG320" s="300">
        <f t="shared" si="41"/>
        <v>214</v>
      </c>
      <c r="AH320" s="42">
        <f t="shared" si="48"/>
        <v>2</v>
      </c>
      <c r="AI320" s="42">
        <f t="shared" si="47"/>
        <v>0</v>
      </c>
      <c r="AJ320" s="42">
        <f t="shared" si="47"/>
        <v>0</v>
      </c>
      <c r="AK320" s="42">
        <f t="shared" si="47"/>
        <v>0</v>
      </c>
      <c r="AL320" s="42">
        <f t="shared" si="47"/>
        <v>0</v>
      </c>
      <c r="AM320" s="42">
        <f t="shared" si="47"/>
        <v>0</v>
      </c>
      <c r="AN320" s="42">
        <f t="shared" si="47"/>
        <v>0</v>
      </c>
      <c r="AO320" s="42">
        <f t="shared" si="47"/>
        <v>2</v>
      </c>
    </row>
    <row r="321" spans="1:41" ht="15.75">
      <c r="A321" s="16">
        <f t="shared" si="44"/>
        <v>318</v>
      </c>
      <c r="B321" s="390">
        <v>3522</v>
      </c>
      <c r="C321" s="391" t="s">
        <v>1652</v>
      </c>
      <c r="D321" s="392" t="s">
        <v>1784</v>
      </c>
      <c r="E321" s="393" t="s">
        <v>3769</v>
      </c>
      <c r="F321" s="394" t="s">
        <v>3764</v>
      </c>
      <c r="G321" s="429" t="s">
        <v>6473</v>
      </c>
      <c r="H321" s="395">
        <v>31977</v>
      </c>
      <c r="I321" s="396">
        <v>43746</v>
      </c>
      <c r="J321" s="459" t="s">
        <v>6293</v>
      </c>
      <c r="K321" s="460" t="s">
        <v>6307</v>
      </c>
      <c r="L321" s="460" t="s">
        <v>6335</v>
      </c>
      <c r="M321" s="1">
        <v>192</v>
      </c>
      <c r="N321" s="431">
        <f t="shared" si="42"/>
        <v>3</v>
      </c>
      <c r="O321" s="432">
        <v>0</v>
      </c>
      <c r="P321" s="432">
        <v>0</v>
      </c>
      <c r="Q321" s="432">
        <v>0</v>
      </c>
      <c r="R321" s="1">
        <v>7</v>
      </c>
      <c r="S321" s="1">
        <v>10</v>
      </c>
      <c r="T321" s="300">
        <f t="shared" si="43"/>
        <v>212</v>
      </c>
      <c r="U321" s="3"/>
      <c r="V321" s="3"/>
      <c r="W321" s="3"/>
      <c r="X321" s="3"/>
      <c r="Y321" s="3"/>
      <c r="Z321" s="20">
        <f t="shared" ref="Z321:Z384" si="49">M321+2</f>
        <v>194</v>
      </c>
      <c r="AA321" s="20">
        <f t="shared" si="46"/>
        <v>3</v>
      </c>
      <c r="AB321" s="20">
        <f t="shared" si="46"/>
        <v>0</v>
      </c>
      <c r="AC321" s="20">
        <f t="shared" si="46"/>
        <v>0</v>
      </c>
      <c r="AD321" s="20">
        <f t="shared" si="45"/>
        <v>0</v>
      </c>
      <c r="AE321" s="20">
        <f t="shared" si="45"/>
        <v>7</v>
      </c>
      <c r="AF321" s="20">
        <f t="shared" si="45"/>
        <v>10</v>
      </c>
      <c r="AG321" s="300">
        <f t="shared" ref="AG321:AG384" si="50">SUM(Z321:AF321)</f>
        <v>214</v>
      </c>
      <c r="AH321" s="42">
        <f t="shared" si="48"/>
        <v>2</v>
      </c>
      <c r="AI321" s="42">
        <f t="shared" si="47"/>
        <v>0</v>
      </c>
      <c r="AJ321" s="42">
        <f t="shared" si="47"/>
        <v>0</v>
      </c>
      <c r="AK321" s="42">
        <f t="shared" si="47"/>
        <v>0</v>
      </c>
      <c r="AL321" s="42">
        <f t="shared" si="47"/>
        <v>0</v>
      </c>
      <c r="AM321" s="42">
        <f t="shared" si="47"/>
        <v>0</v>
      </c>
      <c r="AN321" s="42">
        <f t="shared" si="47"/>
        <v>0</v>
      </c>
      <c r="AO321" s="42">
        <f t="shared" si="47"/>
        <v>2</v>
      </c>
    </row>
    <row r="322" spans="1:41" ht="15.75">
      <c r="A322" s="16">
        <f t="shared" si="44"/>
        <v>319</v>
      </c>
      <c r="B322" s="390">
        <v>3547</v>
      </c>
      <c r="C322" s="391" t="s">
        <v>2409</v>
      </c>
      <c r="D322" s="392" t="s">
        <v>3774</v>
      </c>
      <c r="E322" s="393" t="s">
        <v>2411</v>
      </c>
      <c r="F322" s="394" t="s">
        <v>3775</v>
      </c>
      <c r="G322" s="429" t="s">
        <v>6475</v>
      </c>
      <c r="H322" s="395">
        <v>33894</v>
      </c>
      <c r="I322" s="396">
        <v>43747</v>
      </c>
      <c r="J322" s="459" t="s">
        <v>6293</v>
      </c>
      <c r="K322" s="460" t="s">
        <v>6134</v>
      </c>
      <c r="L322" s="460" t="s">
        <v>6335</v>
      </c>
      <c r="M322" s="1">
        <v>192</v>
      </c>
      <c r="N322" s="431">
        <f t="shared" ref="N322:N385" si="51">ROUNDDOWN(INT($N$1-I322-16)/365,0)+1</f>
        <v>3</v>
      </c>
      <c r="O322" s="432">
        <v>0</v>
      </c>
      <c r="P322" s="432">
        <v>0</v>
      </c>
      <c r="Q322" s="432">
        <v>0</v>
      </c>
      <c r="R322" s="1">
        <v>7</v>
      </c>
      <c r="S322" s="1">
        <v>10</v>
      </c>
      <c r="T322" s="300">
        <f t="shared" ref="T322:T385" si="52">SUM(M322:S322)</f>
        <v>212</v>
      </c>
      <c r="U322" s="3"/>
      <c r="V322" s="3"/>
      <c r="W322" s="3"/>
      <c r="X322" s="3"/>
      <c r="Y322" s="3"/>
      <c r="Z322" s="20">
        <f t="shared" si="49"/>
        <v>194</v>
      </c>
      <c r="AA322" s="20">
        <f t="shared" si="46"/>
        <v>3</v>
      </c>
      <c r="AB322" s="20">
        <f t="shared" si="46"/>
        <v>0</v>
      </c>
      <c r="AC322" s="20">
        <f t="shared" si="46"/>
        <v>0</v>
      </c>
      <c r="AD322" s="20">
        <f t="shared" si="45"/>
        <v>0</v>
      </c>
      <c r="AE322" s="20">
        <f t="shared" si="45"/>
        <v>7</v>
      </c>
      <c r="AF322" s="20">
        <f t="shared" si="45"/>
        <v>10</v>
      </c>
      <c r="AG322" s="300">
        <f t="shared" si="50"/>
        <v>214</v>
      </c>
      <c r="AH322" s="42">
        <f t="shared" si="48"/>
        <v>2</v>
      </c>
      <c r="AI322" s="42">
        <f t="shared" si="47"/>
        <v>0</v>
      </c>
      <c r="AJ322" s="42">
        <f t="shared" si="47"/>
        <v>0</v>
      </c>
      <c r="AK322" s="42">
        <f t="shared" si="47"/>
        <v>0</v>
      </c>
      <c r="AL322" s="42">
        <f t="shared" si="47"/>
        <v>0</v>
      </c>
      <c r="AM322" s="42">
        <f t="shared" si="47"/>
        <v>0</v>
      </c>
      <c r="AN322" s="42">
        <f t="shared" si="47"/>
        <v>0</v>
      </c>
      <c r="AO322" s="42">
        <f t="shared" si="47"/>
        <v>2</v>
      </c>
    </row>
    <row r="323" spans="1:41" ht="15.75">
      <c r="A323" s="16">
        <f t="shared" si="44"/>
        <v>320</v>
      </c>
      <c r="B323" s="390">
        <v>3298</v>
      </c>
      <c r="C323" s="391" t="s">
        <v>1334</v>
      </c>
      <c r="D323" s="392" t="s">
        <v>3795</v>
      </c>
      <c r="E323" s="393" t="s">
        <v>3796</v>
      </c>
      <c r="F323" s="394" t="s">
        <v>3797</v>
      </c>
      <c r="G323" s="429" t="s">
        <v>6473</v>
      </c>
      <c r="H323" s="395">
        <v>34897</v>
      </c>
      <c r="I323" s="396">
        <v>43746</v>
      </c>
      <c r="J323" s="459" t="s">
        <v>6293</v>
      </c>
      <c r="K323" s="460" t="s">
        <v>6308</v>
      </c>
      <c r="L323" s="460" t="s">
        <v>6335</v>
      </c>
      <c r="M323" s="1">
        <v>192</v>
      </c>
      <c r="N323" s="431">
        <f t="shared" si="51"/>
        <v>3</v>
      </c>
      <c r="O323" s="432">
        <v>0</v>
      </c>
      <c r="P323" s="432">
        <v>0</v>
      </c>
      <c r="Q323" s="432">
        <v>0</v>
      </c>
      <c r="R323" s="1">
        <v>7</v>
      </c>
      <c r="S323" s="1">
        <v>10</v>
      </c>
      <c r="T323" s="300">
        <f t="shared" si="52"/>
        <v>212</v>
      </c>
      <c r="U323" s="3"/>
      <c r="V323" s="3"/>
      <c r="W323" s="3"/>
      <c r="X323" s="3"/>
      <c r="Y323" s="3"/>
      <c r="Z323" s="20">
        <f t="shared" si="49"/>
        <v>194</v>
      </c>
      <c r="AA323" s="20">
        <f t="shared" si="46"/>
        <v>3</v>
      </c>
      <c r="AB323" s="20">
        <f t="shared" si="46"/>
        <v>0</v>
      </c>
      <c r="AC323" s="20">
        <f t="shared" si="46"/>
        <v>0</v>
      </c>
      <c r="AD323" s="20">
        <f t="shared" si="45"/>
        <v>0</v>
      </c>
      <c r="AE323" s="20">
        <f t="shared" si="45"/>
        <v>7</v>
      </c>
      <c r="AF323" s="20">
        <f t="shared" si="45"/>
        <v>10</v>
      </c>
      <c r="AG323" s="300">
        <f t="shared" si="50"/>
        <v>214</v>
      </c>
      <c r="AH323" s="42">
        <f t="shared" si="48"/>
        <v>2</v>
      </c>
      <c r="AI323" s="42">
        <f t="shared" si="47"/>
        <v>0</v>
      </c>
      <c r="AJ323" s="42">
        <f t="shared" si="47"/>
        <v>0</v>
      </c>
      <c r="AK323" s="42">
        <f t="shared" si="47"/>
        <v>0</v>
      </c>
      <c r="AL323" s="42">
        <f t="shared" si="47"/>
        <v>0</v>
      </c>
      <c r="AM323" s="42">
        <f t="shared" si="47"/>
        <v>0</v>
      </c>
      <c r="AN323" s="42">
        <f t="shared" si="47"/>
        <v>0</v>
      </c>
      <c r="AO323" s="42">
        <f t="shared" si="47"/>
        <v>2</v>
      </c>
    </row>
    <row r="324" spans="1:41" ht="15.75">
      <c r="A324" s="16">
        <f t="shared" si="44"/>
        <v>321</v>
      </c>
      <c r="B324" s="390">
        <v>3383</v>
      </c>
      <c r="C324" s="391" t="s">
        <v>1173</v>
      </c>
      <c r="D324" s="392" t="s">
        <v>3805</v>
      </c>
      <c r="E324" s="393" t="s">
        <v>3318</v>
      </c>
      <c r="F324" s="394" t="s">
        <v>3806</v>
      </c>
      <c r="G324" s="429" t="s">
        <v>6473</v>
      </c>
      <c r="H324" s="395">
        <v>31640</v>
      </c>
      <c r="I324" s="396">
        <v>43756</v>
      </c>
      <c r="J324" s="459" t="s">
        <v>6293</v>
      </c>
      <c r="K324" s="460" t="s">
        <v>6296</v>
      </c>
      <c r="L324" s="460" t="s">
        <v>6335</v>
      </c>
      <c r="M324" s="1">
        <v>192</v>
      </c>
      <c r="N324" s="431">
        <f t="shared" si="51"/>
        <v>3</v>
      </c>
      <c r="O324" s="432">
        <v>0</v>
      </c>
      <c r="P324" s="432">
        <v>0</v>
      </c>
      <c r="Q324" s="432">
        <v>0</v>
      </c>
      <c r="R324" s="1">
        <v>7</v>
      </c>
      <c r="S324" s="1">
        <v>10</v>
      </c>
      <c r="T324" s="300">
        <f t="shared" si="52"/>
        <v>212</v>
      </c>
      <c r="U324" s="3"/>
      <c r="V324" s="3"/>
      <c r="W324" s="3"/>
      <c r="X324" s="3"/>
      <c r="Y324" s="3"/>
      <c r="Z324" s="20">
        <f t="shared" si="49"/>
        <v>194</v>
      </c>
      <c r="AA324" s="20">
        <f t="shared" si="46"/>
        <v>3</v>
      </c>
      <c r="AB324" s="20">
        <f t="shared" si="46"/>
        <v>0</v>
      </c>
      <c r="AC324" s="20">
        <f t="shared" si="46"/>
        <v>0</v>
      </c>
      <c r="AD324" s="20">
        <f t="shared" si="45"/>
        <v>0</v>
      </c>
      <c r="AE324" s="20">
        <f t="shared" si="45"/>
        <v>7</v>
      </c>
      <c r="AF324" s="20">
        <f t="shared" si="45"/>
        <v>10</v>
      </c>
      <c r="AG324" s="300">
        <f t="shared" si="50"/>
        <v>214</v>
      </c>
      <c r="AH324" s="42">
        <f t="shared" si="48"/>
        <v>2</v>
      </c>
      <c r="AI324" s="42">
        <f t="shared" si="47"/>
        <v>0</v>
      </c>
      <c r="AJ324" s="42">
        <f t="shared" si="47"/>
        <v>0</v>
      </c>
      <c r="AK324" s="42">
        <f t="shared" si="47"/>
        <v>0</v>
      </c>
      <c r="AL324" s="42">
        <f t="shared" si="47"/>
        <v>0</v>
      </c>
      <c r="AM324" s="42">
        <f t="shared" si="47"/>
        <v>0</v>
      </c>
      <c r="AN324" s="42">
        <f t="shared" si="47"/>
        <v>0</v>
      </c>
      <c r="AO324" s="42">
        <f t="shared" si="47"/>
        <v>2</v>
      </c>
    </row>
    <row r="325" spans="1:41" ht="15.75">
      <c r="A325" s="16">
        <f t="shared" si="44"/>
        <v>322</v>
      </c>
      <c r="B325" s="390">
        <v>3118</v>
      </c>
      <c r="C325" s="391" t="s">
        <v>3350</v>
      </c>
      <c r="D325" s="392" t="s">
        <v>3492</v>
      </c>
      <c r="E325" s="393" t="s">
        <v>115</v>
      </c>
      <c r="F325" s="394" t="s">
        <v>3809</v>
      </c>
      <c r="G325" s="429" t="s">
        <v>6473</v>
      </c>
      <c r="H325" s="395">
        <v>32202</v>
      </c>
      <c r="I325" s="396">
        <v>43742</v>
      </c>
      <c r="J325" s="459" t="s">
        <v>6293</v>
      </c>
      <c r="K325" s="460" t="s">
        <v>6305</v>
      </c>
      <c r="L325" s="460" t="s">
        <v>6335</v>
      </c>
      <c r="M325" s="1">
        <v>192</v>
      </c>
      <c r="N325" s="431">
        <f t="shared" si="51"/>
        <v>3</v>
      </c>
      <c r="O325" s="432">
        <v>0</v>
      </c>
      <c r="P325" s="432">
        <v>0</v>
      </c>
      <c r="Q325" s="432">
        <v>0</v>
      </c>
      <c r="R325" s="1">
        <v>7</v>
      </c>
      <c r="S325" s="1">
        <v>10</v>
      </c>
      <c r="T325" s="300">
        <f t="shared" si="52"/>
        <v>212</v>
      </c>
      <c r="U325" s="100">
        <v>20</v>
      </c>
      <c r="V325" s="350">
        <v>44197</v>
      </c>
      <c r="W325" s="68" t="s">
        <v>6158</v>
      </c>
      <c r="X325" s="347">
        <v>0.78</v>
      </c>
      <c r="Y325" s="346"/>
      <c r="Z325" s="20">
        <f t="shared" si="49"/>
        <v>194</v>
      </c>
      <c r="AA325" s="20">
        <f t="shared" si="46"/>
        <v>3</v>
      </c>
      <c r="AB325" s="20">
        <f t="shared" si="46"/>
        <v>0</v>
      </c>
      <c r="AC325" s="20">
        <f t="shared" si="46"/>
        <v>0</v>
      </c>
      <c r="AD325" s="20">
        <f t="shared" si="45"/>
        <v>0</v>
      </c>
      <c r="AE325" s="20">
        <f t="shared" si="45"/>
        <v>7</v>
      </c>
      <c r="AF325" s="20">
        <f t="shared" si="45"/>
        <v>10</v>
      </c>
      <c r="AG325" s="300">
        <f t="shared" si="50"/>
        <v>214</v>
      </c>
      <c r="AH325" s="42">
        <f t="shared" si="48"/>
        <v>2</v>
      </c>
      <c r="AI325" s="42">
        <f t="shared" si="47"/>
        <v>0</v>
      </c>
      <c r="AJ325" s="42">
        <f t="shared" si="47"/>
        <v>0</v>
      </c>
      <c r="AK325" s="42">
        <f t="shared" si="47"/>
        <v>0</v>
      </c>
      <c r="AL325" s="42">
        <f t="shared" si="47"/>
        <v>0</v>
      </c>
      <c r="AM325" s="42">
        <f t="shared" si="47"/>
        <v>0</v>
      </c>
      <c r="AN325" s="42">
        <f t="shared" si="47"/>
        <v>0</v>
      </c>
      <c r="AO325" s="42">
        <f t="shared" si="47"/>
        <v>2</v>
      </c>
    </row>
    <row r="326" spans="1:41" ht="15.75">
      <c r="A326" s="16">
        <f t="shared" si="44"/>
        <v>323</v>
      </c>
      <c r="B326" s="390">
        <v>3387</v>
      </c>
      <c r="C326" s="391" t="s">
        <v>3312</v>
      </c>
      <c r="D326" s="392" t="s">
        <v>995</v>
      </c>
      <c r="E326" s="393" t="s">
        <v>3314</v>
      </c>
      <c r="F326" s="394" t="s">
        <v>3810</v>
      </c>
      <c r="G326" s="429" t="s">
        <v>6473</v>
      </c>
      <c r="H326" s="395">
        <v>31846</v>
      </c>
      <c r="I326" s="396">
        <v>43760</v>
      </c>
      <c r="J326" s="459" t="s">
        <v>6293</v>
      </c>
      <c r="K326" s="460" t="s">
        <v>6302</v>
      </c>
      <c r="L326" s="460" t="s">
        <v>6335</v>
      </c>
      <c r="M326" s="1">
        <v>192</v>
      </c>
      <c r="N326" s="431">
        <f t="shared" si="51"/>
        <v>3</v>
      </c>
      <c r="O326" s="432">
        <v>0</v>
      </c>
      <c r="P326" s="432">
        <v>0</v>
      </c>
      <c r="Q326" s="432">
        <v>0</v>
      </c>
      <c r="R326" s="1">
        <v>7</v>
      </c>
      <c r="S326" s="1">
        <v>10</v>
      </c>
      <c r="T326" s="300">
        <f t="shared" si="52"/>
        <v>212</v>
      </c>
      <c r="U326" s="3"/>
      <c r="V326" s="3"/>
      <c r="W326" s="3"/>
      <c r="X326" s="3"/>
      <c r="Y326" s="3"/>
      <c r="Z326" s="20">
        <f t="shared" si="49"/>
        <v>194</v>
      </c>
      <c r="AA326" s="20">
        <f t="shared" si="46"/>
        <v>3</v>
      </c>
      <c r="AB326" s="20">
        <f t="shared" si="46"/>
        <v>0</v>
      </c>
      <c r="AC326" s="20">
        <f t="shared" si="46"/>
        <v>0</v>
      </c>
      <c r="AD326" s="20">
        <f t="shared" si="45"/>
        <v>0</v>
      </c>
      <c r="AE326" s="20">
        <f t="shared" si="45"/>
        <v>7</v>
      </c>
      <c r="AF326" s="20">
        <f t="shared" si="45"/>
        <v>10</v>
      </c>
      <c r="AG326" s="300">
        <f t="shared" si="50"/>
        <v>214</v>
      </c>
      <c r="AH326" s="42">
        <f t="shared" si="48"/>
        <v>2</v>
      </c>
      <c r="AI326" s="42">
        <f t="shared" si="47"/>
        <v>0</v>
      </c>
      <c r="AJ326" s="42">
        <f t="shared" si="47"/>
        <v>0</v>
      </c>
      <c r="AK326" s="42">
        <f t="shared" si="47"/>
        <v>0</v>
      </c>
      <c r="AL326" s="42">
        <f t="shared" si="47"/>
        <v>0</v>
      </c>
      <c r="AM326" s="42">
        <f t="shared" si="47"/>
        <v>0</v>
      </c>
      <c r="AN326" s="42">
        <f t="shared" si="47"/>
        <v>0</v>
      </c>
      <c r="AO326" s="42">
        <f t="shared" si="47"/>
        <v>2</v>
      </c>
    </row>
    <row r="327" spans="1:41" ht="15.75">
      <c r="A327" s="16">
        <f t="shared" si="44"/>
        <v>324</v>
      </c>
      <c r="B327" s="390">
        <v>3353</v>
      </c>
      <c r="C327" s="391" t="s">
        <v>3813</v>
      </c>
      <c r="D327" s="392" t="s">
        <v>439</v>
      </c>
      <c r="E327" s="393" t="s">
        <v>3814</v>
      </c>
      <c r="F327" s="394" t="s">
        <v>2961</v>
      </c>
      <c r="G327" s="429" t="s">
        <v>6473</v>
      </c>
      <c r="H327" s="395">
        <v>29426</v>
      </c>
      <c r="I327" s="396">
        <v>43755</v>
      </c>
      <c r="J327" s="459" t="s">
        <v>6293</v>
      </c>
      <c r="K327" s="460" t="s">
        <v>6299</v>
      </c>
      <c r="L327" s="460" t="s">
        <v>6335</v>
      </c>
      <c r="M327" s="1">
        <v>192</v>
      </c>
      <c r="N327" s="431">
        <f t="shared" si="51"/>
        <v>3</v>
      </c>
      <c r="O327" s="432">
        <v>0</v>
      </c>
      <c r="P327" s="432">
        <v>0</v>
      </c>
      <c r="Q327" s="432">
        <v>0</v>
      </c>
      <c r="R327" s="1">
        <v>7</v>
      </c>
      <c r="S327" s="1">
        <v>10</v>
      </c>
      <c r="T327" s="300">
        <f t="shared" si="52"/>
        <v>212</v>
      </c>
      <c r="U327" s="3"/>
      <c r="V327" s="3"/>
      <c r="W327" s="3"/>
      <c r="X327" s="3"/>
      <c r="Y327" s="3"/>
      <c r="Z327" s="20">
        <f t="shared" si="49"/>
        <v>194</v>
      </c>
      <c r="AA327" s="20">
        <f t="shared" si="46"/>
        <v>3</v>
      </c>
      <c r="AB327" s="20">
        <f t="shared" si="46"/>
        <v>0</v>
      </c>
      <c r="AC327" s="20">
        <f t="shared" si="46"/>
        <v>0</v>
      </c>
      <c r="AD327" s="20">
        <f t="shared" si="45"/>
        <v>0</v>
      </c>
      <c r="AE327" s="20">
        <f t="shared" si="45"/>
        <v>7</v>
      </c>
      <c r="AF327" s="20">
        <f t="shared" si="45"/>
        <v>10</v>
      </c>
      <c r="AG327" s="300">
        <f t="shared" si="50"/>
        <v>214</v>
      </c>
      <c r="AH327" s="42">
        <f t="shared" si="48"/>
        <v>2</v>
      </c>
      <c r="AI327" s="42">
        <f t="shared" si="47"/>
        <v>0</v>
      </c>
      <c r="AJ327" s="42">
        <f t="shared" si="47"/>
        <v>0</v>
      </c>
      <c r="AK327" s="42">
        <f t="shared" si="47"/>
        <v>0</v>
      </c>
      <c r="AL327" s="42">
        <f t="shared" si="47"/>
        <v>0</v>
      </c>
      <c r="AM327" s="42">
        <f t="shared" si="47"/>
        <v>0</v>
      </c>
      <c r="AN327" s="42">
        <f t="shared" si="47"/>
        <v>0</v>
      </c>
      <c r="AO327" s="42">
        <f t="shared" si="47"/>
        <v>2</v>
      </c>
    </row>
    <row r="328" spans="1:41" ht="15.75">
      <c r="A328" s="16">
        <f t="shared" si="44"/>
        <v>325</v>
      </c>
      <c r="B328" s="390">
        <v>3355</v>
      </c>
      <c r="C328" s="391" t="s">
        <v>3789</v>
      </c>
      <c r="D328" s="392" t="s">
        <v>1419</v>
      </c>
      <c r="E328" s="393" t="s">
        <v>10</v>
      </c>
      <c r="F328" s="394" t="s">
        <v>2465</v>
      </c>
      <c r="G328" s="429" t="s">
        <v>6473</v>
      </c>
      <c r="H328" s="395">
        <v>29230</v>
      </c>
      <c r="I328" s="396">
        <v>43755</v>
      </c>
      <c r="J328" s="459" t="s">
        <v>6293</v>
      </c>
      <c r="K328" s="460" t="s">
        <v>6295</v>
      </c>
      <c r="L328" s="460" t="s">
        <v>6335</v>
      </c>
      <c r="M328" s="1">
        <v>192</v>
      </c>
      <c r="N328" s="431">
        <f t="shared" si="51"/>
        <v>3</v>
      </c>
      <c r="O328" s="432">
        <v>0</v>
      </c>
      <c r="P328" s="432">
        <v>0</v>
      </c>
      <c r="Q328" s="432">
        <v>0</v>
      </c>
      <c r="R328" s="1">
        <v>7</v>
      </c>
      <c r="S328" s="1">
        <v>10</v>
      </c>
      <c r="T328" s="300">
        <f t="shared" si="52"/>
        <v>212</v>
      </c>
      <c r="U328" s="3"/>
      <c r="V328" s="3"/>
      <c r="W328" s="3"/>
      <c r="X328" s="3"/>
      <c r="Y328" s="3"/>
      <c r="Z328" s="20">
        <f t="shared" si="49"/>
        <v>194</v>
      </c>
      <c r="AA328" s="20">
        <f t="shared" si="46"/>
        <v>3</v>
      </c>
      <c r="AB328" s="20">
        <f t="shared" si="46"/>
        <v>0</v>
      </c>
      <c r="AC328" s="20">
        <f t="shared" si="46"/>
        <v>0</v>
      </c>
      <c r="AD328" s="20">
        <f t="shared" si="45"/>
        <v>0</v>
      </c>
      <c r="AE328" s="20">
        <f t="shared" si="45"/>
        <v>7</v>
      </c>
      <c r="AF328" s="20">
        <f t="shared" si="45"/>
        <v>10</v>
      </c>
      <c r="AG328" s="300">
        <f t="shared" si="50"/>
        <v>214</v>
      </c>
      <c r="AH328" s="42">
        <f t="shared" si="48"/>
        <v>2</v>
      </c>
      <c r="AI328" s="42">
        <f t="shared" si="47"/>
        <v>0</v>
      </c>
      <c r="AJ328" s="42">
        <f t="shared" si="47"/>
        <v>0</v>
      </c>
      <c r="AK328" s="42">
        <f t="shared" si="47"/>
        <v>0</v>
      </c>
      <c r="AL328" s="42">
        <f t="shared" si="47"/>
        <v>0</v>
      </c>
      <c r="AM328" s="42">
        <f t="shared" si="47"/>
        <v>0</v>
      </c>
      <c r="AN328" s="42">
        <f t="shared" si="47"/>
        <v>0</v>
      </c>
      <c r="AO328" s="42">
        <f t="shared" si="47"/>
        <v>2</v>
      </c>
    </row>
    <row r="329" spans="1:41" ht="15.75">
      <c r="A329" s="16">
        <f t="shared" ref="A329:A392" si="53">1+A328</f>
        <v>326</v>
      </c>
      <c r="B329" s="390">
        <v>3404</v>
      </c>
      <c r="C329" s="391" t="s">
        <v>3836</v>
      </c>
      <c r="D329" s="392" t="s">
        <v>460</v>
      </c>
      <c r="E329" s="393" t="s">
        <v>3837</v>
      </c>
      <c r="F329" s="394" t="s">
        <v>3838</v>
      </c>
      <c r="G329" s="429" t="s">
        <v>6473</v>
      </c>
      <c r="H329" s="395">
        <v>34402</v>
      </c>
      <c r="I329" s="396">
        <v>43761</v>
      </c>
      <c r="J329" s="459" t="s">
        <v>6293</v>
      </c>
      <c r="K329" s="460" t="s">
        <v>6307</v>
      </c>
      <c r="L329" s="460" t="s">
        <v>6335</v>
      </c>
      <c r="M329" s="1">
        <v>192</v>
      </c>
      <c r="N329" s="431">
        <f t="shared" si="51"/>
        <v>3</v>
      </c>
      <c r="O329" s="432">
        <v>0</v>
      </c>
      <c r="P329" s="432">
        <v>0</v>
      </c>
      <c r="Q329" s="432">
        <v>0</v>
      </c>
      <c r="R329" s="1">
        <v>7</v>
      </c>
      <c r="S329" s="1">
        <v>10</v>
      </c>
      <c r="T329" s="300">
        <f t="shared" si="52"/>
        <v>212</v>
      </c>
      <c r="U329" s="3"/>
      <c r="V329" s="3"/>
      <c r="W329" s="3"/>
      <c r="X329" s="3"/>
      <c r="Y329" s="3"/>
      <c r="Z329" s="20">
        <f t="shared" si="49"/>
        <v>194</v>
      </c>
      <c r="AA329" s="20">
        <f t="shared" si="46"/>
        <v>3</v>
      </c>
      <c r="AB329" s="20">
        <f t="shared" si="46"/>
        <v>0</v>
      </c>
      <c r="AC329" s="20">
        <f t="shared" si="46"/>
        <v>0</v>
      </c>
      <c r="AD329" s="20">
        <f t="shared" si="45"/>
        <v>0</v>
      </c>
      <c r="AE329" s="20">
        <f t="shared" si="45"/>
        <v>7</v>
      </c>
      <c r="AF329" s="20">
        <f t="shared" si="45"/>
        <v>10</v>
      </c>
      <c r="AG329" s="300">
        <f t="shared" si="50"/>
        <v>214</v>
      </c>
      <c r="AH329" s="42">
        <f t="shared" si="48"/>
        <v>2</v>
      </c>
      <c r="AI329" s="42">
        <f t="shared" si="47"/>
        <v>0</v>
      </c>
      <c r="AJ329" s="42">
        <f t="shared" si="47"/>
        <v>0</v>
      </c>
      <c r="AK329" s="42">
        <f t="shared" si="47"/>
        <v>0</v>
      </c>
      <c r="AL329" s="42">
        <f t="shared" si="47"/>
        <v>0</v>
      </c>
      <c r="AM329" s="42">
        <f t="shared" si="47"/>
        <v>0</v>
      </c>
      <c r="AN329" s="42">
        <f t="shared" si="47"/>
        <v>0</v>
      </c>
      <c r="AO329" s="42">
        <f t="shared" si="47"/>
        <v>2</v>
      </c>
    </row>
    <row r="330" spans="1:41" ht="15.75">
      <c r="A330" s="16">
        <f t="shared" si="53"/>
        <v>327</v>
      </c>
      <c r="B330" s="400">
        <v>3277</v>
      </c>
      <c r="C330" s="401" t="s">
        <v>2334</v>
      </c>
      <c r="D330" s="402" t="s">
        <v>3856</v>
      </c>
      <c r="E330" s="393" t="s">
        <v>4356</v>
      </c>
      <c r="F330" s="394" t="s">
        <v>6023</v>
      </c>
      <c r="G330" s="429" t="s">
        <v>6475</v>
      </c>
      <c r="H330" s="403">
        <v>34828</v>
      </c>
      <c r="I330" s="404">
        <v>43746</v>
      </c>
      <c r="J330" s="459" t="s">
        <v>6159</v>
      </c>
      <c r="K330" s="460" t="s">
        <v>3594</v>
      </c>
      <c r="L330" s="460" t="s">
        <v>6306</v>
      </c>
      <c r="M330" s="1">
        <v>192</v>
      </c>
      <c r="N330" s="431">
        <f t="shared" si="51"/>
        <v>3</v>
      </c>
      <c r="O330" s="432">
        <v>31</v>
      </c>
      <c r="P330" s="432">
        <v>20</v>
      </c>
      <c r="Q330" s="432">
        <v>0</v>
      </c>
      <c r="R330" s="1">
        <v>7</v>
      </c>
      <c r="S330" s="1">
        <v>10</v>
      </c>
      <c r="T330" s="300">
        <f t="shared" si="52"/>
        <v>263</v>
      </c>
      <c r="U330" s="3"/>
      <c r="V330" s="3"/>
      <c r="W330" s="3"/>
      <c r="X330" s="3"/>
      <c r="Y330" s="3"/>
      <c r="Z330" s="20">
        <f t="shared" si="49"/>
        <v>194</v>
      </c>
      <c r="AA330" s="20">
        <f t="shared" si="46"/>
        <v>3</v>
      </c>
      <c r="AB330" s="20">
        <f t="shared" si="46"/>
        <v>31</v>
      </c>
      <c r="AC330" s="20">
        <f t="shared" si="46"/>
        <v>20</v>
      </c>
      <c r="AD330" s="20">
        <f t="shared" si="45"/>
        <v>0</v>
      </c>
      <c r="AE330" s="20">
        <f t="shared" si="45"/>
        <v>7</v>
      </c>
      <c r="AF330" s="20">
        <f t="shared" si="45"/>
        <v>10</v>
      </c>
      <c r="AG330" s="300">
        <f t="shared" si="50"/>
        <v>265</v>
      </c>
      <c r="AH330" s="42">
        <f t="shared" si="48"/>
        <v>2</v>
      </c>
      <c r="AI330" s="42">
        <f t="shared" si="47"/>
        <v>0</v>
      </c>
      <c r="AJ330" s="42">
        <f t="shared" si="47"/>
        <v>0</v>
      </c>
      <c r="AK330" s="42">
        <f t="shared" si="47"/>
        <v>0</v>
      </c>
      <c r="AL330" s="42">
        <f t="shared" ref="AL330:AO393" si="54">AD330-Q330</f>
        <v>0</v>
      </c>
      <c r="AM330" s="42">
        <f t="shared" si="54"/>
        <v>0</v>
      </c>
      <c r="AN330" s="42">
        <f t="shared" si="54"/>
        <v>0</v>
      </c>
      <c r="AO330" s="42">
        <f t="shared" si="54"/>
        <v>2</v>
      </c>
    </row>
    <row r="331" spans="1:41" ht="15.75">
      <c r="A331" s="16">
        <f t="shared" si="53"/>
        <v>328</v>
      </c>
      <c r="B331" s="400">
        <v>3638</v>
      </c>
      <c r="C331" s="401" t="s">
        <v>3866</v>
      </c>
      <c r="D331" s="402" t="s">
        <v>3867</v>
      </c>
      <c r="E331" s="393" t="s">
        <v>3868</v>
      </c>
      <c r="F331" s="394" t="s">
        <v>3869</v>
      </c>
      <c r="G331" s="429" t="s">
        <v>6473</v>
      </c>
      <c r="H331" s="403">
        <v>34163</v>
      </c>
      <c r="I331" s="404">
        <v>43754</v>
      </c>
      <c r="J331" s="459" t="s">
        <v>6293</v>
      </c>
      <c r="K331" s="460" t="s">
        <v>6134</v>
      </c>
      <c r="L331" s="460" t="s">
        <v>6335</v>
      </c>
      <c r="M331" s="1">
        <v>192</v>
      </c>
      <c r="N331" s="431">
        <f t="shared" si="51"/>
        <v>3</v>
      </c>
      <c r="O331" s="432">
        <v>0</v>
      </c>
      <c r="P331" s="432">
        <v>0</v>
      </c>
      <c r="Q331" s="432">
        <v>0</v>
      </c>
      <c r="R331" s="1">
        <v>7</v>
      </c>
      <c r="S331" s="1">
        <v>10</v>
      </c>
      <c r="T331" s="300">
        <f t="shared" si="52"/>
        <v>212</v>
      </c>
      <c r="U331" s="3"/>
      <c r="V331" s="3"/>
      <c r="W331" s="3"/>
      <c r="X331" s="3"/>
      <c r="Y331" s="3"/>
      <c r="Z331" s="20">
        <f t="shared" si="49"/>
        <v>194</v>
      </c>
      <c r="AA331" s="20">
        <f t="shared" si="46"/>
        <v>3</v>
      </c>
      <c r="AB331" s="20">
        <f t="shared" si="46"/>
        <v>0</v>
      </c>
      <c r="AC331" s="20">
        <f t="shared" si="46"/>
        <v>0</v>
      </c>
      <c r="AD331" s="20">
        <f t="shared" si="45"/>
        <v>0</v>
      </c>
      <c r="AE331" s="20">
        <f t="shared" si="45"/>
        <v>7</v>
      </c>
      <c r="AF331" s="20">
        <f t="shared" si="45"/>
        <v>10</v>
      </c>
      <c r="AG331" s="300">
        <f t="shared" si="50"/>
        <v>214</v>
      </c>
      <c r="AH331" s="42">
        <f t="shared" si="48"/>
        <v>2</v>
      </c>
      <c r="AI331" s="42">
        <f t="shared" si="48"/>
        <v>0</v>
      </c>
      <c r="AJ331" s="42">
        <f t="shared" si="48"/>
        <v>0</v>
      </c>
      <c r="AK331" s="42">
        <f t="shared" si="48"/>
        <v>0</v>
      </c>
      <c r="AL331" s="42">
        <f t="shared" si="54"/>
        <v>0</v>
      </c>
      <c r="AM331" s="42">
        <f t="shared" si="54"/>
        <v>0</v>
      </c>
      <c r="AN331" s="42">
        <f t="shared" si="54"/>
        <v>0</v>
      </c>
      <c r="AO331" s="42">
        <f t="shared" si="54"/>
        <v>2</v>
      </c>
    </row>
    <row r="332" spans="1:41" ht="15.75">
      <c r="A332" s="16">
        <f t="shared" si="53"/>
        <v>329</v>
      </c>
      <c r="B332" s="400">
        <v>3606</v>
      </c>
      <c r="C332" s="401" t="s">
        <v>535</v>
      </c>
      <c r="D332" s="402" t="s">
        <v>3880</v>
      </c>
      <c r="E332" s="393" t="s">
        <v>537</v>
      </c>
      <c r="F332" s="394" t="s">
        <v>3881</v>
      </c>
      <c r="G332" s="429" t="s">
        <v>6473</v>
      </c>
      <c r="H332" s="403">
        <v>29690</v>
      </c>
      <c r="I332" s="404">
        <v>43750</v>
      </c>
      <c r="J332" s="459" t="s">
        <v>6293</v>
      </c>
      <c r="K332" s="460" t="s">
        <v>6134</v>
      </c>
      <c r="L332" s="460" t="s">
        <v>6335</v>
      </c>
      <c r="M332" s="1">
        <v>192</v>
      </c>
      <c r="N332" s="431">
        <f t="shared" si="51"/>
        <v>3</v>
      </c>
      <c r="O332" s="432">
        <v>0</v>
      </c>
      <c r="P332" s="432">
        <v>0</v>
      </c>
      <c r="Q332" s="432">
        <v>0</v>
      </c>
      <c r="R332" s="1">
        <v>7</v>
      </c>
      <c r="S332" s="1">
        <v>10</v>
      </c>
      <c r="T332" s="300">
        <f t="shared" si="52"/>
        <v>212</v>
      </c>
      <c r="U332" s="3"/>
      <c r="V332" s="3"/>
      <c r="W332" s="3"/>
      <c r="X332" s="3"/>
      <c r="Y332" s="3"/>
      <c r="Z332" s="20">
        <f t="shared" si="49"/>
        <v>194</v>
      </c>
      <c r="AA332" s="20">
        <f t="shared" si="46"/>
        <v>3</v>
      </c>
      <c r="AB332" s="20">
        <f t="shared" si="46"/>
        <v>0</v>
      </c>
      <c r="AC332" s="20">
        <f t="shared" si="46"/>
        <v>0</v>
      </c>
      <c r="AD332" s="20">
        <f t="shared" si="45"/>
        <v>0</v>
      </c>
      <c r="AE332" s="20">
        <f t="shared" si="45"/>
        <v>7</v>
      </c>
      <c r="AF332" s="20">
        <f t="shared" si="45"/>
        <v>10</v>
      </c>
      <c r="AG332" s="300">
        <f t="shared" si="50"/>
        <v>214</v>
      </c>
      <c r="AH332" s="42">
        <f t="shared" si="48"/>
        <v>2</v>
      </c>
      <c r="AI332" s="42">
        <f t="shared" si="48"/>
        <v>0</v>
      </c>
      <c r="AJ332" s="42">
        <f t="shared" si="48"/>
        <v>0</v>
      </c>
      <c r="AK332" s="42">
        <f t="shared" si="48"/>
        <v>0</v>
      </c>
      <c r="AL332" s="42">
        <f t="shared" si="54"/>
        <v>0</v>
      </c>
      <c r="AM332" s="42">
        <f t="shared" si="54"/>
        <v>0</v>
      </c>
      <c r="AN332" s="42">
        <f t="shared" si="54"/>
        <v>0</v>
      </c>
      <c r="AO332" s="42">
        <f t="shared" si="54"/>
        <v>2</v>
      </c>
    </row>
    <row r="333" spans="1:41" ht="15.75">
      <c r="A333" s="16">
        <f t="shared" si="53"/>
        <v>330</v>
      </c>
      <c r="B333" s="400">
        <v>3637</v>
      </c>
      <c r="C333" s="401" t="s">
        <v>1705</v>
      </c>
      <c r="D333" s="402" t="s">
        <v>232</v>
      </c>
      <c r="E333" s="393" t="s">
        <v>1706</v>
      </c>
      <c r="F333" s="394" t="s">
        <v>3902</v>
      </c>
      <c r="G333" s="429" t="s">
        <v>6473</v>
      </c>
      <c r="H333" s="403">
        <v>29805</v>
      </c>
      <c r="I333" s="404">
        <v>43754</v>
      </c>
      <c r="J333" s="459" t="s">
        <v>6293</v>
      </c>
      <c r="K333" s="460" t="s">
        <v>6134</v>
      </c>
      <c r="L333" s="460" t="s">
        <v>6335</v>
      </c>
      <c r="M333" s="1">
        <v>192</v>
      </c>
      <c r="N333" s="431">
        <f t="shared" si="51"/>
        <v>3</v>
      </c>
      <c r="O333" s="432">
        <v>0</v>
      </c>
      <c r="P333" s="432">
        <v>0</v>
      </c>
      <c r="Q333" s="432">
        <v>0</v>
      </c>
      <c r="R333" s="1">
        <v>7</v>
      </c>
      <c r="S333" s="1">
        <v>10</v>
      </c>
      <c r="T333" s="300">
        <f t="shared" si="52"/>
        <v>212</v>
      </c>
      <c r="U333" s="3"/>
      <c r="V333" s="3"/>
      <c r="W333" s="3"/>
      <c r="X333" s="3"/>
      <c r="Y333" s="3"/>
      <c r="Z333" s="20">
        <f t="shared" si="49"/>
        <v>194</v>
      </c>
      <c r="AA333" s="20">
        <f t="shared" si="46"/>
        <v>3</v>
      </c>
      <c r="AB333" s="20">
        <f t="shared" si="46"/>
        <v>0</v>
      </c>
      <c r="AC333" s="20">
        <f t="shared" si="46"/>
        <v>0</v>
      </c>
      <c r="AD333" s="20">
        <f t="shared" si="46"/>
        <v>0</v>
      </c>
      <c r="AE333" s="20">
        <f t="shared" si="46"/>
        <v>7</v>
      </c>
      <c r="AF333" s="20">
        <f t="shared" si="46"/>
        <v>10</v>
      </c>
      <c r="AG333" s="300">
        <f t="shared" si="50"/>
        <v>214</v>
      </c>
      <c r="AH333" s="42">
        <f t="shared" si="48"/>
        <v>2</v>
      </c>
      <c r="AI333" s="42">
        <f t="shared" si="48"/>
        <v>0</v>
      </c>
      <c r="AJ333" s="42">
        <f t="shared" si="48"/>
        <v>0</v>
      </c>
      <c r="AK333" s="42">
        <f t="shared" si="48"/>
        <v>0</v>
      </c>
      <c r="AL333" s="42">
        <f t="shared" si="54"/>
        <v>0</v>
      </c>
      <c r="AM333" s="42">
        <f t="shared" si="54"/>
        <v>0</v>
      </c>
      <c r="AN333" s="42">
        <f t="shared" si="54"/>
        <v>0</v>
      </c>
      <c r="AO333" s="42">
        <f t="shared" si="54"/>
        <v>2</v>
      </c>
    </row>
    <row r="334" spans="1:41" ht="15.75">
      <c r="A334" s="16">
        <f t="shared" si="53"/>
        <v>331</v>
      </c>
      <c r="B334" s="400">
        <v>3639</v>
      </c>
      <c r="C334" s="401" t="s">
        <v>3906</v>
      </c>
      <c r="D334" s="402" t="s">
        <v>3907</v>
      </c>
      <c r="E334" s="393" t="s">
        <v>3908</v>
      </c>
      <c r="F334" s="394" t="s">
        <v>3909</v>
      </c>
      <c r="G334" s="429" t="s">
        <v>6473</v>
      </c>
      <c r="H334" s="403">
        <v>33614</v>
      </c>
      <c r="I334" s="404">
        <v>43753</v>
      </c>
      <c r="J334" s="459" t="s">
        <v>6293</v>
      </c>
      <c r="K334" s="460" t="s">
        <v>6297</v>
      </c>
      <c r="L334" s="460" t="s">
        <v>6335</v>
      </c>
      <c r="M334" s="1">
        <v>192</v>
      </c>
      <c r="N334" s="431">
        <f t="shared" si="51"/>
        <v>3</v>
      </c>
      <c r="O334" s="432">
        <v>0</v>
      </c>
      <c r="P334" s="432">
        <v>0</v>
      </c>
      <c r="Q334" s="432">
        <v>0</v>
      </c>
      <c r="R334" s="1">
        <v>7</v>
      </c>
      <c r="S334" s="1">
        <v>10</v>
      </c>
      <c r="T334" s="300">
        <f t="shared" si="52"/>
        <v>212</v>
      </c>
      <c r="U334" s="3"/>
      <c r="V334" s="3"/>
      <c r="W334" s="3"/>
      <c r="X334" s="3"/>
      <c r="Y334" s="3"/>
      <c r="Z334" s="20">
        <f t="shared" si="49"/>
        <v>194</v>
      </c>
      <c r="AA334" s="20">
        <f t="shared" ref="AA334:AF376" si="55">N334</f>
        <v>3</v>
      </c>
      <c r="AB334" s="20">
        <f t="shared" si="55"/>
        <v>0</v>
      </c>
      <c r="AC334" s="20">
        <f t="shared" si="55"/>
        <v>0</v>
      </c>
      <c r="AD334" s="20">
        <f t="shared" si="55"/>
        <v>0</v>
      </c>
      <c r="AE334" s="20">
        <f t="shared" si="55"/>
        <v>7</v>
      </c>
      <c r="AF334" s="20">
        <f t="shared" si="55"/>
        <v>10</v>
      </c>
      <c r="AG334" s="300">
        <f t="shared" si="50"/>
        <v>214</v>
      </c>
      <c r="AH334" s="42">
        <f t="shared" si="48"/>
        <v>2</v>
      </c>
      <c r="AI334" s="42">
        <f t="shared" si="48"/>
        <v>0</v>
      </c>
      <c r="AJ334" s="42">
        <f t="shared" si="48"/>
        <v>0</v>
      </c>
      <c r="AK334" s="42">
        <f t="shared" si="48"/>
        <v>0</v>
      </c>
      <c r="AL334" s="42">
        <f t="shared" si="54"/>
        <v>0</v>
      </c>
      <c r="AM334" s="42">
        <f t="shared" si="54"/>
        <v>0</v>
      </c>
      <c r="AN334" s="42">
        <f t="shared" si="54"/>
        <v>0</v>
      </c>
      <c r="AO334" s="42">
        <f t="shared" si="54"/>
        <v>2</v>
      </c>
    </row>
    <row r="335" spans="1:41" ht="15.75">
      <c r="A335" s="16">
        <f t="shared" si="53"/>
        <v>332</v>
      </c>
      <c r="B335" s="400">
        <v>3197</v>
      </c>
      <c r="C335" s="401" t="s">
        <v>3920</v>
      </c>
      <c r="D335" s="402" t="s">
        <v>3921</v>
      </c>
      <c r="E335" s="393" t="s">
        <v>3922</v>
      </c>
      <c r="F335" s="394" t="s">
        <v>3923</v>
      </c>
      <c r="G335" s="429" t="s">
        <v>6473</v>
      </c>
      <c r="H335" s="403">
        <v>30900</v>
      </c>
      <c r="I335" s="404">
        <v>43742</v>
      </c>
      <c r="J335" s="459" t="s">
        <v>6293</v>
      </c>
      <c r="K335" s="460" t="s">
        <v>6134</v>
      </c>
      <c r="L335" s="460" t="s">
        <v>6335</v>
      </c>
      <c r="M335" s="1">
        <v>192</v>
      </c>
      <c r="N335" s="431">
        <f t="shared" si="51"/>
        <v>3</v>
      </c>
      <c r="O335" s="432">
        <v>0</v>
      </c>
      <c r="P335" s="432">
        <v>0</v>
      </c>
      <c r="Q335" s="432">
        <v>0</v>
      </c>
      <c r="R335" s="1">
        <v>7</v>
      </c>
      <c r="S335" s="1">
        <v>10</v>
      </c>
      <c r="T335" s="300">
        <f t="shared" si="52"/>
        <v>212</v>
      </c>
      <c r="U335" s="3"/>
      <c r="V335" s="3"/>
      <c r="W335" s="3"/>
      <c r="X335" s="3"/>
      <c r="Y335" s="3"/>
      <c r="Z335" s="20">
        <f t="shared" si="49"/>
        <v>194</v>
      </c>
      <c r="AA335" s="20">
        <f t="shared" si="55"/>
        <v>3</v>
      </c>
      <c r="AB335" s="20">
        <f t="shared" si="55"/>
        <v>0</v>
      </c>
      <c r="AC335" s="20">
        <f t="shared" si="55"/>
        <v>0</v>
      </c>
      <c r="AD335" s="20">
        <f t="shared" si="55"/>
        <v>0</v>
      </c>
      <c r="AE335" s="20">
        <f t="shared" si="55"/>
        <v>7</v>
      </c>
      <c r="AF335" s="20">
        <f t="shared" si="55"/>
        <v>10</v>
      </c>
      <c r="AG335" s="300">
        <f t="shared" si="50"/>
        <v>214</v>
      </c>
      <c r="AH335" s="42">
        <f t="shared" si="48"/>
        <v>2</v>
      </c>
      <c r="AI335" s="42">
        <f t="shared" si="48"/>
        <v>0</v>
      </c>
      <c r="AJ335" s="42">
        <f t="shared" si="48"/>
        <v>0</v>
      </c>
      <c r="AK335" s="42">
        <f t="shared" si="48"/>
        <v>0</v>
      </c>
      <c r="AL335" s="42">
        <f t="shared" si="54"/>
        <v>0</v>
      </c>
      <c r="AM335" s="42">
        <f t="shared" si="54"/>
        <v>0</v>
      </c>
      <c r="AN335" s="42">
        <f t="shared" si="54"/>
        <v>0</v>
      </c>
      <c r="AO335" s="42">
        <f t="shared" si="54"/>
        <v>2</v>
      </c>
    </row>
    <row r="336" spans="1:41" ht="15.75">
      <c r="A336" s="16">
        <f t="shared" si="53"/>
        <v>333</v>
      </c>
      <c r="B336" s="400">
        <v>3605</v>
      </c>
      <c r="C336" s="401" t="s">
        <v>3949</v>
      </c>
      <c r="D336" s="402" t="s">
        <v>826</v>
      </c>
      <c r="E336" s="393" t="s">
        <v>3950</v>
      </c>
      <c r="F336" s="394" t="s">
        <v>1914</v>
      </c>
      <c r="G336" s="429" t="s">
        <v>6473</v>
      </c>
      <c r="H336" s="403">
        <v>33947</v>
      </c>
      <c r="I336" s="404">
        <v>43753</v>
      </c>
      <c r="J336" s="459" t="s">
        <v>6293</v>
      </c>
      <c r="K336" s="460" t="s">
        <v>6301</v>
      </c>
      <c r="L336" s="460" t="s">
        <v>6335</v>
      </c>
      <c r="M336" s="1">
        <v>192</v>
      </c>
      <c r="N336" s="431">
        <f t="shared" si="51"/>
        <v>3</v>
      </c>
      <c r="O336" s="432">
        <v>0</v>
      </c>
      <c r="P336" s="432">
        <v>0</v>
      </c>
      <c r="Q336" s="432">
        <v>0</v>
      </c>
      <c r="R336" s="1">
        <v>7</v>
      </c>
      <c r="S336" s="1">
        <v>10</v>
      </c>
      <c r="T336" s="300">
        <f t="shared" si="52"/>
        <v>212</v>
      </c>
      <c r="U336" s="3"/>
      <c r="V336" s="3"/>
      <c r="W336" s="3"/>
      <c r="X336" s="3"/>
      <c r="Y336" s="3"/>
      <c r="Z336" s="20">
        <f t="shared" si="49"/>
        <v>194</v>
      </c>
      <c r="AA336" s="20">
        <f t="shared" si="55"/>
        <v>3</v>
      </c>
      <c r="AB336" s="20">
        <f t="shared" si="55"/>
        <v>0</v>
      </c>
      <c r="AC336" s="20">
        <f t="shared" si="55"/>
        <v>0</v>
      </c>
      <c r="AD336" s="20">
        <f t="shared" si="55"/>
        <v>0</v>
      </c>
      <c r="AE336" s="20">
        <f t="shared" si="55"/>
        <v>7</v>
      </c>
      <c r="AF336" s="20">
        <f t="shared" si="55"/>
        <v>10</v>
      </c>
      <c r="AG336" s="300">
        <f t="shared" si="50"/>
        <v>214</v>
      </c>
      <c r="AH336" s="42">
        <f t="shared" si="48"/>
        <v>2</v>
      </c>
      <c r="AI336" s="42">
        <f t="shared" si="48"/>
        <v>0</v>
      </c>
      <c r="AJ336" s="42">
        <f t="shared" si="48"/>
        <v>0</v>
      </c>
      <c r="AK336" s="42">
        <f t="shared" si="48"/>
        <v>0</v>
      </c>
      <c r="AL336" s="42">
        <f t="shared" si="54"/>
        <v>0</v>
      </c>
      <c r="AM336" s="42">
        <f t="shared" si="54"/>
        <v>0</v>
      </c>
      <c r="AN336" s="42">
        <f t="shared" si="54"/>
        <v>0</v>
      </c>
      <c r="AO336" s="42">
        <f t="shared" si="54"/>
        <v>2</v>
      </c>
    </row>
    <row r="337" spans="1:41" ht="15.75">
      <c r="A337" s="16">
        <f t="shared" si="53"/>
        <v>334</v>
      </c>
      <c r="B337" s="400">
        <v>3255</v>
      </c>
      <c r="C337" s="401" t="s">
        <v>3965</v>
      </c>
      <c r="D337" s="402" t="s">
        <v>3966</v>
      </c>
      <c r="E337" s="393" t="s">
        <v>3967</v>
      </c>
      <c r="F337" s="394" t="s">
        <v>3968</v>
      </c>
      <c r="G337" s="429" t="s">
        <v>6475</v>
      </c>
      <c r="H337" s="403">
        <v>34360</v>
      </c>
      <c r="I337" s="404">
        <v>43745</v>
      </c>
      <c r="J337" s="459" t="s">
        <v>6293</v>
      </c>
      <c r="K337" s="460" t="s">
        <v>45</v>
      </c>
      <c r="L337" s="460" t="s">
        <v>6350</v>
      </c>
      <c r="M337" s="1">
        <v>192</v>
      </c>
      <c r="N337" s="431">
        <f t="shared" si="51"/>
        <v>3</v>
      </c>
      <c r="O337" s="432">
        <v>0</v>
      </c>
      <c r="P337" s="442">
        <v>20</v>
      </c>
      <c r="Q337" s="432">
        <v>0</v>
      </c>
      <c r="R337" s="1">
        <v>7</v>
      </c>
      <c r="S337" s="1">
        <v>10</v>
      </c>
      <c r="T337" s="300">
        <f t="shared" si="52"/>
        <v>232</v>
      </c>
      <c r="U337" s="3"/>
      <c r="V337" s="3"/>
      <c r="W337" s="3"/>
      <c r="X337" s="3"/>
      <c r="Y337" s="3"/>
      <c r="Z337" s="20">
        <f t="shared" si="49"/>
        <v>194</v>
      </c>
      <c r="AA337" s="20">
        <f t="shared" si="55"/>
        <v>3</v>
      </c>
      <c r="AB337" s="20">
        <f t="shared" si="55"/>
        <v>0</v>
      </c>
      <c r="AC337" s="20">
        <f t="shared" si="55"/>
        <v>20</v>
      </c>
      <c r="AD337" s="20">
        <f t="shared" si="55"/>
        <v>0</v>
      </c>
      <c r="AE337" s="20">
        <f t="shared" si="55"/>
        <v>7</v>
      </c>
      <c r="AF337" s="20">
        <f t="shared" si="55"/>
        <v>10</v>
      </c>
      <c r="AG337" s="300">
        <f t="shared" si="50"/>
        <v>234</v>
      </c>
      <c r="AH337" s="42">
        <f t="shared" si="48"/>
        <v>2</v>
      </c>
      <c r="AI337" s="42">
        <f t="shared" si="48"/>
        <v>0</v>
      </c>
      <c r="AJ337" s="42">
        <f t="shared" si="48"/>
        <v>0</v>
      </c>
      <c r="AK337" s="42">
        <f t="shared" si="48"/>
        <v>0</v>
      </c>
      <c r="AL337" s="42">
        <f t="shared" si="54"/>
        <v>0</v>
      </c>
      <c r="AM337" s="42">
        <f t="shared" si="54"/>
        <v>0</v>
      </c>
      <c r="AN337" s="42">
        <f t="shared" si="54"/>
        <v>0</v>
      </c>
      <c r="AO337" s="42">
        <f t="shared" si="54"/>
        <v>2</v>
      </c>
    </row>
    <row r="338" spans="1:41" ht="15.75">
      <c r="A338" s="16">
        <f t="shared" si="53"/>
        <v>335</v>
      </c>
      <c r="B338" s="400">
        <v>3516</v>
      </c>
      <c r="C338" s="401" t="s">
        <v>4023</v>
      </c>
      <c r="D338" s="402" t="s">
        <v>4024</v>
      </c>
      <c r="E338" s="393" t="s">
        <v>4025</v>
      </c>
      <c r="F338" s="394" t="s">
        <v>4026</v>
      </c>
      <c r="G338" s="429" t="s">
        <v>6473</v>
      </c>
      <c r="H338" s="403">
        <v>30384</v>
      </c>
      <c r="I338" s="404">
        <v>43746</v>
      </c>
      <c r="J338" s="459" t="s">
        <v>6293</v>
      </c>
      <c r="K338" s="460" t="s">
        <v>6308</v>
      </c>
      <c r="L338" s="460" t="s">
        <v>6335</v>
      </c>
      <c r="M338" s="1">
        <v>192</v>
      </c>
      <c r="N338" s="431">
        <f t="shared" si="51"/>
        <v>3</v>
      </c>
      <c r="O338" s="432">
        <v>0</v>
      </c>
      <c r="P338" s="432">
        <v>0</v>
      </c>
      <c r="Q338" s="432">
        <v>0</v>
      </c>
      <c r="R338" s="1">
        <v>7</v>
      </c>
      <c r="S338" s="1">
        <v>10</v>
      </c>
      <c r="T338" s="300">
        <f t="shared" si="52"/>
        <v>212</v>
      </c>
      <c r="U338" s="3"/>
      <c r="V338" s="3"/>
      <c r="W338" s="3"/>
      <c r="X338" s="3"/>
      <c r="Y338" s="3"/>
      <c r="Z338" s="20">
        <f t="shared" si="49"/>
        <v>194</v>
      </c>
      <c r="AA338" s="20">
        <f t="shared" si="55"/>
        <v>3</v>
      </c>
      <c r="AB338" s="20">
        <f t="shared" si="55"/>
        <v>0</v>
      </c>
      <c r="AC338" s="20">
        <f t="shared" si="55"/>
        <v>0</v>
      </c>
      <c r="AD338" s="20">
        <f t="shared" si="55"/>
        <v>0</v>
      </c>
      <c r="AE338" s="20">
        <f t="shared" si="55"/>
        <v>7</v>
      </c>
      <c r="AF338" s="20">
        <f t="shared" si="55"/>
        <v>10</v>
      </c>
      <c r="AG338" s="300">
        <f t="shared" si="50"/>
        <v>214</v>
      </c>
      <c r="AH338" s="42">
        <f t="shared" si="48"/>
        <v>2</v>
      </c>
      <c r="AI338" s="42">
        <f t="shared" si="48"/>
        <v>0</v>
      </c>
      <c r="AJ338" s="42">
        <f t="shared" si="48"/>
        <v>0</v>
      </c>
      <c r="AK338" s="42">
        <f t="shared" si="48"/>
        <v>0</v>
      </c>
      <c r="AL338" s="42">
        <f t="shared" si="54"/>
        <v>0</v>
      </c>
      <c r="AM338" s="42">
        <f t="shared" si="54"/>
        <v>0</v>
      </c>
      <c r="AN338" s="42">
        <f t="shared" si="54"/>
        <v>0</v>
      </c>
      <c r="AO338" s="42">
        <f t="shared" si="54"/>
        <v>2</v>
      </c>
    </row>
    <row r="339" spans="1:41" ht="15.75">
      <c r="A339" s="16">
        <f t="shared" si="53"/>
        <v>336</v>
      </c>
      <c r="B339" s="400">
        <v>3520</v>
      </c>
      <c r="C339" s="401" t="s">
        <v>4036</v>
      </c>
      <c r="D339" s="402" t="s">
        <v>833</v>
      </c>
      <c r="E339" s="393" t="s">
        <v>4037</v>
      </c>
      <c r="F339" s="394" t="s">
        <v>835</v>
      </c>
      <c r="G339" s="429" t="s">
        <v>6473</v>
      </c>
      <c r="H339" s="403">
        <v>30353</v>
      </c>
      <c r="I339" s="404">
        <v>43746</v>
      </c>
      <c r="J339" s="459" t="s">
        <v>6293</v>
      </c>
      <c r="K339" s="460" t="s">
        <v>6304</v>
      </c>
      <c r="L339" s="460" t="s">
        <v>6335</v>
      </c>
      <c r="M339" s="1">
        <v>192</v>
      </c>
      <c r="N339" s="431">
        <f t="shared" si="51"/>
        <v>3</v>
      </c>
      <c r="O339" s="432">
        <v>0</v>
      </c>
      <c r="P339" s="432">
        <v>0</v>
      </c>
      <c r="Q339" s="432">
        <v>0</v>
      </c>
      <c r="R339" s="1">
        <v>7</v>
      </c>
      <c r="S339" s="1">
        <v>10</v>
      </c>
      <c r="T339" s="300">
        <f t="shared" si="52"/>
        <v>212</v>
      </c>
      <c r="U339" s="3"/>
      <c r="V339" s="3"/>
      <c r="W339" s="3"/>
      <c r="X339" s="3"/>
      <c r="Y339" s="3"/>
      <c r="Z339" s="20">
        <f t="shared" si="49"/>
        <v>194</v>
      </c>
      <c r="AA339" s="20">
        <f t="shared" si="55"/>
        <v>3</v>
      </c>
      <c r="AB339" s="20">
        <f t="shared" si="55"/>
        <v>0</v>
      </c>
      <c r="AC339" s="20">
        <f t="shared" si="55"/>
        <v>0</v>
      </c>
      <c r="AD339" s="20">
        <f t="shared" si="55"/>
        <v>0</v>
      </c>
      <c r="AE339" s="20">
        <f t="shared" si="55"/>
        <v>7</v>
      </c>
      <c r="AF339" s="20">
        <f t="shared" si="55"/>
        <v>10</v>
      </c>
      <c r="AG339" s="300">
        <f t="shared" si="50"/>
        <v>214</v>
      </c>
      <c r="AH339" s="42">
        <f t="shared" si="48"/>
        <v>2</v>
      </c>
      <c r="AI339" s="42">
        <f t="shared" si="48"/>
        <v>0</v>
      </c>
      <c r="AJ339" s="42">
        <f t="shared" si="48"/>
        <v>0</v>
      </c>
      <c r="AK339" s="42">
        <f t="shared" si="48"/>
        <v>0</v>
      </c>
      <c r="AL339" s="42">
        <f t="shared" si="54"/>
        <v>0</v>
      </c>
      <c r="AM339" s="42">
        <f t="shared" si="54"/>
        <v>0</v>
      </c>
      <c r="AN339" s="42">
        <f t="shared" si="54"/>
        <v>0</v>
      </c>
      <c r="AO339" s="42">
        <f t="shared" si="54"/>
        <v>2</v>
      </c>
    </row>
    <row r="340" spans="1:41" ht="15.75">
      <c r="A340" s="16">
        <f t="shared" si="53"/>
        <v>337</v>
      </c>
      <c r="B340" s="400">
        <v>3230</v>
      </c>
      <c r="C340" s="401" t="s">
        <v>1334</v>
      </c>
      <c r="D340" s="402" t="s">
        <v>4053</v>
      </c>
      <c r="E340" s="393" t="s">
        <v>1336</v>
      </c>
      <c r="F340" s="394" t="s">
        <v>4054</v>
      </c>
      <c r="G340" s="429" t="s">
        <v>6475</v>
      </c>
      <c r="H340" s="403">
        <v>26707</v>
      </c>
      <c r="I340" s="404">
        <v>43740</v>
      </c>
      <c r="J340" s="459" t="s">
        <v>6159</v>
      </c>
      <c r="K340" s="460" t="s">
        <v>3070</v>
      </c>
      <c r="L340" s="460" t="s">
        <v>194</v>
      </c>
      <c r="M340" s="1">
        <v>192</v>
      </c>
      <c r="N340" s="431">
        <f t="shared" si="51"/>
        <v>3</v>
      </c>
      <c r="O340" s="432">
        <v>20</v>
      </c>
      <c r="P340" s="432">
        <v>5</v>
      </c>
      <c r="Q340" s="432">
        <v>0</v>
      </c>
      <c r="R340" s="1">
        <v>7</v>
      </c>
      <c r="S340" s="1">
        <v>10</v>
      </c>
      <c r="T340" s="300">
        <f t="shared" si="52"/>
        <v>237</v>
      </c>
      <c r="U340" s="3"/>
      <c r="V340" s="3"/>
      <c r="W340" s="3"/>
      <c r="X340" s="3"/>
      <c r="Y340" s="3"/>
      <c r="Z340" s="20">
        <f t="shared" si="49"/>
        <v>194</v>
      </c>
      <c r="AA340" s="20">
        <f t="shared" si="55"/>
        <v>3</v>
      </c>
      <c r="AB340" s="20">
        <f t="shared" si="55"/>
        <v>20</v>
      </c>
      <c r="AC340" s="20">
        <f t="shared" si="55"/>
        <v>5</v>
      </c>
      <c r="AD340" s="20">
        <f t="shared" si="55"/>
        <v>0</v>
      </c>
      <c r="AE340" s="20">
        <f t="shared" si="55"/>
        <v>7</v>
      </c>
      <c r="AF340" s="20">
        <f t="shared" si="55"/>
        <v>10</v>
      </c>
      <c r="AG340" s="300">
        <f t="shared" si="50"/>
        <v>239</v>
      </c>
      <c r="AH340" s="42">
        <f t="shared" si="48"/>
        <v>2</v>
      </c>
      <c r="AI340" s="42">
        <f t="shared" si="48"/>
        <v>0</v>
      </c>
      <c r="AJ340" s="42">
        <f t="shared" si="48"/>
        <v>0</v>
      </c>
      <c r="AK340" s="42">
        <f t="shared" si="48"/>
        <v>0</v>
      </c>
      <c r="AL340" s="42">
        <f t="shared" si="54"/>
        <v>0</v>
      </c>
      <c r="AM340" s="42">
        <f t="shared" si="54"/>
        <v>0</v>
      </c>
      <c r="AN340" s="42">
        <f t="shared" si="54"/>
        <v>0</v>
      </c>
      <c r="AO340" s="42">
        <f t="shared" si="54"/>
        <v>2</v>
      </c>
    </row>
    <row r="341" spans="1:41" ht="15.75">
      <c r="A341" s="16">
        <f t="shared" si="53"/>
        <v>338</v>
      </c>
      <c r="B341" s="400">
        <v>3196</v>
      </c>
      <c r="C341" s="401" t="s">
        <v>4206</v>
      </c>
      <c r="D341" s="402" t="s">
        <v>2236</v>
      </c>
      <c r="E341" s="393" t="s">
        <v>4207</v>
      </c>
      <c r="F341" s="394" t="s">
        <v>2237</v>
      </c>
      <c r="G341" s="429" t="s">
        <v>6473</v>
      </c>
      <c r="H341" s="403">
        <v>33755</v>
      </c>
      <c r="I341" s="404">
        <v>43742</v>
      </c>
      <c r="J341" s="459" t="s">
        <v>6293</v>
      </c>
      <c r="K341" s="460" t="s">
        <v>6296</v>
      </c>
      <c r="L341" s="460" t="s">
        <v>6335</v>
      </c>
      <c r="M341" s="1">
        <v>192</v>
      </c>
      <c r="N341" s="431">
        <f t="shared" si="51"/>
        <v>3</v>
      </c>
      <c r="O341" s="432">
        <v>0</v>
      </c>
      <c r="P341" s="432">
        <v>0</v>
      </c>
      <c r="Q341" s="432">
        <v>0</v>
      </c>
      <c r="R341" s="1">
        <v>7</v>
      </c>
      <c r="S341" s="1">
        <v>10</v>
      </c>
      <c r="T341" s="300">
        <f t="shared" si="52"/>
        <v>212</v>
      </c>
      <c r="U341" s="3"/>
      <c r="V341" s="3"/>
      <c r="W341" s="3"/>
      <c r="X341" s="3"/>
      <c r="Y341" s="3"/>
      <c r="Z341" s="20">
        <f t="shared" si="49"/>
        <v>194</v>
      </c>
      <c r="AA341" s="20">
        <f t="shared" si="55"/>
        <v>3</v>
      </c>
      <c r="AB341" s="20">
        <f t="shared" si="55"/>
        <v>0</v>
      </c>
      <c r="AC341" s="20">
        <f t="shared" si="55"/>
        <v>0</v>
      </c>
      <c r="AD341" s="20">
        <f t="shared" si="55"/>
        <v>0</v>
      </c>
      <c r="AE341" s="20">
        <f t="shared" si="55"/>
        <v>7</v>
      </c>
      <c r="AF341" s="20">
        <f t="shared" si="55"/>
        <v>10</v>
      </c>
      <c r="AG341" s="300">
        <f t="shared" si="50"/>
        <v>214</v>
      </c>
      <c r="AH341" s="42">
        <f t="shared" si="48"/>
        <v>2</v>
      </c>
      <c r="AI341" s="42">
        <f t="shared" si="48"/>
        <v>0</v>
      </c>
      <c r="AJ341" s="42">
        <f t="shared" si="48"/>
        <v>0</v>
      </c>
      <c r="AK341" s="42">
        <f t="shared" si="48"/>
        <v>0</v>
      </c>
      <c r="AL341" s="42">
        <f t="shared" si="54"/>
        <v>0</v>
      </c>
      <c r="AM341" s="42">
        <f t="shared" si="54"/>
        <v>0</v>
      </c>
      <c r="AN341" s="42">
        <f t="shared" si="54"/>
        <v>0</v>
      </c>
      <c r="AO341" s="42">
        <f t="shared" si="54"/>
        <v>2</v>
      </c>
    </row>
    <row r="342" spans="1:41" ht="15.75">
      <c r="A342" s="16">
        <f t="shared" si="53"/>
        <v>339</v>
      </c>
      <c r="B342" s="400">
        <v>3228</v>
      </c>
      <c r="C342" s="401" t="s">
        <v>4321</v>
      </c>
      <c r="D342" s="402" t="s">
        <v>1249</v>
      </c>
      <c r="E342" s="393" t="s">
        <v>4322</v>
      </c>
      <c r="F342" s="394" t="s">
        <v>1251</v>
      </c>
      <c r="G342" s="429" t="s">
        <v>6473</v>
      </c>
      <c r="H342" s="403">
        <v>30744</v>
      </c>
      <c r="I342" s="404">
        <v>43742</v>
      </c>
      <c r="J342" s="459" t="s">
        <v>6293</v>
      </c>
      <c r="K342" s="460" t="s">
        <v>6351</v>
      </c>
      <c r="L342" s="460" t="s">
        <v>6335</v>
      </c>
      <c r="M342" s="1">
        <v>192</v>
      </c>
      <c r="N342" s="431">
        <f t="shared" si="51"/>
        <v>3</v>
      </c>
      <c r="O342" s="432">
        <v>0</v>
      </c>
      <c r="P342" s="432">
        <v>30</v>
      </c>
      <c r="Q342" s="432">
        <v>0</v>
      </c>
      <c r="R342" s="1">
        <v>7</v>
      </c>
      <c r="S342" s="1">
        <v>10</v>
      </c>
      <c r="T342" s="300">
        <f t="shared" si="52"/>
        <v>242</v>
      </c>
      <c r="U342" s="3"/>
      <c r="V342" s="3"/>
      <c r="W342" s="3"/>
      <c r="X342" s="3"/>
      <c r="Y342" s="3"/>
      <c r="Z342" s="20">
        <f t="shared" si="49"/>
        <v>194</v>
      </c>
      <c r="AA342" s="20">
        <f t="shared" si="55"/>
        <v>3</v>
      </c>
      <c r="AB342" s="20">
        <f t="shared" si="55"/>
        <v>0</v>
      </c>
      <c r="AC342" s="20">
        <f t="shared" si="55"/>
        <v>30</v>
      </c>
      <c r="AD342" s="20">
        <f t="shared" si="55"/>
        <v>0</v>
      </c>
      <c r="AE342" s="20">
        <f t="shared" si="55"/>
        <v>7</v>
      </c>
      <c r="AF342" s="20">
        <f t="shared" si="55"/>
        <v>10</v>
      </c>
      <c r="AG342" s="300">
        <f t="shared" si="50"/>
        <v>244</v>
      </c>
      <c r="AH342" s="42">
        <f t="shared" si="48"/>
        <v>2</v>
      </c>
      <c r="AI342" s="42">
        <f t="shared" si="48"/>
        <v>0</v>
      </c>
      <c r="AJ342" s="42">
        <f t="shared" si="48"/>
        <v>0</v>
      </c>
      <c r="AK342" s="42">
        <f t="shared" si="48"/>
        <v>0</v>
      </c>
      <c r="AL342" s="42">
        <f t="shared" si="54"/>
        <v>0</v>
      </c>
      <c r="AM342" s="42">
        <f t="shared" si="54"/>
        <v>0</v>
      </c>
      <c r="AN342" s="42">
        <f t="shared" si="54"/>
        <v>0</v>
      </c>
      <c r="AO342" s="42">
        <f t="shared" si="54"/>
        <v>2</v>
      </c>
    </row>
    <row r="343" spans="1:41" ht="15.75">
      <c r="A343" s="16">
        <f t="shared" si="53"/>
        <v>340</v>
      </c>
      <c r="B343" s="400">
        <v>3227</v>
      </c>
      <c r="C343" s="401" t="s">
        <v>4326</v>
      </c>
      <c r="D343" s="402" t="s">
        <v>4327</v>
      </c>
      <c r="E343" s="393" t="s">
        <v>738</v>
      </c>
      <c r="F343" s="394" t="s">
        <v>4328</v>
      </c>
      <c r="G343" s="429" t="s">
        <v>6475</v>
      </c>
      <c r="H343" s="403">
        <v>34552</v>
      </c>
      <c r="I343" s="404">
        <v>43742</v>
      </c>
      <c r="J343" s="459" t="s">
        <v>6293</v>
      </c>
      <c r="K343" s="460" t="s">
        <v>6351</v>
      </c>
      <c r="L343" s="460" t="s">
        <v>6135</v>
      </c>
      <c r="M343" s="1">
        <v>192</v>
      </c>
      <c r="N343" s="431">
        <f t="shared" si="51"/>
        <v>3</v>
      </c>
      <c r="O343" s="432">
        <v>0</v>
      </c>
      <c r="P343" s="432">
        <v>45</v>
      </c>
      <c r="Q343" s="432">
        <v>0</v>
      </c>
      <c r="R343" s="1">
        <v>7</v>
      </c>
      <c r="S343" s="1">
        <v>10</v>
      </c>
      <c r="T343" s="300">
        <f t="shared" si="52"/>
        <v>257</v>
      </c>
      <c r="U343" s="3"/>
      <c r="V343" s="3"/>
      <c r="W343" s="3"/>
      <c r="X343" s="3"/>
      <c r="Y343" s="3"/>
      <c r="Z343" s="20">
        <f t="shared" si="49"/>
        <v>194</v>
      </c>
      <c r="AA343" s="20">
        <f t="shared" si="55"/>
        <v>3</v>
      </c>
      <c r="AB343" s="20">
        <f t="shared" si="55"/>
        <v>0</v>
      </c>
      <c r="AC343" s="20">
        <f t="shared" si="55"/>
        <v>45</v>
      </c>
      <c r="AD343" s="20">
        <f t="shared" si="55"/>
        <v>0</v>
      </c>
      <c r="AE343" s="20">
        <f t="shared" si="55"/>
        <v>7</v>
      </c>
      <c r="AF343" s="20">
        <f t="shared" si="55"/>
        <v>10</v>
      </c>
      <c r="AG343" s="300">
        <f t="shared" si="50"/>
        <v>259</v>
      </c>
      <c r="AH343" s="42">
        <f t="shared" si="48"/>
        <v>2</v>
      </c>
      <c r="AI343" s="42">
        <f t="shared" si="48"/>
        <v>0</v>
      </c>
      <c r="AJ343" s="42">
        <f t="shared" si="48"/>
        <v>0</v>
      </c>
      <c r="AK343" s="42">
        <f t="shared" si="48"/>
        <v>0</v>
      </c>
      <c r="AL343" s="42">
        <f t="shared" si="54"/>
        <v>0</v>
      </c>
      <c r="AM343" s="42">
        <f t="shared" si="54"/>
        <v>0</v>
      </c>
      <c r="AN343" s="42">
        <f t="shared" si="54"/>
        <v>0</v>
      </c>
      <c r="AO343" s="42">
        <f t="shared" si="54"/>
        <v>2</v>
      </c>
    </row>
    <row r="344" spans="1:41" ht="15.75">
      <c r="A344" s="16">
        <f t="shared" si="53"/>
        <v>341</v>
      </c>
      <c r="B344" s="400">
        <v>3233</v>
      </c>
      <c r="C344" s="401" t="s">
        <v>495</v>
      </c>
      <c r="D344" s="402" t="s">
        <v>869</v>
      </c>
      <c r="E344" s="393" t="s">
        <v>672</v>
      </c>
      <c r="F344" s="394" t="s">
        <v>720</v>
      </c>
      <c r="G344" s="429" t="s">
        <v>6473</v>
      </c>
      <c r="H344" s="403">
        <v>30075</v>
      </c>
      <c r="I344" s="404">
        <v>43745</v>
      </c>
      <c r="J344" s="459" t="s">
        <v>6293</v>
      </c>
      <c r="K344" s="460" t="s">
        <v>6294</v>
      </c>
      <c r="L344" s="460" t="s">
        <v>6487</v>
      </c>
      <c r="M344" s="1">
        <v>192</v>
      </c>
      <c r="N344" s="431">
        <f t="shared" si="51"/>
        <v>3</v>
      </c>
      <c r="O344" s="432">
        <v>0</v>
      </c>
      <c r="P344" s="432">
        <v>85</v>
      </c>
      <c r="Q344" s="432">
        <v>150</v>
      </c>
      <c r="R344" s="1">
        <v>7</v>
      </c>
      <c r="S344" s="1">
        <v>10</v>
      </c>
      <c r="T344" s="300">
        <f t="shared" si="52"/>
        <v>447</v>
      </c>
      <c r="U344" s="3"/>
      <c r="V344" s="3"/>
      <c r="W344" s="3"/>
      <c r="X344" s="3"/>
      <c r="Y344" s="3"/>
      <c r="Z344" s="20">
        <f t="shared" si="49"/>
        <v>194</v>
      </c>
      <c r="AA344" s="20">
        <f t="shared" si="55"/>
        <v>3</v>
      </c>
      <c r="AB344" s="20">
        <f t="shared" si="55"/>
        <v>0</v>
      </c>
      <c r="AC344" s="20">
        <f t="shared" si="55"/>
        <v>85</v>
      </c>
      <c r="AD344" s="20">
        <f t="shared" si="55"/>
        <v>150</v>
      </c>
      <c r="AE344" s="20">
        <f t="shared" si="55"/>
        <v>7</v>
      </c>
      <c r="AF344" s="20">
        <f t="shared" si="55"/>
        <v>10</v>
      </c>
      <c r="AG344" s="300">
        <f t="shared" si="50"/>
        <v>449</v>
      </c>
      <c r="AH344" s="42">
        <f t="shared" si="48"/>
        <v>2</v>
      </c>
      <c r="AI344" s="42">
        <f t="shared" si="48"/>
        <v>0</v>
      </c>
      <c r="AJ344" s="42">
        <f t="shared" si="48"/>
        <v>0</v>
      </c>
      <c r="AK344" s="42">
        <f t="shared" si="48"/>
        <v>0</v>
      </c>
      <c r="AL344" s="42">
        <f t="shared" si="54"/>
        <v>0</v>
      </c>
      <c r="AM344" s="42">
        <f t="shared" si="54"/>
        <v>0</v>
      </c>
      <c r="AN344" s="42">
        <f t="shared" si="54"/>
        <v>0</v>
      </c>
      <c r="AO344" s="42">
        <f t="shared" si="54"/>
        <v>2</v>
      </c>
    </row>
    <row r="345" spans="1:41" ht="15.75">
      <c r="A345" s="16">
        <f t="shared" si="53"/>
        <v>342</v>
      </c>
      <c r="B345" s="400">
        <v>3205</v>
      </c>
      <c r="C345" s="401" t="s">
        <v>1865</v>
      </c>
      <c r="D345" s="402" t="s">
        <v>1885</v>
      </c>
      <c r="E345" s="393" t="s">
        <v>1867</v>
      </c>
      <c r="F345" s="394" t="s">
        <v>1887</v>
      </c>
      <c r="G345" s="429" t="s">
        <v>6475</v>
      </c>
      <c r="H345" s="403">
        <v>33340</v>
      </c>
      <c r="I345" s="404">
        <v>43740</v>
      </c>
      <c r="J345" s="459" t="s">
        <v>6293</v>
      </c>
      <c r="K345" s="460" t="s">
        <v>6104</v>
      </c>
      <c r="L345" s="460" t="s">
        <v>6345</v>
      </c>
      <c r="M345" s="1">
        <v>192</v>
      </c>
      <c r="N345" s="431">
        <f t="shared" si="51"/>
        <v>3</v>
      </c>
      <c r="O345" s="432">
        <v>0</v>
      </c>
      <c r="P345" s="432">
        <v>0</v>
      </c>
      <c r="Q345" s="432">
        <v>0</v>
      </c>
      <c r="R345" s="1">
        <v>7</v>
      </c>
      <c r="S345" s="1">
        <v>10</v>
      </c>
      <c r="T345" s="300">
        <f t="shared" si="52"/>
        <v>212</v>
      </c>
      <c r="U345" s="3"/>
      <c r="V345" s="3"/>
      <c r="W345" s="3"/>
      <c r="X345" s="3"/>
      <c r="Y345" s="3"/>
      <c r="Z345" s="20">
        <f t="shared" si="49"/>
        <v>194</v>
      </c>
      <c r="AA345" s="20">
        <f t="shared" si="55"/>
        <v>3</v>
      </c>
      <c r="AB345" s="20">
        <f t="shared" si="55"/>
        <v>0</v>
      </c>
      <c r="AC345" s="20">
        <f t="shared" si="55"/>
        <v>0</v>
      </c>
      <c r="AD345" s="20">
        <f t="shared" si="55"/>
        <v>0</v>
      </c>
      <c r="AE345" s="20">
        <f t="shared" si="55"/>
        <v>7</v>
      </c>
      <c r="AF345" s="20">
        <f t="shared" si="55"/>
        <v>10</v>
      </c>
      <c r="AG345" s="300">
        <f t="shared" si="50"/>
        <v>214</v>
      </c>
      <c r="AH345" s="42">
        <f t="shared" si="48"/>
        <v>2</v>
      </c>
      <c r="AI345" s="42">
        <f t="shared" si="48"/>
        <v>0</v>
      </c>
      <c r="AJ345" s="42">
        <f t="shared" si="48"/>
        <v>0</v>
      </c>
      <c r="AK345" s="42">
        <f t="shared" si="48"/>
        <v>0</v>
      </c>
      <c r="AL345" s="42">
        <f t="shared" si="54"/>
        <v>0</v>
      </c>
      <c r="AM345" s="42">
        <f t="shared" si="54"/>
        <v>0</v>
      </c>
      <c r="AN345" s="42">
        <f t="shared" si="54"/>
        <v>0</v>
      </c>
      <c r="AO345" s="42">
        <f t="shared" si="54"/>
        <v>2</v>
      </c>
    </row>
    <row r="346" spans="1:41" ht="15.75">
      <c r="A346" s="16">
        <f t="shared" si="53"/>
        <v>343</v>
      </c>
      <c r="B346" s="400">
        <v>3542</v>
      </c>
      <c r="C346" s="401" t="s">
        <v>1598</v>
      </c>
      <c r="D346" s="402" t="s">
        <v>4063</v>
      </c>
      <c r="E346" s="393" t="s">
        <v>1600</v>
      </c>
      <c r="F346" s="394" t="s">
        <v>4065</v>
      </c>
      <c r="G346" s="429" t="s">
        <v>6475</v>
      </c>
      <c r="H346" s="403">
        <v>34175</v>
      </c>
      <c r="I346" s="404">
        <v>43747</v>
      </c>
      <c r="J346" s="459" t="s">
        <v>6293</v>
      </c>
      <c r="K346" s="460" t="s">
        <v>6104</v>
      </c>
      <c r="L346" s="460" t="s">
        <v>6345</v>
      </c>
      <c r="M346" s="1">
        <v>192</v>
      </c>
      <c r="N346" s="431">
        <f t="shared" si="51"/>
        <v>3</v>
      </c>
      <c r="O346" s="432">
        <v>0</v>
      </c>
      <c r="P346" s="432">
        <v>0</v>
      </c>
      <c r="Q346" s="432">
        <v>0</v>
      </c>
      <c r="R346" s="1">
        <v>7</v>
      </c>
      <c r="S346" s="1">
        <v>10</v>
      </c>
      <c r="T346" s="300">
        <f t="shared" si="52"/>
        <v>212</v>
      </c>
      <c r="U346" s="3"/>
      <c r="V346" s="3"/>
      <c r="W346" s="3"/>
      <c r="X346" s="3"/>
      <c r="Y346" s="3"/>
      <c r="Z346" s="20">
        <f t="shared" si="49"/>
        <v>194</v>
      </c>
      <c r="AA346" s="20">
        <f t="shared" si="55"/>
        <v>3</v>
      </c>
      <c r="AB346" s="20">
        <f t="shared" si="55"/>
        <v>0</v>
      </c>
      <c r="AC346" s="20">
        <f t="shared" si="55"/>
        <v>0</v>
      </c>
      <c r="AD346" s="20">
        <f t="shared" si="55"/>
        <v>0</v>
      </c>
      <c r="AE346" s="20">
        <f t="shared" si="55"/>
        <v>7</v>
      </c>
      <c r="AF346" s="20">
        <f t="shared" si="55"/>
        <v>10</v>
      </c>
      <c r="AG346" s="300">
        <f t="shared" si="50"/>
        <v>214</v>
      </c>
      <c r="AH346" s="42">
        <f t="shared" si="48"/>
        <v>2</v>
      </c>
      <c r="AI346" s="42">
        <f t="shared" si="48"/>
        <v>0</v>
      </c>
      <c r="AJ346" s="42">
        <f t="shared" si="48"/>
        <v>0</v>
      </c>
      <c r="AK346" s="42">
        <f t="shared" si="48"/>
        <v>0</v>
      </c>
      <c r="AL346" s="42">
        <f t="shared" si="54"/>
        <v>0</v>
      </c>
      <c r="AM346" s="42">
        <f t="shared" si="54"/>
        <v>0</v>
      </c>
      <c r="AN346" s="42">
        <f t="shared" si="54"/>
        <v>0</v>
      </c>
      <c r="AO346" s="42">
        <f t="shared" si="54"/>
        <v>2</v>
      </c>
    </row>
    <row r="347" spans="1:41" ht="15.75">
      <c r="A347" s="16">
        <f t="shared" si="53"/>
        <v>344</v>
      </c>
      <c r="B347" s="400">
        <v>3563</v>
      </c>
      <c r="C347" s="401" t="s">
        <v>4391</v>
      </c>
      <c r="D347" s="402" t="s">
        <v>1032</v>
      </c>
      <c r="E347" s="406" t="s">
        <v>5513</v>
      </c>
      <c r="F347" s="407" t="s">
        <v>1760</v>
      </c>
      <c r="G347" s="429" t="s">
        <v>6473</v>
      </c>
      <c r="H347" s="403">
        <v>29867</v>
      </c>
      <c r="I347" s="404">
        <v>43748</v>
      </c>
      <c r="J347" s="459" t="s">
        <v>6293</v>
      </c>
      <c r="K347" s="460" t="s">
        <v>6308</v>
      </c>
      <c r="L347" s="460" t="s">
        <v>6335</v>
      </c>
      <c r="M347" s="1">
        <v>192</v>
      </c>
      <c r="N347" s="431">
        <f t="shared" si="51"/>
        <v>3</v>
      </c>
      <c r="O347" s="432">
        <v>0</v>
      </c>
      <c r="P347" s="432">
        <v>0</v>
      </c>
      <c r="Q347" s="432">
        <v>0</v>
      </c>
      <c r="R347" s="1">
        <v>7</v>
      </c>
      <c r="S347" s="1">
        <v>10</v>
      </c>
      <c r="T347" s="300">
        <f t="shared" si="52"/>
        <v>212</v>
      </c>
      <c r="U347" s="3"/>
      <c r="V347" s="3"/>
      <c r="W347" s="3"/>
      <c r="X347" s="3"/>
      <c r="Y347" s="3"/>
      <c r="Z347" s="20">
        <f t="shared" si="49"/>
        <v>194</v>
      </c>
      <c r="AA347" s="20">
        <f t="shared" si="55"/>
        <v>3</v>
      </c>
      <c r="AB347" s="20">
        <f t="shared" si="55"/>
        <v>0</v>
      </c>
      <c r="AC347" s="20">
        <f t="shared" si="55"/>
        <v>0</v>
      </c>
      <c r="AD347" s="20">
        <f t="shared" si="55"/>
        <v>0</v>
      </c>
      <c r="AE347" s="20">
        <f t="shared" si="55"/>
        <v>7</v>
      </c>
      <c r="AF347" s="20">
        <f t="shared" si="55"/>
        <v>10</v>
      </c>
      <c r="AG347" s="300">
        <f t="shared" si="50"/>
        <v>214</v>
      </c>
      <c r="AH347" s="42">
        <f t="shared" si="48"/>
        <v>2</v>
      </c>
      <c r="AI347" s="42">
        <f t="shared" si="48"/>
        <v>0</v>
      </c>
      <c r="AJ347" s="42">
        <f t="shared" si="48"/>
        <v>0</v>
      </c>
      <c r="AK347" s="42">
        <f t="shared" si="48"/>
        <v>0</v>
      </c>
      <c r="AL347" s="42">
        <f t="shared" si="54"/>
        <v>0</v>
      </c>
      <c r="AM347" s="42">
        <f t="shared" si="54"/>
        <v>0</v>
      </c>
      <c r="AN347" s="42">
        <f t="shared" si="54"/>
        <v>0</v>
      </c>
      <c r="AO347" s="42">
        <f t="shared" si="54"/>
        <v>2</v>
      </c>
    </row>
    <row r="348" spans="1:41" ht="15.75">
      <c r="A348" s="16">
        <f t="shared" si="53"/>
        <v>345</v>
      </c>
      <c r="B348" s="400">
        <v>3539</v>
      </c>
      <c r="C348" s="401" t="s">
        <v>4401</v>
      </c>
      <c r="D348" s="402" t="s">
        <v>4321</v>
      </c>
      <c r="E348" s="393" t="s">
        <v>4402</v>
      </c>
      <c r="F348" s="394" t="s">
        <v>4322</v>
      </c>
      <c r="G348" s="429" t="s">
        <v>6473</v>
      </c>
      <c r="H348" s="403">
        <v>33383</v>
      </c>
      <c r="I348" s="404">
        <v>43747</v>
      </c>
      <c r="J348" s="459" t="s">
        <v>6293</v>
      </c>
      <c r="K348" s="460" t="s">
        <v>6134</v>
      </c>
      <c r="L348" s="460" t="s">
        <v>6335</v>
      </c>
      <c r="M348" s="1">
        <v>192</v>
      </c>
      <c r="N348" s="431">
        <f t="shared" si="51"/>
        <v>3</v>
      </c>
      <c r="O348" s="432">
        <v>0</v>
      </c>
      <c r="P348" s="432">
        <v>0</v>
      </c>
      <c r="Q348" s="432">
        <v>0</v>
      </c>
      <c r="R348" s="1">
        <v>7</v>
      </c>
      <c r="S348" s="1">
        <v>10</v>
      </c>
      <c r="T348" s="300">
        <f t="shared" si="52"/>
        <v>212</v>
      </c>
      <c r="U348" s="3"/>
      <c r="V348" s="3"/>
      <c r="W348" s="3"/>
      <c r="X348" s="3"/>
      <c r="Y348" s="3"/>
      <c r="Z348" s="20">
        <f t="shared" si="49"/>
        <v>194</v>
      </c>
      <c r="AA348" s="20">
        <f t="shared" si="55"/>
        <v>3</v>
      </c>
      <c r="AB348" s="20">
        <f t="shared" si="55"/>
        <v>0</v>
      </c>
      <c r="AC348" s="20">
        <f t="shared" si="55"/>
        <v>0</v>
      </c>
      <c r="AD348" s="20">
        <f t="shared" si="55"/>
        <v>0</v>
      </c>
      <c r="AE348" s="20">
        <f t="shared" si="55"/>
        <v>7</v>
      </c>
      <c r="AF348" s="20">
        <f t="shared" si="55"/>
        <v>10</v>
      </c>
      <c r="AG348" s="300">
        <f t="shared" si="50"/>
        <v>214</v>
      </c>
      <c r="AH348" s="42">
        <f t="shared" si="48"/>
        <v>2</v>
      </c>
      <c r="AI348" s="42">
        <f t="shared" si="48"/>
        <v>0</v>
      </c>
      <c r="AJ348" s="42">
        <f t="shared" si="48"/>
        <v>0</v>
      </c>
      <c r="AK348" s="42">
        <f t="shared" si="48"/>
        <v>0</v>
      </c>
      <c r="AL348" s="42">
        <f t="shared" si="54"/>
        <v>0</v>
      </c>
      <c r="AM348" s="42">
        <f t="shared" si="54"/>
        <v>0</v>
      </c>
      <c r="AN348" s="42">
        <f t="shared" si="54"/>
        <v>0</v>
      </c>
      <c r="AO348" s="42">
        <f t="shared" si="54"/>
        <v>2</v>
      </c>
    </row>
    <row r="349" spans="1:41" ht="15.75">
      <c r="A349" s="16">
        <f t="shared" si="53"/>
        <v>346</v>
      </c>
      <c r="B349" s="400">
        <v>3641</v>
      </c>
      <c r="C349" s="401" t="s">
        <v>568</v>
      </c>
      <c r="D349" s="402" t="s">
        <v>4420</v>
      </c>
      <c r="E349" s="393" t="s">
        <v>537</v>
      </c>
      <c r="F349" s="394" t="s">
        <v>4421</v>
      </c>
      <c r="G349" s="429" t="s">
        <v>6473</v>
      </c>
      <c r="H349" s="403">
        <v>28887</v>
      </c>
      <c r="I349" s="404">
        <v>43755</v>
      </c>
      <c r="J349" s="459" t="s">
        <v>6293</v>
      </c>
      <c r="K349" s="460" t="s">
        <v>6300</v>
      </c>
      <c r="L349" s="460" t="s">
        <v>6335</v>
      </c>
      <c r="M349" s="1">
        <v>192</v>
      </c>
      <c r="N349" s="431">
        <f t="shared" si="51"/>
        <v>3</v>
      </c>
      <c r="O349" s="432">
        <v>0</v>
      </c>
      <c r="P349" s="432">
        <v>0</v>
      </c>
      <c r="Q349" s="432">
        <v>0</v>
      </c>
      <c r="R349" s="1">
        <v>7</v>
      </c>
      <c r="S349" s="1">
        <v>10</v>
      </c>
      <c r="T349" s="300">
        <f t="shared" si="52"/>
        <v>212</v>
      </c>
      <c r="U349" s="3"/>
      <c r="V349" s="3"/>
      <c r="W349" s="3"/>
      <c r="X349" s="3"/>
      <c r="Y349" s="3"/>
      <c r="Z349" s="20">
        <f t="shared" si="49"/>
        <v>194</v>
      </c>
      <c r="AA349" s="20">
        <f t="shared" si="55"/>
        <v>3</v>
      </c>
      <c r="AB349" s="20">
        <f t="shared" si="55"/>
        <v>0</v>
      </c>
      <c r="AC349" s="20">
        <f t="shared" si="55"/>
        <v>0</v>
      </c>
      <c r="AD349" s="20">
        <f t="shared" si="55"/>
        <v>0</v>
      </c>
      <c r="AE349" s="20">
        <f t="shared" si="55"/>
        <v>7</v>
      </c>
      <c r="AF349" s="20">
        <f t="shared" si="55"/>
        <v>10</v>
      </c>
      <c r="AG349" s="300">
        <f t="shared" si="50"/>
        <v>214</v>
      </c>
      <c r="AH349" s="42">
        <f t="shared" si="48"/>
        <v>2</v>
      </c>
      <c r="AI349" s="42">
        <f t="shared" si="48"/>
        <v>0</v>
      </c>
      <c r="AJ349" s="42">
        <f t="shared" si="48"/>
        <v>0</v>
      </c>
      <c r="AK349" s="42">
        <f t="shared" si="48"/>
        <v>0</v>
      </c>
      <c r="AL349" s="42">
        <f t="shared" si="54"/>
        <v>0</v>
      </c>
      <c r="AM349" s="42">
        <f t="shared" si="54"/>
        <v>0</v>
      </c>
      <c r="AN349" s="42">
        <f t="shared" si="54"/>
        <v>0</v>
      </c>
      <c r="AO349" s="42">
        <f t="shared" si="54"/>
        <v>2</v>
      </c>
    </row>
    <row r="350" spans="1:41" ht="15.75">
      <c r="A350" s="16">
        <f t="shared" si="53"/>
        <v>347</v>
      </c>
      <c r="B350" s="400">
        <v>3640</v>
      </c>
      <c r="C350" s="401" t="s">
        <v>2560</v>
      </c>
      <c r="D350" s="402" t="s">
        <v>1257</v>
      </c>
      <c r="E350" s="393" t="s">
        <v>4426</v>
      </c>
      <c r="F350" s="394" t="s">
        <v>1259</v>
      </c>
      <c r="G350" s="429" t="s">
        <v>6475</v>
      </c>
      <c r="H350" s="403">
        <v>33700</v>
      </c>
      <c r="I350" s="404">
        <v>43753</v>
      </c>
      <c r="J350" s="459" t="s">
        <v>6293</v>
      </c>
      <c r="K350" s="460" t="s">
        <v>6308</v>
      </c>
      <c r="L350" s="460" t="s">
        <v>6335</v>
      </c>
      <c r="M350" s="1">
        <v>192</v>
      </c>
      <c r="N350" s="431">
        <f t="shared" si="51"/>
        <v>3</v>
      </c>
      <c r="O350" s="432">
        <v>0</v>
      </c>
      <c r="P350" s="432">
        <v>0</v>
      </c>
      <c r="Q350" s="432">
        <v>0</v>
      </c>
      <c r="R350" s="1">
        <v>7</v>
      </c>
      <c r="S350" s="1">
        <v>10</v>
      </c>
      <c r="T350" s="300">
        <f t="shared" si="52"/>
        <v>212</v>
      </c>
      <c r="U350" s="3"/>
      <c r="V350" s="3"/>
      <c r="W350" s="3"/>
      <c r="X350" s="3"/>
      <c r="Y350" s="3"/>
      <c r="Z350" s="20">
        <f t="shared" si="49"/>
        <v>194</v>
      </c>
      <c r="AA350" s="20">
        <f t="shared" si="55"/>
        <v>3</v>
      </c>
      <c r="AB350" s="20">
        <f t="shared" si="55"/>
        <v>0</v>
      </c>
      <c r="AC350" s="20">
        <f t="shared" si="55"/>
        <v>0</v>
      </c>
      <c r="AD350" s="20">
        <f t="shared" si="55"/>
        <v>0</v>
      </c>
      <c r="AE350" s="20">
        <f t="shared" si="55"/>
        <v>7</v>
      </c>
      <c r="AF350" s="20">
        <f t="shared" si="55"/>
        <v>10</v>
      </c>
      <c r="AG350" s="300">
        <f t="shared" si="50"/>
        <v>214</v>
      </c>
      <c r="AH350" s="42">
        <f t="shared" si="48"/>
        <v>2</v>
      </c>
      <c r="AI350" s="42">
        <f t="shared" si="48"/>
        <v>0</v>
      </c>
      <c r="AJ350" s="42">
        <f t="shared" si="48"/>
        <v>0</v>
      </c>
      <c r="AK350" s="42">
        <f t="shared" si="48"/>
        <v>0</v>
      </c>
      <c r="AL350" s="42">
        <f t="shared" si="54"/>
        <v>0</v>
      </c>
      <c r="AM350" s="42">
        <f t="shared" si="54"/>
        <v>0</v>
      </c>
      <c r="AN350" s="42">
        <f t="shared" si="54"/>
        <v>0</v>
      </c>
      <c r="AO350" s="42">
        <f t="shared" si="54"/>
        <v>2</v>
      </c>
    </row>
    <row r="351" spans="1:41" ht="15.75">
      <c r="A351" s="16">
        <f t="shared" si="53"/>
        <v>348</v>
      </c>
      <c r="B351" s="400">
        <v>3174</v>
      </c>
      <c r="C351" s="401" t="s">
        <v>4429</v>
      </c>
      <c r="D351" s="402" t="s">
        <v>3112</v>
      </c>
      <c r="E351" s="393" t="s">
        <v>4430</v>
      </c>
      <c r="F351" s="394" t="s">
        <v>4431</v>
      </c>
      <c r="G351" s="429" t="s">
        <v>6473</v>
      </c>
      <c r="H351" s="403">
        <v>34220</v>
      </c>
      <c r="I351" s="404">
        <v>43742</v>
      </c>
      <c r="J351" s="459" t="s">
        <v>6293</v>
      </c>
      <c r="K351" s="460" t="s">
        <v>6083</v>
      </c>
      <c r="L351" s="460" t="s">
        <v>6335</v>
      </c>
      <c r="M351" s="1">
        <v>192</v>
      </c>
      <c r="N351" s="431">
        <f t="shared" si="51"/>
        <v>3</v>
      </c>
      <c r="O351" s="432">
        <v>0</v>
      </c>
      <c r="P351" s="432">
        <v>0</v>
      </c>
      <c r="Q351" s="432">
        <v>0</v>
      </c>
      <c r="R351" s="1">
        <v>7</v>
      </c>
      <c r="S351" s="1">
        <v>10</v>
      </c>
      <c r="T351" s="300">
        <f t="shared" si="52"/>
        <v>212</v>
      </c>
      <c r="U351" s="3"/>
      <c r="V351" s="3"/>
      <c r="W351" s="3"/>
      <c r="X351" s="3"/>
      <c r="Y351" s="3"/>
      <c r="Z351" s="20">
        <f t="shared" si="49"/>
        <v>194</v>
      </c>
      <c r="AA351" s="20">
        <f t="shared" si="55"/>
        <v>3</v>
      </c>
      <c r="AB351" s="20">
        <f t="shared" si="55"/>
        <v>0</v>
      </c>
      <c r="AC351" s="20">
        <f t="shared" si="55"/>
        <v>0</v>
      </c>
      <c r="AD351" s="20">
        <f t="shared" si="55"/>
        <v>0</v>
      </c>
      <c r="AE351" s="20">
        <f t="shared" si="55"/>
        <v>7</v>
      </c>
      <c r="AF351" s="20">
        <f t="shared" si="55"/>
        <v>10</v>
      </c>
      <c r="AG351" s="300">
        <f t="shared" si="50"/>
        <v>214</v>
      </c>
      <c r="AH351" s="42">
        <f t="shared" si="48"/>
        <v>2</v>
      </c>
      <c r="AI351" s="42">
        <f t="shared" si="48"/>
        <v>0</v>
      </c>
      <c r="AJ351" s="42">
        <f t="shared" si="48"/>
        <v>0</v>
      </c>
      <c r="AK351" s="42">
        <f t="shared" si="48"/>
        <v>0</v>
      </c>
      <c r="AL351" s="42">
        <f t="shared" si="54"/>
        <v>0</v>
      </c>
      <c r="AM351" s="42">
        <f t="shared" si="54"/>
        <v>0</v>
      </c>
      <c r="AN351" s="42">
        <f t="shared" si="54"/>
        <v>0</v>
      </c>
      <c r="AO351" s="42">
        <f t="shared" si="54"/>
        <v>2</v>
      </c>
    </row>
    <row r="352" spans="1:41" ht="15.75">
      <c r="A352" s="16">
        <f t="shared" si="53"/>
        <v>349</v>
      </c>
      <c r="B352" s="400">
        <v>3296</v>
      </c>
      <c r="C352" s="401" t="s">
        <v>4449</v>
      </c>
      <c r="D352" s="402" t="s">
        <v>4450</v>
      </c>
      <c r="E352" s="393" t="s">
        <v>4451</v>
      </c>
      <c r="F352" s="394" t="s">
        <v>4452</v>
      </c>
      <c r="G352" s="429" t="s">
        <v>6473</v>
      </c>
      <c r="H352" s="403">
        <v>33072</v>
      </c>
      <c r="I352" s="404">
        <v>43746</v>
      </c>
      <c r="J352" s="459" t="s">
        <v>6293</v>
      </c>
      <c r="K352" s="460" t="s">
        <v>6300</v>
      </c>
      <c r="L352" s="460" t="s">
        <v>6335</v>
      </c>
      <c r="M352" s="1">
        <v>192</v>
      </c>
      <c r="N352" s="431">
        <f t="shared" si="51"/>
        <v>3</v>
      </c>
      <c r="O352" s="432">
        <v>0</v>
      </c>
      <c r="P352" s="432">
        <v>0</v>
      </c>
      <c r="Q352" s="432">
        <v>0</v>
      </c>
      <c r="R352" s="1">
        <v>7</v>
      </c>
      <c r="S352" s="1">
        <v>10</v>
      </c>
      <c r="T352" s="300">
        <f t="shared" si="52"/>
        <v>212</v>
      </c>
      <c r="U352" s="3"/>
      <c r="V352" s="3"/>
      <c r="W352" s="3"/>
      <c r="X352" s="3"/>
      <c r="Y352" s="3"/>
      <c r="Z352" s="20">
        <f t="shared" si="49"/>
        <v>194</v>
      </c>
      <c r="AA352" s="20">
        <f t="shared" si="55"/>
        <v>3</v>
      </c>
      <c r="AB352" s="20">
        <f t="shared" si="55"/>
        <v>0</v>
      </c>
      <c r="AC352" s="20">
        <f t="shared" si="55"/>
        <v>0</v>
      </c>
      <c r="AD352" s="20">
        <f t="shared" si="55"/>
        <v>0</v>
      </c>
      <c r="AE352" s="20">
        <f t="shared" si="55"/>
        <v>7</v>
      </c>
      <c r="AF352" s="20">
        <f t="shared" si="55"/>
        <v>10</v>
      </c>
      <c r="AG352" s="300">
        <f t="shared" si="50"/>
        <v>214</v>
      </c>
      <c r="AH352" s="42">
        <f t="shared" si="48"/>
        <v>2</v>
      </c>
      <c r="AI352" s="42">
        <f t="shared" si="48"/>
        <v>0</v>
      </c>
      <c r="AJ352" s="42">
        <f t="shared" si="48"/>
        <v>0</v>
      </c>
      <c r="AK352" s="42">
        <f t="shared" si="48"/>
        <v>0</v>
      </c>
      <c r="AL352" s="42">
        <f t="shared" si="54"/>
        <v>0</v>
      </c>
      <c r="AM352" s="42">
        <f t="shared" si="54"/>
        <v>0</v>
      </c>
      <c r="AN352" s="42">
        <f t="shared" si="54"/>
        <v>0</v>
      </c>
      <c r="AO352" s="42">
        <f t="shared" si="54"/>
        <v>2</v>
      </c>
    </row>
    <row r="353" spans="1:41" ht="15.75">
      <c r="A353" s="16">
        <f t="shared" si="53"/>
        <v>350</v>
      </c>
      <c r="B353" s="400">
        <v>3236</v>
      </c>
      <c r="C353" s="401" t="s">
        <v>4459</v>
      </c>
      <c r="D353" s="402" t="s">
        <v>4180</v>
      </c>
      <c r="E353" s="393" t="s">
        <v>4460</v>
      </c>
      <c r="F353" s="394" t="s">
        <v>4181</v>
      </c>
      <c r="G353" s="429" t="s">
        <v>6473</v>
      </c>
      <c r="H353" s="403">
        <v>27397</v>
      </c>
      <c r="I353" s="404">
        <v>43746</v>
      </c>
      <c r="J353" s="459" t="s">
        <v>6293</v>
      </c>
      <c r="K353" s="460" t="s">
        <v>6134</v>
      </c>
      <c r="L353" s="460" t="s">
        <v>6335</v>
      </c>
      <c r="M353" s="1">
        <v>192</v>
      </c>
      <c r="N353" s="431">
        <f t="shared" si="51"/>
        <v>3</v>
      </c>
      <c r="O353" s="432">
        <v>0</v>
      </c>
      <c r="P353" s="432">
        <v>0</v>
      </c>
      <c r="Q353" s="432">
        <v>0</v>
      </c>
      <c r="R353" s="1">
        <v>7</v>
      </c>
      <c r="S353" s="1">
        <v>10</v>
      </c>
      <c r="T353" s="300">
        <f t="shared" si="52"/>
        <v>212</v>
      </c>
      <c r="U353" s="3"/>
      <c r="V353" s="3"/>
      <c r="W353" s="3"/>
      <c r="X353" s="3"/>
      <c r="Y353" s="3"/>
      <c r="Z353" s="20">
        <f t="shared" si="49"/>
        <v>194</v>
      </c>
      <c r="AA353" s="20">
        <f t="shared" si="55"/>
        <v>3</v>
      </c>
      <c r="AB353" s="20">
        <f t="shared" si="55"/>
        <v>0</v>
      </c>
      <c r="AC353" s="20">
        <f t="shared" si="55"/>
        <v>0</v>
      </c>
      <c r="AD353" s="20">
        <f t="shared" si="55"/>
        <v>0</v>
      </c>
      <c r="AE353" s="20">
        <f t="shared" si="55"/>
        <v>7</v>
      </c>
      <c r="AF353" s="20">
        <f t="shared" si="55"/>
        <v>10</v>
      </c>
      <c r="AG353" s="300">
        <f t="shared" si="50"/>
        <v>214</v>
      </c>
      <c r="AH353" s="42">
        <f t="shared" si="48"/>
        <v>2</v>
      </c>
      <c r="AI353" s="42">
        <f t="shared" si="48"/>
        <v>0</v>
      </c>
      <c r="AJ353" s="42">
        <f t="shared" si="48"/>
        <v>0</v>
      </c>
      <c r="AK353" s="42">
        <f t="shared" si="48"/>
        <v>0</v>
      </c>
      <c r="AL353" s="42">
        <f t="shared" si="54"/>
        <v>0</v>
      </c>
      <c r="AM353" s="42">
        <f t="shared" si="54"/>
        <v>0</v>
      </c>
      <c r="AN353" s="42">
        <f t="shared" si="54"/>
        <v>0</v>
      </c>
      <c r="AO353" s="42">
        <f t="shared" si="54"/>
        <v>2</v>
      </c>
    </row>
    <row r="354" spans="1:41" ht="15.75">
      <c r="A354" s="16">
        <f t="shared" si="53"/>
        <v>351</v>
      </c>
      <c r="B354" s="400">
        <v>3306</v>
      </c>
      <c r="C354" s="401" t="s">
        <v>4449</v>
      </c>
      <c r="D354" s="402" t="s">
        <v>575</v>
      </c>
      <c r="E354" s="393" t="s">
        <v>4487</v>
      </c>
      <c r="F354" s="394" t="s">
        <v>577</v>
      </c>
      <c r="G354" s="429" t="s">
        <v>6473</v>
      </c>
      <c r="H354" s="403">
        <v>34982</v>
      </c>
      <c r="I354" s="404">
        <v>43746</v>
      </c>
      <c r="J354" s="459" t="s">
        <v>6293</v>
      </c>
      <c r="K354" s="460" t="s">
        <v>6300</v>
      </c>
      <c r="L354" s="460" t="s">
        <v>6335</v>
      </c>
      <c r="M354" s="1">
        <v>192</v>
      </c>
      <c r="N354" s="431">
        <f t="shared" si="51"/>
        <v>3</v>
      </c>
      <c r="O354" s="432">
        <v>0</v>
      </c>
      <c r="P354" s="432">
        <v>0</v>
      </c>
      <c r="Q354" s="432">
        <v>0</v>
      </c>
      <c r="R354" s="1">
        <v>7</v>
      </c>
      <c r="S354" s="1">
        <v>10</v>
      </c>
      <c r="T354" s="300">
        <f t="shared" si="52"/>
        <v>212</v>
      </c>
      <c r="U354" s="3"/>
      <c r="V354" s="3"/>
      <c r="W354" s="3"/>
      <c r="X354" s="3"/>
      <c r="Y354" s="3"/>
      <c r="Z354" s="20">
        <f t="shared" si="49"/>
        <v>194</v>
      </c>
      <c r="AA354" s="20">
        <f t="shared" si="55"/>
        <v>3</v>
      </c>
      <c r="AB354" s="20">
        <f t="shared" si="55"/>
        <v>0</v>
      </c>
      <c r="AC354" s="20">
        <f t="shared" si="55"/>
        <v>0</v>
      </c>
      <c r="AD354" s="20">
        <f t="shared" si="55"/>
        <v>0</v>
      </c>
      <c r="AE354" s="20">
        <f t="shared" si="55"/>
        <v>7</v>
      </c>
      <c r="AF354" s="20">
        <f t="shared" si="55"/>
        <v>10</v>
      </c>
      <c r="AG354" s="300">
        <f t="shared" si="50"/>
        <v>214</v>
      </c>
      <c r="AH354" s="42">
        <f t="shared" si="48"/>
        <v>2</v>
      </c>
      <c r="AI354" s="42">
        <f t="shared" si="48"/>
        <v>0</v>
      </c>
      <c r="AJ354" s="42">
        <f t="shared" si="48"/>
        <v>0</v>
      </c>
      <c r="AK354" s="42">
        <f t="shared" si="48"/>
        <v>0</v>
      </c>
      <c r="AL354" s="42">
        <f t="shared" si="54"/>
        <v>0</v>
      </c>
      <c r="AM354" s="42">
        <f t="shared" si="54"/>
        <v>0</v>
      </c>
      <c r="AN354" s="42">
        <f t="shared" si="54"/>
        <v>0</v>
      </c>
      <c r="AO354" s="42">
        <f t="shared" si="54"/>
        <v>2</v>
      </c>
    </row>
    <row r="355" spans="1:41" ht="15.75">
      <c r="A355" s="16">
        <f t="shared" si="53"/>
        <v>352</v>
      </c>
      <c r="B355" s="400">
        <v>3168</v>
      </c>
      <c r="C355" s="401" t="s">
        <v>4491</v>
      </c>
      <c r="D355" s="402" t="s">
        <v>4492</v>
      </c>
      <c r="E355" s="393" t="s">
        <v>720</v>
      </c>
      <c r="F355" s="394" t="s">
        <v>4493</v>
      </c>
      <c r="G355" s="429" t="s">
        <v>6473</v>
      </c>
      <c r="H355" s="403">
        <v>34976</v>
      </c>
      <c r="I355" s="404">
        <v>43740</v>
      </c>
      <c r="J355" s="459" t="s">
        <v>6293</v>
      </c>
      <c r="K355" s="460" t="s">
        <v>6300</v>
      </c>
      <c r="L355" s="460" t="s">
        <v>6335</v>
      </c>
      <c r="M355" s="1">
        <v>192</v>
      </c>
      <c r="N355" s="431">
        <f t="shared" si="51"/>
        <v>3</v>
      </c>
      <c r="O355" s="432">
        <v>0</v>
      </c>
      <c r="P355" s="432">
        <v>0</v>
      </c>
      <c r="Q355" s="432">
        <v>0</v>
      </c>
      <c r="R355" s="1">
        <v>7</v>
      </c>
      <c r="S355" s="1">
        <v>10</v>
      </c>
      <c r="T355" s="300">
        <f t="shared" si="52"/>
        <v>212</v>
      </c>
      <c r="U355" s="3"/>
      <c r="V355" s="3"/>
      <c r="W355" s="3"/>
      <c r="X355" s="3"/>
      <c r="Y355" s="3"/>
      <c r="Z355" s="20">
        <f t="shared" si="49"/>
        <v>194</v>
      </c>
      <c r="AA355" s="20">
        <f t="shared" si="55"/>
        <v>3</v>
      </c>
      <c r="AB355" s="20">
        <f t="shared" si="55"/>
        <v>0</v>
      </c>
      <c r="AC355" s="20">
        <f t="shared" si="55"/>
        <v>0</v>
      </c>
      <c r="AD355" s="20">
        <f t="shared" si="55"/>
        <v>0</v>
      </c>
      <c r="AE355" s="20">
        <f t="shared" si="55"/>
        <v>7</v>
      </c>
      <c r="AF355" s="20">
        <f t="shared" si="55"/>
        <v>10</v>
      </c>
      <c r="AG355" s="300">
        <f t="shared" si="50"/>
        <v>214</v>
      </c>
      <c r="AH355" s="42">
        <f t="shared" si="48"/>
        <v>2</v>
      </c>
      <c r="AI355" s="42">
        <f t="shared" si="48"/>
        <v>0</v>
      </c>
      <c r="AJ355" s="42">
        <f t="shared" si="48"/>
        <v>0</v>
      </c>
      <c r="AK355" s="42">
        <f t="shared" si="48"/>
        <v>0</v>
      </c>
      <c r="AL355" s="42">
        <f t="shared" si="54"/>
        <v>0</v>
      </c>
      <c r="AM355" s="42">
        <f t="shared" si="54"/>
        <v>0</v>
      </c>
      <c r="AN355" s="42">
        <f t="shared" si="54"/>
        <v>0</v>
      </c>
      <c r="AO355" s="42">
        <f t="shared" si="54"/>
        <v>2</v>
      </c>
    </row>
    <row r="356" spans="1:41" ht="15.75">
      <c r="A356" s="16">
        <f t="shared" si="53"/>
        <v>353</v>
      </c>
      <c r="B356" s="400">
        <v>3538</v>
      </c>
      <c r="C356" s="401" t="s">
        <v>590</v>
      </c>
      <c r="D356" s="402" t="s">
        <v>4502</v>
      </c>
      <c r="E356" s="393" t="s">
        <v>4503</v>
      </c>
      <c r="F356" s="394" t="s">
        <v>4504</v>
      </c>
      <c r="G356" s="429" t="s">
        <v>6473</v>
      </c>
      <c r="H356" s="403">
        <v>30446</v>
      </c>
      <c r="I356" s="404">
        <v>43745</v>
      </c>
      <c r="J356" s="459" t="s">
        <v>6293</v>
      </c>
      <c r="K356" s="460" t="s">
        <v>6300</v>
      </c>
      <c r="L356" s="460" t="s">
        <v>6335</v>
      </c>
      <c r="M356" s="1">
        <v>192</v>
      </c>
      <c r="N356" s="431">
        <f t="shared" si="51"/>
        <v>3</v>
      </c>
      <c r="O356" s="432">
        <v>0</v>
      </c>
      <c r="P356" s="432">
        <v>0</v>
      </c>
      <c r="Q356" s="432">
        <v>0</v>
      </c>
      <c r="R356" s="1">
        <v>7</v>
      </c>
      <c r="S356" s="1">
        <v>10</v>
      </c>
      <c r="T356" s="300">
        <f t="shared" si="52"/>
        <v>212</v>
      </c>
      <c r="U356" s="3"/>
      <c r="V356" s="3"/>
      <c r="W356" s="3"/>
      <c r="X356" s="3"/>
      <c r="Y356" s="3"/>
      <c r="Z356" s="20">
        <f t="shared" si="49"/>
        <v>194</v>
      </c>
      <c r="AA356" s="20">
        <f t="shared" si="55"/>
        <v>3</v>
      </c>
      <c r="AB356" s="20">
        <f t="shared" si="55"/>
        <v>0</v>
      </c>
      <c r="AC356" s="20">
        <f t="shared" si="55"/>
        <v>0</v>
      </c>
      <c r="AD356" s="20">
        <f t="shared" si="55"/>
        <v>0</v>
      </c>
      <c r="AE356" s="20">
        <f t="shared" si="55"/>
        <v>7</v>
      </c>
      <c r="AF356" s="20">
        <f t="shared" si="55"/>
        <v>10</v>
      </c>
      <c r="AG356" s="300">
        <f t="shared" si="50"/>
        <v>214</v>
      </c>
      <c r="AH356" s="42">
        <f t="shared" si="48"/>
        <v>2</v>
      </c>
      <c r="AI356" s="42">
        <f t="shared" si="48"/>
        <v>0</v>
      </c>
      <c r="AJ356" s="42">
        <f t="shared" si="48"/>
        <v>0</v>
      </c>
      <c r="AK356" s="42">
        <f t="shared" si="48"/>
        <v>0</v>
      </c>
      <c r="AL356" s="42">
        <f t="shared" si="54"/>
        <v>0</v>
      </c>
      <c r="AM356" s="42">
        <f t="shared" si="54"/>
        <v>0</v>
      </c>
      <c r="AN356" s="42">
        <f t="shared" si="54"/>
        <v>0</v>
      </c>
      <c r="AO356" s="42">
        <f t="shared" si="54"/>
        <v>2</v>
      </c>
    </row>
    <row r="357" spans="1:41" ht="15.75">
      <c r="A357" s="16">
        <f t="shared" si="53"/>
        <v>354</v>
      </c>
      <c r="B357" s="400">
        <v>3634</v>
      </c>
      <c r="C357" s="401" t="s">
        <v>4508</v>
      </c>
      <c r="D357" s="402" t="s">
        <v>826</v>
      </c>
      <c r="E357" s="393" t="s">
        <v>4509</v>
      </c>
      <c r="F357" s="394" t="s">
        <v>2231</v>
      </c>
      <c r="G357" s="429" t="s">
        <v>6473</v>
      </c>
      <c r="H357" s="403">
        <v>32509</v>
      </c>
      <c r="I357" s="404">
        <v>43754</v>
      </c>
      <c r="J357" s="459" t="s">
        <v>6293</v>
      </c>
      <c r="K357" s="460" t="s">
        <v>6352</v>
      </c>
      <c r="L357" s="460" t="s">
        <v>6335</v>
      </c>
      <c r="M357" s="1">
        <v>192</v>
      </c>
      <c r="N357" s="431">
        <f t="shared" si="51"/>
        <v>3</v>
      </c>
      <c r="O357" s="432">
        <v>0</v>
      </c>
      <c r="P357" s="432">
        <v>0</v>
      </c>
      <c r="Q357" s="432">
        <v>0</v>
      </c>
      <c r="R357" s="1">
        <v>7</v>
      </c>
      <c r="S357" s="1">
        <v>10</v>
      </c>
      <c r="T357" s="300">
        <f t="shared" si="52"/>
        <v>212</v>
      </c>
      <c r="U357" s="3"/>
      <c r="V357" s="3"/>
      <c r="W357" s="3"/>
      <c r="X357" s="3"/>
      <c r="Y357" s="3"/>
      <c r="Z357" s="20">
        <f t="shared" si="49"/>
        <v>194</v>
      </c>
      <c r="AA357" s="20">
        <f t="shared" si="55"/>
        <v>3</v>
      </c>
      <c r="AB357" s="20">
        <f t="shared" si="55"/>
        <v>0</v>
      </c>
      <c r="AC357" s="20">
        <f t="shared" si="55"/>
        <v>0</v>
      </c>
      <c r="AD357" s="20">
        <f t="shared" si="55"/>
        <v>0</v>
      </c>
      <c r="AE357" s="20">
        <f t="shared" si="55"/>
        <v>7</v>
      </c>
      <c r="AF357" s="20">
        <f t="shared" si="55"/>
        <v>10</v>
      </c>
      <c r="AG357" s="300">
        <f t="shared" si="50"/>
        <v>214</v>
      </c>
      <c r="AH357" s="42">
        <f t="shared" si="48"/>
        <v>2</v>
      </c>
      <c r="AI357" s="42">
        <f t="shared" si="48"/>
        <v>0</v>
      </c>
      <c r="AJ357" s="42">
        <f t="shared" si="48"/>
        <v>0</v>
      </c>
      <c r="AK357" s="42">
        <f t="shared" si="48"/>
        <v>0</v>
      </c>
      <c r="AL357" s="42">
        <f t="shared" si="54"/>
        <v>0</v>
      </c>
      <c r="AM357" s="42">
        <f t="shared" si="54"/>
        <v>0</v>
      </c>
      <c r="AN357" s="42">
        <f t="shared" si="54"/>
        <v>0</v>
      </c>
      <c r="AO357" s="42">
        <f t="shared" si="54"/>
        <v>2</v>
      </c>
    </row>
    <row r="358" spans="1:41" ht="15.75">
      <c r="A358" s="16">
        <f t="shared" si="53"/>
        <v>355</v>
      </c>
      <c r="B358" s="400">
        <v>3164</v>
      </c>
      <c r="C358" s="401" t="s">
        <v>2422</v>
      </c>
      <c r="D358" s="402" t="s">
        <v>2196</v>
      </c>
      <c r="E358" s="393" t="s">
        <v>4513</v>
      </c>
      <c r="F358" s="394" t="s">
        <v>4514</v>
      </c>
      <c r="G358" s="429" t="s">
        <v>6473</v>
      </c>
      <c r="H358" s="403">
        <v>34807</v>
      </c>
      <c r="I358" s="404">
        <v>43740</v>
      </c>
      <c r="J358" s="459" t="s">
        <v>6293</v>
      </c>
      <c r="K358" s="460" t="s">
        <v>6305</v>
      </c>
      <c r="L358" s="460" t="s">
        <v>6335</v>
      </c>
      <c r="M358" s="1">
        <v>192</v>
      </c>
      <c r="N358" s="431">
        <f t="shared" si="51"/>
        <v>3</v>
      </c>
      <c r="O358" s="432">
        <v>0</v>
      </c>
      <c r="P358" s="432">
        <v>0</v>
      </c>
      <c r="Q358" s="432">
        <v>0</v>
      </c>
      <c r="R358" s="1">
        <v>7</v>
      </c>
      <c r="S358" s="1">
        <v>10</v>
      </c>
      <c r="T358" s="300">
        <f t="shared" si="52"/>
        <v>212</v>
      </c>
      <c r="U358" s="3"/>
      <c r="V358" s="3"/>
      <c r="W358" s="3"/>
      <c r="X358" s="3"/>
      <c r="Y358" s="3"/>
      <c r="Z358" s="20">
        <f t="shared" si="49"/>
        <v>194</v>
      </c>
      <c r="AA358" s="20">
        <f t="shared" si="55"/>
        <v>3</v>
      </c>
      <c r="AB358" s="20">
        <f t="shared" si="55"/>
        <v>0</v>
      </c>
      <c r="AC358" s="20">
        <f t="shared" si="55"/>
        <v>0</v>
      </c>
      <c r="AD358" s="20">
        <f t="shared" si="55"/>
        <v>0</v>
      </c>
      <c r="AE358" s="20">
        <f t="shared" si="55"/>
        <v>7</v>
      </c>
      <c r="AF358" s="20">
        <f t="shared" si="55"/>
        <v>10</v>
      </c>
      <c r="AG358" s="300">
        <f t="shared" si="50"/>
        <v>214</v>
      </c>
      <c r="AH358" s="42">
        <f t="shared" si="48"/>
        <v>2</v>
      </c>
      <c r="AI358" s="42">
        <f t="shared" si="48"/>
        <v>0</v>
      </c>
      <c r="AJ358" s="42">
        <f t="shared" si="48"/>
        <v>0</v>
      </c>
      <c r="AK358" s="42">
        <f t="shared" si="48"/>
        <v>0</v>
      </c>
      <c r="AL358" s="42">
        <f t="shared" si="54"/>
        <v>0</v>
      </c>
      <c r="AM358" s="42">
        <f t="shared" si="54"/>
        <v>0</v>
      </c>
      <c r="AN358" s="42">
        <f t="shared" si="54"/>
        <v>0</v>
      </c>
      <c r="AO358" s="42">
        <f t="shared" si="54"/>
        <v>2</v>
      </c>
    </row>
    <row r="359" spans="1:41" ht="15.75">
      <c r="A359" s="16">
        <f t="shared" si="53"/>
        <v>356</v>
      </c>
      <c r="B359" s="400">
        <v>3523</v>
      </c>
      <c r="C359" s="401" t="s">
        <v>339</v>
      </c>
      <c r="D359" s="402" t="s">
        <v>4525</v>
      </c>
      <c r="E359" s="393" t="s">
        <v>341</v>
      </c>
      <c r="F359" s="394" t="s">
        <v>4526</v>
      </c>
      <c r="G359" s="429" t="s">
        <v>6473</v>
      </c>
      <c r="H359" s="403">
        <v>32882</v>
      </c>
      <c r="I359" s="404">
        <v>43746</v>
      </c>
      <c r="J359" s="459" t="s">
        <v>6293</v>
      </c>
      <c r="K359" s="460" t="s">
        <v>6134</v>
      </c>
      <c r="L359" s="460" t="s">
        <v>6335</v>
      </c>
      <c r="M359" s="1">
        <v>192</v>
      </c>
      <c r="N359" s="431">
        <f t="shared" si="51"/>
        <v>3</v>
      </c>
      <c r="O359" s="432">
        <v>0</v>
      </c>
      <c r="P359" s="432">
        <v>0</v>
      </c>
      <c r="Q359" s="432">
        <v>0</v>
      </c>
      <c r="R359" s="1">
        <v>7</v>
      </c>
      <c r="S359" s="1">
        <v>10</v>
      </c>
      <c r="T359" s="300">
        <f t="shared" si="52"/>
        <v>212</v>
      </c>
      <c r="U359" s="3"/>
      <c r="V359" s="3"/>
      <c r="W359" s="3"/>
      <c r="X359" s="3"/>
      <c r="Y359" s="3"/>
      <c r="Z359" s="20">
        <f t="shared" si="49"/>
        <v>194</v>
      </c>
      <c r="AA359" s="20">
        <f t="shared" si="55"/>
        <v>3</v>
      </c>
      <c r="AB359" s="20">
        <f t="shared" si="55"/>
        <v>0</v>
      </c>
      <c r="AC359" s="20">
        <f t="shared" si="55"/>
        <v>0</v>
      </c>
      <c r="AD359" s="20">
        <f t="shared" si="55"/>
        <v>0</v>
      </c>
      <c r="AE359" s="20">
        <f t="shared" si="55"/>
        <v>7</v>
      </c>
      <c r="AF359" s="20">
        <f t="shared" si="55"/>
        <v>10</v>
      </c>
      <c r="AG359" s="300">
        <f t="shared" si="50"/>
        <v>214</v>
      </c>
      <c r="AH359" s="42">
        <f t="shared" ref="AH359:AN410" si="56">Z359-M359</f>
        <v>2</v>
      </c>
      <c r="AI359" s="42">
        <f t="shared" si="56"/>
        <v>0</v>
      </c>
      <c r="AJ359" s="42">
        <f t="shared" si="56"/>
        <v>0</v>
      </c>
      <c r="AK359" s="42">
        <f t="shared" si="56"/>
        <v>0</v>
      </c>
      <c r="AL359" s="42">
        <f t="shared" si="54"/>
        <v>0</v>
      </c>
      <c r="AM359" s="42">
        <f t="shared" si="54"/>
        <v>0</v>
      </c>
      <c r="AN359" s="42">
        <f t="shared" si="54"/>
        <v>0</v>
      </c>
      <c r="AO359" s="42">
        <f t="shared" si="54"/>
        <v>2</v>
      </c>
    </row>
    <row r="360" spans="1:41" ht="15.75">
      <c r="A360" s="16">
        <f t="shared" si="53"/>
        <v>357</v>
      </c>
      <c r="B360" s="400">
        <v>3143</v>
      </c>
      <c r="C360" s="401" t="s">
        <v>1134</v>
      </c>
      <c r="D360" s="402" t="s">
        <v>3619</v>
      </c>
      <c r="E360" s="393" t="s">
        <v>4547</v>
      </c>
      <c r="F360" s="394" t="s">
        <v>3620</v>
      </c>
      <c r="G360" s="429" t="s">
        <v>6473</v>
      </c>
      <c r="H360" s="403">
        <v>28499</v>
      </c>
      <c r="I360" s="404">
        <v>43740</v>
      </c>
      <c r="J360" s="459" t="s">
        <v>6293</v>
      </c>
      <c r="K360" s="460" t="s">
        <v>6351</v>
      </c>
      <c r="L360" s="460" t="s">
        <v>6335</v>
      </c>
      <c r="M360" s="1">
        <v>192</v>
      </c>
      <c r="N360" s="431">
        <f t="shared" si="51"/>
        <v>3</v>
      </c>
      <c r="O360" s="432">
        <v>0</v>
      </c>
      <c r="P360" s="432">
        <v>0</v>
      </c>
      <c r="Q360" s="432">
        <v>0</v>
      </c>
      <c r="R360" s="1">
        <v>7</v>
      </c>
      <c r="S360" s="1">
        <v>10</v>
      </c>
      <c r="T360" s="300">
        <f t="shared" si="52"/>
        <v>212</v>
      </c>
      <c r="U360" s="3"/>
      <c r="V360" s="3"/>
      <c r="W360" s="3"/>
      <c r="X360" s="3"/>
      <c r="Y360" s="3"/>
      <c r="Z360" s="20">
        <f t="shared" si="49"/>
        <v>194</v>
      </c>
      <c r="AA360" s="20">
        <f t="shared" si="55"/>
        <v>3</v>
      </c>
      <c r="AB360" s="20">
        <f t="shared" si="55"/>
        <v>0</v>
      </c>
      <c r="AC360" s="20">
        <f t="shared" si="55"/>
        <v>0</v>
      </c>
      <c r="AD360" s="20">
        <f t="shared" si="55"/>
        <v>0</v>
      </c>
      <c r="AE360" s="20">
        <f t="shared" si="55"/>
        <v>7</v>
      </c>
      <c r="AF360" s="20">
        <f t="shared" si="55"/>
        <v>10</v>
      </c>
      <c r="AG360" s="300">
        <f t="shared" si="50"/>
        <v>214</v>
      </c>
      <c r="AH360" s="42">
        <f t="shared" si="56"/>
        <v>2</v>
      </c>
      <c r="AI360" s="42">
        <f t="shared" si="56"/>
        <v>0</v>
      </c>
      <c r="AJ360" s="42">
        <f t="shared" si="56"/>
        <v>0</v>
      </c>
      <c r="AK360" s="42">
        <f t="shared" si="56"/>
        <v>0</v>
      </c>
      <c r="AL360" s="42">
        <f t="shared" si="54"/>
        <v>0</v>
      </c>
      <c r="AM360" s="42">
        <f t="shared" si="54"/>
        <v>0</v>
      </c>
      <c r="AN360" s="42">
        <f t="shared" si="54"/>
        <v>0</v>
      </c>
      <c r="AO360" s="42">
        <f t="shared" si="54"/>
        <v>2</v>
      </c>
    </row>
    <row r="361" spans="1:41" ht="15.75">
      <c r="A361" s="16">
        <f t="shared" si="53"/>
        <v>358</v>
      </c>
      <c r="B361" s="400">
        <v>3572</v>
      </c>
      <c r="C361" s="401" t="s">
        <v>4556</v>
      </c>
      <c r="D361" s="402" t="s">
        <v>416</v>
      </c>
      <c r="E361" s="393" t="s">
        <v>3892</v>
      </c>
      <c r="F361" s="394" t="s">
        <v>4557</v>
      </c>
      <c r="G361" s="429" t="s">
        <v>6473</v>
      </c>
      <c r="H361" s="403">
        <v>31879</v>
      </c>
      <c r="I361" s="404">
        <v>43748</v>
      </c>
      <c r="J361" s="459" t="s">
        <v>6293</v>
      </c>
      <c r="K361" s="460" t="s">
        <v>6301</v>
      </c>
      <c r="L361" s="460" t="s">
        <v>6335</v>
      </c>
      <c r="M361" s="1">
        <v>192</v>
      </c>
      <c r="N361" s="431">
        <f t="shared" si="51"/>
        <v>3</v>
      </c>
      <c r="O361" s="432">
        <v>0</v>
      </c>
      <c r="P361" s="432">
        <v>0</v>
      </c>
      <c r="Q361" s="432">
        <v>0</v>
      </c>
      <c r="R361" s="1">
        <v>7</v>
      </c>
      <c r="S361" s="1">
        <v>10</v>
      </c>
      <c r="T361" s="300">
        <f t="shared" si="52"/>
        <v>212</v>
      </c>
      <c r="U361" s="3"/>
      <c r="V361" s="3"/>
      <c r="W361" s="3"/>
      <c r="X361" s="3"/>
      <c r="Y361" s="3"/>
      <c r="Z361" s="20">
        <f t="shared" si="49"/>
        <v>194</v>
      </c>
      <c r="AA361" s="20">
        <f t="shared" si="55"/>
        <v>3</v>
      </c>
      <c r="AB361" s="20">
        <f t="shared" si="55"/>
        <v>0</v>
      </c>
      <c r="AC361" s="20">
        <f t="shared" si="55"/>
        <v>0</v>
      </c>
      <c r="AD361" s="20">
        <f t="shared" si="55"/>
        <v>0</v>
      </c>
      <c r="AE361" s="20">
        <f t="shared" si="55"/>
        <v>7</v>
      </c>
      <c r="AF361" s="20">
        <f t="shared" si="55"/>
        <v>10</v>
      </c>
      <c r="AG361" s="300">
        <f t="shared" si="50"/>
        <v>214</v>
      </c>
      <c r="AH361" s="42">
        <f t="shared" si="56"/>
        <v>2</v>
      </c>
      <c r="AI361" s="42">
        <f t="shared" si="56"/>
        <v>0</v>
      </c>
      <c r="AJ361" s="42">
        <f t="shared" si="56"/>
        <v>0</v>
      </c>
      <c r="AK361" s="42">
        <f t="shared" si="56"/>
        <v>0</v>
      </c>
      <c r="AL361" s="42">
        <f t="shared" si="54"/>
        <v>0</v>
      </c>
      <c r="AM361" s="42">
        <f t="shared" si="54"/>
        <v>0</v>
      </c>
      <c r="AN361" s="42">
        <f t="shared" si="54"/>
        <v>0</v>
      </c>
      <c r="AO361" s="42">
        <f t="shared" si="54"/>
        <v>2</v>
      </c>
    </row>
    <row r="362" spans="1:41" ht="15.75">
      <c r="A362" s="16">
        <f t="shared" si="53"/>
        <v>359</v>
      </c>
      <c r="B362" s="400">
        <v>3166</v>
      </c>
      <c r="C362" s="401" t="s">
        <v>737</v>
      </c>
      <c r="D362" s="402" t="s">
        <v>4597</v>
      </c>
      <c r="E362" s="393" t="s">
        <v>22</v>
      </c>
      <c r="F362" s="394" t="s">
        <v>470</v>
      </c>
      <c r="G362" s="429" t="s">
        <v>6473</v>
      </c>
      <c r="H362" s="403">
        <v>21427</v>
      </c>
      <c r="I362" s="404">
        <v>43740</v>
      </c>
      <c r="J362" s="459" t="s">
        <v>6159</v>
      </c>
      <c r="K362" s="460" t="s">
        <v>3070</v>
      </c>
      <c r="L362" s="460" t="s">
        <v>194</v>
      </c>
      <c r="M362" s="1">
        <v>192</v>
      </c>
      <c r="N362" s="431">
        <f t="shared" si="51"/>
        <v>3</v>
      </c>
      <c r="O362" s="432">
        <v>0</v>
      </c>
      <c r="P362" s="432">
        <v>0</v>
      </c>
      <c r="Q362" s="432">
        <v>0</v>
      </c>
      <c r="R362" s="1">
        <v>7</v>
      </c>
      <c r="S362" s="1">
        <v>10</v>
      </c>
      <c r="T362" s="300">
        <f t="shared" si="52"/>
        <v>212</v>
      </c>
      <c r="U362" s="3"/>
      <c r="V362" s="3"/>
      <c r="W362" s="3"/>
      <c r="X362" s="3"/>
      <c r="Y362" s="3"/>
      <c r="Z362" s="20">
        <f t="shared" si="49"/>
        <v>194</v>
      </c>
      <c r="AA362" s="20">
        <f t="shared" si="55"/>
        <v>3</v>
      </c>
      <c r="AB362" s="20">
        <f t="shared" si="55"/>
        <v>0</v>
      </c>
      <c r="AC362" s="20">
        <f t="shared" si="55"/>
        <v>0</v>
      </c>
      <c r="AD362" s="20">
        <f t="shared" si="55"/>
        <v>0</v>
      </c>
      <c r="AE362" s="20">
        <f t="shared" si="55"/>
        <v>7</v>
      </c>
      <c r="AF362" s="20">
        <f t="shared" si="55"/>
        <v>10</v>
      </c>
      <c r="AG362" s="300">
        <f t="shared" si="50"/>
        <v>214</v>
      </c>
      <c r="AH362" s="42">
        <f t="shared" si="56"/>
        <v>2</v>
      </c>
      <c r="AI362" s="42">
        <f t="shared" si="56"/>
        <v>0</v>
      </c>
      <c r="AJ362" s="42">
        <f t="shared" si="56"/>
        <v>0</v>
      </c>
      <c r="AK362" s="42">
        <f t="shared" si="56"/>
        <v>0</v>
      </c>
      <c r="AL362" s="42">
        <f t="shared" si="54"/>
        <v>0</v>
      </c>
      <c r="AM362" s="42">
        <f t="shared" si="54"/>
        <v>0</v>
      </c>
      <c r="AN362" s="42">
        <f t="shared" si="54"/>
        <v>0</v>
      </c>
      <c r="AO362" s="42">
        <f t="shared" si="54"/>
        <v>2</v>
      </c>
    </row>
    <row r="363" spans="1:41" ht="15.75">
      <c r="A363" s="16">
        <f t="shared" si="53"/>
        <v>360</v>
      </c>
      <c r="B363" s="400">
        <v>3312</v>
      </c>
      <c r="C363" s="401" t="s">
        <v>3156</v>
      </c>
      <c r="D363" s="402" t="s">
        <v>4615</v>
      </c>
      <c r="E363" s="393" t="s">
        <v>4616</v>
      </c>
      <c r="F363" s="394" t="s">
        <v>4617</v>
      </c>
      <c r="G363" s="429" t="s">
        <v>6473</v>
      </c>
      <c r="H363" s="403">
        <v>26818</v>
      </c>
      <c r="I363" s="404">
        <v>43746</v>
      </c>
      <c r="J363" s="459" t="s">
        <v>6293</v>
      </c>
      <c r="K363" s="460" t="s">
        <v>6308</v>
      </c>
      <c r="L363" s="460" t="s">
        <v>6335</v>
      </c>
      <c r="M363" s="1">
        <v>192</v>
      </c>
      <c r="N363" s="431">
        <f t="shared" si="51"/>
        <v>3</v>
      </c>
      <c r="O363" s="432">
        <v>0</v>
      </c>
      <c r="P363" s="432">
        <v>0</v>
      </c>
      <c r="Q363" s="432">
        <v>0</v>
      </c>
      <c r="R363" s="1">
        <v>7</v>
      </c>
      <c r="S363" s="1">
        <v>10</v>
      </c>
      <c r="T363" s="300">
        <f t="shared" si="52"/>
        <v>212</v>
      </c>
      <c r="U363" s="3"/>
      <c r="V363" s="3"/>
      <c r="W363" s="3"/>
      <c r="X363" s="3"/>
      <c r="Y363" s="3"/>
      <c r="Z363" s="20">
        <f t="shared" si="49"/>
        <v>194</v>
      </c>
      <c r="AA363" s="20">
        <f t="shared" si="55"/>
        <v>3</v>
      </c>
      <c r="AB363" s="20">
        <f t="shared" si="55"/>
        <v>0</v>
      </c>
      <c r="AC363" s="20">
        <f t="shared" si="55"/>
        <v>0</v>
      </c>
      <c r="AD363" s="20">
        <f t="shared" si="55"/>
        <v>0</v>
      </c>
      <c r="AE363" s="20">
        <f t="shared" si="55"/>
        <v>7</v>
      </c>
      <c r="AF363" s="20">
        <f t="shared" si="55"/>
        <v>10</v>
      </c>
      <c r="AG363" s="300">
        <f t="shared" si="50"/>
        <v>214</v>
      </c>
      <c r="AH363" s="42">
        <f t="shared" si="56"/>
        <v>2</v>
      </c>
      <c r="AI363" s="42">
        <f t="shared" si="56"/>
        <v>0</v>
      </c>
      <c r="AJ363" s="42">
        <f t="shared" si="56"/>
        <v>0</v>
      </c>
      <c r="AK363" s="42">
        <f t="shared" si="56"/>
        <v>0</v>
      </c>
      <c r="AL363" s="42">
        <f t="shared" si="54"/>
        <v>0</v>
      </c>
      <c r="AM363" s="42">
        <f t="shared" si="54"/>
        <v>0</v>
      </c>
      <c r="AN363" s="42">
        <f t="shared" si="54"/>
        <v>0</v>
      </c>
      <c r="AO363" s="42">
        <f t="shared" si="54"/>
        <v>2</v>
      </c>
    </row>
    <row r="364" spans="1:41" ht="15.75">
      <c r="A364" s="16">
        <f t="shared" si="53"/>
        <v>361</v>
      </c>
      <c r="B364" s="400">
        <v>3202</v>
      </c>
      <c r="C364" s="401" t="s">
        <v>4697</v>
      </c>
      <c r="D364" s="402" t="s">
        <v>1412</v>
      </c>
      <c r="E364" s="393" t="s">
        <v>295</v>
      </c>
      <c r="F364" s="394" t="s">
        <v>1414</v>
      </c>
      <c r="G364" s="429" t="s">
        <v>6473</v>
      </c>
      <c r="H364" s="403">
        <v>31670</v>
      </c>
      <c r="I364" s="404">
        <v>43742</v>
      </c>
      <c r="J364" s="459" t="s">
        <v>6293</v>
      </c>
      <c r="K364" s="460" t="s">
        <v>6128</v>
      </c>
      <c r="L364" s="460" t="s">
        <v>6346</v>
      </c>
      <c r="M364" s="1">
        <v>192</v>
      </c>
      <c r="N364" s="431">
        <f t="shared" si="51"/>
        <v>3</v>
      </c>
      <c r="O364" s="432">
        <v>0</v>
      </c>
      <c r="P364" s="432">
        <v>0</v>
      </c>
      <c r="Q364" s="432">
        <v>0</v>
      </c>
      <c r="R364" s="1">
        <v>7</v>
      </c>
      <c r="S364" s="1">
        <v>10</v>
      </c>
      <c r="T364" s="300">
        <f t="shared" si="52"/>
        <v>212</v>
      </c>
      <c r="U364" s="3"/>
      <c r="V364" s="3"/>
      <c r="W364" s="3"/>
      <c r="X364" s="3"/>
      <c r="Y364" s="3"/>
      <c r="Z364" s="20">
        <f t="shared" si="49"/>
        <v>194</v>
      </c>
      <c r="AA364" s="20">
        <f t="shared" si="55"/>
        <v>3</v>
      </c>
      <c r="AB364" s="20">
        <f t="shared" si="55"/>
        <v>0</v>
      </c>
      <c r="AC364" s="20">
        <f t="shared" si="55"/>
        <v>0</v>
      </c>
      <c r="AD364" s="20">
        <f t="shared" si="55"/>
        <v>0</v>
      </c>
      <c r="AE364" s="20">
        <f t="shared" si="55"/>
        <v>7</v>
      </c>
      <c r="AF364" s="20">
        <f t="shared" si="55"/>
        <v>10</v>
      </c>
      <c r="AG364" s="300">
        <f t="shared" si="50"/>
        <v>214</v>
      </c>
      <c r="AH364" s="42">
        <f t="shared" si="56"/>
        <v>2</v>
      </c>
      <c r="AI364" s="42">
        <f t="shared" si="56"/>
        <v>0</v>
      </c>
      <c r="AJ364" s="42">
        <f t="shared" si="56"/>
        <v>0</v>
      </c>
      <c r="AK364" s="42">
        <f t="shared" si="56"/>
        <v>0</v>
      </c>
      <c r="AL364" s="42">
        <f t="shared" si="54"/>
        <v>0</v>
      </c>
      <c r="AM364" s="42">
        <f t="shared" si="54"/>
        <v>0</v>
      </c>
      <c r="AN364" s="42">
        <f t="shared" si="54"/>
        <v>0</v>
      </c>
      <c r="AO364" s="42">
        <f t="shared" si="54"/>
        <v>2</v>
      </c>
    </row>
    <row r="365" spans="1:41" ht="15.75">
      <c r="A365" s="16">
        <f t="shared" si="53"/>
        <v>362</v>
      </c>
      <c r="B365" s="400">
        <v>3559</v>
      </c>
      <c r="C365" s="401" t="s">
        <v>240</v>
      </c>
      <c r="D365" s="402" t="s">
        <v>1321</v>
      </c>
      <c r="E365" s="393" t="s">
        <v>324</v>
      </c>
      <c r="F365" s="394" t="s">
        <v>4757</v>
      </c>
      <c r="G365" s="429" t="s">
        <v>6473</v>
      </c>
      <c r="H365" s="403">
        <v>35830</v>
      </c>
      <c r="I365" s="404">
        <v>43748</v>
      </c>
      <c r="J365" s="459" t="s">
        <v>6293</v>
      </c>
      <c r="K365" s="460" t="s">
        <v>6308</v>
      </c>
      <c r="L365" s="460" t="s">
        <v>6335</v>
      </c>
      <c r="M365" s="1">
        <v>192</v>
      </c>
      <c r="N365" s="431">
        <f t="shared" si="51"/>
        <v>3</v>
      </c>
      <c r="O365" s="432">
        <v>0</v>
      </c>
      <c r="P365" s="432">
        <v>0</v>
      </c>
      <c r="Q365" s="432">
        <v>0</v>
      </c>
      <c r="R365" s="1">
        <v>7</v>
      </c>
      <c r="S365" s="1">
        <v>10</v>
      </c>
      <c r="T365" s="300">
        <f t="shared" si="52"/>
        <v>212</v>
      </c>
      <c r="U365" s="3"/>
      <c r="V365" s="3"/>
      <c r="W365" s="3"/>
      <c r="X365" s="3"/>
      <c r="Y365" s="3"/>
      <c r="Z365" s="20">
        <f t="shared" si="49"/>
        <v>194</v>
      </c>
      <c r="AA365" s="20">
        <f t="shared" si="55"/>
        <v>3</v>
      </c>
      <c r="AB365" s="20">
        <f t="shared" si="55"/>
        <v>0</v>
      </c>
      <c r="AC365" s="20">
        <f t="shared" si="55"/>
        <v>0</v>
      </c>
      <c r="AD365" s="20">
        <f t="shared" si="55"/>
        <v>0</v>
      </c>
      <c r="AE365" s="20">
        <f t="shared" si="55"/>
        <v>7</v>
      </c>
      <c r="AF365" s="20">
        <f t="shared" si="55"/>
        <v>10</v>
      </c>
      <c r="AG365" s="300">
        <f t="shared" si="50"/>
        <v>214</v>
      </c>
      <c r="AH365" s="42">
        <f t="shared" si="56"/>
        <v>2</v>
      </c>
      <c r="AI365" s="42">
        <f t="shared" si="56"/>
        <v>0</v>
      </c>
      <c r="AJ365" s="42">
        <f t="shared" si="56"/>
        <v>0</v>
      </c>
      <c r="AK365" s="42">
        <f t="shared" si="56"/>
        <v>0</v>
      </c>
      <c r="AL365" s="42">
        <f t="shared" si="54"/>
        <v>0</v>
      </c>
      <c r="AM365" s="42">
        <f t="shared" si="54"/>
        <v>0</v>
      </c>
      <c r="AN365" s="42">
        <f t="shared" si="54"/>
        <v>0</v>
      </c>
      <c r="AO365" s="42">
        <f t="shared" si="54"/>
        <v>2</v>
      </c>
    </row>
    <row r="366" spans="1:41" ht="15.75">
      <c r="A366" s="16">
        <f t="shared" si="53"/>
        <v>363</v>
      </c>
      <c r="B366" s="400">
        <v>3517</v>
      </c>
      <c r="C366" s="401" t="s">
        <v>3192</v>
      </c>
      <c r="D366" s="402" t="s">
        <v>4762</v>
      </c>
      <c r="E366" s="393" t="s">
        <v>4763</v>
      </c>
      <c r="F366" s="394" t="s">
        <v>819</v>
      </c>
      <c r="G366" s="429" t="s">
        <v>6473</v>
      </c>
      <c r="H366" s="403">
        <v>34035</v>
      </c>
      <c r="I366" s="404">
        <v>43747</v>
      </c>
      <c r="J366" s="459" t="s">
        <v>6293</v>
      </c>
      <c r="K366" s="460" t="s">
        <v>6083</v>
      </c>
      <c r="L366" s="460" t="s">
        <v>6335</v>
      </c>
      <c r="M366" s="1">
        <v>192</v>
      </c>
      <c r="N366" s="431">
        <f t="shared" si="51"/>
        <v>3</v>
      </c>
      <c r="O366" s="432">
        <v>0</v>
      </c>
      <c r="P366" s="432">
        <v>0</v>
      </c>
      <c r="Q366" s="432">
        <v>0</v>
      </c>
      <c r="R366" s="1">
        <v>7</v>
      </c>
      <c r="S366" s="1">
        <v>10</v>
      </c>
      <c r="T366" s="300">
        <f t="shared" si="52"/>
        <v>212</v>
      </c>
      <c r="U366" s="3"/>
      <c r="V366" s="3"/>
      <c r="W366" s="3"/>
      <c r="X366" s="3"/>
      <c r="Y366" s="3"/>
      <c r="Z366" s="20">
        <f t="shared" si="49"/>
        <v>194</v>
      </c>
      <c r="AA366" s="20">
        <f t="shared" si="55"/>
        <v>3</v>
      </c>
      <c r="AB366" s="20">
        <f t="shared" si="55"/>
        <v>0</v>
      </c>
      <c r="AC366" s="20">
        <f t="shared" si="55"/>
        <v>0</v>
      </c>
      <c r="AD366" s="20">
        <f t="shared" si="55"/>
        <v>0</v>
      </c>
      <c r="AE366" s="20">
        <f t="shared" si="55"/>
        <v>7</v>
      </c>
      <c r="AF366" s="20">
        <f t="shared" si="55"/>
        <v>10</v>
      </c>
      <c r="AG366" s="300">
        <f t="shared" si="50"/>
        <v>214</v>
      </c>
      <c r="AH366" s="42">
        <f t="shared" si="56"/>
        <v>2</v>
      </c>
      <c r="AI366" s="42">
        <f t="shared" si="56"/>
        <v>0</v>
      </c>
      <c r="AJ366" s="42">
        <f t="shared" si="56"/>
        <v>0</v>
      </c>
      <c r="AK366" s="42">
        <f t="shared" si="56"/>
        <v>0</v>
      </c>
      <c r="AL366" s="42">
        <f t="shared" si="54"/>
        <v>0</v>
      </c>
      <c r="AM366" s="42">
        <f t="shared" si="54"/>
        <v>0</v>
      </c>
      <c r="AN366" s="42">
        <f t="shared" si="54"/>
        <v>0</v>
      </c>
      <c r="AO366" s="42">
        <f t="shared" si="54"/>
        <v>2</v>
      </c>
    </row>
    <row r="367" spans="1:41" ht="15.75">
      <c r="A367" s="16">
        <f t="shared" si="53"/>
        <v>364</v>
      </c>
      <c r="B367" s="400">
        <v>3518</v>
      </c>
      <c r="C367" s="401" t="s">
        <v>2985</v>
      </c>
      <c r="D367" s="402" t="s">
        <v>4808</v>
      </c>
      <c r="E367" s="393" t="s">
        <v>4809</v>
      </c>
      <c r="F367" s="394" t="s">
        <v>4810</v>
      </c>
      <c r="G367" s="429" t="s">
        <v>6473</v>
      </c>
      <c r="H367" s="403">
        <v>35499</v>
      </c>
      <c r="I367" s="404">
        <v>43746</v>
      </c>
      <c r="J367" s="459" t="s">
        <v>6293</v>
      </c>
      <c r="K367" s="460" t="s">
        <v>6134</v>
      </c>
      <c r="L367" s="460" t="s">
        <v>6335</v>
      </c>
      <c r="M367" s="1">
        <v>192</v>
      </c>
      <c r="N367" s="431">
        <f t="shared" si="51"/>
        <v>3</v>
      </c>
      <c r="O367" s="432">
        <v>0</v>
      </c>
      <c r="P367" s="432">
        <v>0</v>
      </c>
      <c r="Q367" s="432">
        <v>0</v>
      </c>
      <c r="R367" s="1">
        <v>7</v>
      </c>
      <c r="S367" s="1">
        <v>10</v>
      </c>
      <c r="T367" s="300">
        <f t="shared" si="52"/>
        <v>212</v>
      </c>
      <c r="U367" s="3"/>
      <c r="V367" s="3"/>
      <c r="W367" s="3"/>
      <c r="X367" s="3"/>
      <c r="Y367" s="3"/>
      <c r="Z367" s="20">
        <f t="shared" si="49"/>
        <v>194</v>
      </c>
      <c r="AA367" s="20">
        <f t="shared" si="55"/>
        <v>3</v>
      </c>
      <c r="AB367" s="20">
        <f t="shared" si="55"/>
        <v>0</v>
      </c>
      <c r="AC367" s="20">
        <f t="shared" si="55"/>
        <v>0</v>
      </c>
      <c r="AD367" s="20">
        <f t="shared" si="55"/>
        <v>0</v>
      </c>
      <c r="AE367" s="20">
        <f t="shared" si="55"/>
        <v>7</v>
      </c>
      <c r="AF367" s="20">
        <f t="shared" si="55"/>
        <v>10</v>
      </c>
      <c r="AG367" s="300">
        <f t="shared" si="50"/>
        <v>214</v>
      </c>
      <c r="AH367" s="42">
        <f t="shared" si="56"/>
        <v>2</v>
      </c>
      <c r="AI367" s="42">
        <f t="shared" si="56"/>
        <v>0</v>
      </c>
      <c r="AJ367" s="42">
        <f t="shared" si="56"/>
        <v>0</v>
      </c>
      <c r="AK367" s="42">
        <f t="shared" si="56"/>
        <v>0</v>
      </c>
      <c r="AL367" s="42">
        <f t="shared" si="54"/>
        <v>0</v>
      </c>
      <c r="AM367" s="42">
        <f t="shared" si="54"/>
        <v>0</v>
      </c>
      <c r="AN367" s="42">
        <f t="shared" si="54"/>
        <v>0</v>
      </c>
      <c r="AO367" s="42">
        <f t="shared" si="54"/>
        <v>2</v>
      </c>
    </row>
    <row r="368" spans="1:41" ht="15.75">
      <c r="A368" s="16">
        <f t="shared" si="53"/>
        <v>365</v>
      </c>
      <c r="B368" s="400">
        <v>3591</v>
      </c>
      <c r="C368" s="401" t="s">
        <v>4844</v>
      </c>
      <c r="D368" s="402" t="s">
        <v>1857</v>
      </c>
      <c r="E368" s="393" t="s">
        <v>4721</v>
      </c>
      <c r="F368" s="394" t="s">
        <v>1859</v>
      </c>
      <c r="G368" s="429" t="s">
        <v>6473</v>
      </c>
      <c r="H368" s="403">
        <v>37140</v>
      </c>
      <c r="I368" s="404">
        <v>43749</v>
      </c>
      <c r="J368" s="459" t="s">
        <v>6293</v>
      </c>
      <c r="K368" s="460" t="s">
        <v>6308</v>
      </c>
      <c r="L368" s="460" t="s">
        <v>6335</v>
      </c>
      <c r="M368" s="1">
        <v>192</v>
      </c>
      <c r="N368" s="431">
        <f t="shared" si="51"/>
        <v>3</v>
      </c>
      <c r="O368" s="432">
        <v>0</v>
      </c>
      <c r="P368" s="432">
        <v>0</v>
      </c>
      <c r="Q368" s="432">
        <v>0</v>
      </c>
      <c r="R368" s="1">
        <v>7</v>
      </c>
      <c r="S368" s="1">
        <v>10</v>
      </c>
      <c r="T368" s="300">
        <f t="shared" si="52"/>
        <v>212</v>
      </c>
      <c r="U368" s="3"/>
      <c r="V368" s="3"/>
      <c r="W368" s="3"/>
      <c r="X368" s="3"/>
      <c r="Y368" s="3"/>
      <c r="Z368" s="20">
        <f t="shared" si="49"/>
        <v>194</v>
      </c>
      <c r="AA368" s="20">
        <f t="shared" si="55"/>
        <v>3</v>
      </c>
      <c r="AB368" s="20">
        <f t="shared" si="55"/>
        <v>0</v>
      </c>
      <c r="AC368" s="20">
        <f t="shared" si="55"/>
        <v>0</v>
      </c>
      <c r="AD368" s="20">
        <f t="shared" si="55"/>
        <v>0</v>
      </c>
      <c r="AE368" s="20">
        <f t="shared" si="55"/>
        <v>7</v>
      </c>
      <c r="AF368" s="20">
        <f t="shared" si="55"/>
        <v>10</v>
      </c>
      <c r="AG368" s="300">
        <f t="shared" si="50"/>
        <v>214</v>
      </c>
      <c r="AH368" s="42">
        <f t="shared" si="56"/>
        <v>2</v>
      </c>
      <c r="AI368" s="42">
        <f t="shared" si="56"/>
        <v>0</v>
      </c>
      <c r="AJ368" s="42">
        <f t="shared" si="56"/>
        <v>0</v>
      </c>
      <c r="AK368" s="42">
        <f t="shared" si="56"/>
        <v>0</v>
      </c>
      <c r="AL368" s="42">
        <f t="shared" si="54"/>
        <v>0</v>
      </c>
      <c r="AM368" s="42">
        <f t="shared" si="54"/>
        <v>0</v>
      </c>
      <c r="AN368" s="42">
        <f t="shared" si="54"/>
        <v>0</v>
      </c>
      <c r="AO368" s="42">
        <f t="shared" si="54"/>
        <v>2</v>
      </c>
    </row>
    <row r="369" spans="1:41" ht="15.75">
      <c r="A369" s="16">
        <f t="shared" si="53"/>
        <v>366</v>
      </c>
      <c r="B369" s="400">
        <v>3171</v>
      </c>
      <c r="C369" s="401" t="s">
        <v>535</v>
      </c>
      <c r="D369" s="402" t="s">
        <v>4914</v>
      </c>
      <c r="E369" s="393" t="s">
        <v>537</v>
      </c>
      <c r="F369" s="394" t="s">
        <v>4915</v>
      </c>
      <c r="G369" s="429" t="s">
        <v>6473</v>
      </c>
      <c r="H369" s="403">
        <v>29325</v>
      </c>
      <c r="I369" s="404">
        <v>43740</v>
      </c>
      <c r="J369" s="459" t="s">
        <v>6293</v>
      </c>
      <c r="K369" s="460" t="s">
        <v>6300</v>
      </c>
      <c r="L369" s="460" t="s">
        <v>6335</v>
      </c>
      <c r="M369" s="1">
        <v>192</v>
      </c>
      <c r="N369" s="431">
        <f t="shared" si="51"/>
        <v>3</v>
      </c>
      <c r="O369" s="432">
        <v>0</v>
      </c>
      <c r="P369" s="432">
        <v>0</v>
      </c>
      <c r="Q369" s="432">
        <v>0</v>
      </c>
      <c r="R369" s="1">
        <v>7</v>
      </c>
      <c r="S369" s="1">
        <v>10</v>
      </c>
      <c r="T369" s="300">
        <f t="shared" si="52"/>
        <v>212</v>
      </c>
      <c r="U369" s="3"/>
      <c r="V369" s="3"/>
      <c r="W369" s="3"/>
      <c r="X369" s="3"/>
      <c r="Y369" s="3"/>
      <c r="Z369" s="20">
        <f t="shared" si="49"/>
        <v>194</v>
      </c>
      <c r="AA369" s="20">
        <f t="shared" si="55"/>
        <v>3</v>
      </c>
      <c r="AB369" s="20">
        <f t="shared" si="55"/>
        <v>0</v>
      </c>
      <c r="AC369" s="20">
        <f t="shared" si="55"/>
        <v>0</v>
      </c>
      <c r="AD369" s="20">
        <f t="shared" si="55"/>
        <v>0</v>
      </c>
      <c r="AE369" s="20">
        <f t="shared" si="55"/>
        <v>7</v>
      </c>
      <c r="AF369" s="20">
        <f t="shared" si="55"/>
        <v>10</v>
      </c>
      <c r="AG369" s="300">
        <f t="shared" si="50"/>
        <v>214</v>
      </c>
      <c r="AH369" s="42">
        <f t="shared" si="56"/>
        <v>2</v>
      </c>
      <c r="AI369" s="42">
        <f t="shared" si="56"/>
        <v>0</v>
      </c>
      <c r="AJ369" s="42">
        <f t="shared" si="56"/>
        <v>0</v>
      </c>
      <c r="AK369" s="42">
        <f t="shared" si="56"/>
        <v>0</v>
      </c>
      <c r="AL369" s="42">
        <f t="shared" si="54"/>
        <v>0</v>
      </c>
      <c r="AM369" s="42">
        <f t="shared" si="54"/>
        <v>0</v>
      </c>
      <c r="AN369" s="42">
        <f t="shared" si="54"/>
        <v>0</v>
      </c>
      <c r="AO369" s="42">
        <f t="shared" si="54"/>
        <v>2</v>
      </c>
    </row>
    <row r="370" spans="1:41" ht="15.75">
      <c r="A370" s="16">
        <f t="shared" si="53"/>
        <v>367</v>
      </c>
      <c r="B370" s="400">
        <v>3283</v>
      </c>
      <c r="C370" s="401" t="s">
        <v>2674</v>
      </c>
      <c r="D370" s="402" t="s">
        <v>700</v>
      </c>
      <c r="E370" s="393" t="s">
        <v>4941</v>
      </c>
      <c r="F370" s="394" t="s">
        <v>15</v>
      </c>
      <c r="G370" s="429" t="s">
        <v>6473</v>
      </c>
      <c r="H370" s="403">
        <v>34252</v>
      </c>
      <c r="I370" s="404">
        <v>43746</v>
      </c>
      <c r="J370" s="459" t="s">
        <v>6293</v>
      </c>
      <c r="K370" s="460" t="s">
        <v>6308</v>
      </c>
      <c r="L370" s="460" t="s">
        <v>6335</v>
      </c>
      <c r="M370" s="1">
        <v>192</v>
      </c>
      <c r="N370" s="431">
        <f t="shared" si="51"/>
        <v>3</v>
      </c>
      <c r="O370" s="432">
        <v>0</v>
      </c>
      <c r="P370" s="432">
        <v>0</v>
      </c>
      <c r="Q370" s="432">
        <v>0</v>
      </c>
      <c r="R370" s="1">
        <v>7</v>
      </c>
      <c r="S370" s="1">
        <v>10</v>
      </c>
      <c r="T370" s="300">
        <f t="shared" si="52"/>
        <v>212</v>
      </c>
      <c r="U370" s="3"/>
      <c r="V370" s="3"/>
      <c r="W370" s="3"/>
      <c r="X370" s="3"/>
      <c r="Y370" s="3"/>
      <c r="Z370" s="20">
        <f t="shared" si="49"/>
        <v>194</v>
      </c>
      <c r="AA370" s="20">
        <f t="shared" si="55"/>
        <v>3</v>
      </c>
      <c r="AB370" s="20">
        <f t="shared" si="55"/>
        <v>0</v>
      </c>
      <c r="AC370" s="20">
        <f t="shared" si="55"/>
        <v>0</v>
      </c>
      <c r="AD370" s="20">
        <f t="shared" si="55"/>
        <v>0</v>
      </c>
      <c r="AE370" s="20">
        <f t="shared" si="55"/>
        <v>7</v>
      </c>
      <c r="AF370" s="20">
        <f t="shared" si="55"/>
        <v>10</v>
      </c>
      <c r="AG370" s="300">
        <f t="shared" si="50"/>
        <v>214</v>
      </c>
      <c r="AH370" s="42">
        <f t="shared" si="56"/>
        <v>2</v>
      </c>
      <c r="AI370" s="42">
        <f t="shared" si="56"/>
        <v>0</v>
      </c>
      <c r="AJ370" s="42">
        <f t="shared" si="56"/>
        <v>0</v>
      </c>
      <c r="AK370" s="42">
        <f t="shared" si="56"/>
        <v>0</v>
      </c>
      <c r="AL370" s="42">
        <f t="shared" si="54"/>
        <v>0</v>
      </c>
      <c r="AM370" s="42">
        <f t="shared" si="54"/>
        <v>0</v>
      </c>
      <c r="AN370" s="42">
        <f t="shared" si="54"/>
        <v>0</v>
      </c>
      <c r="AO370" s="42">
        <f t="shared" si="54"/>
        <v>2</v>
      </c>
    </row>
    <row r="371" spans="1:41" ht="15.75">
      <c r="A371" s="16">
        <f t="shared" si="53"/>
        <v>368</v>
      </c>
      <c r="B371" s="400">
        <v>3747</v>
      </c>
      <c r="C371" s="401" t="s">
        <v>1299</v>
      </c>
      <c r="D371" s="402" t="s">
        <v>842</v>
      </c>
      <c r="E371" s="393" t="s">
        <v>5038</v>
      </c>
      <c r="F371" s="394" t="s">
        <v>844</v>
      </c>
      <c r="G371" s="429" t="s">
        <v>6473</v>
      </c>
      <c r="H371" s="403">
        <v>30628</v>
      </c>
      <c r="I371" s="404">
        <v>43762</v>
      </c>
      <c r="J371" s="459" t="s">
        <v>6293</v>
      </c>
      <c r="K371" s="460" t="s">
        <v>6308</v>
      </c>
      <c r="L371" s="460" t="s">
        <v>6335</v>
      </c>
      <c r="M371" s="1">
        <v>192</v>
      </c>
      <c r="N371" s="431">
        <f t="shared" si="51"/>
        <v>3</v>
      </c>
      <c r="O371" s="432">
        <v>0</v>
      </c>
      <c r="P371" s="432">
        <v>0</v>
      </c>
      <c r="Q371" s="432">
        <v>0</v>
      </c>
      <c r="R371" s="1">
        <v>7</v>
      </c>
      <c r="S371" s="1">
        <v>10</v>
      </c>
      <c r="T371" s="300">
        <f t="shared" si="52"/>
        <v>212</v>
      </c>
      <c r="U371" s="3"/>
      <c r="V371" s="3"/>
      <c r="W371" s="3"/>
      <c r="X371" s="3"/>
      <c r="Y371" s="3"/>
      <c r="Z371" s="20">
        <f t="shared" si="49"/>
        <v>194</v>
      </c>
      <c r="AA371" s="20">
        <f t="shared" si="55"/>
        <v>3</v>
      </c>
      <c r="AB371" s="20">
        <f t="shared" si="55"/>
        <v>0</v>
      </c>
      <c r="AC371" s="20">
        <f t="shared" si="55"/>
        <v>0</v>
      </c>
      <c r="AD371" s="20">
        <f t="shared" si="55"/>
        <v>0</v>
      </c>
      <c r="AE371" s="20">
        <f t="shared" si="55"/>
        <v>7</v>
      </c>
      <c r="AF371" s="20">
        <f t="shared" si="55"/>
        <v>10</v>
      </c>
      <c r="AG371" s="300">
        <f t="shared" si="50"/>
        <v>214</v>
      </c>
      <c r="AH371" s="42">
        <f t="shared" si="56"/>
        <v>2</v>
      </c>
      <c r="AI371" s="42">
        <f t="shared" si="56"/>
        <v>0</v>
      </c>
      <c r="AJ371" s="42">
        <f t="shared" si="56"/>
        <v>0</v>
      </c>
      <c r="AK371" s="42">
        <f t="shared" si="56"/>
        <v>0</v>
      </c>
      <c r="AL371" s="42">
        <f t="shared" si="54"/>
        <v>0</v>
      </c>
      <c r="AM371" s="42">
        <f t="shared" si="54"/>
        <v>0</v>
      </c>
      <c r="AN371" s="42">
        <f t="shared" si="54"/>
        <v>0</v>
      </c>
      <c r="AO371" s="42">
        <f t="shared" si="54"/>
        <v>2</v>
      </c>
    </row>
    <row r="372" spans="1:41" ht="15.75">
      <c r="A372" s="16">
        <f t="shared" si="53"/>
        <v>369</v>
      </c>
      <c r="B372" s="400">
        <v>3706</v>
      </c>
      <c r="C372" s="401" t="s">
        <v>5049</v>
      </c>
      <c r="D372" s="402" t="s">
        <v>5050</v>
      </c>
      <c r="E372" s="393" t="s">
        <v>5051</v>
      </c>
      <c r="F372" s="394" t="s">
        <v>5052</v>
      </c>
      <c r="G372" s="429" t="s">
        <v>6473</v>
      </c>
      <c r="H372" s="403">
        <v>36594</v>
      </c>
      <c r="I372" s="404">
        <v>43762</v>
      </c>
      <c r="J372" s="459" t="s">
        <v>6293</v>
      </c>
      <c r="K372" s="460" t="s">
        <v>6301</v>
      </c>
      <c r="L372" s="460" t="s">
        <v>6335</v>
      </c>
      <c r="M372" s="1">
        <v>192</v>
      </c>
      <c r="N372" s="431">
        <f t="shared" si="51"/>
        <v>3</v>
      </c>
      <c r="O372" s="432">
        <v>0</v>
      </c>
      <c r="P372" s="432">
        <v>0</v>
      </c>
      <c r="Q372" s="432">
        <v>0</v>
      </c>
      <c r="R372" s="1">
        <v>7</v>
      </c>
      <c r="S372" s="1">
        <v>10</v>
      </c>
      <c r="T372" s="300">
        <f t="shared" si="52"/>
        <v>212</v>
      </c>
      <c r="U372" s="3"/>
      <c r="V372" s="3"/>
      <c r="W372" s="3"/>
      <c r="X372" s="3"/>
      <c r="Y372" s="3"/>
      <c r="Z372" s="20">
        <f t="shared" si="49"/>
        <v>194</v>
      </c>
      <c r="AA372" s="20">
        <f t="shared" si="55"/>
        <v>3</v>
      </c>
      <c r="AB372" s="20">
        <f t="shared" si="55"/>
        <v>0</v>
      </c>
      <c r="AC372" s="20">
        <f t="shared" si="55"/>
        <v>0</v>
      </c>
      <c r="AD372" s="20">
        <f t="shared" si="55"/>
        <v>0</v>
      </c>
      <c r="AE372" s="20">
        <f t="shared" si="55"/>
        <v>7</v>
      </c>
      <c r="AF372" s="20">
        <f t="shared" si="55"/>
        <v>10</v>
      </c>
      <c r="AG372" s="300">
        <f t="shared" si="50"/>
        <v>214</v>
      </c>
      <c r="AH372" s="42">
        <f t="shared" si="56"/>
        <v>2</v>
      </c>
      <c r="AI372" s="42">
        <f t="shared" si="56"/>
        <v>0</v>
      </c>
      <c r="AJ372" s="42">
        <f t="shared" si="56"/>
        <v>0</v>
      </c>
      <c r="AK372" s="42">
        <f t="shared" si="56"/>
        <v>0</v>
      </c>
      <c r="AL372" s="42">
        <f t="shared" si="54"/>
        <v>0</v>
      </c>
      <c r="AM372" s="42">
        <f t="shared" si="54"/>
        <v>0</v>
      </c>
      <c r="AN372" s="42">
        <f t="shared" si="54"/>
        <v>0</v>
      </c>
      <c r="AO372" s="42">
        <f t="shared" si="54"/>
        <v>2</v>
      </c>
    </row>
    <row r="373" spans="1:41" ht="15.75">
      <c r="A373" s="16">
        <f t="shared" si="53"/>
        <v>370</v>
      </c>
      <c r="B373" s="400">
        <v>3684</v>
      </c>
      <c r="C373" s="401" t="s">
        <v>5081</v>
      </c>
      <c r="D373" s="402" t="s">
        <v>1572</v>
      </c>
      <c r="E373" s="393" t="s">
        <v>5082</v>
      </c>
      <c r="F373" s="394" t="s">
        <v>1574</v>
      </c>
      <c r="G373" s="429" t="s">
        <v>6473</v>
      </c>
      <c r="H373" s="403">
        <v>34307</v>
      </c>
      <c r="I373" s="404">
        <v>43762</v>
      </c>
      <c r="J373" s="459" t="s">
        <v>6293</v>
      </c>
      <c r="K373" s="460" t="s">
        <v>6297</v>
      </c>
      <c r="L373" s="460" t="s">
        <v>6335</v>
      </c>
      <c r="M373" s="1">
        <v>192</v>
      </c>
      <c r="N373" s="431">
        <f t="shared" si="51"/>
        <v>3</v>
      </c>
      <c r="O373" s="432">
        <v>0</v>
      </c>
      <c r="P373" s="432">
        <v>0</v>
      </c>
      <c r="Q373" s="432">
        <v>0</v>
      </c>
      <c r="R373" s="1">
        <v>7</v>
      </c>
      <c r="S373" s="1">
        <v>10</v>
      </c>
      <c r="T373" s="300">
        <f t="shared" si="52"/>
        <v>212</v>
      </c>
      <c r="U373" s="3"/>
      <c r="V373" s="3"/>
      <c r="W373" s="3"/>
      <c r="X373" s="3"/>
      <c r="Y373" s="3"/>
      <c r="Z373" s="20">
        <f t="shared" si="49"/>
        <v>194</v>
      </c>
      <c r="AA373" s="20">
        <f t="shared" si="55"/>
        <v>3</v>
      </c>
      <c r="AB373" s="20">
        <f t="shared" si="55"/>
        <v>0</v>
      </c>
      <c r="AC373" s="20">
        <f t="shared" si="55"/>
        <v>0</v>
      </c>
      <c r="AD373" s="20">
        <f t="shared" si="55"/>
        <v>0</v>
      </c>
      <c r="AE373" s="20">
        <f t="shared" si="55"/>
        <v>7</v>
      </c>
      <c r="AF373" s="20">
        <f t="shared" si="55"/>
        <v>10</v>
      </c>
      <c r="AG373" s="300">
        <f t="shared" si="50"/>
        <v>214</v>
      </c>
      <c r="AH373" s="42">
        <f t="shared" si="56"/>
        <v>2</v>
      </c>
      <c r="AI373" s="42">
        <f t="shared" si="56"/>
        <v>0</v>
      </c>
      <c r="AJ373" s="42">
        <f t="shared" si="56"/>
        <v>0</v>
      </c>
      <c r="AK373" s="42">
        <f t="shared" si="56"/>
        <v>0</v>
      </c>
      <c r="AL373" s="42">
        <f t="shared" si="54"/>
        <v>0</v>
      </c>
      <c r="AM373" s="42">
        <f t="shared" si="54"/>
        <v>0</v>
      </c>
      <c r="AN373" s="42">
        <f t="shared" si="54"/>
        <v>0</v>
      </c>
      <c r="AO373" s="42">
        <f t="shared" si="54"/>
        <v>2</v>
      </c>
    </row>
    <row r="374" spans="1:41" ht="15.75">
      <c r="A374" s="16">
        <f t="shared" si="53"/>
        <v>371</v>
      </c>
      <c r="B374" s="400">
        <v>3758</v>
      </c>
      <c r="C374" s="401" t="s">
        <v>5090</v>
      </c>
      <c r="D374" s="402" t="s">
        <v>826</v>
      </c>
      <c r="E374" s="393" t="s">
        <v>1799</v>
      </c>
      <c r="F374" s="394" t="s">
        <v>1914</v>
      </c>
      <c r="G374" s="429" t="s">
        <v>6473</v>
      </c>
      <c r="H374" s="403">
        <v>31448</v>
      </c>
      <c r="I374" s="404">
        <v>43762</v>
      </c>
      <c r="J374" s="459" t="s">
        <v>6293</v>
      </c>
      <c r="K374" s="460" t="s">
        <v>6308</v>
      </c>
      <c r="L374" s="460" t="s">
        <v>6335</v>
      </c>
      <c r="M374" s="1">
        <v>192</v>
      </c>
      <c r="N374" s="431">
        <f t="shared" si="51"/>
        <v>3</v>
      </c>
      <c r="O374" s="432">
        <v>0</v>
      </c>
      <c r="P374" s="432">
        <v>0</v>
      </c>
      <c r="Q374" s="432">
        <v>0</v>
      </c>
      <c r="R374" s="1">
        <v>7</v>
      </c>
      <c r="S374" s="1">
        <v>10</v>
      </c>
      <c r="T374" s="300">
        <f t="shared" si="52"/>
        <v>212</v>
      </c>
      <c r="U374" s="3"/>
      <c r="V374" s="3"/>
      <c r="W374" s="3"/>
      <c r="X374" s="3"/>
      <c r="Y374" s="3"/>
      <c r="Z374" s="20">
        <f t="shared" si="49"/>
        <v>194</v>
      </c>
      <c r="AA374" s="20">
        <f t="shared" si="55"/>
        <v>3</v>
      </c>
      <c r="AB374" s="20">
        <f t="shared" si="55"/>
        <v>0</v>
      </c>
      <c r="AC374" s="20">
        <f t="shared" si="55"/>
        <v>0</v>
      </c>
      <c r="AD374" s="20">
        <f t="shared" si="55"/>
        <v>0</v>
      </c>
      <c r="AE374" s="20">
        <f t="shared" si="55"/>
        <v>7</v>
      </c>
      <c r="AF374" s="20">
        <f t="shared" si="55"/>
        <v>10</v>
      </c>
      <c r="AG374" s="300">
        <f t="shared" si="50"/>
        <v>214</v>
      </c>
      <c r="AH374" s="42">
        <f t="shared" si="56"/>
        <v>2</v>
      </c>
      <c r="AI374" s="42">
        <f t="shared" si="56"/>
        <v>0</v>
      </c>
      <c r="AJ374" s="42">
        <f t="shared" si="56"/>
        <v>0</v>
      </c>
      <c r="AK374" s="42">
        <f t="shared" si="56"/>
        <v>0</v>
      </c>
      <c r="AL374" s="42">
        <f t="shared" si="54"/>
        <v>0</v>
      </c>
      <c r="AM374" s="42">
        <f t="shared" si="54"/>
        <v>0</v>
      </c>
      <c r="AN374" s="42">
        <f t="shared" si="54"/>
        <v>0</v>
      </c>
      <c r="AO374" s="42">
        <f t="shared" si="54"/>
        <v>2</v>
      </c>
    </row>
    <row r="375" spans="1:41" ht="15.75">
      <c r="A375" s="16">
        <f t="shared" si="53"/>
        <v>372</v>
      </c>
      <c r="B375" s="400">
        <v>3699</v>
      </c>
      <c r="C375" s="401" t="s">
        <v>393</v>
      </c>
      <c r="D375" s="402" t="s">
        <v>4144</v>
      </c>
      <c r="E375" s="393" t="s">
        <v>4587</v>
      </c>
      <c r="F375" s="394" t="s">
        <v>4146</v>
      </c>
      <c r="G375" s="429" t="s">
        <v>6473</v>
      </c>
      <c r="H375" s="403">
        <v>33513</v>
      </c>
      <c r="I375" s="404">
        <v>43762</v>
      </c>
      <c r="J375" s="459" t="s">
        <v>6293</v>
      </c>
      <c r="K375" s="460" t="s">
        <v>6301</v>
      </c>
      <c r="L375" s="460" t="s">
        <v>6335</v>
      </c>
      <c r="M375" s="1">
        <v>192</v>
      </c>
      <c r="N375" s="431">
        <f t="shared" si="51"/>
        <v>3</v>
      </c>
      <c r="O375" s="432">
        <v>0</v>
      </c>
      <c r="P375" s="432">
        <v>0</v>
      </c>
      <c r="Q375" s="432">
        <v>0</v>
      </c>
      <c r="R375" s="1">
        <v>7</v>
      </c>
      <c r="S375" s="1">
        <v>10</v>
      </c>
      <c r="T375" s="300">
        <f t="shared" si="52"/>
        <v>212</v>
      </c>
      <c r="U375" s="3"/>
      <c r="V375" s="3"/>
      <c r="W375" s="3"/>
      <c r="X375" s="3"/>
      <c r="Y375" s="3"/>
      <c r="Z375" s="20">
        <f t="shared" si="49"/>
        <v>194</v>
      </c>
      <c r="AA375" s="20">
        <f t="shared" si="55"/>
        <v>3</v>
      </c>
      <c r="AB375" s="20">
        <f t="shared" si="55"/>
        <v>0</v>
      </c>
      <c r="AC375" s="20">
        <f t="shared" si="55"/>
        <v>0</v>
      </c>
      <c r="AD375" s="20">
        <f t="shared" si="55"/>
        <v>0</v>
      </c>
      <c r="AE375" s="20">
        <f t="shared" si="55"/>
        <v>7</v>
      </c>
      <c r="AF375" s="20">
        <f t="shared" si="55"/>
        <v>10</v>
      </c>
      <c r="AG375" s="300">
        <f t="shared" si="50"/>
        <v>214</v>
      </c>
      <c r="AH375" s="42">
        <f t="shared" si="56"/>
        <v>2</v>
      </c>
      <c r="AI375" s="42">
        <f t="shared" si="56"/>
        <v>0</v>
      </c>
      <c r="AJ375" s="42">
        <f t="shared" si="56"/>
        <v>0</v>
      </c>
      <c r="AK375" s="42">
        <f t="shared" si="56"/>
        <v>0</v>
      </c>
      <c r="AL375" s="42">
        <f t="shared" si="54"/>
        <v>0</v>
      </c>
      <c r="AM375" s="42">
        <f t="shared" si="54"/>
        <v>0</v>
      </c>
      <c r="AN375" s="42">
        <f t="shared" si="54"/>
        <v>0</v>
      </c>
      <c r="AO375" s="42">
        <f t="shared" si="54"/>
        <v>2</v>
      </c>
    </row>
    <row r="376" spans="1:41" ht="15.75">
      <c r="A376" s="16">
        <f t="shared" si="53"/>
        <v>373</v>
      </c>
      <c r="B376" s="400">
        <v>3743</v>
      </c>
      <c r="C376" s="401" t="s">
        <v>3466</v>
      </c>
      <c r="D376" s="402" t="s">
        <v>5121</v>
      </c>
      <c r="E376" s="393" t="s">
        <v>5122</v>
      </c>
      <c r="F376" s="394" t="s">
        <v>5123</v>
      </c>
      <c r="G376" s="429" t="s">
        <v>6473</v>
      </c>
      <c r="H376" s="403">
        <v>34888</v>
      </c>
      <c r="I376" s="404">
        <v>43762</v>
      </c>
      <c r="J376" s="459" t="s">
        <v>6293</v>
      </c>
      <c r="K376" s="460" t="s">
        <v>6295</v>
      </c>
      <c r="L376" s="460" t="s">
        <v>6335</v>
      </c>
      <c r="M376" s="1">
        <v>192</v>
      </c>
      <c r="N376" s="431">
        <f t="shared" si="51"/>
        <v>3</v>
      </c>
      <c r="O376" s="432">
        <v>0</v>
      </c>
      <c r="P376" s="432">
        <v>0</v>
      </c>
      <c r="Q376" s="432">
        <v>0</v>
      </c>
      <c r="R376" s="1">
        <v>7</v>
      </c>
      <c r="S376" s="1">
        <v>10</v>
      </c>
      <c r="T376" s="300">
        <f t="shared" si="52"/>
        <v>212</v>
      </c>
      <c r="U376" s="3"/>
      <c r="V376" s="3"/>
      <c r="W376" s="3"/>
      <c r="X376" s="3"/>
      <c r="Y376" s="3"/>
      <c r="Z376" s="20">
        <f t="shared" si="49"/>
        <v>194</v>
      </c>
      <c r="AA376" s="20">
        <f t="shared" si="55"/>
        <v>3</v>
      </c>
      <c r="AB376" s="20">
        <f t="shared" si="55"/>
        <v>0</v>
      </c>
      <c r="AC376" s="20">
        <f t="shared" si="55"/>
        <v>0</v>
      </c>
      <c r="AD376" s="20">
        <f t="shared" ref="AD376:AF436" si="57">Q376</f>
        <v>0</v>
      </c>
      <c r="AE376" s="20">
        <f t="shared" si="57"/>
        <v>7</v>
      </c>
      <c r="AF376" s="20">
        <f t="shared" si="57"/>
        <v>10</v>
      </c>
      <c r="AG376" s="300">
        <f t="shared" si="50"/>
        <v>214</v>
      </c>
      <c r="AH376" s="42">
        <f t="shared" si="56"/>
        <v>2</v>
      </c>
      <c r="AI376" s="42">
        <f t="shared" si="56"/>
        <v>0</v>
      </c>
      <c r="AJ376" s="42">
        <f t="shared" si="56"/>
        <v>0</v>
      </c>
      <c r="AK376" s="42">
        <f t="shared" si="56"/>
        <v>0</v>
      </c>
      <c r="AL376" s="42">
        <f t="shared" si="54"/>
        <v>0</v>
      </c>
      <c r="AM376" s="42">
        <f t="shared" si="54"/>
        <v>0</v>
      </c>
      <c r="AN376" s="42">
        <f t="shared" si="54"/>
        <v>0</v>
      </c>
      <c r="AO376" s="42">
        <f t="shared" si="54"/>
        <v>2</v>
      </c>
    </row>
    <row r="377" spans="1:41" ht="15.75">
      <c r="A377" s="16">
        <f t="shared" si="53"/>
        <v>374</v>
      </c>
      <c r="B377" s="400">
        <v>3629</v>
      </c>
      <c r="C377" s="401" t="s">
        <v>5147</v>
      </c>
      <c r="D377" s="402" t="s">
        <v>5171</v>
      </c>
      <c r="E377" s="393" t="s">
        <v>5172</v>
      </c>
      <c r="F377" s="394" t="s">
        <v>5173</v>
      </c>
      <c r="G377" s="429" t="s">
        <v>6475</v>
      </c>
      <c r="H377" s="403">
        <v>33625</v>
      </c>
      <c r="I377" s="404">
        <v>43753</v>
      </c>
      <c r="J377" s="459" t="s">
        <v>6293</v>
      </c>
      <c r="K377" s="460" t="s">
        <v>6129</v>
      </c>
      <c r="L377" s="460" t="s">
        <v>6346</v>
      </c>
      <c r="M377" s="1">
        <v>192</v>
      </c>
      <c r="N377" s="431">
        <f t="shared" si="51"/>
        <v>3</v>
      </c>
      <c r="O377" s="432">
        <v>0</v>
      </c>
      <c r="P377" s="432">
        <v>0</v>
      </c>
      <c r="Q377" s="432">
        <v>0</v>
      </c>
      <c r="R377" s="1">
        <v>7</v>
      </c>
      <c r="S377" s="1">
        <v>10</v>
      </c>
      <c r="T377" s="300">
        <f t="shared" si="52"/>
        <v>212</v>
      </c>
      <c r="U377" s="3"/>
      <c r="V377" s="3"/>
      <c r="W377" s="3"/>
      <c r="X377" s="3"/>
      <c r="Y377" s="3"/>
      <c r="Z377" s="20">
        <f t="shared" si="49"/>
        <v>194</v>
      </c>
      <c r="AA377" s="20">
        <f t="shared" ref="AA377:AF437" si="58">N377</f>
        <v>3</v>
      </c>
      <c r="AB377" s="20">
        <f t="shared" si="58"/>
        <v>0</v>
      </c>
      <c r="AC377" s="20">
        <f t="shared" si="58"/>
        <v>0</v>
      </c>
      <c r="AD377" s="20">
        <f t="shared" si="57"/>
        <v>0</v>
      </c>
      <c r="AE377" s="20">
        <f t="shared" si="57"/>
        <v>7</v>
      </c>
      <c r="AF377" s="20">
        <f t="shared" si="57"/>
        <v>10</v>
      </c>
      <c r="AG377" s="300">
        <f t="shared" si="50"/>
        <v>214</v>
      </c>
      <c r="AH377" s="42">
        <f t="shared" si="56"/>
        <v>2</v>
      </c>
      <c r="AI377" s="42">
        <f t="shared" si="56"/>
        <v>0</v>
      </c>
      <c r="AJ377" s="42">
        <f t="shared" si="56"/>
        <v>0</v>
      </c>
      <c r="AK377" s="42">
        <f t="shared" si="56"/>
        <v>0</v>
      </c>
      <c r="AL377" s="42">
        <f t="shared" si="54"/>
        <v>0</v>
      </c>
      <c r="AM377" s="42">
        <f t="shared" si="54"/>
        <v>0</v>
      </c>
      <c r="AN377" s="42">
        <f t="shared" si="54"/>
        <v>0</v>
      </c>
      <c r="AO377" s="42">
        <f t="shared" si="54"/>
        <v>2</v>
      </c>
    </row>
    <row r="378" spans="1:41" ht="15.75">
      <c r="A378" s="16">
        <f t="shared" si="53"/>
        <v>375</v>
      </c>
      <c r="B378" s="400">
        <v>3676</v>
      </c>
      <c r="C378" s="401" t="s">
        <v>5269</v>
      </c>
      <c r="D378" s="402" t="s">
        <v>5270</v>
      </c>
      <c r="E378" s="393" t="s">
        <v>5271</v>
      </c>
      <c r="F378" s="394" t="s">
        <v>5272</v>
      </c>
      <c r="G378" s="429" t="s">
        <v>6473</v>
      </c>
      <c r="H378" s="403">
        <v>36253</v>
      </c>
      <c r="I378" s="404">
        <v>43757</v>
      </c>
      <c r="J378" s="459" t="s">
        <v>6293</v>
      </c>
      <c r="K378" s="460" t="s">
        <v>6300</v>
      </c>
      <c r="L378" s="460" t="s">
        <v>6335</v>
      </c>
      <c r="M378" s="1">
        <v>192</v>
      </c>
      <c r="N378" s="431">
        <f t="shared" si="51"/>
        <v>3</v>
      </c>
      <c r="O378" s="432">
        <v>0</v>
      </c>
      <c r="P378" s="432">
        <v>0</v>
      </c>
      <c r="Q378" s="432">
        <v>0</v>
      </c>
      <c r="R378" s="1">
        <v>7</v>
      </c>
      <c r="S378" s="1">
        <v>10</v>
      </c>
      <c r="T378" s="300">
        <f t="shared" si="52"/>
        <v>212</v>
      </c>
      <c r="U378" s="3"/>
      <c r="V378" s="3"/>
      <c r="W378" s="3"/>
      <c r="X378" s="3"/>
      <c r="Y378" s="3"/>
      <c r="Z378" s="20">
        <f t="shared" si="49"/>
        <v>194</v>
      </c>
      <c r="AA378" s="20">
        <f t="shared" si="58"/>
        <v>3</v>
      </c>
      <c r="AB378" s="20">
        <f t="shared" si="58"/>
        <v>0</v>
      </c>
      <c r="AC378" s="20">
        <f t="shared" si="58"/>
        <v>0</v>
      </c>
      <c r="AD378" s="20">
        <f t="shared" si="57"/>
        <v>0</v>
      </c>
      <c r="AE378" s="20">
        <f t="shared" si="57"/>
        <v>7</v>
      </c>
      <c r="AF378" s="20">
        <f t="shared" si="57"/>
        <v>10</v>
      </c>
      <c r="AG378" s="300">
        <f t="shared" si="50"/>
        <v>214</v>
      </c>
      <c r="AH378" s="42">
        <f t="shared" si="56"/>
        <v>2</v>
      </c>
      <c r="AI378" s="42">
        <f t="shared" si="56"/>
        <v>0</v>
      </c>
      <c r="AJ378" s="42">
        <f t="shared" si="56"/>
        <v>0</v>
      </c>
      <c r="AK378" s="42">
        <f t="shared" si="56"/>
        <v>0</v>
      </c>
      <c r="AL378" s="42">
        <f t="shared" si="54"/>
        <v>0</v>
      </c>
      <c r="AM378" s="42">
        <f t="shared" si="54"/>
        <v>0</v>
      </c>
      <c r="AN378" s="42">
        <f t="shared" si="54"/>
        <v>0</v>
      </c>
      <c r="AO378" s="42">
        <f t="shared" si="54"/>
        <v>2</v>
      </c>
    </row>
    <row r="379" spans="1:41" ht="15.75">
      <c r="A379" s="16">
        <f t="shared" si="53"/>
        <v>376</v>
      </c>
      <c r="B379" s="400">
        <v>3263</v>
      </c>
      <c r="C379" s="401" t="s">
        <v>5321</v>
      </c>
      <c r="D379" s="402" t="s">
        <v>5322</v>
      </c>
      <c r="E379" s="393" t="s">
        <v>5323</v>
      </c>
      <c r="F379" s="394" t="s">
        <v>5324</v>
      </c>
      <c r="G379" s="429" t="s">
        <v>6473</v>
      </c>
      <c r="H379" s="403">
        <v>32800</v>
      </c>
      <c r="I379" s="404">
        <v>43746</v>
      </c>
      <c r="J379" s="459" t="s">
        <v>6293</v>
      </c>
      <c r="K379" s="460" t="s">
        <v>6083</v>
      </c>
      <c r="L379" s="460" t="s">
        <v>6144</v>
      </c>
      <c r="M379" s="1">
        <v>192</v>
      </c>
      <c r="N379" s="431">
        <f t="shared" si="51"/>
        <v>3</v>
      </c>
      <c r="O379" s="432">
        <v>0</v>
      </c>
      <c r="P379" s="432">
        <v>10</v>
      </c>
      <c r="Q379" s="432">
        <v>0</v>
      </c>
      <c r="R379" s="1">
        <v>7</v>
      </c>
      <c r="S379" s="1">
        <v>10</v>
      </c>
      <c r="T379" s="300">
        <f t="shared" si="52"/>
        <v>222</v>
      </c>
      <c r="U379" s="3"/>
      <c r="V379" s="3"/>
      <c r="W379" s="3"/>
      <c r="X379" s="3"/>
      <c r="Y379" s="3"/>
      <c r="Z379" s="20">
        <f t="shared" si="49"/>
        <v>194</v>
      </c>
      <c r="AA379" s="20">
        <f t="shared" si="58"/>
        <v>3</v>
      </c>
      <c r="AB379" s="20">
        <f t="shared" si="58"/>
        <v>0</v>
      </c>
      <c r="AC379" s="20">
        <f t="shared" si="58"/>
        <v>10</v>
      </c>
      <c r="AD379" s="20">
        <f t="shared" si="57"/>
        <v>0</v>
      </c>
      <c r="AE379" s="20">
        <f t="shared" si="57"/>
        <v>7</v>
      </c>
      <c r="AF379" s="20">
        <f t="shared" si="57"/>
        <v>10</v>
      </c>
      <c r="AG379" s="300">
        <f t="shared" si="50"/>
        <v>224</v>
      </c>
      <c r="AH379" s="42">
        <f t="shared" si="56"/>
        <v>2</v>
      </c>
      <c r="AI379" s="42">
        <f t="shared" si="56"/>
        <v>0</v>
      </c>
      <c r="AJ379" s="42">
        <f t="shared" si="56"/>
        <v>0</v>
      </c>
      <c r="AK379" s="42">
        <f t="shared" si="56"/>
        <v>0</v>
      </c>
      <c r="AL379" s="42">
        <f t="shared" si="54"/>
        <v>0</v>
      </c>
      <c r="AM379" s="42">
        <f t="shared" si="54"/>
        <v>0</v>
      </c>
      <c r="AN379" s="42">
        <f t="shared" si="54"/>
        <v>0</v>
      </c>
      <c r="AO379" s="42">
        <f t="shared" si="54"/>
        <v>2</v>
      </c>
    </row>
    <row r="380" spans="1:41" ht="15.75">
      <c r="A380" s="16">
        <f t="shared" si="53"/>
        <v>377</v>
      </c>
      <c r="B380" s="390">
        <v>3403</v>
      </c>
      <c r="C380" s="391" t="s">
        <v>5328</v>
      </c>
      <c r="D380" s="392" t="s">
        <v>5329</v>
      </c>
      <c r="E380" s="393" t="s">
        <v>3340</v>
      </c>
      <c r="F380" s="394" t="s">
        <v>5330</v>
      </c>
      <c r="G380" s="429" t="s">
        <v>6475</v>
      </c>
      <c r="H380" s="395">
        <v>30601</v>
      </c>
      <c r="I380" s="396">
        <v>43760</v>
      </c>
      <c r="J380" s="459" t="s">
        <v>6293</v>
      </c>
      <c r="K380" s="460" t="s">
        <v>6305</v>
      </c>
      <c r="L380" s="460" t="s">
        <v>6335</v>
      </c>
      <c r="M380" s="1">
        <v>192</v>
      </c>
      <c r="N380" s="431">
        <f t="shared" si="51"/>
        <v>3</v>
      </c>
      <c r="O380" s="432">
        <v>0</v>
      </c>
      <c r="P380" s="432">
        <v>0</v>
      </c>
      <c r="Q380" s="432">
        <v>0</v>
      </c>
      <c r="R380" s="1">
        <v>7</v>
      </c>
      <c r="S380" s="1">
        <v>10</v>
      </c>
      <c r="T380" s="300">
        <f t="shared" si="52"/>
        <v>212</v>
      </c>
      <c r="U380" s="3"/>
      <c r="V380" s="3"/>
      <c r="W380" s="3"/>
      <c r="X380" s="3"/>
      <c r="Y380" s="3"/>
      <c r="Z380" s="20">
        <f t="shared" si="49"/>
        <v>194</v>
      </c>
      <c r="AA380" s="20">
        <f t="shared" si="58"/>
        <v>3</v>
      </c>
      <c r="AB380" s="20">
        <f t="shared" si="58"/>
        <v>0</v>
      </c>
      <c r="AC380" s="20">
        <f t="shared" si="58"/>
        <v>0</v>
      </c>
      <c r="AD380" s="20">
        <f t="shared" si="57"/>
        <v>0</v>
      </c>
      <c r="AE380" s="20">
        <f t="shared" si="57"/>
        <v>7</v>
      </c>
      <c r="AF380" s="20">
        <f t="shared" si="57"/>
        <v>10</v>
      </c>
      <c r="AG380" s="300">
        <f t="shared" si="50"/>
        <v>214</v>
      </c>
      <c r="AH380" s="42">
        <f t="shared" si="56"/>
        <v>2</v>
      </c>
      <c r="AI380" s="42">
        <f t="shared" si="56"/>
        <v>0</v>
      </c>
      <c r="AJ380" s="42">
        <f t="shared" si="56"/>
        <v>0</v>
      </c>
      <c r="AK380" s="42">
        <f t="shared" si="56"/>
        <v>0</v>
      </c>
      <c r="AL380" s="42">
        <f t="shared" si="54"/>
        <v>0</v>
      </c>
      <c r="AM380" s="42">
        <f t="shared" si="54"/>
        <v>0</v>
      </c>
      <c r="AN380" s="42">
        <f t="shared" si="54"/>
        <v>0</v>
      </c>
      <c r="AO380" s="42">
        <f t="shared" si="54"/>
        <v>2</v>
      </c>
    </row>
    <row r="381" spans="1:41" ht="15.75">
      <c r="A381" s="16">
        <f t="shared" si="53"/>
        <v>378</v>
      </c>
      <c r="B381" s="390">
        <v>3775</v>
      </c>
      <c r="C381" s="391" t="s">
        <v>801</v>
      </c>
      <c r="D381" s="392" t="s">
        <v>3799</v>
      </c>
      <c r="E381" s="393" t="s">
        <v>3850</v>
      </c>
      <c r="F381" s="394" t="s">
        <v>5395</v>
      </c>
      <c r="G381" s="429" t="s">
        <v>6473</v>
      </c>
      <c r="H381" s="395">
        <v>36015</v>
      </c>
      <c r="I381" s="396">
        <v>43768</v>
      </c>
      <c r="J381" s="459" t="s">
        <v>6293</v>
      </c>
      <c r="K381" s="460" t="s">
        <v>6125</v>
      </c>
      <c r="L381" s="460" t="s">
        <v>6339</v>
      </c>
      <c r="M381" s="1">
        <v>192</v>
      </c>
      <c r="N381" s="431">
        <f t="shared" si="51"/>
        <v>3</v>
      </c>
      <c r="O381" s="432">
        <v>0</v>
      </c>
      <c r="P381" s="432">
        <v>0</v>
      </c>
      <c r="Q381" s="432">
        <v>0</v>
      </c>
      <c r="R381" s="1">
        <v>7</v>
      </c>
      <c r="S381" s="1">
        <v>10</v>
      </c>
      <c r="T381" s="300">
        <f t="shared" si="52"/>
        <v>212</v>
      </c>
      <c r="U381" s="3"/>
      <c r="V381" s="3"/>
      <c r="W381" s="3"/>
      <c r="X381" s="3"/>
      <c r="Y381" s="3"/>
      <c r="Z381" s="20">
        <f t="shared" si="49"/>
        <v>194</v>
      </c>
      <c r="AA381" s="20">
        <f t="shared" si="58"/>
        <v>3</v>
      </c>
      <c r="AB381" s="20">
        <f t="shared" si="58"/>
        <v>0</v>
      </c>
      <c r="AC381" s="20">
        <f t="shared" si="58"/>
        <v>0</v>
      </c>
      <c r="AD381" s="20">
        <f t="shared" si="57"/>
        <v>0</v>
      </c>
      <c r="AE381" s="20">
        <f t="shared" si="57"/>
        <v>7</v>
      </c>
      <c r="AF381" s="20">
        <f t="shared" si="57"/>
        <v>10</v>
      </c>
      <c r="AG381" s="300">
        <f t="shared" si="50"/>
        <v>214</v>
      </c>
      <c r="AH381" s="42">
        <f t="shared" si="56"/>
        <v>2</v>
      </c>
      <c r="AI381" s="42">
        <f t="shared" si="56"/>
        <v>0</v>
      </c>
      <c r="AJ381" s="42">
        <f t="shared" si="56"/>
        <v>0</v>
      </c>
      <c r="AK381" s="42">
        <f t="shared" si="56"/>
        <v>0</v>
      </c>
      <c r="AL381" s="42">
        <f t="shared" si="54"/>
        <v>0</v>
      </c>
      <c r="AM381" s="42">
        <f t="shared" si="54"/>
        <v>0</v>
      </c>
      <c r="AN381" s="42">
        <f t="shared" si="54"/>
        <v>0</v>
      </c>
      <c r="AO381" s="42">
        <f t="shared" si="54"/>
        <v>2</v>
      </c>
    </row>
    <row r="382" spans="1:41" ht="15.75">
      <c r="A382" s="16">
        <f t="shared" si="53"/>
        <v>379</v>
      </c>
      <c r="B382" s="390">
        <v>3185</v>
      </c>
      <c r="C382" s="391" t="s">
        <v>552</v>
      </c>
      <c r="D382" s="392" t="s">
        <v>5702</v>
      </c>
      <c r="E382" s="393" t="s">
        <v>554</v>
      </c>
      <c r="F382" s="394" t="s">
        <v>546</v>
      </c>
      <c r="G382" s="429" t="s">
        <v>6473</v>
      </c>
      <c r="H382" s="395">
        <v>22778</v>
      </c>
      <c r="I382" s="396">
        <v>43740</v>
      </c>
      <c r="J382" s="459" t="s">
        <v>6159</v>
      </c>
      <c r="K382" s="460" t="s">
        <v>3070</v>
      </c>
      <c r="L382" s="460" t="s">
        <v>194</v>
      </c>
      <c r="M382" s="1">
        <v>192</v>
      </c>
      <c r="N382" s="431">
        <f t="shared" si="51"/>
        <v>3</v>
      </c>
      <c r="O382" s="432">
        <v>0</v>
      </c>
      <c r="P382" s="432">
        <v>0</v>
      </c>
      <c r="Q382" s="432">
        <v>0</v>
      </c>
      <c r="R382" s="1">
        <v>7</v>
      </c>
      <c r="S382" s="1">
        <v>10</v>
      </c>
      <c r="T382" s="300">
        <f t="shared" si="52"/>
        <v>212</v>
      </c>
      <c r="U382" s="3"/>
      <c r="V382" s="3"/>
      <c r="W382" s="3"/>
      <c r="X382" s="3"/>
      <c r="Y382" s="3"/>
      <c r="Z382" s="20">
        <f t="shared" si="49"/>
        <v>194</v>
      </c>
      <c r="AA382" s="20">
        <f t="shared" si="58"/>
        <v>3</v>
      </c>
      <c r="AB382" s="20">
        <f t="shared" si="58"/>
        <v>0</v>
      </c>
      <c r="AC382" s="20">
        <f t="shared" si="58"/>
        <v>0</v>
      </c>
      <c r="AD382" s="20">
        <f t="shared" si="57"/>
        <v>0</v>
      </c>
      <c r="AE382" s="20">
        <f t="shared" si="57"/>
        <v>7</v>
      </c>
      <c r="AF382" s="20">
        <f t="shared" si="57"/>
        <v>10</v>
      </c>
      <c r="AG382" s="300">
        <f t="shared" si="50"/>
        <v>214</v>
      </c>
      <c r="AH382" s="42">
        <f t="shared" si="56"/>
        <v>2</v>
      </c>
      <c r="AI382" s="42">
        <f t="shared" si="56"/>
        <v>0</v>
      </c>
      <c r="AJ382" s="42">
        <f t="shared" si="56"/>
        <v>0</v>
      </c>
      <c r="AK382" s="42">
        <f t="shared" si="56"/>
        <v>0</v>
      </c>
      <c r="AL382" s="42">
        <f t="shared" si="54"/>
        <v>0</v>
      </c>
      <c r="AM382" s="42">
        <f t="shared" si="54"/>
        <v>0</v>
      </c>
      <c r="AN382" s="42">
        <f t="shared" si="54"/>
        <v>0</v>
      </c>
      <c r="AO382" s="42">
        <f t="shared" si="54"/>
        <v>2</v>
      </c>
    </row>
    <row r="383" spans="1:41" ht="15.75">
      <c r="A383" s="16">
        <f t="shared" si="53"/>
        <v>380</v>
      </c>
      <c r="B383" s="390">
        <v>3647</v>
      </c>
      <c r="C383" s="391" t="s">
        <v>891</v>
      </c>
      <c r="D383" s="392" t="s">
        <v>5003</v>
      </c>
      <c r="E383" s="393" t="s">
        <v>893</v>
      </c>
      <c r="F383" s="394" t="s">
        <v>5004</v>
      </c>
      <c r="G383" s="429" t="s">
        <v>6475</v>
      </c>
      <c r="H383" s="395">
        <v>32782</v>
      </c>
      <c r="I383" s="396">
        <v>43754</v>
      </c>
      <c r="J383" s="459" t="s">
        <v>6293</v>
      </c>
      <c r="K383" s="460" t="s">
        <v>6104</v>
      </c>
      <c r="L383" s="460" t="s">
        <v>6345</v>
      </c>
      <c r="M383" s="1">
        <v>192</v>
      </c>
      <c r="N383" s="431">
        <f t="shared" si="51"/>
        <v>3</v>
      </c>
      <c r="O383" s="432">
        <v>0</v>
      </c>
      <c r="P383" s="432">
        <v>20</v>
      </c>
      <c r="Q383" s="432">
        <v>0</v>
      </c>
      <c r="R383" s="1">
        <v>7</v>
      </c>
      <c r="S383" s="1">
        <v>10</v>
      </c>
      <c r="T383" s="300">
        <f t="shared" si="52"/>
        <v>232</v>
      </c>
      <c r="U383" s="3"/>
      <c r="V383" s="3"/>
      <c r="W383" s="3"/>
      <c r="X383" s="3"/>
      <c r="Y383" s="3"/>
      <c r="Z383" s="20">
        <f t="shared" si="49"/>
        <v>194</v>
      </c>
      <c r="AA383" s="20">
        <f t="shared" si="58"/>
        <v>3</v>
      </c>
      <c r="AB383" s="20">
        <f t="shared" si="58"/>
        <v>0</v>
      </c>
      <c r="AC383" s="20">
        <f t="shared" si="58"/>
        <v>20</v>
      </c>
      <c r="AD383" s="20">
        <f t="shared" si="57"/>
        <v>0</v>
      </c>
      <c r="AE383" s="20">
        <f t="shared" si="57"/>
        <v>7</v>
      </c>
      <c r="AF383" s="20">
        <f t="shared" si="57"/>
        <v>10</v>
      </c>
      <c r="AG383" s="300">
        <f t="shared" si="50"/>
        <v>234</v>
      </c>
      <c r="AH383" s="42">
        <f t="shared" si="56"/>
        <v>2</v>
      </c>
      <c r="AI383" s="42">
        <f t="shared" si="56"/>
        <v>0</v>
      </c>
      <c r="AJ383" s="42">
        <f t="shared" si="56"/>
        <v>0</v>
      </c>
      <c r="AK383" s="42">
        <f t="shared" si="56"/>
        <v>0</v>
      </c>
      <c r="AL383" s="42">
        <f t="shared" si="54"/>
        <v>0</v>
      </c>
      <c r="AM383" s="42">
        <f t="shared" si="54"/>
        <v>0</v>
      </c>
      <c r="AN383" s="42">
        <f t="shared" si="54"/>
        <v>0</v>
      </c>
      <c r="AO383" s="42">
        <f t="shared" si="54"/>
        <v>2</v>
      </c>
    </row>
    <row r="384" spans="1:41" ht="15.75">
      <c r="A384" s="16">
        <f t="shared" si="53"/>
        <v>381</v>
      </c>
      <c r="B384" s="390">
        <v>3655</v>
      </c>
      <c r="C384" s="391" t="s">
        <v>1809</v>
      </c>
      <c r="D384" s="392" t="s">
        <v>6205</v>
      </c>
      <c r="E384" s="393" t="s">
        <v>1811</v>
      </c>
      <c r="F384" s="394" t="s">
        <v>6031</v>
      </c>
      <c r="G384" s="429" t="s">
        <v>6473</v>
      </c>
      <c r="H384" s="395">
        <v>29468</v>
      </c>
      <c r="I384" s="396">
        <v>43755</v>
      </c>
      <c r="J384" s="459" t="s">
        <v>6293</v>
      </c>
      <c r="K384" s="460" t="s">
        <v>6300</v>
      </c>
      <c r="L384" s="460" t="s">
        <v>6335</v>
      </c>
      <c r="M384" s="1">
        <v>192</v>
      </c>
      <c r="N384" s="431">
        <f t="shared" si="51"/>
        <v>3</v>
      </c>
      <c r="O384" s="432">
        <v>0</v>
      </c>
      <c r="P384" s="432">
        <v>0</v>
      </c>
      <c r="Q384" s="432">
        <v>0</v>
      </c>
      <c r="R384" s="1">
        <v>7</v>
      </c>
      <c r="S384" s="1">
        <v>10</v>
      </c>
      <c r="T384" s="300">
        <f t="shared" si="52"/>
        <v>212</v>
      </c>
      <c r="U384" s="3"/>
      <c r="V384" s="3"/>
      <c r="W384" s="3"/>
      <c r="X384" s="3"/>
      <c r="Y384" s="3"/>
      <c r="Z384" s="20">
        <f t="shared" si="49"/>
        <v>194</v>
      </c>
      <c r="AA384" s="20">
        <f t="shared" si="58"/>
        <v>3</v>
      </c>
      <c r="AB384" s="20">
        <f t="shared" si="58"/>
        <v>0</v>
      </c>
      <c r="AC384" s="20">
        <f t="shared" si="58"/>
        <v>0</v>
      </c>
      <c r="AD384" s="20">
        <f t="shared" si="57"/>
        <v>0</v>
      </c>
      <c r="AE384" s="20">
        <f t="shared" si="57"/>
        <v>7</v>
      </c>
      <c r="AF384" s="20">
        <f t="shared" si="57"/>
        <v>10</v>
      </c>
      <c r="AG384" s="300">
        <f t="shared" si="50"/>
        <v>214</v>
      </c>
      <c r="AH384" s="42">
        <f t="shared" si="56"/>
        <v>2</v>
      </c>
      <c r="AI384" s="42">
        <f t="shared" si="56"/>
        <v>0</v>
      </c>
      <c r="AJ384" s="42">
        <f t="shared" si="56"/>
        <v>0</v>
      </c>
      <c r="AK384" s="42">
        <f t="shared" si="56"/>
        <v>0</v>
      </c>
      <c r="AL384" s="42">
        <f t="shared" si="54"/>
        <v>0</v>
      </c>
      <c r="AM384" s="42">
        <f t="shared" si="54"/>
        <v>0</v>
      </c>
      <c r="AN384" s="42">
        <f t="shared" si="54"/>
        <v>0</v>
      </c>
      <c r="AO384" s="42">
        <f t="shared" si="54"/>
        <v>2</v>
      </c>
    </row>
    <row r="385" spans="1:41" ht="15.75">
      <c r="A385" s="16">
        <f t="shared" si="53"/>
        <v>382</v>
      </c>
      <c r="B385" s="390">
        <v>3603</v>
      </c>
      <c r="C385" s="391" t="s">
        <v>5994</v>
      </c>
      <c r="D385" s="392" t="s">
        <v>4063</v>
      </c>
      <c r="E385" s="393" t="s">
        <v>5995</v>
      </c>
      <c r="F385" s="394" t="s">
        <v>5996</v>
      </c>
      <c r="G385" s="429" t="s">
        <v>6475</v>
      </c>
      <c r="H385" s="395">
        <v>30900</v>
      </c>
      <c r="I385" s="396">
        <v>43753</v>
      </c>
      <c r="J385" s="459" t="s">
        <v>6293</v>
      </c>
      <c r="K385" s="460" t="s">
        <v>45</v>
      </c>
      <c r="L385" s="460" t="s">
        <v>6350</v>
      </c>
      <c r="M385" s="1">
        <v>192</v>
      </c>
      <c r="N385" s="431">
        <f t="shared" si="51"/>
        <v>3</v>
      </c>
      <c r="O385" s="432">
        <v>0</v>
      </c>
      <c r="P385" s="432">
        <v>0</v>
      </c>
      <c r="Q385" s="432">
        <v>0</v>
      </c>
      <c r="R385" s="1">
        <v>7</v>
      </c>
      <c r="S385" s="1">
        <v>10</v>
      </c>
      <c r="T385" s="300">
        <f t="shared" si="52"/>
        <v>212</v>
      </c>
      <c r="U385" s="3"/>
      <c r="V385" s="3"/>
      <c r="W385" s="3"/>
      <c r="X385" s="3"/>
      <c r="Y385" s="3"/>
      <c r="Z385" s="20">
        <f t="shared" ref="Z385:Z444" si="59">M385+2</f>
        <v>194</v>
      </c>
      <c r="AA385" s="20">
        <f t="shared" si="58"/>
        <v>3</v>
      </c>
      <c r="AB385" s="20">
        <f t="shared" si="58"/>
        <v>0</v>
      </c>
      <c r="AC385" s="20">
        <f t="shared" si="58"/>
        <v>0</v>
      </c>
      <c r="AD385" s="20">
        <f t="shared" si="57"/>
        <v>0</v>
      </c>
      <c r="AE385" s="20">
        <f t="shared" si="57"/>
        <v>7</v>
      </c>
      <c r="AF385" s="20">
        <f t="shared" si="57"/>
        <v>10</v>
      </c>
      <c r="AG385" s="300">
        <f t="shared" ref="AG385:AG444" si="60">SUM(Z385:AF385)</f>
        <v>214</v>
      </c>
      <c r="AH385" s="42">
        <f t="shared" si="56"/>
        <v>2</v>
      </c>
      <c r="AI385" s="42">
        <f t="shared" si="56"/>
        <v>0</v>
      </c>
      <c r="AJ385" s="42">
        <f t="shared" si="56"/>
        <v>0</v>
      </c>
      <c r="AK385" s="42">
        <f t="shared" si="56"/>
        <v>0</v>
      </c>
      <c r="AL385" s="42">
        <f t="shared" si="54"/>
        <v>0</v>
      </c>
      <c r="AM385" s="42">
        <f t="shared" si="54"/>
        <v>0</v>
      </c>
      <c r="AN385" s="42">
        <f t="shared" si="54"/>
        <v>0</v>
      </c>
      <c r="AO385" s="42">
        <f t="shared" si="54"/>
        <v>2</v>
      </c>
    </row>
    <row r="386" spans="1:41" ht="15.75">
      <c r="A386" s="16">
        <f t="shared" si="53"/>
        <v>383</v>
      </c>
      <c r="B386" s="390">
        <v>3781</v>
      </c>
      <c r="C386" s="391" t="s">
        <v>452</v>
      </c>
      <c r="D386" s="392" t="s">
        <v>2909</v>
      </c>
      <c r="E386" s="393" t="s">
        <v>454</v>
      </c>
      <c r="F386" s="394" t="s">
        <v>5346</v>
      </c>
      <c r="G386" s="429" t="s">
        <v>6473</v>
      </c>
      <c r="H386" s="395">
        <v>32204</v>
      </c>
      <c r="I386" s="396">
        <v>43770</v>
      </c>
      <c r="J386" s="459" t="s">
        <v>6293</v>
      </c>
      <c r="K386" s="460" t="s">
        <v>6134</v>
      </c>
      <c r="L386" s="460" t="s">
        <v>6335</v>
      </c>
      <c r="M386" s="1">
        <v>192</v>
      </c>
      <c r="N386" s="431">
        <f t="shared" ref="N386:N445" si="61">ROUNDDOWN(INT($N$1-I386-16)/365,0)+1</f>
        <v>3</v>
      </c>
      <c r="O386" s="432">
        <v>0</v>
      </c>
      <c r="P386" s="432">
        <v>0</v>
      </c>
      <c r="Q386" s="432">
        <v>0</v>
      </c>
      <c r="R386" s="1">
        <v>7</v>
      </c>
      <c r="S386" s="1">
        <v>10</v>
      </c>
      <c r="T386" s="300">
        <f t="shared" ref="T386:T445" si="62">SUM(M386:S386)</f>
        <v>212</v>
      </c>
      <c r="U386" s="3"/>
      <c r="V386" s="3"/>
      <c r="W386" s="3"/>
      <c r="X386" s="3"/>
      <c r="Y386" s="3"/>
      <c r="Z386" s="20">
        <f t="shared" si="59"/>
        <v>194</v>
      </c>
      <c r="AA386" s="20">
        <f t="shared" si="58"/>
        <v>3</v>
      </c>
      <c r="AB386" s="20">
        <f t="shared" si="58"/>
        <v>0</v>
      </c>
      <c r="AC386" s="20">
        <f t="shared" si="58"/>
        <v>0</v>
      </c>
      <c r="AD386" s="20">
        <f t="shared" si="57"/>
        <v>0</v>
      </c>
      <c r="AE386" s="20">
        <f t="shared" si="57"/>
        <v>7</v>
      </c>
      <c r="AF386" s="20">
        <f t="shared" si="57"/>
        <v>10</v>
      </c>
      <c r="AG386" s="300">
        <f t="shared" si="60"/>
        <v>214</v>
      </c>
      <c r="AH386" s="42">
        <f t="shared" si="56"/>
        <v>2</v>
      </c>
      <c r="AI386" s="42">
        <f t="shared" si="56"/>
        <v>0</v>
      </c>
      <c r="AJ386" s="42">
        <f t="shared" si="56"/>
        <v>0</v>
      </c>
      <c r="AK386" s="42">
        <f t="shared" si="56"/>
        <v>0</v>
      </c>
      <c r="AL386" s="42">
        <f t="shared" si="54"/>
        <v>0</v>
      </c>
      <c r="AM386" s="42">
        <f t="shared" si="54"/>
        <v>0</v>
      </c>
      <c r="AN386" s="42">
        <f t="shared" si="54"/>
        <v>0</v>
      </c>
      <c r="AO386" s="42">
        <f t="shared" si="54"/>
        <v>2</v>
      </c>
    </row>
    <row r="387" spans="1:41" ht="15.75">
      <c r="A387" s="16">
        <f t="shared" si="53"/>
        <v>384</v>
      </c>
      <c r="B387" s="390">
        <v>3811</v>
      </c>
      <c r="C387" s="391" t="s">
        <v>387</v>
      </c>
      <c r="D387" s="392" t="s">
        <v>1687</v>
      </c>
      <c r="E387" s="393" t="s">
        <v>1765</v>
      </c>
      <c r="F387" s="394" t="s">
        <v>98</v>
      </c>
      <c r="G387" s="429" t="s">
        <v>6473</v>
      </c>
      <c r="H387" s="395">
        <v>32152</v>
      </c>
      <c r="I387" s="396">
        <v>43784</v>
      </c>
      <c r="J387" s="459" t="s">
        <v>6293</v>
      </c>
      <c r="K387" s="460" t="s">
        <v>6308</v>
      </c>
      <c r="L387" s="460" t="s">
        <v>6335</v>
      </c>
      <c r="M387" s="1">
        <v>192</v>
      </c>
      <c r="N387" s="431">
        <f t="shared" si="61"/>
        <v>3</v>
      </c>
      <c r="O387" s="432">
        <v>0</v>
      </c>
      <c r="P387" s="432">
        <v>0</v>
      </c>
      <c r="Q387" s="432">
        <v>0</v>
      </c>
      <c r="R387" s="1">
        <v>7</v>
      </c>
      <c r="S387" s="1">
        <v>10</v>
      </c>
      <c r="T387" s="300">
        <f t="shared" si="62"/>
        <v>212</v>
      </c>
      <c r="U387" s="3"/>
      <c r="V387" s="3"/>
      <c r="W387" s="3"/>
      <c r="X387" s="3"/>
      <c r="Y387" s="3"/>
      <c r="Z387" s="20">
        <f t="shared" si="59"/>
        <v>194</v>
      </c>
      <c r="AA387" s="20">
        <f t="shared" si="58"/>
        <v>3</v>
      </c>
      <c r="AB387" s="20">
        <f t="shared" si="58"/>
        <v>0</v>
      </c>
      <c r="AC387" s="20">
        <f t="shared" si="58"/>
        <v>0</v>
      </c>
      <c r="AD387" s="20">
        <f t="shared" si="57"/>
        <v>0</v>
      </c>
      <c r="AE387" s="20">
        <f t="shared" si="57"/>
        <v>7</v>
      </c>
      <c r="AF387" s="20">
        <f t="shared" si="57"/>
        <v>10</v>
      </c>
      <c r="AG387" s="300">
        <f t="shared" si="60"/>
        <v>214</v>
      </c>
      <c r="AH387" s="42">
        <f t="shared" si="56"/>
        <v>2</v>
      </c>
      <c r="AI387" s="42">
        <f t="shared" si="56"/>
        <v>0</v>
      </c>
      <c r="AJ387" s="42">
        <f t="shared" si="56"/>
        <v>0</v>
      </c>
      <c r="AK387" s="42">
        <f t="shared" si="56"/>
        <v>0</v>
      </c>
      <c r="AL387" s="42">
        <f t="shared" si="54"/>
        <v>0</v>
      </c>
      <c r="AM387" s="42">
        <f t="shared" si="54"/>
        <v>0</v>
      </c>
      <c r="AN387" s="42">
        <f t="shared" si="54"/>
        <v>0</v>
      </c>
      <c r="AO387" s="42">
        <f t="shared" si="54"/>
        <v>2</v>
      </c>
    </row>
    <row r="388" spans="1:41" ht="15.75">
      <c r="A388" s="16">
        <f t="shared" si="53"/>
        <v>385</v>
      </c>
      <c r="B388" s="390">
        <v>3821</v>
      </c>
      <c r="C388" s="391" t="s">
        <v>5405</v>
      </c>
      <c r="D388" s="392" t="s">
        <v>5406</v>
      </c>
      <c r="E388" s="393" t="s">
        <v>5407</v>
      </c>
      <c r="F388" s="394" t="s">
        <v>5408</v>
      </c>
      <c r="G388" s="429" t="s">
        <v>6473</v>
      </c>
      <c r="H388" s="395">
        <v>32156</v>
      </c>
      <c r="I388" s="396">
        <v>43785</v>
      </c>
      <c r="J388" s="459" t="s">
        <v>6293</v>
      </c>
      <c r="K388" s="460" t="s">
        <v>6351</v>
      </c>
      <c r="L388" s="460" t="s">
        <v>6335</v>
      </c>
      <c r="M388" s="1">
        <v>192</v>
      </c>
      <c r="N388" s="431">
        <f t="shared" si="61"/>
        <v>3</v>
      </c>
      <c r="O388" s="432">
        <v>0</v>
      </c>
      <c r="P388" s="432">
        <v>0</v>
      </c>
      <c r="Q388" s="432">
        <v>0</v>
      </c>
      <c r="R388" s="1">
        <v>7</v>
      </c>
      <c r="S388" s="1">
        <v>10</v>
      </c>
      <c r="T388" s="300">
        <f t="shared" si="62"/>
        <v>212</v>
      </c>
      <c r="U388" s="3"/>
      <c r="V388" s="3"/>
      <c r="W388" s="3"/>
      <c r="X388" s="3"/>
      <c r="Y388" s="3"/>
      <c r="Z388" s="20">
        <f t="shared" si="59"/>
        <v>194</v>
      </c>
      <c r="AA388" s="20">
        <f t="shared" si="58"/>
        <v>3</v>
      </c>
      <c r="AB388" s="20">
        <f t="shared" si="58"/>
        <v>0</v>
      </c>
      <c r="AC388" s="20">
        <f t="shared" si="58"/>
        <v>0</v>
      </c>
      <c r="AD388" s="20">
        <f t="shared" si="57"/>
        <v>0</v>
      </c>
      <c r="AE388" s="20">
        <f t="shared" si="57"/>
        <v>7</v>
      </c>
      <c r="AF388" s="20">
        <f t="shared" si="57"/>
        <v>10</v>
      </c>
      <c r="AG388" s="300">
        <f t="shared" si="60"/>
        <v>214</v>
      </c>
      <c r="AH388" s="42">
        <f t="shared" si="56"/>
        <v>2</v>
      </c>
      <c r="AI388" s="42">
        <f t="shared" si="56"/>
        <v>0</v>
      </c>
      <c r="AJ388" s="42">
        <f t="shared" si="56"/>
        <v>0</v>
      </c>
      <c r="AK388" s="42">
        <f t="shared" si="56"/>
        <v>0</v>
      </c>
      <c r="AL388" s="42">
        <f t="shared" si="54"/>
        <v>0</v>
      </c>
      <c r="AM388" s="42">
        <f t="shared" si="54"/>
        <v>0</v>
      </c>
      <c r="AN388" s="42">
        <f t="shared" si="54"/>
        <v>0</v>
      </c>
      <c r="AO388" s="42">
        <f t="shared" si="54"/>
        <v>2</v>
      </c>
    </row>
    <row r="389" spans="1:41" ht="15.75">
      <c r="A389" s="16">
        <f t="shared" si="53"/>
        <v>386</v>
      </c>
      <c r="B389" s="390">
        <v>3804</v>
      </c>
      <c r="C389" s="391" t="s">
        <v>590</v>
      </c>
      <c r="D389" s="392" t="s">
        <v>2236</v>
      </c>
      <c r="E389" s="393" t="s">
        <v>4503</v>
      </c>
      <c r="F389" s="394" t="s">
        <v>5540</v>
      </c>
      <c r="G389" s="429" t="s">
        <v>6473</v>
      </c>
      <c r="H389" s="395">
        <v>29434</v>
      </c>
      <c r="I389" s="396">
        <v>43773</v>
      </c>
      <c r="J389" s="459" t="s">
        <v>6293</v>
      </c>
      <c r="K389" s="460" t="s">
        <v>6125</v>
      </c>
      <c r="L389" s="460" t="s">
        <v>6339</v>
      </c>
      <c r="M389" s="1">
        <v>192</v>
      </c>
      <c r="N389" s="431">
        <f t="shared" si="61"/>
        <v>3</v>
      </c>
      <c r="O389" s="432">
        <v>0</v>
      </c>
      <c r="P389" s="432">
        <v>0</v>
      </c>
      <c r="Q389" s="432">
        <v>0</v>
      </c>
      <c r="R389" s="1">
        <v>7</v>
      </c>
      <c r="S389" s="1">
        <v>10</v>
      </c>
      <c r="T389" s="300">
        <f t="shared" si="62"/>
        <v>212</v>
      </c>
      <c r="U389" s="3"/>
      <c r="V389" s="3"/>
      <c r="W389" s="3"/>
      <c r="X389" s="3"/>
      <c r="Y389" s="3"/>
      <c r="Z389" s="20">
        <f t="shared" si="59"/>
        <v>194</v>
      </c>
      <c r="AA389" s="20">
        <f t="shared" si="58"/>
        <v>3</v>
      </c>
      <c r="AB389" s="20">
        <f t="shared" si="58"/>
        <v>0</v>
      </c>
      <c r="AC389" s="20">
        <f t="shared" si="58"/>
        <v>0</v>
      </c>
      <c r="AD389" s="20">
        <f t="shared" si="57"/>
        <v>0</v>
      </c>
      <c r="AE389" s="20">
        <f t="shared" si="57"/>
        <v>7</v>
      </c>
      <c r="AF389" s="20">
        <f t="shared" si="57"/>
        <v>10</v>
      </c>
      <c r="AG389" s="300">
        <f t="shared" si="60"/>
        <v>214</v>
      </c>
      <c r="AH389" s="42">
        <f t="shared" si="56"/>
        <v>2</v>
      </c>
      <c r="AI389" s="42">
        <f t="shared" si="56"/>
        <v>0</v>
      </c>
      <c r="AJ389" s="42">
        <f t="shared" si="56"/>
        <v>0</v>
      </c>
      <c r="AK389" s="42">
        <f t="shared" si="56"/>
        <v>0</v>
      </c>
      <c r="AL389" s="42">
        <f t="shared" si="54"/>
        <v>0</v>
      </c>
      <c r="AM389" s="42">
        <f t="shared" si="54"/>
        <v>0</v>
      </c>
      <c r="AN389" s="42">
        <f t="shared" si="54"/>
        <v>0</v>
      </c>
      <c r="AO389" s="42">
        <f t="shared" si="54"/>
        <v>2</v>
      </c>
    </row>
    <row r="390" spans="1:41" ht="15.75">
      <c r="A390" s="16">
        <f t="shared" si="53"/>
        <v>387</v>
      </c>
      <c r="B390" s="390">
        <v>3838</v>
      </c>
      <c r="C390" s="391" t="s">
        <v>2422</v>
      </c>
      <c r="D390" s="392" t="s">
        <v>3907</v>
      </c>
      <c r="E390" s="393" t="s">
        <v>4513</v>
      </c>
      <c r="F390" s="394" t="s">
        <v>3909</v>
      </c>
      <c r="G390" s="429" t="s">
        <v>6473</v>
      </c>
      <c r="H390" s="395">
        <v>29771</v>
      </c>
      <c r="I390" s="396">
        <v>43787</v>
      </c>
      <c r="J390" s="459" t="s">
        <v>6293</v>
      </c>
      <c r="K390" s="460" t="s">
        <v>6307</v>
      </c>
      <c r="L390" s="460" t="s">
        <v>6335</v>
      </c>
      <c r="M390" s="1">
        <v>192</v>
      </c>
      <c r="N390" s="431">
        <f t="shared" si="61"/>
        <v>3</v>
      </c>
      <c r="O390" s="432">
        <v>0</v>
      </c>
      <c r="P390" s="432">
        <v>0</v>
      </c>
      <c r="Q390" s="432">
        <v>0</v>
      </c>
      <c r="R390" s="1">
        <v>7</v>
      </c>
      <c r="S390" s="1">
        <v>10</v>
      </c>
      <c r="T390" s="300">
        <f t="shared" si="62"/>
        <v>212</v>
      </c>
      <c r="U390" s="3"/>
      <c r="V390" s="3"/>
      <c r="W390" s="3"/>
      <c r="X390" s="3"/>
      <c r="Y390" s="3"/>
      <c r="Z390" s="20">
        <f t="shared" si="59"/>
        <v>194</v>
      </c>
      <c r="AA390" s="20">
        <f t="shared" si="58"/>
        <v>3</v>
      </c>
      <c r="AB390" s="20">
        <f t="shared" si="58"/>
        <v>0</v>
      </c>
      <c r="AC390" s="20">
        <f t="shared" si="58"/>
        <v>0</v>
      </c>
      <c r="AD390" s="20">
        <f t="shared" si="57"/>
        <v>0</v>
      </c>
      <c r="AE390" s="20">
        <f t="shared" si="57"/>
        <v>7</v>
      </c>
      <c r="AF390" s="20">
        <f t="shared" si="57"/>
        <v>10</v>
      </c>
      <c r="AG390" s="300">
        <f t="shared" si="60"/>
        <v>214</v>
      </c>
      <c r="AH390" s="42">
        <f t="shared" si="56"/>
        <v>2</v>
      </c>
      <c r="AI390" s="42">
        <f t="shared" si="56"/>
        <v>0</v>
      </c>
      <c r="AJ390" s="42">
        <f t="shared" si="56"/>
        <v>0</v>
      </c>
      <c r="AK390" s="42">
        <f t="shared" si="56"/>
        <v>0</v>
      </c>
      <c r="AL390" s="42">
        <f t="shared" si="54"/>
        <v>0</v>
      </c>
      <c r="AM390" s="42">
        <f t="shared" si="54"/>
        <v>0</v>
      </c>
      <c r="AN390" s="42">
        <f t="shared" si="54"/>
        <v>0</v>
      </c>
      <c r="AO390" s="42">
        <f t="shared" si="54"/>
        <v>2</v>
      </c>
    </row>
    <row r="391" spans="1:41" ht="15.75">
      <c r="A391" s="16">
        <f t="shared" si="53"/>
        <v>388</v>
      </c>
      <c r="B391" s="390">
        <v>3828</v>
      </c>
      <c r="C391" s="391" t="s">
        <v>2319</v>
      </c>
      <c r="D391" s="392" t="s">
        <v>1378</v>
      </c>
      <c r="E391" s="393" t="s">
        <v>5153</v>
      </c>
      <c r="F391" s="394" t="s">
        <v>1379</v>
      </c>
      <c r="G391" s="429" t="s">
        <v>6473</v>
      </c>
      <c r="H391" s="395">
        <v>30841</v>
      </c>
      <c r="I391" s="396">
        <v>43787</v>
      </c>
      <c r="J391" s="459" t="s">
        <v>6293</v>
      </c>
      <c r="K391" s="460" t="s">
        <v>6387</v>
      </c>
      <c r="L391" s="460" t="s">
        <v>6335</v>
      </c>
      <c r="M391" s="1">
        <v>192</v>
      </c>
      <c r="N391" s="431">
        <f t="shared" si="61"/>
        <v>3</v>
      </c>
      <c r="O391" s="432">
        <v>0</v>
      </c>
      <c r="P391" s="432">
        <v>0</v>
      </c>
      <c r="Q391" s="432">
        <v>0</v>
      </c>
      <c r="R391" s="1">
        <v>7</v>
      </c>
      <c r="S391" s="1">
        <v>10</v>
      </c>
      <c r="T391" s="300">
        <f t="shared" si="62"/>
        <v>212</v>
      </c>
      <c r="U391" s="3"/>
      <c r="V391" s="3"/>
      <c r="W391" s="3"/>
      <c r="X391" s="3"/>
      <c r="Y391" s="3"/>
      <c r="Z391" s="20">
        <f t="shared" si="59"/>
        <v>194</v>
      </c>
      <c r="AA391" s="20">
        <f t="shared" si="58"/>
        <v>3</v>
      </c>
      <c r="AB391" s="20">
        <f t="shared" si="58"/>
        <v>0</v>
      </c>
      <c r="AC391" s="20">
        <f t="shared" si="58"/>
        <v>0</v>
      </c>
      <c r="AD391" s="20">
        <f t="shared" si="57"/>
        <v>0</v>
      </c>
      <c r="AE391" s="20">
        <f t="shared" si="57"/>
        <v>7</v>
      </c>
      <c r="AF391" s="20">
        <f t="shared" si="57"/>
        <v>10</v>
      </c>
      <c r="AG391" s="300">
        <f t="shared" si="60"/>
        <v>214</v>
      </c>
      <c r="AH391" s="42">
        <f t="shared" si="56"/>
        <v>2</v>
      </c>
      <c r="AI391" s="42">
        <f t="shared" si="56"/>
        <v>0</v>
      </c>
      <c r="AJ391" s="42">
        <f t="shared" si="56"/>
        <v>0</v>
      </c>
      <c r="AK391" s="42">
        <f t="shared" si="56"/>
        <v>0</v>
      </c>
      <c r="AL391" s="42">
        <f t="shared" si="54"/>
        <v>0</v>
      </c>
      <c r="AM391" s="42">
        <f t="shared" si="54"/>
        <v>0</v>
      </c>
      <c r="AN391" s="42">
        <f t="shared" si="54"/>
        <v>0</v>
      </c>
      <c r="AO391" s="42">
        <f t="shared" si="54"/>
        <v>2</v>
      </c>
    </row>
    <row r="392" spans="1:41" ht="15.75">
      <c r="A392" s="16">
        <f t="shared" si="53"/>
        <v>389</v>
      </c>
      <c r="B392" s="390">
        <v>3841</v>
      </c>
      <c r="C392" s="391" t="s">
        <v>4180</v>
      </c>
      <c r="D392" s="392" t="s">
        <v>2120</v>
      </c>
      <c r="E392" s="393" t="s">
        <v>5655</v>
      </c>
      <c r="F392" s="394" t="s">
        <v>2264</v>
      </c>
      <c r="G392" s="429" t="s">
        <v>6473</v>
      </c>
      <c r="H392" s="395">
        <v>28995</v>
      </c>
      <c r="I392" s="396">
        <v>43787</v>
      </c>
      <c r="J392" s="459" t="s">
        <v>6293</v>
      </c>
      <c r="K392" s="460" t="s">
        <v>6305</v>
      </c>
      <c r="L392" s="460" t="s">
        <v>6335</v>
      </c>
      <c r="M392" s="1">
        <v>192</v>
      </c>
      <c r="N392" s="431">
        <f t="shared" si="61"/>
        <v>3</v>
      </c>
      <c r="O392" s="432">
        <v>0</v>
      </c>
      <c r="P392" s="432">
        <v>0</v>
      </c>
      <c r="Q392" s="432">
        <v>0</v>
      </c>
      <c r="R392" s="1">
        <v>7</v>
      </c>
      <c r="S392" s="1">
        <v>10</v>
      </c>
      <c r="T392" s="300">
        <f t="shared" si="62"/>
        <v>212</v>
      </c>
      <c r="U392" s="3"/>
      <c r="V392" s="3"/>
      <c r="W392" s="3"/>
      <c r="X392" s="3"/>
      <c r="Y392" s="3"/>
      <c r="Z392" s="20">
        <f t="shared" si="59"/>
        <v>194</v>
      </c>
      <c r="AA392" s="20">
        <f t="shared" si="58"/>
        <v>3</v>
      </c>
      <c r="AB392" s="20">
        <f t="shared" si="58"/>
        <v>0</v>
      </c>
      <c r="AC392" s="20">
        <f t="shared" si="58"/>
        <v>0</v>
      </c>
      <c r="AD392" s="20">
        <f t="shared" si="57"/>
        <v>0</v>
      </c>
      <c r="AE392" s="20">
        <f t="shared" si="57"/>
        <v>7</v>
      </c>
      <c r="AF392" s="20">
        <f t="shared" si="57"/>
        <v>10</v>
      </c>
      <c r="AG392" s="300">
        <f t="shared" si="60"/>
        <v>214</v>
      </c>
      <c r="AH392" s="42">
        <f t="shared" si="56"/>
        <v>2</v>
      </c>
      <c r="AI392" s="42">
        <f t="shared" si="56"/>
        <v>0</v>
      </c>
      <c r="AJ392" s="42">
        <f t="shared" si="56"/>
        <v>0</v>
      </c>
      <c r="AK392" s="42">
        <f t="shared" si="56"/>
        <v>0</v>
      </c>
      <c r="AL392" s="42">
        <f t="shared" si="54"/>
        <v>0</v>
      </c>
      <c r="AM392" s="42">
        <f t="shared" si="54"/>
        <v>0</v>
      </c>
      <c r="AN392" s="42">
        <f t="shared" si="54"/>
        <v>0</v>
      </c>
      <c r="AO392" s="42">
        <f t="shared" si="54"/>
        <v>2</v>
      </c>
    </row>
    <row r="393" spans="1:41" ht="15.75">
      <c r="A393" s="16">
        <f t="shared" ref="A393:A456" si="63">1+A392</f>
        <v>390</v>
      </c>
      <c r="B393" s="390">
        <v>3423</v>
      </c>
      <c r="C393" s="391" t="s">
        <v>5738</v>
      </c>
      <c r="D393" s="392" t="s">
        <v>5739</v>
      </c>
      <c r="E393" s="393" t="s">
        <v>4607</v>
      </c>
      <c r="F393" s="394" t="s">
        <v>5740</v>
      </c>
      <c r="G393" s="429" t="s">
        <v>6475</v>
      </c>
      <c r="H393" s="395">
        <v>33640</v>
      </c>
      <c r="I393" s="396">
        <v>43771</v>
      </c>
      <c r="J393" s="459" t="s">
        <v>6293</v>
      </c>
      <c r="K393" s="460" t="s">
        <v>6304</v>
      </c>
      <c r="L393" s="460" t="s">
        <v>6335</v>
      </c>
      <c r="M393" s="1">
        <v>192</v>
      </c>
      <c r="N393" s="431">
        <f t="shared" si="61"/>
        <v>3</v>
      </c>
      <c r="O393" s="432">
        <v>0</v>
      </c>
      <c r="P393" s="432">
        <v>0</v>
      </c>
      <c r="Q393" s="432">
        <v>0</v>
      </c>
      <c r="R393" s="1">
        <v>7</v>
      </c>
      <c r="S393" s="1">
        <v>10</v>
      </c>
      <c r="T393" s="300">
        <f t="shared" si="62"/>
        <v>212</v>
      </c>
      <c r="U393" s="3"/>
      <c r="V393" s="3"/>
      <c r="W393" s="3"/>
      <c r="X393" s="3"/>
      <c r="Y393" s="3"/>
      <c r="Z393" s="20">
        <f t="shared" si="59"/>
        <v>194</v>
      </c>
      <c r="AA393" s="20">
        <f t="shared" si="58"/>
        <v>3</v>
      </c>
      <c r="AB393" s="20">
        <f t="shared" si="58"/>
        <v>0</v>
      </c>
      <c r="AC393" s="20">
        <f t="shared" si="58"/>
        <v>0</v>
      </c>
      <c r="AD393" s="20">
        <f t="shared" si="57"/>
        <v>0</v>
      </c>
      <c r="AE393" s="20">
        <f t="shared" si="57"/>
        <v>7</v>
      </c>
      <c r="AF393" s="20">
        <f t="shared" si="57"/>
        <v>10</v>
      </c>
      <c r="AG393" s="300">
        <f t="shared" si="60"/>
        <v>214</v>
      </c>
      <c r="AH393" s="42">
        <f t="shared" si="56"/>
        <v>2</v>
      </c>
      <c r="AI393" s="42">
        <f t="shared" si="56"/>
        <v>0</v>
      </c>
      <c r="AJ393" s="42">
        <f t="shared" si="56"/>
        <v>0</v>
      </c>
      <c r="AK393" s="42">
        <f t="shared" si="56"/>
        <v>0</v>
      </c>
      <c r="AL393" s="42">
        <f t="shared" si="54"/>
        <v>0</v>
      </c>
      <c r="AM393" s="42">
        <f t="shared" si="54"/>
        <v>0</v>
      </c>
      <c r="AN393" s="42">
        <f t="shared" si="54"/>
        <v>0</v>
      </c>
      <c r="AO393" s="42">
        <f t="shared" ref="AO393:AO452" si="64">AG393-T393</f>
        <v>2</v>
      </c>
    </row>
    <row r="394" spans="1:41" ht="15.75">
      <c r="A394" s="16">
        <f t="shared" si="63"/>
        <v>391</v>
      </c>
      <c r="B394" s="390">
        <v>3426</v>
      </c>
      <c r="C394" s="391" t="s">
        <v>4556</v>
      </c>
      <c r="D394" s="392" t="s">
        <v>5745</v>
      </c>
      <c r="E394" s="393" t="s">
        <v>3892</v>
      </c>
      <c r="F394" s="394" t="s">
        <v>5746</v>
      </c>
      <c r="G394" s="429" t="s">
        <v>6475</v>
      </c>
      <c r="H394" s="395">
        <v>34765</v>
      </c>
      <c r="I394" s="396">
        <v>43771</v>
      </c>
      <c r="J394" s="459" t="s">
        <v>6293</v>
      </c>
      <c r="K394" s="460" t="s">
        <v>6127</v>
      </c>
      <c r="L394" s="460" t="s">
        <v>6342</v>
      </c>
      <c r="M394" s="1">
        <v>192</v>
      </c>
      <c r="N394" s="431">
        <f t="shared" si="61"/>
        <v>3</v>
      </c>
      <c r="O394" s="432">
        <v>20</v>
      </c>
      <c r="P394" s="432">
        <v>30</v>
      </c>
      <c r="Q394" s="432">
        <v>0</v>
      </c>
      <c r="R394" s="1">
        <v>7</v>
      </c>
      <c r="S394" s="1">
        <v>10</v>
      </c>
      <c r="T394" s="300">
        <f t="shared" si="62"/>
        <v>262</v>
      </c>
      <c r="U394" s="3"/>
      <c r="V394" s="3"/>
      <c r="W394" s="3"/>
      <c r="X394" s="3"/>
      <c r="Y394" s="3"/>
      <c r="Z394" s="20">
        <f t="shared" si="59"/>
        <v>194</v>
      </c>
      <c r="AA394" s="20">
        <f t="shared" si="58"/>
        <v>3</v>
      </c>
      <c r="AB394" s="20">
        <f t="shared" si="58"/>
        <v>20</v>
      </c>
      <c r="AC394" s="20">
        <f t="shared" si="58"/>
        <v>30</v>
      </c>
      <c r="AD394" s="20">
        <f t="shared" si="57"/>
        <v>0</v>
      </c>
      <c r="AE394" s="20">
        <f t="shared" si="57"/>
        <v>7</v>
      </c>
      <c r="AF394" s="20">
        <f t="shared" si="57"/>
        <v>10</v>
      </c>
      <c r="AG394" s="300">
        <f t="shared" si="60"/>
        <v>264</v>
      </c>
      <c r="AH394" s="42">
        <f t="shared" si="56"/>
        <v>2</v>
      </c>
      <c r="AI394" s="42">
        <f t="shared" si="56"/>
        <v>0</v>
      </c>
      <c r="AJ394" s="42">
        <f t="shared" si="56"/>
        <v>0</v>
      </c>
      <c r="AK394" s="42">
        <f t="shared" si="56"/>
        <v>0</v>
      </c>
      <c r="AL394" s="42">
        <f t="shared" si="56"/>
        <v>0</v>
      </c>
      <c r="AM394" s="42">
        <f t="shared" si="56"/>
        <v>0</v>
      </c>
      <c r="AN394" s="42">
        <f t="shared" si="56"/>
        <v>0</v>
      </c>
      <c r="AO394" s="42">
        <f t="shared" si="64"/>
        <v>2</v>
      </c>
    </row>
    <row r="395" spans="1:41" ht="15.75">
      <c r="A395" s="16">
        <f t="shared" si="63"/>
        <v>392</v>
      </c>
      <c r="B395" s="390">
        <v>3422</v>
      </c>
      <c r="C395" s="391" t="s">
        <v>535</v>
      </c>
      <c r="D395" s="392" t="s">
        <v>2016</v>
      </c>
      <c r="E395" s="393" t="s">
        <v>5010</v>
      </c>
      <c r="F395" s="394" t="s">
        <v>902</v>
      </c>
      <c r="G395" s="429" t="s">
        <v>6473</v>
      </c>
      <c r="H395" s="395">
        <v>28627</v>
      </c>
      <c r="I395" s="396">
        <v>43771</v>
      </c>
      <c r="J395" s="459" t="s">
        <v>6293</v>
      </c>
      <c r="K395" s="460" t="s">
        <v>6305</v>
      </c>
      <c r="L395" s="460" t="s">
        <v>6335</v>
      </c>
      <c r="M395" s="1">
        <v>192</v>
      </c>
      <c r="N395" s="431">
        <f t="shared" si="61"/>
        <v>3</v>
      </c>
      <c r="O395" s="432">
        <v>0</v>
      </c>
      <c r="P395" s="432">
        <v>0</v>
      </c>
      <c r="Q395" s="432">
        <v>0</v>
      </c>
      <c r="R395" s="1">
        <v>7</v>
      </c>
      <c r="S395" s="1">
        <v>10</v>
      </c>
      <c r="T395" s="300">
        <f t="shared" si="62"/>
        <v>212</v>
      </c>
      <c r="U395" s="3"/>
      <c r="V395" s="3"/>
      <c r="W395" s="3"/>
      <c r="X395" s="3"/>
      <c r="Y395" s="3"/>
      <c r="Z395" s="20">
        <f t="shared" si="59"/>
        <v>194</v>
      </c>
      <c r="AA395" s="20">
        <f t="shared" si="58"/>
        <v>3</v>
      </c>
      <c r="AB395" s="20">
        <f t="shared" si="58"/>
        <v>0</v>
      </c>
      <c r="AC395" s="20">
        <f t="shared" si="58"/>
        <v>0</v>
      </c>
      <c r="AD395" s="20">
        <f t="shared" si="57"/>
        <v>0</v>
      </c>
      <c r="AE395" s="20">
        <f t="shared" si="57"/>
        <v>7</v>
      </c>
      <c r="AF395" s="20">
        <f t="shared" si="57"/>
        <v>10</v>
      </c>
      <c r="AG395" s="300">
        <f t="shared" si="60"/>
        <v>214</v>
      </c>
      <c r="AH395" s="42">
        <f t="shared" si="56"/>
        <v>2</v>
      </c>
      <c r="AI395" s="42">
        <f t="shared" si="56"/>
        <v>0</v>
      </c>
      <c r="AJ395" s="42">
        <f t="shared" si="56"/>
        <v>0</v>
      </c>
      <c r="AK395" s="42">
        <f t="shared" si="56"/>
        <v>0</v>
      </c>
      <c r="AL395" s="42">
        <f t="shared" si="56"/>
        <v>0</v>
      </c>
      <c r="AM395" s="42">
        <f t="shared" si="56"/>
        <v>0</v>
      </c>
      <c r="AN395" s="42">
        <f t="shared" si="56"/>
        <v>0</v>
      </c>
      <c r="AO395" s="42">
        <f t="shared" si="64"/>
        <v>2</v>
      </c>
    </row>
    <row r="396" spans="1:41" ht="15.75">
      <c r="A396" s="16">
        <f t="shared" si="63"/>
        <v>393</v>
      </c>
      <c r="B396" s="390">
        <v>3428</v>
      </c>
      <c r="C396" s="391" t="s">
        <v>2633</v>
      </c>
      <c r="D396" s="392" t="s">
        <v>5778</v>
      </c>
      <c r="E396" s="393" t="s">
        <v>5779</v>
      </c>
      <c r="F396" s="394" t="s">
        <v>5780</v>
      </c>
      <c r="G396" s="429" t="s">
        <v>6473</v>
      </c>
      <c r="H396" s="395">
        <v>32096</v>
      </c>
      <c r="I396" s="396">
        <v>43774</v>
      </c>
      <c r="J396" s="459" t="s">
        <v>6293</v>
      </c>
      <c r="K396" s="460" t="s">
        <v>397</v>
      </c>
      <c r="L396" s="460" t="s">
        <v>6336</v>
      </c>
      <c r="M396" s="1">
        <v>192</v>
      </c>
      <c r="N396" s="431">
        <f t="shared" si="61"/>
        <v>3</v>
      </c>
      <c r="O396" s="432">
        <v>0</v>
      </c>
      <c r="P396" s="432">
        <v>0</v>
      </c>
      <c r="Q396" s="432">
        <v>0</v>
      </c>
      <c r="R396" s="1">
        <v>7</v>
      </c>
      <c r="S396" s="1">
        <v>10</v>
      </c>
      <c r="T396" s="300">
        <f t="shared" si="62"/>
        <v>212</v>
      </c>
      <c r="U396" s="3"/>
      <c r="V396" s="3"/>
      <c r="W396" s="3"/>
      <c r="X396" s="3"/>
      <c r="Y396" s="3"/>
      <c r="Z396" s="20">
        <f t="shared" si="59"/>
        <v>194</v>
      </c>
      <c r="AA396" s="20">
        <f t="shared" si="58"/>
        <v>3</v>
      </c>
      <c r="AB396" s="20">
        <f t="shared" si="58"/>
        <v>0</v>
      </c>
      <c r="AC396" s="20">
        <f t="shared" si="58"/>
        <v>0</v>
      </c>
      <c r="AD396" s="20">
        <f t="shared" si="57"/>
        <v>0</v>
      </c>
      <c r="AE396" s="20">
        <f t="shared" si="57"/>
        <v>7</v>
      </c>
      <c r="AF396" s="20">
        <f t="shared" si="57"/>
        <v>10</v>
      </c>
      <c r="AG396" s="300">
        <f t="shared" si="60"/>
        <v>214</v>
      </c>
      <c r="AH396" s="42">
        <f t="shared" si="56"/>
        <v>2</v>
      </c>
      <c r="AI396" s="42">
        <f t="shared" si="56"/>
        <v>0</v>
      </c>
      <c r="AJ396" s="42">
        <f t="shared" si="56"/>
        <v>0</v>
      </c>
      <c r="AK396" s="42">
        <f t="shared" si="56"/>
        <v>0</v>
      </c>
      <c r="AL396" s="42">
        <f t="shared" si="56"/>
        <v>0</v>
      </c>
      <c r="AM396" s="42">
        <f t="shared" si="56"/>
        <v>0</v>
      </c>
      <c r="AN396" s="42">
        <f t="shared" si="56"/>
        <v>0</v>
      </c>
      <c r="AO396" s="42">
        <f t="shared" si="64"/>
        <v>2</v>
      </c>
    </row>
    <row r="397" spans="1:41" ht="15.75">
      <c r="A397" s="16">
        <f t="shared" si="63"/>
        <v>394</v>
      </c>
      <c r="B397" s="390">
        <v>3431</v>
      </c>
      <c r="C397" s="391" t="s">
        <v>1032</v>
      </c>
      <c r="D397" s="392" t="s">
        <v>5793</v>
      </c>
      <c r="E397" s="393" t="s">
        <v>1760</v>
      </c>
      <c r="F397" s="394" t="s">
        <v>5794</v>
      </c>
      <c r="G397" s="429" t="s">
        <v>6473</v>
      </c>
      <c r="H397" s="395">
        <v>30533</v>
      </c>
      <c r="I397" s="396">
        <v>43774</v>
      </c>
      <c r="J397" s="459" t="s">
        <v>6293</v>
      </c>
      <c r="K397" s="460" t="s">
        <v>6298</v>
      </c>
      <c r="L397" s="460" t="s">
        <v>6335</v>
      </c>
      <c r="M397" s="1">
        <v>192</v>
      </c>
      <c r="N397" s="431">
        <f t="shared" si="61"/>
        <v>3</v>
      </c>
      <c r="O397" s="432">
        <v>0</v>
      </c>
      <c r="P397" s="432">
        <v>0</v>
      </c>
      <c r="Q397" s="432">
        <v>0</v>
      </c>
      <c r="R397" s="1">
        <v>7</v>
      </c>
      <c r="S397" s="1">
        <v>10</v>
      </c>
      <c r="T397" s="300">
        <f t="shared" si="62"/>
        <v>212</v>
      </c>
      <c r="U397" s="3"/>
      <c r="V397" s="3"/>
      <c r="W397" s="3"/>
      <c r="X397" s="3"/>
      <c r="Y397" s="3"/>
      <c r="Z397" s="20">
        <f t="shared" si="59"/>
        <v>194</v>
      </c>
      <c r="AA397" s="20">
        <f t="shared" si="58"/>
        <v>3</v>
      </c>
      <c r="AB397" s="20">
        <f t="shared" si="58"/>
        <v>0</v>
      </c>
      <c r="AC397" s="20">
        <f t="shared" si="58"/>
        <v>0</v>
      </c>
      <c r="AD397" s="20">
        <f t="shared" si="57"/>
        <v>0</v>
      </c>
      <c r="AE397" s="20">
        <f t="shared" si="57"/>
        <v>7</v>
      </c>
      <c r="AF397" s="20">
        <f t="shared" si="57"/>
        <v>10</v>
      </c>
      <c r="AG397" s="300">
        <f t="shared" si="60"/>
        <v>214</v>
      </c>
      <c r="AH397" s="42">
        <f t="shared" si="56"/>
        <v>2</v>
      </c>
      <c r="AI397" s="42">
        <f t="shared" si="56"/>
        <v>0</v>
      </c>
      <c r="AJ397" s="42">
        <f t="shared" si="56"/>
        <v>0</v>
      </c>
      <c r="AK397" s="42">
        <f t="shared" si="56"/>
        <v>0</v>
      </c>
      <c r="AL397" s="42">
        <f t="shared" si="56"/>
        <v>0</v>
      </c>
      <c r="AM397" s="42">
        <f t="shared" si="56"/>
        <v>0</v>
      </c>
      <c r="AN397" s="42">
        <f t="shared" si="56"/>
        <v>0</v>
      </c>
      <c r="AO397" s="42">
        <f t="shared" si="64"/>
        <v>2</v>
      </c>
    </row>
    <row r="398" spans="1:41" ht="15.75">
      <c r="A398" s="16">
        <f t="shared" si="63"/>
        <v>395</v>
      </c>
      <c r="B398" s="390">
        <v>3427</v>
      </c>
      <c r="C398" s="391" t="s">
        <v>2753</v>
      </c>
      <c r="D398" s="392" t="s">
        <v>5798</v>
      </c>
      <c r="E398" s="393" t="s">
        <v>5799</v>
      </c>
      <c r="F398" s="394" t="s">
        <v>5800</v>
      </c>
      <c r="G398" s="429" t="s">
        <v>6473</v>
      </c>
      <c r="H398" s="395">
        <v>33117</v>
      </c>
      <c r="I398" s="396">
        <v>43771</v>
      </c>
      <c r="J398" s="459" t="s">
        <v>6293</v>
      </c>
      <c r="K398" s="460" t="s">
        <v>6307</v>
      </c>
      <c r="L398" s="460" t="s">
        <v>6335</v>
      </c>
      <c r="M398" s="1">
        <v>192</v>
      </c>
      <c r="N398" s="431">
        <f t="shared" si="61"/>
        <v>3</v>
      </c>
      <c r="O398" s="432">
        <v>0</v>
      </c>
      <c r="P398" s="432">
        <v>0</v>
      </c>
      <c r="Q398" s="432">
        <v>0</v>
      </c>
      <c r="R398" s="1">
        <v>7</v>
      </c>
      <c r="S398" s="1">
        <v>10</v>
      </c>
      <c r="T398" s="300">
        <f t="shared" si="62"/>
        <v>212</v>
      </c>
      <c r="U398" s="3"/>
      <c r="V398" s="3"/>
      <c r="W398" s="3"/>
      <c r="X398" s="3"/>
      <c r="Y398" s="3"/>
      <c r="Z398" s="20">
        <f t="shared" si="59"/>
        <v>194</v>
      </c>
      <c r="AA398" s="20">
        <f t="shared" si="58"/>
        <v>3</v>
      </c>
      <c r="AB398" s="20">
        <f t="shared" si="58"/>
        <v>0</v>
      </c>
      <c r="AC398" s="20">
        <f t="shared" si="58"/>
        <v>0</v>
      </c>
      <c r="AD398" s="20">
        <f t="shared" si="57"/>
        <v>0</v>
      </c>
      <c r="AE398" s="20">
        <f t="shared" si="57"/>
        <v>7</v>
      </c>
      <c r="AF398" s="20">
        <f t="shared" si="57"/>
        <v>10</v>
      </c>
      <c r="AG398" s="300">
        <f t="shared" si="60"/>
        <v>214</v>
      </c>
      <c r="AH398" s="42">
        <f t="shared" si="56"/>
        <v>2</v>
      </c>
      <c r="AI398" s="42">
        <f t="shared" si="56"/>
        <v>0</v>
      </c>
      <c r="AJ398" s="42">
        <f t="shared" si="56"/>
        <v>0</v>
      </c>
      <c r="AK398" s="42">
        <f t="shared" si="56"/>
        <v>0</v>
      </c>
      <c r="AL398" s="42">
        <f t="shared" si="56"/>
        <v>0</v>
      </c>
      <c r="AM398" s="42">
        <f t="shared" si="56"/>
        <v>0</v>
      </c>
      <c r="AN398" s="42">
        <f t="shared" si="56"/>
        <v>0</v>
      </c>
      <c r="AO398" s="42">
        <f t="shared" si="64"/>
        <v>2</v>
      </c>
    </row>
    <row r="399" spans="1:41" ht="15.75">
      <c r="A399" s="16">
        <f t="shared" si="63"/>
        <v>396</v>
      </c>
      <c r="B399" s="390">
        <v>3437</v>
      </c>
      <c r="C399" s="391" t="s">
        <v>1061</v>
      </c>
      <c r="D399" s="392" t="s">
        <v>719</v>
      </c>
      <c r="E399" s="393" t="s">
        <v>1063</v>
      </c>
      <c r="F399" s="394" t="s">
        <v>721</v>
      </c>
      <c r="G399" s="429" t="s">
        <v>6473</v>
      </c>
      <c r="H399" s="395">
        <v>31588</v>
      </c>
      <c r="I399" s="396">
        <v>43783</v>
      </c>
      <c r="J399" s="459" t="s">
        <v>6293</v>
      </c>
      <c r="K399" s="460" t="s">
        <v>6301</v>
      </c>
      <c r="L399" s="460" t="s">
        <v>6335</v>
      </c>
      <c r="M399" s="1">
        <v>192</v>
      </c>
      <c r="N399" s="431">
        <f t="shared" si="61"/>
        <v>3</v>
      </c>
      <c r="O399" s="432">
        <v>0</v>
      </c>
      <c r="P399" s="432">
        <v>0</v>
      </c>
      <c r="Q399" s="432">
        <v>0</v>
      </c>
      <c r="R399" s="1">
        <v>7</v>
      </c>
      <c r="S399" s="1">
        <v>10</v>
      </c>
      <c r="T399" s="300">
        <f t="shared" si="62"/>
        <v>212</v>
      </c>
      <c r="U399" s="3"/>
      <c r="V399" s="3"/>
      <c r="W399" s="3"/>
      <c r="X399" s="3"/>
      <c r="Y399" s="3"/>
      <c r="Z399" s="20">
        <f t="shared" si="59"/>
        <v>194</v>
      </c>
      <c r="AA399" s="20">
        <f t="shared" si="58"/>
        <v>3</v>
      </c>
      <c r="AB399" s="20">
        <f t="shared" si="58"/>
        <v>0</v>
      </c>
      <c r="AC399" s="20">
        <f t="shared" si="58"/>
        <v>0</v>
      </c>
      <c r="AD399" s="20">
        <f t="shared" si="57"/>
        <v>0</v>
      </c>
      <c r="AE399" s="20">
        <f t="shared" si="57"/>
        <v>7</v>
      </c>
      <c r="AF399" s="20">
        <f t="shared" si="57"/>
        <v>10</v>
      </c>
      <c r="AG399" s="300">
        <f t="shared" si="60"/>
        <v>214</v>
      </c>
      <c r="AH399" s="42">
        <f t="shared" si="56"/>
        <v>2</v>
      </c>
      <c r="AI399" s="42">
        <f t="shared" si="56"/>
        <v>0</v>
      </c>
      <c r="AJ399" s="42">
        <f t="shared" si="56"/>
        <v>0</v>
      </c>
      <c r="AK399" s="42">
        <f t="shared" si="56"/>
        <v>0</v>
      </c>
      <c r="AL399" s="42">
        <f t="shared" si="56"/>
        <v>0</v>
      </c>
      <c r="AM399" s="42">
        <f t="shared" si="56"/>
        <v>0</v>
      </c>
      <c r="AN399" s="42">
        <f t="shared" si="56"/>
        <v>0</v>
      </c>
      <c r="AO399" s="42">
        <f t="shared" si="64"/>
        <v>2</v>
      </c>
    </row>
    <row r="400" spans="1:41" ht="15.75">
      <c r="A400" s="16">
        <f t="shared" si="63"/>
        <v>397</v>
      </c>
      <c r="B400" s="390">
        <v>3419</v>
      </c>
      <c r="C400" s="391" t="s">
        <v>1000</v>
      </c>
      <c r="D400" s="392" t="s">
        <v>2921</v>
      </c>
      <c r="E400" s="393" t="s">
        <v>1002</v>
      </c>
      <c r="F400" s="394" t="s">
        <v>5495</v>
      </c>
      <c r="G400" s="429" t="s">
        <v>6473</v>
      </c>
      <c r="H400" s="395">
        <v>33435</v>
      </c>
      <c r="I400" s="396">
        <v>43770</v>
      </c>
      <c r="J400" s="459" t="s">
        <v>6293</v>
      </c>
      <c r="K400" s="460" t="s">
        <v>6295</v>
      </c>
      <c r="L400" s="460" t="s">
        <v>6335</v>
      </c>
      <c r="M400" s="1">
        <v>192</v>
      </c>
      <c r="N400" s="431">
        <f t="shared" si="61"/>
        <v>3</v>
      </c>
      <c r="O400" s="432">
        <v>0</v>
      </c>
      <c r="P400" s="432">
        <v>0</v>
      </c>
      <c r="Q400" s="432">
        <v>0</v>
      </c>
      <c r="R400" s="1">
        <v>7</v>
      </c>
      <c r="S400" s="1">
        <v>10</v>
      </c>
      <c r="T400" s="300">
        <f t="shared" si="62"/>
        <v>212</v>
      </c>
      <c r="U400" s="3"/>
      <c r="V400" s="3"/>
      <c r="W400" s="3"/>
      <c r="X400" s="3"/>
      <c r="Y400" s="3"/>
      <c r="Z400" s="20">
        <f t="shared" si="59"/>
        <v>194</v>
      </c>
      <c r="AA400" s="20">
        <f t="shared" si="58"/>
        <v>3</v>
      </c>
      <c r="AB400" s="20">
        <f t="shared" si="58"/>
        <v>0</v>
      </c>
      <c r="AC400" s="20">
        <f t="shared" si="58"/>
        <v>0</v>
      </c>
      <c r="AD400" s="20">
        <f t="shared" si="57"/>
        <v>0</v>
      </c>
      <c r="AE400" s="20">
        <f t="shared" si="57"/>
        <v>7</v>
      </c>
      <c r="AF400" s="20">
        <f t="shared" si="57"/>
        <v>10</v>
      </c>
      <c r="AG400" s="300">
        <f t="shared" si="60"/>
        <v>214</v>
      </c>
      <c r="AH400" s="42">
        <f t="shared" si="56"/>
        <v>2</v>
      </c>
      <c r="AI400" s="42">
        <f t="shared" si="56"/>
        <v>0</v>
      </c>
      <c r="AJ400" s="42">
        <f t="shared" si="56"/>
        <v>0</v>
      </c>
      <c r="AK400" s="42">
        <f t="shared" si="56"/>
        <v>0</v>
      </c>
      <c r="AL400" s="42">
        <f t="shared" si="56"/>
        <v>0</v>
      </c>
      <c r="AM400" s="42">
        <f t="shared" si="56"/>
        <v>0</v>
      </c>
      <c r="AN400" s="42">
        <f t="shared" si="56"/>
        <v>0</v>
      </c>
      <c r="AO400" s="42">
        <f t="shared" si="64"/>
        <v>2</v>
      </c>
    </row>
    <row r="401" spans="1:41" ht="15.75">
      <c r="A401" s="16">
        <f t="shared" si="63"/>
        <v>398</v>
      </c>
      <c r="B401" s="390">
        <v>3418</v>
      </c>
      <c r="C401" s="391" t="s">
        <v>2648</v>
      </c>
      <c r="D401" s="392" t="s">
        <v>2921</v>
      </c>
      <c r="E401" s="393" t="s">
        <v>4795</v>
      </c>
      <c r="F401" s="394" t="s">
        <v>5495</v>
      </c>
      <c r="G401" s="429" t="s">
        <v>6473</v>
      </c>
      <c r="H401" s="395">
        <v>27643</v>
      </c>
      <c r="I401" s="396">
        <v>43770</v>
      </c>
      <c r="J401" s="459" t="s">
        <v>6293</v>
      </c>
      <c r="K401" s="460" t="s">
        <v>6295</v>
      </c>
      <c r="L401" s="460" t="s">
        <v>6335</v>
      </c>
      <c r="M401" s="1">
        <v>192</v>
      </c>
      <c r="N401" s="431">
        <f t="shared" si="61"/>
        <v>3</v>
      </c>
      <c r="O401" s="432">
        <v>0</v>
      </c>
      <c r="P401" s="432">
        <v>0</v>
      </c>
      <c r="Q401" s="432">
        <v>0</v>
      </c>
      <c r="R401" s="1">
        <v>7</v>
      </c>
      <c r="S401" s="1">
        <v>10</v>
      </c>
      <c r="T401" s="300">
        <f t="shared" si="62"/>
        <v>212</v>
      </c>
      <c r="U401" s="3"/>
      <c r="V401" s="3"/>
      <c r="W401" s="3"/>
      <c r="X401" s="3"/>
      <c r="Y401" s="3"/>
      <c r="Z401" s="20">
        <f t="shared" si="59"/>
        <v>194</v>
      </c>
      <c r="AA401" s="20">
        <f t="shared" si="58"/>
        <v>3</v>
      </c>
      <c r="AB401" s="20">
        <f t="shared" si="58"/>
        <v>0</v>
      </c>
      <c r="AC401" s="20">
        <f t="shared" si="58"/>
        <v>0</v>
      </c>
      <c r="AD401" s="20">
        <f t="shared" si="57"/>
        <v>0</v>
      </c>
      <c r="AE401" s="20">
        <f t="shared" si="57"/>
        <v>7</v>
      </c>
      <c r="AF401" s="20">
        <f t="shared" si="57"/>
        <v>10</v>
      </c>
      <c r="AG401" s="300">
        <f t="shared" si="60"/>
        <v>214</v>
      </c>
      <c r="AH401" s="42">
        <f t="shared" si="56"/>
        <v>2</v>
      </c>
      <c r="AI401" s="42">
        <f t="shared" si="56"/>
        <v>0</v>
      </c>
      <c r="AJ401" s="42">
        <f t="shared" si="56"/>
        <v>0</v>
      </c>
      <c r="AK401" s="42">
        <f t="shared" si="56"/>
        <v>0</v>
      </c>
      <c r="AL401" s="42">
        <f t="shared" si="56"/>
        <v>0</v>
      </c>
      <c r="AM401" s="42">
        <f t="shared" si="56"/>
        <v>0</v>
      </c>
      <c r="AN401" s="42">
        <f t="shared" si="56"/>
        <v>0</v>
      </c>
      <c r="AO401" s="42">
        <f t="shared" si="64"/>
        <v>2</v>
      </c>
    </row>
    <row r="402" spans="1:41" ht="15.75">
      <c r="A402" s="16">
        <f t="shared" si="63"/>
        <v>399</v>
      </c>
      <c r="B402" s="390">
        <v>3445</v>
      </c>
      <c r="C402" s="391" t="s">
        <v>431</v>
      </c>
      <c r="D402" s="392" t="s">
        <v>5837</v>
      </c>
      <c r="E402" s="393" t="s">
        <v>1183</v>
      </c>
      <c r="F402" s="394" t="s">
        <v>4352</v>
      </c>
      <c r="G402" s="429" t="s">
        <v>6473</v>
      </c>
      <c r="H402" s="395">
        <v>29448</v>
      </c>
      <c r="I402" s="396">
        <v>43788</v>
      </c>
      <c r="J402" s="459" t="s">
        <v>6293</v>
      </c>
      <c r="K402" s="460" t="s">
        <v>6298</v>
      </c>
      <c r="L402" s="460" t="s">
        <v>6335</v>
      </c>
      <c r="M402" s="1">
        <v>192</v>
      </c>
      <c r="N402" s="431">
        <f t="shared" si="61"/>
        <v>3</v>
      </c>
      <c r="O402" s="432">
        <v>0</v>
      </c>
      <c r="P402" s="432">
        <v>0</v>
      </c>
      <c r="Q402" s="432">
        <v>0</v>
      </c>
      <c r="R402" s="1">
        <v>7</v>
      </c>
      <c r="S402" s="1">
        <v>10</v>
      </c>
      <c r="T402" s="300">
        <f t="shared" si="62"/>
        <v>212</v>
      </c>
      <c r="U402" s="3"/>
      <c r="V402" s="3"/>
      <c r="W402" s="3"/>
      <c r="X402" s="3"/>
      <c r="Y402" s="3"/>
      <c r="Z402" s="20">
        <f t="shared" si="59"/>
        <v>194</v>
      </c>
      <c r="AA402" s="20">
        <f t="shared" si="58"/>
        <v>3</v>
      </c>
      <c r="AB402" s="20">
        <f t="shared" si="58"/>
        <v>0</v>
      </c>
      <c r="AC402" s="20">
        <f t="shared" si="58"/>
        <v>0</v>
      </c>
      <c r="AD402" s="20">
        <f t="shared" si="57"/>
        <v>0</v>
      </c>
      <c r="AE402" s="20">
        <f t="shared" si="57"/>
        <v>7</v>
      </c>
      <c r="AF402" s="20">
        <f t="shared" si="57"/>
        <v>10</v>
      </c>
      <c r="AG402" s="300">
        <f t="shared" si="60"/>
        <v>214</v>
      </c>
      <c r="AH402" s="42">
        <f t="shared" si="56"/>
        <v>2</v>
      </c>
      <c r="AI402" s="42">
        <f t="shared" si="56"/>
        <v>0</v>
      </c>
      <c r="AJ402" s="42">
        <f t="shared" si="56"/>
        <v>0</v>
      </c>
      <c r="AK402" s="42">
        <f t="shared" si="56"/>
        <v>0</v>
      </c>
      <c r="AL402" s="42">
        <f t="shared" si="56"/>
        <v>0</v>
      </c>
      <c r="AM402" s="42">
        <f t="shared" si="56"/>
        <v>0</v>
      </c>
      <c r="AN402" s="42">
        <f t="shared" si="56"/>
        <v>0</v>
      </c>
      <c r="AO402" s="42">
        <f t="shared" si="64"/>
        <v>2</v>
      </c>
    </row>
    <row r="403" spans="1:41" ht="15.75">
      <c r="A403" s="16">
        <f t="shared" si="63"/>
        <v>400</v>
      </c>
      <c r="B403" s="390">
        <v>3453</v>
      </c>
      <c r="C403" s="391" t="s">
        <v>742</v>
      </c>
      <c r="D403" s="392" t="s">
        <v>652</v>
      </c>
      <c r="E403" s="393" t="s">
        <v>2027</v>
      </c>
      <c r="F403" s="394" t="s">
        <v>5844</v>
      </c>
      <c r="G403" s="429" t="s">
        <v>6473</v>
      </c>
      <c r="H403" s="395">
        <v>30155</v>
      </c>
      <c r="I403" s="396">
        <v>43792</v>
      </c>
      <c r="J403" s="459" t="s">
        <v>6293</v>
      </c>
      <c r="K403" s="460" t="s">
        <v>6307</v>
      </c>
      <c r="L403" s="460" t="s">
        <v>6335</v>
      </c>
      <c r="M403" s="1">
        <v>192</v>
      </c>
      <c r="N403" s="431">
        <f t="shared" si="61"/>
        <v>3</v>
      </c>
      <c r="O403" s="432">
        <v>0</v>
      </c>
      <c r="P403" s="432">
        <v>0</v>
      </c>
      <c r="Q403" s="432">
        <v>0</v>
      </c>
      <c r="R403" s="1">
        <v>7</v>
      </c>
      <c r="S403" s="1">
        <v>10</v>
      </c>
      <c r="T403" s="300">
        <f t="shared" si="62"/>
        <v>212</v>
      </c>
      <c r="U403" s="3"/>
      <c r="V403" s="3"/>
      <c r="W403" s="3"/>
      <c r="X403" s="3"/>
      <c r="Y403" s="3"/>
      <c r="Z403" s="20">
        <f t="shared" si="59"/>
        <v>194</v>
      </c>
      <c r="AA403" s="20">
        <f t="shared" si="58"/>
        <v>3</v>
      </c>
      <c r="AB403" s="20">
        <f t="shared" si="58"/>
        <v>0</v>
      </c>
      <c r="AC403" s="20">
        <f t="shared" si="58"/>
        <v>0</v>
      </c>
      <c r="AD403" s="20">
        <f t="shared" si="57"/>
        <v>0</v>
      </c>
      <c r="AE403" s="20">
        <f t="shared" si="57"/>
        <v>7</v>
      </c>
      <c r="AF403" s="20">
        <f t="shared" si="57"/>
        <v>10</v>
      </c>
      <c r="AG403" s="300">
        <f t="shared" si="60"/>
        <v>214</v>
      </c>
      <c r="AH403" s="42">
        <f t="shared" si="56"/>
        <v>2</v>
      </c>
      <c r="AI403" s="42">
        <f t="shared" si="56"/>
        <v>0</v>
      </c>
      <c r="AJ403" s="42">
        <f t="shared" si="56"/>
        <v>0</v>
      </c>
      <c r="AK403" s="42">
        <f t="shared" si="56"/>
        <v>0</v>
      </c>
      <c r="AL403" s="42">
        <f t="shared" si="56"/>
        <v>0</v>
      </c>
      <c r="AM403" s="42">
        <f t="shared" si="56"/>
        <v>0</v>
      </c>
      <c r="AN403" s="42">
        <f t="shared" si="56"/>
        <v>0</v>
      </c>
      <c r="AO403" s="42">
        <f t="shared" si="64"/>
        <v>2</v>
      </c>
    </row>
    <row r="404" spans="1:41" ht="15.75">
      <c r="A404" s="16">
        <f t="shared" si="63"/>
        <v>401</v>
      </c>
      <c r="B404" s="390">
        <v>3461</v>
      </c>
      <c r="C404" s="391" t="s">
        <v>2082</v>
      </c>
      <c r="D404" s="392" t="s">
        <v>5899</v>
      </c>
      <c r="E404" s="393" t="s">
        <v>4910</v>
      </c>
      <c r="F404" s="394" t="s">
        <v>5900</v>
      </c>
      <c r="G404" s="429" t="s">
        <v>6473</v>
      </c>
      <c r="H404" s="395">
        <v>29777</v>
      </c>
      <c r="I404" s="396">
        <v>43797</v>
      </c>
      <c r="J404" s="459" t="s">
        <v>6293</v>
      </c>
      <c r="K404" s="460" t="s">
        <v>6298</v>
      </c>
      <c r="L404" s="460" t="s">
        <v>6335</v>
      </c>
      <c r="M404" s="1">
        <v>192</v>
      </c>
      <c r="N404" s="431">
        <f t="shared" si="61"/>
        <v>3</v>
      </c>
      <c r="O404" s="432">
        <v>0</v>
      </c>
      <c r="P404" s="432">
        <v>0</v>
      </c>
      <c r="Q404" s="432">
        <v>0</v>
      </c>
      <c r="R404" s="1">
        <v>7</v>
      </c>
      <c r="S404" s="1">
        <v>10</v>
      </c>
      <c r="T404" s="300">
        <f t="shared" si="62"/>
        <v>212</v>
      </c>
      <c r="U404" s="3"/>
      <c r="V404" s="3"/>
      <c r="W404" s="3"/>
      <c r="X404" s="3"/>
      <c r="Y404" s="3"/>
      <c r="Z404" s="20">
        <f t="shared" si="59"/>
        <v>194</v>
      </c>
      <c r="AA404" s="20">
        <f t="shared" si="58"/>
        <v>3</v>
      </c>
      <c r="AB404" s="20">
        <f t="shared" si="58"/>
        <v>0</v>
      </c>
      <c r="AC404" s="20">
        <f t="shared" si="58"/>
        <v>0</v>
      </c>
      <c r="AD404" s="20">
        <f t="shared" si="57"/>
        <v>0</v>
      </c>
      <c r="AE404" s="20">
        <f t="shared" si="57"/>
        <v>7</v>
      </c>
      <c r="AF404" s="20">
        <f t="shared" si="57"/>
        <v>10</v>
      </c>
      <c r="AG404" s="300">
        <f t="shared" si="60"/>
        <v>214</v>
      </c>
      <c r="AH404" s="42">
        <f t="shared" si="56"/>
        <v>2</v>
      </c>
      <c r="AI404" s="42">
        <f t="shared" si="56"/>
        <v>0</v>
      </c>
      <c r="AJ404" s="42">
        <f t="shared" si="56"/>
        <v>0</v>
      </c>
      <c r="AK404" s="42">
        <f t="shared" si="56"/>
        <v>0</v>
      </c>
      <c r="AL404" s="42">
        <f t="shared" si="56"/>
        <v>0</v>
      </c>
      <c r="AM404" s="42">
        <f t="shared" si="56"/>
        <v>0</v>
      </c>
      <c r="AN404" s="42">
        <f t="shared" si="56"/>
        <v>0</v>
      </c>
      <c r="AO404" s="42">
        <f t="shared" si="64"/>
        <v>2</v>
      </c>
    </row>
    <row r="405" spans="1:41" ht="15.75">
      <c r="A405" s="16">
        <f t="shared" si="63"/>
        <v>402</v>
      </c>
      <c r="B405" s="390">
        <v>3459</v>
      </c>
      <c r="C405" s="391" t="s">
        <v>2900</v>
      </c>
      <c r="D405" s="392" t="s">
        <v>685</v>
      </c>
      <c r="E405" s="393" t="s">
        <v>6126</v>
      </c>
      <c r="F405" s="394" t="s">
        <v>687</v>
      </c>
      <c r="G405" s="429" t="s">
        <v>6473</v>
      </c>
      <c r="H405" s="395">
        <v>36758</v>
      </c>
      <c r="I405" s="396">
        <v>43795</v>
      </c>
      <c r="J405" s="459" t="s">
        <v>6293</v>
      </c>
      <c r="K405" s="460" t="s">
        <v>6128</v>
      </c>
      <c r="L405" s="460" t="s">
        <v>6346</v>
      </c>
      <c r="M405" s="1">
        <v>192</v>
      </c>
      <c r="N405" s="431">
        <f t="shared" si="61"/>
        <v>3</v>
      </c>
      <c r="O405" s="432">
        <v>0</v>
      </c>
      <c r="P405" s="432">
        <v>0</v>
      </c>
      <c r="Q405" s="432">
        <v>0</v>
      </c>
      <c r="R405" s="1">
        <v>7</v>
      </c>
      <c r="S405" s="1">
        <v>10</v>
      </c>
      <c r="T405" s="300">
        <f t="shared" si="62"/>
        <v>212</v>
      </c>
      <c r="U405" s="3"/>
      <c r="V405" s="3"/>
      <c r="W405" s="3"/>
      <c r="X405" s="3"/>
      <c r="Y405" s="3"/>
      <c r="Z405" s="20">
        <f t="shared" si="59"/>
        <v>194</v>
      </c>
      <c r="AA405" s="20">
        <f t="shared" si="58"/>
        <v>3</v>
      </c>
      <c r="AB405" s="20">
        <f t="shared" si="58"/>
        <v>0</v>
      </c>
      <c r="AC405" s="20">
        <f t="shared" si="58"/>
        <v>0</v>
      </c>
      <c r="AD405" s="20">
        <f t="shared" si="57"/>
        <v>0</v>
      </c>
      <c r="AE405" s="20">
        <f t="shared" si="57"/>
        <v>7</v>
      </c>
      <c r="AF405" s="20">
        <f t="shared" si="57"/>
        <v>10</v>
      </c>
      <c r="AG405" s="300">
        <f t="shared" si="60"/>
        <v>214</v>
      </c>
      <c r="AH405" s="42">
        <f t="shared" si="56"/>
        <v>2</v>
      </c>
      <c r="AI405" s="42">
        <f t="shared" si="56"/>
        <v>0</v>
      </c>
      <c r="AJ405" s="42">
        <f t="shared" si="56"/>
        <v>0</v>
      </c>
      <c r="AK405" s="42">
        <f t="shared" si="56"/>
        <v>0</v>
      </c>
      <c r="AL405" s="42">
        <f t="shared" si="56"/>
        <v>0</v>
      </c>
      <c r="AM405" s="42">
        <f t="shared" si="56"/>
        <v>0</v>
      </c>
      <c r="AN405" s="42">
        <f t="shared" si="56"/>
        <v>0</v>
      </c>
      <c r="AO405" s="42">
        <f t="shared" si="64"/>
        <v>2</v>
      </c>
    </row>
    <row r="406" spans="1:41" ht="15.75">
      <c r="A406" s="16">
        <f t="shared" si="63"/>
        <v>403</v>
      </c>
      <c r="B406" s="390">
        <v>3891</v>
      </c>
      <c r="C406" s="391" t="s">
        <v>6206</v>
      </c>
      <c r="D406" s="392" t="s">
        <v>6207</v>
      </c>
      <c r="E406" s="393" t="s">
        <v>6032</v>
      </c>
      <c r="F406" s="394" t="s">
        <v>6033</v>
      </c>
      <c r="G406" s="429" t="s">
        <v>6473</v>
      </c>
      <c r="H406" s="395">
        <v>33609</v>
      </c>
      <c r="I406" s="396">
        <v>43786</v>
      </c>
      <c r="J406" s="459" t="s">
        <v>6293</v>
      </c>
      <c r="K406" s="460" t="s">
        <v>6300</v>
      </c>
      <c r="L406" s="460" t="s">
        <v>6335</v>
      </c>
      <c r="M406" s="1">
        <v>192</v>
      </c>
      <c r="N406" s="431">
        <f t="shared" si="61"/>
        <v>3</v>
      </c>
      <c r="O406" s="432">
        <v>0</v>
      </c>
      <c r="P406" s="432">
        <v>0</v>
      </c>
      <c r="Q406" s="432">
        <v>0</v>
      </c>
      <c r="R406" s="1">
        <v>7</v>
      </c>
      <c r="S406" s="1">
        <v>10</v>
      </c>
      <c r="T406" s="300">
        <f t="shared" si="62"/>
        <v>212</v>
      </c>
      <c r="U406" s="3"/>
      <c r="V406" s="3"/>
      <c r="W406" s="3"/>
      <c r="X406" s="3"/>
      <c r="Y406" s="3"/>
      <c r="Z406" s="20">
        <f t="shared" si="59"/>
        <v>194</v>
      </c>
      <c r="AA406" s="20">
        <f t="shared" si="58"/>
        <v>3</v>
      </c>
      <c r="AB406" s="20">
        <f t="shared" si="58"/>
        <v>0</v>
      </c>
      <c r="AC406" s="20">
        <f t="shared" si="58"/>
        <v>0</v>
      </c>
      <c r="AD406" s="20">
        <f t="shared" si="57"/>
        <v>0</v>
      </c>
      <c r="AE406" s="20">
        <f t="shared" si="57"/>
        <v>7</v>
      </c>
      <c r="AF406" s="20">
        <f t="shared" si="57"/>
        <v>10</v>
      </c>
      <c r="AG406" s="300">
        <f t="shared" si="60"/>
        <v>214</v>
      </c>
      <c r="AH406" s="42">
        <f t="shared" si="56"/>
        <v>2</v>
      </c>
      <c r="AI406" s="42">
        <f t="shared" si="56"/>
        <v>0</v>
      </c>
      <c r="AJ406" s="42">
        <f t="shared" si="56"/>
        <v>0</v>
      </c>
      <c r="AK406" s="42">
        <f t="shared" si="56"/>
        <v>0</v>
      </c>
      <c r="AL406" s="42">
        <f t="shared" si="56"/>
        <v>0</v>
      </c>
      <c r="AM406" s="42">
        <f t="shared" si="56"/>
        <v>0</v>
      </c>
      <c r="AN406" s="42">
        <f t="shared" si="56"/>
        <v>0</v>
      </c>
      <c r="AO406" s="42">
        <f t="shared" si="64"/>
        <v>2</v>
      </c>
    </row>
    <row r="407" spans="1:41" ht="15.75">
      <c r="A407" s="16">
        <f t="shared" si="63"/>
        <v>404</v>
      </c>
      <c r="B407" s="390">
        <v>3876</v>
      </c>
      <c r="C407" s="391" t="s">
        <v>6208</v>
      </c>
      <c r="D407" s="392" t="s">
        <v>6209</v>
      </c>
      <c r="E407" s="393" t="s">
        <v>6024</v>
      </c>
      <c r="F407" s="394" t="s">
        <v>4588</v>
      </c>
      <c r="G407" s="429" t="s">
        <v>6475</v>
      </c>
      <c r="H407" s="395">
        <v>29864</v>
      </c>
      <c r="I407" s="396">
        <v>43773</v>
      </c>
      <c r="J407" s="459" t="s">
        <v>6293</v>
      </c>
      <c r="K407" s="460" t="s">
        <v>2405</v>
      </c>
      <c r="L407" s="460" t="s">
        <v>6348</v>
      </c>
      <c r="M407" s="1">
        <v>192</v>
      </c>
      <c r="N407" s="431">
        <f t="shared" si="61"/>
        <v>3</v>
      </c>
      <c r="O407" s="432">
        <v>0</v>
      </c>
      <c r="P407" s="432">
        <v>168</v>
      </c>
      <c r="Q407" s="432">
        <v>0</v>
      </c>
      <c r="R407" s="1">
        <v>7</v>
      </c>
      <c r="S407" s="1">
        <v>10</v>
      </c>
      <c r="T407" s="300">
        <f t="shared" si="62"/>
        <v>380</v>
      </c>
      <c r="U407" s="3"/>
      <c r="V407" s="3"/>
      <c r="W407" s="3"/>
      <c r="X407" s="3"/>
      <c r="Y407" s="3"/>
      <c r="Z407" s="20">
        <f t="shared" si="59"/>
        <v>194</v>
      </c>
      <c r="AA407" s="20">
        <f t="shared" si="58"/>
        <v>3</v>
      </c>
      <c r="AB407" s="20">
        <f t="shared" si="58"/>
        <v>0</v>
      </c>
      <c r="AC407" s="20">
        <f t="shared" si="58"/>
        <v>168</v>
      </c>
      <c r="AD407" s="20">
        <f t="shared" si="57"/>
        <v>0</v>
      </c>
      <c r="AE407" s="20">
        <f t="shared" si="57"/>
        <v>7</v>
      </c>
      <c r="AF407" s="20">
        <f t="shared" si="57"/>
        <v>10</v>
      </c>
      <c r="AG407" s="300">
        <f t="shared" si="60"/>
        <v>382</v>
      </c>
      <c r="AH407" s="42">
        <f t="shared" si="56"/>
        <v>2</v>
      </c>
      <c r="AI407" s="42">
        <f t="shared" si="56"/>
        <v>0</v>
      </c>
      <c r="AJ407" s="42">
        <f t="shared" si="56"/>
        <v>0</v>
      </c>
      <c r="AK407" s="42">
        <f t="shared" si="56"/>
        <v>0</v>
      </c>
      <c r="AL407" s="42">
        <f t="shared" si="56"/>
        <v>0</v>
      </c>
      <c r="AM407" s="42">
        <f t="shared" si="56"/>
        <v>0</v>
      </c>
      <c r="AN407" s="42">
        <f t="shared" si="56"/>
        <v>0</v>
      </c>
      <c r="AO407" s="42">
        <f t="shared" si="64"/>
        <v>2</v>
      </c>
    </row>
    <row r="408" spans="1:41" ht="15.75">
      <c r="A408" s="16">
        <f t="shared" si="63"/>
        <v>405</v>
      </c>
      <c r="B408" s="390">
        <v>3867</v>
      </c>
      <c r="C408" s="391" t="s">
        <v>6210</v>
      </c>
      <c r="D408" s="392" t="s">
        <v>2679</v>
      </c>
      <c r="E408" s="393" t="s">
        <v>6034</v>
      </c>
      <c r="F408" s="394" t="s">
        <v>6035</v>
      </c>
      <c r="G408" s="429" t="s">
        <v>6473</v>
      </c>
      <c r="H408" s="395">
        <v>31872</v>
      </c>
      <c r="I408" s="396">
        <v>43773</v>
      </c>
      <c r="J408" s="459" t="s">
        <v>6293</v>
      </c>
      <c r="K408" s="460" t="s">
        <v>6300</v>
      </c>
      <c r="L408" s="460" t="s">
        <v>6335</v>
      </c>
      <c r="M408" s="1">
        <v>192</v>
      </c>
      <c r="N408" s="431">
        <f t="shared" si="61"/>
        <v>3</v>
      </c>
      <c r="O408" s="432">
        <v>0</v>
      </c>
      <c r="P408" s="432">
        <v>0</v>
      </c>
      <c r="Q408" s="432">
        <v>0</v>
      </c>
      <c r="R408" s="1">
        <v>7</v>
      </c>
      <c r="S408" s="1">
        <v>10</v>
      </c>
      <c r="T408" s="300">
        <f t="shared" si="62"/>
        <v>212</v>
      </c>
      <c r="U408" s="3"/>
      <c r="V408" s="3"/>
      <c r="W408" s="3"/>
      <c r="X408" s="3"/>
      <c r="Y408" s="3"/>
      <c r="Z408" s="20">
        <f t="shared" si="59"/>
        <v>194</v>
      </c>
      <c r="AA408" s="20">
        <f t="shared" si="58"/>
        <v>3</v>
      </c>
      <c r="AB408" s="20">
        <f t="shared" si="58"/>
        <v>0</v>
      </c>
      <c r="AC408" s="20">
        <f t="shared" si="58"/>
        <v>0</v>
      </c>
      <c r="AD408" s="20">
        <f t="shared" si="57"/>
        <v>0</v>
      </c>
      <c r="AE408" s="20">
        <f t="shared" si="57"/>
        <v>7</v>
      </c>
      <c r="AF408" s="20">
        <f t="shared" si="57"/>
        <v>10</v>
      </c>
      <c r="AG408" s="300">
        <f t="shared" si="60"/>
        <v>214</v>
      </c>
      <c r="AH408" s="42">
        <f t="shared" si="56"/>
        <v>2</v>
      </c>
      <c r="AI408" s="42">
        <f t="shared" si="56"/>
        <v>0</v>
      </c>
      <c r="AJ408" s="42">
        <f t="shared" si="56"/>
        <v>0</v>
      </c>
      <c r="AK408" s="42">
        <f t="shared" si="56"/>
        <v>0</v>
      </c>
      <c r="AL408" s="42">
        <f t="shared" si="56"/>
        <v>0</v>
      </c>
      <c r="AM408" s="42">
        <f t="shared" si="56"/>
        <v>0</v>
      </c>
      <c r="AN408" s="42">
        <f t="shared" si="56"/>
        <v>0</v>
      </c>
      <c r="AO408" s="42">
        <f t="shared" si="64"/>
        <v>2</v>
      </c>
    </row>
    <row r="409" spans="1:41" ht="15.75">
      <c r="A409" s="16">
        <f t="shared" si="63"/>
        <v>406</v>
      </c>
      <c r="B409" s="390">
        <v>3472</v>
      </c>
      <c r="C409" s="391" t="s">
        <v>6211</v>
      </c>
      <c r="D409" s="392" t="s">
        <v>1174</v>
      </c>
      <c r="E409" s="393" t="s">
        <v>4414</v>
      </c>
      <c r="F409" s="394" t="s">
        <v>6037</v>
      </c>
      <c r="G409" s="429" t="s">
        <v>6473</v>
      </c>
      <c r="H409" s="395">
        <v>36923</v>
      </c>
      <c r="I409" s="396">
        <v>43810</v>
      </c>
      <c r="J409" s="459" t="s">
        <v>6293</v>
      </c>
      <c r="K409" s="460" t="s">
        <v>6301</v>
      </c>
      <c r="L409" s="460" t="s">
        <v>6335</v>
      </c>
      <c r="M409" s="1">
        <v>192</v>
      </c>
      <c r="N409" s="431">
        <f t="shared" si="61"/>
        <v>3</v>
      </c>
      <c r="O409" s="432">
        <v>0</v>
      </c>
      <c r="P409" s="432">
        <v>10</v>
      </c>
      <c r="Q409" s="432">
        <v>0</v>
      </c>
      <c r="R409" s="1">
        <v>7</v>
      </c>
      <c r="S409" s="1">
        <v>10</v>
      </c>
      <c r="T409" s="300"/>
      <c r="U409" s="3"/>
      <c r="V409" s="3"/>
      <c r="W409" s="3"/>
      <c r="X409" s="3"/>
      <c r="Y409" s="3"/>
      <c r="Z409" s="20">
        <f t="shared" si="59"/>
        <v>194</v>
      </c>
      <c r="AA409" s="20">
        <f t="shared" si="58"/>
        <v>3</v>
      </c>
      <c r="AB409" s="20">
        <f t="shared" si="58"/>
        <v>0</v>
      </c>
      <c r="AC409" s="20">
        <f t="shared" si="58"/>
        <v>10</v>
      </c>
      <c r="AD409" s="20">
        <f t="shared" si="57"/>
        <v>0</v>
      </c>
      <c r="AE409" s="20">
        <f t="shared" si="57"/>
        <v>7</v>
      </c>
      <c r="AF409" s="20">
        <f t="shared" si="57"/>
        <v>10</v>
      </c>
      <c r="AG409" s="300">
        <f t="shared" si="60"/>
        <v>224</v>
      </c>
      <c r="AH409" s="42"/>
      <c r="AI409" s="42"/>
      <c r="AJ409" s="42"/>
      <c r="AK409" s="42"/>
      <c r="AL409" s="42"/>
      <c r="AM409" s="42"/>
      <c r="AN409" s="42"/>
      <c r="AO409" s="42"/>
    </row>
    <row r="410" spans="1:41" ht="15.75">
      <c r="A410" s="16">
        <f t="shared" si="63"/>
        <v>407</v>
      </c>
      <c r="B410" s="390">
        <v>3884</v>
      </c>
      <c r="C410" s="391" t="s">
        <v>1307</v>
      </c>
      <c r="D410" s="392" t="s">
        <v>2570</v>
      </c>
      <c r="E410" s="393" t="s">
        <v>870</v>
      </c>
      <c r="F410" s="394" t="s">
        <v>3553</v>
      </c>
      <c r="G410" s="429" t="s">
        <v>6473</v>
      </c>
      <c r="H410" s="395">
        <v>32266</v>
      </c>
      <c r="I410" s="396">
        <v>43781</v>
      </c>
      <c r="J410" s="459" t="s">
        <v>6293</v>
      </c>
      <c r="K410" s="460" t="s">
        <v>6309</v>
      </c>
      <c r="L410" s="460" t="s">
        <v>6339</v>
      </c>
      <c r="M410" s="1">
        <v>192</v>
      </c>
      <c r="N410" s="431">
        <f t="shared" si="61"/>
        <v>3</v>
      </c>
      <c r="O410" s="432">
        <v>0</v>
      </c>
      <c r="P410" s="432">
        <v>0</v>
      </c>
      <c r="Q410" s="432">
        <v>0</v>
      </c>
      <c r="R410" s="1">
        <v>7</v>
      </c>
      <c r="S410" s="1">
        <v>10</v>
      </c>
      <c r="T410" s="300">
        <f t="shared" si="62"/>
        <v>212</v>
      </c>
      <c r="U410" s="348">
        <v>-10</v>
      </c>
      <c r="V410" s="349">
        <v>44197</v>
      </c>
      <c r="W410" s="68" t="s">
        <v>6158</v>
      </c>
      <c r="X410" s="347">
        <v>0.6</v>
      </c>
      <c r="Y410" s="3"/>
      <c r="Z410" s="20">
        <f t="shared" si="59"/>
        <v>194</v>
      </c>
      <c r="AA410" s="20">
        <f t="shared" si="58"/>
        <v>3</v>
      </c>
      <c r="AB410" s="20">
        <f t="shared" si="58"/>
        <v>0</v>
      </c>
      <c r="AC410" s="20">
        <f t="shared" si="58"/>
        <v>0</v>
      </c>
      <c r="AD410" s="20">
        <f t="shared" si="57"/>
        <v>0</v>
      </c>
      <c r="AE410" s="20">
        <f t="shared" si="57"/>
        <v>7</v>
      </c>
      <c r="AF410" s="20">
        <f t="shared" si="57"/>
        <v>10</v>
      </c>
      <c r="AG410" s="300">
        <f t="shared" si="60"/>
        <v>214</v>
      </c>
      <c r="AH410" s="42">
        <f t="shared" si="56"/>
        <v>2</v>
      </c>
      <c r="AI410" s="42">
        <f t="shared" si="56"/>
        <v>0</v>
      </c>
      <c r="AJ410" s="42">
        <f t="shared" si="56"/>
        <v>0</v>
      </c>
      <c r="AK410" s="42">
        <f t="shared" ref="AK410:AO467" si="65">AC410-P410</f>
        <v>0</v>
      </c>
      <c r="AL410" s="42">
        <f t="shared" si="65"/>
        <v>0</v>
      </c>
      <c r="AM410" s="42">
        <f t="shared" si="65"/>
        <v>0</v>
      </c>
      <c r="AN410" s="42">
        <f t="shared" si="65"/>
        <v>0</v>
      </c>
      <c r="AO410" s="42">
        <f t="shared" si="64"/>
        <v>2</v>
      </c>
    </row>
    <row r="411" spans="1:41" ht="15.75">
      <c r="A411" s="16">
        <f t="shared" si="63"/>
        <v>408</v>
      </c>
      <c r="B411" s="390">
        <v>3861</v>
      </c>
      <c r="C411" s="391" t="s">
        <v>1630</v>
      </c>
      <c r="D411" s="392" t="s">
        <v>1315</v>
      </c>
      <c r="E411" s="393" t="s">
        <v>1631</v>
      </c>
      <c r="F411" s="394" t="s">
        <v>6120</v>
      </c>
      <c r="G411" s="429" t="s">
        <v>6473</v>
      </c>
      <c r="H411" s="395">
        <v>31085</v>
      </c>
      <c r="I411" s="396">
        <v>43772</v>
      </c>
      <c r="J411" s="459" t="s">
        <v>6293</v>
      </c>
      <c r="K411" s="460" t="s">
        <v>6125</v>
      </c>
      <c r="L411" s="460" t="s">
        <v>6339</v>
      </c>
      <c r="M411" s="1">
        <v>192</v>
      </c>
      <c r="N411" s="431">
        <f t="shared" si="61"/>
        <v>3</v>
      </c>
      <c r="O411" s="432">
        <v>0</v>
      </c>
      <c r="P411" s="432">
        <v>0</v>
      </c>
      <c r="Q411" s="432">
        <v>0</v>
      </c>
      <c r="R411" s="1">
        <v>7</v>
      </c>
      <c r="S411" s="1">
        <v>10</v>
      </c>
      <c r="T411" s="300">
        <f t="shared" si="62"/>
        <v>212</v>
      </c>
      <c r="U411" s="100">
        <v>120</v>
      </c>
      <c r="V411" s="350">
        <v>44197</v>
      </c>
      <c r="W411" s="68" t="s">
        <v>6158</v>
      </c>
      <c r="X411" s="347">
        <v>0.92</v>
      </c>
      <c r="Y411" s="346"/>
      <c r="Z411" s="20">
        <f t="shared" si="59"/>
        <v>194</v>
      </c>
      <c r="AA411" s="20">
        <f t="shared" si="58"/>
        <v>3</v>
      </c>
      <c r="AB411" s="20">
        <f t="shared" si="58"/>
        <v>0</v>
      </c>
      <c r="AC411" s="20">
        <f t="shared" si="58"/>
        <v>0</v>
      </c>
      <c r="AD411" s="20">
        <f t="shared" si="57"/>
        <v>0</v>
      </c>
      <c r="AE411" s="20">
        <f t="shared" si="57"/>
        <v>7</v>
      </c>
      <c r="AF411" s="20">
        <f t="shared" si="57"/>
        <v>10</v>
      </c>
      <c r="AG411" s="300">
        <f t="shared" si="60"/>
        <v>214</v>
      </c>
      <c r="AH411" s="42">
        <f t="shared" ref="AH411:AK471" si="66">Z411-M411</f>
        <v>2</v>
      </c>
      <c r="AI411" s="42">
        <f t="shared" si="66"/>
        <v>0</v>
      </c>
      <c r="AJ411" s="42">
        <f t="shared" si="66"/>
        <v>0</v>
      </c>
      <c r="AK411" s="42">
        <f t="shared" si="65"/>
        <v>0</v>
      </c>
      <c r="AL411" s="42">
        <f t="shared" si="65"/>
        <v>0</v>
      </c>
      <c r="AM411" s="42">
        <f t="shared" si="65"/>
        <v>0</v>
      </c>
      <c r="AN411" s="42">
        <f t="shared" si="65"/>
        <v>0</v>
      </c>
      <c r="AO411" s="42">
        <f t="shared" si="64"/>
        <v>2</v>
      </c>
    </row>
    <row r="412" spans="1:41" ht="15.75">
      <c r="A412" s="16">
        <f t="shared" si="63"/>
        <v>409</v>
      </c>
      <c r="B412" s="390">
        <v>3864</v>
      </c>
      <c r="C412" s="391" t="s">
        <v>2829</v>
      </c>
      <c r="D412" s="392" t="s">
        <v>6212</v>
      </c>
      <c r="E412" s="393" t="s">
        <v>6038</v>
      </c>
      <c r="F412" s="394" t="s">
        <v>6039</v>
      </c>
      <c r="G412" s="429" t="s">
        <v>6473</v>
      </c>
      <c r="H412" s="395">
        <v>30810</v>
      </c>
      <c r="I412" s="396">
        <v>43802</v>
      </c>
      <c r="J412" s="459" t="s">
        <v>6293</v>
      </c>
      <c r="K412" s="460" t="s">
        <v>6302</v>
      </c>
      <c r="L412" s="460" t="s">
        <v>6335</v>
      </c>
      <c r="M412" s="1">
        <v>192</v>
      </c>
      <c r="N412" s="431">
        <f t="shared" si="61"/>
        <v>3</v>
      </c>
      <c r="O412" s="432">
        <v>0</v>
      </c>
      <c r="P412" s="432">
        <v>0</v>
      </c>
      <c r="Q412" s="432">
        <v>0</v>
      </c>
      <c r="R412" s="1">
        <v>7</v>
      </c>
      <c r="S412" s="1">
        <v>10</v>
      </c>
      <c r="T412" s="300">
        <f t="shared" si="62"/>
        <v>212</v>
      </c>
      <c r="U412" s="3"/>
      <c r="V412" s="3"/>
      <c r="W412" s="3"/>
      <c r="X412" s="3"/>
      <c r="Y412" s="3"/>
      <c r="Z412" s="20">
        <f t="shared" si="59"/>
        <v>194</v>
      </c>
      <c r="AA412" s="20">
        <f t="shared" si="58"/>
        <v>3</v>
      </c>
      <c r="AB412" s="20">
        <f t="shared" si="58"/>
        <v>0</v>
      </c>
      <c r="AC412" s="20">
        <f t="shared" si="58"/>
        <v>0</v>
      </c>
      <c r="AD412" s="20">
        <f t="shared" si="57"/>
        <v>0</v>
      </c>
      <c r="AE412" s="20">
        <f t="shared" si="57"/>
        <v>7</v>
      </c>
      <c r="AF412" s="20">
        <f t="shared" si="57"/>
        <v>10</v>
      </c>
      <c r="AG412" s="300">
        <f t="shared" si="60"/>
        <v>214</v>
      </c>
      <c r="AH412" s="42">
        <f t="shared" si="66"/>
        <v>2</v>
      </c>
      <c r="AI412" s="42">
        <f t="shared" si="66"/>
        <v>0</v>
      </c>
      <c r="AJ412" s="42">
        <f t="shared" si="66"/>
        <v>0</v>
      </c>
      <c r="AK412" s="42">
        <f t="shared" si="65"/>
        <v>0</v>
      </c>
      <c r="AL412" s="42">
        <f t="shared" si="65"/>
        <v>0</v>
      </c>
      <c r="AM412" s="42">
        <f t="shared" si="65"/>
        <v>0</v>
      </c>
      <c r="AN412" s="42">
        <f t="shared" si="65"/>
        <v>0</v>
      </c>
      <c r="AO412" s="42">
        <f t="shared" si="64"/>
        <v>2</v>
      </c>
    </row>
    <row r="413" spans="1:41" ht="15.75">
      <c r="A413" s="16">
        <f t="shared" si="63"/>
        <v>410</v>
      </c>
      <c r="B413" s="390">
        <v>3860</v>
      </c>
      <c r="C413" s="391" t="s">
        <v>6213</v>
      </c>
      <c r="D413" s="392" t="s">
        <v>971</v>
      </c>
      <c r="E413" s="393" t="s">
        <v>795</v>
      </c>
      <c r="F413" s="394" t="s">
        <v>972</v>
      </c>
      <c r="G413" s="429" t="s">
        <v>6473</v>
      </c>
      <c r="H413" s="395">
        <v>33334</v>
      </c>
      <c r="I413" s="396">
        <v>43801</v>
      </c>
      <c r="J413" s="459" t="s">
        <v>6293</v>
      </c>
      <c r="K413" s="460" t="s">
        <v>6387</v>
      </c>
      <c r="L413" s="460" t="s">
        <v>6335</v>
      </c>
      <c r="M413" s="1">
        <v>192</v>
      </c>
      <c r="N413" s="431">
        <f t="shared" si="61"/>
        <v>3</v>
      </c>
      <c r="O413" s="432">
        <v>0</v>
      </c>
      <c r="P413" s="432">
        <v>0</v>
      </c>
      <c r="Q413" s="432">
        <v>0</v>
      </c>
      <c r="R413" s="1">
        <v>7</v>
      </c>
      <c r="S413" s="1">
        <v>10</v>
      </c>
      <c r="T413" s="300">
        <f t="shared" si="62"/>
        <v>212</v>
      </c>
      <c r="U413" s="3"/>
      <c r="V413" s="3"/>
      <c r="W413" s="3"/>
      <c r="X413" s="3"/>
      <c r="Y413" s="3"/>
      <c r="Z413" s="20">
        <f t="shared" si="59"/>
        <v>194</v>
      </c>
      <c r="AA413" s="20">
        <f t="shared" si="58"/>
        <v>3</v>
      </c>
      <c r="AB413" s="20">
        <f t="shared" si="58"/>
        <v>0</v>
      </c>
      <c r="AC413" s="20">
        <f t="shared" si="58"/>
        <v>0</v>
      </c>
      <c r="AD413" s="20">
        <f t="shared" si="57"/>
        <v>0</v>
      </c>
      <c r="AE413" s="20">
        <f t="shared" si="57"/>
        <v>7</v>
      </c>
      <c r="AF413" s="20">
        <f t="shared" si="57"/>
        <v>10</v>
      </c>
      <c r="AG413" s="300">
        <f t="shared" si="60"/>
        <v>214</v>
      </c>
      <c r="AH413" s="42">
        <f t="shared" si="66"/>
        <v>2</v>
      </c>
      <c r="AI413" s="42">
        <f t="shared" si="66"/>
        <v>0</v>
      </c>
      <c r="AJ413" s="42">
        <f t="shared" si="66"/>
        <v>0</v>
      </c>
      <c r="AK413" s="42">
        <f t="shared" si="65"/>
        <v>0</v>
      </c>
      <c r="AL413" s="42">
        <f t="shared" si="65"/>
        <v>0</v>
      </c>
      <c r="AM413" s="42">
        <f t="shared" si="65"/>
        <v>0</v>
      </c>
      <c r="AN413" s="42">
        <f t="shared" si="65"/>
        <v>0</v>
      </c>
      <c r="AO413" s="42">
        <f t="shared" si="64"/>
        <v>2</v>
      </c>
    </row>
    <row r="414" spans="1:41" ht="15.75">
      <c r="A414" s="16">
        <f t="shared" si="63"/>
        <v>411</v>
      </c>
      <c r="B414" s="390">
        <v>3890</v>
      </c>
      <c r="C414" s="391" t="s">
        <v>5512</v>
      </c>
      <c r="D414" s="392" t="s">
        <v>2434</v>
      </c>
      <c r="E414" s="393" t="s">
        <v>5513</v>
      </c>
      <c r="F414" s="394" t="s">
        <v>5514</v>
      </c>
      <c r="G414" s="429" t="s">
        <v>6473</v>
      </c>
      <c r="H414" s="395">
        <v>30848</v>
      </c>
      <c r="I414" s="396">
        <v>43785</v>
      </c>
      <c r="J414" s="459" t="s">
        <v>6293</v>
      </c>
      <c r="K414" s="460" t="s">
        <v>6295</v>
      </c>
      <c r="L414" s="460" t="s">
        <v>6335</v>
      </c>
      <c r="M414" s="1">
        <v>192</v>
      </c>
      <c r="N414" s="431">
        <f t="shared" si="61"/>
        <v>3</v>
      </c>
      <c r="O414" s="432">
        <v>0</v>
      </c>
      <c r="P414" s="432">
        <v>0</v>
      </c>
      <c r="Q414" s="432">
        <v>0</v>
      </c>
      <c r="R414" s="1">
        <v>7</v>
      </c>
      <c r="S414" s="1">
        <v>10</v>
      </c>
      <c r="T414" s="300">
        <f t="shared" si="62"/>
        <v>212</v>
      </c>
      <c r="U414" s="3"/>
      <c r="V414" s="3"/>
      <c r="W414" s="3"/>
      <c r="X414" s="3"/>
      <c r="Y414" s="3"/>
      <c r="Z414" s="20">
        <f t="shared" si="59"/>
        <v>194</v>
      </c>
      <c r="AA414" s="20">
        <f t="shared" si="58"/>
        <v>3</v>
      </c>
      <c r="AB414" s="20">
        <f t="shared" si="58"/>
        <v>0</v>
      </c>
      <c r="AC414" s="20">
        <f t="shared" si="58"/>
        <v>0</v>
      </c>
      <c r="AD414" s="20">
        <f t="shared" si="57"/>
        <v>0</v>
      </c>
      <c r="AE414" s="20">
        <f t="shared" si="57"/>
        <v>7</v>
      </c>
      <c r="AF414" s="20">
        <f t="shared" si="57"/>
        <v>10</v>
      </c>
      <c r="AG414" s="300">
        <f t="shared" si="60"/>
        <v>214</v>
      </c>
      <c r="AH414" s="42">
        <f t="shared" si="66"/>
        <v>2</v>
      </c>
      <c r="AI414" s="42">
        <f t="shared" si="66"/>
        <v>0</v>
      </c>
      <c r="AJ414" s="42">
        <f t="shared" si="66"/>
        <v>0</v>
      </c>
      <c r="AK414" s="42">
        <f t="shared" si="65"/>
        <v>0</v>
      </c>
      <c r="AL414" s="42">
        <f t="shared" si="65"/>
        <v>0</v>
      </c>
      <c r="AM414" s="42">
        <f t="shared" si="65"/>
        <v>0</v>
      </c>
      <c r="AN414" s="42">
        <f t="shared" si="65"/>
        <v>0</v>
      </c>
      <c r="AO414" s="42">
        <f t="shared" si="64"/>
        <v>2</v>
      </c>
    </row>
    <row r="415" spans="1:41" ht="15.75">
      <c r="A415" s="16">
        <f t="shared" si="63"/>
        <v>412</v>
      </c>
      <c r="B415" s="390">
        <v>3465</v>
      </c>
      <c r="C415" s="391" t="s">
        <v>6214</v>
      </c>
      <c r="D415" s="392" t="s">
        <v>2561</v>
      </c>
      <c r="E415" s="393" t="s">
        <v>6040</v>
      </c>
      <c r="F415" s="394" t="s">
        <v>6041</v>
      </c>
      <c r="G415" s="429" t="s">
        <v>6473</v>
      </c>
      <c r="H415" s="395">
        <v>29440</v>
      </c>
      <c r="I415" s="396">
        <v>43772</v>
      </c>
      <c r="J415" s="459" t="s">
        <v>6293</v>
      </c>
      <c r="K415" s="460" t="s">
        <v>6298</v>
      </c>
      <c r="L415" s="460" t="s">
        <v>6335</v>
      </c>
      <c r="M415" s="1">
        <v>192</v>
      </c>
      <c r="N415" s="431">
        <f t="shared" si="61"/>
        <v>3</v>
      </c>
      <c r="O415" s="432">
        <v>0</v>
      </c>
      <c r="P415" s="432">
        <v>0</v>
      </c>
      <c r="Q415" s="432">
        <v>0</v>
      </c>
      <c r="R415" s="1">
        <v>7</v>
      </c>
      <c r="S415" s="1">
        <v>10</v>
      </c>
      <c r="T415" s="300">
        <f t="shared" si="62"/>
        <v>212</v>
      </c>
      <c r="U415" s="3"/>
      <c r="V415" s="3"/>
      <c r="W415" s="3"/>
      <c r="X415" s="3"/>
      <c r="Y415" s="3"/>
      <c r="Z415" s="20">
        <f t="shared" si="59"/>
        <v>194</v>
      </c>
      <c r="AA415" s="20">
        <f t="shared" si="58"/>
        <v>3</v>
      </c>
      <c r="AB415" s="20">
        <f t="shared" si="58"/>
        <v>0</v>
      </c>
      <c r="AC415" s="20">
        <f t="shared" si="58"/>
        <v>0</v>
      </c>
      <c r="AD415" s="20">
        <f t="shared" si="57"/>
        <v>0</v>
      </c>
      <c r="AE415" s="20">
        <f t="shared" si="57"/>
        <v>7</v>
      </c>
      <c r="AF415" s="20">
        <f t="shared" si="57"/>
        <v>10</v>
      </c>
      <c r="AG415" s="300">
        <f t="shared" si="60"/>
        <v>214</v>
      </c>
      <c r="AH415" s="42">
        <f t="shared" si="66"/>
        <v>2</v>
      </c>
      <c r="AI415" s="42">
        <f t="shared" si="66"/>
        <v>0</v>
      </c>
      <c r="AJ415" s="42">
        <f t="shared" si="66"/>
        <v>0</v>
      </c>
      <c r="AK415" s="42">
        <f t="shared" si="65"/>
        <v>0</v>
      </c>
      <c r="AL415" s="42">
        <f t="shared" si="65"/>
        <v>0</v>
      </c>
      <c r="AM415" s="42">
        <f t="shared" si="65"/>
        <v>0</v>
      </c>
      <c r="AN415" s="42">
        <f t="shared" si="65"/>
        <v>0</v>
      </c>
      <c r="AO415" s="42">
        <f t="shared" si="64"/>
        <v>2</v>
      </c>
    </row>
    <row r="416" spans="1:41" ht="15.75">
      <c r="A416" s="16">
        <f t="shared" si="63"/>
        <v>413</v>
      </c>
      <c r="B416" s="390">
        <v>3463</v>
      </c>
      <c r="C416" s="391" t="s">
        <v>1032</v>
      </c>
      <c r="D416" s="392" t="s">
        <v>522</v>
      </c>
      <c r="E416" s="393" t="s">
        <v>1760</v>
      </c>
      <c r="F416" s="394" t="s">
        <v>524</v>
      </c>
      <c r="G416" s="429" t="s">
        <v>6473</v>
      </c>
      <c r="H416" s="395">
        <v>23257</v>
      </c>
      <c r="I416" s="396">
        <v>43772</v>
      </c>
      <c r="J416" s="459" t="s">
        <v>6159</v>
      </c>
      <c r="K416" s="460" t="s">
        <v>3070</v>
      </c>
      <c r="L416" s="460" t="s">
        <v>194</v>
      </c>
      <c r="M416" s="1">
        <v>192</v>
      </c>
      <c r="N416" s="431">
        <f t="shared" si="61"/>
        <v>3</v>
      </c>
      <c r="O416" s="432">
        <v>0</v>
      </c>
      <c r="P416" s="432">
        <v>0</v>
      </c>
      <c r="Q416" s="432">
        <v>0</v>
      </c>
      <c r="R416" s="1">
        <v>7</v>
      </c>
      <c r="S416" s="1">
        <v>10</v>
      </c>
      <c r="T416" s="300">
        <f t="shared" si="62"/>
        <v>212</v>
      </c>
      <c r="U416" s="3"/>
      <c r="V416" s="3"/>
      <c r="W416" s="3"/>
      <c r="X416" s="3"/>
      <c r="Y416" s="3"/>
      <c r="Z416" s="20">
        <f t="shared" si="59"/>
        <v>194</v>
      </c>
      <c r="AA416" s="20">
        <f t="shared" si="58"/>
        <v>3</v>
      </c>
      <c r="AB416" s="20">
        <f t="shared" si="58"/>
        <v>0</v>
      </c>
      <c r="AC416" s="20">
        <f t="shared" si="58"/>
        <v>0</v>
      </c>
      <c r="AD416" s="20">
        <f t="shared" si="57"/>
        <v>0</v>
      </c>
      <c r="AE416" s="20">
        <f t="shared" si="57"/>
        <v>7</v>
      </c>
      <c r="AF416" s="20">
        <f t="shared" si="57"/>
        <v>10</v>
      </c>
      <c r="AG416" s="300">
        <f t="shared" si="60"/>
        <v>214</v>
      </c>
      <c r="AH416" s="42">
        <f t="shared" si="66"/>
        <v>2</v>
      </c>
      <c r="AI416" s="42">
        <f t="shared" si="66"/>
        <v>0</v>
      </c>
      <c r="AJ416" s="42">
        <f t="shared" si="66"/>
        <v>0</v>
      </c>
      <c r="AK416" s="42">
        <f t="shared" si="65"/>
        <v>0</v>
      </c>
      <c r="AL416" s="42">
        <f t="shared" si="65"/>
        <v>0</v>
      </c>
      <c r="AM416" s="42">
        <f t="shared" si="65"/>
        <v>0</v>
      </c>
      <c r="AN416" s="42">
        <f t="shared" si="65"/>
        <v>0</v>
      </c>
      <c r="AO416" s="42">
        <f t="shared" si="64"/>
        <v>2</v>
      </c>
    </row>
    <row r="417" spans="1:41" ht="15.75">
      <c r="A417" s="16">
        <f t="shared" si="63"/>
        <v>414</v>
      </c>
      <c r="B417" s="390">
        <v>3488</v>
      </c>
      <c r="C417" s="391" t="s">
        <v>3624</v>
      </c>
      <c r="D417" s="392" t="s">
        <v>452</v>
      </c>
      <c r="E417" s="393" t="s">
        <v>3625</v>
      </c>
      <c r="F417" s="394" t="s">
        <v>454</v>
      </c>
      <c r="G417" s="429" t="s">
        <v>6473</v>
      </c>
      <c r="H417" s="395">
        <v>27357</v>
      </c>
      <c r="I417" s="396">
        <v>43786</v>
      </c>
      <c r="J417" s="459" t="s">
        <v>6293</v>
      </c>
      <c r="K417" s="460" t="s">
        <v>6295</v>
      </c>
      <c r="L417" s="460" t="s">
        <v>6335</v>
      </c>
      <c r="M417" s="1">
        <v>192</v>
      </c>
      <c r="N417" s="431">
        <f t="shared" si="61"/>
        <v>3</v>
      </c>
      <c r="O417" s="432">
        <v>0</v>
      </c>
      <c r="P417" s="432">
        <v>0</v>
      </c>
      <c r="Q417" s="432">
        <v>0</v>
      </c>
      <c r="R417" s="1">
        <v>7</v>
      </c>
      <c r="S417" s="1">
        <v>10</v>
      </c>
      <c r="T417" s="300">
        <f t="shared" si="62"/>
        <v>212</v>
      </c>
      <c r="U417" s="3"/>
      <c r="V417" s="3"/>
      <c r="W417" s="3"/>
      <c r="X417" s="3"/>
      <c r="Y417" s="3"/>
      <c r="Z417" s="20">
        <f t="shared" si="59"/>
        <v>194</v>
      </c>
      <c r="AA417" s="20">
        <f t="shared" si="58"/>
        <v>3</v>
      </c>
      <c r="AB417" s="20">
        <f t="shared" si="58"/>
        <v>0</v>
      </c>
      <c r="AC417" s="20">
        <f t="shared" si="58"/>
        <v>0</v>
      </c>
      <c r="AD417" s="20">
        <f t="shared" si="57"/>
        <v>0</v>
      </c>
      <c r="AE417" s="20">
        <f t="shared" si="57"/>
        <v>7</v>
      </c>
      <c r="AF417" s="20">
        <f t="shared" si="57"/>
        <v>10</v>
      </c>
      <c r="AG417" s="300">
        <f t="shared" si="60"/>
        <v>214</v>
      </c>
      <c r="AH417" s="42">
        <f t="shared" si="66"/>
        <v>2</v>
      </c>
      <c r="AI417" s="42">
        <f t="shared" si="66"/>
        <v>0</v>
      </c>
      <c r="AJ417" s="42">
        <f t="shared" si="66"/>
        <v>0</v>
      </c>
      <c r="AK417" s="42">
        <f t="shared" si="65"/>
        <v>0</v>
      </c>
      <c r="AL417" s="42">
        <f t="shared" si="65"/>
        <v>0</v>
      </c>
      <c r="AM417" s="42">
        <f t="shared" si="65"/>
        <v>0</v>
      </c>
      <c r="AN417" s="42">
        <f t="shared" si="65"/>
        <v>0</v>
      </c>
      <c r="AO417" s="42">
        <f t="shared" si="64"/>
        <v>2</v>
      </c>
    </row>
    <row r="418" spans="1:41" ht="15.75">
      <c r="A418" s="16">
        <f t="shared" si="63"/>
        <v>415</v>
      </c>
      <c r="B418" s="390">
        <v>3484</v>
      </c>
      <c r="C418" s="391" t="s">
        <v>445</v>
      </c>
      <c r="D418" s="392" t="s">
        <v>3589</v>
      </c>
      <c r="E418" s="393" t="s">
        <v>447</v>
      </c>
      <c r="F418" s="394" t="s">
        <v>3590</v>
      </c>
      <c r="G418" s="429" t="s">
        <v>6473</v>
      </c>
      <c r="H418" s="395">
        <v>27853</v>
      </c>
      <c r="I418" s="396">
        <v>43813</v>
      </c>
      <c r="J418" s="459" t="s">
        <v>6293</v>
      </c>
      <c r="K418" s="460" t="s">
        <v>397</v>
      </c>
      <c r="L418" s="460" t="s">
        <v>6336</v>
      </c>
      <c r="M418" s="1">
        <v>192</v>
      </c>
      <c r="N418" s="431">
        <f t="shared" si="61"/>
        <v>3</v>
      </c>
      <c r="O418" s="432">
        <v>0</v>
      </c>
      <c r="P418" s="432">
        <v>0</v>
      </c>
      <c r="Q418" s="432">
        <v>0</v>
      </c>
      <c r="R418" s="1">
        <v>7</v>
      </c>
      <c r="S418" s="1">
        <v>10</v>
      </c>
      <c r="T418" s="300">
        <f t="shared" si="62"/>
        <v>212</v>
      </c>
      <c r="U418" s="3"/>
      <c r="V418" s="3"/>
      <c r="W418" s="3"/>
      <c r="X418" s="3"/>
      <c r="Y418" s="3"/>
      <c r="Z418" s="20">
        <f t="shared" si="59"/>
        <v>194</v>
      </c>
      <c r="AA418" s="20">
        <f t="shared" si="58"/>
        <v>3</v>
      </c>
      <c r="AB418" s="20">
        <f t="shared" si="58"/>
        <v>0</v>
      </c>
      <c r="AC418" s="20">
        <f t="shared" si="58"/>
        <v>0</v>
      </c>
      <c r="AD418" s="20">
        <f t="shared" si="57"/>
        <v>0</v>
      </c>
      <c r="AE418" s="20">
        <f t="shared" si="57"/>
        <v>7</v>
      </c>
      <c r="AF418" s="20">
        <f t="shared" si="57"/>
        <v>10</v>
      </c>
      <c r="AG418" s="300">
        <f t="shared" si="60"/>
        <v>214</v>
      </c>
      <c r="AH418" s="42">
        <f t="shared" si="66"/>
        <v>2</v>
      </c>
      <c r="AI418" s="42">
        <f t="shared" si="66"/>
        <v>0</v>
      </c>
      <c r="AJ418" s="42">
        <f t="shared" si="66"/>
        <v>0</v>
      </c>
      <c r="AK418" s="42">
        <f t="shared" si="65"/>
        <v>0</v>
      </c>
      <c r="AL418" s="42">
        <f t="shared" si="65"/>
        <v>0</v>
      </c>
      <c r="AM418" s="42">
        <f t="shared" si="65"/>
        <v>0</v>
      </c>
      <c r="AN418" s="42">
        <f t="shared" si="65"/>
        <v>0</v>
      </c>
      <c r="AO418" s="42">
        <f t="shared" si="64"/>
        <v>2</v>
      </c>
    </row>
    <row r="419" spans="1:41" ht="15.75">
      <c r="A419" s="16">
        <f t="shared" si="63"/>
        <v>416</v>
      </c>
      <c r="B419" s="390">
        <v>3486</v>
      </c>
      <c r="C419" s="391" t="s">
        <v>4444</v>
      </c>
      <c r="D419" s="392" t="s">
        <v>6215</v>
      </c>
      <c r="E419" s="393" t="s">
        <v>4445</v>
      </c>
      <c r="F419" s="394" t="s">
        <v>6042</v>
      </c>
      <c r="G419" s="429" t="s">
        <v>6473</v>
      </c>
      <c r="H419" s="395">
        <v>35662</v>
      </c>
      <c r="I419" s="396">
        <v>43786</v>
      </c>
      <c r="J419" s="459" t="s">
        <v>6293</v>
      </c>
      <c r="K419" s="460" t="s">
        <v>6299</v>
      </c>
      <c r="L419" s="460" t="s">
        <v>6086</v>
      </c>
      <c r="M419" s="1">
        <v>192</v>
      </c>
      <c r="N419" s="431">
        <f t="shared" si="61"/>
        <v>3</v>
      </c>
      <c r="O419" s="432">
        <v>0</v>
      </c>
      <c r="P419" s="432">
        <v>10</v>
      </c>
      <c r="Q419" s="432">
        <v>0</v>
      </c>
      <c r="R419" s="1">
        <v>7</v>
      </c>
      <c r="S419" s="1">
        <v>10</v>
      </c>
      <c r="T419" s="300">
        <f t="shared" si="62"/>
        <v>222</v>
      </c>
      <c r="U419" s="3"/>
      <c r="V419" s="3"/>
      <c r="W419" s="3"/>
      <c r="X419" s="3"/>
      <c r="Y419" s="3"/>
      <c r="Z419" s="20">
        <f t="shared" si="59"/>
        <v>194</v>
      </c>
      <c r="AA419" s="20">
        <f t="shared" si="58"/>
        <v>3</v>
      </c>
      <c r="AB419" s="20">
        <f t="shared" si="58"/>
        <v>0</v>
      </c>
      <c r="AC419" s="20">
        <f t="shared" si="58"/>
        <v>10</v>
      </c>
      <c r="AD419" s="20">
        <f t="shared" si="57"/>
        <v>0</v>
      </c>
      <c r="AE419" s="20">
        <f t="shared" si="57"/>
        <v>7</v>
      </c>
      <c r="AF419" s="20">
        <f t="shared" si="57"/>
        <v>10</v>
      </c>
      <c r="AG419" s="300">
        <f t="shared" si="60"/>
        <v>224</v>
      </c>
      <c r="AH419" s="42">
        <f t="shared" si="66"/>
        <v>2</v>
      </c>
      <c r="AI419" s="42">
        <f t="shared" si="66"/>
        <v>0</v>
      </c>
      <c r="AJ419" s="42">
        <f t="shared" si="66"/>
        <v>0</v>
      </c>
      <c r="AK419" s="42">
        <f t="shared" si="65"/>
        <v>0</v>
      </c>
      <c r="AL419" s="42">
        <f t="shared" si="65"/>
        <v>0</v>
      </c>
      <c r="AM419" s="42">
        <f t="shared" si="65"/>
        <v>0</v>
      </c>
      <c r="AN419" s="42">
        <f t="shared" si="65"/>
        <v>0</v>
      </c>
      <c r="AO419" s="42">
        <f t="shared" si="64"/>
        <v>2</v>
      </c>
    </row>
    <row r="420" spans="1:41" ht="15.75">
      <c r="A420" s="16">
        <f t="shared" si="63"/>
        <v>417</v>
      </c>
      <c r="B420" s="390">
        <v>3904</v>
      </c>
      <c r="C420" s="391" t="s">
        <v>6218</v>
      </c>
      <c r="D420" s="392" t="s">
        <v>3345</v>
      </c>
      <c r="E420" s="393" t="s">
        <v>6043</v>
      </c>
      <c r="F420" s="394" t="s">
        <v>5892</v>
      </c>
      <c r="G420" s="429" t="s">
        <v>6473</v>
      </c>
      <c r="H420" s="395">
        <v>30438</v>
      </c>
      <c r="I420" s="396">
        <v>43801</v>
      </c>
      <c r="J420" s="459" t="s">
        <v>6293</v>
      </c>
      <c r="K420" s="460" t="s">
        <v>6134</v>
      </c>
      <c r="L420" s="460" t="s">
        <v>6335</v>
      </c>
      <c r="M420" s="1">
        <v>192</v>
      </c>
      <c r="N420" s="431">
        <f t="shared" si="61"/>
        <v>3</v>
      </c>
      <c r="O420" s="432">
        <v>0</v>
      </c>
      <c r="P420" s="432">
        <v>0</v>
      </c>
      <c r="Q420" s="432">
        <v>0</v>
      </c>
      <c r="R420" s="1">
        <v>7</v>
      </c>
      <c r="S420" s="1">
        <v>10</v>
      </c>
      <c r="T420" s="300">
        <f t="shared" si="62"/>
        <v>212</v>
      </c>
      <c r="U420" s="3"/>
      <c r="V420" s="3"/>
      <c r="W420" s="3"/>
      <c r="X420" s="3"/>
      <c r="Y420" s="3"/>
      <c r="Z420" s="20">
        <f t="shared" si="59"/>
        <v>194</v>
      </c>
      <c r="AA420" s="20">
        <f t="shared" si="58"/>
        <v>3</v>
      </c>
      <c r="AB420" s="20">
        <f t="shared" si="58"/>
        <v>0</v>
      </c>
      <c r="AC420" s="20">
        <f t="shared" si="58"/>
        <v>0</v>
      </c>
      <c r="AD420" s="20">
        <f t="shared" si="57"/>
        <v>0</v>
      </c>
      <c r="AE420" s="20">
        <f t="shared" si="57"/>
        <v>7</v>
      </c>
      <c r="AF420" s="20">
        <f t="shared" si="57"/>
        <v>10</v>
      </c>
      <c r="AG420" s="300">
        <f t="shared" si="60"/>
        <v>214</v>
      </c>
      <c r="AH420" s="42">
        <f t="shared" si="66"/>
        <v>2</v>
      </c>
      <c r="AI420" s="42">
        <f t="shared" si="66"/>
        <v>0</v>
      </c>
      <c r="AJ420" s="42">
        <f t="shared" si="66"/>
        <v>0</v>
      </c>
      <c r="AK420" s="42">
        <f t="shared" si="65"/>
        <v>0</v>
      </c>
      <c r="AL420" s="42">
        <f t="shared" si="65"/>
        <v>0</v>
      </c>
      <c r="AM420" s="42">
        <f t="shared" si="65"/>
        <v>0</v>
      </c>
      <c r="AN420" s="42">
        <f t="shared" si="65"/>
        <v>0</v>
      </c>
      <c r="AO420" s="42">
        <f t="shared" si="64"/>
        <v>2</v>
      </c>
    </row>
    <row r="421" spans="1:41" ht="15.75">
      <c r="A421" s="16">
        <f t="shared" si="63"/>
        <v>418</v>
      </c>
      <c r="B421" s="390">
        <v>3915</v>
      </c>
      <c r="C421" s="391" t="s">
        <v>2633</v>
      </c>
      <c r="D421" s="392" t="s">
        <v>4987</v>
      </c>
      <c r="E421" s="393" t="s">
        <v>5779</v>
      </c>
      <c r="F421" s="394" t="s">
        <v>6044</v>
      </c>
      <c r="G421" s="429" t="s">
        <v>6473</v>
      </c>
      <c r="H421" s="395">
        <v>35796</v>
      </c>
      <c r="I421" s="396">
        <v>43802</v>
      </c>
      <c r="J421" s="459" t="s">
        <v>6293</v>
      </c>
      <c r="K421" s="460" t="s">
        <v>6295</v>
      </c>
      <c r="L421" s="460" t="s">
        <v>6335</v>
      </c>
      <c r="M421" s="1">
        <v>192</v>
      </c>
      <c r="N421" s="431">
        <f t="shared" si="61"/>
        <v>3</v>
      </c>
      <c r="O421" s="432">
        <v>0</v>
      </c>
      <c r="P421" s="432">
        <v>0</v>
      </c>
      <c r="Q421" s="432">
        <v>0</v>
      </c>
      <c r="R421" s="1">
        <v>7</v>
      </c>
      <c r="S421" s="1">
        <v>10</v>
      </c>
      <c r="T421" s="300">
        <f t="shared" si="62"/>
        <v>212</v>
      </c>
      <c r="U421" s="3"/>
      <c r="V421" s="3"/>
      <c r="W421" s="3"/>
      <c r="X421" s="3"/>
      <c r="Y421" s="3"/>
      <c r="Z421" s="20">
        <f t="shared" si="59"/>
        <v>194</v>
      </c>
      <c r="AA421" s="20">
        <f t="shared" si="58"/>
        <v>3</v>
      </c>
      <c r="AB421" s="20">
        <f t="shared" si="58"/>
        <v>0</v>
      </c>
      <c r="AC421" s="20">
        <f t="shared" si="58"/>
        <v>0</v>
      </c>
      <c r="AD421" s="20">
        <f t="shared" si="57"/>
        <v>0</v>
      </c>
      <c r="AE421" s="20">
        <f t="shared" si="57"/>
        <v>7</v>
      </c>
      <c r="AF421" s="20">
        <f t="shared" si="57"/>
        <v>10</v>
      </c>
      <c r="AG421" s="300">
        <f t="shared" si="60"/>
        <v>214</v>
      </c>
      <c r="AH421" s="42">
        <f t="shared" si="66"/>
        <v>2</v>
      </c>
      <c r="AI421" s="42">
        <f t="shared" si="66"/>
        <v>0</v>
      </c>
      <c r="AJ421" s="42">
        <f t="shared" si="66"/>
        <v>0</v>
      </c>
      <c r="AK421" s="42">
        <f t="shared" si="65"/>
        <v>0</v>
      </c>
      <c r="AL421" s="42">
        <f t="shared" si="65"/>
        <v>0</v>
      </c>
      <c r="AM421" s="42">
        <f t="shared" si="65"/>
        <v>0</v>
      </c>
      <c r="AN421" s="42">
        <f t="shared" si="65"/>
        <v>0</v>
      </c>
      <c r="AO421" s="42">
        <f t="shared" si="64"/>
        <v>2</v>
      </c>
    </row>
    <row r="422" spans="1:41" ht="15.75">
      <c r="A422" s="16">
        <f t="shared" si="63"/>
        <v>419</v>
      </c>
      <c r="B422" s="390">
        <v>3918</v>
      </c>
      <c r="C422" s="391" t="s">
        <v>2690</v>
      </c>
      <c r="D422" s="392" t="s">
        <v>6219</v>
      </c>
      <c r="E422" s="393" t="s">
        <v>2737</v>
      </c>
      <c r="F422" s="394" t="s">
        <v>4336</v>
      </c>
      <c r="G422" s="429" t="s">
        <v>6473</v>
      </c>
      <c r="H422" s="395">
        <v>33734</v>
      </c>
      <c r="I422" s="396">
        <v>43802</v>
      </c>
      <c r="J422" s="459" t="s">
        <v>6293</v>
      </c>
      <c r="K422" s="460" t="s">
        <v>6308</v>
      </c>
      <c r="L422" s="460" t="s">
        <v>6335</v>
      </c>
      <c r="M422" s="1">
        <v>192</v>
      </c>
      <c r="N422" s="431">
        <f t="shared" si="61"/>
        <v>3</v>
      </c>
      <c r="O422" s="432">
        <v>0</v>
      </c>
      <c r="P422" s="432">
        <v>0</v>
      </c>
      <c r="Q422" s="432">
        <v>0</v>
      </c>
      <c r="R422" s="1">
        <v>7</v>
      </c>
      <c r="S422" s="1">
        <v>10</v>
      </c>
      <c r="T422" s="300">
        <f t="shared" si="62"/>
        <v>212</v>
      </c>
      <c r="U422" s="3"/>
      <c r="V422" s="3"/>
      <c r="W422" s="3"/>
      <c r="X422" s="3"/>
      <c r="Y422" s="3"/>
      <c r="Z422" s="20">
        <f t="shared" si="59"/>
        <v>194</v>
      </c>
      <c r="AA422" s="20">
        <f t="shared" si="58"/>
        <v>3</v>
      </c>
      <c r="AB422" s="20">
        <f t="shared" si="58"/>
        <v>0</v>
      </c>
      <c r="AC422" s="20">
        <f t="shared" si="58"/>
        <v>0</v>
      </c>
      <c r="AD422" s="20">
        <f t="shared" si="57"/>
        <v>0</v>
      </c>
      <c r="AE422" s="20">
        <f t="shared" si="57"/>
        <v>7</v>
      </c>
      <c r="AF422" s="20">
        <f t="shared" si="57"/>
        <v>10</v>
      </c>
      <c r="AG422" s="300">
        <f t="shared" si="60"/>
        <v>214</v>
      </c>
      <c r="AH422" s="42">
        <f t="shared" si="66"/>
        <v>2</v>
      </c>
      <c r="AI422" s="42">
        <f t="shared" si="66"/>
        <v>0</v>
      </c>
      <c r="AJ422" s="42">
        <f t="shared" si="66"/>
        <v>0</v>
      </c>
      <c r="AK422" s="42">
        <f t="shared" si="65"/>
        <v>0</v>
      </c>
      <c r="AL422" s="42">
        <f t="shared" si="65"/>
        <v>0</v>
      </c>
      <c r="AM422" s="42">
        <f t="shared" si="65"/>
        <v>0</v>
      </c>
      <c r="AN422" s="42">
        <f t="shared" si="65"/>
        <v>0</v>
      </c>
      <c r="AO422" s="42">
        <f t="shared" si="64"/>
        <v>2</v>
      </c>
    </row>
    <row r="423" spans="1:41" ht="15.75">
      <c r="A423" s="16">
        <f t="shared" si="63"/>
        <v>420</v>
      </c>
      <c r="B423" s="390">
        <v>3928</v>
      </c>
      <c r="C423" s="391" t="s">
        <v>6220</v>
      </c>
      <c r="D423" s="392" t="s">
        <v>504</v>
      </c>
      <c r="E423" s="393" t="s">
        <v>6045</v>
      </c>
      <c r="F423" s="394" t="s">
        <v>506</v>
      </c>
      <c r="G423" s="429" t="s">
        <v>6473</v>
      </c>
      <c r="H423" s="395">
        <v>28230</v>
      </c>
      <c r="I423" s="396">
        <v>43808</v>
      </c>
      <c r="J423" s="459" t="s">
        <v>6293</v>
      </c>
      <c r="K423" s="460" t="s">
        <v>6308</v>
      </c>
      <c r="L423" s="460" t="s">
        <v>6335</v>
      </c>
      <c r="M423" s="1">
        <v>192</v>
      </c>
      <c r="N423" s="431">
        <f t="shared" si="61"/>
        <v>3</v>
      </c>
      <c r="O423" s="432">
        <v>0</v>
      </c>
      <c r="P423" s="432">
        <v>0</v>
      </c>
      <c r="Q423" s="432">
        <v>0</v>
      </c>
      <c r="R423" s="1">
        <v>7</v>
      </c>
      <c r="S423" s="1">
        <v>10</v>
      </c>
      <c r="T423" s="300">
        <f t="shared" si="62"/>
        <v>212</v>
      </c>
      <c r="U423" s="3"/>
      <c r="V423" s="3"/>
      <c r="W423" s="3"/>
      <c r="X423" s="3"/>
      <c r="Y423" s="3"/>
      <c r="Z423" s="20">
        <f t="shared" si="59"/>
        <v>194</v>
      </c>
      <c r="AA423" s="20">
        <f t="shared" si="58"/>
        <v>3</v>
      </c>
      <c r="AB423" s="20">
        <f t="shared" si="58"/>
        <v>0</v>
      </c>
      <c r="AC423" s="20">
        <f t="shared" si="58"/>
        <v>0</v>
      </c>
      <c r="AD423" s="20">
        <f t="shared" si="57"/>
        <v>0</v>
      </c>
      <c r="AE423" s="20">
        <f t="shared" si="57"/>
        <v>7</v>
      </c>
      <c r="AF423" s="20">
        <f t="shared" si="57"/>
        <v>10</v>
      </c>
      <c r="AG423" s="300">
        <f t="shared" si="60"/>
        <v>214</v>
      </c>
      <c r="AH423" s="42">
        <f t="shared" si="66"/>
        <v>2</v>
      </c>
      <c r="AI423" s="42">
        <f t="shared" si="66"/>
        <v>0</v>
      </c>
      <c r="AJ423" s="42">
        <f t="shared" si="66"/>
        <v>0</v>
      </c>
      <c r="AK423" s="42">
        <f t="shared" si="65"/>
        <v>0</v>
      </c>
      <c r="AL423" s="42">
        <f t="shared" si="65"/>
        <v>0</v>
      </c>
      <c r="AM423" s="42">
        <f t="shared" si="65"/>
        <v>0</v>
      </c>
      <c r="AN423" s="42">
        <f t="shared" si="65"/>
        <v>0</v>
      </c>
      <c r="AO423" s="42">
        <f t="shared" si="64"/>
        <v>2</v>
      </c>
    </row>
    <row r="424" spans="1:41" ht="15.75">
      <c r="A424" s="16">
        <f t="shared" si="63"/>
        <v>421</v>
      </c>
      <c r="B424" s="390">
        <v>3910</v>
      </c>
      <c r="C424" s="391" t="s">
        <v>2633</v>
      </c>
      <c r="D424" s="392" t="s">
        <v>6221</v>
      </c>
      <c r="E424" s="393" t="s">
        <v>5779</v>
      </c>
      <c r="F424" s="394" t="s">
        <v>4415</v>
      </c>
      <c r="G424" s="429" t="s">
        <v>6473</v>
      </c>
      <c r="H424" s="395">
        <v>33092</v>
      </c>
      <c r="I424" s="396">
        <v>43772</v>
      </c>
      <c r="J424" s="459" t="s">
        <v>6293</v>
      </c>
      <c r="K424" s="460" t="s">
        <v>6308</v>
      </c>
      <c r="L424" s="460" t="s">
        <v>6335</v>
      </c>
      <c r="M424" s="1">
        <v>192</v>
      </c>
      <c r="N424" s="431">
        <f t="shared" si="61"/>
        <v>3</v>
      </c>
      <c r="O424" s="432">
        <v>0</v>
      </c>
      <c r="P424" s="432">
        <v>0</v>
      </c>
      <c r="Q424" s="432">
        <v>0</v>
      </c>
      <c r="R424" s="1">
        <v>7</v>
      </c>
      <c r="S424" s="1">
        <v>10</v>
      </c>
      <c r="T424" s="300">
        <f t="shared" si="62"/>
        <v>212</v>
      </c>
      <c r="U424" s="3"/>
      <c r="V424" s="3"/>
      <c r="W424" s="3"/>
      <c r="X424" s="3"/>
      <c r="Y424" s="3"/>
      <c r="Z424" s="20">
        <f t="shared" si="59"/>
        <v>194</v>
      </c>
      <c r="AA424" s="20">
        <f t="shared" si="58"/>
        <v>3</v>
      </c>
      <c r="AB424" s="20">
        <f t="shared" si="58"/>
        <v>0</v>
      </c>
      <c r="AC424" s="20">
        <f t="shared" si="58"/>
        <v>0</v>
      </c>
      <c r="AD424" s="20">
        <f t="shared" si="57"/>
        <v>0</v>
      </c>
      <c r="AE424" s="20">
        <f t="shared" si="57"/>
        <v>7</v>
      </c>
      <c r="AF424" s="20">
        <f t="shared" si="57"/>
        <v>10</v>
      </c>
      <c r="AG424" s="300">
        <f t="shared" si="60"/>
        <v>214</v>
      </c>
      <c r="AH424" s="42">
        <f t="shared" si="66"/>
        <v>2</v>
      </c>
      <c r="AI424" s="42">
        <f t="shared" si="66"/>
        <v>0</v>
      </c>
      <c r="AJ424" s="42">
        <f t="shared" si="66"/>
        <v>0</v>
      </c>
      <c r="AK424" s="42">
        <f t="shared" si="65"/>
        <v>0</v>
      </c>
      <c r="AL424" s="42">
        <f t="shared" si="65"/>
        <v>0</v>
      </c>
      <c r="AM424" s="42">
        <f t="shared" si="65"/>
        <v>0</v>
      </c>
      <c r="AN424" s="42">
        <f t="shared" si="65"/>
        <v>0</v>
      </c>
      <c r="AO424" s="42">
        <f t="shared" si="64"/>
        <v>2</v>
      </c>
    </row>
    <row r="425" spans="1:41" ht="15.75">
      <c r="A425" s="16">
        <f t="shared" si="63"/>
        <v>422</v>
      </c>
      <c r="B425" s="390">
        <v>4115</v>
      </c>
      <c r="C425" s="391" t="s">
        <v>6222</v>
      </c>
      <c r="D425" s="392" t="s">
        <v>2774</v>
      </c>
      <c r="E425" s="393" t="s">
        <v>6046</v>
      </c>
      <c r="F425" s="394" t="s">
        <v>6047</v>
      </c>
      <c r="G425" s="429" t="s">
        <v>6473</v>
      </c>
      <c r="H425" s="395">
        <v>30385</v>
      </c>
      <c r="I425" s="396">
        <v>43803</v>
      </c>
      <c r="J425" s="459" t="s">
        <v>6293</v>
      </c>
      <c r="K425" s="460" t="s">
        <v>6299</v>
      </c>
      <c r="L425" s="460" t="s">
        <v>6335</v>
      </c>
      <c r="M425" s="1">
        <v>192</v>
      </c>
      <c r="N425" s="431">
        <f t="shared" si="61"/>
        <v>3</v>
      </c>
      <c r="O425" s="432">
        <v>0</v>
      </c>
      <c r="P425" s="432">
        <v>0</v>
      </c>
      <c r="Q425" s="432">
        <v>0</v>
      </c>
      <c r="R425" s="1">
        <v>7</v>
      </c>
      <c r="S425" s="1">
        <v>10</v>
      </c>
      <c r="T425" s="300">
        <f t="shared" si="62"/>
        <v>212</v>
      </c>
      <c r="U425" s="3"/>
      <c r="V425" s="3"/>
      <c r="W425" s="3"/>
      <c r="X425" s="3"/>
      <c r="Y425" s="3"/>
      <c r="Z425" s="20">
        <f t="shared" si="59"/>
        <v>194</v>
      </c>
      <c r="AA425" s="20">
        <f t="shared" si="58"/>
        <v>3</v>
      </c>
      <c r="AB425" s="20">
        <f t="shared" si="58"/>
        <v>0</v>
      </c>
      <c r="AC425" s="20">
        <f t="shared" si="58"/>
        <v>0</v>
      </c>
      <c r="AD425" s="20">
        <f t="shared" si="57"/>
        <v>0</v>
      </c>
      <c r="AE425" s="20">
        <f t="shared" si="57"/>
        <v>7</v>
      </c>
      <c r="AF425" s="20">
        <f t="shared" si="57"/>
        <v>10</v>
      </c>
      <c r="AG425" s="300">
        <f t="shared" si="60"/>
        <v>214</v>
      </c>
      <c r="AH425" s="42">
        <f t="shared" si="66"/>
        <v>2</v>
      </c>
      <c r="AI425" s="42">
        <f t="shared" si="66"/>
        <v>0</v>
      </c>
      <c r="AJ425" s="42">
        <f t="shared" si="66"/>
        <v>0</v>
      </c>
      <c r="AK425" s="42">
        <f t="shared" si="65"/>
        <v>0</v>
      </c>
      <c r="AL425" s="42">
        <f t="shared" si="65"/>
        <v>0</v>
      </c>
      <c r="AM425" s="42">
        <f t="shared" si="65"/>
        <v>0</v>
      </c>
      <c r="AN425" s="42">
        <f t="shared" si="65"/>
        <v>0</v>
      </c>
      <c r="AO425" s="42">
        <f t="shared" si="64"/>
        <v>2</v>
      </c>
    </row>
    <row r="426" spans="1:41" ht="15.75">
      <c r="A426" s="16">
        <f t="shared" si="63"/>
        <v>423</v>
      </c>
      <c r="B426" s="390">
        <v>4112</v>
      </c>
      <c r="C426" s="391" t="s">
        <v>3453</v>
      </c>
      <c r="D426" s="392" t="s">
        <v>2430</v>
      </c>
      <c r="E426" s="393" t="s">
        <v>6123</v>
      </c>
      <c r="F426" s="394" t="s">
        <v>4581</v>
      </c>
      <c r="G426" s="429" t="s">
        <v>6475</v>
      </c>
      <c r="H426" s="395">
        <v>33513</v>
      </c>
      <c r="I426" s="396">
        <v>43803</v>
      </c>
      <c r="J426" s="459" t="s">
        <v>6293</v>
      </c>
      <c r="K426" s="460" t="s">
        <v>6125</v>
      </c>
      <c r="L426" s="460" t="s">
        <v>6339</v>
      </c>
      <c r="M426" s="1">
        <v>192</v>
      </c>
      <c r="N426" s="431">
        <f t="shared" si="61"/>
        <v>3</v>
      </c>
      <c r="O426" s="432">
        <v>0</v>
      </c>
      <c r="P426" s="432">
        <v>0</v>
      </c>
      <c r="Q426" s="432">
        <v>0</v>
      </c>
      <c r="R426" s="1">
        <v>7</v>
      </c>
      <c r="S426" s="1">
        <v>10</v>
      </c>
      <c r="T426" s="300">
        <f t="shared" si="62"/>
        <v>212</v>
      </c>
      <c r="U426" s="3"/>
      <c r="V426" s="3"/>
      <c r="W426" s="3"/>
      <c r="X426" s="3"/>
      <c r="Y426" s="3"/>
      <c r="Z426" s="20">
        <f t="shared" si="59"/>
        <v>194</v>
      </c>
      <c r="AA426" s="20">
        <f t="shared" si="58"/>
        <v>3</v>
      </c>
      <c r="AB426" s="20">
        <f t="shared" si="58"/>
        <v>0</v>
      </c>
      <c r="AC426" s="20">
        <f t="shared" si="58"/>
        <v>0</v>
      </c>
      <c r="AD426" s="20">
        <f t="shared" si="57"/>
        <v>0</v>
      </c>
      <c r="AE426" s="20">
        <f t="shared" si="57"/>
        <v>7</v>
      </c>
      <c r="AF426" s="20">
        <f t="shared" si="57"/>
        <v>10</v>
      </c>
      <c r="AG426" s="300">
        <f t="shared" si="60"/>
        <v>214</v>
      </c>
      <c r="AH426" s="42">
        <f t="shared" si="66"/>
        <v>2</v>
      </c>
      <c r="AI426" s="42">
        <f t="shared" si="66"/>
        <v>0</v>
      </c>
      <c r="AJ426" s="42">
        <f t="shared" si="66"/>
        <v>0</v>
      </c>
      <c r="AK426" s="42">
        <f t="shared" si="65"/>
        <v>0</v>
      </c>
      <c r="AL426" s="42">
        <f t="shared" si="65"/>
        <v>0</v>
      </c>
      <c r="AM426" s="42">
        <f t="shared" si="65"/>
        <v>0</v>
      </c>
      <c r="AN426" s="42">
        <f t="shared" si="65"/>
        <v>0</v>
      </c>
      <c r="AO426" s="42">
        <f t="shared" si="64"/>
        <v>2</v>
      </c>
    </row>
    <row r="427" spans="1:41" ht="15.75">
      <c r="A427" s="16">
        <f t="shared" si="63"/>
        <v>424</v>
      </c>
      <c r="B427" s="390">
        <v>4117</v>
      </c>
      <c r="C427" s="391" t="s">
        <v>6223</v>
      </c>
      <c r="D427" s="392" t="s">
        <v>6224</v>
      </c>
      <c r="E427" s="393" t="s">
        <v>6111</v>
      </c>
      <c r="F427" s="394" t="s">
        <v>6112</v>
      </c>
      <c r="G427" s="429" t="s">
        <v>6473</v>
      </c>
      <c r="H427" s="395">
        <v>36649</v>
      </c>
      <c r="I427" s="396">
        <v>43802</v>
      </c>
      <c r="J427" s="459" t="s">
        <v>6293</v>
      </c>
      <c r="K427" s="460" t="s">
        <v>397</v>
      </c>
      <c r="L427" s="460" t="s">
        <v>6336</v>
      </c>
      <c r="M427" s="1">
        <v>192</v>
      </c>
      <c r="N427" s="431">
        <f t="shared" si="61"/>
        <v>3</v>
      </c>
      <c r="O427" s="432">
        <v>0</v>
      </c>
      <c r="P427" s="432">
        <v>10</v>
      </c>
      <c r="Q427" s="432">
        <v>0</v>
      </c>
      <c r="R427" s="1">
        <v>7</v>
      </c>
      <c r="S427" s="1">
        <v>10</v>
      </c>
      <c r="T427" s="300">
        <f t="shared" si="62"/>
        <v>222</v>
      </c>
      <c r="U427" s="3"/>
      <c r="V427" s="3"/>
      <c r="W427" s="3"/>
      <c r="X427" s="3"/>
      <c r="Y427" s="3"/>
      <c r="Z427" s="20">
        <f t="shared" si="59"/>
        <v>194</v>
      </c>
      <c r="AA427" s="20">
        <f t="shared" si="58"/>
        <v>3</v>
      </c>
      <c r="AB427" s="20">
        <f t="shared" si="58"/>
        <v>0</v>
      </c>
      <c r="AC427" s="20">
        <f t="shared" si="58"/>
        <v>10</v>
      </c>
      <c r="AD427" s="20">
        <f t="shared" si="57"/>
        <v>0</v>
      </c>
      <c r="AE427" s="20">
        <f t="shared" si="57"/>
        <v>7</v>
      </c>
      <c r="AF427" s="20">
        <f t="shared" si="57"/>
        <v>10</v>
      </c>
      <c r="AG427" s="300">
        <f t="shared" si="60"/>
        <v>224</v>
      </c>
      <c r="AH427" s="42">
        <f t="shared" si="66"/>
        <v>2</v>
      </c>
      <c r="AI427" s="42">
        <f t="shared" si="66"/>
        <v>0</v>
      </c>
      <c r="AJ427" s="42">
        <f t="shared" si="66"/>
        <v>0</v>
      </c>
      <c r="AK427" s="42">
        <f t="shared" si="65"/>
        <v>0</v>
      </c>
      <c r="AL427" s="42">
        <f t="shared" si="65"/>
        <v>0</v>
      </c>
      <c r="AM427" s="42">
        <f t="shared" si="65"/>
        <v>0</v>
      </c>
      <c r="AN427" s="42">
        <f t="shared" si="65"/>
        <v>0</v>
      </c>
      <c r="AO427" s="42">
        <f t="shared" si="64"/>
        <v>2</v>
      </c>
    </row>
    <row r="428" spans="1:41" ht="15.75">
      <c r="A428" s="16">
        <f t="shared" si="63"/>
        <v>425</v>
      </c>
      <c r="B428" s="390">
        <v>3945</v>
      </c>
      <c r="C428" s="391" t="s">
        <v>4867</v>
      </c>
      <c r="D428" s="392" t="s">
        <v>6225</v>
      </c>
      <c r="E428" s="393" t="s">
        <v>1573</v>
      </c>
      <c r="F428" s="394" t="s">
        <v>6049</v>
      </c>
      <c r="G428" s="429" t="s">
        <v>6473</v>
      </c>
      <c r="H428" s="395">
        <v>33480</v>
      </c>
      <c r="I428" s="396">
        <v>43814</v>
      </c>
      <c r="J428" s="459" t="s">
        <v>6293</v>
      </c>
      <c r="K428" s="460" t="s">
        <v>6299</v>
      </c>
      <c r="L428" s="460" t="s">
        <v>6335</v>
      </c>
      <c r="M428" s="1">
        <v>192</v>
      </c>
      <c r="N428" s="431">
        <f t="shared" si="61"/>
        <v>3</v>
      </c>
      <c r="O428" s="432">
        <v>0</v>
      </c>
      <c r="P428" s="432">
        <v>0</v>
      </c>
      <c r="Q428" s="432">
        <v>0</v>
      </c>
      <c r="R428" s="1">
        <v>7</v>
      </c>
      <c r="S428" s="1">
        <v>10</v>
      </c>
      <c r="T428" s="300">
        <f t="shared" si="62"/>
        <v>212</v>
      </c>
      <c r="U428" s="3"/>
      <c r="V428" s="3"/>
      <c r="W428" s="3"/>
      <c r="X428" s="3"/>
      <c r="Y428" s="3"/>
      <c r="Z428" s="20">
        <f t="shared" si="59"/>
        <v>194</v>
      </c>
      <c r="AA428" s="20">
        <f t="shared" si="58"/>
        <v>3</v>
      </c>
      <c r="AB428" s="20">
        <f t="shared" si="58"/>
        <v>0</v>
      </c>
      <c r="AC428" s="20">
        <f t="shared" si="58"/>
        <v>0</v>
      </c>
      <c r="AD428" s="20">
        <f t="shared" si="57"/>
        <v>0</v>
      </c>
      <c r="AE428" s="20">
        <f t="shared" si="57"/>
        <v>7</v>
      </c>
      <c r="AF428" s="20">
        <f t="shared" si="57"/>
        <v>10</v>
      </c>
      <c r="AG428" s="300">
        <f t="shared" si="60"/>
        <v>214</v>
      </c>
      <c r="AH428" s="42">
        <f t="shared" si="66"/>
        <v>2</v>
      </c>
      <c r="AI428" s="42">
        <f t="shared" si="66"/>
        <v>0</v>
      </c>
      <c r="AJ428" s="42">
        <f t="shared" si="66"/>
        <v>0</v>
      </c>
      <c r="AK428" s="42">
        <f t="shared" si="65"/>
        <v>0</v>
      </c>
      <c r="AL428" s="42">
        <f t="shared" si="65"/>
        <v>0</v>
      </c>
      <c r="AM428" s="42">
        <f t="shared" si="65"/>
        <v>0</v>
      </c>
      <c r="AN428" s="42">
        <f t="shared" si="65"/>
        <v>0</v>
      </c>
      <c r="AO428" s="42">
        <f t="shared" si="64"/>
        <v>2</v>
      </c>
    </row>
    <row r="429" spans="1:41" ht="15.75">
      <c r="A429" s="16">
        <f t="shared" si="63"/>
        <v>426</v>
      </c>
      <c r="B429" s="390">
        <v>3958</v>
      </c>
      <c r="C429" s="391" t="s">
        <v>4360</v>
      </c>
      <c r="D429" s="392" t="s">
        <v>2724</v>
      </c>
      <c r="E429" s="393" t="s">
        <v>4361</v>
      </c>
      <c r="F429" s="394" t="s">
        <v>6050</v>
      </c>
      <c r="G429" s="429" t="s">
        <v>6473</v>
      </c>
      <c r="H429" s="395">
        <v>31766</v>
      </c>
      <c r="I429" s="396">
        <v>43820</v>
      </c>
      <c r="J429" s="459" t="s">
        <v>6293</v>
      </c>
      <c r="K429" s="460" t="s">
        <v>6299</v>
      </c>
      <c r="L429" s="460" t="s">
        <v>6335</v>
      </c>
      <c r="M429" s="1">
        <v>192</v>
      </c>
      <c r="N429" s="431">
        <f t="shared" si="61"/>
        <v>3</v>
      </c>
      <c r="O429" s="432">
        <v>0</v>
      </c>
      <c r="P429" s="432">
        <v>0</v>
      </c>
      <c r="Q429" s="432">
        <v>0</v>
      </c>
      <c r="R429" s="1">
        <v>7</v>
      </c>
      <c r="S429" s="1">
        <v>10</v>
      </c>
      <c r="T429" s="300">
        <f t="shared" si="62"/>
        <v>212</v>
      </c>
      <c r="U429" s="3"/>
      <c r="V429" s="3"/>
      <c r="W429" s="3"/>
      <c r="X429" s="3"/>
      <c r="Y429" s="3"/>
      <c r="Z429" s="20">
        <f t="shared" si="59"/>
        <v>194</v>
      </c>
      <c r="AA429" s="20">
        <f t="shared" si="58"/>
        <v>3</v>
      </c>
      <c r="AB429" s="20">
        <f t="shared" si="58"/>
        <v>0</v>
      </c>
      <c r="AC429" s="20">
        <f t="shared" si="58"/>
        <v>0</v>
      </c>
      <c r="AD429" s="20">
        <f t="shared" si="57"/>
        <v>0</v>
      </c>
      <c r="AE429" s="20">
        <f t="shared" si="57"/>
        <v>7</v>
      </c>
      <c r="AF429" s="20">
        <f t="shared" si="57"/>
        <v>10</v>
      </c>
      <c r="AG429" s="300">
        <f t="shared" si="60"/>
        <v>214</v>
      </c>
      <c r="AH429" s="42">
        <f t="shared" si="66"/>
        <v>2</v>
      </c>
      <c r="AI429" s="42">
        <f t="shared" si="66"/>
        <v>0</v>
      </c>
      <c r="AJ429" s="42">
        <f t="shared" si="66"/>
        <v>0</v>
      </c>
      <c r="AK429" s="42">
        <f t="shared" si="65"/>
        <v>0</v>
      </c>
      <c r="AL429" s="42">
        <f t="shared" si="65"/>
        <v>0</v>
      </c>
      <c r="AM429" s="42">
        <f t="shared" si="65"/>
        <v>0</v>
      </c>
      <c r="AN429" s="42">
        <f t="shared" si="65"/>
        <v>0</v>
      </c>
      <c r="AO429" s="42">
        <f t="shared" si="64"/>
        <v>2</v>
      </c>
    </row>
    <row r="430" spans="1:41" ht="15.75">
      <c r="A430" s="16">
        <f t="shared" si="63"/>
        <v>427</v>
      </c>
      <c r="B430" s="390">
        <v>3956</v>
      </c>
      <c r="C430" s="391" t="s">
        <v>2985</v>
      </c>
      <c r="D430" s="392" t="s">
        <v>408</v>
      </c>
      <c r="E430" s="393" t="s">
        <v>4809</v>
      </c>
      <c r="F430" s="394" t="s">
        <v>4008</v>
      </c>
      <c r="G430" s="429" t="s">
        <v>6473</v>
      </c>
      <c r="H430" s="395">
        <v>36046</v>
      </c>
      <c r="I430" s="396">
        <v>43820</v>
      </c>
      <c r="J430" s="459" t="s">
        <v>6293</v>
      </c>
      <c r="K430" s="460" t="s">
        <v>6309</v>
      </c>
      <c r="L430" s="460" t="s">
        <v>6339</v>
      </c>
      <c r="M430" s="1">
        <v>192</v>
      </c>
      <c r="N430" s="431">
        <f t="shared" si="61"/>
        <v>3</v>
      </c>
      <c r="O430" s="432">
        <v>0</v>
      </c>
      <c r="P430" s="432">
        <v>0</v>
      </c>
      <c r="Q430" s="432">
        <v>0</v>
      </c>
      <c r="R430" s="1">
        <v>7</v>
      </c>
      <c r="S430" s="1">
        <v>10</v>
      </c>
      <c r="T430" s="300">
        <f t="shared" si="62"/>
        <v>212</v>
      </c>
      <c r="U430" s="3"/>
      <c r="V430" s="3"/>
      <c r="W430" s="3"/>
      <c r="X430" s="3"/>
      <c r="Y430" s="3"/>
      <c r="Z430" s="20">
        <f t="shared" si="59"/>
        <v>194</v>
      </c>
      <c r="AA430" s="20">
        <f t="shared" si="58"/>
        <v>3</v>
      </c>
      <c r="AB430" s="20">
        <f t="shared" si="58"/>
        <v>0</v>
      </c>
      <c r="AC430" s="20">
        <f t="shared" si="58"/>
        <v>0</v>
      </c>
      <c r="AD430" s="20">
        <f t="shared" si="57"/>
        <v>0</v>
      </c>
      <c r="AE430" s="20">
        <f t="shared" si="57"/>
        <v>7</v>
      </c>
      <c r="AF430" s="20">
        <f t="shared" si="57"/>
        <v>10</v>
      </c>
      <c r="AG430" s="300">
        <f t="shared" si="60"/>
        <v>214</v>
      </c>
      <c r="AH430" s="42">
        <f t="shared" si="66"/>
        <v>2</v>
      </c>
      <c r="AI430" s="42">
        <f t="shared" si="66"/>
        <v>0</v>
      </c>
      <c r="AJ430" s="42">
        <f t="shared" si="66"/>
        <v>0</v>
      </c>
      <c r="AK430" s="42">
        <f t="shared" si="65"/>
        <v>0</v>
      </c>
      <c r="AL430" s="42">
        <f t="shared" si="65"/>
        <v>0</v>
      </c>
      <c r="AM430" s="42">
        <f t="shared" si="65"/>
        <v>0</v>
      </c>
      <c r="AN430" s="42">
        <f t="shared" si="65"/>
        <v>0</v>
      </c>
      <c r="AO430" s="42">
        <f t="shared" si="64"/>
        <v>2</v>
      </c>
    </row>
    <row r="431" spans="1:41" ht="15.75">
      <c r="A431" s="16">
        <f t="shared" si="63"/>
        <v>428</v>
      </c>
      <c r="B431" s="390">
        <v>3960</v>
      </c>
      <c r="C431" s="391" t="s">
        <v>3233</v>
      </c>
      <c r="D431" s="392" t="s">
        <v>2263</v>
      </c>
      <c r="E431" s="393" t="s">
        <v>672</v>
      </c>
      <c r="F431" s="394" t="s">
        <v>2264</v>
      </c>
      <c r="G431" s="429" t="s">
        <v>6473</v>
      </c>
      <c r="H431" s="395">
        <v>31483</v>
      </c>
      <c r="I431" s="396">
        <v>43820</v>
      </c>
      <c r="J431" s="459" t="s">
        <v>6293</v>
      </c>
      <c r="K431" s="460" t="s">
        <v>6308</v>
      </c>
      <c r="L431" s="460" t="s">
        <v>6131</v>
      </c>
      <c r="M431" s="1">
        <v>192</v>
      </c>
      <c r="N431" s="431">
        <f t="shared" si="61"/>
        <v>3</v>
      </c>
      <c r="O431" s="432">
        <v>0</v>
      </c>
      <c r="P431" s="432">
        <v>45</v>
      </c>
      <c r="Q431" s="432">
        <v>0</v>
      </c>
      <c r="R431" s="1">
        <v>7</v>
      </c>
      <c r="S431" s="1">
        <v>10</v>
      </c>
      <c r="T431" s="300">
        <f t="shared" si="62"/>
        <v>257</v>
      </c>
      <c r="U431" s="3"/>
      <c r="V431" s="3"/>
      <c r="W431" s="3"/>
      <c r="X431" s="3"/>
      <c r="Y431" s="3"/>
      <c r="Z431" s="20">
        <f t="shared" si="59"/>
        <v>194</v>
      </c>
      <c r="AA431" s="20">
        <f t="shared" si="58"/>
        <v>3</v>
      </c>
      <c r="AB431" s="20">
        <f t="shared" si="58"/>
        <v>0</v>
      </c>
      <c r="AC431" s="20">
        <f t="shared" si="58"/>
        <v>45</v>
      </c>
      <c r="AD431" s="20">
        <f t="shared" si="57"/>
        <v>0</v>
      </c>
      <c r="AE431" s="20">
        <f t="shared" si="57"/>
        <v>7</v>
      </c>
      <c r="AF431" s="20">
        <f t="shared" si="57"/>
        <v>10</v>
      </c>
      <c r="AG431" s="300">
        <f t="shared" si="60"/>
        <v>259</v>
      </c>
      <c r="AH431" s="42">
        <f t="shared" si="66"/>
        <v>2</v>
      </c>
      <c r="AI431" s="42">
        <f t="shared" si="66"/>
        <v>0</v>
      </c>
      <c r="AJ431" s="42">
        <f t="shared" si="66"/>
        <v>0</v>
      </c>
      <c r="AK431" s="42">
        <f t="shared" si="65"/>
        <v>0</v>
      </c>
      <c r="AL431" s="42">
        <f t="shared" si="65"/>
        <v>0</v>
      </c>
      <c r="AM431" s="42">
        <f t="shared" si="65"/>
        <v>0</v>
      </c>
      <c r="AN431" s="42">
        <f t="shared" si="65"/>
        <v>0</v>
      </c>
      <c r="AO431" s="42">
        <f t="shared" si="64"/>
        <v>2</v>
      </c>
    </row>
    <row r="432" spans="1:41" ht="15.75">
      <c r="A432" s="16">
        <f t="shared" si="63"/>
        <v>429</v>
      </c>
      <c r="B432" s="390">
        <v>4121</v>
      </c>
      <c r="C432" s="391" t="s">
        <v>5136</v>
      </c>
      <c r="D432" s="392" t="s">
        <v>1447</v>
      </c>
      <c r="E432" s="393" t="s">
        <v>4607</v>
      </c>
      <c r="F432" s="394" t="s">
        <v>6051</v>
      </c>
      <c r="G432" s="429" t="s">
        <v>6473</v>
      </c>
      <c r="H432" s="395">
        <v>31665</v>
      </c>
      <c r="I432" s="396">
        <v>43808</v>
      </c>
      <c r="J432" s="459" t="s">
        <v>6293</v>
      </c>
      <c r="K432" s="460" t="s">
        <v>6305</v>
      </c>
      <c r="L432" s="460" t="s">
        <v>6335</v>
      </c>
      <c r="M432" s="1">
        <v>192</v>
      </c>
      <c r="N432" s="431">
        <f t="shared" si="61"/>
        <v>3</v>
      </c>
      <c r="O432" s="432">
        <v>0</v>
      </c>
      <c r="P432" s="432">
        <v>0</v>
      </c>
      <c r="Q432" s="432">
        <v>0</v>
      </c>
      <c r="R432" s="1">
        <v>7</v>
      </c>
      <c r="S432" s="1">
        <v>10</v>
      </c>
      <c r="T432" s="300">
        <f t="shared" si="62"/>
        <v>212</v>
      </c>
      <c r="U432" s="3"/>
      <c r="V432" s="3"/>
      <c r="W432" s="3"/>
      <c r="X432" s="3"/>
      <c r="Y432" s="3"/>
      <c r="Z432" s="20">
        <f t="shared" si="59"/>
        <v>194</v>
      </c>
      <c r="AA432" s="20">
        <f t="shared" si="58"/>
        <v>3</v>
      </c>
      <c r="AB432" s="20">
        <f t="shared" si="58"/>
        <v>0</v>
      </c>
      <c r="AC432" s="20">
        <f t="shared" si="58"/>
        <v>0</v>
      </c>
      <c r="AD432" s="20">
        <f t="shared" si="57"/>
        <v>0</v>
      </c>
      <c r="AE432" s="20">
        <f t="shared" si="57"/>
        <v>7</v>
      </c>
      <c r="AF432" s="20">
        <f t="shared" si="57"/>
        <v>10</v>
      </c>
      <c r="AG432" s="300">
        <f t="shared" si="60"/>
        <v>214</v>
      </c>
      <c r="AH432" s="42">
        <f t="shared" si="66"/>
        <v>2</v>
      </c>
      <c r="AI432" s="42">
        <f t="shared" si="66"/>
        <v>0</v>
      </c>
      <c r="AJ432" s="42">
        <f t="shared" si="66"/>
        <v>0</v>
      </c>
      <c r="AK432" s="42">
        <f t="shared" si="65"/>
        <v>0</v>
      </c>
      <c r="AL432" s="42">
        <f t="shared" si="65"/>
        <v>0</v>
      </c>
      <c r="AM432" s="42">
        <f t="shared" si="65"/>
        <v>0</v>
      </c>
      <c r="AN432" s="42">
        <f t="shared" si="65"/>
        <v>0</v>
      </c>
      <c r="AO432" s="42">
        <f t="shared" si="64"/>
        <v>2</v>
      </c>
    </row>
    <row r="433" spans="1:41" ht="15.75">
      <c r="A433" s="16">
        <f t="shared" si="63"/>
        <v>430</v>
      </c>
      <c r="B433" s="390">
        <v>4136</v>
      </c>
      <c r="C433" s="391" t="s">
        <v>552</v>
      </c>
      <c r="D433" s="392" t="s">
        <v>6228</v>
      </c>
      <c r="E433" s="393" t="s">
        <v>554</v>
      </c>
      <c r="F433" s="394" t="s">
        <v>6054</v>
      </c>
      <c r="G433" s="429" t="s">
        <v>6473</v>
      </c>
      <c r="H433" s="395">
        <v>36597</v>
      </c>
      <c r="I433" s="396">
        <v>43845</v>
      </c>
      <c r="J433" s="459" t="s">
        <v>6293</v>
      </c>
      <c r="K433" s="460" t="s">
        <v>6301</v>
      </c>
      <c r="L433" s="460" t="s">
        <v>6335</v>
      </c>
      <c r="M433" s="1">
        <v>192</v>
      </c>
      <c r="N433" s="431">
        <f t="shared" si="61"/>
        <v>3</v>
      </c>
      <c r="O433" s="432">
        <v>0</v>
      </c>
      <c r="P433" s="432">
        <v>0</v>
      </c>
      <c r="Q433" s="432">
        <v>0</v>
      </c>
      <c r="R433" s="1">
        <v>7</v>
      </c>
      <c r="S433" s="1">
        <v>10</v>
      </c>
      <c r="T433" s="300">
        <f t="shared" si="62"/>
        <v>212</v>
      </c>
      <c r="U433" s="3"/>
      <c r="V433" s="3"/>
      <c r="W433" s="3"/>
      <c r="X433" s="3"/>
      <c r="Y433" s="3"/>
      <c r="Z433" s="20">
        <f t="shared" si="59"/>
        <v>194</v>
      </c>
      <c r="AA433" s="20">
        <f t="shared" si="58"/>
        <v>3</v>
      </c>
      <c r="AB433" s="20">
        <f t="shared" si="58"/>
        <v>0</v>
      </c>
      <c r="AC433" s="20">
        <f t="shared" si="58"/>
        <v>0</v>
      </c>
      <c r="AD433" s="20">
        <f t="shared" si="57"/>
        <v>0</v>
      </c>
      <c r="AE433" s="20">
        <f t="shared" si="57"/>
        <v>7</v>
      </c>
      <c r="AF433" s="20">
        <f t="shared" si="57"/>
        <v>10</v>
      </c>
      <c r="AG433" s="300">
        <f t="shared" si="60"/>
        <v>214</v>
      </c>
      <c r="AH433" s="42">
        <f t="shared" si="66"/>
        <v>2</v>
      </c>
      <c r="AI433" s="42">
        <f t="shared" si="66"/>
        <v>0</v>
      </c>
      <c r="AJ433" s="42">
        <f t="shared" si="66"/>
        <v>0</v>
      </c>
      <c r="AK433" s="42">
        <f t="shared" si="65"/>
        <v>0</v>
      </c>
      <c r="AL433" s="42">
        <f t="shared" si="65"/>
        <v>0</v>
      </c>
      <c r="AM433" s="42">
        <f t="shared" si="65"/>
        <v>0</v>
      </c>
      <c r="AN433" s="42">
        <f t="shared" si="65"/>
        <v>0</v>
      </c>
      <c r="AO433" s="42">
        <f t="shared" si="64"/>
        <v>2</v>
      </c>
    </row>
    <row r="434" spans="1:41" ht="15.75">
      <c r="A434" s="16">
        <f t="shared" si="63"/>
        <v>431</v>
      </c>
      <c r="B434" s="390">
        <v>4120</v>
      </c>
      <c r="C434" s="391" t="s">
        <v>3142</v>
      </c>
      <c r="D434" s="392" t="s">
        <v>1446</v>
      </c>
      <c r="E434" s="393" t="s">
        <v>3600</v>
      </c>
      <c r="F434" s="394" t="s">
        <v>1448</v>
      </c>
      <c r="G434" s="429" t="s">
        <v>6473</v>
      </c>
      <c r="H434" s="395">
        <v>31521</v>
      </c>
      <c r="I434" s="396">
        <v>43808</v>
      </c>
      <c r="J434" s="459" t="s">
        <v>6293</v>
      </c>
      <c r="K434" s="460" t="s">
        <v>6302</v>
      </c>
      <c r="L434" s="460" t="s">
        <v>6335</v>
      </c>
      <c r="M434" s="1">
        <v>192</v>
      </c>
      <c r="N434" s="431">
        <f t="shared" si="61"/>
        <v>3</v>
      </c>
      <c r="O434" s="432">
        <v>0</v>
      </c>
      <c r="P434" s="432">
        <v>0</v>
      </c>
      <c r="Q434" s="432">
        <v>0</v>
      </c>
      <c r="R434" s="1">
        <v>7</v>
      </c>
      <c r="S434" s="1">
        <v>10</v>
      </c>
      <c r="T434" s="300">
        <f t="shared" si="62"/>
        <v>212</v>
      </c>
      <c r="U434" s="3"/>
      <c r="V434" s="3"/>
      <c r="W434" s="3"/>
      <c r="X434" s="3"/>
      <c r="Y434" s="3"/>
      <c r="Z434" s="20">
        <f t="shared" si="59"/>
        <v>194</v>
      </c>
      <c r="AA434" s="20">
        <f t="shared" si="58"/>
        <v>3</v>
      </c>
      <c r="AB434" s="20">
        <f t="shared" si="58"/>
        <v>0</v>
      </c>
      <c r="AC434" s="20">
        <f t="shared" si="58"/>
        <v>0</v>
      </c>
      <c r="AD434" s="20">
        <f t="shared" si="57"/>
        <v>0</v>
      </c>
      <c r="AE434" s="20">
        <f t="shared" si="57"/>
        <v>7</v>
      </c>
      <c r="AF434" s="20">
        <f t="shared" si="57"/>
        <v>10</v>
      </c>
      <c r="AG434" s="300">
        <f t="shared" si="60"/>
        <v>214</v>
      </c>
      <c r="AH434" s="42">
        <f t="shared" si="66"/>
        <v>2</v>
      </c>
      <c r="AI434" s="42">
        <f t="shared" si="66"/>
        <v>0</v>
      </c>
      <c r="AJ434" s="42">
        <f t="shared" si="66"/>
        <v>0</v>
      </c>
      <c r="AK434" s="42">
        <f t="shared" si="65"/>
        <v>0</v>
      </c>
      <c r="AL434" s="42">
        <f t="shared" si="65"/>
        <v>0</v>
      </c>
      <c r="AM434" s="42">
        <f t="shared" si="65"/>
        <v>0</v>
      </c>
      <c r="AN434" s="42">
        <f t="shared" si="65"/>
        <v>0</v>
      </c>
      <c r="AO434" s="42">
        <f t="shared" si="64"/>
        <v>2</v>
      </c>
    </row>
    <row r="435" spans="1:41" ht="15.75">
      <c r="A435" s="16">
        <f t="shared" si="63"/>
        <v>432</v>
      </c>
      <c r="B435" s="223">
        <v>4104</v>
      </c>
      <c r="C435" s="227" t="s">
        <v>2746</v>
      </c>
      <c r="D435" s="228" t="s">
        <v>6229</v>
      </c>
      <c r="E435" s="229" t="s">
        <v>3897</v>
      </c>
      <c r="F435" s="230" t="s">
        <v>6114</v>
      </c>
      <c r="G435" s="429" t="s">
        <v>6473</v>
      </c>
      <c r="H435" s="397">
        <v>37222</v>
      </c>
      <c r="I435" s="234">
        <v>43771</v>
      </c>
      <c r="J435" s="457" t="s">
        <v>6159</v>
      </c>
      <c r="K435" s="458" t="s">
        <v>6324</v>
      </c>
      <c r="L435" s="458" t="s">
        <v>6316</v>
      </c>
      <c r="M435" s="1">
        <v>192</v>
      </c>
      <c r="N435" s="431">
        <f t="shared" si="61"/>
        <v>3</v>
      </c>
      <c r="O435" s="432">
        <v>20</v>
      </c>
      <c r="P435" s="432">
        <v>45</v>
      </c>
      <c r="Q435" s="432">
        <v>150</v>
      </c>
      <c r="R435" s="1">
        <v>7</v>
      </c>
      <c r="S435" s="1">
        <v>10</v>
      </c>
      <c r="T435" s="300">
        <f t="shared" si="62"/>
        <v>427</v>
      </c>
      <c r="U435" s="3"/>
      <c r="V435" s="3"/>
      <c r="W435" s="3"/>
      <c r="X435" s="3"/>
      <c r="Y435" s="3"/>
      <c r="Z435" s="20">
        <f t="shared" si="59"/>
        <v>194</v>
      </c>
      <c r="AA435" s="20">
        <f t="shared" si="58"/>
        <v>3</v>
      </c>
      <c r="AB435" s="20">
        <f t="shared" si="58"/>
        <v>20</v>
      </c>
      <c r="AC435" s="20">
        <f t="shared" si="58"/>
        <v>45</v>
      </c>
      <c r="AD435" s="20">
        <f t="shared" si="57"/>
        <v>150</v>
      </c>
      <c r="AE435" s="20">
        <f t="shared" si="57"/>
        <v>7</v>
      </c>
      <c r="AF435" s="20">
        <f t="shared" si="57"/>
        <v>10</v>
      </c>
      <c r="AG435" s="300">
        <f t="shared" si="60"/>
        <v>429</v>
      </c>
      <c r="AH435" s="42">
        <f t="shared" si="66"/>
        <v>2</v>
      </c>
      <c r="AI435" s="42">
        <f t="shared" si="66"/>
        <v>0</v>
      </c>
      <c r="AJ435" s="42">
        <f t="shared" si="66"/>
        <v>0</v>
      </c>
      <c r="AK435" s="42">
        <f t="shared" si="65"/>
        <v>0</v>
      </c>
      <c r="AL435" s="42">
        <f t="shared" si="65"/>
        <v>0</v>
      </c>
      <c r="AM435" s="42">
        <f t="shared" si="65"/>
        <v>0</v>
      </c>
      <c r="AN435" s="42">
        <f t="shared" si="65"/>
        <v>0</v>
      </c>
      <c r="AO435" s="42">
        <f t="shared" si="64"/>
        <v>2</v>
      </c>
    </row>
    <row r="436" spans="1:41" ht="30">
      <c r="A436" s="16">
        <f t="shared" si="63"/>
        <v>433</v>
      </c>
      <c r="B436" s="390">
        <v>4126</v>
      </c>
      <c r="C436" s="391" t="s">
        <v>387</v>
      </c>
      <c r="D436" s="392" t="s">
        <v>6230</v>
      </c>
      <c r="E436" s="393" t="s">
        <v>629</v>
      </c>
      <c r="F436" s="394" t="s">
        <v>6162</v>
      </c>
      <c r="G436" s="429" t="s">
        <v>6475</v>
      </c>
      <c r="H436" s="395">
        <v>34278</v>
      </c>
      <c r="I436" s="396">
        <v>43810</v>
      </c>
      <c r="J436" s="459" t="s">
        <v>6293</v>
      </c>
      <c r="K436" s="460" t="s">
        <v>6104</v>
      </c>
      <c r="L436" s="460" t="s">
        <v>6345</v>
      </c>
      <c r="M436" s="1">
        <v>192</v>
      </c>
      <c r="N436" s="431">
        <f t="shared" si="61"/>
        <v>3</v>
      </c>
      <c r="O436" s="432">
        <v>0</v>
      </c>
      <c r="P436" s="432">
        <v>0</v>
      </c>
      <c r="Q436" s="432">
        <v>0</v>
      </c>
      <c r="R436" s="1">
        <v>7</v>
      </c>
      <c r="S436" s="1">
        <v>10</v>
      </c>
      <c r="T436" s="300">
        <f t="shared" si="62"/>
        <v>212</v>
      </c>
      <c r="U436" s="3"/>
      <c r="V436" s="3"/>
      <c r="W436" s="3"/>
      <c r="X436" s="3"/>
      <c r="Y436" s="3"/>
      <c r="Z436" s="20">
        <f t="shared" si="59"/>
        <v>194</v>
      </c>
      <c r="AA436" s="20">
        <f t="shared" si="58"/>
        <v>3</v>
      </c>
      <c r="AB436" s="20">
        <f t="shared" si="58"/>
        <v>0</v>
      </c>
      <c r="AC436" s="20">
        <f t="shared" si="58"/>
        <v>0</v>
      </c>
      <c r="AD436" s="20">
        <f t="shared" si="57"/>
        <v>0</v>
      </c>
      <c r="AE436" s="20">
        <f t="shared" si="57"/>
        <v>7</v>
      </c>
      <c r="AF436" s="20">
        <f t="shared" si="57"/>
        <v>10</v>
      </c>
      <c r="AG436" s="300">
        <f t="shared" si="60"/>
        <v>214</v>
      </c>
      <c r="AH436" s="42">
        <f t="shared" si="66"/>
        <v>2</v>
      </c>
      <c r="AI436" s="42">
        <f t="shared" si="66"/>
        <v>0</v>
      </c>
      <c r="AJ436" s="42">
        <f t="shared" si="66"/>
        <v>0</v>
      </c>
      <c r="AK436" s="42">
        <f t="shared" si="65"/>
        <v>0</v>
      </c>
      <c r="AL436" s="42">
        <f t="shared" si="65"/>
        <v>0</v>
      </c>
      <c r="AM436" s="42">
        <f t="shared" si="65"/>
        <v>0</v>
      </c>
      <c r="AN436" s="42">
        <f t="shared" si="65"/>
        <v>0</v>
      </c>
      <c r="AO436" s="42">
        <f t="shared" si="64"/>
        <v>2</v>
      </c>
    </row>
    <row r="437" spans="1:41" ht="15.75">
      <c r="A437" s="16">
        <f t="shared" si="63"/>
        <v>434</v>
      </c>
      <c r="B437" s="390">
        <v>4133</v>
      </c>
      <c r="C437" s="391" t="s">
        <v>6231</v>
      </c>
      <c r="D437" s="392" t="s">
        <v>6232</v>
      </c>
      <c r="E437" s="393" t="s">
        <v>6055</v>
      </c>
      <c r="F437" s="394" t="s">
        <v>6056</v>
      </c>
      <c r="G437" s="429" t="s">
        <v>6473</v>
      </c>
      <c r="H437" s="395">
        <v>34857</v>
      </c>
      <c r="I437" s="396">
        <v>43813</v>
      </c>
      <c r="J437" s="459" t="s">
        <v>6293</v>
      </c>
      <c r="K437" s="460" t="s">
        <v>6307</v>
      </c>
      <c r="L437" s="460" t="s">
        <v>6335</v>
      </c>
      <c r="M437" s="1">
        <v>192</v>
      </c>
      <c r="N437" s="431">
        <f t="shared" si="61"/>
        <v>3</v>
      </c>
      <c r="O437" s="432">
        <v>0</v>
      </c>
      <c r="P437" s="432">
        <v>0</v>
      </c>
      <c r="Q437" s="432">
        <v>0</v>
      </c>
      <c r="R437" s="1">
        <v>7</v>
      </c>
      <c r="S437" s="1">
        <v>10</v>
      </c>
      <c r="T437" s="300">
        <f t="shared" si="62"/>
        <v>212</v>
      </c>
      <c r="U437" s="3"/>
      <c r="V437" s="3"/>
      <c r="W437" s="3"/>
      <c r="X437" s="3"/>
      <c r="Y437" s="3"/>
      <c r="Z437" s="20">
        <f t="shared" si="59"/>
        <v>194</v>
      </c>
      <c r="AA437" s="20">
        <f t="shared" si="58"/>
        <v>3</v>
      </c>
      <c r="AB437" s="20">
        <f t="shared" si="58"/>
        <v>0</v>
      </c>
      <c r="AC437" s="20">
        <f t="shared" si="58"/>
        <v>0</v>
      </c>
      <c r="AD437" s="20">
        <f t="shared" si="58"/>
        <v>0</v>
      </c>
      <c r="AE437" s="20">
        <f t="shared" si="58"/>
        <v>7</v>
      </c>
      <c r="AF437" s="20">
        <f t="shared" si="58"/>
        <v>10</v>
      </c>
      <c r="AG437" s="300">
        <f t="shared" si="60"/>
        <v>214</v>
      </c>
      <c r="AH437" s="42">
        <f t="shared" si="66"/>
        <v>2</v>
      </c>
      <c r="AI437" s="42">
        <f t="shared" si="66"/>
        <v>0</v>
      </c>
      <c r="AJ437" s="42">
        <f t="shared" si="66"/>
        <v>0</v>
      </c>
      <c r="AK437" s="42">
        <f t="shared" si="65"/>
        <v>0</v>
      </c>
      <c r="AL437" s="42">
        <f t="shared" si="65"/>
        <v>0</v>
      </c>
      <c r="AM437" s="42">
        <f t="shared" si="65"/>
        <v>0</v>
      </c>
      <c r="AN437" s="42">
        <f t="shared" si="65"/>
        <v>0</v>
      </c>
      <c r="AO437" s="42">
        <f t="shared" si="64"/>
        <v>2</v>
      </c>
    </row>
    <row r="438" spans="1:41" ht="15.75">
      <c r="A438" s="16">
        <f t="shared" si="63"/>
        <v>435</v>
      </c>
      <c r="B438" s="390">
        <v>3966</v>
      </c>
      <c r="C438" s="391" t="s">
        <v>1784</v>
      </c>
      <c r="D438" s="392" t="s">
        <v>1293</v>
      </c>
      <c r="E438" s="393" t="s">
        <v>4229</v>
      </c>
      <c r="F438" s="394" t="s">
        <v>1295</v>
      </c>
      <c r="G438" s="429" t="s">
        <v>6473</v>
      </c>
      <c r="H438" s="395">
        <v>30143</v>
      </c>
      <c r="I438" s="396">
        <v>43791</v>
      </c>
      <c r="J438" s="459" t="s">
        <v>6293</v>
      </c>
      <c r="K438" s="460" t="s">
        <v>6307</v>
      </c>
      <c r="L438" s="460" t="s">
        <v>6335</v>
      </c>
      <c r="M438" s="1">
        <v>192</v>
      </c>
      <c r="N438" s="431">
        <f t="shared" si="61"/>
        <v>3</v>
      </c>
      <c r="O438" s="432">
        <v>0</v>
      </c>
      <c r="P438" s="432">
        <v>0</v>
      </c>
      <c r="Q438" s="432">
        <v>0</v>
      </c>
      <c r="R438" s="1">
        <v>7</v>
      </c>
      <c r="S438" s="1">
        <v>10</v>
      </c>
      <c r="T438" s="300">
        <f t="shared" si="62"/>
        <v>212</v>
      </c>
      <c r="U438" s="3"/>
      <c r="V438" s="3"/>
      <c r="W438" s="3"/>
      <c r="X438" s="3"/>
      <c r="Y438" s="3"/>
      <c r="Z438" s="20">
        <f t="shared" si="59"/>
        <v>194</v>
      </c>
      <c r="AA438" s="20">
        <f t="shared" ref="AA438:AF478" si="67">N438</f>
        <v>3</v>
      </c>
      <c r="AB438" s="20">
        <f t="shared" si="67"/>
        <v>0</v>
      </c>
      <c r="AC438" s="20">
        <f t="shared" si="67"/>
        <v>0</v>
      </c>
      <c r="AD438" s="20">
        <f t="shared" si="67"/>
        <v>0</v>
      </c>
      <c r="AE438" s="20">
        <f t="shared" si="67"/>
        <v>7</v>
      </c>
      <c r="AF438" s="20">
        <f t="shared" si="67"/>
        <v>10</v>
      </c>
      <c r="AG438" s="300">
        <f t="shared" si="60"/>
        <v>214</v>
      </c>
      <c r="AH438" s="42">
        <f t="shared" si="66"/>
        <v>2</v>
      </c>
      <c r="AI438" s="42">
        <f t="shared" si="66"/>
        <v>0</v>
      </c>
      <c r="AJ438" s="42">
        <f t="shared" si="66"/>
        <v>0</v>
      </c>
      <c r="AK438" s="42">
        <f t="shared" si="65"/>
        <v>0</v>
      </c>
      <c r="AL438" s="42">
        <f t="shared" si="65"/>
        <v>0</v>
      </c>
      <c r="AM438" s="42">
        <f t="shared" si="65"/>
        <v>0</v>
      </c>
      <c r="AN438" s="42">
        <f t="shared" si="65"/>
        <v>0</v>
      </c>
      <c r="AO438" s="42">
        <f t="shared" si="64"/>
        <v>2</v>
      </c>
    </row>
    <row r="439" spans="1:41" ht="15.75">
      <c r="A439" s="16">
        <f t="shared" si="63"/>
        <v>436</v>
      </c>
      <c r="B439" s="390">
        <v>3965</v>
      </c>
      <c r="C439" s="391" t="s">
        <v>1248</v>
      </c>
      <c r="D439" s="392" t="s">
        <v>6233</v>
      </c>
      <c r="E439" s="393" t="s">
        <v>1250</v>
      </c>
      <c r="F439" s="394" t="s">
        <v>6058</v>
      </c>
      <c r="G439" s="429" t="s">
        <v>6473</v>
      </c>
      <c r="H439" s="395">
        <v>34263</v>
      </c>
      <c r="I439" s="396">
        <v>43821</v>
      </c>
      <c r="J439" s="459" t="s">
        <v>6293</v>
      </c>
      <c r="K439" s="460" t="s">
        <v>6299</v>
      </c>
      <c r="L439" s="460" t="s">
        <v>6335</v>
      </c>
      <c r="M439" s="1">
        <v>192</v>
      </c>
      <c r="N439" s="431">
        <f t="shared" si="61"/>
        <v>3</v>
      </c>
      <c r="O439" s="432">
        <v>0</v>
      </c>
      <c r="P439" s="432">
        <v>0</v>
      </c>
      <c r="Q439" s="432">
        <v>0</v>
      </c>
      <c r="R439" s="1">
        <v>7</v>
      </c>
      <c r="S439" s="1">
        <v>10</v>
      </c>
      <c r="T439" s="300">
        <f t="shared" si="62"/>
        <v>212</v>
      </c>
      <c r="U439" s="3"/>
      <c r="V439" s="3"/>
      <c r="W439" s="3"/>
      <c r="X439" s="3"/>
      <c r="Y439" s="3"/>
      <c r="Z439" s="20">
        <f t="shared" si="59"/>
        <v>194</v>
      </c>
      <c r="AA439" s="20">
        <f t="shared" si="67"/>
        <v>3</v>
      </c>
      <c r="AB439" s="20">
        <f t="shared" si="67"/>
        <v>0</v>
      </c>
      <c r="AC439" s="20">
        <f t="shared" si="67"/>
        <v>0</v>
      </c>
      <c r="AD439" s="20">
        <f t="shared" si="67"/>
        <v>0</v>
      </c>
      <c r="AE439" s="20">
        <f t="shared" si="67"/>
        <v>7</v>
      </c>
      <c r="AF439" s="20">
        <f t="shared" si="67"/>
        <v>10</v>
      </c>
      <c r="AG439" s="300">
        <f t="shared" si="60"/>
        <v>214</v>
      </c>
      <c r="AH439" s="42">
        <f t="shared" si="66"/>
        <v>2</v>
      </c>
      <c r="AI439" s="42">
        <f t="shared" si="66"/>
        <v>0</v>
      </c>
      <c r="AJ439" s="42">
        <f t="shared" si="66"/>
        <v>0</v>
      </c>
      <c r="AK439" s="42">
        <f t="shared" si="65"/>
        <v>0</v>
      </c>
      <c r="AL439" s="42">
        <f t="shared" si="65"/>
        <v>0</v>
      </c>
      <c r="AM439" s="42">
        <f t="shared" si="65"/>
        <v>0</v>
      </c>
      <c r="AN439" s="42">
        <f t="shared" si="65"/>
        <v>0</v>
      </c>
      <c r="AO439" s="42">
        <f t="shared" si="64"/>
        <v>2</v>
      </c>
    </row>
    <row r="440" spans="1:41" ht="15.75">
      <c r="A440" s="16">
        <f t="shared" si="63"/>
        <v>437</v>
      </c>
      <c r="B440" s="390">
        <v>3964</v>
      </c>
      <c r="C440" s="391" t="s">
        <v>4724</v>
      </c>
      <c r="D440" s="392" t="s">
        <v>2621</v>
      </c>
      <c r="E440" s="393" t="s">
        <v>4725</v>
      </c>
      <c r="F440" s="394" t="s">
        <v>4100</v>
      </c>
      <c r="G440" s="429" t="s">
        <v>6473</v>
      </c>
      <c r="H440" s="395">
        <v>34091</v>
      </c>
      <c r="I440" s="396">
        <v>43821</v>
      </c>
      <c r="J440" s="459" t="s">
        <v>6293</v>
      </c>
      <c r="K440" s="460" t="s">
        <v>6308</v>
      </c>
      <c r="L440" s="460" t="s">
        <v>6132</v>
      </c>
      <c r="M440" s="1">
        <v>192</v>
      </c>
      <c r="N440" s="431">
        <f t="shared" si="61"/>
        <v>3</v>
      </c>
      <c r="O440" s="432">
        <v>0</v>
      </c>
      <c r="P440" s="432">
        <v>10</v>
      </c>
      <c r="Q440" s="432">
        <v>0</v>
      </c>
      <c r="R440" s="1">
        <v>7</v>
      </c>
      <c r="S440" s="1">
        <v>10</v>
      </c>
      <c r="T440" s="300">
        <f t="shared" si="62"/>
        <v>222</v>
      </c>
      <c r="U440" s="3"/>
      <c r="V440" s="3"/>
      <c r="W440" s="3"/>
      <c r="X440" s="3"/>
      <c r="Y440" s="3"/>
      <c r="Z440" s="20">
        <f t="shared" si="59"/>
        <v>194</v>
      </c>
      <c r="AA440" s="20">
        <f t="shared" si="67"/>
        <v>3</v>
      </c>
      <c r="AB440" s="20">
        <f t="shared" si="67"/>
        <v>0</v>
      </c>
      <c r="AC440" s="20">
        <f t="shared" si="67"/>
        <v>10</v>
      </c>
      <c r="AD440" s="20">
        <f t="shared" si="67"/>
        <v>0</v>
      </c>
      <c r="AE440" s="20">
        <f t="shared" si="67"/>
        <v>7</v>
      </c>
      <c r="AF440" s="20">
        <f t="shared" si="67"/>
        <v>10</v>
      </c>
      <c r="AG440" s="300">
        <f t="shared" si="60"/>
        <v>224</v>
      </c>
      <c r="AH440" s="42">
        <f t="shared" si="66"/>
        <v>2</v>
      </c>
      <c r="AI440" s="42">
        <f t="shared" si="66"/>
        <v>0</v>
      </c>
      <c r="AJ440" s="42">
        <f t="shared" si="66"/>
        <v>0</v>
      </c>
      <c r="AK440" s="42">
        <f t="shared" si="65"/>
        <v>0</v>
      </c>
      <c r="AL440" s="42">
        <f t="shared" si="65"/>
        <v>0</v>
      </c>
      <c r="AM440" s="42">
        <f t="shared" si="65"/>
        <v>0</v>
      </c>
      <c r="AN440" s="42">
        <f t="shared" si="65"/>
        <v>0</v>
      </c>
      <c r="AO440" s="42">
        <f t="shared" si="64"/>
        <v>2</v>
      </c>
    </row>
    <row r="441" spans="1:41" ht="15.75">
      <c r="A441" s="16">
        <f t="shared" si="63"/>
        <v>438</v>
      </c>
      <c r="B441" s="390">
        <v>3962</v>
      </c>
      <c r="C441" s="391" t="s">
        <v>2136</v>
      </c>
      <c r="D441" s="392" t="s">
        <v>5522</v>
      </c>
      <c r="E441" s="393" t="s">
        <v>6121</v>
      </c>
      <c r="F441" s="394" t="s">
        <v>4195</v>
      </c>
      <c r="G441" s="429" t="s">
        <v>6473</v>
      </c>
      <c r="H441" s="395">
        <v>30172</v>
      </c>
      <c r="I441" s="396">
        <v>43821</v>
      </c>
      <c r="J441" s="459" t="s">
        <v>6293</v>
      </c>
      <c r="K441" s="460" t="s">
        <v>6125</v>
      </c>
      <c r="L441" s="460" t="s">
        <v>6339</v>
      </c>
      <c r="M441" s="1">
        <v>192</v>
      </c>
      <c r="N441" s="431">
        <f t="shared" si="61"/>
        <v>3</v>
      </c>
      <c r="O441" s="432">
        <v>0</v>
      </c>
      <c r="P441" s="432">
        <v>0</v>
      </c>
      <c r="Q441" s="432">
        <v>0</v>
      </c>
      <c r="R441" s="1">
        <v>7</v>
      </c>
      <c r="S441" s="1">
        <v>10</v>
      </c>
      <c r="T441" s="300">
        <f t="shared" si="62"/>
        <v>212</v>
      </c>
      <c r="U441" s="3"/>
      <c r="V441" s="3"/>
      <c r="W441" s="3"/>
      <c r="X441" s="3"/>
      <c r="Y441" s="3"/>
      <c r="Z441" s="20">
        <f t="shared" si="59"/>
        <v>194</v>
      </c>
      <c r="AA441" s="20">
        <f t="shared" si="67"/>
        <v>3</v>
      </c>
      <c r="AB441" s="20">
        <f t="shared" si="67"/>
        <v>0</v>
      </c>
      <c r="AC441" s="20">
        <f t="shared" si="67"/>
        <v>0</v>
      </c>
      <c r="AD441" s="20">
        <f t="shared" si="67"/>
        <v>0</v>
      </c>
      <c r="AE441" s="20">
        <f t="shared" si="67"/>
        <v>7</v>
      </c>
      <c r="AF441" s="20">
        <f t="shared" si="67"/>
        <v>10</v>
      </c>
      <c r="AG441" s="300">
        <f t="shared" si="60"/>
        <v>214</v>
      </c>
      <c r="AH441" s="42">
        <f t="shared" si="66"/>
        <v>2</v>
      </c>
      <c r="AI441" s="42">
        <f t="shared" si="66"/>
        <v>0</v>
      </c>
      <c r="AJ441" s="42">
        <f t="shared" si="66"/>
        <v>0</v>
      </c>
      <c r="AK441" s="42">
        <f t="shared" si="65"/>
        <v>0</v>
      </c>
      <c r="AL441" s="42">
        <f t="shared" si="65"/>
        <v>0</v>
      </c>
      <c r="AM441" s="42">
        <f t="shared" si="65"/>
        <v>0</v>
      </c>
      <c r="AN441" s="42">
        <f t="shared" si="65"/>
        <v>0</v>
      </c>
      <c r="AO441" s="42">
        <f t="shared" si="64"/>
        <v>2</v>
      </c>
    </row>
    <row r="442" spans="1:41" ht="30">
      <c r="A442" s="16">
        <f t="shared" si="63"/>
        <v>439</v>
      </c>
      <c r="B442" s="390">
        <v>4138</v>
      </c>
      <c r="C442" s="391" t="s">
        <v>1292</v>
      </c>
      <c r="D442" s="392" t="s">
        <v>6234</v>
      </c>
      <c r="E442" s="393" t="s">
        <v>1294</v>
      </c>
      <c r="F442" s="394" t="s">
        <v>6163</v>
      </c>
      <c r="G442" s="429" t="s">
        <v>6475</v>
      </c>
      <c r="H442" s="395">
        <v>35345</v>
      </c>
      <c r="I442" s="396">
        <v>43822</v>
      </c>
      <c r="J442" s="459" t="s">
        <v>6293</v>
      </c>
      <c r="K442" s="460" t="s">
        <v>6104</v>
      </c>
      <c r="L442" s="460" t="s">
        <v>6345</v>
      </c>
      <c r="M442" s="1">
        <v>192</v>
      </c>
      <c r="N442" s="431">
        <f t="shared" si="61"/>
        <v>3</v>
      </c>
      <c r="O442" s="432">
        <v>0</v>
      </c>
      <c r="P442" s="432">
        <v>0</v>
      </c>
      <c r="Q442" s="432">
        <v>0</v>
      </c>
      <c r="R442" s="1">
        <v>7</v>
      </c>
      <c r="S442" s="1">
        <v>10</v>
      </c>
      <c r="T442" s="300">
        <f t="shared" si="62"/>
        <v>212</v>
      </c>
      <c r="U442" s="3"/>
      <c r="V442" s="3"/>
      <c r="W442" s="3"/>
      <c r="X442" s="3"/>
      <c r="Y442" s="3"/>
      <c r="Z442" s="20">
        <f t="shared" si="59"/>
        <v>194</v>
      </c>
      <c r="AA442" s="20">
        <f t="shared" si="67"/>
        <v>3</v>
      </c>
      <c r="AB442" s="20">
        <f t="shared" si="67"/>
        <v>0</v>
      </c>
      <c r="AC442" s="20">
        <f t="shared" si="67"/>
        <v>0</v>
      </c>
      <c r="AD442" s="20">
        <f t="shared" si="67"/>
        <v>0</v>
      </c>
      <c r="AE442" s="20">
        <f t="shared" si="67"/>
        <v>7</v>
      </c>
      <c r="AF442" s="20">
        <f t="shared" si="67"/>
        <v>10</v>
      </c>
      <c r="AG442" s="300">
        <f t="shared" si="60"/>
        <v>214</v>
      </c>
      <c r="AH442" s="42">
        <f t="shared" si="66"/>
        <v>2</v>
      </c>
      <c r="AI442" s="42">
        <f t="shared" si="66"/>
        <v>0</v>
      </c>
      <c r="AJ442" s="42">
        <f t="shared" si="66"/>
        <v>0</v>
      </c>
      <c r="AK442" s="42">
        <f t="shared" si="65"/>
        <v>0</v>
      </c>
      <c r="AL442" s="42">
        <f t="shared" si="65"/>
        <v>0</v>
      </c>
      <c r="AM442" s="42">
        <f t="shared" si="65"/>
        <v>0</v>
      </c>
      <c r="AN442" s="42">
        <f t="shared" si="65"/>
        <v>0</v>
      </c>
      <c r="AO442" s="42">
        <f t="shared" si="64"/>
        <v>2</v>
      </c>
    </row>
    <row r="443" spans="1:41" ht="15.75">
      <c r="A443" s="16">
        <f t="shared" si="63"/>
        <v>440</v>
      </c>
      <c r="B443" s="390">
        <v>4116</v>
      </c>
      <c r="C443" s="391" t="s">
        <v>3551</v>
      </c>
      <c r="D443" s="392" t="s">
        <v>6259</v>
      </c>
      <c r="E443" s="393" t="s">
        <v>3552</v>
      </c>
      <c r="F443" s="394" t="s">
        <v>6082</v>
      </c>
      <c r="G443" s="429" t="s">
        <v>6473</v>
      </c>
      <c r="H443" s="395">
        <v>30349</v>
      </c>
      <c r="I443" s="396">
        <v>43803</v>
      </c>
      <c r="J443" s="459" t="s">
        <v>6293</v>
      </c>
      <c r="K443" s="460" t="s">
        <v>6299</v>
      </c>
      <c r="L443" s="460" t="s">
        <v>6335</v>
      </c>
      <c r="M443" s="1">
        <v>192</v>
      </c>
      <c r="N443" s="431">
        <f t="shared" si="61"/>
        <v>3</v>
      </c>
      <c r="O443" s="432">
        <v>0</v>
      </c>
      <c r="P443" s="432">
        <v>0</v>
      </c>
      <c r="Q443" s="432">
        <v>0</v>
      </c>
      <c r="R443" s="1">
        <v>7</v>
      </c>
      <c r="S443" s="1">
        <v>10</v>
      </c>
      <c r="T443" s="300">
        <f t="shared" si="62"/>
        <v>212</v>
      </c>
      <c r="U443" s="3"/>
      <c r="V443" s="3"/>
      <c r="W443" s="3"/>
      <c r="X443" s="3"/>
      <c r="Y443" s="3"/>
      <c r="Z443" s="20">
        <f t="shared" si="59"/>
        <v>194</v>
      </c>
      <c r="AA443" s="20">
        <f t="shared" si="67"/>
        <v>3</v>
      </c>
      <c r="AB443" s="20">
        <f t="shared" si="67"/>
        <v>0</v>
      </c>
      <c r="AC443" s="20">
        <f t="shared" si="67"/>
        <v>0</v>
      </c>
      <c r="AD443" s="20">
        <f t="shared" si="67"/>
        <v>0</v>
      </c>
      <c r="AE443" s="20">
        <f t="shared" si="67"/>
        <v>7</v>
      </c>
      <c r="AF443" s="20">
        <f t="shared" si="67"/>
        <v>10</v>
      </c>
      <c r="AG443" s="300">
        <f t="shared" si="60"/>
        <v>214</v>
      </c>
      <c r="AH443" s="42">
        <f t="shared" si="66"/>
        <v>2</v>
      </c>
      <c r="AI443" s="42">
        <f t="shared" si="66"/>
        <v>0</v>
      </c>
      <c r="AJ443" s="42">
        <f t="shared" si="66"/>
        <v>0</v>
      </c>
      <c r="AK443" s="42">
        <f t="shared" si="65"/>
        <v>0</v>
      </c>
      <c r="AL443" s="42">
        <f t="shared" si="65"/>
        <v>0</v>
      </c>
      <c r="AM443" s="42">
        <f t="shared" si="65"/>
        <v>0</v>
      </c>
      <c r="AN443" s="42">
        <f t="shared" si="65"/>
        <v>0</v>
      </c>
      <c r="AO443" s="42">
        <f t="shared" si="64"/>
        <v>2</v>
      </c>
    </row>
    <row r="444" spans="1:41" ht="15.75">
      <c r="A444" s="16">
        <f t="shared" si="63"/>
        <v>441</v>
      </c>
      <c r="B444" s="390">
        <v>4041</v>
      </c>
      <c r="C444" s="391" t="s">
        <v>402</v>
      </c>
      <c r="D444" s="392" t="s">
        <v>6253</v>
      </c>
      <c r="E444" s="393" t="s">
        <v>604</v>
      </c>
      <c r="F444" s="394" t="s">
        <v>4775</v>
      </c>
      <c r="G444" s="429" t="s">
        <v>6473</v>
      </c>
      <c r="H444" s="395">
        <v>32052</v>
      </c>
      <c r="I444" s="396">
        <v>43833</v>
      </c>
      <c r="J444" s="459" t="s">
        <v>6293</v>
      </c>
      <c r="K444" s="460" t="s">
        <v>6298</v>
      </c>
      <c r="L444" s="460" t="s">
        <v>6335</v>
      </c>
      <c r="M444" s="1">
        <v>192</v>
      </c>
      <c r="N444" s="431">
        <f t="shared" si="61"/>
        <v>3</v>
      </c>
      <c r="O444" s="432">
        <v>0</v>
      </c>
      <c r="P444" s="432">
        <v>0</v>
      </c>
      <c r="Q444" s="432">
        <v>0</v>
      </c>
      <c r="R444" s="1">
        <v>7</v>
      </c>
      <c r="S444" s="1">
        <v>10</v>
      </c>
      <c r="T444" s="300">
        <f t="shared" si="62"/>
        <v>212</v>
      </c>
      <c r="U444" s="3"/>
      <c r="V444" s="3"/>
      <c r="W444" s="3"/>
      <c r="X444" s="3"/>
      <c r="Y444" s="3"/>
      <c r="Z444" s="20">
        <f t="shared" si="59"/>
        <v>194</v>
      </c>
      <c r="AA444" s="20">
        <f t="shared" si="67"/>
        <v>3</v>
      </c>
      <c r="AB444" s="20">
        <f t="shared" si="67"/>
        <v>0</v>
      </c>
      <c r="AC444" s="20">
        <f t="shared" si="67"/>
        <v>0</v>
      </c>
      <c r="AD444" s="20">
        <f t="shared" si="67"/>
        <v>0</v>
      </c>
      <c r="AE444" s="20">
        <f t="shared" si="67"/>
        <v>7</v>
      </c>
      <c r="AF444" s="20">
        <f t="shared" si="67"/>
        <v>10</v>
      </c>
      <c r="AG444" s="300">
        <f t="shared" si="60"/>
        <v>214</v>
      </c>
      <c r="AH444" s="42">
        <f t="shared" si="66"/>
        <v>2</v>
      </c>
      <c r="AI444" s="42">
        <f t="shared" si="66"/>
        <v>0</v>
      </c>
      <c r="AJ444" s="42">
        <f t="shared" si="66"/>
        <v>0</v>
      </c>
      <c r="AK444" s="42">
        <f t="shared" si="65"/>
        <v>0</v>
      </c>
      <c r="AL444" s="42">
        <f t="shared" si="65"/>
        <v>0</v>
      </c>
      <c r="AM444" s="42">
        <f t="shared" si="65"/>
        <v>0</v>
      </c>
      <c r="AN444" s="42">
        <f t="shared" si="65"/>
        <v>0</v>
      </c>
      <c r="AO444" s="42">
        <f t="shared" si="64"/>
        <v>2</v>
      </c>
    </row>
    <row r="445" spans="1:41" ht="15.75">
      <c r="A445" s="16">
        <f t="shared" si="63"/>
        <v>442</v>
      </c>
      <c r="B445" s="390">
        <v>3983</v>
      </c>
      <c r="C445" s="391" t="s">
        <v>1173</v>
      </c>
      <c r="D445" s="392" t="s">
        <v>685</v>
      </c>
      <c r="E445" s="393" t="s">
        <v>1175</v>
      </c>
      <c r="F445" s="394" t="s">
        <v>687</v>
      </c>
      <c r="G445" s="429" t="s">
        <v>6473</v>
      </c>
      <c r="H445" s="395">
        <v>31938</v>
      </c>
      <c r="I445" s="396">
        <v>43831</v>
      </c>
      <c r="J445" s="459" t="s">
        <v>6293</v>
      </c>
      <c r="K445" s="460" t="s">
        <v>6297</v>
      </c>
      <c r="L445" s="460" t="s">
        <v>6335</v>
      </c>
      <c r="M445" s="1">
        <v>192</v>
      </c>
      <c r="N445" s="431">
        <f t="shared" si="61"/>
        <v>3</v>
      </c>
      <c r="O445" s="432">
        <v>0</v>
      </c>
      <c r="P445" s="432">
        <v>0</v>
      </c>
      <c r="Q445" s="432">
        <v>0</v>
      </c>
      <c r="R445" s="1">
        <v>7</v>
      </c>
      <c r="S445" s="1">
        <v>10</v>
      </c>
      <c r="T445" s="300">
        <f t="shared" si="62"/>
        <v>212</v>
      </c>
      <c r="U445" s="3"/>
      <c r="V445" s="3"/>
      <c r="W445" s="3"/>
      <c r="X445" s="3"/>
      <c r="Y445" s="3"/>
      <c r="Z445" s="20">
        <f t="shared" ref="Z445:Z507" si="68">M445+2</f>
        <v>194</v>
      </c>
      <c r="AA445" s="20">
        <f t="shared" si="67"/>
        <v>3</v>
      </c>
      <c r="AB445" s="20">
        <f t="shared" si="67"/>
        <v>0</v>
      </c>
      <c r="AC445" s="20">
        <f t="shared" si="67"/>
        <v>0</v>
      </c>
      <c r="AD445" s="20">
        <f t="shared" si="67"/>
        <v>0</v>
      </c>
      <c r="AE445" s="20">
        <f t="shared" si="67"/>
        <v>7</v>
      </c>
      <c r="AF445" s="20">
        <f t="shared" si="67"/>
        <v>10</v>
      </c>
      <c r="AG445" s="300">
        <f t="shared" ref="AG445:AG507" si="69">SUM(Z445:AF445)</f>
        <v>214</v>
      </c>
      <c r="AH445" s="42">
        <f t="shared" si="66"/>
        <v>2</v>
      </c>
      <c r="AI445" s="42">
        <f t="shared" si="66"/>
        <v>0</v>
      </c>
      <c r="AJ445" s="42">
        <f t="shared" si="66"/>
        <v>0</v>
      </c>
      <c r="AK445" s="42">
        <f t="shared" si="65"/>
        <v>0</v>
      </c>
      <c r="AL445" s="42">
        <f t="shared" si="65"/>
        <v>0</v>
      </c>
      <c r="AM445" s="42">
        <f t="shared" si="65"/>
        <v>0</v>
      </c>
      <c r="AN445" s="42">
        <f t="shared" si="65"/>
        <v>0</v>
      </c>
      <c r="AO445" s="42">
        <f t="shared" si="64"/>
        <v>2</v>
      </c>
    </row>
    <row r="446" spans="1:41" ht="15.75">
      <c r="A446" s="16">
        <f t="shared" si="63"/>
        <v>443</v>
      </c>
      <c r="B446" s="390">
        <v>4001</v>
      </c>
      <c r="C446" s="391" t="s">
        <v>212</v>
      </c>
      <c r="D446" s="392" t="s">
        <v>6235</v>
      </c>
      <c r="E446" s="393" t="s">
        <v>6059</v>
      </c>
      <c r="F446" s="394" t="s">
        <v>6060</v>
      </c>
      <c r="G446" s="429" t="s">
        <v>6473</v>
      </c>
      <c r="H446" s="395">
        <v>32568</v>
      </c>
      <c r="I446" s="396">
        <v>43834</v>
      </c>
      <c r="J446" s="459" t="s">
        <v>6293</v>
      </c>
      <c r="K446" s="460" t="s">
        <v>6301</v>
      </c>
      <c r="L446" s="460" t="s">
        <v>6335</v>
      </c>
      <c r="M446" s="1">
        <v>192</v>
      </c>
      <c r="N446" s="431">
        <f t="shared" ref="N446:N508" si="70">ROUNDDOWN(INT($N$1-I446-16)/365,0)+1</f>
        <v>3</v>
      </c>
      <c r="O446" s="432">
        <v>0</v>
      </c>
      <c r="P446" s="432">
        <v>0</v>
      </c>
      <c r="Q446" s="432">
        <v>0</v>
      </c>
      <c r="R446" s="1">
        <v>7</v>
      </c>
      <c r="S446" s="1">
        <v>10</v>
      </c>
      <c r="T446" s="300">
        <f t="shared" ref="T446:T508" si="71">SUM(M446:S446)</f>
        <v>212</v>
      </c>
      <c r="U446" s="3"/>
      <c r="V446" s="3"/>
      <c r="W446" s="3"/>
      <c r="X446" s="3"/>
      <c r="Y446" s="3"/>
      <c r="Z446" s="20">
        <f t="shared" si="68"/>
        <v>194</v>
      </c>
      <c r="AA446" s="20">
        <f t="shared" si="67"/>
        <v>3</v>
      </c>
      <c r="AB446" s="20">
        <f t="shared" si="67"/>
        <v>0</v>
      </c>
      <c r="AC446" s="20">
        <f t="shared" si="67"/>
        <v>0</v>
      </c>
      <c r="AD446" s="20">
        <f t="shared" si="67"/>
        <v>0</v>
      </c>
      <c r="AE446" s="20">
        <f t="shared" si="67"/>
        <v>7</v>
      </c>
      <c r="AF446" s="20">
        <f t="shared" si="67"/>
        <v>10</v>
      </c>
      <c r="AG446" s="300">
        <f t="shared" si="69"/>
        <v>214</v>
      </c>
      <c r="AH446" s="42">
        <f t="shared" si="66"/>
        <v>2</v>
      </c>
      <c r="AI446" s="42">
        <f t="shared" si="66"/>
        <v>0</v>
      </c>
      <c r="AJ446" s="42">
        <f t="shared" si="66"/>
        <v>0</v>
      </c>
      <c r="AK446" s="42">
        <f t="shared" si="65"/>
        <v>0</v>
      </c>
      <c r="AL446" s="42">
        <f t="shared" si="65"/>
        <v>0</v>
      </c>
      <c r="AM446" s="42">
        <f t="shared" si="65"/>
        <v>0</v>
      </c>
      <c r="AN446" s="42">
        <f t="shared" si="65"/>
        <v>0</v>
      </c>
      <c r="AO446" s="42">
        <f t="shared" si="64"/>
        <v>2</v>
      </c>
    </row>
    <row r="447" spans="1:41" ht="15.75">
      <c r="A447" s="16">
        <f t="shared" si="63"/>
        <v>444</v>
      </c>
      <c r="B447" s="390">
        <v>4027</v>
      </c>
      <c r="C447" s="391" t="s">
        <v>6236</v>
      </c>
      <c r="D447" s="392" t="s">
        <v>356</v>
      </c>
      <c r="E447" s="393" t="s">
        <v>3649</v>
      </c>
      <c r="F447" s="394" t="s">
        <v>1251</v>
      </c>
      <c r="G447" s="429" t="s">
        <v>6473</v>
      </c>
      <c r="H447" s="395">
        <v>36251</v>
      </c>
      <c r="I447" s="396">
        <v>43848</v>
      </c>
      <c r="J447" s="459" t="s">
        <v>6293</v>
      </c>
      <c r="K447" s="460" t="s">
        <v>397</v>
      </c>
      <c r="L447" s="460" t="s">
        <v>6336</v>
      </c>
      <c r="M447" s="1">
        <v>192</v>
      </c>
      <c r="N447" s="431">
        <f t="shared" si="70"/>
        <v>2</v>
      </c>
      <c r="O447" s="432">
        <v>0</v>
      </c>
      <c r="P447" s="432">
        <v>0</v>
      </c>
      <c r="Q447" s="432">
        <v>0</v>
      </c>
      <c r="R447" s="1">
        <v>7</v>
      </c>
      <c r="S447" s="1">
        <v>10</v>
      </c>
      <c r="T447" s="300">
        <f t="shared" si="71"/>
        <v>211</v>
      </c>
      <c r="U447" s="3"/>
      <c r="V447" s="3"/>
      <c r="W447" s="3"/>
      <c r="X447" s="3"/>
      <c r="Y447" s="3"/>
      <c r="Z447" s="20">
        <f t="shared" si="68"/>
        <v>194</v>
      </c>
      <c r="AA447" s="20">
        <f t="shared" si="67"/>
        <v>2</v>
      </c>
      <c r="AB447" s="20">
        <f t="shared" si="67"/>
        <v>0</v>
      </c>
      <c r="AC447" s="20">
        <f t="shared" si="67"/>
        <v>0</v>
      </c>
      <c r="AD447" s="20">
        <f t="shared" si="67"/>
        <v>0</v>
      </c>
      <c r="AE447" s="20">
        <f t="shared" si="67"/>
        <v>7</v>
      </c>
      <c r="AF447" s="20">
        <f t="shared" si="67"/>
        <v>10</v>
      </c>
      <c r="AG447" s="300">
        <f t="shared" si="69"/>
        <v>213</v>
      </c>
      <c r="AH447" s="42">
        <f t="shared" si="66"/>
        <v>2</v>
      </c>
      <c r="AI447" s="42">
        <f t="shared" si="66"/>
        <v>0</v>
      </c>
      <c r="AJ447" s="42">
        <f t="shared" si="66"/>
        <v>0</v>
      </c>
      <c r="AK447" s="42">
        <f t="shared" si="65"/>
        <v>0</v>
      </c>
      <c r="AL447" s="42">
        <f t="shared" si="65"/>
        <v>0</v>
      </c>
      <c r="AM447" s="42">
        <f t="shared" si="65"/>
        <v>0</v>
      </c>
      <c r="AN447" s="42">
        <f t="shared" si="65"/>
        <v>0</v>
      </c>
      <c r="AO447" s="42">
        <f t="shared" si="64"/>
        <v>2</v>
      </c>
    </row>
    <row r="448" spans="1:41" ht="15.75">
      <c r="A448" s="16">
        <f t="shared" si="63"/>
        <v>445</v>
      </c>
      <c r="B448" s="390">
        <v>4006</v>
      </c>
      <c r="C448" s="391" t="s">
        <v>6237</v>
      </c>
      <c r="D448" s="392" t="s">
        <v>4773</v>
      </c>
      <c r="E448" s="393" t="s">
        <v>6061</v>
      </c>
      <c r="F448" s="394" t="s">
        <v>6062</v>
      </c>
      <c r="G448" s="429" t="s">
        <v>6473</v>
      </c>
      <c r="H448" s="395">
        <v>30900</v>
      </c>
      <c r="I448" s="396">
        <v>43835</v>
      </c>
      <c r="J448" s="459" t="s">
        <v>6293</v>
      </c>
      <c r="K448" s="460" t="s">
        <v>6308</v>
      </c>
      <c r="L448" s="460" t="s">
        <v>6335</v>
      </c>
      <c r="M448" s="1">
        <v>192</v>
      </c>
      <c r="N448" s="431">
        <f t="shared" si="70"/>
        <v>3</v>
      </c>
      <c r="O448" s="432">
        <v>0</v>
      </c>
      <c r="P448" s="432">
        <v>0</v>
      </c>
      <c r="Q448" s="432">
        <v>0</v>
      </c>
      <c r="R448" s="1">
        <v>7</v>
      </c>
      <c r="S448" s="1">
        <v>10</v>
      </c>
      <c r="T448" s="300">
        <f t="shared" si="71"/>
        <v>212</v>
      </c>
      <c r="U448" s="3"/>
      <c r="V448" s="3"/>
      <c r="W448" s="3"/>
      <c r="X448" s="3"/>
      <c r="Y448" s="3"/>
      <c r="Z448" s="20">
        <f t="shared" si="68"/>
        <v>194</v>
      </c>
      <c r="AA448" s="20">
        <f t="shared" si="67"/>
        <v>3</v>
      </c>
      <c r="AB448" s="20">
        <f t="shared" si="67"/>
        <v>0</v>
      </c>
      <c r="AC448" s="20">
        <f t="shared" si="67"/>
        <v>0</v>
      </c>
      <c r="AD448" s="20">
        <f t="shared" si="67"/>
        <v>0</v>
      </c>
      <c r="AE448" s="20">
        <f t="shared" si="67"/>
        <v>7</v>
      </c>
      <c r="AF448" s="20">
        <f t="shared" si="67"/>
        <v>10</v>
      </c>
      <c r="AG448" s="300">
        <f t="shared" si="69"/>
        <v>214</v>
      </c>
      <c r="AH448" s="42">
        <f t="shared" si="66"/>
        <v>2</v>
      </c>
      <c r="AI448" s="42">
        <f t="shared" si="66"/>
        <v>0</v>
      </c>
      <c r="AJ448" s="42">
        <f t="shared" si="66"/>
        <v>0</v>
      </c>
      <c r="AK448" s="42">
        <f t="shared" si="65"/>
        <v>0</v>
      </c>
      <c r="AL448" s="42">
        <f t="shared" si="65"/>
        <v>0</v>
      </c>
      <c r="AM448" s="42">
        <f t="shared" si="65"/>
        <v>0</v>
      </c>
      <c r="AN448" s="42">
        <f t="shared" si="65"/>
        <v>0</v>
      </c>
      <c r="AO448" s="42">
        <f t="shared" si="64"/>
        <v>2</v>
      </c>
    </row>
    <row r="449" spans="1:41" ht="15.75">
      <c r="A449" s="16">
        <f t="shared" si="63"/>
        <v>446</v>
      </c>
      <c r="B449" s="390">
        <v>4139</v>
      </c>
      <c r="C449" s="391" t="s">
        <v>2032</v>
      </c>
      <c r="D449" s="392" t="s">
        <v>1119</v>
      </c>
      <c r="E449" s="393" t="s">
        <v>2034</v>
      </c>
      <c r="F449" s="394" t="s">
        <v>1121</v>
      </c>
      <c r="G449" s="429" t="s">
        <v>6475</v>
      </c>
      <c r="H449" s="395">
        <v>30747</v>
      </c>
      <c r="I449" s="396">
        <v>43833</v>
      </c>
      <c r="J449" s="459" t="s">
        <v>6293</v>
      </c>
      <c r="K449" s="460" t="s">
        <v>86</v>
      </c>
      <c r="L449" s="460" t="s">
        <v>6488</v>
      </c>
      <c r="M449" s="1">
        <v>192</v>
      </c>
      <c r="N449" s="431">
        <f t="shared" si="70"/>
        <v>3</v>
      </c>
      <c r="O449" s="432">
        <v>0</v>
      </c>
      <c r="P449" s="432">
        <v>200</v>
      </c>
      <c r="Q449" s="432">
        <v>263</v>
      </c>
      <c r="R449" s="1">
        <v>7</v>
      </c>
      <c r="S449" s="1">
        <v>10</v>
      </c>
      <c r="T449" s="300">
        <f t="shared" si="71"/>
        <v>675</v>
      </c>
      <c r="U449" s="3"/>
      <c r="V449" s="3"/>
      <c r="W449" s="3"/>
      <c r="X449" s="3"/>
      <c r="Y449" s="3"/>
      <c r="Z449" s="20">
        <f t="shared" si="68"/>
        <v>194</v>
      </c>
      <c r="AA449" s="20">
        <f t="shared" si="67"/>
        <v>3</v>
      </c>
      <c r="AB449" s="20">
        <f t="shared" si="67"/>
        <v>0</v>
      </c>
      <c r="AC449" s="20">
        <f t="shared" si="67"/>
        <v>200</v>
      </c>
      <c r="AD449" s="20">
        <f t="shared" si="67"/>
        <v>263</v>
      </c>
      <c r="AE449" s="20">
        <f t="shared" si="67"/>
        <v>7</v>
      </c>
      <c r="AF449" s="20">
        <f t="shared" si="67"/>
        <v>10</v>
      </c>
      <c r="AG449" s="300">
        <f t="shared" si="69"/>
        <v>677</v>
      </c>
      <c r="AH449" s="42">
        <f t="shared" si="66"/>
        <v>2</v>
      </c>
      <c r="AI449" s="42">
        <f t="shared" si="66"/>
        <v>0</v>
      </c>
      <c r="AJ449" s="42">
        <f t="shared" si="66"/>
        <v>0</v>
      </c>
      <c r="AK449" s="42">
        <f t="shared" si="65"/>
        <v>0</v>
      </c>
      <c r="AL449" s="42">
        <f t="shared" si="65"/>
        <v>0</v>
      </c>
      <c r="AM449" s="42">
        <f t="shared" si="65"/>
        <v>0</v>
      </c>
      <c r="AN449" s="42">
        <f t="shared" si="65"/>
        <v>0</v>
      </c>
      <c r="AO449" s="42">
        <f t="shared" si="64"/>
        <v>2</v>
      </c>
    </row>
    <row r="450" spans="1:41" ht="15.75">
      <c r="A450" s="16">
        <f t="shared" si="63"/>
        <v>447</v>
      </c>
      <c r="B450" s="390">
        <v>4141</v>
      </c>
      <c r="C450" s="391" t="s">
        <v>452</v>
      </c>
      <c r="D450" s="392" t="s">
        <v>6238</v>
      </c>
      <c r="E450" s="393" t="s">
        <v>454</v>
      </c>
      <c r="F450" s="394" t="s">
        <v>172</v>
      </c>
      <c r="G450" s="429" t="s">
        <v>6473</v>
      </c>
      <c r="H450" s="395">
        <v>33791</v>
      </c>
      <c r="I450" s="396">
        <v>43835</v>
      </c>
      <c r="J450" s="459" t="s">
        <v>6293</v>
      </c>
      <c r="K450" s="460" t="s">
        <v>6301</v>
      </c>
      <c r="L450" s="460" t="s">
        <v>6335</v>
      </c>
      <c r="M450" s="1">
        <v>192</v>
      </c>
      <c r="N450" s="431">
        <f t="shared" si="70"/>
        <v>3</v>
      </c>
      <c r="O450" s="432">
        <v>0</v>
      </c>
      <c r="P450" s="432">
        <v>0</v>
      </c>
      <c r="Q450" s="432">
        <v>0</v>
      </c>
      <c r="R450" s="1">
        <v>7</v>
      </c>
      <c r="S450" s="1">
        <v>10</v>
      </c>
      <c r="T450" s="300">
        <f t="shared" si="71"/>
        <v>212</v>
      </c>
      <c r="U450" s="3"/>
      <c r="V450" s="3"/>
      <c r="W450" s="3"/>
      <c r="X450" s="3"/>
      <c r="Y450" s="3"/>
      <c r="Z450" s="20">
        <f t="shared" si="68"/>
        <v>194</v>
      </c>
      <c r="AA450" s="20">
        <f t="shared" si="67"/>
        <v>3</v>
      </c>
      <c r="AB450" s="20">
        <f t="shared" si="67"/>
        <v>0</v>
      </c>
      <c r="AC450" s="20">
        <f t="shared" si="67"/>
        <v>0</v>
      </c>
      <c r="AD450" s="20">
        <f t="shared" si="67"/>
        <v>0</v>
      </c>
      <c r="AE450" s="20">
        <f t="shared" si="67"/>
        <v>7</v>
      </c>
      <c r="AF450" s="20">
        <f t="shared" si="67"/>
        <v>10</v>
      </c>
      <c r="AG450" s="300">
        <f t="shared" si="69"/>
        <v>214</v>
      </c>
      <c r="AH450" s="42">
        <f t="shared" si="66"/>
        <v>2</v>
      </c>
      <c r="AI450" s="42">
        <f t="shared" si="66"/>
        <v>0</v>
      </c>
      <c r="AJ450" s="42">
        <f t="shared" si="66"/>
        <v>0</v>
      </c>
      <c r="AK450" s="42">
        <f t="shared" si="65"/>
        <v>0</v>
      </c>
      <c r="AL450" s="42">
        <f t="shared" si="65"/>
        <v>0</v>
      </c>
      <c r="AM450" s="42">
        <f t="shared" si="65"/>
        <v>0</v>
      </c>
      <c r="AN450" s="42">
        <f t="shared" si="65"/>
        <v>0</v>
      </c>
      <c r="AO450" s="42">
        <f t="shared" si="64"/>
        <v>2</v>
      </c>
    </row>
    <row r="451" spans="1:41" ht="15.75">
      <c r="A451" s="16">
        <f t="shared" si="63"/>
        <v>448</v>
      </c>
      <c r="B451" s="390">
        <v>4016</v>
      </c>
      <c r="C451" s="391" t="s">
        <v>1000</v>
      </c>
      <c r="D451" s="392" t="s">
        <v>213</v>
      </c>
      <c r="E451" s="393" t="s">
        <v>1002</v>
      </c>
      <c r="F451" s="394" t="s">
        <v>1984</v>
      </c>
      <c r="G451" s="429" t="s">
        <v>6473</v>
      </c>
      <c r="H451" s="395">
        <v>31052</v>
      </c>
      <c r="I451" s="396">
        <v>43836</v>
      </c>
      <c r="J451" s="459" t="s">
        <v>6293</v>
      </c>
      <c r="K451" s="460" t="s">
        <v>6301</v>
      </c>
      <c r="L451" s="460" t="s">
        <v>6335</v>
      </c>
      <c r="M451" s="1">
        <v>192</v>
      </c>
      <c r="N451" s="431">
        <f t="shared" si="70"/>
        <v>3</v>
      </c>
      <c r="O451" s="432">
        <v>0</v>
      </c>
      <c r="P451" s="432">
        <v>0</v>
      </c>
      <c r="Q451" s="432">
        <v>0</v>
      </c>
      <c r="R451" s="1">
        <v>7</v>
      </c>
      <c r="S451" s="1">
        <v>10</v>
      </c>
      <c r="T451" s="300">
        <f t="shared" si="71"/>
        <v>212</v>
      </c>
      <c r="U451" s="3"/>
      <c r="V451" s="3"/>
      <c r="W451" s="3"/>
      <c r="X451" s="3"/>
      <c r="Y451" s="3"/>
      <c r="Z451" s="20">
        <f t="shared" si="68"/>
        <v>194</v>
      </c>
      <c r="AA451" s="20">
        <f t="shared" si="67"/>
        <v>3</v>
      </c>
      <c r="AB451" s="20">
        <f t="shared" si="67"/>
        <v>0</v>
      </c>
      <c r="AC451" s="20">
        <f t="shared" si="67"/>
        <v>0</v>
      </c>
      <c r="AD451" s="20">
        <f t="shared" si="67"/>
        <v>0</v>
      </c>
      <c r="AE451" s="20">
        <f t="shared" si="67"/>
        <v>7</v>
      </c>
      <c r="AF451" s="20">
        <f t="shared" si="67"/>
        <v>10</v>
      </c>
      <c r="AG451" s="300">
        <f t="shared" si="69"/>
        <v>214</v>
      </c>
      <c r="AH451" s="42">
        <f t="shared" si="66"/>
        <v>2</v>
      </c>
      <c r="AI451" s="42">
        <f t="shared" si="66"/>
        <v>0</v>
      </c>
      <c r="AJ451" s="42">
        <f t="shared" si="66"/>
        <v>0</v>
      </c>
      <c r="AK451" s="42">
        <f t="shared" si="65"/>
        <v>0</v>
      </c>
      <c r="AL451" s="42">
        <f t="shared" si="65"/>
        <v>0</v>
      </c>
      <c r="AM451" s="42">
        <f t="shared" si="65"/>
        <v>0</v>
      </c>
      <c r="AN451" s="42">
        <f t="shared" si="65"/>
        <v>0</v>
      </c>
      <c r="AO451" s="42">
        <f t="shared" si="64"/>
        <v>2</v>
      </c>
    </row>
    <row r="452" spans="1:41" ht="15.75">
      <c r="A452" s="16">
        <f t="shared" si="63"/>
        <v>449</v>
      </c>
      <c r="B452" s="390">
        <v>3992</v>
      </c>
      <c r="C452" s="391" t="s">
        <v>6239</v>
      </c>
      <c r="D452" s="392" t="s">
        <v>191</v>
      </c>
      <c r="E452" s="393" t="s">
        <v>1448</v>
      </c>
      <c r="F452" s="394" t="s">
        <v>6122</v>
      </c>
      <c r="G452" s="429" t="s">
        <v>6473</v>
      </c>
      <c r="H452" s="395">
        <v>33220</v>
      </c>
      <c r="I452" s="396">
        <v>43834</v>
      </c>
      <c r="J452" s="459" t="s">
        <v>6293</v>
      </c>
      <c r="K452" s="460" t="s">
        <v>6125</v>
      </c>
      <c r="L452" s="460" t="s">
        <v>6339</v>
      </c>
      <c r="M452" s="1">
        <v>192</v>
      </c>
      <c r="N452" s="431">
        <f t="shared" si="70"/>
        <v>3</v>
      </c>
      <c r="O452" s="432">
        <v>0</v>
      </c>
      <c r="P452" s="432">
        <v>0</v>
      </c>
      <c r="Q452" s="432">
        <v>0</v>
      </c>
      <c r="R452" s="1">
        <v>7</v>
      </c>
      <c r="S452" s="1">
        <v>10</v>
      </c>
      <c r="T452" s="300">
        <f t="shared" si="71"/>
        <v>212</v>
      </c>
      <c r="U452" s="3"/>
      <c r="V452" s="3"/>
      <c r="W452" s="3"/>
      <c r="X452" s="3"/>
      <c r="Y452" s="3"/>
      <c r="Z452" s="20">
        <f t="shared" si="68"/>
        <v>194</v>
      </c>
      <c r="AA452" s="20">
        <f t="shared" si="67"/>
        <v>3</v>
      </c>
      <c r="AB452" s="20">
        <f t="shared" si="67"/>
        <v>0</v>
      </c>
      <c r="AC452" s="20">
        <f t="shared" si="67"/>
        <v>0</v>
      </c>
      <c r="AD452" s="20">
        <f t="shared" si="67"/>
        <v>0</v>
      </c>
      <c r="AE452" s="20">
        <f t="shared" si="67"/>
        <v>7</v>
      </c>
      <c r="AF452" s="20">
        <f t="shared" si="67"/>
        <v>10</v>
      </c>
      <c r="AG452" s="300">
        <f t="shared" si="69"/>
        <v>214</v>
      </c>
      <c r="AH452" s="42">
        <f t="shared" si="66"/>
        <v>2</v>
      </c>
      <c r="AI452" s="42">
        <f t="shared" si="66"/>
        <v>0</v>
      </c>
      <c r="AJ452" s="42">
        <f t="shared" si="66"/>
        <v>0</v>
      </c>
      <c r="AK452" s="42">
        <f t="shared" si="65"/>
        <v>0</v>
      </c>
      <c r="AL452" s="42">
        <f t="shared" si="65"/>
        <v>0</v>
      </c>
      <c r="AM452" s="42">
        <f t="shared" si="65"/>
        <v>0</v>
      </c>
      <c r="AN452" s="42">
        <f t="shared" si="65"/>
        <v>0</v>
      </c>
      <c r="AO452" s="42">
        <f t="shared" si="64"/>
        <v>2</v>
      </c>
    </row>
    <row r="453" spans="1:41" ht="15.75">
      <c r="A453" s="16">
        <f t="shared" si="63"/>
        <v>450</v>
      </c>
      <c r="B453" s="390">
        <v>4008</v>
      </c>
      <c r="C453" s="391" t="s">
        <v>256</v>
      </c>
      <c r="D453" s="392" t="s">
        <v>1447</v>
      </c>
      <c r="E453" s="393" t="s">
        <v>16</v>
      </c>
      <c r="F453" s="394" t="s">
        <v>6063</v>
      </c>
      <c r="G453" s="429" t="s">
        <v>6473</v>
      </c>
      <c r="H453" s="395">
        <v>28933</v>
      </c>
      <c r="I453" s="396">
        <v>43835</v>
      </c>
      <c r="J453" s="459" t="s">
        <v>6293</v>
      </c>
      <c r="K453" s="460" t="s">
        <v>6305</v>
      </c>
      <c r="L453" s="460" t="s">
        <v>6335</v>
      </c>
      <c r="M453" s="1">
        <v>192</v>
      </c>
      <c r="N453" s="431">
        <f t="shared" si="70"/>
        <v>3</v>
      </c>
      <c r="O453" s="432">
        <v>0</v>
      </c>
      <c r="P453" s="432">
        <v>0</v>
      </c>
      <c r="Q453" s="432">
        <v>0</v>
      </c>
      <c r="R453" s="1">
        <v>7</v>
      </c>
      <c r="S453" s="1">
        <v>10</v>
      </c>
      <c r="T453" s="300">
        <f t="shared" si="71"/>
        <v>212</v>
      </c>
      <c r="U453" s="3"/>
      <c r="V453" s="3"/>
      <c r="W453" s="3"/>
      <c r="X453" s="3"/>
      <c r="Y453" s="3"/>
      <c r="Z453" s="20">
        <f t="shared" si="68"/>
        <v>194</v>
      </c>
      <c r="AA453" s="20">
        <f t="shared" si="67"/>
        <v>3</v>
      </c>
      <c r="AB453" s="20">
        <f t="shared" si="67"/>
        <v>0</v>
      </c>
      <c r="AC453" s="20">
        <f t="shared" si="67"/>
        <v>0</v>
      </c>
      <c r="AD453" s="20">
        <f t="shared" si="67"/>
        <v>0</v>
      </c>
      <c r="AE453" s="20">
        <f t="shared" si="67"/>
        <v>7</v>
      </c>
      <c r="AF453" s="20">
        <f t="shared" si="67"/>
        <v>10</v>
      </c>
      <c r="AG453" s="300">
        <f t="shared" si="69"/>
        <v>214</v>
      </c>
      <c r="AH453" s="42">
        <f t="shared" si="66"/>
        <v>2</v>
      </c>
      <c r="AI453" s="42">
        <f t="shared" si="66"/>
        <v>0</v>
      </c>
      <c r="AJ453" s="42">
        <f t="shared" si="66"/>
        <v>0</v>
      </c>
      <c r="AK453" s="42">
        <f t="shared" si="65"/>
        <v>0</v>
      </c>
      <c r="AL453" s="42">
        <f t="shared" si="65"/>
        <v>0</v>
      </c>
      <c r="AM453" s="42">
        <f t="shared" si="65"/>
        <v>0</v>
      </c>
      <c r="AN453" s="42">
        <f t="shared" si="65"/>
        <v>0</v>
      </c>
      <c r="AO453" s="42">
        <f t="shared" si="65"/>
        <v>2</v>
      </c>
    </row>
    <row r="454" spans="1:41" ht="15.75">
      <c r="A454" s="16">
        <f t="shared" si="63"/>
        <v>451</v>
      </c>
      <c r="B454" s="390">
        <v>4028</v>
      </c>
      <c r="C454" s="391" t="s">
        <v>6240</v>
      </c>
      <c r="D454" s="392" t="s">
        <v>6241</v>
      </c>
      <c r="E454" s="393" t="s">
        <v>6064</v>
      </c>
      <c r="F454" s="394" t="s">
        <v>6065</v>
      </c>
      <c r="G454" s="429" t="s">
        <v>6473</v>
      </c>
      <c r="H454" s="395">
        <v>33760</v>
      </c>
      <c r="I454" s="396">
        <v>43851</v>
      </c>
      <c r="J454" s="459" t="s">
        <v>6293</v>
      </c>
      <c r="K454" s="460" t="s">
        <v>6308</v>
      </c>
      <c r="L454" s="460" t="s">
        <v>6335</v>
      </c>
      <c r="M454" s="1">
        <v>192</v>
      </c>
      <c r="N454" s="431">
        <f t="shared" si="70"/>
        <v>2</v>
      </c>
      <c r="O454" s="432">
        <v>0</v>
      </c>
      <c r="P454" s="432">
        <v>0</v>
      </c>
      <c r="Q454" s="432">
        <v>0</v>
      </c>
      <c r="R454" s="1">
        <v>7</v>
      </c>
      <c r="S454" s="1">
        <v>10</v>
      </c>
      <c r="T454" s="300">
        <f t="shared" si="71"/>
        <v>211</v>
      </c>
      <c r="U454" s="3"/>
      <c r="V454" s="3"/>
      <c r="W454" s="3"/>
      <c r="X454" s="3"/>
      <c r="Y454" s="3"/>
      <c r="Z454" s="20">
        <f t="shared" si="68"/>
        <v>194</v>
      </c>
      <c r="AA454" s="20">
        <f t="shared" si="67"/>
        <v>2</v>
      </c>
      <c r="AB454" s="20">
        <f t="shared" si="67"/>
        <v>0</v>
      </c>
      <c r="AC454" s="20">
        <f t="shared" si="67"/>
        <v>0</v>
      </c>
      <c r="AD454" s="20">
        <f t="shared" si="67"/>
        <v>0</v>
      </c>
      <c r="AE454" s="20">
        <f t="shared" si="67"/>
        <v>7</v>
      </c>
      <c r="AF454" s="20">
        <f t="shared" si="67"/>
        <v>10</v>
      </c>
      <c r="AG454" s="300">
        <f t="shared" si="69"/>
        <v>213</v>
      </c>
      <c r="AH454" s="42">
        <f t="shared" si="66"/>
        <v>2</v>
      </c>
      <c r="AI454" s="42">
        <f t="shared" si="66"/>
        <v>0</v>
      </c>
      <c r="AJ454" s="42">
        <f t="shared" si="66"/>
        <v>0</v>
      </c>
      <c r="AK454" s="42">
        <f t="shared" si="65"/>
        <v>0</v>
      </c>
      <c r="AL454" s="42">
        <f t="shared" si="65"/>
        <v>0</v>
      </c>
      <c r="AM454" s="42">
        <f t="shared" si="65"/>
        <v>0</v>
      </c>
      <c r="AN454" s="42">
        <f t="shared" si="65"/>
        <v>0</v>
      </c>
      <c r="AO454" s="42">
        <f t="shared" si="65"/>
        <v>2</v>
      </c>
    </row>
    <row r="455" spans="1:41" ht="15.75">
      <c r="A455" s="16">
        <f t="shared" si="63"/>
        <v>452</v>
      </c>
      <c r="B455" s="390">
        <v>3999</v>
      </c>
      <c r="C455" s="391" t="s">
        <v>3656</v>
      </c>
      <c r="D455" s="392" t="s">
        <v>4180</v>
      </c>
      <c r="E455" s="393" t="s">
        <v>6066</v>
      </c>
      <c r="F455" s="394" t="s">
        <v>5655</v>
      </c>
      <c r="G455" s="429" t="s">
        <v>6473</v>
      </c>
      <c r="H455" s="395">
        <v>35488</v>
      </c>
      <c r="I455" s="396">
        <v>43834</v>
      </c>
      <c r="J455" s="459" t="s">
        <v>6293</v>
      </c>
      <c r="K455" s="460" t="s">
        <v>6302</v>
      </c>
      <c r="L455" s="460" t="s">
        <v>6335</v>
      </c>
      <c r="M455" s="1">
        <v>192</v>
      </c>
      <c r="N455" s="431">
        <f t="shared" si="70"/>
        <v>3</v>
      </c>
      <c r="O455" s="432">
        <v>0</v>
      </c>
      <c r="P455" s="432">
        <v>0</v>
      </c>
      <c r="Q455" s="432">
        <v>0</v>
      </c>
      <c r="R455" s="1">
        <v>7</v>
      </c>
      <c r="S455" s="1">
        <v>10</v>
      </c>
      <c r="T455" s="300">
        <f t="shared" si="71"/>
        <v>212</v>
      </c>
      <c r="U455" s="3"/>
      <c r="V455" s="3"/>
      <c r="W455" s="3"/>
      <c r="X455" s="3"/>
      <c r="Y455" s="3"/>
      <c r="Z455" s="20">
        <f t="shared" si="68"/>
        <v>194</v>
      </c>
      <c r="AA455" s="20">
        <f t="shared" si="67"/>
        <v>3</v>
      </c>
      <c r="AB455" s="20">
        <f t="shared" si="67"/>
        <v>0</v>
      </c>
      <c r="AC455" s="20">
        <f t="shared" si="67"/>
        <v>0</v>
      </c>
      <c r="AD455" s="20">
        <f t="shared" si="67"/>
        <v>0</v>
      </c>
      <c r="AE455" s="20">
        <f t="shared" si="67"/>
        <v>7</v>
      </c>
      <c r="AF455" s="20">
        <f t="shared" si="67"/>
        <v>10</v>
      </c>
      <c r="AG455" s="300">
        <f t="shared" si="69"/>
        <v>214</v>
      </c>
      <c r="AH455" s="42">
        <f t="shared" si="66"/>
        <v>2</v>
      </c>
      <c r="AI455" s="42">
        <f t="shared" si="66"/>
        <v>0</v>
      </c>
      <c r="AJ455" s="42">
        <f t="shared" si="66"/>
        <v>0</v>
      </c>
      <c r="AK455" s="42">
        <f t="shared" si="65"/>
        <v>0</v>
      </c>
      <c r="AL455" s="42">
        <f t="shared" si="65"/>
        <v>0</v>
      </c>
      <c r="AM455" s="42">
        <f t="shared" si="65"/>
        <v>0</v>
      </c>
      <c r="AN455" s="42">
        <f t="shared" si="65"/>
        <v>0</v>
      </c>
      <c r="AO455" s="42">
        <f t="shared" si="65"/>
        <v>2</v>
      </c>
    </row>
    <row r="456" spans="1:41" ht="15.75">
      <c r="A456" s="16">
        <f t="shared" si="63"/>
        <v>453</v>
      </c>
      <c r="B456" s="390">
        <v>3995</v>
      </c>
      <c r="C456" s="391" t="s">
        <v>5339</v>
      </c>
      <c r="D456" s="392" t="s">
        <v>1248</v>
      </c>
      <c r="E456" s="393" t="s">
        <v>6067</v>
      </c>
      <c r="F456" s="394" t="s">
        <v>1250</v>
      </c>
      <c r="G456" s="429" t="s">
        <v>6473</v>
      </c>
      <c r="H456" s="395">
        <v>29830</v>
      </c>
      <c r="I456" s="396">
        <v>43833</v>
      </c>
      <c r="J456" s="459" t="s">
        <v>6293</v>
      </c>
      <c r="K456" s="460" t="s">
        <v>6299</v>
      </c>
      <c r="L456" s="460" t="s">
        <v>6335</v>
      </c>
      <c r="M456" s="1">
        <v>192</v>
      </c>
      <c r="N456" s="431">
        <f t="shared" si="70"/>
        <v>3</v>
      </c>
      <c r="O456" s="432">
        <v>0</v>
      </c>
      <c r="P456" s="432">
        <v>0</v>
      </c>
      <c r="Q456" s="432">
        <v>0</v>
      </c>
      <c r="R456" s="1">
        <v>7</v>
      </c>
      <c r="S456" s="1">
        <v>10</v>
      </c>
      <c r="T456" s="300">
        <f t="shared" si="71"/>
        <v>212</v>
      </c>
      <c r="U456" s="3"/>
      <c r="V456" s="3"/>
      <c r="W456" s="3"/>
      <c r="X456" s="3"/>
      <c r="Y456" s="3"/>
      <c r="Z456" s="20">
        <f t="shared" si="68"/>
        <v>194</v>
      </c>
      <c r="AA456" s="20">
        <f t="shared" si="67"/>
        <v>3</v>
      </c>
      <c r="AB456" s="20">
        <f t="shared" si="67"/>
        <v>0</v>
      </c>
      <c r="AC456" s="20">
        <f t="shared" si="67"/>
        <v>0</v>
      </c>
      <c r="AD456" s="20">
        <f t="shared" si="67"/>
        <v>0</v>
      </c>
      <c r="AE456" s="20">
        <f t="shared" si="67"/>
        <v>7</v>
      </c>
      <c r="AF456" s="20">
        <f t="shared" si="67"/>
        <v>10</v>
      </c>
      <c r="AG456" s="300">
        <f t="shared" si="69"/>
        <v>214</v>
      </c>
      <c r="AH456" s="42">
        <f t="shared" si="66"/>
        <v>2</v>
      </c>
      <c r="AI456" s="42">
        <f t="shared" si="66"/>
        <v>0</v>
      </c>
      <c r="AJ456" s="42">
        <f t="shared" si="66"/>
        <v>0</v>
      </c>
      <c r="AK456" s="42">
        <f t="shared" si="65"/>
        <v>0</v>
      </c>
      <c r="AL456" s="42">
        <f t="shared" si="65"/>
        <v>0</v>
      </c>
      <c r="AM456" s="42">
        <f t="shared" si="65"/>
        <v>0</v>
      </c>
      <c r="AN456" s="42">
        <f t="shared" si="65"/>
        <v>0</v>
      </c>
      <c r="AO456" s="42">
        <f t="shared" si="65"/>
        <v>2</v>
      </c>
    </row>
    <row r="457" spans="1:41" ht="15.75">
      <c r="A457" s="16">
        <f t="shared" ref="A457:A520" si="72">1+A456</f>
        <v>454</v>
      </c>
      <c r="B457" s="390">
        <v>3971</v>
      </c>
      <c r="C457" s="391" t="s">
        <v>4190</v>
      </c>
      <c r="D457" s="392" t="s">
        <v>892</v>
      </c>
      <c r="E457" s="393" t="s">
        <v>469</v>
      </c>
      <c r="F457" s="394" t="s">
        <v>894</v>
      </c>
      <c r="G457" s="429" t="s">
        <v>6475</v>
      </c>
      <c r="H457" s="395">
        <v>32660</v>
      </c>
      <c r="I457" s="396">
        <v>43831</v>
      </c>
      <c r="J457" s="459" t="s">
        <v>6293</v>
      </c>
      <c r="K457" s="460" t="s">
        <v>6299</v>
      </c>
      <c r="L457" s="460" t="s">
        <v>6335</v>
      </c>
      <c r="M457" s="1">
        <v>192</v>
      </c>
      <c r="N457" s="431">
        <f t="shared" si="70"/>
        <v>3</v>
      </c>
      <c r="O457" s="432">
        <v>0</v>
      </c>
      <c r="P457" s="432">
        <v>0</v>
      </c>
      <c r="Q457" s="432">
        <v>0</v>
      </c>
      <c r="R457" s="1">
        <v>7</v>
      </c>
      <c r="S457" s="1">
        <v>10</v>
      </c>
      <c r="T457" s="300">
        <f t="shared" si="71"/>
        <v>212</v>
      </c>
      <c r="U457" s="3"/>
      <c r="V457" s="3"/>
      <c r="W457" s="3"/>
      <c r="X457" s="3"/>
      <c r="Y457" s="3"/>
      <c r="Z457" s="20">
        <f t="shared" si="68"/>
        <v>194</v>
      </c>
      <c r="AA457" s="20">
        <f t="shared" si="67"/>
        <v>3</v>
      </c>
      <c r="AB457" s="20">
        <f t="shared" si="67"/>
        <v>0</v>
      </c>
      <c r="AC457" s="20">
        <f t="shared" si="67"/>
        <v>0</v>
      </c>
      <c r="AD457" s="20">
        <f t="shared" si="67"/>
        <v>0</v>
      </c>
      <c r="AE457" s="20">
        <f t="shared" si="67"/>
        <v>7</v>
      </c>
      <c r="AF457" s="20">
        <f t="shared" si="67"/>
        <v>10</v>
      </c>
      <c r="AG457" s="300">
        <f t="shared" si="69"/>
        <v>214</v>
      </c>
      <c r="AH457" s="42">
        <f t="shared" si="66"/>
        <v>2</v>
      </c>
      <c r="AI457" s="42">
        <f t="shared" si="66"/>
        <v>0</v>
      </c>
      <c r="AJ457" s="42">
        <f t="shared" si="66"/>
        <v>0</v>
      </c>
      <c r="AK457" s="42">
        <f t="shared" si="65"/>
        <v>0</v>
      </c>
      <c r="AL457" s="42">
        <f t="shared" si="65"/>
        <v>0</v>
      </c>
      <c r="AM457" s="42">
        <f t="shared" si="65"/>
        <v>0</v>
      </c>
      <c r="AN457" s="42">
        <f t="shared" si="65"/>
        <v>0</v>
      </c>
      <c r="AO457" s="42">
        <f t="shared" si="65"/>
        <v>2</v>
      </c>
    </row>
    <row r="458" spans="1:41" ht="15.75">
      <c r="A458" s="16">
        <f t="shared" si="72"/>
        <v>455</v>
      </c>
      <c r="B458" s="390">
        <v>3977</v>
      </c>
      <c r="C458" s="391" t="s">
        <v>6242</v>
      </c>
      <c r="D458" s="392" t="s">
        <v>6243</v>
      </c>
      <c r="E458" s="393" t="s">
        <v>6068</v>
      </c>
      <c r="F458" s="394" t="s">
        <v>6069</v>
      </c>
      <c r="G458" s="429" t="s">
        <v>6473</v>
      </c>
      <c r="H458" s="395">
        <v>31964</v>
      </c>
      <c r="I458" s="396">
        <v>43831</v>
      </c>
      <c r="J458" s="459" t="s">
        <v>6293</v>
      </c>
      <c r="K458" s="460" t="s">
        <v>6305</v>
      </c>
      <c r="L458" s="460" t="s">
        <v>6335</v>
      </c>
      <c r="M458" s="1">
        <v>192</v>
      </c>
      <c r="N458" s="431">
        <f t="shared" si="70"/>
        <v>3</v>
      </c>
      <c r="O458" s="432">
        <v>0</v>
      </c>
      <c r="P458" s="432">
        <v>0</v>
      </c>
      <c r="Q458" s="432">
        <v>0</v>
      </c>
      <c r="R458" s="1">
        <v>7</v>
      </c>
      <c r="S458" s="1">
        <v>10</v>
      </c>
      <c r="T458" s="300">
        <f t="shared" si="71"/>
        <v>212</v>
      </c>
      <c r="U458" s="3"/>
      <c r="V458" s="3"/>
      <c r="W458" s="3"/>
      <c r="X458" s="3"/>
      <c r="Y458" s="3"/>
      <c r="Z458" s="20">
        <f t="shared" si="68"/>
        <v>194</v>
      </c>
      <c r="AA458" s="20">
        <f t="shared" si="67"/>
        <v>3</v>
      </c>
      <c r="AB458" s="20">
        <f t="shared" si="67"/>
        <v>0</v>
      </c>
      <c r="AC458" s="20">
        <f t="shared" si="67"/>
        <v>0</v>
      </c>
      <c r="AD458" s="20">
        <f t="shared" si="67"/>
        <v>0</v>
      </c>
      <c r="AE458" s="20">
        <f t="shared" si="67"/>
        <v>7</v>
      </c>
      <c r="AF458" s="20">
        <f t="shared" si="67"/>
        <v>10</v>
      </c>
      <c r="AG458" s="300">
        <f t="shared" si="69"/>
        <v>214</v>
      </c>
      <c r="AH458" s="42">
        <f t="shared" si="66"/>
        <v>2</v>
      </c>
      <c r="AI458" s="42">
        <f t="shared" si="66"/>
        <v>0</v>
      </c>
      <c r="AJ458" s="42">
        <f t="shared" si="66"/>
        <v>0</v>
      </c>
      <c r="AK458" s="42">
        <f t="shared" si="65"/>
        <v>0</v>
      </c>
      <c r="AL458" s="42">
        <f t="shared" si="65"/>
        <v>0</v>
      </c>
      <c r="AM458" s="42">
        <f t="shared" si="65"/>
        <v>0</v>
      </c>
      <c r="AN458" s="42">
        <f t="shared" si="65"/>
        <v>0</v>
      </c>
      <c r="AO458" s="42">
        <f t="shared" si="65"/>
        <v>2</v>
      </c>
    </row>
    <row r="459" spans="1:41" ht="15.75">
      <c r="A459" s="16">
        <f t="shared" si="72"/>
        <v>456</v>
      </c>
      <c r="B459" s="390">
        <v>4007</v>
      </c>
      <c r="C459" s="391" t="s">
        <v>393</v>
      </c>
      <c r="D459" s="392" t="s">
        <v>6245</v>
      </c>
      <c r="E459" s="393" t="s">
        <v>4587</v>
      </c>
      <c r="F459" s="394" t="s">
        <v>6025</v>
      </c>
      <c r="G459" s="429" t="s">
        <v>6475</v>
      </c>
      <c r="H459" s="395">
        <v>34416</v>
      </c>
      <c r="I459" s="396">
        <v>43834</v>
      </c>
      <c r="J459" s="459" t="s">
        <v>6293</v>
      </c>
      <c r="K459" s="460" t="s">
        <v>2405</v>
      </c>
      <c r="L459" s="460" t="s">
        <v>6348</v>
      </c>
      <c r="M459" s="1">
        <v>192</v>
      </c>
      <c r="N459" s="431">
        <f t="shared" si="70"/>
        <v>3</v>
      </c>
      <c r="O459" s="432">
        <v>0</v>
      </c>
      <c r="P459" s="432">
        <v>160</v>
      </c>
      <c r="Q459" s="432">
        <v>0</v>
      </c>
      <c r="R459" s="1">
        <v>7</v>
      </c>
      <c r="S459" s="1">
        <v>10</v>
      </c>
      <c r="T459" s="300">
        <f t="shared" si="71"/>
        <v>372</v>
      </c>
      <c r="U459" s="3"/>
      <c r="V459" s="3"/>
      <c r="W459" s="3"/>
      <c r="X459" s="3"/>
      <c r="Y459" s="3"/>
      <c r="Z459" s="20">
        <f t="shared" si="68"/>
        <v>194</v>
      </c>
      <c r="AA459" s="20">
        <f t="shared" si="67"/>
        <v>3</v>
      </c>
      <c r="AB459" s="20">
        <f t="shared" si="67"/>
        <v>0</v>
      </c>
      <c r="AC459" s="20">
        <f t="shared" si="67"/>
        <v>160</v>
      </c>
      <c r="AD459" s="20">
        <f t="shared" si="67"/>
        <v>0</v>
      </c>
      <c r="AE459" s="20">
        <f t="shared" si="67"/>
        <v>7</v>
      </c>
      <c r="AF459" s="20">
        <f t="shared" si="67"/>
        <v>10</v>
      </c>
      <c r="AG459" s="300">
        <f t="shared" si="69"/>
        <v>374</v>
      </c>
      <c r="AH459" s="42">
        <f t="shared" si="66"/>
        <v>2</v>
      </c>
      <c r="AI459" s="42">
        <f t="shared" si="66"/>
        <v>0</v>
      </c>
      <c r="AJ459" s="42">
        <f t="shared" si="66"/>
        <v>0</v>
      </c>
      <c r="AK459" s="42">
        <f t="shared" si="65"/>
        <v>0</v>
      </c>
      <c r="AL459" s="42">
        <f t="shared" si="65"/>
        <v>0</v>
      </c>
      <c r="AM459" s="42">
        <f t="shared" si="65"/>
        <v>0</v>
      </c>
      <c r="AN459" s="42">
        <f t="shared" si="65"/>
        <v>0</v>
      </c>
      <c r="AO459" s="42">
        <f t="shared" si="65"/>
        <v>2</v>
      </c>
    </row>
    <row r="460" spans="1:41" ht="15.75">
      <c r="A460" s="16">
        <f t="shared" si="72"/>
        <v>457</v>
      </c>
      <c r="B460" s="390">
        <v>4066</v>
      </c>
      <c r="C460" s="391" t="s">
        <v>6246</v>
      </c>
      <c r="D460" s="392" t="s">
        <v>4180</v>
      </c>
      <c r="E460" s="393" t="s">
        <v>6071</v>
      </c>
      <c r="F460" s="394" t="s">
        <v>5655</v>
      </c>
      <c r="G460" s="429" t="s">
        <v>6473</v>
      </c>
      <c r="H460" s="395">
        <v>31330</v>
      </c>
      <c r="I460" s="396">
        <v>43842</v>
      </c>
      <c r="J460" s="459" t="s">
        <v>6293</v>
      </c>
      <c r="K460" s="460" t="s">
        <v>6308</v>
      </c>
      <c r="L460" s="460" t="s">
        <v>6335</v>
      </c>
      <c r="M460" s="1">
        <v>192</v>
      </c>
      <c r="N460" s="431">
        <f t="shared" si="70"/>
        <v>3</v>
      </c>
      <c r="O460" s="432">
        <v>0</v>
      </c>
      <c r="P460" s="432">
        <v>0</v>
      </c>
      <c r="Q460" s="432">
        <v>0</v>
      </c>
      <c r="R460" s="1">
        <v>7</v>
      </c>
      <c r="S460" s="1">
        <v>10</v>
      </c>
      <c r="T460" s="300">
        <f t="shared" si="71"/>
        <v>212</v>
      </c>
      <c r="U460" s="3"/>
      <c r="V460" s="3"/>
      <c r="W460" s="3"/>
      <c r="X460" s="3"/>
      <c r="Y460" s="3"/>
      <c r="Z460" s="20">
        <f t="shared" si="68"/>
        <v>194</v>
      </c>
      <c r="AA460" s="20">
        <f t="shared" si="67"/>
        <v>3</v>
      </c>
      <c r="AB460" s="20">
        <f t="shared" si="67"/>
        <v>0</v>
      </c>
      <c r="AC460" s="20">
        <f t="shared" si="67"/>
        <v>0</v>
      </c>
      <c r="AD460" s="20">
        <f t="shared" si="67"/>
        <v>0</v>
      </c>
      <c r="AE460" s="20">
        <f t="shared" si="67"/>
        <v>7</v>
      </c>
      <c r="AF460" s="20">
        <f t="shared" si="67"/>
        <v>10</v>
      </c>
      <c r="AG460" s="300">
        <f t="shared" si="69"/>
        <v>214</v>
      </c>
      <c r="AH460" s="42">
        <f t="shared" si="66"/>
        <v>2</v>
      </c>
      <c r="AI460" s="42">
        <f t="shared" si="66"/>
        <v>0</v>
      </c>
      <c r="AJ460" s="42">
        <f t="shared" si="66"/>
        <v>0</v>
      </c>
      <c r="AK460" s="42">
        <f t="shared" si="65"/>
        <v>0</v>
      </c>
      <c r="AL460" s="42">
        <f t="shared" si="65"/>
        <v>0</v>
      </c>
      <c r="AM460" s="42">
        <f t="shared" si="65"/>
        <v>0</v>
      </c>
      <c r="AN460" s="42">
        <f t="shared" si="65"/>
        <v>0</v>
      </c>
      <c r="AO460" s="42">
        <f t="shared" si="65"/>
        <v>2</v>
      </c>
    </row>
    <row r="461" spans="1:41" ht="15.75">
      <c r="A461" s="16">
        <f t="shared" si="72"/>
        <v>458</v>
      </c>
      <c r="B461" s="390">
        <v>4054</v>
      </c>
      <c r="C461" s="391" t="s">
        <v>6247</v>
      </c>
      <c r="D461" s="392" t="s">
        <v>4116</v>
      </c>
      <c r="E461" s="393" t="s">
        <v>6072</v>
      </c>
      <c r="F461" s="394" t="s">
        <v>6073</v>
      </c>
      <c r="G461" s="429" t="s">
        <v>6473</v>
      </c>
      <c r="H461" s="395">
        <v>36201</v>
      </c>
      <c r="I461" s="396">
        <v>43840</v>
      </c>
      <c r="J461" s="459" t="s">
        <v>6293</v>
      </c>
      <c r="K461" s="460" t="s">
        <v>6308</v>
      </c>
      <c r="L461" s="460" t="s">
        <v>6335</v>
      </c>
      <c r="M461" s="1">
        <v>192</v>
      </c>
      <c r="N461" s="431">
        <f t="shared" si="70"/>
        <v>3</v>
      </c>
      <c r="O461" s="432">
        <v>0</v>
      </c>
      <c r="P461" s="432">
        <v>0</v>
      </c>
      <c r="Q461" s="432">
        <v>0</v>
      </c>
      <c r="R461" s="1">
        <v>7</v>
      </c>
      <c r="S461" s="1">
        <v>10</v>
      </c>
      <c r="T461" s="300">
        <f t="shared" si="71"/>
        <v>212</v>
      </c>
      <c r="U461" s="3"/>
      <c r="V461" s="3"/>
      <c r="W461" s="3"/>
      <c r="X461" s="3"/>
      <c r="Y461" s="3"/>
      <c r="Z461" s="20">
        <f t="shared" si="68"/>
        <v>194</v>
      </c>
      <c r="AA461" s="20">
        <f t="shared" si="67"/>
        <v>3</v>
      </c>
      <c r="AB461" s="20">
        <f t="shared" si="67"/>
        <v>0</v>
      </c>
      <c r="AC461" s="20">
        <f t="shared" si="67"/>
        <v>0</v>
      </c>
      <c r="AD461" s="20">
        <f t="shared" si="67"/>
        <v>0</v>
      </c>
      <c r="AE461" s="20">
        <f t="shared" si="67"/>
        <v>7</v>
      </c>
      <c r="AF461" s="20">
        <f t="shared" si="67"/>
        <v>10</v>
      </c>
      <c r="AG461" s="300">
        <f t="shared" si="69"/>
        <v>214</v>
      </c>
      <c r="AH461" s="42">
        <f t="shared" si="66"/>
        <v>2</v>
      </c>
      <c r="AI461" s="42">
        <f t="shared" si="66"/>
        <v>0</v>
      </c>
      <c r="AJ461" s="42">
        <f t="shared" si="66"/>
        <v>0</v>
      </c>
      <c r="AK461" s="42">
        <f t="shared" si="65"/>
        <v>0</v>
      </c>
      <c r="AL461" s="42">
        <f t="shared" si="65"/>
        <v>0</v>
      </c>
      <c r="AM461" s="42">
        <f t="shared" si="65"/>
        <v>0</v>
      </c>
      <c r="AN461" s="42">
        <f t="shared" si="65"/>
        <v>0</v>
      </c>
      <c r="AO461" s="42">
        <f t="shared" si="65"/>
        <v>2</v>
      </c>
    </row>
    <row r="462" spans="1:41" ht="15.75">
      <c r="A462" s="16">
        <f t="shared" si="72"/>
        <v>459</v>
      </c>
      <c r="B462" s="390">
        <v>4044</v>
      </c>
      <c r="C462" s="391" t="s">
        <v>1809</v>
      </c>
      <c r="D462" s="392" t="s">
        <v>4525</v>
      </c>
      <c r="E462" s="393" t="s">
        <v>1811</v>
      </c>
      <c r="F462" s="394" t="s">
        <v>4526</v>
      </c>
      <c r="G462" s="429" t="s">
        <v>6473</v>
      </c>
      <c r="H462" s="395">
        <v>33147</v>
      </c>
      <c r="I462" s="396">
        <v>43841</v>
      </c>
      <c r="J462" s="459" t="s">
        <v>6293</v>
      </c>
      <c r="K462" s="460" t="s">
        <v>6302</v>
      </c>
      <c r="L462" s="460" t="s">
        <v>6335</v>
      </c>
      <c r="M462" s="1">
        <v>192</v>
      </c>
      <c r="N462" s="431">
        <f t="shared" si="70"/>
        <v>3</v>
      </c>
      <c r="O462" s="432">
        <v>0</v>
      </c>
      <c r="P462" s="432">
        <v>0</v>
      </c>
      <c r="Q462" s="432">
        <v>0</v>
      </c>
      <c r="R462" s="1">
        <v>7</v>
      </c>
      <c r="S462" s="1">
        <v>10</v>
      </c>
      <c r="T462" s="300">
        <f t="shared" si="71"/>
        <v>212</v>
      </c>
      <c r="U462" s="3"/>
      <c r="V462" s="3"/>
      <c r="W462" s="3"/>
      <c r="X462" s="3"/>
      <c r="Y462" s="3"/>
      <c r="Z462" s="20">
        <f t="shared" si="68"/>
        <v>194</v>
      </c>
      <c r="AA462" s="20">
        <f t="shared" si="67"/>
        <v>3</v>
      </c>
      <c r="AB462" s="20">
        <f t="shared" si="67"/>
        <v>0</v>
      </c>
      <c r="AC462" s="20">
        <f t="shared" si="67"/>
        <v>0</v>
      </c>
      <c r="AD462" s="20">
        <f t="shared" si="67"/>
        <v>0</v>
      </c>
      <c r="AE462" s="20">
        <f t="shared" si="67"/>
        <v>7</v>
      </c>
      <c r="AF462" s="20">
        <f t="shared" si="67"/>
        <v>10</v>
      </c>
      <c r="AG462" s="300">
        <f t="shared" si="69"/>
        <v>214</v>
      </c>
      <c r="AH462" s="42">
        <f t="shared" si="66"/>
        <v>2</v>
      </c>
      <c r="AI462" s="42">
        <f t="shared" si="66"/>
        <v>0</v>
      </c>
      <c r="AJ462" s="42">
        <f t="shared" si="66"/>
        <v>0</v>
      </c>
      <c r="AK462" s="42">
        <f t="shared" si="65"/>
        <v>0</v>
      </c>
      <c r="AL462" s="42">
        <f t="shared" si="65"/>
        <v>0</v>
      </c>
      <c r="AM462" s="42">
        <f t="shared" si="65"/>
        <v>0</v>
      </c>
      <c r="AN462" s="42">
        <f t="shared" si="65"/>
        <v>0</v>
      </c>
      <c r="AO462" s="42">
        <f t="shared" si="65"/>
        <v>2</v>
      </c>
    </row>
    <row r="463" spans="1:41" ht="15.75">
      <c r="A463" s="16">
        <f t="shared" si="72"/>
        <v>460</v>
      </c>
      <c r="B463" s="390">
        <v>4059</v>
      </c>
      <c r="C463" s="391" t="s">
        <v>6248</v>
      </c>
      <c r="D463" s="392" t="s">
        <v>6249</v>
      </c>
      <c r="E463" s="393" t="s">
        <v>6026</v>
      </c>
      <c r="F463" s="394" t="s">
        <v>6027</v>
      </c>
      <c r="G463" s="429" t="s">
        <v>6475</v>
      </c>
      <c r="H463" s="395">
        <v>33335</v>
      </c>
      <c r="I463" s="396">
        <v>43840</v>
      </c>
      <c r="J463" s="459" t="s">
        <v>6293</v>
      </c>
      <c r="K463" s="460" t="s">
        <v>2405</v>
      </c>
      <c r="L463" s="460" t="s">
        <v>6348</v>
      </c>
      <c r="M463" s="1">
        <v>192</v>
      </c>
      <c r="N463" s="431">
        <f t="shared" si="70"/>
        <v>3</v>
      </c>
      <c r="O463" s="432">
        <v>0</v>
      </c>
      <c r="P463" s="432">
        <v>140</v>
      </c>
      <c r="Q463" s="432">
        <v>0</v>
      </c>
      <c r="R463" s="1">
        <v>7</v>
      </c>
      <c r="S463" s="1">
        <v>10</v>
      </c>
      <c r="T463" s="300">
        <f t="shared" si="71"/>
        <v>352</v>
      </c>
      <c r="U463" s="3"/>
      <c r="V463" s="3"/>
      <c r="W463" s="3"/>
      <c r="X463" s="3"/>
      <c r="Y463" s="3"/>
      <c r="Z463" s="20">
        <f t="shared" si="68"/>
        <v>194</v>
      </c>
      <c r="AA463" s="20">
        <f t="shared" si="67"/>
        <v>3</v>
      </c>
      <c r="AB463" s="20">
        <f t="shared" si="67"/>
        <v>0</v>
      </c>
      <c r="AC463" s="20">
        <f t="shared" si="67"/>
        <v>140</v>
      </c>
      <c r="AD463" s="20">
        <f t="shared" si="67"/>
        <v>0</v>
      </c>
      <c r="AE463" s="20">
        <f t="shared" si="67"/>
        <v>7</v>
      </c>
      <c r="AF463" s="20">
        <f t="shared" si="67"/>
        <v>10</v>
      </c>
      <c r="AG463" s="300">
        <f t="shared" si="69"/>
        <v>354</v>
      </c>
      <c r="AH463" s="42">
        <f t="shared" si="66"/>
        <v>2</v>
      </c>
      <c r="AI463" s="42">
        <f t="shared" si="66"/>
        <v>0</v>
      </c>
      <c r="AJ463" s="42">
        <f t="shared" si="66"/>
        <v>0</v>
      </c>
      <c r="AK463" s="42">
        <f t="shared" si="65"/>
        <v>0</v>
      </c>
      <c r="AL463" s="42">
        <f t="shared" si="65"/>
        <v>0</v>
      </c>
      <c r="AM463" s="42">
        <f t="shared" si="65"/>
        <v>0</v>
      </c>
      <c r="AN463" s="42">
        <f t="shared" si="65"/>
        <v>0</v>
      </c>
      <c r="AO463" s="42">
        <f t="shared" si="65"/>
        <v>2</v>
      </c>
    </row>
    <row r="464" spans="1:41" ht="15.75">
      <c r="A464" s="16">
        <f t="shared" si="72"/>
        <v>461</v>
      </c>
      <c r="B464" s="390">
        <v>4064</v>
      </c>
      <c r="C464" s="391" t="s">
        <v>1166</v>
      </c>
      <c r="D464" s="392" t="s">
        <v>1447</v>
      </c>
      <c r="E464" s="393" t="s">
        <v>1168</v>
      </c>
      <c r="F464" s="394" t="s">
        <v>1449</v>
      </c>
      <c r="G464" s="429" t="s">
        <v>6473</v>
      </c>
      <c r="H464" s="395">
        <v>31181</v>
      </c>
      <c r="I464" s="396">
        <v>43843</v>
      </c>
      <c r="J464" s="459" t="s">
        <v>6293</v>
      </c>
      <c r="K464" s="460" t="s">
        <v>6305</v>
      </c>
      <c r="L464" s="460" t="s">
        <v>6335</v>
      </c>
      <c r="M464" s="1">
        <v>192</v>
      </c>
      <c r="N464" s="431">
        <f t="shared" si="70"/>
        <v>3</v>
      </c>
      <c r="O464" s="432">
        <v>0</v>
      </c>
      <c r="P464" s="432">
        <v>0</v>
      </c>
      <c r="Q464" s="432">
        <v>0</v>
      </c>
      <c r="R464" s="1">
        <v>7</v>
      </c>
      <c r="S464" s="1">
        <v>10</v>
      </c>
      <c r="T464" s="300">
        <f t="shared" si="71"/>
        <v>212</v>
      </c>
      <c r="U464" s="3"/>
      <c r="V464" s="3"/>
      <c r="W464" s="3"/>
      <c r="X464" s="3"/>
      <c r="Y464" s="3"/>
      <c r="Z464" s="20">
        <f t="shared" si="68"/>
        <v>194</v>
      </c>
      <c r="AA464" s="20">
        <f t="shared" si="67"/>
        <v>3</v>
      </c>
      <c r="AB464" s="20">
        <f t="shared" si="67"/>
        <v>0</v>
      </c>
      <c r="AC464" s="20">
        <f t="shared" si="67"/>
        <v>0</v>
      </c>
      <c r="AD464" s="20">
        <f t="shared" si="67"/>
        <v>0</v>
      </c>
      <c r="AE464" s="20">
        <f t="shared" si="67"/>
        <v>7</v>
      </c>
      <c r="AF464" s="20">
        <f t="shared" si="67"/>
        <v>10</v>
      </c>
      <c r="AG464" s="300">
        <f t="shared" si="69"/>
        <v>214</v>
      </c>
      <c r="AH464" s="42">
        <f t="shared" si="66"/>
        <v>2</v>
      </c>
      <c r="AI464" s="42">
        <f t="shared" si="66"/>
        <v>0</v>
      </c>
      <c r="AJ464" s="42">
        <f t="shared" si="66"/>
        <v>0</v>
      </c>
      <c r="AK464" s="42">
        <f t="shared" si="65"/>
        <v>0</v>
      </c>
      <c r="AL464" s="42">
        <f t="shared" si="65"/>
        <v>0</v>
      </c>
      <c r="AM464" s="42">
        <f t="shared" si="65"/>
        <v>0</v>
      </c>
      <c r="AN464" s="42">
        <f t="shared" si="65"/>
        <v>0</v>
      </c>
      <c r="AO464" s="42">
        <f t="shared" si="65"/>
        <v>2</v>
      </c>
    </row>
    <row r="465" spans="1:41" ht="15.75">
      <c r="A465" s="16">
        <f t="shared" si="72"/>
        <v>462</v>
      </c>
      <c r="B465" s="390">
        <v>4062</v>
      </c>
      <c r="C465" s="391" t="s">
        <v>2560</v>
      </c>
      <c r="D465" s="392" t="s">
        <v>6250</v>
      </c>
      <c r="E465" s="393" t="s">
        <v>6074</v>
      </c>
      <c r="F465" s="394" t="s">
        <v>6075</v>
      </c>
      <c r="G465" s="429" t="s">
        <v>6473</v>
      </c>
      <c r="H465" s="395">
        <v>32045</v>
      </c>
      <c r="I465" s="396">
        <v>43843</v>
      </c>
      <c r="J465" s="459" t="s">
        <v>6293</v>
      </c>
      <c r="K465" s="460" t="s">
        <v>6083</v>
      </c>
      <c r="L465" s="460" t="s">
        <v>6335</v>
      </c>
      <c r="M465" s="1">
        <v>192</v>
      </c>
      <c r="N465" s="431">
        <f t="shared" si="70"/>
        <v>3</v>
      </c>
      <c r="O465" s="432">
        <v>0</v>
      </c>
      <c r="P465" s="432">
        <v>0</v>
      </c>
      <c r="Q465" s="432">
        <v>0</v>
      </c>
      <c r="R465" s="1">
        <v>7</v>
      </c>
      <c r="S465" s="1">
        <v>10</v>
      </c>
      <c r="T465" s="300">
        <f t="shared" si="71"/>
        <v>212</v>
      </c>
      <c r="U465" s="3"/>
      <c r="V465" s="3"/>
      <c r="W465" s="3"/>
      <c r="X465" s="3"/>
      <c r="Y465" s="3"/>
      <c r="Z465" s="20">
        <f t="shared" si="68"/>
        <v>194</v>
      </c>
      <c r="AA465" s="20">
        <f t="shared" si="67"/>
        <v>3</v>
      </c>
      <c r="AB465" s="20">
        <f t="shared" si="67"/>
        <v>0</v>
      </c>
      <c r="AC465" s="20">
        <f t="shared" si="67"/>
        <v>0</v>
      </c>
      <c r="AD465" s="20">
        <f t="shared" si="67"/>
        <v>0</v>
      </c>
      <c r="AE465" s="20">
        <f t="shared" si="67"/>
        <v>7</v>
      </c>
      <c r="AF465" s="20">
        <f t="shared" si="67"/>
        <v>10</v>
      </c>
      <c r="AG465" s="300">
        <f t="shared" si="69"/>
        <v>214</v>
      </c>
      <c r="AH465" s="42">
        <f t="shared" si="66"/>
        <v>2</v>
      </c>
      <c r="AI465" s="42">
        <f t="shared" si="66"/>
        <v>0</v>
      </c>
      <c r="AJ465" s="42">
        <f t="shared" si="66"/>
        <v>0</v>
      </c>
      <c r="AK465" s="42">
        <f t="shared" si="65"/>
        <v>0</v>
      </c>
      <c r="AL465" s="42">
        <f t="shared" si="65"/>
        <v>0</v>
      </c>
      <c r="AM465" s="42">
        <f t="shared" si="65"/>
        <v>0</v>
      </c>
      <c r="AN465" s="42">
        <f t="shared" si="65"/>
        <v>0</v>
      </c>
      <c r="AO465" s="42">
        <f t="shared" si="65"/>
        <v>2</v>
      </c>
    </row>
    <row r="466" spans="1:41" ht="15.75">
      <c r="A466" s="16">
        <f t="shared" si="72"/>
        <v>463</v>
      </c>
      <c r="B466" s="390">
        <v>4050</v>
      </c>
      <c r="C466" s="391" t="s">
        <v>876</v>
      </c>
      <c r="D466" s="392" t="s">
        <v>6251</v>
      </c>
      <c r="E466" s="393" t="s">
        <v>877</v>
      </c>
      <c r="F466" s="394" t="s">
        <v>6076</v>
      </c>
      <c r="G466" s="429" t="s">
        <v>6473</v>
      </c>
      <c r="H466" s="395">
        <v>34641</v>
      </c>
      <c r="I466" s="396">
        <v>43841</v>
      </c>
      <c r="J466" s="459" t="s">
        <v>6293</v>
      </c>
      <c r="K466" s="460" t="s">
        <v>6302</v>
      </c>
      <c r="L466" s="460" t="s">
        <v>6335</v>
      </c>
      <c r="M466" s="1">
        <v>192</v>
      </c>
      <c r="N466" s="431">
        <f t="shared" si="70"/>
        <v>3</v>
      </c>
      <c r="O466" s="432">
        <v>0</v>
      </c>
      <c r="P466" s="432">
        <v>0</v>
      </c>
      <c r="Q466" s="432">
        <v>0</v>
      </c>
      <c r="R466" s="1">
        <v>7</v>
      </c>
      <c r="S466" s="1">
        <v>10</v>
      </c>
      <c r="T466" s="300">
        <f t="shared" si="71"/>
        <v>212</v>
      </c>
      <c r="U466" s="3"/>
      <c r="V466" s="3"/>
      <c r="W466" s="3"/>
      <c r="X466" s="3"/>
      <c r="Y466" s="3"/>
      <c r="Z466" s="20">
        <f t="shared" si="68"/>
        <v>194</v>
      </c>
      <c r="AA466" s="20">
        <f t="shared" si="67"/>
        <v>3</v>
      </c>
      <c r="AB466" s="20">
        <f t="shared" si="67"/>
        <v>0</v>
      </c>
      <c r="AC466" s="20">
        <f t="shared" si="67"/>
        <v>0</v>
      </c>
      <c r="AD466" s="20">
        <f t="shared" si="67"/>
        <v>0</v>
      </c>
      <c r="AE466" s="20">
        <f t="shared" si="67"/>
        <v>7</v>
      </c>
      <c r="AF466" s="20">
        <f t="shared" si="67"/>
        <v>10</v>
      </c>
      <c r="AG466" s="300">
        <f t="shared" si="69"/>
        <v>214</v>
      </c>
      <c r="AH466" s="42">
        <f t="shared" si="66"/>
        <v>2</v>
      </c>
      <c r="AI466" s="42">
        <f t="shared" si="66"/>
        <v>0</v>
      </c>
      <c r="AJ466" s="42">
        <f t="shared" si="66"/>
        <v>0</v>
      </c>
      <c r="AK466" s="42">
        <f t="shared" si="65"/>
        <v>0</v>
      </c>
      <c r="AL466" s="42">
        <f t="shared" si="65"/>
        <v>0</v>
      </c>
      <c r="AM466" s="42">
        <f t="shared" si="65"/>
        <v>0</v>
      </c>
      <c r="AN466" s="42">
        <f t="shared" si="65"/>
        <v>0</v>
      </c>
      <c r="AO466" s="42">
        <f t="shared" si="65"/>
        <v>2</v>
      </c>
    </row>
    <row r="467" spans="1:41" ht="15.75">
      <c r="A467" s="16">
        <f t="shared" si="72"/>
        <v>464</v>
      </c>
      <c r="B467" s="390">
        <v>4034</v>
      </c>
      <c r="C467" s="391" t="s">
        <v>4396</v>
      </c>
      <c r="D467" s="392" t="s">
        <v>1041</v>
      </c>
      <c r="E467" s="393" t="s">
        <v>6077</v>
      </c>
      <c r="F467" s="394" t="s">
        <v>1043</v>
      </c>
      <c r="G467" s="429" t="s">
        <v>6473</v>
      </c>
      <c r="H467" s="395">
        <v>32906</v>
      </c>
      <c r="I467" s="396">
        <v>43837</v>
      </c>
      <c r="J467" s="459" t="s">
        <v>6293</v>
      </c>
      <c r="K467" s="460" t="s">
        <v>6304</v>
      </c>
      <c r="L467" s="460" t="s">
        <v>6335</v>
      </c>
      <c r="M467" s="1">
        <v>192</v>
      </c>
      <c r="N467" s="431">
        <f t="shared" si="70"/>
        <v>3</v>
      </c>
      <c r="O467" s="432">
        <v>0</v>
      </c>
      <c r="P467" s="432">
        <v>0</v>
      </c>
      <c r="Q467" s="432">
        <v>0</v>
      </c>
      <c r="R467" s="1">
        <v>7</v>
      </c>
      <c r="S467" s="1">
        <v>10</v>
      </c>
      <c r="T467" s="300">
        <f t="shared" si="71"/>
        <v>212</v>
      </c>
      <c r="U467" s="3"/>
      <c r="V467" s="3"/>
      <c r="W467" s="3"/>
      <c r="X467" s="3"/>
      <c r="Y467" s="3"/>
      <c r="Z467" s="20">
        <f t="shared" si="68"/>
        <v>194</v>
      </c>
      <c r="AA467" s="20">
        <f t="shared" si="67"/>
        <v>3</v>
      </c>
      <c r="AB467" s="20">
        <f t="shared" si="67"/>
        <v>0</v>
      </c>
      <c r="AC467" s="20">
        <f t="shared" si="67"/>
        <v>0</v>
      </c>
      <c r="AD467" s="20">
        <f t="shared" si="67"/>
        <v>0</v>
      </c>
      <c r="AE467" s="20">
        <f t="shared" si="67"/>
        <v>7</v>
      </c>
      <c r="AF467" s="20">
        <f t="shared" si="67"/>
        <v>10</v>
      </c>
      <c r="AG467" s="300">
        <f t="shared" si="69"/>
        <v>214</v>
      </c>
      <c r="AH467" s="42">
        <f t="shared" si="66"/>
        <v>2</v>
      </c>
      <c r="AI467" s="42">
        <f t="shared" si="66"/>
        <v>0</v>
      </c>
      <c r="AJ467" s="42">
        <f t="shared" si="66"/>
        <v>0</v>
      </c>
      <c r="AK467" s="42">
        <f t="shared" si="65"/>
        <v>0</v>
      </c>
      <c r="AL467" s="42">
        <f t="shared" ref="AL467:AO528" si="73">AD467-Q467</f>
        <v>0</v>
      </c>
      <c r="AM467" s="42">
        <f t="shared" si="73"/>
        <v>0</v>
      </c>
      <c r="AN467" s="42">
        <f t="shared" si="73"/>
        <v>0</v>
      </c>
      <c r="AO467" s="42">
        <f t="shared" si="73"/>
        <v>2</v>
      </c>
    </row>
    <row r="468" spans="1:41" ht="15.75">
      <c r="A468" s="16">
        <f t="shared" si="72"/>
        <v>465</v>
      </c>
      <c r="B468" s="390">
        <v>4033</v>
      </c>
      <c r="C468" s="391" t="s">
        <v>1478</v>
      </c>
      <c r="D468" s="392" t="s">
        <v>6252</v>
      </c>
      <c r="E468" s="393" t="s">
        <v>6078</v>
      </c>
      <c r="F468" s="394" t="s">
        <v>6079</v>
      </c>
      <c r="G468" s="429" t="s">
        <v>6473</v>
      </c>
      <c r="H468" s="395">
        <v>32587</v>
      </c>
      <c r="I468" s="396">
        <v>43837</v>
      </c>
      <c r="J468" s="459" t="s">
        <v>6293</v>
      </c>
      <c r="K468" s="460" t="s">
        <v>6295</v>
      </c>
      <c r="L468" s="460" t="s">
        <v>6335</v>
      </c>
      <c r="M468" s="1">
        <v>192</v>
      </c>
      <c r="N468" s="431">
        <f t="shared" si="70"/>
        <v>3</v>
      </c>
      <c r="O468" s="432">
        <v>0</v>
      </c>
      <c r="P468" s="432">
        <v>0</v>
      </c>
      <c r="Q468" s="432">
        <v>0</v>
      </c>
      <c r="R468" s="1">
        <v>7</v>
      </c>
      <c r="S468" s="1">
        <v>10</v>
      </c>
      <c r="T468" s="300">
        <f t="shared" si="71"/>
        <v>212</v>
      </c>
      <c r="U468" s="3"/>
      <c r="V468" s="3"/>
      <c r="W468" s="3"/>
      <c r="X468" s="3"/>
      <c r="Y468" s="3"/>
      <c r="Z468" s="20">
        <f t="shared" si="68"/>
        <v>194</v>
      </c>
      <c r="AA468" s="20">
        <f t="shared" si="67"/>
        <v>3</v>
      </c>
      <c r="AB468" s="20">
        <f t="shared" si="67"/>
        <v>0</v>
      </c>
      <c r="AC468" s="20">
        <f t="shared" si="67"/>
        <v>0</v>
      </c>
      <c r="AD468" s="20">
        <f t="shared" si="67"/>
        <v>0</v>
      </c>
      <c r="AE468" s="20">
        <f t="shared" si="67"/>
        <v>7</v>
      </c>
      <c r="AF468" s="20">
        <f t="shared" si="67"/>
        <v>10</v>
      </c>
      <c r="AG468" s="300">
        <f t="shared" si="69"/>
        <v>214</v>
      </c>
      <c r="AH468" s="42">
        <f t="shared" si="66"/>
        <v>2</v>
      </c>
      <c r="AI468" s="42">
        <f t="shared" si="66"/>
        <v>0</v>
      </c>
      <c r="AJ468" s="42">
        <f t="shared" si="66"/>
        <v>0</v>
      </c>
      <c r="AK468" s="42">
        <f t="shared" si="66"/>
        <v>0</v>
      </c>
      <c r="AL468" s="42">
        <f t="shared" si="73"/>
        <v>0</v>
      </c>
      <c r="AM468" s="42">
        <f t="shared" si="73"/>
        <v>0</v>
      </c>
      <c r="AN468" s="42">
        <f t="shared" si="73"/>
        <v>0</v>
      </c>
      <c r="AO468" s="42">
        <f t="shared" si="73"/>
        <v>2</v>
      </c>
    </row>
    <row r="469" spans="1:41" ht="15.75">
      <c r="A469" s="16">
        <f t="shared" si="72"/>
        <v>466</v>
      </c>
      <c r="B469" s="390">
        <v>4048</v>
      </c>
      <c r="C469" s="391" t="s">
        <v>3474</v>
      </c>
      <c r="D469" s="392" t="s">
        <v>6254</v>
      </c>
      <c r="E469" s="393" t="s">
        <v>5774</v>
      </c>
      <c r="F469" s="394" t="s">
        <v>6080</v>
      </c>
      <c r="G469" s="429" t="s">
        <v>6473</v>
      </c>
      <c r="H469" s="395">
        <v>31934</v>
      </c>
      <c r="I469" s="396">
        <v>43841</v>
      </c>
      <c r="J469" s="459" t="s">
        <v>6293</v>
      </c>
      <c r="K469" s="460" t="s">
        <v>6387</v>
      </c>
      <c r="L469" s="460" t="s">
        <v>6335</v>
      </c>
      <c r="M469" s="1">
        <v>192</v>
      </c>
      <c r="N469" s="431">
        <f t="shared" si="70"/>
        <v>3</v>
      </c>
      <c r="O469" s="432">
        <v>0</v>
      </c>
      <c r="P469" s="432">
        <v>0</v>
      </c>
      <c r="Q469" s="432">
        <v>0</v>
      </c>
      <c r="R469" s="1">
        <v>7</v>
      </c>
      <c r="S469" s="1">
        <v>10</v>
      </c>
      <c r="T469" s="300">
        <f t="shared" si="71"/>
        <v>212</v>
      </c>
      <c r="U469" s="3"/>
      <c r="V469" s="3"/>
      <c r="W469" s="3"/>
      <c r="X469" s="3"/>
      <c r="Y469" s="3"/>
      <c r="Z469" s="20">
        <f t="shared" si="68"/>
        <v>194</v>
      </c>
      <c r="AA469" s="20">
        <f t="shared" si="67"/>
        <v>3</v>
      </c>
      <c r="AB469" s="20">
        <f t="shared" si="67"/>
        <v>0</v>
      </c>
      <c r="AC469" s="20">
        <f t="shared" si="67"/>
        <v>0</v>
      </c>
      <c r="AD469" s="20">
        <f t="shared" si="67"/>
        <v>0</v>
      </c>
      <c r="AE469" s="20">
        <f t="shared" si="67"/>
        <v>7</v>
      </c>
      <c r="AF469" s="20">
        <f t="shared" si="67"/>
        <v>10</v>
      </c>
      <c r="AG469" s="300">
        <f t="shared" si="69"/>
        <v>214</v>
      </c>
      <c r="AH469" s="42">
        <f t="shared" si="66"/>
        <v>2</v>
      </c>
      <c r="AI469" s="42">
        <f t="shared" si="66"/>
        <v>0</v>
      </c>
      <c r="AJ469" s="42">
        <f t="shared" si="66"/>
        <v>0</v>
      </c>
      <c r="AK469" s="42">
        <f t="shared" si="66"/>
        <v>0</v>
      </c>
      <c r="AL469" s="42">
        <f t="shared" si="73"/>
        <v>0</v>
      </c>
      <c r="AM469" s="42">
        <f t="shared" si="73"/>
        <v>0</v>
      </c>
      <c r="AN469" s="42">
        <f t="shared" si="73"/>
        <v>0</v>
      </c>
      <c r="AO469" s="42">
        <f t="shared" si="73"/>
        <v>2</v>
      </c>
    </row>
    <row r="470" spans="1:41" ht="15.75">
      <c r="A470" s="16">
        <f t="shared" si="72"/>
        <v>467</v>
      </c>
      <c r="B470" s="390">
        <v>4069</v>
      </c>
      <c r="C470" s="391" t="s">
        <v>1061</v>
      </c>
      <c r="D470" s="392" t="s">
        <v>6255</v>
      </c>
      <c r="E470" s="393" t="s">
        <v>1063</v>
      </c>
      <c r="F470" s="394" t="s">
        <v>6081</v>
      </c>
      <c r="G470" s="429" t="s">
        <v>6473</v>
      </c>
      <c r="H470" s="395">
        <v>30147</v>
      </c>
      <c r="I470" s="396">
        <v>43847</v>
      </c>
      <c r="J470" s="459" t="s">
        <v>6293</v>
      </c>
      <c r="K470" s="460" t="s">
        <v>6083</v>
      </c>
      <c r="L470" s="460" t="s">
        <v>6335</v>
      </c>
      <c r="M470" s="1">
        <v>192</v>
      </c>
      <c r="N470" s="431">
        <f t="shared" si="70"/>
        <v>2</v>
      </c>
      <c r="O470" s="432">
        <v>0</v>
      </c>
      <c r="P470" s="432">
        <v>0</v>
      </c>
      <c r="Q470" s="432">
        <v>0</v>
      </c>
      <c r="R470" s="1">
        <v>7</v>
      </c>
      <c r="S470" s="1">
        <v>10</v>
      </c>
      <c r="T470" s="300">
        <f t="shared" si="71"/>
        <v>211</v>
      </c>
      <c r="U470" s="3"/>
      <c r="V470" s="3"/>
      <c r="W470" s="3"/>
      <c r="X470" s="3"/>
      <c r="Y470" s="3"/>
      <c r="Z470" s="20">
        <f t="shared" si="68"/>
        <v>194</v>
      </c>
      <c r="AA470" s="20">
        <f t="shared" si="67"/>
        <v>2</v>
      </c>
      <c r="AB470" s="20">
        <f t="shared" si="67"/>
        <v>0</v>
      </c>
      <c r="AC470" s="20">
        <f t="shared" si="67"/>
        <v>0</v>
      </c>
      <c r="AD470" s="20">
        <f t="shared" si="67"/>
        <v>0</v>
      </c>
      <c r="AE470" s="20">
        <f t="shared" si="67"/>
        <v>7</v>
      </c>
      <c r="AF470" s="20">
        <f t="shared" si="67"/>
        <v>10</v>
      </c>
      <c r="AG470" s="300">
        <f t="shared" si="69"/>
        <v>213</v>
      </c>
      <c r="AH470" s="42">
        <f t="shared" si="66"/>
        <v>2</v>
      </c>
      <c r="AI470" s="42">
        <f t="shared" si="66"/>
        <v>0</v>
      </c>
      <c r="AJ470" s="42">
        <f t="shared" si="66"/>
        <v>0</v>
      </c>
      <c r="AK470" s="42">
        <f t="shared" si="66"/>
        <v>0</v>
      </c>
      <c r="AL470" s="42">
        <f t="shared" si="73"/>
        <v>0</v>
      </c>
      <c r="AM470" s="42">
        <f t="shared" si="73"/>
        <v>0</v>
      </c>
      <c r="AN470" s="42">
        <f t="shared" si="73"/>
        <v>0</v>
      </c>
      <c r="AO470" s="42">
        <f t="shared" si="73"/>
        <v>2</v>
      </c>
    </row>
    <row r="471" spans="1:41" ht="15.75">
      <c r="A471" s="16">
        <f t="shared" si="72"/>
        <v>468</v>
      </c>
      <c r="B471" s="390">
        <v>4060</v>
      </c>
      <c r="C471" s="391" t="s">
        <v>522</v>
      </c>
      <c r="D471" s="392" t="s">
        <v>6256</v>
      </c>
      <c r="E471" s="393" t="s">
        <v>524</v>
      </c>
      <c r="F471" s="394" t="s">
        <v>6115</v>
      </c>
      <c r="G471" s="429" t="s">
        <v>6473</v>
      </c>
      <c r="H471" s="395">
        <v>33159</v>
      </c>
      <c r="I471" s="396">
        <v>43842</v>
      </c>
      <c r="J471" s="459" t="s">
        <v>6293</v>
      </c>
      <c r="K471" s="460" t="s">
        <v>6127</v>
      </c>
      <c r="L471" s="460" t="s">
        <v>6342</v>
      </c>
      <c r="M471" s="1">
        <v>192</v>
      </c>
      <c r="N471" s="431">
        <f t="shared" si="70"/>
        <v>3</v>
      </c>
      <c r="O471" s="432">
        <v>20</v>
      </c>
      <c r="P471" s="432">
        <v>43</v>
      </c>
      <c r="Q471" s="432">
        <v>20</v>
      </c>
      <c r="R471" s="1">
        <v>7</v>
      </c>
      <c r="S471" s="1">
        <v>10</v>
      </c>
      <c r="T471" s="300">
        <f t="shared" si="71"/>
        <v>295</v>
      </c>
      <c r="U471" s="3"/>
      <c r="V471" s="3"/>
      <c r="W471" s="3"/>
      <c r="X471" s="3"/>
      <c r="Y471" s="3"/>
      <c r="Z471" s="20">
        <f t="shared" si="68"/>
        <v>194</v>
      </c>
      <c r="AA471" s="20">
        <f t="shared" si="67"/>
        <v>3</v>
      </c>
      <c r="AB471" s="20">
        <f t="shared" si="67"/>
        <v>20</v>
      </c>
      <c r="AC471" s="20">
        <f t="shared" si="67"/>
        <v>43</v>
      </c>
      <c r="AD471" s="20">
        <f t="shared" si="67"/>
        <v>20</v>
      </c>
      <c r="AE471" s="20">
        <f t="shared" si="67"/>
        <v>7</v>
      </c>
      <c r="AF471" s="20">
        <f t="shared" si="67"/>
        <v>10</v>
      </c>
      <c r="AG471" s="300">
        <f t="shared" si="69"/>
        <v>297</v>
      </c>
      <c r="AH471" s="42">
        <f t="shared" si="66"/>
        <v>2</v>
      </c>
      <c r="AI471" s="42">
        <f t="shared" si="66"/>
        <v>0</v>
      </c>
      <c r="AJ471" s="42">
        <f t="shared" si="66"/>
        <v>0</v>
      </c>
      <c r="AK471" s="42">
        <f t="shared" si="66"/>
        <v>0</v>
      </c>
      <c r="AL471" s="42">
        <f t="shared" si="73"/>
        <v>0</v>
      </c>
      <c r="AM471" s="42">
        <f t="shared" si="73"/>
        <v>0</v>
      </c>
      <c r="AN471" s="42">
        <f t="shared" si="73"/>
        <v>0</v>
      </c>
      <c r="AO471" s="42">
        <f t="shared" si="73"/>
        <v>2</v>
      </c>
    </row>
    <row r="472" spans="1:41" ht="15.75">
      <c r="A472" s="16">
        <f t="shared" si="72"/>
        <v>469</v>
      </c>
      <c r="B472" s="390">
        <v>4067</v>
      </c>
      <c r="C472" s="391" t="s">
        <v>1635</v>
      </c>
      <c r="D472" s="392" t="s">
        <v>6216</v>
      </c>
      <c r="E472" s="393" t="s">
        <v>1637</v>
      </c>
      <c r="F472" s="394" t="s">
        <v>4431</v>
      </c>
      <c r="G472" s="429" t="s">
        <v>6475</v>
      </c>
      <c r="H472" s="395">
        <v>37057</v>
      </c>
      <c r="I472" s="396">
        <v>43846</v>
      </c>
      <c r="J472" s="459" t="s">
        <v>6293</v>
      </c>
      <c r="K472" s="460" t="s">
        <v>45</v>
      </c>
      <c r="L472" s="460" t="s">
        <v>6350</v>
      </c>
      <c r="M472" s="1">
        <v>192</v>
      </c>
      <c r="N472" s="431">
        <f t="shared" si="70"/>
        <v>3</v>
      </c>
      <c r="O472" s="432">
        <v>0</v>
      </c>
      <c r="P472" s="432">
        <v>0</v>
      </c>
      <c r="Q472" s="432">
        <v>0</v>
      </c>
      <c r="R472" s="1">
        <v>7</v>
      </c>
      <c r="S472" s="1">
        <v>10</v>
      </c>
      <c r="T472" s="300">
        <f t="shared" si="71"/>
        <v>212</v>
      </c>
      <c r="U472" s="3"/>
      <c r="V472" s="3"/>
      <c r="W472" s="3"/>
      <c r="X472" s="3"/>
      <c r="Y472" s="3"/>
      <c r="Z472" s="20">
        <f t="shared" si="68"/>
        <v>194</v>
      </c>
      <c r="AA472" s="20">
        <f t="shared" si="67"/>
        <v>3</v>
      </c>
      <c r="AB472" s="20">
        <f t="shared" si="67"/>
        <v>0</v>
      </c>
      <c r="AC472" s="20">
        <f t="shared" si="67"/>
        <v>0</v>
      </c>
      <c r="AD472" s="20">
        <f t="shared" si="67"/>
        <v>0</v>
      </c>
      <c r="AE472" s="20">
        <f t="shared" si="67"/>
        <v>7</v>
      </c>
      <c r="AF472" s="20">
        <f t="shared" si="67"/>
        <v>10</v>
      </c>
      <c r="AG472" s="300">
        <f t="shared" si="69"/>
        <v>214</v>
      </c>
      <c r="AH472" s="42">
        <f t="shared" ref="AH472:AN531" si="74">Z472-M472</f>
        <v>2</v>
      </c>
      <c r="AI472" s="42">
        <f t="shared" si="74"/>
        <v>0</v>
      </c>
      <c r="AJ472" s="42">
        <f t="shared" si="74"/>
        <v>0</v>
      </c>
      <c r="AK472" s="42">
        <f t="shared" si="74"/>
        <v>0</v>
      </c>
      <c r="AL472" s="42">
        <f t="shared" si="73"/>
        <v>0</v>
      </c>
      <c r="AM472" s="42">
        <f t="shared" si="73"/>
        <v>0</v>
      </c>
      <c r="AN472" s="42">
        <f t="shared" si="73"/>
        <v>0</v>
      </c>
      <c r="AO472" s="42">
        <f t="shared" si="73"/>
        <v>2</v>
      </c>
    </row>
    <row r="473" spans="1:41" ht="15.75">
      <c r="A473" s="16">
        <f t="shared" si="72"/>
        <v>470</v>
      </c>
      <c r="B473" s="390">
        <v>4079</v>
      </c>
      <c r="C473" s="391" t="s">
        <v>1823</v>
      </c>
      <c r="D473" s="392" t="s">
        <v>6257</v>
      </c>
      <c r="E473" s="393" t="s">
        <v>1824</v>
      </c>
      <c r="F473" s="394" t="s">
        <v>6028</v>
      </c>
      <c r="G473" s="429" t="s">
        <v>6475</v>
      </c>
      <c r="H473" s="395">
        <v>33487</v>
      </c>
      <c r="I473" s="396">
        <v>43856</v>
      </c>
      <c r="J473" s="459" t="s">
        <v>6293</v>
      </c>
      <c r="K473" s="460" t="s">
        <v>2405</v>
      </c>
      <c r="L473" s="460" t="s">
        <v>6348</v>
      </c>
      <c r="M473" s="1">
        <v>192</v>
      </c>
      <c r="N473" s="431">
        <f t="shared" si="70"/>
        <v>2</v>
      </c>
      <c r="O473" s="432">
        <v>0</v>
      </c>
      <c r="P473" s="432">
        <v>140</v>
      </c>
      <c r="Q473" s="432">
        <v>0</v>
      </c>
      <c r="R473" s="1">
        <v>7</v>
      </c>
      <c r="S473" s="1">
        <v>10</v>
      </c>
      <c r="T473" s="300">
        <f t="shared" si="71"/>
        <v>351</v>
      </c>
      <c r="U473" s="3"/>
      <c r="V473" s="3"/>
      <c r="W473" s="3"/>
      <c r="X473" s="3"/>
      <c r="Y473" s="3"/>
      <c r="Z473" s="20">
        <f t="shared" si="68"/>
        <v>194</v>
      </c>
      <c r="AA473" s="20">
        <f t="shared" si="67"/>
        <v>2</v>
      </c>
      <c r="AB473" s="20">
        <f t="shared" si="67"/>
        <v>0</v>
      </c>
      <c r="AC473" s="20">
        <f t="shared" si="67"/>
        <v>140</v>
      </c>
      <c r="AD473" s="20">
        <f t="shared" si="67"/>
        <v>0</v>
      </c>
      <c r="AE473" s="20">
        <f t="shared" si="67"/>
        <v>7</v>
      </c>
      <c r="AF473" s="20">
        <f t="shared" si="67"/>
        <v>10</v>
      </c>
      <c r="AG473" s="300">
        <f t="shared" si="69"/>
        <v>353</v>
      </c>
      <c r="AH473" s="42">
        <f t="shared" si="74"/>
        <v>2</v>
      </c>
      <c r="AI473" s="42">
        <f t="shared" si="74"/>
        <v>0</v>
      </c>
      <c r="AJ473" s="42">
        <f t="shared" si="74"/>
        <v>0</v>
      </c>
      <c r="AK473" s="42">
        <f t="shared" si="74"/>
        <v>0</v>
      </c>
      <c r="AL473" s="42">
        <f t="shared" si="73"/>
        <v>0</v>
      </c>
      <c r="AM473" s="42">
        <f t="shared" si="73"/>
        <v>0</v>
      </c>
      <c r="AN473" s="42">
        <f t="shared" si="73"/>
        <v>0</v>
      </c>
      <c r="AO473" s="42">
        <f t="shared" si="73"/>
        <v>2</v>
      </c>
    </row>
    <row r="474" spans="1:41" ht="15.75">
      <c r="A474" s="16">
        <f t="shared" si="72"/>
        <v>471</v>
      </c>
      <c r="B474" s="390">
        <v>4081</v>
      </c>
      <c r="C474" s="391" t="s">
        <v>1225</v>
      </c>
      <c r="D474" s="392" t="s">
        <v>6258</v>
      </c>
      <c r="E474" s="393" t="s">
        <v>537</v>
      </c>
      <c r="F474" s="394" t="s">
        <v>6117</v>
      </c>
      <c r="G474" s="429" t="s">
        <v>6473</v>
      </c>
      <c r="H474" s="395">
        <v>29596</v>
      </c>
      <c r="I474" s="396">
        <v>43857</v>
      </c>
      <c r="J474" s="459" t="s">
        <v>6159</v>
      </c>
      <c r="K474" s="460" t="s">
        <v>3070</v>
      </c>
      <c r="L474" s="460" t="s">
        <v>194</v>
      </c>
      <c r="M474" s="1">
        <v>192</v>
      </c>
      <c r="N474" s="431">
        <f t="shared" si="70"/>
        <v>2</v>
      </c>
      <c r="O474" s="432">
        <v>0</v>
      </c>
      <c r="P474" s="432">
        <v>0</v>
      </c>
      <c r="Q474" s="432">
        <v>0</v>
      </c>
      <c r="R474" s="1">
        <v>7</v>
      </c>
      <c r="S474" s="1">
        <v>10</v>
      </c>
      <c r="T474" s="300">
        <f t="shared" si="71"/>
        <v>211</v>
      </c>
      <c r="U474" s="3"/>
      <c r="V474" s="3"/>
      <c r="W474" s="3"/>
      <c r="X474" s="3"/>
      <c r="Y474" s="3"/>
      <c r="Z474" s="20">
        <f t="shared" si="68"/>
        <v>194</v>
      </c>
      <c r="AA474" s="20">
        <f t="shared" si="67"/>
        <v>2</v>
      </c>
      <c r="AB474" s="20">
        <f t="shared" si="67"/>
        <v>0</v>
      </c>
      <c r="AC474" s="20">
        <f t="shared" si="67"/>
        <v>0</v>
      </c>
      <c r="AD474" s="20">
        <f t="shared" si="67"/>
        <v>0</v>
      </c>
      <c r="AE474" s="20">
        <f t="shared" si="67"/>
        <v>7</v>
      </c>
      <c r="AF474" s="20">
        <f t="shared" si="67"/>
        <v>10</v>
      </c>
      <c r="AG474" s="300">
        <f t="shared" si="69"/>
        <v>213</v>
      </c>
      <c r="AH474" s="42">
        <f t="shared" si="74"/>
        <v>2</v>
      </c>
      <c r="AI474" s="42">
        <f t="shared" si="74"/>
        <v>0</v>
      </c>
      <c r="AJ474" s="42">
        <f t="shared" si="74"/>
        <v>0</v>
      </c>
      <c r="AK474" s="42">
        <f t="shared" si="74"/>
        <v>0</v>
      </c>
      <c r="AL474" s="42">
        <f t="shared" si="73"/>
        <v>0</v>
      </c>
      <c r="AM474" s="42">
        <f t="shared" si="73"/>
        <v>0</v>
      </c>
      <c r="AN474" s="42">
        <f t="shared" si="73"/>
        <v>0</v>
      </c>
      <c r="AO474" s="42">
        <f t="shared" si="73"/>
        <v>2</v>
      </c>
    </row>
    <row r="475" spans="1:41" ht="15.75">
      <c r="A475" s="16">
        <f t="shared" si="72"/>
        <v>472</v>
      </c>
      <c r="B475" s="390">
        <v>4080</v>
      </c>
      <c r="C475" s="391" t="s">
        <v>891</v>
      </c>
      <c r="D475" s="392" t="s">
        <v>958</v>
      </c>
      <c r="E475" s="393" t="s">
        <v>893</v>
      </c>
      <c r="F475" s="394" t="s">
        <v>959</v>
      </c>
      <c r="G475" s="429" t="s">
        <v>6473</v>
      </c>
      <c r="H475" s="395">
        <v>27847</v>
      </c>
      <c r="I475" s="396">
        <v>43837</v>
      </c>
      <c r="J475" s="459" t="s">
        <v>6159</v>
      </c>
      <c r="K475" s="460" t="s">
        <v>3070</v>
      </c>
      <c r="L475" s="460" t="s">
        <v>194</v>
      </c>
      <c r="M475" s="1">
        <v>192</v>
      </c>
      <c r="N475" s="431">
        <f t="shared" si="70"/>
        <v>3</v>
      </c>
      <c r="O475" s="442">
        <v>5</v>
      </c>
      <c r="P475" s="432">
        <v>0</v>
      </c>
      <c r="Q475" s="432">
        <v>0</v>
      </c>
      <c r="R475" s="1">
        <v>7</v>
      </c>
      <c r="S475" s="1">
        <v>10</v>
      </c>
      <c r="T475" s="300">
        <f t="shared" si="71"/>
        <v>217</v>
      </c>
      <c r="U475" s="3"/>
      <c r="V475" s="3"/>
      <c r="W475" s="3"/>
      <c r="X475" s="3"/>
      <c r="Y475" s="3"/>
      <c r="Z475" s="20">
        <f t="shared" si="68"/>
        <v>194</v>
      </c>
      <c r="AA475" s="20">
        <f t="shared" si="67"/>
        <v>3</v>
      </c>
      <c r="AB475" s="20">
        <f t="shared" si="67"/>
        <v>5</v>
      </c>
      <c r="AC475" s="20">
        <f t="shared" si="67"/>
        <v>0</v>
      </c>
      <c r="AD475" s="20">
        <f t="shared" si="67"/>
        <v>0</v>
      </c>
      <c r="AE475" s="20">
        <f t="shared" si="67"/>
        <v>7</v>
      </c>
      <c r="AF475" s="20">
        <f t="shared" si="67"/>
        <v>10</v>
      </c>
      <c r="AG475" s="300">
        <f t="shared" si="69"/>
        <v>219</v>
      </c>
      <c r="AH475" s="42">
        <f t="shared" si="74"/>
        <v>2</v>
      </c>
      <c r="AI475" s="42">
        <f t="shared" si="74"/>
        <v>0</v>
      </c>
      <c r="AJ475" s="42">
        <f t="shared" si="74"/>
        <v>0</v>
      </c>
      <c r="AK475" s="42">
        <f t="shared" si="74"/>
        <v>0</v>
      </c>
      <c r="AL475" s="42">
        <f t="shared" si="73"/>
        <v>0</v>
      </c>
      <c r="AM475" s="42">
        <f t="shared" si="73"/>
        <v>0</v>
      </c>
      <c r="AN475" s="42">
        <f t="shared" si="73"/>
        <v>0</v>
      </c>
      <c r="AO475" s="42">
        <f t="shared" si="73"/>
        <v>2</v>
      </c>
    </row>
    <row r="476" spans="1:41" ht="15.75">
      <c r="A476" s="16">
        <f t="shared" si="72"/>
        <v>473</v>
      </c>
      <c r="B476" s="390">
        <v>4084</v>
      </c>
      <c r="C476" s="391" t="s">
        <v>5622</v>
      </c>
      <c r="D476" s="392" t="s">
        <v>6260</v>
      </c>
      <c r="E476" s="393" t="s">
        <v>5624</v>
      </c>
      <c r="F476" s="394" t="s">
        <v>6164</v>
      </c>
      <c r="G476" s="461" t="s">
        <v>6475</v>
      </c>
      <c r="H476" s="395">
        <v>29307</v>
      </c>
      <c r="I476" s="396">
        <v>43966</v>
      </c>
      <c r="J476" s="459" t="s">
        <v>6293</v>
      </c>
      <c r="K476" s="460" t="s">
        <v>80</v>
      </c>
      <c r="L476" s="460" t="s">
        <v>6353</v>
      </c>
      <c r="M476" s="1">
        <v>192</v>
      </c>
      <c r="N476" s="431">
        <f t="shared" si="70"/>
        <v>2</v>
      </c>
      <c r="O476" s="432">
        <v>20</v>
      </c>
      <c r="P476" s="432">
        <v>50</v>
      </c>
      <c r="Q476" s="432">
        <v>50</v>
      </c>
      <c r="R476" s="1">
        <v>7</v>
      </c>
      <c r="S476" s="1">
        <v>10</v>
      </c>
      <c r="T476" s="300">
        <f t="shared" si="71"/>
        <v>331</v>
      </c>
      <c r="U476" s="3"/>
      <c r="V476" s="3"/>
      <c r="W476" s="3"/>
      <c r="X476" s="3"/>
      <c r="Y476" s="3"/>
      <c r="Z476" s="20">
        <f t="shared" si="68"/>
        <v>194</v>
      </c>
      <c r="AA476" s="20">
        <f t="shared" si="67"/>
        <v>2</v>
      </c>
      <c r="AB476" s="20">
        <f t="shared" si="67"/>
        <v>20</v>
      </c>
      <c r="AC476" s="20">
        <f t="shared" si="67"/>
        <v>50</v>
      </c>
      <c r="AD476" s="20">
        <f t="shared" si="67"/>
        <v>50</v>
      </c>
      <c r="AE476" s="20">
        <f t="shared" si="67"/>
        <v>7</v>
      </c>
      <c r="AF476" s="20">
        <f t="shared" si="67"/>
        <v>10</v>
      </c>
      <c r="AG476" s="300">
        <f t="shared" si="69"/>
        <v>333</v>
      </c>
      <c r="AH476" s="42">
        <f t="shared" si="74"/>
        <v>2</v>
      </c>
      <c r="AI476" s="42">
        <f t="shared" si="74"/>
        <v>0</v>
      </c>
      <c r="AJ476" s="42">
        <f t="shared" si="74"/>
        <v>0</v>
      </c>
      <c r="AK476" s="42">
        <f t="shared" si="74"/>
        <v>0</v>
      </c>
      <c r="AL476" s="42">
        <f t="shared" si="73"/>
        <v>0</v>
      </c>
      <c r="AM476" s="42">
        <f t="shared" si="73"/>
        <v>0</v>
      </c>
      <c r="AN476" s="42">
        <f t="shared" si="73"/>
        <v>0</v>
      </c>
      <c r="AO476" s="42">
        <f t="shared" si="73"/>
        <v>2</v>
      </c>
    </row>
    <row r="477" spans="1:41" ht="15.75">
      <c r="A477" s="16">
        <f t="shared" si="72"/>
        <v>474</v>
      </c>
      <c r="B477" s="390">
        <v>4085</v>
      </c>
      <c r="C477" s="391" t="s">
        <v>1823</v>
      </c>
      <c r="D477" s="392" t="s">
        <v>6261</v>
      </c>
      <c r="E477" s="393" t="s">
        <v>6118</v>
      </c>
      <c r="F477" s="394" t="s">
        <v>6119</v>
      </c>
      <c r="G477" s="461" t="s">
        <v>6473</v>
      </c>
      <c r="H477" s="395">
        <v>26141</v>
      </c>
      <c r="I477" s="396">
        <v>43986</v>
      </c>
      <c r="J477" s="459" t="s">
        <v>6159</v>
      </c>
      <c r="K477" s="460" t="s">
        <v>3070</v>
      </c>
      <c r="L477" s="460" t="s">
        <v>194</v>
      </c>
      <c r="M477" s="1">
        <v>192</v>
      </c>
      <c r="N477" s="431">
        <f t="shared" si="70"/>
        <v>2</v>
      </c>
      <c r="O477" s="432">
        <v>0</v>
      </c>
      <c r="P477" s="432">
        <v>0</v>
      </c>
      <c r="Q477" s="432">
        <v>0</v>
      </c>
      <c r="R477" s="1">
        <v>7</v>
      </c>
      <c r="S477" s="1">
        <v>10</v>
      </c>
      <c r="T477" s="300">
        <f t="shared" si="71"/>
        <v>211</v>
      </c>
      <c r="U477" s="3"/>
      <c r="V477" s="3"/>
      <c r="W477" s="3"/>
      <c r="X477" s="3"/>
      <c r="Y477" s="3"/>
      <c r="Z477" s="20">
        <f t="shared" si="68"/>
        <v>194</v>
      </c>
      <c r="AA477" s="20">
        <f t="shared" si="67"/>
        <v>2</v>
      </c>
      <c r="AB477" s="20">
        <f t="shared" si="67"/>
        <v>0</v>
      </c>
      <c r="AC477" s="20">
        <f t="shared" si="67"/>
        <v>0</v>
      </c>
      <c r="AD477" s="20">
        <f t="shared" si="67"/>
        <v>0</v>
      </c>
      <c r="AE477" s="20">
        <f t="shared" si="67"/>
        <v>7</v>
      </c>
      <c r="AF477" s="20">
        <f t="shared" si="67"/>
        <v>10</v>
      </c>
      <c r="AG477" s="300">
        <f t="shared" si="69"/>
        <v>213</v>
      </c>
      <c r="AH477" s="42">
        <f t="shared" si="74"/>
        <v>2</v>
      </c>
      <c r="AI477" s="42">
        <f t="shared" si="74"/>
        <v>0</v>
      </c>
      <c r="AJ477" s="42">
        <f t="shared" si="74"/>
        <v>0</v>
      </c>
      <c r="AK477" s="42">
        <f t="shared" si="74"/>
        <v>0</v>
      </c>
      <c r="AL477" s="42">
        <f t="shared" si="73"/>
        <v>0</v>
      </c>
      <c r="AM477" s="42">
        <f t="shared" si="73"/>
        <v>0</v>
      </c>
      <c r="AN477" s="42">
        <f t="shared" si="73"/>
        <v>0</v>
      </c>
      <c r="AO477" s="42">
        <f t="shared" si="73"/>
        <v>2</v>
      </c>
    </row>
    <row r="478" spans="1:41" ht="15.75">
      <c r="A478" s="16">
        <f t="shared" si="72"/>
        <v>475</v>
      </c>
      <c r="B478" s="390">
        <v>4092</v>
      </c>
      <c r="C478" s="391" t="s">
        <v>958</v>
      </c>
      <c r="D478" s="392" t="s">
        <v>6262</v>
      </c>
      <c r="E478" s="393" t="s">
        <v>959</v>
      </c>
      <c r="F478" s="394" t="s">
        <v>6165</v>
      </c>
      <c r="G478" s="429" t="s">
        <v>6473</v>
      </c>
      <c r="H478" s="395">
        <v>37479</v>
      </c>
      <c r="I478" s="396">
        <v>44035</v>
      </c>
      <c r="J478" s="459" t="s">
        <v>6293</v>
      </c>
      <c r="K478" s="460" t="s">
        <v>6104</v>
      </c>
      <c r="L478" s="460" t="s">
        <v>6354</v>
      </c>
      <c r="M478" s="1">
        <v>192</v>
      </c>
      <c r="N478" s="431">
        <f t="shared" si="70"/>
        <v>2</v>
      </c>
      <c r="O478" s="432">
        <v>0</v>
      </c>
      <c r="P478" s="432">
        <v>30</v>
      </c>
      <c r="Q478" s="432">
        <v>0</v>
      </c>
      <c r="R478" s="1">
        <v>7</v>
      </c>
      <c r="S478" s="1">
        <v>10</v>
      </c>
      <c r="T478" s="300">
        <f t="shared" si="71"/>
        <v>241</v>
      </c>
      <c r="U478" s="3"/>
      <c r="V478" s="3"/>
      <c r="W478" s="3"/>
      <c r="X478" s="3"/>
      <c r="Y478" s="3"/>
      <c r="Z478" s="20">
        <f t="shared" si="68"/>
        <v>194</v>
      </c>
      <c r="AA478" s="20">
        <f t="shared" si="67"/>
        <v>2</v>
      </c>
      <c r="AB478" s="20">
        <f t="shared" si="67"/>
        <v>0</v>
      </c>
      <c r="AC478" s="20">
        <f t="shared" si="67"/>
        <v>30</v>
      </c>
      <c r="AD478" s="20">
        <f t="shared" ref="AD478:AF540" si="75">Q478</f>
        <v>0</v>
      </c>
      <c r="AE478" s="20">
        <f t="shared" si="75"/>
        <v>7</v>
      </c>
      <c r="AF478" s="20">
        <f t="shared" si="75"/>
        <v>10</v>
      </c>
      <c r="AG478" s="300">
        <f t="shared" si="69"/>
        <v>243</v>
      </c>
      <c r="AH478" s="42">
        <f t="shared" si="74"/>
        <v>2</v>
      </c>
      <c r="AI478" s="42">
        <f t="shared" si="74"/>
        <v>0</v>
      </c>
      <c r="AJ478" s="42">
        <f t="shared" si="74"/>
        <v>0</v>
      </c>
      <c r="AK478" s="42">
        <f t="shared" si="74"/>
        <v>0</v>
      </c>
      <c r="AL478" s="42">
        <f t="shared" si="73"/>
        <v>0</v>
      </c>
      <c r="AM478" s="42">
        <f t="shared" si="73"/>
        <v>0</v>
      </c>
      <c r="AN478" s="42">
        <f t="shared" si="73"/>
        <v>0</v>
      </c>
      <c r="AO478" s="42">
        <f t="shared" si="73"/>
        <v>2</v>
      </c>
    </row>
    <row r="479" spans="1:41" ht="15.75">
      <c r="A479" s="16">
        <f t="shared" si="72"/>
        <v>476</v>
      </c>
      <c r="B479" s="390">
        <v>4093</v>
      </c>
      <c r="C479" s="391" t="s">
        <v>1823</v>
      </c>
      <c r="D479" s="392" t="s">
        <v>3172</v>
      </c>
      <c r="E479" s="393" t="s">
        <v>1824</v>
      </c>
      <c r="F479" s="394" t="s">
        <v>6113</v>
      </c>
      <c r="G479" s="429" t="s">
        <v>6473</v>
      </c>
      <c r="H479" s="395">
        <v>33073</v>
      </c>
      <c r="I479" s="396">
        <v>44037</v>
      </c>
      <c r="J479" s="459" t="s">
        <v>6293</v>
      </c>
      <c r="K479" s="460" t="s">
        <v>397</v>
      </c>
      <c r="L479" s="460" t="s">
        <v>6336</v>
      </c>
      <c r="M479" s="1">
        <v>192</v>
      </c>
      <c r="N479" s="431">
        <f t="shared" si="70"/>
        <v>2</v>
      </c>
      <c r="O479" s="432">
        <v>0</v>
      </c>
      <c r="P479" s="432">
        <v>0</v>
      </c>
      <c r="Q479" s="432">
        <v>0</v>
      </c>
      <c r="R479" s="1">
        <v>7</v>
      </c>
      <c r="S479" s="1">
        <v>10</v>
      </c>
      <c r="T479" s="300">
        <f t="shared" si="71"/>
        <v>211</v>
      </c>
      <c r="U479" s="3"/>
      <c r="V479" s="3"/>
      <c r="W479" s="3"/>
      <c r="X479" s="3"/>
      <c r="Y479" s="3"/>
      <c r="Z479" s="20">
        <f t="shared" si="68"/>
        <v>194</v>
      </c>
      <c r="AA479" s="20">
        <f t="shared" ref="AA479:AF541" si="76">N479</f>
        <v>2</v>
      </c>
      <c r="AB479" s="20">
        <f t="shared" si="76"/>
        <v>0</v>
      </c>
      <c r="AC479" s="20">
        <f t="shared" si="76"/>
        <v>0</v>
      </c>
      <c r="AD479" s="20">
        <f t="shared" si="75"/>
        <v>0</v>
      </c>
      <c r="AE479" s="20">
        <f t="shared" si="75"/>
        <v>7</v>
      </c>
      <c r="AF479" s="20">
        <f t="shared" si="75"/>
        <v>10</v>
      </c>
      <c r="AG479" s="300">
        <f t="shared" si="69"/>
        <v>213</v>
      </c>
      <c r="AH479" s="42">
        <f t="shared" si="74"/>
        <v>2</v>
      </c>
      <c r="AI479" s="42">
        <f t="shared" si="74"/>
        <v>0</v>
      </c>
      <c r="AJ479" s="42">
        <f t="shared" si="74"/>
        <v>0</v>
      </c>
      <c r="AK479" s="42">
        <f t="shared" si="74"/>
        <v>0</v>
      </c>
      <c r="AL479" s="42">
        <f t="shared" si="73"/>
        <v>0</v>
      </c>
      <c r="AM479" s="42">
        <f t="shared" si="73"/>
        <v>0</v>
      </c>
      <c r="AN479" s="42">
        <f t="shared" si="73"/>
        <v>0</v>
      </c>
      <c r="AO479" s="42">
        <f t="shared" si="73"/>
        <v>2</v>
      </c>
    </row>
    <row r="480" spans="1:41" ht="15.75">
      <c r="A480" s="16">
        <f t="shared" si="72"/>
        <v>477</v>
      </c>
      <c r="B480" s="390">
        <v>4094</v>
      </c>
      <c r="C480" s="391" t="s">
        <v>6179</v>
      </c>
      <c r="D480" s="392" t="s">
        <v>6180</v>
      </c>
      <c r="E480" s="393" t="s">
        <v>6355</v>
      </c>
      <c r="F480" s="394" t="s">
        <v>6356</v>
      </c>
      <c r="G480" s="429" t="s">
        <v>6475</v>
      </c>
      <c r="H480" s="395">
        <v>36748</v>
      </c>
      <c r="I480" s="396">
        <v>44053</v>
      </c>
      <c r="J480" s="459" t="s">
        <v>6159</v>
      </c>
      <c r="K480" s="460" t="s">
        <v>3070</v>
      </c>
      <c r="L480" s="460" t="s">
        <v>194</v>
      </c>
      <c r="M480" s="1">
        <v>192</v>
      </c>
      <c r="N480" s="431">
        <f t="shared" si="70"/>
        <v>2</v>
      </c>
      <c r="O480" s="432">
        <v>0</v>
      </c>
      <c r="P480" s="432">
        <v>0</v>
      </c>
      <c r="Q480" s="432">
        <v>0</v>
      </c>
      <c r="R480" s="1">
        <v>7</v>
      </c>
      <c r="S480" s="1">
        <v>10</v>
      </c>
      <c r="T480" s="300">
        <f t="shared" si="71"/>
        <v>211</v>
      </c>
      <c r="U480" s="3"/>
      <c r="V480" s="3"/>
      <c r="W480" s="3"/>
      <c r="X480" s="3"/>
      <c r="Y480" s="3"/>
      <c r="Z480" s="20">
        <f t="shared" si="68"/>
        <v>194</v>
      </c>
      <c r="AA480" s="20">
        <f t="shared" si="76"/>
        <v>2</v>
      </c>
      <c r="AB480" s="20">
        <f t="shared" si="76"/>
        <v>0</v>
      </c>
      <c r="AC480" s="20">
        <f t="shared" si="76"/>
        <v>0</v>
      </c>
      <c r="AD480" s="20">
        <f t="shared" si="75"/>
        <v>0</v>
      </c>
      <c r="AE480" s="20">
        <f t="shared" si="75"/>
        <v>7</v>
      </c>
      <c r="AF480" s="20">
        <f t="shared" si="75"/>
        <v>10</v>
      </c>
      <c r="AG480" s="300">
        <f t="shared" si="69"/>
        <v>213</v>
      </c>
      <c r="AH480" s="42">
        <f t="shared" si="74"/>
        <v>2</v>
      </c>
      <c r="AI480" s="42">
        <f t="shared" si="74"/>
        <v>0</v>
      </c>
      <c r="AJ480" s="42">
        <f t="shared" si="74"/>
        <v>0</v>
      </c>
      <c r="AK480" s="42">
        <f t="shared" si="74"/>
        <v>0</v>
      </c>
      <c r="AL480" s="42">
        <f t="shared" si="73"/>
        <v>0</v>
      </c>
      <c r="AM480" s="42">
        <f t="shared" si="73"/>
        <v>0</v>
      </c>
      <c r="AN480" s="42">
        <f t="shared" si="73"/>
        <v>0</v>
      </c>
      <c r="AO480" s="42">
        <f t="shared" si="73"/>
        <v>2</v>
      </c>
    </row>
    <row r="481" spans="1:41" ht="15.75">
      <c r="A481" s="16">
        <f t="shared" si="72"/>
        <v>478</v>
      </c>
      <c r="B481" s="390">
        <v>5055</v>
      </c>
      <c r="C481" s="391" t="s">
        <v>316</v>
      </c>
      <c r="D481" s="392" t="s">
        <v>6263</v>
      </c>
      <c r="E481" s="393" t="s">
        <v>1989</v>
      </c>
      <c r="F481" s="394" t="s">
        <v>6166</v>
      </c>
      <c r="G481" s="429" t="s">
        <v>6475</v>
      </c>
      <c r="H481" s="395">
        <v>36751</v>
      </c>
      <c r="I481" s="396">
        <v>44147</v>
      </c>
      <c r="J481" s="459" t="s">
        <v>6293</v>
      </c>
      <c r="K481" s="460" t="s">
        <v>6312</v>
      </c>
      <c r="L481" s="460" t="s">
        <v>6347</v>
      </c>
      <c r="M481" s="1">
        <v>192</v>
      </c>
      <c r="N481" s="431">
        <f t="shared" si="70"/>
        <v>2</v>
      </c>
      <c r="O481" s="432">
        <v>0</v>
      </c>
      <c r="P481" s="432">
        <v>18</v>
      </c>
      <c r="Q481" s="432">
        <v>0</v>
      </c>
      <c r="R481" s="1">
        <v>7</v>
      </c>
      <c r="S481" s="1">
        <v>10</v>
      </c>
      <c r="T481" s="300">
        <f t="shared" si="71"/>
        <v>229</v>
      </c>
      <c r="U481" s="3"/>
      <c r="V481" s="3"/>
      <c r="W481" s="3"/>
      <c r="X481" s="3"/>
      <c r="Y481" s="3"/>
      <c r="Z481" s="20">
        <f t="shared" si="68"/>
        <v>194</v>
      </c>
      <c r="AA481" s="20">
        <f t="shared" si="76"/>
        <v>2</v>
      </c>
      <c r="AB481" s="20">
        <f t="shared" si="76"/>
        <v>0</v>
      </c>
      <c r="AC481" s="20">
        <f t="shared" si="76"/>
        <v>18</v>
      </c>
      <c r="AD481" s="20">
        <f t="shared" si="75"/>
        <v>0</v>
      </c>
      <c r="AE481" s="20">
        <f t="shared" si="75"/>
        <v>7</v>
      </c>
      <c r="AF481" s="20">
        <f t="shared" si="75"/>
        <v>10</v>
      </c>
      <c r="AG481" s="300">
        <f t="shared" si="69"/>
        <v>231</v>
      </c>
      <c r="AH481" s="42">
        <f t="shared" si="74"/>
        <v>2</v>
      </c>
      <c r="AI481" s="42">
        <f t="shared" si="74"/>
        <v>0</v>
      </c>
      <c r="AJ481" s="42">
        <f t="shared" si="74"/>
        <v>0</v>
      </c>
      <c r="AK481" s="42">
        <f t="shared" si="74"/>
        <v>0</v>
      </c>
      <c r="AL481" s="42">
        <f t="shared" si="73"/>
        <v>0</v>
      </c>
      <c r="AM481" s="42">
        <f t="shared" si="73"/>
        <v>0</v>
      </c>
      <c r="AN481" s="42">
        <f t="shared" si="73"/>
        <v>0</v>
      </c>
      <c r="AO481" s="42">
        <f t="shared" si="73"/>
        <v>2</v>
      </c>
    </row>
    <row r="482" spans="1:41" ht="15.75">
      <c r="A482" s="16">
        <f t="shared" si="72"/>
        <v>479</v>
      </c>
      <c r="B482" s="390">
        <v>5038</v>
      </c>
      <c r="C482" s="391" t="s">
        <v>6264</v>
      </c>
      <c r="D482" s="392" t="s">
        <v>6265</v>
      </c>
      <c r="E482" s="393" t="s">
        <v>6167</v>
      </c>
      <c r="F482" s="394" t="s">
        <v>6168</v>
      </c>
      <c r="G482" s="429" t="s">
        <v>6473</v>
      </c>
      <c r="H482" s="395">
        <v>33620</v>
      </c>
      <c r="I482" s="396">
        <v>44141</v>
      </c>
      <c r="J482" s="459" t="s">
        <v>6293</v>
      </c>
      <c r="K482" s="460" t="s">
        <v>6134</v>
      </c>
      <c r="L482" s="460" t="s">
        <v>6335</v>
      </c>
      <c r="M482" s="1">
        <v>192</v>
      </c>
      <c r="N482" s="431">
        <f t="shared" si="70"/>
        <v>2</v>
      </c>
      <c r="O482" s="432">
        <v>0</v>
      </c>
      <c r="P482" s="432">
        <v>0</v>
      </c>
      <c r="Q482" s="432">
        <v>0</v>
      </c>
      <c r="R482" s="1">
        <v>7</v>
      </c>
      <c r="S482" s="1">
        <v>10</v>
      </c>
      <c r="T482" s="300">
        <f t="shared" si="71"/>
        <v>211</v>
      </c>
      <c r="U482" s="3"/>
      <c r="V482" s="3"/>
      <c r="W482" s="3"/>
      <c r="X482" s="3"/>
      <c r="Y482" s="3"/>
      <c r="Z482" s="20">
        <f t="shared" si="68"/>
        <v>194</v>
      </c>
      <c r="AA482" s="20">
        <f t="shared" si="76"/>
        <v>2</v>
      </c>
      <c r="AB482" s="20">
        <f t="shared" si="76"/>
        <v>0</v>
      </c>
      <c r="AC482" s="20">
        <f t="shared" si="76"/>
        <v>0</v>
      </c>
      <c r="AD482" s="20">
        <f t="shared" si="75"/>
        <v>0</v>
      </c>
      <c r="AE482" s="20">
        <f t="shared" si="75"/>
        <v>7</v>
      </c>
      <c r="AF482" s="20">
        <f t="shared" si="75"/>
        <v>10</v>
      </c>
      <c r="AG482" s="300">
        <f t="shared" si="69"/>
        <v>213</v>
      </c>
      <c r="AH482" s="42">
        <f t="shared" si="74"/>
        <v>2</v>
      </c>
      <c r="AI482" s="42">
        <f t="shared" si="74"/>
        <v>0</v>
      </c>
      <c r="AJ482" s="42">
        <f t="shared" si="74"/>
        <v>0</v>
      </c>
      <c r="AK482" s="42">
        <f t="shared" si="74"/>
        <v>0</v>
      </c>
      <c r="AL482" s="42">
        <f t="shared" si="73"/>
        <v>0</v>
      </c>
      <c r="AM482" s="42">
        <f t="shared" si="73"/>
        <v>0</v>
      </c>
      <c r="AN482" s="42">
        <f t="shared" si="73"/>
        <v>0</v>
      </c>
      <c r="AO482" s="42">
        <f t="shared" si="73"/>
        <v>2</v>
      </c>
    </row>
    <row r="483" spans="1:41" ht="15.75">
      <c r="A483" s="16">
        <f t="shared" si="72"/>
        <v>480</v>
      </c>
      <c r="B483" s="390">
        <v>5053</v>
      </c>
      <c r="C483" s="391" t="s">
        <v>2908</v>
      </c>
      <c r="D483" s="392" t="s">
        <v>2909</v>
      </c>
      <c r="E483" s="393" t="s">
        <v>1042</v>
      </c>
      <c r="F483" s="394" t="s">
        <v>5346</v>
      </c>
      <c r="G483" s="429" t="s">
        <v>6473</v>
      </c>
      <c r="H483" s="395">
        <v>34714</v>
      </c>
      <c r="I483" s="396">
        <v>44145</v>
      </c>
      <c r="J483" s="459" t="s">
        <v>6293</v>
      </c>
      <c r="K483" s="460" t="s">
        <v>6296</v>
      </c>
      <c r="L483" s="460" t="s">
        <v>6335</v>
      </c>
      <c r="M483" s="1">
        <v>192</v>
      </c>
      <c r="N483" s="431">
        <f t="shared" si="70"/>
        <v>2</v>
      </c>
      <c r="O483" s="432">
        <v>0</v>
      </c>
      <c r="P483" s="432">
        <v>0</v>
      </c>
      <c r="Q483" s="432">
        <v>0</v>
      </c>
      <c r="R483" s="1">
        <v>7</v>
      </c>
      <c r="S483" s="1">
        <v>10</v>
      </c>
      <c r="T483" s="300">
        <f t="shared" si="71"/>
        <v>211</v>
      </c>
      <c r="U483" s="3"/>
      <c r="V483" s="3"/>
      <c r="W483" s="3"/>
      <c r="X483" s="3"/>
      <c r="Y483" s="3"/>
      <c r="Z483" s="20">
        <f t="shared" si="68"/>
        <v>194</v>
      </c>
      <c r="AA483" s="20">
        <f t="shared" si="76"/>
        <v>2</v>
      </c>
      <c r="AB483" s="20">
        <f t="shared" si="76"/>
        <v>0</v>
      </c>
      <c r="AC483" s="20">
        <f t="shared" si="76"/>
        <v>0</v>
      </c>
      <c r="AD483" s="20">
        <f t="shared" si="75"/>
        <v>0</v>
      </c>
      <c r="AE483" s="20">
        <f t="shared" si="75"/>
        <v>7</v>
      </c>
      <c r="AF483" s="20">
        <f t="shared" si="75"/>
        <v>10</v>
      </c>
      <c r="AG483" s="300">
        <f t="shared" si="69"/>
        <v>213</v>
      </c>
      <c r="AH483" s="42">
        <f t="shared" si="74"/>
        <v>2</v>
      </c>
      <c r="AI483" s="42">
        <f t="shared" si="74"/>
        <v>0</v>
      </c>
      <c r="AJ483" s="42">
        <f t="shared" si="74"/>
        <v>0</v>
      </c>
      <c r="AK483" s="42">
        <f t="shared" si="74"/>
        <v>0</v>
      </c>
      <c r="AL483" s="42">
        <f t="shared" si="73"/>
        <v>0</v>
      </c>
      <c r="AM483" s="42">
        <f t="shared" si="73"/>
        <v>0</v>
      </c>
      <c r="AN483" s="42">
        <f t="shared" si="73"/>
        <v>0</v>
      </c>
      <c r="AO483" s="42">
        <f t="shared" si="73"/>
        <v>2</v>
      </c>
    </row>
    <row r="484" spans="1:41" ht="15.75">
      <c r="A484" s="16">
        <f t="shared" si="72"/>
        <v>481</v>
      </c>
      <c r="B484" s="390">
        <v>5051</v>
      </c>
      <c r="C484" s="391" t="s">
        <v>2560</v>
      </c>
      <c r="D484" s="392" t="s">
        <v>3042</v>
      </c>
      <c r="E484" s="393" t="s">
        <v>4426</v>
      </c>
      <c r="F484" s="394" t="s">
        <v>6169</v>
      </c>
      <c r="G484" s="429" t="s">
        <v>6473</v>
      </c>
      <c r="H484" s="395">
        <v>32695</v>
      </c>
      <c r="I484" s="396">
        <v>44142</v>
      </c>
      <c r="J484" s="459" t="s">
        <v>6293</v>
      </c>
      <c r="K484" s="460" t="s">
        <v>6297</v>
      </c>
      <c r="L484" s="460" t="s">
        <v>6335</v>
      </c>
      <c r="M484" s="1">
        <v>192</v>
      </c>
      <c r="N484" s="431">
        <f t="shared" si="70"/>
        <v>2</v>
      </c>
      <c r="O484" s="432">
        <v>0</v>
      </c>
      <c r="P484" s="432">
        <v>0</v>
      </c>
      <c r="Q484" s="432">
        <v>0</v>
      </c>
      <c r="R484" s="1">
        <v>7</v>
      </c>
      <c r="S484" s="1">
        <v>10</v>
      </c>
      <c r="T484" s="300">
        <f t="shared" si="71"/>
        <v>211</v>
      </c>
      <c r="U484" s="3"/>
      <c r="V484" s="3"/>
      <c r="W484" s="3"/>
      <c r="X484" s="3"/>
      <c r="Y484" s="3"/>
      <c r="Z484" s="20">
        <f t="shared" si="68"/>
        <v>194</v>
      </c>
      <c r="AA484" s="20">
        <f t="shared" si="76"/>
        <v>2</v>
      </c>
      <c r="AB484" s="20">
        <f t="shared" si="76"/>
        <v>0</v>
      </c>
      <c r="AC484" s="20">
        <f t="shared" si="76"/>
        <v>0</v>
      </c>
      <c r="AD484" s="20">
        <f t="shared" si="75"/>
        <v>0</v>
      </c>
      <c r="AE484" s="20">
        <f t="shared" si="75"/>
        <v>7</v>
      </c>
      <c r="AF484" s="20">
        <f t="shared" si="75"/>
        <v>10</v>
      </c>
      <c r="AG484" s="300">
        <f t="shared" si="69"/>
        <v>213</v>
      </c>
      <c r="AH484" s="42">
        <f t="shared" si="74"/>
        <v>2</v>
      </c>
      <c r="AI484" s="42">
        <f t="shared" si="74"/>
        <v>0</v>
      </c>
      <c r="AJ484" s="42">
        <f t="shared" si="74"/>
        <v>0</v>
      </c>
      <c r="AK484" s="42">
        <f t="shared" si="74"/>
        <v>0</v>
      </c>
      <c r="AL484" s="42">
        <f t="shared" si="73"/>
        <v>0</v>
      </c>
      <c r="AM484" s="42">
        <f t="shared" si="73"/>
        <v>0</v>
      </c>
      <c r="AN484" s="42">
        <f t="shared" si="73"/>
        <v>0</v>
      </c>
      <c r="AO484" s="42">
        <f t="shared" si="73"/>
        <v>2</v>
      </c>
    </row>
    <row r="485" spans="1:41" ht="15.75">
      <c r="A485" s="16">
        <f t="shared" si="72"/>
        <v>482</v>
      </c>
      <c r="B485" s="390">
        <v>5044</v>
      </c>
      <c r="C485" s="391" t="s">
        <v>483</v>
      </c>
      <c r="D485" s="392" t="s">
        <v>6266</v>
      </c>
      <c r="E485" s="393" t="s">
        <v>97</v>
      </c>
      <c r="F485" s="394" t="s">
        <v>6170</v>
      </c>
      <c r="G485" s="429" t="s">
        <v>6473</v>
      </c>
      <c r="H485" s="395">
        <v>35532</v>
      </c>
      <c r="I485" s="396">
        <v>44141</v>
      </c>
      <c r="J485" s="459" t="s">
        <v>6293</v>
      </c>
      <c r="K485" s="460" t="s">
        <v>6297</v>
      </c>
      <c r="L485" s="460" t="s">
        <v>6335</v>
      </c>
      <c r="M485" s="1">
        <v>192</v>
      </c>
      <c r="N485" s="431">
        <f t="shared" si="70"/>
        <v>2</v>
      </c>
      <c r="O485" s="432">
        <v>0</v>
      </c>
      <c r="P485" s="432">
        <v>0</v>
      </c>
      <c r="Q485" s="432">
        <v>0</v>
      </c>
      <c r="R485" s="1">
        <v>7</v>
      </c>
      <c r="S485" s="1">
        <v>10</v>
      </c>
      <c r="T485" s="300">
        <f t="shared" si="71"/>
        <v>211</v>
      </c>
      <c r="U485" s="3"/>
      <c r="V485" s="3"/>
      <c r="W485" s="3"/>
      <c r="X485" s="3"/>
      <c r="Y485" s="3"/>
      <c r="Z485" s="20">
        <f t="shared" si="68"/>
        <v>194</v>
      </c>
      <c r="AA485" s="20">
        <f t="shared" si="76"/>
        <v>2</v>
      </c>
      <c r="AB485" s="20">
        <f t="shared" si="76"/>
        <v>0</v>
      </c>
      <c r="AC485" s="20">
        <f t="shared" si="76"/>
        <v>0</v>
      </c>
      <c r="AD485" s="20">
        <f t="shared" si="75"/>
        <v>0</v>
      </c>
      <c r="AE485" s="20">
        <f t="shared" si="75"/>
        <v>7</v>
      </c>
      <c r="AF485" s="20">
        <f t="shared" si="75"/>
        <v>10</v>
      </c>
      <c r="AG485" s="300">
        <f t="shared" si="69"/>
        <v>213</v>
      </c>
      <c r="AH485" s="42">
        <f t="shared" si="74"/>
        <v>2</v>
      </c>
      <c r="AI485" s="42">
        <f t="shared" si="74"/>
        <v>0</v>
      </c>
      <c r="AJ485" s="42">
        <f t="shared" si="74"/>
        <v>0</v>
      </c>
      <c r="AK485" s="42">
        <f t="shared" si="74"/>
        <v>0</v>
      </c>
      <c r="AL485" s="42">
        <f t="shared" si="73"/>
        <v>0</v>
      </c>
      <c r="AM485" s="42">
        <f t="shared" si="73"/>
        <v>0</v>
      </c>
      <c r="AN485" s="42">
        <f t="shared" si="73"/>
        <v>0</v>
      </c>
      <c r="AO485" s="42">
        <f t="shared" si="73"/>
        <v>2</v>
      </c>
    </row>
    <row r="486" spans="1:41" ht="15.75">
      <c r="A486" s="16">
        <f t="shared" si="72"/>
        <v>483</v>
      </c>
      <c r="B486" s="390">
        <v>5025</v>
      </c>
      <c r="C486" s="391" t="s">
        <v>3060</v>
      </c>
      <c r="D486" s="392" t="s">
        <v>6267</v>
      </c>
      <c r="E486" s="393" t="s">
        <v>6171</v>
      </c>
      <c r="F486" s="394" t="s">
        <v>6172</v>
      </c>
      <c r="G486" s="429" t="s">
        <v>6473</v>
      </c>
      <c r="H486" s="395">
        <v>32271</v>
      </c>
      <c r="I486" s="396">
        <v>44140</v>
      </c>
      <c r="J486" s="459" t="s">
        <v>6293</v>
      </c>
      <c r="K486" s="460" t="s">
        <v>6297</v>
      </c>
      <c r="L486" s="460" t="s">
        <v>6335</v>
      </c>
      <c r="M486" s="1">
        <v>192</v>
      </c>
      <c r="N486" s="431">
        <f t="shared" si="70"/>
        <v>2</v>
      </c>
      <c r="O486" s="432">
        <v>0</v>
      </c>
      <c r="P486" s="432">
        <v>0</v>
      </c>
      <c r="Q486" s="432">
        <v>0</v>
      </c>
      <c r="R486" s="1">
        <v>7</v>
      </c>
      <c r="S486" s="1">
        <v>10</v>
      </c>
      <c r="T486" s="300">
        <f t="shared" si="71"/>
        <v>211</v>
      </c>
      <c r="U486" s="3"/>
      <c r="V486" s="3"/>
      <c r="W486" s="3"/>
      <c r="X486" s="3"/>
      <c r="Y486" s="3"/>
      <c r="Z486" s="20">
        <f t="shared" si="68"/>
        <v>194</v>
      </c>
      <c r="AA486" s="20">
        <f t="shared" si="76"/>
        <v>2</v>
      </c>
      <c r="AB486" s="20">
        <f t="shared" si="76"/>
        <v>0</v>
      </c>
      <c r="AC486" s="20">
        <f t="shared" si="76"/>
        <v>0</v>
      </c>
      <c r="AD486" s="20">
        <f t="shared" si="75"/>
        <v>0</v>
      </c>
      <c r="AE486" s="20">
        <f t="shared" si="75"/>
        <v>7</v>
      </c>
      <c r="AF486" s="20">
        <f t="shared" si="75"/>
        <v>10</v>
      </c>
      <c r="AG486" s="300">
        <f t="shared" si="69"/>
        <v>213</v>
      </c>
      <c r="AH486" s="42">
        <f t="shared" si="74"/>
        <v>2</v>
      </c>
      <c r="AI486" s="42">
        <f t="shared" si="74"/>
        <v>0</v>
      </c>
      <c r="AJ486" s="42">
        <f t="shared" si="74"/>
        <v>0</v>
      </c>
      <c r="AK486" s="42">
        <f t="shared" si="74"/>
        <v>0</v>
      </c>
      <c r="AL486" s="42">
        <f t="shared" si="73"/>
        <v>0</v>
      </c>
      <c r="AM486" s="42">
        <f t="shared" si="73"/>
        <v>0</v>
      </c>
      <c r="AN486" s="42">
        <f t="shared" si="73"/>
        <v>0</v>
      </c>
      <c r="AO486" s="42">
        <f t="shared" si="73"/>
        <v>2</v>
      </c>
    </row>
    <row r="487" spans="1:41" ht="15.75">
      <c r="A487" s="16">
        <f t="shared" si="72"/>
        <v>484</v>
      </c>
      <c r="B487" s="390">
        <v>5041</v>
      </c>
      <c r="C487" s="391" t="s">
        <v>958</v>
      </c>
      <c r="D487" s="392" t="s">
        <v>6268</v>
      </c>
      <c r="E487" s="393" t="s">
        <v>6173</v>
      </c>
      <c r="F487" s="394" t="s">
        <v>6174</v>
      </c>
      <c r="G487" s="429" t="s">
        <v>6473</v>
      </c>
      <c r="H487" s="395">
        <v>34440</v>
      </c>
      <c r="I487" s="396">
        <v>44141</v>
      </c>
      <c r="J487" s="459" t="s">
        <v>6293</v>
      </c>
      <c r="K487" s="460" t="s">
        <v>6305</v>
      </c>
      <c r="L487" s="460" t="s">
        <v>6335</v>
      </c>
      <c r="M487" s="1">
        <v>192</v>
      </c>
      <c r="N487" s="431">
        <f t="shared" si="70"/>
        <v>2</v>
      </c>
      <c r="O487" s="432">
        <v>0</v>
      </c>
      <c r="P487" s="432">
        <v>0</v>
      </c>
      <c r="Q487" s="432">
        <v>0</v>
      </c>
      <c r="R487" s="1">
        <v>7</v>
      </c>
      <c r="S487" s="1">
        <v>10</v>
      </c>
      <c r="T487" s="300">
        <f t="shared" si="71"/>
        <v>211</v>
      </c>
      <c r="U487" s="3"/>
      <c r="V487" s="3"/>
      <c r="W487" s="3"/>
      <c r="X487" s="3"/>
      <c r="Y487" s="3"/>
      <c r="Z487" s="20">
        <f t="shared" si="68"/>
        <v>194</v>
      </c>
      <c r="AA487" s="20">
        <f t="shared" si="76"/>
        <v>2</v>
      </c>
      <c r="AB487" s="20">
        <f t="shared" si="76"/>
        <v>0</v>
      </c>
      <c r="AC487" s="20">
        <f t="shared" si="76"/>
        <v>0</v>
      </c>
      <c r="AD487" s="20">
        <f t="shared" si="75"/>
        <v>0</v>
      </c>
      <c r="AE487" s="20">
        <f t="shared" si="75"/>
        <v>7</v>
      </c>
      <c r="AF487" s="20">
        <f t="shared" si="75"/>
        <v>10</v>
      </c>
      <c r="AG487" s="300">
        <f t="shared" si="69"/>
        <v>213</v>
      </c>
      <c r="AH487" s="42">
        <f t="shared" si="74"/>
        <v>2</v>
      </c>
      <c r="AI487" s="42">
        <f t="shared" si="74"/>
        <v>0</v>
      </c>
      <c r="AJ487" s="42">
        <f t="shared" si="74"/>
        <v>0</v>
      </c>
      <c r="AK487" s="42">
        <f t="shared" si="74"/>
        <v>0</v>
      </c>
      <c r="AL487" s="42">
        <f t="shared" si="73"/>
        <v>0</v>
      </c>
      <c r="AM487" s="42">
        <f t="shared" si="73"/>
        <v>0</v>
      </c>
      <c r="AN487" s="42">
        <f t="shared" si="73"/>
        <v>0</v>
      </c>
      <c r="AO487" s="42">
        <f t="shared" si="73"/>
        <v>2</v>
      </c>
    </row>
    <row r="488" spans="1:41" ht="15.75">
      <c r="A488" s="16">
        <f t="shared" si="72"/>
        <v>485</v>
      </c>
      <c r="B488" s="390">
        <v>5048</v>
      </c>
      <c r="C488" s="391" t="s">
        <v>727</v>
      </c>
      <c r="D488" s="392" t="s">
        <v>700</v>
      </c>
      <c r="E488" s="393" t="s">
        <v>6175</v>
      </c>
      <c r="F488" s="394" t="s">
        <v>5888</v>
      </c>
      <c r="G488" s="429" t="s">
        <v>6473</v>
      </c>
      <c r="H488" s="395">
        <v>31414</v>
      </c>
      <c r="I488" s="396">
        <v>44142</v>
      </c>
      <c r="J488" s="459" t="s">
        <v>6293</v>
      </c>
      <c r="K488" s="460" t="s">
        <v>397</v>
      </c>
      <c r="L488" s="460" t="s">
        <v>6336</v>
      </c>
      <c r="M488" s="1">
        <v>192</v>
      </c>
      <c r="N488" s="431">
        <f t="shared" si="70"/>
        <v>2</v>
      </c>
      <c r="O488" s="432">
        <v>0</v>
      </c>
      <c r="P488" s="432">
        <v>10</v>
      </c>
      <c r="Q488" s="432">
        <v>0</v>
      </c>
      <c r="R488" s="1">
        <v>7</v>
      </c>
      <c r="S488" s="1">
        <v>10</v>
      </c>
      <c r="T488" s="300">
        <f t="shared" si="71"/>
        <v>221</v>
      </c>
      <c r="U488" s="3"/>
      <c r="V488" s="3"/>
      <c r="W488" s="3"/>
      <c r="X488" s="3"/>
      <c r="Y488" s="3"/>
      <c r="Z488" s="20">
        <f t="shared" si="68"/>
        <v>194</v>
      </c>
      <c r="AA488" s="20">
        <f t="shared" si="76"/>
        <v>2</v>
      </c>
      <c r="AB488" s="20">
        <f t="shared" si="76"/>
        <v>0</v>
      </c>
      <c r="AC488" s="20">
        <f t="shared" si="76"/>
        <v>10</v>
      </c>
      <c r="AD488" s="20">
        <f t="shared" si="75"/>
        <v>0</v>
      </c>
      <c r="AE488" s="20">
        <f t="shared" si="75"/>
        <v>7</v>
      </c>
      <c r="AF488" s="20">
        <f t="shared" si="75"/>
        <v>10</v>
      </c>
      <c r="AG488" s="300">
        <f t="shared" si="69"/>
        <v>223</v>
      </c>
      <c r="AH488" s="42">
        <f t="shared" si="74"/>
        <v>2</v>
      </c>
      <c r="AI488" s="42">
        <f t="shared" si="74"/>
        <v>0</v>
      </c>
      <c r="AJ488" s="42">
        <f t="shared" si="74"/>
        <v>0</v>
      </c>
      <c r="AK488" s="42">
        <f t="shared" si="74"/>
        <v>0</v>
      </c>
      <c r="AL488" s="42">
        <f t="shared" si="73"/>
        <v>0</v>
      </c>
      <c r="AM488" s="42">
        <f t="shared" si="73"/>
        <v>0</v>
      </c>
      <c r="AN488" s="42">
        <f t="shared" si="73"/>
        <v>0</v>
      </c>
      <c r="AO488" s="42">
        <f t="shared" si="73"/>
        <v>2</v>
      </c>
    </row>
    <row r="489" spans="1:41" ht="15.75">
      <c r="A489" s="16">
        <f t="shared" si="72"/>
        <v>486</v>
      </c>
      <c r="B489" s="390">
        <v>5047</v>
      </c>
      <c r="C489" s="391" t="s">
        <v>5211</v>
      </c>
      <c r="D489" s="392" t="s">
        <v>6269</v>
      </c>
      <c r="E489" s="393" t="s">
        <v>5213</v>
      </c>
      <c r="F489" s="394" t="s">
        <v>6176</v>
      </c>
      <c r="G489" s="429" t="s">
        <v>6473</v>
      </c>
      <c r="H489" s="395">
        <v>30110</v>
      </c>
      <c r="I489" s="396">
        <v>44140</v>
      </c>
      <c r="J489" s="459" t="s">
        <v>6293</v>
      </c>
      <c r="K489" s="460" t="s">
        <v>397</v>
      </c>
      <c r="L489" s="460" t="s">
        <v>6336</v>
      </c>
      <c r="M489" s="1">
        <v>192</v>
      </c>
      <c r="N489" s="431">
        <f t="shared" si="70"/>
        <v>2</v>
      </c>
      <c r="O489" s="432">
        <v>0</v>
      </c>
      <c r="P489" s="432">
        <v>10</v>
      </c>
      <c r="Q489" s="432">
        <v>0</v>
      </c>
      <c r="R489" s="1">
        <v>7</v>
      </c>
      <c r="S489" s="1">
        <v>10</v>
      </c>
      <c r="T489" s="300">
        <f t="shared" si="71"/>
        <v>221</v>
      </c>
      <c r="U489" s="3"/>
      <c r="V489" s="3"/>
      <c r="W489" s="3"/>
      <c r="X489" s="3"/>
      <c r="Y489" s="3"/>
      <c r="Z489" s="20">
        <f t="shared" si="68"/>
        <v>194</v>
      </c>
      <c r="AA489" s="20">
        <f t="shared" si="76"/>
        <v>2</v>
      </c>
      <c r="AB489" s="20">
        <f t="shared" si="76"/>
        <v>0</v>
      </c>
      <c r="AC489" s="20">
        <f t="shared" si="76"/>
        <v>10</v>
      </c>
      <c r="AD489" s="20">
        <f t="shared" si="75"/>
        <v>0</v>
      </c>
      <c r="AE489" s="20">
        <f t="shared" si="75"/>
        <v>7</v>
      </c>
      <c r="AF489" s="20">
        <f t="shared" si="75"/>
        <v>10</v>
      </c>
      <c r="AG489" s="300">
        <f t="shared" si="69"/>
        <v>223</v>
      </c>
      <c r="AH489" s="42">
        <f t="shared" si="74"/>
        <v>2</v>
      </c>
      <c r="AI489" s="42">
        <f t="shared" si="74"/>
        <v>0</v>
      </c>
      <c r="AJ489" s="42">
        <f t="shared" si="74"/>
        <v>0</v>
      </c>
      <c r="AK489" s="42">
        <f t="shared" si="74"/>
        <v>0</v>
      </c>
      <c r="AL489" s="42">
        <f t="shared" si="73"/>
        <v>0</v>
      </c>
      <c r="AM489" s="42">
        <f t="shared" si="73"/>
        <v>0</v>
      </c>
      <c r="AN489" s="42">
        <f t="shared" si="73"/>
        <v>0</v>
      </c>
      <c r="AO489" s="42">
        <f t="shared" si="73"/>
        <v>2</v>
      </c>
    </row>
    <row r="490" spans="1:41" ht="15.75">
      <c r="A490" s="16">
        <f t="shared" si="72"/>
        <v>487</v>
      </c>
      <c r="B490" s="390">
        <v>5049</v>
      </c>
      <c r="C490" s="391" t="s">
        <v>3323</v>
      </c>
      <c r="D490" s="392" t="s">
        <v>6271</v>
      </c>
      <c r="E490" s="393" t="s">
        <v>4829</v>
      </c>
      <c r="F490" s="394" t="s">
        <v>6177</v>
      </c>
      <c r="G490" s="429" t="s">
        <v>6473</v>
      </c>
      <c r="H490" s="395">
        <v>35494</v>
      </c>
      <c r="I490" s="396">
        <v>44142</v>
      </c>
      <c r="J490" s="459" t="s">
        <v>6293</v>
      </c>
      <c r="K490" s="460" t="s">
        <v>6308</v>
      </c>
      <c r="L490" s="460" t="s">
        <v>6335</v>
      </c>
      <c r="M490" s="1">
        <v>192</v>
      </c>
      <c r="N490" s="431">
        <f t="shared" si="70"/>
        <v>2</v>
      </c>
      <c r="O490" s="432">
        <v>0</v>
      </c>
      <c r="P490" s="432">
        <v>0</v>
      </c>
      <c r="Q490" s="432">
        <v>0</v>
      </c>
      <c r="R490" s="1">
        <v>7</v>
      </c>
      <c r="S490" s="1">
        <v>10</v>
      </c>
      <c r="T490" s="300">
        <f t="shared" si="71"/>
        <v>211</v>
      </c>
      <c r="U490" s="3"/>
      <c r="V490" s="3"/>
      <c r="W490" s="3"/>
      <c r="X490" s="3"/>
      <c r="Y490" s="3"/>
      <c r="Z490" s="20">
        <f t="shared" si="68"/>
        <v>194</v>
      </c>
      <c r="AA490" s="20">
        <f t="shared" si="76"/>
        <v>2</v>
      </c>
      <c r="AB490" s="20">
        <f t="shared" si="76"/>
        <v>0</v>
      </c>
      <c r="AC490" s="20">
        <f t="shared" si="76"/>
        <v>0</v>
      </c>
      <c r="AD490" s="20">
        <f t="shared" si="75"/>
        <v>0</v>
      </c>
      <c r="AE490" s="20">
        <f t="shared" si="75"/>
        <v>7</v>
      </c>
      <c r="AF490" s="20">
        <f t="shared" si="75"/>
        <v>10</v>
      </c>
      <c r="AG490" s="300">
        <f t="shared" si="69"/>
        <v>213</v>
      </c>
      <c r="AH490" s="42">
        <f t="shared" si="74"/>
        <v>2</v>
      </c>
      <c r="AI490" s="42">
        <f t="shared" si="74"/>
        <v>0</v>
      </c>
      <c r="AJ490" s="42">
        <f t="shared" si="74"/>
        <v>0</v>
      </c>
      <c r="AK490" s="42">
        <f t="shared" si="74"/>
        <v>0</v>
      </c>
      <c r="AL490" s="42">
        <f t="shared" si="73"/>
        <v>0</v>
      </c>
      <c r="AM490" s="42">
        <f t="shared" si="73"/>
        <v>0</v>
      </c>
      <c r="AN490" s="42">
        <f t="shared" si="73"/>
        <v>0</v>
      </c>
      <c r="AO490" s="42">
        <f t="shared" si="73"/>
        <v>2</v>
      </c>
    </row>
    <row r="491" spans="1:41" ht="15.75">
      <c r="A491" s="16">
        <f t="shared" si="72"/>
        <v>488</v>
      </c>
      <c r="B491" s="390">
        <v>5028</v>
      </c>
      <c r="C491" s="391" t="s">
        <v>5675</v>
      </c>
      <c r="D491" s="392" t="s">
        <v>1954</v>
      </c>
      <c r="E491" s="393" t="s">
        <v>6178</v>
      </c>
      <c r="F491" s="394" t="s">
        <v>1956</v>
      </c>
      <c r="G491" s="429" t="s">
        <v>6473</v>
      </c>
      <c r="H491" s="395">
        <v>32402</v>
      </c>
      <c r="I491" s="396">
        <v>44140</v>
      </c>
      <c r="J491" s="459" t="s">
        <v>6293</v>
      </c>
      <c r="K491" s="460" t="s">
        <v>6308</v>
      </c>
      <c r="L491" s="460" t="s">
        <v>6335</v>
      </c>
      <c r="M491" s="1">
        <v>192</v>
      </c>
      <c r="N491" s="431">
        <f t="shared" si="70"/>
        <v>2</v>
      </c>
      <c r="O491" s="432">
        <v>0</v>
      </c>
      <c r="P491" s="432">
        <v>0</v>
      </c>
      <c r="Q491" s="432">
        <v>0</v>
      </c>
      <c r="R491" s="1">
        <v>7</v>
      </c>
      <c r="S491" s="1">
        <v>10</v>
      </c>
      <c r="T491" s="300">
        <f t="shared" si="71"/>
        <v>211</v>
      </c>
      <c r="U491" s="3"/>
      <c r="V491" s="3"/>
      <c r="W491" s="3"/>
      <c r="X491" s="3"/>
      <c r="Y491" s="3"/>
      <c r="Z491" s="20">
        <f t="shared" si="68"/>
        <v>194</v>
      </c>
      <c r="AA491" s="20">
        <f t="shared" si="76"/>
        <v>2</v>
      </c>
      <c r="AB491" s="20">
        <f t="shared" si="76"/>
        <v>0</v>
      </c>
      <c r="AC491" s="20">
        <f t="shared" si="76"/>
        <v>0</v>
      </c>
      <c r="AD491" s="20">
        <f t="shared" si="75"/>
        <v>0</v>
      </c>
      <c r="AE491" s="20">
        <f t="shared" si="75"/>
        <v>7</v>
      </c>
      <c r="AF491" s="20">
        <f t="shared" si="75"/>
        <v>10</v>
      </c>
      <c r="AG491" s="300">
        <f t="shared" si="69"/>
        <v>213</v>
      </c>
      <c r="AH491" s="42">
        <f t="shared" si="74"/>
        <v>2</v>
      </c>
      <c r="AI491" s="42">
        <f t="shared" si="74"/>
        <v>0</v>
      </c>
      <c r="AJ491" s="42">
        <f t="shared" si="74"/>
        <v>0</v>
      </c>
      <c r="AK491" s="42">
        <f t="shared" si="74"/>
        <v>0</v>
      </c>
      <c r="AL491" s="42">
        <f t="shared" si="73"/>
        <v>0</v>
      </c>
      <c r="AM491" s="42">
        <f t="shared" si="73"/>
        <v>0</v>
      </c>
      <c r="AN491" s="42">
        <f t="shared" si="73"/>
        <v>0</v>
      </c>
      <c r="AO491" s="42">
        <f t="shared" si="73"/>
        <v>2</v>
      </c>
    </row>
    <row r="492" spans="1:41" ht="15.75">
      <c r="A492" s="16">
        <f t="shared" si="72"/>
        <v>489</v>
      </c>
      <c r="B492" s="390">
        <v>5013</v>
      </c>
      <c r="C492" s="391" t="s">
        <v>6272</v>
      </c>
      <c r="D492" s="392" t="s">
        <v>6273</v>
      </c>
      <c r="E492" s="393" t="s">
        <v>6140</v>
      </c>
      <c r="F492" s="394" t="s">
        <v>6141</v>
      </c>
      <c r="G492" s="429" t="s">
        <v>6473</v>
      </c>
      <c r="H492" s="395">
        <v>30212</v>
      </c>
      <c r="I492" s="396">
        <v>44140</v>
      </c>
      <c r="J492" s="459" t="s">
        <v>6293</v>
      </c>
      <c r="K492" s="460" t="s">
        <v>6304</v>
      </c>
      <c r="L492" s="460" t="s">
        <v>6101</v>
      </c>
      <c r="M492" s="1">
        <v>192</v>
      </c>
      <c r="N492" s="431">
        <f t="shared" si="70"/>
        <v>2</v>
      </c>
      <c r="O492" s="432">
        <v>0</v>
      </c>
      <c r="P492" s="432">
        <v>30</v>
      </c>
      <c r="Q492" s="432">
        <v>0</v>
      </c>
      <c r="R492" s="1">
        <v>7</v>
      </c>
      <c r="S492" s="1">
        <v>10</v>
      </c>
      <c r="T492" s="300">
        <f t="shared" si="71"/>
        <v>241</v>
      </c>
      <c r="U492" s="3"/>
      <c r="V492" s="3"/>
      <c r="W492" s="3"/>
      <c r="X492" s="3"/>
      <c r="Y492" s="3"/>
      <c r="Z492" s="20">
        <f t="shared" si="68"/>
        <v>194</v>
      </c>
      <c r="AA492" s="20">
        <f t="shared" si="76"/>
        <v>2</v>
      </c>
      <c r="AB492" s="20">
        <f t="shared" si="76"/>
        <v>0</v>
      </c>
      <c r="AC492" s="20">
        <f t="shared" si="76"/>
        <v>30</v>
      </c>
      <c r="AD492" s="20">
        <f t="shared" si="75"/>
        <v>0</v>
      </c>
      <c r="AE492" s="20">
        <f t="shared" si="75"/>
        <v>7</v>
      </c>
      <c r="AF492" s="20">
        <f t="shared" si="75"/>
        <v>10</v>
      </c>
      <c r="AG492" s="300">
        <f t="shared" si="69"/>
        <v>243</v>
      </c>
      <c r="AH492" s="42">
        <f t="shared" si="74"/>
        <v>2</v>
      </c>
      <c r="AI492" s="42">
        <f t="shared" si="74"/>
        <v>0</v>
      </c>
      <c r="AJ492" s="42">
        <f t="shared" si="74"/>
        <v>0</v>
      </c>
      <c r="AK492" s="42">
        <f t="shared" si="74"/>
        <v>0</v>
      </c>
      <c r="AL492" s="42">
        <f t="shared" si="73"/>
        <v>0</v>
      </c>
      <c r="AM492" s="42">
        <f t="shared" si="73"/>
        <v>0</v>
      </c>
      <c r="AN492" s="42">
        <f t="shared" si="73"/>
        <v>0</v>
      </c>
      <c r="AO492" s="42">
        <f t="shared" si="73"/>
        <v>2</v>
      </c>
    </row>
    <row r="493" spans="1:41" ht="15.75">
      <c r="A493" s="16">
        <f t="shared" si="72"/>
        <v>490</v>
      </c>
      <c r="B493" s="390">
        <v>5014</v>
      </c>
      <c r="C493" s="391" t="s">
        <v>3151</v>
      </c>
      <c r="D493" s="392" t="s">
        <v>2724</v>
      </c>
      <c r="E493" s="393" t="s">
        <v>6182</v>
      </c>
      <c r="F493" s="394" t="s">
        <v>6050</v>
      </c>
      <c r="G493" s="429" t="s">
        <v>6473</v>
      </c>
      <c r="H493" s="395">
        <v>30101</v>
      </c>
      <c r="I493" s="396">
        <v>44140</v>
      </c>
      <c r="J493" s="459" t="s">
        <v>6293</v>
      </c>
      <c r="K493" s="460" t="s">
        <v>6134</v>
      </c>
      <c r="L493" s="460" t="s">
        <v>6335</v>
      </c>
      <c r="M493" s="1">
        <v>192</v>
      </c>
      <c r="N493" s="431">
        <f t="shared" si="70"/>
        <v>2</v>
      </c>
      <c r="O493" s="432">
        <v>0</v>
      </c>
      <c r="P493" s="432">
        <v>0</v>
      </c>
      <c r="Q493" s="432">
        <v>0</v>
      </c>
      <c r="R493" s="1">
        <v>7</v>
      </c>
      <c r="S493" s="1">
        <v>10</v>
      </c>
      <c r="T493" s="300">
        <f t="shared" si="71"/>
        <v>211</v>
      </c>
      <c r="U493" s="3"/>
      <c r="V493" s="3"/>
      <c r="W493" s="3"/>
      <c r="X493" s="3"/>
      <c r="Y493" s="3"/>
      <c r="Z493" s="20">
        <f t="shared" si="68"/>
        <v>194</v>
      </c>
      <c r="AA493" s="20">
        <f t="shared" si="76"/>
        <v>2</v>
      </c>
      <c r="AB493" s="20">
        <f t="shared" si="76"/>
        <v>0</v>
      </c>
      <c r="AC493" s="20">
        <f t="shared" si="76"/>
        <v>0</v>
      </c>
      <c r="AD493" s="20">
        <f t="shared" si="75"/>
        <v>0</v>
      </c>
      <c r="AE493" s="20">
        <f t="shared" si="75"/>
        <v>7</v>
      </c>
      <c r="AF493" s="20">
        <f t="shared" si="75"/>
        <v>10</v>
      </c>
      <c r="AG493" s="300">
        <f t="shared" si="69"/>
        <v>213</v>
      </c>
      <c r="AH493" s="42">
        <f t="shared" si="74"/>
        <v>2</v>
      </c>
      <c r="AI493" s="42">
        <f t="shared" si="74"/>
        <v>0</v>
      </c>
      <c r="AJ493" s="42">
        <f t="shared" si="74"/>
        <v>0</v>
      </c>
      <c r="AK493" s="42">
        <f t="shared" si="74"/>
        <v>0</v>
      </c>
      <c r="AL493" s="42">
        <f t="shared" si="73"/>
        <v>0</v>
      </c>
      <c r="AM493" s="42">
        <f t="shared" si="73"/>
        <v>0</v>
      </c>
      <c r="AN493" s="42">
        <f t="shared" si="73"/>
        <v>0</v>
      </c>
      <c r="AO493" s="42">
        <f t="shared" si="73"/>
        <v>2</v>
      </c>
    </row>
    <row r="494" spans="1:41" ht="15.75">
      <c r="A494" s="16">
        <f t="shared" si="72"/>
        <v>491</v>
      </c>
      <c r="B494" s="390">
        <v>5019</v>
      </c>
      <c r="C494" s="391" t="s">
        <v>1032</v>
      </c>
      <c r="D494" s="392" t="s">
        <v>6274</v>
      </c>
      <c r="E494" s="393" t="s">
        <v>1760</v>
      </c>
      <c r="F494" s="394" t="s">
        <v>6183</v>
      </c>
      <c r="G494" s="429" t="s">
        <v>6473</v>
      </c>
      <c r="H494" s="395">
        <v>31116</v>
      </c>
      <c r="I494" s="396">
        <v>44140</v>
      </c>
      <c r="J494" s="459" t="s">
        <v>6293</v>
      </c>
      <c r="K494" s="460" t="s">
        <v>6134</v>
      </c>
      <c r="L494" s="460" t="s">
        <v>6335</v>
      </c>
      <c r="M494" s="1">
        <v>192</v>
      </c>
      <c r="N494" s="431">
        <f t="shared" si="70"/>
        <v>2</v>
      </c>
      <c r="O494" s="432">
        <v>0</v>
      </c>
      <c r="P494" s="432">
        <v>0</v>
      </c>
      <c r="Q494" s="432">
        <v>0</v>
      </c>
      <c r="R494" s="1">
        <v>7</v>
      </c>
      <c r="S494" s="1">
        <v>10</v>
      </c>
      <c r="T494" s="300">
        <f t="shared" si="71"/>
        <v>211</v>
      </c>
      <c r="U494" s="3"/>
      <c r="V494" s="3"/>
      <c r="W494" s="3"/>
      <c r="X494" s="3"/>
      <c r="Y494" s="3"/>
      <c r="Z494" s="20">
        <f t="shared" si="68"/>
        <v>194</v>
      </c>
      <c r="AA494" s="20">
        <f t="shared" si="76"/>
        <v>2</v>
      </c>
      <c r="AB494" s="20">
        <f t="shared" si="76"/>
        <v>0</v>
      </c>
      <c r="AC494" s="20">
        <f t="shared" si="76"/>
        <v>0</v>
      </c>
      <c r="AD494" s="20">
        <f t="shared" si="75"/>
        <v>0</v>
      </c>
      <c r="AE494" s="20">
        <f t="shared" si="75"/>
        <v>7</v>
      </c>
      <c r="AF494" s="20">
        <f t="shared" si="75"/>
        <v>10</v>
      </c>
      <c r="AG494" s="300">
        <f t="shared" si="69"/>
        <v>213</v>
      </c>
      <c r="AH494" s="42">
        <f t="shared" si="74"/>
        <v>2</v>
      </c>
      <c r="AI494" s="42">
        <f t="shared" si="74"/>
        <v>0</v>
      </c>
      <c r="AJ494" s="42">
        <f t="shared" si="74"/>
        <v>0</v>
      </c>
      <c r="AK494" s="42">
        <f t="shared" si="74"/>
        <v>0</v>
      </c>
      <c r="AL494" s="42">
        <f t="shared" si="73"/>
        <v>0</v>
      </c>
      <c r="AM494" s="42">
        <f t="shared" si="73"/>
        <v>0</v>
      </c>
      <c r="AN494" s="42">
        <f t="shared" si="73"/>
        <v>0</v>
      </c>
      <c r="AO494" s="42">
        <f t="shared" si="73"/>
        <v>2</v>
      </c>
    </row>
    <row r="495" spans="1:41" ht="15.75">
      <c r="A495" s="16">
        <f t="shared" si="72"/>
        <v>492</v>
      </c>
      <c r="B495" s="390">
        <v>5030</v>
      </c>
      <c r="C495" s="391" t="s">
        <v>1149</v>
      </c>
      <c r="D495" s="392" t="s">
        <v>1150</v>
      </c>
      <c r="E495" s="393" t="s">
        <v>1151</v>
      </c>
      <c r="F495" s="394" t="s">
        <v>1152</v>
      </c>
      <c r="G495" s="429" t="s">
        <v>6473</v>
      </c>
      <c r="H495" s="395">
        <v>32614</v>
      </c>
      <c r="I495" s="396">
        <v>44140</v>
      </c>
      <c r="J495" s="459" t="s">
        <v>6293</v>
      </c>
      <c r="K495" s="460" t="s">
        <v>6301</v>
      </c>
      <c r="L495" s="460" t="s">
        <v>6335</v>
      </c>
      <c r="M495" s="1">
        <v>192</v>
      </c>
      <c r="N495" s="431">
        <f t="shared" si="70"/>
        <v>2</v>
      </c>
      <c r="O495" s="432">
        <v>0</v>
      </c>
      <c r="P495" s="432">
        <v>0</v>
      </c>
      <c r="Q495" s="432">
        <v>0</v>
      </c>
      <c r="R495" s="1">
        <v>7</v>
      </c>
      <c r="S495" s="1">
        <v>10</v>
      </c>
      <c r="T495" s="300">
        <f t="shared" si="71"/>
        <v>211</v>
      </c>
      <c r="U495" s="3"/>
      <c r="V495" s="3"/>
      <c r="W495" s="3"/>
      <c r="X495" s="3"/>
      <c r="Y495" s="3"/>
      <c r="Z495" s="20">
        <f t="shared" si="68"/>
        <v>194</v>
      </c>
      <c r="AA495" s="20">
        <f t="shared" si="76"/>
        <v>2</v>
      </c>
      <c r="AB495" s="20">
        <f t="shared" si="76"/>
        <v>0</v>
      </c>
      <c r="AC495" s="20">
        <f t="shared" si="76"/>
        <v>0</v>
      </c>
      <c r="AD495" s="20">
        <f t="shared" si="75"/>
        <v>0</v>
      </c>
      <c r="AE495" s="20">
        <f t="shared" si="75"/>
        <v>7</v>
      </c>
      <c r="AF495" s="20">
        <f t="shared" si="75"/>
        <v>10</v>
      </c>
      <c r="AG495" s="300">
        <f t="shared" si="69"/>
        <v>213</v>
      </c>
      <c r="AH495" s="42">
        <f t="shared" si="74"/>
        <v>2</v>
      </c>
      <c r="AI495" s="42">
        <f t="shared" si="74"/>
        <v>0</v>
      </c>
      <c r="AJ495" s="42">
        <f t="shared" si="74"/>
        <v>0</v>
      </c>
      <c r="AK495" s="42">
        <f t="shared" si="74"/>
        <v>0</v>
      </c>
      <c r="AL495" s="42">
        <f t="shared" si="73"/>
        <v>0</v>
      </c>
      <c r="AM495" s="42">
        <f t="shared" si="73"/>
        <v>0</v>
      </c>
      <c r="AN495" s="42">
        <f t="shared" si="73"/>
        <v>0</v>
      </c>
      <c r="AO495" s="42">
        <f t="shared" si="73"/>
        <v>2</v>
      </c>
    </row>
    <row r="496" spans="1:41" ht="15.75">
      <c r="A496" s="16">
        <f t="shared" si="72"/>
        <v>493</v>
      </c>
      <c r="B496" s="390">
        <v>5039</v>
      </c>
      <c r="C496" s="391" t="s">
        <v>2850</v>
      </c>
      <c r="D496" s="392" t="s">
        <v>6275</v>
      </c>
      <c r="E496" s="393" t="s">
        <v>6185</v>
      </c>
      <c r="F496" s="394" t="s">
        <v>6186</v>
      </c>
      <c r="G496" s="429" t="s">
        <v>6473</v>
      </c>
      <c r="H496" s="395">
        <v>30959</v>
      </c>
      <c r="I496" s="396">
        <v>44141</v>
      </c>
      <c r="J496" s="459" t="s">
        <v>6293</v>
      </c>
      <c r="K496" s="460" t="s">
        <v>6299</v>
      </c>
      <c r="L496" s="460" t="s">
        <v>6335</v>
      </c>
      <c r="M496" s="1">
        <v>192</v>
      </c>
      <c r="N496" s="431">
        <f t="shared" si="70"/>
        <v>2</v>
      </c>
      <c r="O496" s="432">
        <v>0</v>
      </c>
      <c r="P496" s="432">
        <v>0</v>
      </c>
      <c r="Q496" s="432">
        <v>0</v>
      </c>
      <c r="R496" s="1">
        <v>7</v>
      </c>
      <c r="S496" s="1">
        <v>10</v>
      </c>
      <c r="T496" s="300">
        <f t="shared" si="71"/>
        <v>211</v>
      </c>
      <c r="U496" s="3"/>
      <c r="V496" s="3"/>
      <c r="W496" s="3"/>
      <c r="X496" s="3"/>
      <c r="Y496" s="3"/>
      <c r="Z496" s="20">
        <f t="shared" si="68"/>
        <v>194</v>
      </c>
      <c r="AA496" s="20">
        <f t="shared" si="76"/>
        <v>2</v>
      </c>
      <c r="AB496" s="20">
        <f t="shared" si="76"/>
        <v>0</v>
      </c>
      <c r="AC496" s="20">
        <f t="shared" si="76"/>
        <v>0</v>
      </c>
      <c r="AD496" s="20">
        <f t="shared" si="75"/>
        <v>0</v>
      </c>
      <c r="AE496" s="20">
        <f t="shared" si="75"/>
        <v>7</v>
      </c>
      <c r="AF496" s="20">
        <f t="shared" si="75"/>
        <v>10</v>
      </c>
      <c r="AG496" s="300">
        <f t="shared" si="69"/>
        <v>213</v>
      </c>
      <c r="AH496" s="42">
        <f t="shared" si="74"/>
        <v>2</v>
      </c>
      <c r="AI496" s="42">
        <f t="shared" si="74"/>
        <v>0</v>
      </c>
      <c r="AJ496" s="42">
        <f t="shared" si="74"/>
        <v>0</v>
      </c>
      <c r="AK496" s="42">
        <f t="shared" si="74"/>
        <v>0</v>
      </c>
      <c r="AL496" s="42">
        <f t="shared" si="73"/>
        <v>0</v>
      </c>
      <c r="AM496" s="42">
        <f t="shared" si="73"/>
        <v>0</v>
      </c>
      <c r="AN496" s="42">
        <f t="shared" si="73"/>
        <v>0</v>
      </c>
      <c r="AO496" s="42">
        <f t="shared" si="73"/>
        <v>2</v>
      </c>
    </row>
    <row r="497" spans="1:41" ht="15.75">
      <c r="A497" s="16">
        <f t="shared" si="72"/>
        <v>494</v>
      </c>
      <c r="B497" s="390">
        <v>5043</v>
      </c>
      <c r="C497" s="391" t="s">
        <v>6276</v>
      </c>
      <c r="D497" s="392" t="s">
        <v>951</v>
      </c>
      <c r="E497" s="393" t="s">
        <v>6187</v>
      </c>
      <c r="F497" s="394" t="s">
        <v>953</v>
      </c>
      <c r="G497" s="429" t="s">
        <v>6473</v>
      </c>
      <c r="H497" s="395">
        <v>30602</v>
      </c>
      <c r="I497" s="396">
        <v>44140</v>
      </c>
      <c r="J497" s="459" t="s">
        <v>6293</v>
      </c>
      <c r="K497" s="460" t="s">
        <v>6295</v>
      </c>
      <c r="L497" s="460" t="s">
        <v>6335</v>
      </c>
      <c r="M497" s="1">
        <v>192</v>
      </c>
      <c r="N497" s="431">
        <f t="shared" si="70"/>
        <v>2</v>
      </c>
      <c r="O497" s="432">
        <v>0</v>
      </c>
      <c r="P497" s="432">
        <v>0</v>
      </c>
      <c r="Q497" s="432">
        <v>0</v>
      </c>
      <c r="R497" s="1">
        <v>7</v>
      </c>
      <c r="S497" s="1">
        <v>10</v>
      </c>
      <c r="T497" s="300">
        <f t="shared" si="71"/>
        <v>211</v>
      </c>
      <c r="U497" s="3"/>
      <c r="V497" s="3"/>
      <c r="W497" s="3"/>
      <c r="X497" s="3"/>
      <c r="Y497" s="3"/>
      <c r="Z497" s="20">
        <f t="shared" si="68"/>
        <v>194</v>
      </c>
      <c r="AA497" s="20">
        <f t="shared" si="76"/>
        <v>2</v>
      </c>
      <c r="AB497" s="20">
        <f t="shared" si="76"/>
        <v>0</v>
      </c>
      <c r="AC497" s="20">
        <f t="shared" si="76"/>
        <v>0</v>
      </c>
      <c r="AD497" s="20">
        <f t="shared" si="75"/>
        <v>0</v>
      </c>
      <c r="AE497" s="20">
        <f t="shared" si="75"/>
        <v>7</v>
      </c>
      <c r="AF497" s="20">
        <f t="shared" si="75"/>
        <v>10</v>
      </c>
      <c r="AG497" s="300">
        <f t="shared" si="69"/>
        <v>213</v>
      </c>
      <c r="AH497" s="42">
        <f t="shared" si="74"/>
        <v>2</v>
      </c>
      <c r="AI497" s="42">
        <f t="shared" si="74"/>
        <v>0</v>
      </c>
      <c r="AJ497" s="42">
        <f t="shared" si="74"/>
        <v>0</v>
      </c>
      <c r="AK497" s="42">
        <f t="shared" si="74"/>
        <v>0</v>
      </c>
      <c r="AL497" s="42">
        <f t="shared" si="73"/>
        <v>0</v>
      </c>
      <c r="AM497" s="42">
        <f t="shared" si="73"/>
        <v>0</v>
      </c>
      <c r="AN497" s="42">
        <f t="shared" si="73"/>
        <v>0</v>
      </c>
      <c r="AO497" s="42">
        <f t="shared" si="73"/>
        <v>2</v>
      </c>
    </row>
    <row r="498" spans="1:41" ht="15.75">
      <c r="A498" s="16">
        <f t="shared" si="72"/>
        <v>495</v>
      </c>
      <c r="B498" s="390">
        <v>5045</v>
      </c>
      <c r="C498" s="391" t="s">
        <v>1173</v>
      </c>
      <c r="D498" s="392" t="s">
        <v>1784</v>
      </c>
      <c r="E498" s="393" t="s">
        <v>1175</v>
      </c>
      <c r="F498" s="394" t="s">
        <v>1786</v>
      </c>
      <c r="G498" s="429" t="s">
        <v>6473</v>
      </c>
      <c r="H498" s="395">
        <v>32527</v>
      </c>
      <c r="I498" s="396">
        <v>44140</v>
      </c>
      <c r="J498" s="459" t="s">
        <v>6293</v>
      </c>
      <c r="K498" s="460" t="s">
        <v>6304</v>
      </c>
      <c r="L498" s="460" t="s">
        <v>6335</v>
      </c>
      <c r="M498" s="1">
        <v>192</v>
      </c>
      <c r="N498" s="431">
        <f t="shared" si="70"/>
        <v>2</v>
      </c>
      <c r="O498" s="432">
        <v>0</v>
      </c>
      <c r="P498" s="432">
        <v>0</v>
      </c>
      <c r="Q498" s="432">
        <v>0</v>
      </c>
      <c r="R498" s="1">
        <v>7</v>
      </c>
      <c r="S498" s="1">
        <v>10</v>
      </c>
      <c r="T498" s="300">
        <f t="shared" si="71"/>
        <v>211</v>
      </c>
      <c r="U498" s="3"/>
      <c r="V498" s="3"/>
      <c r="W498" s="3"/>
      <c r="X498" s="3"/>
      <c r="Y498" s="3"/>
      <c r="Z498" s="20">
        <f t="shared" si="68"/>
        <v>194</v>
      </c>
      <c r="AA498" s="20">
        <f t="shared" si="76"/>
        <v>2</v>
      </c>
      <c r="AB498" s="20">
        <f t="shared" si="76"/>
        <v>0</v>
      </c>
      <c r="AC498" s="20">
        <f t="shared" si="76"/>
        <v>0</v>
      </c>
      <c r="AD498" s="20">
        <f t="shared" si="75"/>
        <v>0</v>
      </c>
      <c r="AE498" s="20">
        <f t="shared" si="75"/>
        <v>7</v>
      </c>
      <c r="AF498" s="20">
        <f t="shared" si="75"/>
        <v>10</v>
      </c>
      <c r="AG498" s="300">
        <f t="shared" si="69"/>
        <v>213</v>
      </c>
      <c r="AH498" s="42">
        <f t="shared" si="74"/>
        <v>2</v>
      </c>
      <c r="AI498" s="42">
        <f t="shared" si="74"/>
        <v>0</v>
      </c>
      <c r="AJ498" s="42">
        <f t="shared" si="74"/>
        <v>0</v>
      </c>
      <c r="AK498" s="42">
        <f t="shared" si="74"/>
        <v>0</v>
      </c>
      <c r="AL498" s="42">
        <f t="shared" si="73"/>
        <v>0</v>
      </c>
      <c r="AM498" s="42">
        <f t="shared" si="73"/>
        <v>0</v>
      </c>
      <c r="AN498" s="42">
        <f t="shared" si="73"/>
        <v>0</v>
      </c>
      <c r="AO498" s="42">
        <f t="shared" si="73"/>
        <v>2</v>
      </c>
    </row>
    <row r="499" spans="1:41" ht="15.75">
      <c r="A499" s="16">
        <f t="shared" si="72"/>
        <v>496</v>
      </c>
      <c r="B499" s="390">
        <v>5029</v>
      </c>
      <c r="C499" s="391" t="s">
        <v>1157</v>
      </c>
      <c r="D499" s="392" t="s">
        <v>2054</v>
      </c>
      <c r="E499" s="393" t="s">
        <v>1688</v>
      </c>
      <c r="F499" s="394" t="s">
        <v>4652</v>
      </c>
      <c r="G499" s="429" t="s">
        <v>6473</v>
      </c>
      <c r="H499" s="395">
        <v>31533</v>
      </c>
      <c r="I499" s="396">
        <v>44140</v>
      </c>
      <c r="J499" s="459" t="s">
        <v>6293</v>
      </c>
      <c r="K499" s="460" t="s">
        <v>6305</v>
      </c>
      <c r="L499" s="460" t="s">
        <v>6335</v>
      </c>
      <c r="M499" s="1">
        <v>192</v>
      </c>
      <c r="N499" s="431">
        <f t="shared" si="70"/>
        <v>2</v>
      </c>
      <c r="O499" s="432">
        <v>0</v>
      </c>
      <c r="P499" s="432">
        <v>0</v>
      </c>
      <c r="Q499" s="432">
        <v>0</v>
      </c>
      <c r="R499" s="1">
        <v>7</v>
      </c>
      <c r="S499" s="1">
        <v>10</v>
      </c>
      <c r="T499" s="300">
        <f t="shared" si="71"/>
        <v>211</v>
      </c>
      <c r="U499" s="3"/>
      <c r="V499" s="3"/>
      <c r="W499" s="3"/>
      <c r="X499" s="3"/>
      <c r="Y499" s="3"/>
      <c r="Z499" s="20">
        <f t="shared" si="68"/>
        <v>194</v>
      </c>
      <c r="AA499" s="20">
        <f t="shared" si="76"/>
        <v>2</v>
      </c>
      <c r="AB499" s="20">
        <f t="shared" si="76"/>
        <v>0</v>
      </c>
      <c r="AC499" s="20">
        <f t="shared" si="76"/>
        <v>0</v>
      </c>
      <c r="AD499" s="20">
        <f t="shared" si="75"/>
        <v>0</v>
      </c>
      <c r="AE499" s="20">
        <f t="shared" si="75"/>
        <v>7</v>
      </c>
      <c r="AF499" s="20">
        <f t="shared" si="75"/>
        <v>10</v>
      </c>
      <c r="AG499" s="300">
        <f t="shared" si="69"/>
        <v>213</v>
      </c>
      <c r="AH499" s="42">
        <f t="shared" si="74"/>
        <v>2</v>
      </c>
      <c r="AI499" s="42">
        <f t="shared" si="74"/>
        <v>0</v>
      </c>
      <c r="AJ499" s="42">
        <f t="shared" si="74"/>
        <v>0</v>
      </c>
      <c r="AK499" s="42">
        <f t="shared" si="74"/>
        <v>0</v>
      </c>
      <c r="AL499" s="42">
        <f t="shared" si="73"/>
        <v>0</v>
      </c>
      <c r="AM499" s="42">
        <f t="shared" si="73"/>
        <v>0</v>
      </c>
      <c r="AN499" s="42">
        <f t="shared" si="73"/>
        <v>0</v>
      </c>
      <c r="AO499" s="42">
        <f t="shared" si="73"/>
        <v>2</v>
      </c>
    </row>
    <row r="500" spans="1:41" ht="15.75">
      <c r="A500" s="16">
        <f t="shared" si="72"/>
        <v>497</v>
      </c>
      <c r="B500" s="390">
        <v>5022</v>
      </c>
      <c r="C500" s="391" t="s">
        <v>2082</v>
      </c>
      <c r="D500" s="392" t="s">
        <v>173</v>
      </c>
      <c r="E500" s="393" t="s">
        <v>2083</v>
      </c>
      <c r="F500" s="394" t="s">
        <v>6188</v>
      </c>
      <c r="G500" s="429" t="s">
        <v>6473</v>
      </c>
      <c r="H500" s="395">
        <v>31415</v>
      </c>
      <c r="I500" s="396">
        <v>44140</v>
      </c>
      <c r="J500" s="459" t="s">
        <v>6293</v>
      </c>
      <c r="K500" s="460" t="s">
        <v>6300</v>
      </c>
      <c r="L500" s="460" t="s">
        <v>6335</v>
      </c>
      <c r="M500" s="1">
        <v>192</v>
      </c>
      <c r="N500" s="431">
        <f t="shared" si="70"/>
        <v>2</v>
      </c>
      <c r="O500" s="432">
        <v>0</v>
      </c>
      <c r="P500" s="432">
        <v>0</v>
      </c>
      <c r="Q500" s="432">
        <v>0</v>
      </c>
      <c r="R500" s="1">
        <v>7</v>
      </c>
      <c r="S500" s="1">
        <v>10</v>
      </c>
      <c r="T500" s="300">
        <f t="shared" si="71"/>
        <v>211</v>
      </c>
      <c r="U500" s="3"/>
      <c r="V500" s="3"/>
      <c r="W500" s="3"/>
      <c r="X500" s="3"/>
      <c r="Y500" s="3"/>
      <c r="Z500" s="20">
        <f t="shared" si="68"/>
        <v>194</v>
      </c>
      <c r="AA500" s="20">
        <f t="shared" si="76"/>
        <v>2</v>
      </c>
      <c r="AB500" s="20">
        <f t="shared" si="76"/>
        <v>0</v>
      </c>
      <c r="AC500" s="20">
        <f t="shared" si="76"/>
        <v>0</v>
      </c>
      <c r="AD500" s="20">
        <f t="shared" si="75"/>
        <v>0</v>
      </c>
      <c r="AE500" s="20">
        <f t="shared" si="75"/>
        <v>7</v>
      </c>
      <c r="AF500" s="20">
        <f t="shared" si="75"/>
        <v>10</v>
      </c>
      <c r="AG500" s="300">
        <f t="shared" si="69"/>
        <v>213</v>
      </c>
      <c r="AH500" s="42">
        <f t="shared" si="74"/>
        <v>2</v>
      </c>
      <c r="AI500" s="42">
        <f t="shared" si="74"/>
        <v>0</v>
      </c>
      <c r="AJ500" s="42">
        <f t="shared" si="74"/>
        <v>0</v>
      </c>
      <c r="AK500" s="42">
        <f t="shared" si="74"/>
        <v>0</v>
      </c>
      <c r="AL500" s="42">
        <f t="shared" si="73"/>
        <v>0</v>
      </c>
      <c r="AM500" s="42">
        <f t="shared" si="73"/>
        <v>0</v>
      </c>
      <c r="AN500" s="42">
        <f t="shared" si="73"/>
        <v>0</v>
      </c>
      <c r="AO500" s="42">
        <f t="shared" si="73"/>
        <v>2</v>
      </c>
    </row>
    <row r="501" spans="1:41" ht="15.75">
      <c r="A501" s="16">
        <f t="shared" si="72"/>
        <v>498</v>
      </c>
      <c r="B501" s="390">
        <v>5031</v>
      </c>
      <c r="C501" s="391" t="s">
        <v>2044</v>
      </c>
      <c r="D501" s="392" t="s">
        <v>5865</v>
      </c>
      <c r="E501" s="393" t="s">
        <v>5719</v>
      </c>
      <c r="F501" s="394" t="s">
        <v>365</v>
      </c>
      <c r="G501" s="429" t="s">
        <v>6473</v>
      </c>
      <c r="H501" s="395">
        <v>31999</v>
      </c>
      <c r="I501" s="396">
        <v>44140</v>
      </c>
      <c r="J501" s="459" t="s">
        <v>6293</v>
      </c>
      <c r="K501" s="460" t="s">
        <v>6083</v>
      </c>
      <c r="L501" s="460" t="s">
        <v>6335</v>
      </c>
      <c r="M501" s="1">
        <v>192</v>
      </c>
      <c r="N501" s="431">
        <f t="shared" si="70"/>
        <v>2</v>
      </c>
      <c r="O501" s="432">
        <v>0</v>
      </c>
      <c r="P501" s="432">
        <v>0</v>
      </c>
      <c r="Q501" s="432">
        <v>0</v>
      </c>
      <c r="R501" s="1">
        <v>7</v>
      </c>
      <c r="S501" s="1">
        <v>10</v>
      </c>
      <c r="T501" s="300">
        <f t="shared" si="71"/>
        <v>211</v>
      </c>
      <c r="U501" s="3"/>
      <c r="V501" s="3"/>
      <c r="W501" s="3"/>
      <c r="X501" s="3"/>
      <c r="Y501" s="3"/>
      <c r="Z501" s="20">
        <f t="shared" si="68"/>
        <v>194</v>
      </c>
      <c r="AA501" s="20">
        <f t="shared" si="76"/>
        <v>2</v>
      </c>
      <c r="AB501" s="20">
        <f t="shared" si="76"/>
        <v>0</v>
      </c>
      <c r="AC501" s="20">
        <f t="shared" si="76"/>
        <v>0</v>
      </c>
      <c r="AD501" s="20">
        <f t="shared" si="75"/>
        <v>0</v>
      </c>
      <c r="AE501" s="20">
        <f t="shared" si="75"/>
        <v>7</v>
      </c>
      <c r="AF501" s="20">
        <f t="shared" si="75"/>
        <v>10</v>
      </c>
      <c r="AG501" s="300">
        <f t="shared" si="69"/>
        <v>213</v>
      </c>
      <c r="AH501" s="42">
        <f t="shared" si="74"/>
        <v>2</v>
      </c>
      <c r="AI501" s="42">
        <f t="shared" si="74"/>
        <v>0</v>
      </c>
      <c r="AJ501" s="42">
        <f t="shared" si="74"/>
        <v>0</v>
      </c>
      <c r="AK501" s="42">
        <f t="shared" si="74"/>
        <v>0</v>
      </c>
      <c r="AL501" s="42">
        <f t="shared" si="73"/>
        <v>0</v>
      </c>
      <c r="AM501" s="42">
        <f t="shared" si="73"/>
        <v>0</v>
      </c>
      <c r="AN501" s="42">
        <f t="shared" si="73"/>
        <v>0</v>
      </c>
      <c r="AO501" s="42">
        <f t="shared" si="73"/>
        <v>2</v>
      </c>
    </row>
    <row r="502" spans="1:41" ht="15.75">
      <c r="A502" s="16">
        <f t="shared" si="72"/>
        <v>499</v>
      </c>
      <c r="B502" s="390">
        <v>5009</v>
      </c>
      <c r="C502" s="391" t="s">
        <v>6277</v>
      </c>
      <c r="D502" s="392" t="s">
        <v>5842</v>
      </c>
      <c r="E502" s="393" t="s">
        <v>6189</v>
      </c>
      <c r="F502" s="394" t="s">
        <v>5844</v>
      </c>
      <c r="G502" s="429" t="s">
        <v>6473</v>
      </c>
      <c r="H502" s="395">
        <v>27135</v>
      </c>
      <c r="I502" s="396">
        <v>44140</v>
      </c>
      <c r="J502" s="459" t="s">
        <v>6293</v>
      </c>
      <c r="K502" s="460" t="s">
        <v>6308</v>
      </c>
      <c r="L502" s="460" t="s">
        <v>6335</v>
      </c>
      <c r="M502" s="1">
        <v>192</v>
      </c>
      <c r="N502" s="431">
        <f t="shared" si="70"/>
        <v>2</v>
      </c>
      <c r="O502" s="432">
        <v>0</v>
      </c>
      <c r="P502" s="432">
        <v>0</v>
      </c>
      <c r="Q502" s="432">
        <v>0</v>
      </c>
      <c r="R502" s="1">
        <v>7</v>
      </c>
      <c r="S502" s="1">
        <v>10</v>
      </c>
      <c r="T502" s="300">
        <f t="shared" si="71"/>
        <v>211</v>
      </c>
      <c r="U502" s="3"/>
      <c r="V502" s="3"/>
      <c r="W502" s="3"/>
      <c r="X502" s="3"/>
      <c r="Y502" s="3"/>
      <c r="Z502" s="20">
        <f t="shared" si="68"/>
        <v>194</v>
      </c>
      <c r="AA502" s="20">
        <f t="shared" si="76"/>
        <v>2</v>
      </c>
      <c r="AB502" s="20">
        <f t="shared" si="76"/>
        <v>0</v>
      </c>
      <c r="AC502" s="20">
        <f t="shared" si="76"/>
        <v>0</v>
      </c>
      <c r="AD502" s="20">
        <f t="shared" si="75"/>
        <v>0</v>
      </c>
      <c r="AE502" s="20">
        <f t="shared" si="75"/>
        <v>7</v>
      </c>
      <c r="AF502" s="20">
        <f t="shared" si="75"/>
        <v>10</v>
      </c>
      <c r="AG502" s="300">
        <f t="shared" si="69"/>
        <v>213</v>
      </c>
      <c r="AH502" s="42">
        <f t="shared" si="74"/>
        <v>2</v>
      </c>
      <c r="AI502" s="42">
        <f t="shared" si="74"/>
        <v>0</v>
      </c>
      <c r="AJ502" s="42">
        <f t="shared" si="74"/>
        <v>0</v>
      </c>
      <c r="AK502" s="42">
        <f t="shared" si="74"/>
        <v>0</v>
      </c>
      <c r="AL502" s="42">
        <f t="shared" si="73"/>
        <v>0</v>
      </c>
      <c r="AM502" s="42">
        <f t="shared" si="73"/>
        <v>0</v>
      </c>
      <c r="AN502" s="42">
        <f t="shared" si="73"/>
        <v>0</v>
      </c>
      <c r="AO502" s="42">
        <f t="shared" si="73"/>
        <v>2</v>
      </c>
    </row>
    <row r="503" spans="1:41" ht="15.75">
      <c r="A503" s="16">
        <f t="shared" si="72"/>
        <v>500</v>
      </c>
      <c r="B503" s="390">
        <v>5010</v>
      </c>
      <c r="C503" s="391" t="s">
        <v>6278</v>
      </c>
      <c r="D503" s="392" t="s">
        <v>6279</v>
      </c>
      <c r="E503" s="393" t="s">
        <v>4721</v>
      </c>
      <c r="F503" s="394" t="s">
        <v>6190</v>
      </c>
      <c r="G503" s="429" t="s">
        <v>6473</v>
      </c>
      <c r="H503" s="395">
        <v>30850</v>
      </c>
      <c r="I503" s="396">
        <v>44139</v>
      </c>
      <c r="J503" s="459" t="s">
        <v>6293</v>
      </c>
      <c r="K503" s="460" t="s">
        <v>6305</v>
      </c>
      <c r="L503" s="460" t="s">
        <v>6335</v>
      </c>
      <c r="M503" s="1">
        <v>192</v>
      </c>
      <c r="N503" s="431">
        <f t="shared" si="70"/>
        <v>2</v>
      </c>
      <c r="O503" s="432">
        <v>0</v>
      </c>
      <c r="P503" s="432">
        <v>0</v>
      </c>
      <c r="Q503" s="432">
        <v>0</v>
      </c>
      <c r="R503" s="1">
        <v>7</v>
      </c>
      <c r="S503" s="1">
        <v>10</v>
      </c>
      <c r="T503" s="300">
        <f t="shared" si="71"/>
        <v>211</v>
      </c>
      <c r="U503" s="3"/>
      <c r="V503" s="3"/>
      <c r="W503" s="3"/>
      <c r="X503" s="3"/>
      <c r="Y503" s="3"/>
      <c r="Z503" s="20">
        <f t="shared" si="68"/>
        <v>194</v>
      </c>
      <c r="AA503" s="20">
        <f t="shared" si="76"/>
        <v>2</v>
      </c>
      <c r="AB503" s="20">
        <f t="shared" si="76"/>
        <v>0</v>
      </c>
      <c r="AC503" s="20">
        <f t="shared" si="76"/>
        <v>0</v>
      </c>
      <c r="AD503" s="20">
        <f t="shared" si="75"/>
        <v>0</v>
      </c>
      <c r="AE503" s="20">
        <f t="shared" si="75"/>
        <v>7</v>
      </c>
      <c r="AF503" s="20">
        <f t="shared" si="75"/>
        <v>10</v>
      </c>
      <c r="AG503" s="300">
        <f t="shared" si="69"/>
        <v>213</v>
      </c>
      <c r="AH503" s="42">
        <f t="shared" si="74"/>
        <v>2</v>
      </c>
      <c r="AI503" s="42">
        <f t="shared" si="74"/>
        <v>0</v>
      </c>
      <c r="AJ503" s="42">
        <f t="shared" si="74"/>
        <v>0</v>
      </c>
      <c r="AK503" s="42">
        <f t="shared" si="74"/>
        <v>0</v>
      </c>
      <c r="AL503" s="42">
        <f t="shared" si="73"/>
        <v>0</v>
      </c>
      <c r="AM503" s="42">
        <f t="shared" si="73"/>
        <v>0</v>
      </c>
      <c r="AN503" s="42">
        <f t="shared" si="73"/>
        <v>0</v>
      </c>
      <c r="AO503" s="42">
        <f t="shared" si="73"/>
        <v>2</v>
      </c>
    </row>
    <row r="504" spans="1:41" ht="15.75">
      <c r="A504" s="16">
        <f t="shared" si="72"/>
        <v>501</v>
      </c>
      <c r="B504" s="390">
        <v>5017</v>
      </c>
      <c r="C504" s="391" t="s">
        <v>6280</v>
      </c>
      <c r="D504" s="392" t="s">
        <v>5886</v>
      </c>
      <c r="E504" s="393" t="s">
        <v>4809</v>
      </c>
      <c r="F504" s="394" t="s">
        <v>15</v>
      </c>
      <c r="G504" s="429" t="s">
        <v>6473</v>
      </c>
      <c r="H504" s="395">
        <v>33457</v>
      </c>
      <c r="I504" s="396">
        <v>44140</v>
      </c>
      <c r="J504" s="459" t="s">
        <v>6293</v>
      </c>
      <c r="K504" s="460" t="s">
        <v>6351</v>
      </c>
      <c r="L504" s="460" t="s">
        <v>6335</v>
      </c>
      <c r="M504" s="1">
        <v>192</v>
      </c>
      <c r="N504" s="431">
        <f t="shared" si="70"/>
        <v>2</v>
      </c>
      <c r="O504" s="432">
        <v>0</v>
      </c>
      <c r="P504" s="432">
        <v>0</v>
      </c>
      <c r="Q504" s="432">
        <v>0</v>
      </c>
      <c r="R504" s="1">
        <v>7</v>
      </c>
      <c r="S504" s="1">
        <v>10</v>
      </c>
      <c r="T504" s="300">
        <f t="shared" si="71"/>
        <v>211</v>
      </c>
      <c r="U504" s="3"/>
      <c r="V504" s="3"/>
      <c r="W504" s="3"/>
      <c r="X504" s="3"/>
      <c r="Y504" s="3"/>
      <c r="Z504" s="20">
        <f t="shared" si="68"/>
        <v>194</v>
      </c>
      <c r="AA504" s="20">
        <f t="shared" si="76"/>
        <v>2</v>
      </c>
      <c r="AB504" s="20">
        <f t="shared" si="76"/>
        <v>0</v>
      </c>
      <c r="AC504" s="20">
        <f t="shared" si="76"/>
        <v>0</v>
      </c>
      <c r="AD504" s="20">
        <f t="shared" si="75"/>
        <v>0</v>
      </c>
      <c r="AE504" s="20">
        <f t="shared" si="75"/>
        <v>7</v>
      </c>
      <c r="AF504" s="20">
        <f t="shared" si="75"/>
        <v>10</v>
      </c>
      <c r="AG504" s="300">
        <f t="shared" si="69"/>
        <v>213</v>
      </c>
      <c r="AH504" s="42">
        <f t="shared" si="74"/>
        <v>2</v>
      </c>
      <c r="AI504" s="42">
        <f t="shared" si="74"/>
        <v>0</v>
      </c>
      <c r="AJ504" s="42">
        <f t="shared" si="74"/>
        <v>0</v>
      </c>
      <c r="AK504" s="42">
        <f t="shared" si="74"/>
        <v>0</v>
      </c>
      <c r="AL504" s="42">
        <f t="shared" si="73"/>
        <v>0</v>
      </c>
      <c r="AM504" s="42">
        <f t="shared" si="73"/>
        <v>0</v>
      </c>
      <c r="AN504" s="42">
        <f t="shared" si="73"/>
        <v>0</v>
      </c>
      <c r="AO504" s="42">
        <f t="shared" si="73"/>
        <v>2</v>
      </c>
    </row>
    <row r="505" spans="1:41" ht="15.75">
      <c r="A505" s="16">
        <f t="shared" si="72"/>
        <v>502</v>
      </c>
      <c r="B505" s="390">
        <v>5020</v>
      </c>
      <c r="C505" s="391" t="s">
        <v>6281</v>
      </c>
      <c r="D505" s="392" t="s">
        <v>6282</v>
      </c>
      <c r="E505" s="393" t="s">
        <v>6191</v>
      </c>
      <c r="F505" s="394" t="s">
        <v>6192</v>
      </c>
      <c r="G505" s="429" t="s">
        <v>6473</v>
      </c>
      <c r="H505" s="395">
        <v>34366</v>
      </c>
      <c r="I505" s="396">
        <v>44140</v>
      </c>
      <c r="J505" s="459" t="s">
        <v>6293</v>
      </c>
      <c r="K505" s="460" t="s">
        <v>6308</v>
      </c>
      <c r="L505" s="460" t="s">
        <v>6335</v>
      </c>
      <c r="M505" s="1">
        <v>192</v>
      </c>
      <c r="N505" s="431">
        <f t="shared" si="70"/>
        <v>2</v>
      </c>
      <c r="O505" s="432">
        <v>0</v>
      </c>
      <c r="P505" s="432">
        <v>0</v>
      </c>
      <c r="Q505" s="432">
        <v>0</v>
      </c>
      <c r="R505" s="1">
        <v>7</v>
      </c>
      <c r="S505" s="1">
        <v>10</v>
      </c>
      <c r="T505" s="300">
        <f t="shared" si="71"/>
        <v>211</v>
      </c>
      <c r="U505" s="3"/>
      <c r="V505" s="3"/>
      <c r="W505" s="3"/>
      <c r="X505" s="3"/>
      <c r="Y505" s="3"/>
      <c r="Z505" s="20">
        <f t="shared" si="68"/>
        <v>194</v>
      </c>
      <c r="AA505" s="20">
        <f t="shared" si="76"/>
        <v>2</v>
      </c>
      <c r="AB505" s="20">
        <f t="shared" si="76"/>
        <v>0</v>
      </c>
      <c r="AC505" s="20">
        <f t="shared" si="76"/>
        <v>0</v>
      </c>
      <c r="AD505" s="20">
        <f t="shared" si="75"/>
        <v>0</v>
      </c>
      <c r="AE505" s="20">
        <f t="shared" si="75"/>
        <v>7</v>
      </c>
      <c r="AF505" s="20">
        <f t="shared" si="75"/>
        <v>10</v>
      </c>
      <c r="AG505" s="300">
        <f t="shared" si="69"/>
        <v>213</v>
      </c>
      <c r="AH505" s="42">
        <f t="shared" si="74"/>
        <v>2</v>
      </c>
      <c r="AI505" s="42">
        <f t="shared" si="74"/>
        <v>0</v>
      </c>
      <c r="AJ505" s="42">
        <f t="shared" si="74"/>
        <v>0</v>
      </c>
      <c r="AK505" s="42">
        <f t="shared" si="74"/>
        <v>0</v>
      </c>
      <c r="AL505" s="42">
        <f t="shared" si="73"/>
        <v>0</v>
      </c>
      <c r="AM505" s="42">
        <f t="shared" si="73"/>
        <v>0</v>
      </c>
      <c r="AN505" s="42">
        <f t="shared" si="73"/>
        <v>0</v>
      </c>
      <c r="AO505" s="42">
        <f t="shared" si="73"/>
        <v>2</v>
      </c>
    </row>
    <row r="506" spans="1:41" ht="15.75">
      <c r="A506" s="16">
        <f t="shared" si="72"/>
        <v>503</v>
      </c>
      <c r="B506" s="390">
        <v>5016</v>
      </c>
      <c r="C506" s="391" t="s">
        <v>737</v>
      </c>
      <c r="D506" s="392" t="s">
        <v>6235</v>
      </c>
      <c r="E506" s="393" t="s">
        <v>22</v>
      </c>
      <c r="F506" s="394" t="s">
        <v>6060</v>
      </c>
      <c r="G506" s="429" t="s">
        <v>6473</v>
      </c>
      <c r="H506" s="395">
        <v>35309</v>
      </c>
      <c r="I506" s="396">
        <v>44140</v>
      </c>
      <c r="J506" s="459" t="s">
        <v>6293</v>
      </c>
      <c r="K506" s="460" t="s">
        <v>6298</v>
      </c>
      <c r="L506" s="460" t="s">
        <v>6335</v>
      </c>
      <c r="M506" s="1">
        <v>192</v>
      </c>
      <c r="N506" s="431">
        <f t="shared" si="70"/>
        <v>2</v>
      </c>
      <c r="O506" s="432">
        <v>0</v>
      </c>
      <c r="P506" s="432">
        <v>0</v>
      </c>
      <c r="Q506" s="432">
        <v>0</v>
      </c>
      <c r="R506" s="1">
        <v>7</v>
      </c>
      <c r="S506" s="1">
        <v>10</v>
      </c>
      <c r="T506" s="300">
        <f t="shared" si="71"/>
        <v>211</v>
      </c>
      <c r="U506" s="3"/>
      <c r="V506" s="3"/>
      <c r="W506" s="3"/>
      <c r="X506" s="3"/>
      <c r="Y506" s="3"/>
      <c r="Z506" s="20">
        <f t="shared" si="68"/>
        <v>194</v>
      </c>
      <c r="AA506" s="20">
        <f t="shared" si="76"/>
        <v>2</v>
      </c>
      <c r="AB506" s="20">
        <f t="shared" si="76"/>
        <v>0</v>
      </c>
      <c r="AC506" s="20">
        <f t="shared" si="76"/>
        <v>0</v>
      </c>
      <c r="AD506" s="20">
        <f t="shared" si="75"/>
        <v>0</v>
      </c>
      <c r="AE506" s="20">
        <f t="shared" si="75"/>
        <v>7</v>
      </c>
      <c r="AF506" s="20">
        <f t="shared" si="75"/>
        <v>10</v>
      </c>
      <c r="AG506" s="300">
        <f t="shared" si="69"/>
        <v>213</v>
      </c>
      <c r="AH506" s="42">
        <f t="shared" si="74"/>
        <v>2</v>
      </c>
      <c r="AI506" s="42">
        <f t="shared" si="74"/>
        <v>0</v>
      </c>
      <c r="AJ506" s="42">
        <f t="shared" si="74"/>
        <v>0</v>
      </c>
      <c r="AK506" s="42">
        <f t="shared" si="74"/>
        <v>0</v>
      </c>
      <c r="AL506" s="42">
        <f t="shared" si="73"/>
        <v>0</v>
      </c>
      <c r="AM506" s="42">
        <f t="shared" si="73"/>
        <v>0</v>
      </c>
      <c r="AN506" s="42">
        <f t="shared" si="73"/>
        <v>0</v>
      </c>
      <c r="AO506" s="42">
        <f t="shared" si="73"/>
        <v>2</v>
      </c>
    </row>
    <row r="507" spans="1:41" ht="15.75">
      <c r="A507" s="16">
        <f t="shared" si="72"/>
        <v>504</v>
      </c>
      <c r="B507" s="390">
        <v>5027</v>
      </c>
      <c r="C507" s="391" t="s">
        <v>2003</v>
      </c>
      <c r="D507" s="392" t="s">
        <v>659</v>
      </c>
      <c r="E507" s="393" t="s">
        <v>2005</v>
      </c>
      <c r="F507" s="394" t="s">
        <v>6193</v>
      </c>
      <c r="G507" s="429" t="s">
        <v>6473</v>
      </c>
      <c r="H507" s="395">
        <v>35319</v>
      </c>
      <c r="I507" s="396">
        <v>44140</v>
      </c>
      <c r="J507" s="459" t="s">
        <v>6293</v>
      </c>
      <c r="K507" s="460" t="s">
        <v>6297</v>
      </c>
      <c r="L507" s="460" t="s">
        <v>6335</v>
      </c>
      <c r="M507" s="1">
        <v>192</v>
      </c>
      <c r="N507" s="431">
        <f t="shared" si="70"/>
        <v>2</v>
      </c>
      <c r="O507" s="432">
        <v>0</v>
      </c>
      <c r="P507" s="432">
        <v>0</v>
      </c>
      <c r="Q507" s="432">
        <v>0</v>
      </c>
      <c r="R507" s="1">
        <v>7</v>
      </c>
      <c r="S507" s="1">
        <v>10</v>
      </c>
      <c r="T507" s="300">
        <f t="shared" si="71"/>
        <v>211</v>
      </c>
      <c r="U507" s="3"/>
      <c r="V507" s="3"/>
      <c r="W507" s="3"/>
      <c r="X507" s="3"/>
      <c r="Y507" s="3"/>
      <c r="Z507" s="20">
        <f t="shared" si="68"/>
        <v>194</v>
      </c>
      <c r="AA507" s="20">
        <f t="shared" si="76"/>
        <v>2</v>
      </c>
      <c r="AB507" s="20">
        <f t="shared" si="76"/>
        <v>0</v>
      </c>
      <c r="AC507" s="20">
        <f t="shared" si="76"/>
        <v>0</v>
      </c>
      <c r="AD507" s="20">
        <f t="shared" si="75"/>
        <v>0</v>
      </c>
      <c r="AE507" s="20">
        <f t="shared" si="75"/>
        <v>7</v>
      </c>
      <c r="AF507" s="20">
        <f t="shared" si="75"/>
        <v>10</v>
      </c>
      <c r="AG507" s="300">
        <f t="shared" si="69"/>
        <v>213</v>
      </c>
      <c r="AH507" s="42">
        <f t="shared" si="74"/>
        <v>2</v>
      </c>
      <c r="AI507" s="42">
        <f t="shared" si="74"/>
        <v>0</v>
      </c>
      <c r="AJ507" s="42">
        <f t="shared" si="74"/>
        <v>0</v>
      </c>
      <c r="AK507" s="42">
        <f t="shared" si="74"/>
        <v>0</v>
      </c>
      <c r="AL507" s="42">
        <f t="shared" si="73"/>
        <v>0</v>
      </c>
      <c r="AM507" s="42">
        <f t="shared" si="73"/>
        <v>0</v>
      </c>
      <c r="AN507" s="42">
        <f t="shared" si="73"/>
        <v>0</v>
      </c>
      <c r="AO507" s="42">
        <f t="shared" si="73"/>
        <v>2</v>
      </c>
    </row>
    <row r="508" spans="1:41" ht="15.75">
      <c r="A508" s="16">
        <f t="shared" si="72"/>
        <v>505</v>
      </c>
      <c r="B508" s="390">
        <v>5023</v>
      </c>
      <c r="C508" s="391" t="s">
        <v>568</v>
      </c>
      <c r="D508" s="392" t="s">
        <v>3652</v>
      </c>
      <c r="E508" s="393" t="s">
        <v>537</v>
      </c>
      <c r="F508" s="394" t="s">
        <v>1750</v>
      </c>
      <c r="G508" s="429" t="s">
        <v>6473</v>
      </c>
      <c r="H508" s="395">
        <v>35278</v>
      </c>
      <c r="I508" s="396">
        <v>44140</v>
      </c>
      <c r="J508" s="459" t="s">
        <v>6293</v>
      </c>
      <c r="K508" s="460" t="s">
        <v>6297</v>
      </c>
      <c r="L508" s="460" t="s">
        <v>6335</v>
      </c>
      <c r="M508" s="1">
        <v>192</v>
      </c>
      <c r="N508" s="431">
        <f t="shared" si="70"/>
        <v>2</v>
      </c>
      <c r="O508" s="432">
        <v>0</v>
      </c>
      <c r="P508" s="432">
        <v>0</v>
      </c>
      <c r="Q508" s="432">
        <v>0</v>
      </c>
      <c r="R508" s="1">
        <v>7</v>
      </c>
      <c r="S508" s="1">
        <v>10</v>
      </c>
      <c r="T508" s="300">
        <f t="shared" si="71"/>
        <v>211</v>
      </c>
      <c r="U508" s="3"/>
      <c r="V508" s="3"/>
      <c r="W508" s="3"/>
      <c r="X508" s="3"/>
      <c r="Y508" s="3"/>
      <c r="Z508" s="20">
        <f t="shared" ref="Z508:Z564" si="77">M508+2</f>
        <v>194</v>
      </c>
      <c r="AA508" s="20">
        <f t="shared" si="76"/>
        <v>2</v>
      </c>
      <c r="AB508" s="20">
        <f t="shared" si="76"/>
        <v>0</v>
      </c>
      <c r="AC508" s="20">
        <f t="shared" si="76"/>
        <v>0</v>
      </c>
      <c r="AD508" s="20">
        <f t="shared" si="75"/>
        <v>0</v>
      </c>
      <c r="AE508" s="20">
        <f t="shared" si="75"/>
        <v>7</v>
      </c>
      <c r="AF508" s="20">
        <f t="shared" si="75"/>
        <v>10</v>
      </c>
      <c r="AG508" s="300">
        <f t="shared" ref="AG508:AG564" si="78">SUM(Z508:AF508)</f>
        <v>213</v>
      </c>
      <c r="AH508" s="42">
        <f t="shared" si="74"/>
        <v>2</v>
      </c>
      <c r="AI508" s="42">
        <f t="shared" si="74"/>
        <v>0</v>
      </c>
      <c r="AJ508" s="42">
        <f t="shared" si="74"/>
        <v>0</v>
      </c>
      <c r="AK508" s="42">
        <f t="shared" si="74"/>
        <v>0</v>
      </c>
      <c r="AL508" s="42">
        <f t="shared" si="73"/>
        <v>0</v>
      </c>
      <c r="AM508" s="42">
        <f t="shared" si="73"/>
        <v>0</v>
      </c>
      <c r="AN508" s="42">
        <f t="shared" si="73"/>
        <v>0</v>
      </c>
      <c r="AO508" s="42">
        <f t="shared" si="73"/>
        <v>2</v>
      </c>
    </row>
    <row r="509" spans="1:41" ht="15.75">
      <c r="A509" s="16">
        <f t="shared" si="72"/>
        <v>506</v>
      </c>
      <c r="B509" s="390">
        <v>5008</v>
      </c>
      <c r="C509" s="391" t="s">
        <v>2707</v>
      </c>
      <c r="D509" s="392" t="s">
        <v>6284</v>
      </c>
      <c r="E509" s="393" t="s">
        <v>6138</v>
      </c>
      <c r="F509" s="394" t="s">
        <v>6139</v>
      </c>
      <c r="G509" s="429" t="s">
        <v>6473</v>
      </c>
      <c r="H509" s="395">
        <v>34852</v>
      </c>
      <c r="I509" s="396">
        <v>44139</v>
      </c>
      <c r="J509" s="459" t="s">
        <v>6293</v>
      </c>
      <c r="K509" s="460" t="s">
        <v>6134</v>
      </c>
      <c r="L509" s="460" t="s">
        <v>6136</v>
      </c>
      <c r="M509" s="1">
        <v>192</v>
      </c>
      <c r="N509" s="431">
        <f t="shared" ref="N509:N512" si="79">ROUNDDOWN(INT($N$1-I509-16)/365,0)+1</f>
        <v>2</v>
      </c>
      <c r="O509" s="432">
        <v>0</v>
      </c>
      <c r="P509" s="432">
        <v>10</v>
      </c>
      <c r="Q509" s="432">
        <v>0</v>
      </c>
      <c r="R509" s="1">
        <v>7</v>
      </c>
      <c r="S509" s="1">
        <v>10</v>
      </c>
      <c r="T509" s="300">
        <f t="shared" ref="T509:T565" si="80">SUM(M509:S509)</f>
        <v>221</v>
      </c>
      <c r="U509" s="3"/>
      <c r="V509" s="3"/>
      <c r="W509" s="3"/>
      <c r="X509" s="3"/>
      <c r="Y509" s="3"/>
      <c r="Z509" s="20">
        <f t="shared" si="77"/>
        <v>194</v>
      </c>
      <c r="AA509" s="20">
        <f t="shared" si="76"/>
        <v>2</v>
      </c>
      <c r="AB509" s="20">
        <f t="shared" si="76"/>
        <v>0</v>
      </c>
      <c r="AC509" s="20">
        <f t="shared" si="76"/>
        <v>10</v>
      </c>
      <c r="AD509" s="20">
        <f t="shared" si="75"/>
        <v>0</v>
      </c>
      <c r="AE509" s="20">
        <f t="shared" si="75"/>
        <v>7</v>
      </c>
      <c r="AF509" s="20">
        <f t="shared" si="75"/>
        <v>10</v>
      </c>
      <c r="AG509" s="300">
        <f t="shared" si="78"/>
        <v>223</v>
      </c>
      <c r="AH509" s="42">
        <f t="shared" si="74"/>
        <v>2</v>
      </c>
      <c r="AI509" s="42">
        <f t="shared" si="74"/>
        <v>0</v>
      </c>
      <c r="AJ509" s="42">
        <f t="shared" si="74"/>
        <v>0</v>
      </c>
      <c r="AK509" s="42">
        <f t="shared" si="74"/>
        <v>0</v>
      </c>
      <c r="AL509" s="42">
        <f t="shared" si="73"/>
        <v>0</v>
      </c>
      <c r="AM509" s="42">
        <f t="shared" si="73"/>
        <v>0</v>
      </c>
      <c r="AN509" s="42">
        <f t="shared" si="73"/>
        <v>0</v>
      </c>
      <c r="AO509" s="42">
        <f t="shared" si="73"/>
        <v>2</v>
      </c>
    </row>
    <row r="510" spans="1:41" ht="15.75">
      <c r="A510" s="16">
        <f t="shared" si="72"/>
        <v>507</v>
      </c>
      <c r="B510" s="390">
        <v>5037</v>
      </c>
      <c r="C510" s="391" t="s">
        <v>1173</v>
      </c>
      <c r="D510" s="392" t="s">
        <v>6285</v>
      </c>
      <c r="E510" s="393" t="s">
        <v>4295</v>
      </c>
      <c r="F510" s="394" t="s">
        <v>6195</v>
      </c>
      <c r="G510" s="429" t="s">
        <v>6473</v>
      </c>
      <c r="H510" s="395">
        <v>37375</v>
      </c>
      <c r="I510" s="396">
        <v>44140</v>
      </c>
      <c r="J510" s="459" t="s">
        <v>6293</v>
      </c>
      <c r="K510" s="460" t="s">
        <v>6128</v>
      </c>
      <c r="L510" s="460" t="s">
        <v>6346</v>
      </c>
      <c r="M510" s="1">
        <v>192</v>
      </c>
      <c r="N510" s="431">
        <f t="shared" si="79"/>
        <v>2</v>
      </c>
      <c r="O510" s="432">
        <v>0</v>
      </c>
      <c r="P510" s="432">
        <v>0</v>
      </c>
      <c r="Q510" s="432">
        <v>0</v>
      </c>
      <c r="R510" s="1">
        <v>7</v>
      </c>
      <c r="S510" s="1">
        <v>10</v>
      </c>
      <c r="T510" s="300">
        <f t="shared" si="80"/>
        <v>211</v>
      </c>
      <c r="U510" s="3"/>
      <c r="V510" s="3"/>
      <c r="W510" s="3"/>
      <c r="X510" s="3"/>
      <c r="Y510" s="3"/>
      <c r="Z510" s="20">
        <f t="shared" si="77"/>
        <v>194</v>
      </c>
      <c r="AA510" s="20">
        <f t="shared" si="76"/>
        <v>2</v>
      </c>
      <c r="AB510" s="20">
        <f t="shared" si="76"/>
        <v>0</v>
      </c>
      <c r="AC510" s="20">
        <f t="shared" si="76"/>
        <v>0</v>
      </c>
      <c r="AD510" s="20">
        <f t="shared" si="75"/>
        <v>0</v>
      </c>
      <c r="AE510" s="20">
        <f t="shared" si="75"/>
        <v>7</v>
      </c>
      <c r="AF510" s="20">
        <f t="shared" si="75"/>
        <v>10</v>
      </c>
      <c r="AG510" s="300">
        <f t="shared" si="78"/>
        <v>213</v>
      </c>
      <c r="AH510" s="42">
        <f t="shared" si="74"/>
        <v>2</v>
      </c>
      <c r="AI510" s="42">
        <f t="shared" si="74"/>
        <v>0</v>
      </c>
      <c r="AJ510" s="42">
        <f t="shared" si="74"/>
        <v>0</v>
      </c>
      <c r="AK510" s="42">
        <f t="shared" si="74"/>
        <v>0</v>
      </c>
      <c r="AL510" s="42">
        <f t="shared" si="73"/>
        <v>0</v>
      </c>
      <c r="AM510" s="42">
        <f t="shared" si="73"/>
        <v>0</v>
      </c>
      <c r="AN510" s="42">
        <f t="shared" si="73"/>
        <v>0</v>
      </c>
      <c r="AO510" s="42">
        <f t="shared" si="73"/>
        <v>2</v>
      </c>
    </row>
    <row r="511" spans="1:41" ht="15.75">
      <c r="A511" s="16">
        <f t="shared" si="72"/>
        <v>508</v>
      </c>
      <c r="B511" s="390">
        <v>5011</v>
      </c>
      <c r="C511" s="391" t="s">
        <v>6278</v>
      </c>
      <c r="D511" s="392" t="s">
        <v>6244</v>
      </c>
      <c r="E511" s="393" t="s">
        <v>4721</v>
      </c>
      <c r="F511" s="394" t="s">
        <v>6070</v>
      </c>
      <c r="G511" s="429" t="s">
        <v>6473</v>
      </c>
      <c r="H511" s="395">
        <v>34961</v>
      </c>
      <c r="I511" s="396">
        <v>44139</v>
      </c>
      <c r="J511" s="459" t="s">
        <v>6293</v>
      </c>
      <c r="K511" s="460" t="s">
        <v>6298</v>
      </c>
      <c r="L511" s="460" t="s">
        <v>6335</v>
      </c>
      <c r="M511" s="1">
        <v>192</v>
      </c>
      <c r="N511" s="431">
        <f t="shared" si="79"/>
        <v>2</v>
      </c>
      <c r="O511" s="432">
        <v>0</v>
      </c>
      <c r="P511" s="432">
        <v>0</v>
      </c>
      <c r="Q511" s="432">
        <v>0</v>
      </c>
      <c r="R511" s="1">
        <v>7</v>
      </c>
      <c r="S511" s="1">
        <v>10</v>
      </c>
      <c r="T511" s="300">
        <f t="shared" si="80"/>
        <v>211</v>
      </c>
      <c r="U511" s="3"/>
      <c r="V511" s="3"/>
      <c r="W511" s="3"/>
      <c r="X511" s="3"/>
      <c r="Y511" s="3"/>
      <c r="Z511" s="20">
        <f t="shared" si="77"/>
        <v>194</v>
      </c>
      <c r="AA511" s="20">
        <f t="shared" si="76"/>
        <v>2</v>
      </c>
      <c r="AB511" s="20">
        <f t="shared" si="76"/>
        <v>0</v>
      </c>
      <c r="AC511" s="20">
        <f t="shared" si="76"/>
        <v>0</v>
      </c>
      <c r="AD511" s="20">
        <f t="shared" si="75"/>
        <v>0</v>
      </c>
      <c r="AE511" s="20">
        <f t="shared" si="75"/>
        <v>7</v>
      </c>
      <c r="AF511" s="20">
        <f t="shared" si="75"/>
        <v>10</v>
      </c>
      <c r="AG511" s="300">
        <f t="shared" si="78"/>
        <v>213</v>
      </c>
      <c r="AH511" s="42">
        <f t="shared" si="74"/>
        <v>2</v>
      </c>
      <c r="AI511" s="42">
        <f t="shared" si="74"/>
        <v>0</v>
      </c>
      <c r="AJ511" s="42">
        <f t="shared" si="74"/>
        <v>0</v>
      </c>
      <c r="AK511" s="42">
        <f t="shared" si="74"/>
        <v>0</v>
      </c>
      <c r="AL511" s="42">
        <f t="shared" si="73"/>
        <v>0</v>
      </c>
      <c r="AM511" s="42">
        <f t="shared" si="73"/>
        <v>0</v>
      </c>
      <c r="AN511" s="42">
        <f t="shared" si="73"/>
        <v>0</v>
      </c>
      <c r="AO511" s="42">
        <f t="shared" si="73"/>
        <v>2</v>
      </c>
    </row>
    <row r="512" spans="1:41" ht="15.75">
      <c r="A512" s="16">
        <f t="shared" si="72"/>
        <v>509</v>
      </c>
      <c r="B512" s="390">
        <v>5002</v>
      </c>
      <c r="C512" s="391" t="s">
        <v>1173</v>
      </c>
      <c r="D512" s="392" t="s">
        <v>6286</v>
      </c>
      <c r="E512" s="393" t="s">
        <v>4295</v>
      </c>
      <c r="F512" s="394" t="s">
        <v>6196</v>
      </c>
      <c r="G512" s="429" t="s">
        <v>6473</v>
      </c>
      <c r="H512" s="395">
        <v>34713</v>
      </c>
      <c r="I512" s="396">
        <v>44139</v>
      </c>
      <c r="J512" s="459" t="s">
        <v>6293</v>
      </c>
      <c r="K512" s="460" t="s">
        <v>80</v>
      </c>
      <c r="L512" s="460" t="s">
        <v>6337</v>
      </c>
      <c r="M512" s="1">
        <v>192</v>
      </c>
      <c r="N512" s="431">
        <f t="shared" si="79"/>
        <v>2</v>
      </c>
      <c r="O512" s="432">
        <v>0</v>
      </c>
      <c r="P512" s="432">
        <v>0</v>
      </c>
      <c r="Q512" s="432">
        <v>0</v>
      </c>
      <c r="R512" s="1">
        <v>7</v>
      </c>
      <c r="S512" s="1">
        <v>10</v>
      </c>
      <c r="T512" s="300">
        <f t="shared" si="80"/>
        <v>211</v>
      </c>
      <c r="U512" s="3"/>
      <c r="V512" s="3"/>
      <c r="W512" s="3"/>
      <c r="X512" s="3"/>
      <c r="Y512" s="3"/>
      <c r="Z512" s="20">
        <f t="shared" si="77"/>
        <v>194</v>
      </c>
      <c r="AA512" s="20">
        <f t="shared" si="76"/>
        <v>2</v>
      </c>
      <c r="AB512" s="20">
        <f t="shared" si="76"/>
        <v>0</v>
      </c>
      <c r="AC512" s="20">
        <f t="shared" si="76"/>
        <v>0</v>
      </c>
      <c r="AD512" s="20">
        <f t="shared" si="75"/>
        <v>0</v>
      </c>
      <c r="AE512" s="20">
        <f t="shared" si="75"/>
        <v>7</v>
      </c>
      <c r="AF512" s="20">
        <f t="shared" si="75"/>
        <v>10</v>
      </c>
      <c r="AG512" s="300">
        <f t="shared" si="78"/>
        <v>213</v>
      </c>
      <c r="AH512" s="42">
        <f t="shared" si="74"/>
        <v>2</v>
      </c>
      <c r="AI512" s="42">
        <f t="shared" si="74"/>
        <v>0</v>
      </c>
      <c r="AJ512" s="42">
        <f t="shared" si="74"/>
        <v>0</v>
      </c>
      <c r="AK512" s="42">
        <f t="shared" si="74"/>
        <v>0</v>
      </c>
      <c r="AL512" s="42">
        <f t="shared" si="73"/>
        <v>0</v>
      </c>
      <c r="AM512" s="42">
        <f t="shared" si="73"/>
        <v>0</v>
      </c>
      <c r="AN512" s="42">
        <f t="shared" si="73"/>
        <v>0</v>
      </c>
      <c r="AO512" s="42">
        <f t="shared" si="73"/>
        <v>2</v>
      </c>
    </row>
    <row r="513" spans="1:41" ht="15.75">
      <c r="A513" s="16">
        <f t="shared" si="72"/>
        <v>510</v>
      </c>
      <c r="B513" s="390">
        <v>5056</v>
      </c>
      <c r="C513" s="391" t="s">
        <v>2545</v>
      </c>
      <c r="D513" s="392" t="s">
        <v>6287</v>
      </c>
      <c r="E513" s="393" t="s">
        <v>1642</v>
      </c>
      <c r="F513" s="394" t="s">
        <v>6197</v>
      </c>
      <c r="G513" s="429" t="s">
        <v>6475</v>
      </c>
      <c r="H513" s="395">
        <v>30486</v>
      </c>
      <c r="I513" s="396">
        <v>44153</v>
      </c>
      <c r="J513" s="459" t="s">
        <v>6293</v>
      </c>
      <c r="K513" s="460" t="s">
        <v>6128</v>
      </c>
      <c r="L513" s="460" t="s">
        <v>6346</v>
      </c>
      <c r="M513" s="1">
        <v>192</v>
      </c>
      <c r="N513" s="431">
        <v>0</v>
      </c>
      <c r="O513" s="432">
        <v>0</v>
      </c>
      <c r="P513" s="432">
        <v>0</v>
      </c>
      <c r="Q513" s="432">
        <v>0</v>
      </c>
      <c r="R513" s="1">
        <v>7</v>
      </c>
      <c r="S513" s="1">
        <v>10</v>
      </c>
      <c r="T513" s="300">
        <f t="shared" si="80"/>
        <v>209</v>
      </c>
      <c r="U513" s="3"/>
      <c r="V513" s="3"/>
      <c r="W513" s="3"/>
      <c r="X513" s="3"/>
      <c r="Y513" s="3"/>
      <c r="Z513" s="20">
        <f t="shared" si="77"/>
        <v>194</v>
      </c>
      <c r="AA513" s="20">
        <f t="shared" si="76"/>
        <v>0</v>
      </c>
      <c r="AB513" s="20">
        <f t="shared" si="76"/>
        <v>0</v>
      </c>
      <c r="AC513" s="20">
        <f t="shared" si="76"/>
        <v>0</v>
      </c>
      <c r="AD513" s="20">
        <f t="shared" si="75"/>
        <v>0</v>
      </c>
      <c r="AE513" s="20">
        <f t="shared" si="75"/>
        <v>7</v>
      </c>
      <c r="AF513" s="20">
        <f t="shared" si="75"/>
        <v>10</v>
      </c>
      <c r="AG513" s="300">
        <f t="shared" si="78"/>
        <v>211</v>
      </c>
      <c r="AH513" s="42">
        <f t="shared" si="74"/>
        <v>2</v>
      </c>
      <c r="AI513" s="42">
        <f t="shared" si="74"/>
        <v>0</v>
      </c>
      <c r="AJ513" s="42">
        <f t="shared" si="74"/>
        <v>0</v>
      </c>
      <c r="AK513" s="42">
        <f t="shared" si="74"/>
        <v>0</v>
      </c>
      <c r="AL513" s="42">
        <f t="shared" si="73"/>
        <v>0</v>
      </c>
      <c r="AM513" s="42">
        <f t="shared" si="73"/>
        <v>0</v>
      </c>
      <c r="AN513" s="42">
        <f t="shared" si="73"/>
        <v>0</v>
      </c>
      <c r="AO513" s="42">
        <f t="shared" si="73"/>
        <v>2</v>
      </c>
    </row>
    <row r="514" spans="1:41" ht="15.75">
      <c r="A514" s="16">
        <f t="shared" si="72"/>
        <v>511</v>
      </c>
      <c r="B514" s="390">
        <v>5062</v>
      </c>
      <c r="C514" s="391" t="s">
        <v>1809</v>
      </c>
      <c r="D514" s="392" t="s">
        <v>6288</v>
      </c>
      <c r="E514" s="393" t="s">
        <v>1811</v>
      </c>
      <c r="F514" s="394" t="s">
        <v>908</v>
      </c>
      <c r="G514" s="429" t="s">
        <v>6473</v>
      </c>
      <c r="H514" s="395">
        <v>34188</v>
      </c>
      <c r="I514" s="396">
        <v>44166</v>
      </c>
      <c r="J514" s="459" t="s">
        <v>6293</v>
      </c>
      <c r="K514" s="460" t="s">
        <v>6134</v>
      </c>
      <c r="L514" s="460" t="s">
        <v>6335</v>
      </c>
      <c r="M514" s="1">
        <v>192</v>
      </c>
      <c r="N514" s="431">
        <v>0</v>
      </c>
      <c r="O514" s="432">
        <v>0</v>
      </c>
      <c r="P514" s="432">
        <v>0</v>
      </c>
      <c r="Q514" s="432">
        <v>0</v>
      </c>
      <c r="R514" s="1">
        <v>7</v>
      </c>
      <c r="S514" s="1">
        <v>10</v>
      </c>
      <c r="T514" s="300">
        <f t="shared" si="80"/>
        <v>209</v>
      </c>
      <c r="U514" s="3"/>
      <c r="V514" s="3"/>
      <c r="W514" s="3"/>
      <c r="X514" s="3"/>
      <c r="Y514" s="3"/>
      <c r="Z514" s="20">
        <f t="shared" si="77"/>
        <v>194</v>
      </c>
      <c r="AA514" s="20">
        <f t="shared" si="76"/>
        <v>0</v>
      </c>
      <c r="AB514" s="20">
        <f t="shared" si="76"/>
        <v>0</v>
      </c>
      <c r="AC514" s="20">
        <f t="shared" si="76"/>
        <v>0</v>
      </c>
      <c r="AD514" s="20">
        <f t="shared" si="75"/>
        <v>0</v>
      </c>
      <c r="AE514" s="20">
        <f t="shared" si="75"/>
        <v>7</v>
      </c>
      <c r="AF514" s="20">
        <f t="shared" si="75"/>
        <v>10</v>
      </c>
      <c r="AG514" s="300">
        <f t="shared" si="78"/>
        <v>211</v>
      </c>
      <c r="AH514" s="42">
        <f t="shared" si="74"/>
        <v>2</v>
      </c>
      <c r="AI514" s="42">
        <f t="shared" si="74"/>
        <v>0</v>
      </c>
      <c r="AJ514" s="42">
        <f t="shared" si="74"/>
        <v>0</v>
      </c>
      <c r="AK514" s="42">
        <f t="shared" si="74"/>
        <v>0</v>
      </c>
      <c r="AL514" s="42">
        <f t="shared" si="73"/>
        <v>0</v>
      </c>
      <c r="AM514" s="42">
        <f t="shared" si="73"/>
        <v>0</v>
      </c>
      <c r="AN514" s="42">
        <f t="shared" si="73"/>
        <v>0</v>
      </c>
      <c r="AO514" s="42">
        <f t="shared" si="73"/>
        <v>2</v>
      </c>
    </row>
    <row r="515" spans="1:41" ht="15.75">
      <c r="A515" s="16">
        <f t="shared" si="72"/>
        <v>512</v>
      </c>
      <c r="B515" s="390">
        <v>5081</v>
      </c>
      <c r="C515" s="391" t="s">
        <v>6289</v>
      </c>
      <c r="D515" s="392" t="s">
        <v>3218</v>
      </c>
      <c r="E515" s="393" t="s">
        <v>6198</v>
      </c>
      <c r="F515" s="394" t="s">
        <v>6199</v>
      </c>
      <c r="G515" s="429" t="s">
        <v>6473</v>
      </c>
      <c r="H515" s="395">
        <v>32217</v>
      </c>
      <c r="I515" s="396">
        <v>44167</v>
      </c>
      <c r="J515" s="459" t="s">
        <v>6293</v>
      </c>
      <c r="K515" s="460" t="s">
        <v>6387</v>
      </c>
      <c r="L515" s="460" t="s">
        <v>6335</v>
      </c>
      <c r="M515" s="1">
        <v>192</v>
      </c>
      <c r="N515" s="431">
        <v>0</v>
      </c>
      <c r="O515" s="432">
        <v>0</v>
      </c>
      <c r="P515" s="432">
        <v>0</v>
      </c>
      <c r="Q515" s="432">
        <v>0</v>
      </c>
      <c r="R515" s="1">
        <v>7</v>
      </c>
      <c r="S515" s="1">
        <v>10</v>
      </c>
      <c r="T515" s="300">
        <f t="shared" si="80"/>
        <v>209</v>
      </c>
      <c r="U515" s="3"/>
      <c r="V515" s="3"/>
      <c r="W515" s="3"/>
      <c r="X515" s="3"/>
      <c r="Y515" s="3"/>
      <c r="Z515" s="20">
        <f t="shared" si="77"/>
        <v>194</v>
      </c>
      <c r="AA515" s="20">
        <f t="shared" si="76"/>
        <v>0</v>
      </c>
      <c r="AB515" s="20">
        <f t="shared" si="76"/>
        <v>0</v>
      </c>
      <c r="AC515" s="20">
        <f t="shared" si="76"/>
        <v>0</v>
      </c>
      <c r="AD515" s="20">
        <f t="shared" si="75"/>
        <v>0</v>
      </c>
      <c r="AE515" s="20">
        <f t="shared" si="75"/>
        <v>7</v>
      </c>
      <c r="AF515" s="20">
        <f t="shared" si="75"/>
        <v>10</v>
      </c>
      <c r="AG515" s="300">
        <f t="shared" si="78"/>
        <v>211</v>
      </c>
      <c r="AH515" s="42">
        <f t="shared" si="74"/>
        <v>2</v>
      </c>
      <c r="AI515" s="42">
        <f t="shared" si="74"/>
        <v>0</v>
      </c>
      <c r="AJ515" s="42">
        <f t="shared" si="74"/>
        <v>0</v>
      </c>
      <c r="AK515" s="42">
        <f t="shared" si="74"/>
        <v>0</v>
      </c>
      <c r="AL515" s="42">
        <f t="shared" si="73"/>
        <v>0</v>
      </c>
      <c r="AM515" s="42">
        <f t="shared" si="73"/>
        <v>0</v>
      </c>
      <c r="AN515" s="42">
        <f t="shared" si="73"/>
        <v>0</v>
      </c>
      <c r="AO515" s="42">
        <f t="shared" si="73"/>
        <v>2</v>
      </c>
    </row>
    <row r="516" spans="1:41" ht="15.75">
      <c r="A516" s="16">
        <f t="shared" si="72"/>
        <v>513</v>
      </c>
      <c r="B516" s="390">
        <v>5073</v>
      </c>
      <c r="C516" s="391" t="s">
        <v>4435</v>
      </c>
      <c r="D516" s="392" t="s">
        <v>467</v>
      </c>
      <c r="E516" s="393" t="s">
        <v>4436</v>
      </c>
      <c r="F516" s="394" t="s">
        <v>1448</v>
      </c>
      <c r="G516" s="429" t="s">
        <v>6473</v>
      </c>
      <c r="H516" s="395">
        <v>29683</v>
      </c>
      <c r="I516" s="396">
        <v>44167</v>
      </c>
      <c r="J516" s="459" t="s">
        <v>6293</v>
      </c>
      <c r="K516" s="460" t="s">
        <v>6304</v>
      </c>
      <c r="L516" s="460" t="s">
        <v>6335</v>
      </c>
      <c r="M516" s="1">
        <v>192</v>
      </c>
      <c r="N516" s="431">
        <v>0</v>
      </c>
      <c r="O516" s="432">
        <v>0</v>
      </c>
      <c r="P516" s="432">
        <v>0</v>
      </c>
      <c r="Q516" s="432">
        <v>0</v>
      </c>
      <c r="R516" s="1">
        <v>7</v>
      </c>
      <c r="S516" s="1">
        <v>10</v>
      </c>
      <c r="T516" s="300">
        <f t="shared" si="80"/>
        <v>209</v>
      </c>
      <c r="U516" s="3"/>
      <c r="V516" s="3"/>
      <c r="W516" s="3"/>
      <c r="X516" s="3"/>
      <c r="Y516" s="3"/>
      <c r="Z516" s="20">
        <f t="shared" si="77"/>
        <v>194</v>
      </c>
      <c r="AA516" s="20">
        <f t="shared" si="76"/>
        <v>0</v>
      </c>
      <c r="AB516" s="20">
        <f t="shared" si="76"/>
        <v>0</v>
      </c>
      <c r="AC516" s="20">
        <f t="shared" si="76"/>
        <v>0</v>
      </c>
      <c r="AD516" s="20">
        <f t="shared" si="75"/>
        <v>0</v>
      </c>
      <c r="AE516" s="20">
        <f t="shared" si="75"/>
        <v>7</v>
      </c>
      <c r="AF516" s="20">
        <f t="shared" si="75"/>
        <v>10</v>
      </c>
      <c r="AG516" s="300">
        <f t="shared" si="78"/>
        <v>211</v>
      </c>
      <c r="AH516" s="42">
        <f t="shared" si="74"/>
        <v>2</v>
      </c>
      <c r="AI516" s="42">
        <f t="shared" si="74"/>
        <v>0</v>
      </c>
      <c r="AJ516" s="42">
        <f t="shared" si="74"/>
        <v>0</v>
      </c>
      <c r="AK516" s="42">
        <f t="shared" si="74"/>
        <v>0</v>
      </c>
      <c r="AL516" s="42">
        <f t="shared" si="73"/>
        <v>0</v>
      </c>
      <c r="AM516" s="42">
        <f t="shared" si="73"/>
        <v>0</v>
      </c>
      <c r="AN516" s="42">
        <f t="shared" si="73"/>
        <v>0</v>
      </c>
      <c r="AO516" s="42">
        <f t="shared" si="73"/>
        <v>2</v>
      </c>
    </row>
    <row r="517" spans="1:41" ht="15.75">
      <c r="A517" s="16">
        <f t="shared" si="72"/>
        <v>514</v>
      </c>
      <c r="B517" s="390">
        <v>5080</v>
      </c>
      <c r="C517" s="391" t="s">
        <v>3112</v>
      </c>
      <c r="D517" s="392" t="s">
        <v>6290</v>
      </c>
      <c r="E517" s="393" t="s">
        <v>4431</v>
      </c>
      <c r="F517" s="394" t="s">
        <v>6113</v>
      </c>
      <c r="G517" s="429" t="s">
        <v>6473</v>
      </c>
      <c r="H517" s="395">
        <v>36442</v>
      </c>
      <c r="I517" s="396">
        <v>44167</v>
      </c>
      <c r="J517" s="459" t="s">
        <v>6293</v>
      </c>
      <c r="K517" s="460" t="s">
        <v>6307</v>
      </c>
      <c r="L517" s="460" t="s">
        <v>6335</v>
      </c>
      <c r="M517" s="1">
        <v>192</v>
      </c>
      <c r="N517" s="431">
        <v>0</v>
      </c>
      <c r="O517" s="432">
        <v>0</v>
      </c>
      <c r="P517" s="432">
        <v>0</v>
      </c>
      <c r="Q517" s="432">
        <v>0</v>
      </c>
      <c r="R517" s="1">
        <v>7</v>
      </c>
      <c r="S517" s="1">
        <v>10</v>
      </c>
      <c r="T517" s="300">
        <f t="shared" si="80"/>
        <v>209</v>
      </c>
      <c r="U517" s="3"/>
      <c r="V517" s="3"/>
      <c r="W517" s="3"/>
      <c r="X517" s="3"/>
      <c r="Y517" s="3"/>
      <c r="Z517" s="20">
        <f t="shared" si="77"/>
        <v>194</v>
      </c>
      <c r="AA517" s="20">
        <f t="shared" si="76"/>
        <v>0</v>
      </c>
      <c r="AB517" s="20">
        <f t="shared" si="76"/>
        <v>0</v>
      </c>
      <c r="AC517" s="20">
        <f t="shared" si="76"/>
        <v>0</v>
      </c>
      <c r="AD517" s="20">
        <f t="shared" si="75"/>
        <v>0</v>
      </c>
      <c r="AE517" s="20">
        <f t="shared" si="75"/>
        <v>7</v>
      </c>
      <c r="AF517" s="20">
        <f t="shared" si="75"/>
        <v>10</v>
      </c>
      <c r="AG517" s="300">
        <f t="shared" si="78"/>
        <v>211</v>
      </c>
      <c r="AH517" s="42">
        <f t="shared" si="74"/>
        <v>2</v>
      </c>
      <c r="AI517" s="42">
        <f t="shared" si="74"/>
        <v>0</v>
      </c>
      <c r="AJ517" s="42">
        <f t="shared" si="74"/>
        <v>0</v>
      </c>
      <c r="AK517" s="42">
        <f t="shared" si="74"/>
        <v>0</v>
      </c>
      <c r="AL517" s="42">
        <f t="shared" si="73"/>
        <v>0</v>
      </c>
      <c r="AM517" s="42">
        <f t="shared" si="73"/>
        <v>0</v>
      </c>
      <c r="AN517" s="42">
        <f t="shared" si="73"/>
        <v>0</v>
      </c>
      <c r="AO517" s="42">
        <f t="shared" si="73"/>
        <v>2</v>
      </c>
    </row>
    <row r="518" spans="1:41" ht="15.75">
      <c r="A518" s="16">
        <f t="shared" si="72"/>
        <v>515</v>
      </c>
      <c r="B518" s="390">
        <v>5063</v>
      </c>
      <c r="C518" s="391" t="s">
        <v>6291</v>
      </c>
      <c r="D518" s="392" t="s">
        <v>6254</v>
      </c>
      <c r="E518" s="393" t="s">
        <v>6200</v>
      </c>
      <c r="F518" s="394" t="s">
        <v>6080</v>
      </c>
      <c r="G518" s="429" t="s">
        <v>6473</v>
      </c>
      <c r="H518" s="395">
        <v>31797</v>
      </c>
      <c r="I518" s="396">
        <v>44166</v>
      </c>
      <c r="J518" s="459" t="s">
        <v>6293</v>
      </c>
      <c r="K518" s="460" t="s">
        <v>6134</v>
      </c>
      <c r="L518" s="460" t="s">
        <v>6335</v>
      </c>
      <c r="M518" s="1">
        <v>192</v>
      </c>
      <c r="N518" s="431">
        <v>0</v>
      </c>
      <c r="O518" s="432">
        <v>0</v>
      </c>
      <c r="P518" s="432">
        <v>0</v>
      </c>
      <c r="Q518" s="432">
        <v>0</v>
      </c>
      <c r="R518" s="1">
        <v>7</v>
      </c>
      <c r="S518" s="1">
        <v>10</v>
      </c>
      <c r="T518" s="300">
        <f t="shared" si="80"/>
        <v>209</v>
      </c>
      <c r="U518" s="3"/>
      <c r="V518" s="3"/>
      <c r="W518" s="3"/>
      <c r="X518" s="3"/>
      <c r="Y518" s="3"/>
      <c r="Z518" s="20">
        <f t="shared" si="77"/>
        <v>194</v>
      </c>
      <c r="AA518" s="20">
        <f t="shared" si="76"/>
        <v>0</v>
      </c>
      <c r="AB518" s="20">
        <f t="shared" si="76"/>
        <v>0</v>
      </c>
      <c r="AC518" s="20">
        <f t="shared" si="76"/>
        <v>0</v>
      </c>
      <c r="AD518" s="20">
        <f t="shared" si="75"/>
        <v>0</v>
      </c>
      <c r="AE518" s="20">
        <f t="shared" si="75"/>
        <v>7</v>
      </c>
      <c r="AF518" s="20">
        <f t="shared" si="75"/>
        <v>10</v>
      </c>
      <c r="AG518" s="300">
        <f t="shared" si="78"/>
        <v>211</v>
      </c>
      <c r="AH518" s="42">
        <f t="shared" si="74"/>
        <v>2</v>
      </c>
      <c r="AI518" s="42">
        <f t="shared" si="74"/>
        <v>0</v>
      </c>
      <c r="AJ518" s="42">
        <f t="shared" si="74"/>
        <v>0</v>
      </c>
      <c r="AK518" s="42">
        <f t="shared" si="74"/>
        <v>0</v>
      </c>
      <c r="AL518" s="42">
        <f t="shared" si="73"/>
        <v>0</v>
      </c>
      <c r="AM518" s="42">
        <f t="shared" si="73"/>
        <v>0</v>
      </c>
      <c r="AN518" s="42">
        <f t="shared" si="73"/>
        <v>0</v>
      </c>
      <c r="AO518" s="42">
        <f t="shared" si="73"/>
        <v>2</v>
      </c>
    </row>
    <row r="519" spans="1:41" ht="15.75">
      <c r="A519" s="16">
        <f t="shared" si="72"/>
        <v>516</v>
      </c>
      <c r="B519" s="390">
        <v>5075</v>
      </c>
      <c r="C519" s="391" t="s">
        <v>1560</v>
      </c>
      <c r="D519" s="392" t="s">
        <v>6283</v>
      </c>
      <c r="E519" s="393" t="s">
        <v>6201</v>
      </c>
      <c r="F519" s="394" t="s">
        <v>5162</v>
      </c>
      <c r="G519" s="429" t="s">
        <v>6473</v>
      </c>
      <c r="H519" s="395">
        <v>28063</v>
      </c>
      <c r="I519" s="396">
        <v>44167</v>
      </c>
      <c r="J519" s="459" t="s">
        <v>6293</v>
      </c>
      <c r="K519" s="460" t="s">
        <v>6300</v>
      </c>
      <c r="L519" s="460" t="s">
        <v>6335</v>
      </c>
      <c r="M519" s="1">
        <v>192</v>
      </c>
      <c r="N519" s="431">
        <v>0</v>
      </c>
      <c r="O519" s="432">
        <v>0</v>
      </c>
      <c r="P519" s="432">
        <v>0</v>
      </c>
      <c r="Q519" s="432">
        <v>0</v>
      </c>
      <c r="R519" s="1">
        <v>7</v>
      </c>
      <c r="S519" s="1">
        <v>10</v>
      </c>
      <c r="T519" s="300">
        <f t="shared" si="80"/>
        <v>209</v>
      </c>
      <c r="U519" s="3"/>
      <c r="V519" s="3"/>
      <c r="W519" s="3"/>
      <c r="X519" s="3"/>
      <c r="Y519" s="3"/>
      <c r="Z519" s="20">
        <f t="shared" si="77"/>
        <v>194</v>
      </c>
      <c r="AA519" s="20">
        <f t="shared" si="76"/>
        <v>0</v>
      </c>
      <c r="AB519" s="20">
        <f t="shared" si="76"/>
        <v>0</v>
      </c>
      <c r="AC519" s="20">
        <f t="shared" si="76"/>
        <v>0</v>
      </c>
      <c r="AD519" s="20">
        <f t="shared" si="75"/>
        <v>0</v>
      </c>
      <c r="AE519" s="20">
        <f t="shared" si="75"/>
        <v>7</v>
      </c>
      <c r="AF519" s="20">
        <f t="shared" si="75"/>
        <v>10</v>
      </c>
      <c r="AG519" s="300">
        <f t="shared" si="78"/>
        <v>211</v>
      </c>
      <c r="AH519" s="42">
        <f t="shared" si="74"/>
        <v>2</v>
      </c>
      <c r="AI519" s="42">
        <f t="shared" si="74"/>
        <v>0</v>
      </c>
      <c r="AJ519" s="42">
        <f t="shared" si="74"/>
        <v>0</v>
      </c>
      <c r="AK519" s="42">
        <f t="shared" si="74"/>
        <v>0</v>
      </c>
      <c r="AL519" s="42">
        <f t="shared" si="73"/>
        <v>0</v>
      </c>
      <c r="AM519" s="42">
        <f t="shared" si="73"/>
        <v>0</v>
      </c>
      <c r="AN519" s="42">
        <f t="shared" si="73"/>
        <v>0</v>
      </c>
      <c r="AO519" s="42">
        <f t="shared" si="73"/>
        <v>2</v>
      </c>
    </row>
    <row r="520" spans="1:41" ht="15.75">
      <c r="A520" s="16">
        <f t="shared" si="72"/>
        <v>517</v>
      </c>
      <c r="B520" s="390">
        <v>5066</v>
      </c>
      <c r="C520" s="391" t="s">
        <v>876</v>
      </c>
      <c r="D520" s="392" t="s">
        <v>6292</v>
      </c>
      <c r="E520" s="393" t="s">
        <v>877</v>
      </c>
      <c r="F520" s="394" t="s">
        <v>6202</v>
      </c>
      <c r="G520" s="429" t="s">
        <v>6473</v>
      </c>
      <c r="H520" s="395">
        <v>33786</v>
      </c>
      <c r="I520" s="396">
        <v>44166</v>
      </c>
      <c r="J520" s="459" t="s">
        <v>6293</v>
      </c>
      <c r="K520" s="460" t="s">
        <v>6297</v>
      </c>
      <c r="L520" s="460" t="s">
        <v>6335</v>
      </c>
      <c r="M520" s="1">
        <v>192</v>
      </c>
      <c r="N520" s="431">
        <v>0</v>
      </c>
      <c r="O520" s="432">
        <v>0</v>
      </c>
      <c r="P520" s="432">
        <v>0</v>
      </c>
      <c r="Q520" s="432">
        <v>0</v>
      </c>
      <c r="R520" s="1">
        <v>7</v>
      </c>
      <c r="S520" s="1">
        <v>10</v>
      </c>
      <c r="T520" s="300">
        <f t="shared" si="80"/>
        <v>209</v>
      </c>
      <c r="U520" s="3"/>
      <c r="V520" s="3"/>
      <c r="W520" s="3"/>
      <c r="X520" s="3"/>
      <c r="Y520" s="3"/>
      <c r="Z520" s="20">
        <f t="shared" si="77"/>
        <v>194</v>
      </c>
      <c r="AA520" s="20">
        <f t="shared" si="76"/>
        <v>0</v>
      </c>
      <c r="AB520" s="20">
        <f t="shared" si="76"/>
        <v>0</v>
      </c>
      <c r="AC520" s="20">
        <f t="shared" si="76"/>
        <v>0</v>
      </c>
      <c r="AD520" s="20">
        <f t="shared" si="75"/>
        <v>0</v>
      </c>
      <c r="AE520" s="20">
        <f t="shared" si="75"/>
        <v>7</v>
      </c>
      <c r="AF520" s="20">
        <f t="shared" si="75"/>
        <v>10</v>
      </c>
      <c r="AG520" s="300">
        <f t="shared" si="78"/>
        <v>211</v>
      </c>
      <c r="AH520" s="42">
        <f t="shared" si="74"/>
        <v>2</v>
      </c>
      <c r="AI520" s="42">
        <f t="shared" si="74"/>
        <v>0</v>
      </c>
      <c r="AJ520" s="42">
        <f t="shared" si="74"/>
        <v>0</v>
      </c>
      <c r="AK520" s="42">
        <f t="shared" si="74"/>
        <v>0</v>
      </c>
      <c r="AL520" s="42">
        <f t="shared" si="73"/>
        <v>0</v>
      </c>
      <c r="AM520" s="42">
        <f t="shared" si="73"/>
        <v>0</v>
      </c>
      <c r="AN520" s="42">
        <f t="shared" si="73"/>
        <v>0</v>
      </c>
      <c r="AO520" s="42">
        <f t="shared" si="73"/>
        <v>2</v>
      </c>
    </row>
    <row r="521" spans="1:41" ht="15.75">
      <c r="A521" s="16">
        <f t="shared" ref="A521:A584" si="81">1+A520</f>
        <v>518</v>
      </c>
      <c r="B521" s="390">
        <v>5061</v>
      </c>
      <c r="C521" s="391" t="s">
        <v>190</v>
      </c>
      <c r="D521" s="392" t="s">
        <v>848</v>
      </c>
      <c r="E521" s="393" t="s">
        <v>4402</v>
      </c>
      <c r="F521" s="394" t="s">
        <v>4805</v>
      </c>
      <c r="G521" s="429" t="s">
        <v>6473</v>
      </c>
      <c r="H521" s="395">
        <v>30357</v>
      </c>
      <c r="I521" s="396">
        <v>44166</v>
      </c>
      <c r="J521" s="459" t="s">
        <v>6293</v>
      </c>
      <c r="K521" s="460" t="s">
        <v>6295</v>
      </c>
      <c r="L521" s="460" t="s">
        <v>6335</v>
      </c>
      <c r="M521" s="1">
        <v>192</v>
      </c>
      <c r="N521" s="431">
        <v>0</v>
      </c>
      <c r="O521" s="432">
        <v>0</v>
      </c>
      <c r="P521" s="432">
        <v>0</v>
      </c>
      <c r="Q521" s="432">
        <v>0</v>
      </c>
      <c r="R521" s="1">
        <v>7</v>
      </c>
      <c r="S521" s="1">
        <v>10</v>
      </c>
      <c r="T521" s="300">
        <f t="shared" si="80"/>
        <v>209</v>
      </c>
      <c r="U521" s="3"/>
      <c r="V521" s="3"/>
      <c r="W521" s="3"/>
      <c r="X521" s="3"/>
      <c r="Y521" s="3"/>
      <c r="Z521" s="20">
        <f t="shared" si="77"/>
        <v>194</v>
      </c>
      <c r="AA521" s="20">
        <f t="shared" si="76"/>
        <v>0</v>
      </c>
      <c r="AB521" s="20">
        <f t="shared" si="76"/>
        <v>0</v>
      </c>
      <c r="AC521" s="20">
        <f t="shared" si="76"/>
        <v>0</v>
      </c>
      <c r="AD521" s="20">
        <f t="shared" si="75"/>
        <v>0</v>
      </c>
      <c r="AE521" s="20">
        <f t="shared" si="75"/>
        <v>7</v>
      </c>
      <c r="AF521" s="20">
        <f t="shared" si="75"/>
        <v>10</v>
      </c>
      <c r="AG521" s="300">
        <f t="shared" si="78"/>
        <v>211</v>
      </c>
      <c r="AH521" s="42">
        <f t="shared" si="74"/>
        <v>2</v>
      </c>
      <c r="AI521" s="42">
        <f t="shared" si="74"/>
        <v>0</v>
      </c>
      <c r="AJ521" s="42">
        <f t="shared" si="74"/>
        <v>0</v>
      </c>
      <c r="AK521" s="42">
        <f t="shared" si="74"/>
        <v>0</v>
      </c>
      <c r="AL521" s="42">
        <f t="shared" si="73"/>
        <v>0</v>
      </c>
      <c r="AM521" s="42">
        <f t="shared" si="73"/>
        <v>0</v>
      </c>
      <c r="AN521" s="42">
        <f t="shared" si="73"/>
        <v>0</v>
      </c>
      <c r="AO521" s="42">
        <f t="shared" si="73"/>
        <v>2</v>
      </c>
    </row>
    <row r="522" spans="1:41" ht="15.75">
      <c r="A522" s="16">
        <f t="shared" si="81"/>
        <v>519</v>
      </c>
      <c r="B522" s="390">
        <v>5083</v>
      </c>
      <c r="C522" s="391" t="s">
        <v>1384</v>
      </c>
      <c r="D522" s="392" t="s">
        <v>1158</v>
      </c>
      <c r="E522" s="393" t="s">
        <v>1386</v>
      </c>
      <c r="F522" s="394" t="s">
        <v>1160</v>
      </c>
      <c r="G522" s="429" t="s">
        <v>6473</v>
      </c>
      <c r="H522" s="395">
        <v>34035</v>
      </c>
      <c r="I522" s="396">
        <v>44147</v>
      </c>
      <c r="J522" s="459" t="s">
        <v>6159</v>
      </c>
      <c r="K522" s="460" t="s">
        <v>3070</v>
      </c>
      <c r="L522" s="462" t="s">
        <v>194</v>
      </c>
      <c r="M522" s="1">
        <v>192</v>
      </c>
      <c r="N522" s="431">
        <v>0</v>
      </c>
      <c r="O522" s="432">
        <v>0</v>
      </c>
      <c r="P522" s="432">
        <v>0</v>
      </c>
      <c r="Q522" s="432">
        <v>0</v>
      </c>
      <c r="R522" s="1">
        <v>7</v>
      </c>
      <c r="S522" s="1">
        <v>10</v>
      </c>
      <c r="T522" s="300">
        <f t="shared" si="80"/>
        <v>209</v>
      </c>
      <c r="U522" s="3"/>
      <c r="V522" s="3"/>
      <c r="W522" s="3"/>
      <c r="X522" s="3"/>
      <c r="Y522" s="3"/>
      <c r="Z522" s="20">
        <f t="shared" si="77"/>
        <v>194</v>
      </c>
      <c r="AA522" s="20">
        <f t="shared" si="76"/>
        <v>0</v>
      </c>
      <c r="AB522" s="20">
        <f t="shared" si="76"/>
        <v>0</v>
      </c>
      <c r="AC522" s="20">
        <f t="shared" si="76"/>
        <v>0</v>
      </c>
      <c r="AD522" s="20">
        <f t="shared" si="75"/>
        <v>0</v>
      </c>
      <c r="AE522" s="20">
        <f t="shared" si="75"/>
        <v>7</v>
      </c>
      <c r="AF522" s="20">
        <f t="shared" si="75"/>
        <v>10</v>
      </c>
      <c r="AG522" s="300">
        <f t="shared" si="78"/>
        <v>211</v>
      </c>
      <c r="AH522" s="42">
        <f t="shared" si="74"/>
        <v>2</v>
      </c>
      <c r="AI522" s="42">
        <f t="shared" si="74"/>
        <v>0</v>
      </c>
      <c r="AJ522" s="42">
        <f t="shared" si="74"/>
        <v>0</v>
      </c>
      <c r="AK522" s="42">
        <f t="shared" si="74"/>
        <v>0</v>
      </c>
      <c r="AL522" s="42">
        <f t="shared" si="73"/>
        <v>0</v>
      </c>
      <c r="AM522" s="42">
        <f t="shared" si="73"/>
        <v>0</v>
      </c>
      <c r="AN522" s="42">
        <f t="shared" si="73"/>
        <v>0</v>
      </c>
      <c r="AO522" s="42">
        <f t="shared" si="73"/>
        <v>2</v>
      </c>
    </row>
    <row r="523" spans="1:41" ht="15.75">
      <c r="A523" s="16">
        <f t="shared" si="81"/>
        <v>520</v>
      </c>
      <c r="B523" s="390">
        <v>5084</v>
      </c>
      <c r="C523" s="391" t="s">
        <v>6357</v>
      </c>
      <c r="D523" s="392" t="s">
        <v>6358</v>
      </c>
      <c r="E523" s="393" t="s">
        <v>6359</v>
      </c>
      <c r="F523" s="394" t="s">
        <v>4386</v>
      </c>
      <c r="G523" s="429" t="s">
        <v>6475</v>
      </c>
      <c r="H523" s="395">
        <v>31169</v>
      </c>
      <c r="I523" s="396">
        <v>44157</v>
      </c>
      <c r="J523" s="459" t="s">
        <v>6293</v>
      </c>
      <c r="K523" s="462" t="s">
        <v>45</v>
      </c>
      <c r="L523" s="460" t="s">
        <v>6350</v>
      </c>
      <c r="M523" s="1">
        <v>192</v>
      </c>
      <c r="N523" s="431">
        <v>0</v>
      </c>
      <c r="O523" s="432">
        <v>0</v>
      </c>
      <c r="P523" s="432">
        <v>0</v>
      </c>
      <c r="Q523" s="432">
        <v>0</v>
      </c>
      <c r="R523" s="1">
        <v>7</v>
      </c>
      <c r="S523" s="1">
        <v>10</v>
      </c>
      <c r="T523" s="300">
        <f t="shared" si="80"/>
        <v>209</v>
      </c>
      <c r="U523" s="3"/>
      <c r="V523" s="3"/>
      <c r="W523" s="3"/>
      <c r="X523" s="3"/>
      <c r="Y523" s="3"/>
      <c r="Z523" s="20">
        <f t="shared" si="77"/>
        <v>194</v>
      </c>
      <c r="AA523" s="20">
        <f t="shared" si="76"/>
        <v>0</v>
      </c>
      <c r="AB523" s="20">
        <f t="shared" si="76"/>
        <v>0</v>
      </c>
      <c r="AC523" s="20">
        <f t="shared" si="76"/>
        <v>0</v>
      </c>
      <c r="AD523" s="20">
        <f t="shared" si="75"/>
        <v>0</v>
      </c>
      <c r="AE523" s="20">
        <f t="shared" si="75"/>
        <v>7</v>
      </c>
      <c r="AF523" s="20">
        <f t="shared" si="75"/>
        <v>10</v>
      </c>
      <c r="AG523" s="300">
        <f t="shared" si="78"/>
        <v>211</v>
      </c>
      <c r="AH523" s="42">
        <f t="shared" si="74"/>
        <v>2</v>
      </c>
      <c r="AI523" s="42">
        <f t="shared" si="74"/>
        <v>0</v>
      </c>
      <c r="AJ523" s="42">
        <f t="shared" si="74"/>
        <v>0</v>
      </c>
      <c r="AK523" s="42">
        <f t="shared" si="74"/>
        <v>0</v>
      </c>
      <c r="AL523" s="42">
        <f t="shared" si="73"/>
        <v>0</v>
      </c>
      <c r="AM523" s="42">
        <f t="shared" si="73"/>
        <v>0</v>
      </c>
      <c r="AN523" s="42">
        <f t="shared" si="73"/>
        <v>0</v>
      </c>
      <c r="AO523" s="42">
        <f t="shared" si="73"/>
        <v>2</v>
      </c>
    </row>
    <row r="524" spans="1:41" ht="15.75">
      <c r="A524" s="16">
        <f t="shared" si="81"/>
        <v>521</v>
      </c>
      <c r="B524" s="390">
        <v>5085</v>
      </c>
      <c r="C524" s="391" t="s">
        <v>6360</v>
      </c>
      <c r="D524" s="392" t="s">
        <v>6361</v>
      </c>
      <c r="E524" s="393" t="s">
        <v>6362</v>
      </c>
      <c r="F524" s="394" t="s">
        <v>6363</v>
      </c>
      <c r="G524" s="429" t="s">
        <v>6475</v>
      </c>
      <c r="H524" s="395">
        <v>33049</v>
      </c>
      <c r="I524" s="396">
        <v>44158</v>
      </c>
      <c r="J524" s="459" t="s">
        <v>6293</v>
      </c>
      <c r="K524" s="462" t="s">
        <v>45</v>
      </c>
      <c r="L524" s="460" t="s">
        <v>6350</v>
      </c>
      <c r="M524" s="1">
        <v>192</v>
      </c>
      <c r="N524" s="431">
        <v>0</v>
      </c>
      <c r="O524" s="432">
        <v>0</v>
      </c>
      <c r="P524" s="432">
        <v>0</v>
      </c>
      <c r="Q524" s="432">
        <v>0</v>
      </c>
      <c r="R524" s="1">
        <v>7</v>
      </c>
      <c r="S524" s="1">
        <v>10</v>
      </c>
      <c r="T524" s="300">
        <f t="shared" si="80"/>
        <v>209</v>
      </c>
      <c r="U524" s="3"/>
      <c r="V524" s="3"/>
      <c r="W524" s="3"/>
      <c r="X524" s="3"/>
      <c r="Y524" s="3"/>
      <c r="Z524" s="20">
        <f t="shared" si="77"/>
        <v>194</v>
      </c>
      <c r="AA524" s="20">
        <f t="shared" si="76"/>
        <v>0</v>
      </c>
      <c r="AB524" s="20">
        <f t="shared" si="76"/>
        <v>0</v>
      </c>
      <c r="AC524" s="20">
        <f t="shared" si="76"/>
        <v>0</v>
      </c>
      <c r="AD524" s="20">
        <f t="shared" si="75"/>
        <v>0</v>
      </c>
      <c r="AE524" s="20">
        <f t="shared" si="75"/>
        <v>7</v>
      </c>
      <c r="AF524" s="20">
        <f t="shared" si="75"/>
        <v>10</v>
      </c>
      <c r="AG524" s="300">
        <f t="shared" si="78"/>
        <v>211</v>
      </c>
      <c r="AH524" s="42">
        <f t="shared" si="74"/>
        <v>2</v>
      </c>
      <c r="AI524" s="42">
        <f t="shared" si="74"/>
        <v>0</v>
      </c>
      <c r="AJ524" s="42">
        <f t="shared" si="74"/>
        <v>0</v>
      </c>
      <c r="AK524" s="42">
        <f t="shared" si="74"/>
        <v>0</v>
      </c>
      <c r="AL524" s="42">
        <f t="shared" si="73"/>
        <v>0</v>
      </c>
      <c r="AM524" s="42">
        <f t="shared" si="73"/>
        <v>0</v>
      </c>
      <c r="AN524" s="42">
        <f t="shared" si="73"/>
        <v>0</v>
      </c>
      <c r="AO524" s="42">
        <f t="shared" si="73"/>
        <v>2</v>
      </c>
    </row>
    <row r="525" spans="1:41" ht="15.75">
      <c r="A525" s="16">
        <f t="shared" si="81"/>
        <v>522</v>
      </c>
      <c r="B525" s="390">
        <v>5087</v>
      </c>
      <c r="C525" s="391" t="s">
        <v>6364</v>
      </c>
      <c r="D525" s="392" t="s">
        <v>6365</v>
      </c>
      <c r="E525" s="393" t="s">
        <v>6366</v>
      </c>
      <c r="F525" s="394" t="s">
        <v>5285</v>
      </c>
      <c r="G525" s="461" t="s">
        <v>6475</v>
      </c>
      <c r="H525" s="395">
        <v>32478</v>
      </c>
      <c r="I525" s="357">
        <v>44277</v>
      </c>
      <c r="J525" s="459" t="s">
        <v>6159</v>
      </c>
      <c r="K525" s="460" t="s">
        <v>3070</v>
      </c>
      <c r="L525" s="463" t="s">
        <v>6367</v>
      </c>
      <c r="M525" s="1">
        <v>192</v>
      </c>
      <c r="N525" s="431">
        <v>0</v>
      </c>
      <c r="O525" s="432">
        <v>0</v>
      </c>
      <c r="P525" s="432">
        <v>150</v>
      </c>
      <c r="Q525" s="432">
        <v>81</v>
      </c>
      <c r="R525" s="1">
        <v>7</v>
      </c>
      <c r="S525" s="1">
        <v>10</v>
      </c>
      <c r="T525" s="300">
        <f t="shared" si="80"/>
        <v>440</v>
      </c>
      <c r="U525" s="3"/>
      <c r="V525" s="3"/>
      <c r="W525" s="3"/>
      <c r="X525" s="3"/>
      <c r="Y525" s="3"/>
      <c r="Z525" s="20">
        <f t="shared" si="77"/>
        <v>194</v>
      </c>
      <c r="AA525" s="20">
        <f t="shared" si="76"/>
        <v>0</v>
      </c>
      <c r="AB525" s="20">
        <f t="shared" si="76"/>
        <v>0</v>
      </c>
      <c r="AC525" s="20">
        <f t="shared" si="76"/>
        <v>150</v>
      </c>
      <c r="AD525" s="20">
        <f t="shared" si="75"/>
        <v>81</v>
      </c>
      <c r="AE525" s="20">
        <f t="shared" si="75"/>
        <v>7</v>
      </c>
      <c r="AF525" s="20">
        <f t="shared" si="75"/>
        <v>10</v>
      </c>
      <c r="AG525" s="300">
        <f t="shared" si="78"/>
        <v>442</v>
      </c>
      <c r="AH525" s="42">
        <f t="shared" si="74"/>
        <v>2</v>
      </c>
      <c r="AI525" s="42">
        <f t="shared" si="74"/>
        <v>0</v>
      </c>
      <c r="AJ525" s="42">
        <f t="shared" si="74"/>
        <v>0</v>
      </c>
      <c r="AK525" s="42">
        <f t="shared" si="74"/>
        <v>0</v>
      </c>
      <c r="AL525" s="42">
        <f t="shared" si="73"/>
        <v>0</v>
      </c>
      <c r="AM525" s="42">
        <f t="shared" si="73"/>
        <v>0</v>
      </c>
      <c r="AN525" s="42">
        <f t="shared" si="73"/>
        <v>0</v>
      </c>
      <c r="AO525" s="42">
        <f t="shared" si="73"/>
        <v>2</v>
      </c>
    </row>
    <row r="526" spans="1:41" ht="15.75">
      <c r="A526" s="16">
        <f t="shared" si="81"/>
        <v>523</v>
      </c>
      <c r="B526" s="390">
        <v>5090</v>
      </c>
      <c r="C526" s="391" t="s">
        <v>6368</v>
      </c>
      <c r="D526" s="392" t="s">
        <v>5006</v>
      </c>
      <c r="E526" s="393" t="s">
        <v>4863</v>
      </c>
      <c r="F526" s="394" t="s">
        <v>6369</v>
      </c>
      <c r="G526" s="461" t="s">
        <v>6475</v>
      </c>
      <c r="H526" s="408">
        <v>37318</v>
      </c>
      <c r="I526" s="396">
        <v>44410</v>
      </c>
      <c r="J526" s="459" t="s">
        <v>6159</v>
      </c>
      <c r="K526" s="460" t="s">
        <v>3070</v>
      </c>
      <c r="L526" s="460" t="s">
        <v>6116</v>
      </c>
      <c r="M526" s="1">
        <v>187</v>
      </c>
      <c r="N526" s="431">
        <v>0</v>
      </c>
      <c r="O526" s="432">
        <v>0</v>
      </c>
      <c r="P526" s="432">
        <v>0</v>
      </c>
      <c r="Q526" s="432">
        <v>0</v>
      </c>
      <c r="R526" s="1">
        <v>7</v>
      </c>
      <c r="S526" s="1">
        <v>10</v>
      </c>
      <c r="T526" s="300">
        <f t="shared" si="80"/>
        <v>204</v>
      </c>
      <c r="U526" s="3"/>
      <c r="V526" s="3"/>
      <c r="W526" s="3"/>
      <c r="X526" s="3"/>
      <c r="Y526" s="3"/>
      <c r="Z526" s="20">
        <f t="shared" si="77"/>
        <v>189</v>
      </c>
      <c r="AA526" s="20">
        <f t="shared" si="76"/>
        <v>0</v>
      </c>
      <c r="AB526" s="20">
        <f t="shared" si="76"/>
        <v>0</v>
      </c>
      <c r="AC526" s="20">
        <f t="shared" si="76"/>
        <v>0</v>
      </c>
      <c r="AD526" s="20">
        <f t="shared" si="75"/>
        <v>0</v>
      </c>
      <c r="AE526" s="20">
        <f t="shared" si="75"/>
        <v>7</v>
      </c>
      <c r="AF526" s="20">
        <f t="shared" si="75"/>
        <v>10</v>
      </c>
      <c r="AG526" s="300">
        <f t="shared" si="78"/>
        <v>206</v>
      </c>
      <c r="AH526" s="42">
        <f t="shared" si="74"/>
        <v>2</v>
      </c>
      <c r="AI526" s="42">
        <f t="shared" si="74"/>
        <v>0</v>
      </c>
      <c r="AJ526" s="42">
        <f t="shared" si="74"/>
        <v>0</v>
      </c>
      <c r="AK526" s="42">
        <f t="shared" si="74"/>
        <v>0</v>
      </c>
      <c r="AL526" s="42">
        <f t="shared" si="73"/>
        <v>0</v>
      </c>
      <c r="AM526" s="42">
        <f t="shared" si="73"/>
        <v>0</v>
      </c>
      <c r="AN526" s="42">
        <f t="shared" si="73"/>
        <v>0</v>
      </c>
      <c r="AO526" s="42">
        <f t="shared" si="73"/>
        <v>2</v>
      </c>
    </row>
    <row r="527" spans="1:41" ht="15.75">
      <c r="A527" s="16">
        <f t="shared" si="81"/>
        <v>524</v>
      </c>
      <c r="B527" s="390">
        <v>5093</v>
      </c>
      <c r="C527" s="391" t="s">
        <v>6370</v>
      </c>
      <c r="D527" s="392" t="s">
        <v>6371</v>
      </c>
      <c r="E527" s="393" t="s">
        <v>944</v>
      </c>
      <c r="F527" s="394" t="s">
        <v>6050</v>
      </c>
      <c r="G527" s="461" t="s">
        <v>6475</v>
      </c>
      <c r="H527" s="408">
        <v>35524</v>
      </c>
      <c r="I527" s="396">
        <v>44421</v>
      </c>
      <c r="J527" s="459" t="s">
        <v>6293</v>
      </c>
      <c r="K527" s="460" t="s">
        <v>80</v>
      </c>
      <c r="L527" s="460" t="s">
        <v>6337</v>
      </c>
      <c r="M527" s="1">
        <v>187</v>
      </c>
      <c r="N527" s="431">
        <v>0</v>
      </c>
      <c r="O527" s="432">
        <v>0</v>
      </c>
      <c r="P527" s="432">
        <v>0</v>
      </c>
      <c r="Q527" s="432">
        <v>0</v>
      </c>
      <c r="R527" s="1">
        <v>7</v>
      </c>
      <c r="S527" s="1">
        <v>10</v>
      </c>
      <c r="T527" s="300">
        <f t="shared" si="80"/>
        <v>204</v>
      </c>
      <c r="U527" s="3"/>
      <c r="V527" s="3"/>
      <c r="W527" s="3"/>
      <c r="X527" s="3"/>
      <c r="Y527" s="3"/>
      <c r="Z527" s="20">
        <f t="shared" si="77"/>
        <v>189</v>
      </c>
      <c r="AA527" s="20">
        <f t="shared" si="76"/>
        <v>0</v>
      </c>
      <c r="AB527" s="20">
        <f t="shared" si="76"/>
        <v>0</v>
      </c>
      <c r="AC527" s="20">
        <f t="shared" si="76"/>
        <v>0</v>
      </c>
      <c r="AD527" s="20">
        <f t="shared" si="75"/>
        <v>0</v>
      </c>
      <c r="AE527" s="20">
        <f t="shared" si="75"/>
        <v>7</v>
      </c>
      <c r="AF527" s="20">
        <f t="shared" si="75"/>
        <v>10</v>
      </c>
      <c r="AG527" s="300">
        <f t="shared" si="78"/>
        <v>206</v>
      </c>
      <c r="AH527" s="42">
        <f t="shared" si="74"/>
        <v>2</v>
      </c>
      <c r="AI527" s="42">
        <f t="shared" si="74"/>
        <v>0</v>
      </c>
      <c r="AJ527" s="42">
        <f t="shared" si="74"/>
        <v>0</v>
      </c>
      <c r="AK527" s="42">
        <f t="shared" si="74"/>
        <v>0</v>
      </c>
      <c r="AL527" s="42">
        <f t="shared" si="73"/>
        <v>0</v>
      </c>
      <c r="AM527" s="42">
        <f t="shared" si="73"/>
        <v>0</v>
      </c>
      <c r="AN527" s="42">
        <f t="shared" si="73"/>
        <v>0</v>
      </c>
      <c r="AO527" s="42">
        <f t="shared" si="73"/>
        <v>2</v>
      </c>
    </row>
    <row r="528" spans="1:41" ht="15.75">
      <c r="A528" s="16">
        <f t="shared" si="81"/>
        <v>525</v>
      </c>
      <c r="B528" s="390">
        <v>5088</v>
      </c>
      <c r="C528" s="391" t="s">
        <v>5954</v>
      </c>
      <c r="D528" s="392" t="s">
        <v>5955</v>
      </c>
      <c r="E528" s="393" t="s">
        <v>5956</v>
      </c>
      <c r="F528" s="394" t="s">
        <v>5957</v>
      </c>
      <c r="G528" s="461" t="s">
        <v>6475</v>
      </c>
      <c r="H528" s="408">
        <v>33060</v>
      </c>
      <c r="I528" s="396">
        <v>44399</v>
      </c>
      <c r="J528" s="459" t="s">
        <v>6293</v>
      </c>
      <c r="K528" s="460" t="s">
        <v>80</v>
      </c>
      <c r="L528" s="460" t="s">
        <v>6337</v>
      </c>
      <c r="M528" s="1">
        <v>192</v>
      </c>
      <c r="N528" s="431">
        <v>0</v>
      </c>
      <c r="O528" s="432">
        <v>0</v>
      </c>
      <c r="P528" s="432">
        <v>0</v>
      </c>
      <c r="Q528" s="432">
        <v>0</v>
      </c>
      <c r="R528" s="1">
        <v>7</v>
      </c>
      <c r="S528" s="1">
        <v>10</v>
      </c>
      <c r="T528" s="300">
        <f t="shared" si="80"/>
        <v>209</v>
      </c>
      <c r="U528" s="3"/>
      <c r="V528" s="3"/>
      <c r="W528" s="3"/>
      <c r="X528" s="3"/>
      <c r="Y528" s="3"/>
      <c r="Z528" s="20">
        <f t="shared" si="77"/>
        <v>194</v>
      </c>
      <c r="AA528" s="20">
        <f t="shared" si="76"/>
        <v>0</v>
      </c>
      <c r="AB528" s="20">
        <f t="shared" si="76"/>
        <v>0</v>
      </c>
      <c r="AC528" s="20">
        <f t="shared" si="76"/>
        <v>0</v>
      </c>
      <c r="AD528" s="20">
        <f t="shared" si="75"/>
        <v>0</v>
      </c>
      <c r="AE528" s="20">
        <f t="shared" si="75"/>
        <v>7</v>
      </c>
      <c r="AF528" s="20">
        <f t="shared" si="75"/>
        <v>10</v>
      </c>
      <c r="AG528" s="300">
        <f t="shared" si="78"/>
        <v>211</v>
      </c>
      <c r="AH528" s="42">
        <f t="shared" si="74"/>
        <v>2</v>
      </c>
      <c r="AI528" s="42">
        <f t="shared" si="74"/>
        <v>0</v>
      </c>
      <c r="AJ528" s="42">
        <f t="shared" si="74"/>
        <v>0</v>
      </c>
      <c r="AK528" s="42">
        <f t="shared" si="74"/>
        <v>0</v>
      </c>
      <c r="AL528" s="42">
        <f t="shared" si="73"/>
        <v>0</v>
      </c>
      <c r="AM528" s="42">
        <f t="shared" si="73"/>
        <v>0</v>
      </c>
      <c r="AN528" s="42">
        <f t="shared" si="73"/>
        <v>0</v>
      </c>
      <c r="AO528" s="42">
        <f t="shared" ref="AO528:AO584" si="82">AG528-T528</f>
        <v>2</v>
      </c>
    </row>
    <row r="529" spans="1:41" ht="15.75">
      <c r="A529" s="16">
        <f t="shared" si="81"/>
        <v>526</v>
      </c>
      <c r="B529" s="390">
        <v>5089</v>
      </c>
      <c r="C529" s="391" t="s">
        <v>4429</v>
      </c>
      <c r="D529" s="392" t="s">
        <v>6372</v>
      </c>
      <c r="E529" s="393" t="s">
        <v>4430</v>
      </c>
      <c r="F529" s="394" t="s">
        <v>6373</v>
      </c>
      <c r="G529" s="461" t="s">
        <v>6473</v>
      </c>
      <c r="H529" s="408">
        <v>32234</v>
      </c>
      <c r="I529" s="396">
        <v>44400</v>
      </c>
      <c r="J529" s="459" t="s">
        <v>6293</v>
      </c>
      <c r="K529" s="460" t="s">
        <v>80</v>
      </c>
      <c r="L529" s="460" t="s">
        <v>6337</v>
      </c>
      <c r="M529" s="1">
        <v>192</v>
      </c>
      <c r="N529" s="431">
        <v>0</v>
      </c>
      <c r="O529" s="432">
        <v>0</v>
      </c>
      <c r="P529" s="432">
        <v>0</v>
      </c>
      <c r="Q529" s="432">
        <v>0</v>
      </c>
      <c r="R529" s="1">
        <v>7</v>
      </c>
      <c r="S529" s="1">
        <v>10</v>
      </c>
      <c r="T529" s="300">
        <f t="shared" si="80"/>
        <v>209</v>
      </c>
      <c r="U529" s="3"/>
      <c r="V529" s="3"/>
      <c r="W529" s="3"/>
      <c r="X529" s="3"/>
      <c r="Y529" s="3"/>
      <c r="Z529" s="20">
        <f t="shared" si="77"/>
        <v>194</v>
      </c>
      <c r="AA529" s="20">
        <f t="shared" si="76"/>
        <v>0</v>
      </c>
      <c r="AB529" s="20">
        <f t="shared" si="76"/>
        <v>0</v>
      </c>
      <c r="AC529" s="20">
        <f t="shared" si="76"/>
        <v>0</v>
      </c>
      <c r="AD529" s="20">
        <f t="shared" si="75"/>
        <v>0</v>
      </c>
      <c r="AE529" s="20">
        <f t="shared" si="75"/>
        <v>7</v>
      </c>
      <c r="AF529" s="20">
        <f t="shared" si="75"/>
        <v>10</v>
      </c>
      <c r="AG529" s="300">
        <f t="shared" si="78"/>
        <v>211</v>
      </c>
      <c r="AH529" s="42">
        <f t="shared" si="74"/>
        <v>2</v>
      </c>
      <c r="AI529" s="42">
        <f t="shared" si="74"/>
        <v>0</v>
      </c>
      <c r="AJ529" s="42">
        <f t="shared" si="74"/>
        <v>0</v>
      </c>
      <c r="AK529" s="42">
        <f t="shared" si="74"/>
        <v>0</v>
      </c>
      <c r="AL529" s="42">
        <f t="shared" si="74"/>
        <v>0</v>
      </c>
      <c r="AM529" s="42">
        <f t="shared" si="74"/>
        <v>0</v>
      </c>
      <c r="AN529" s="42">
        <f t="shared" si="74"/>
        <v>0</v>
      </c>
      <c r="AO529" s="42">
        <f t="shared" si="82"/>
        <v>2</v>
      </c>
    </row>
    <row r="530" spans="1:41" ht="15.75">
      <c r="A530" s="16">
        <f t="shared" si="81"/>
        <v>527</v>
      </c>
      <c r="B530" s="390">
        <v>5094</v>
      </c>
      <c r="C530" s="391" t="s">
        <v>567</v>
      </c>
      <c r="D530" s="392" t="s">
        <v>5027</v>
      </c>
      <c r="E530" s="393" t="s">
        <v>6374</v>
      </c>
      <c r="F530" s="394" t="s">
        <v>5029</v>
      </c>
      <c r="G530" s="461" t="s">
        <v>6473</v>
      </c>
      <c r="H530" s="408">
        <v>33003</v>
      </c>
      <c r="I530" s="396">
        <v>44440</v>
      </c>
      <c r="J530" s="459" t="s">
        <v>6293</v>
      </c>
      <c r="K530" s="460" t="s">
        <v>6125</v>
      </c>
      <c r="L530" s="460" t="s">
        <v>6339</v>
      </c>
      <c r="M530" s="1">
        <v>192</v>
      </c>
      <c r="N530" s="431">
        <v>0</v>
      </c>
      <c r="O530" s="432">
        <v>0</v>
      </c>
      <c r="P530" s="432">
        <v>0</v>
      </c>
      <c r="Q530" s="432">
        <v>0</v>
      </c>
      <c r="R530" s="1">
        <v>7</v>
      </c>
      <c r="S530" s="1">
        <v>10</v>
      </c>
      <c r="T530" s="300">
        <f t="shared" si="80"/>
        <v>209</v>
      </c>
      <c r="U530" s="3"/>
      <c r="V530" s="3"/>
      <c r="W530" s="3"/>
      <c r="X530" s="3"/>
      <c r="Y530" s="3"/>
      <c r="Z530" s="20">
        <f t="shared" si="77"/>
        <v>194</v>
      </c>
      <c r="AA530" s="20">
        <f t="shared" si="76"/>
        <v>0</v>
      </c>
      <c r="AB530" s="20">
        <f t="shared" si="76"/>
        <v>0</v>
      </c>
      <c r="AC530" s="20">
        <f t="shared" si="76"/>
        <v>0</v>
      </c>
      <c r="AD530" s="20">
        <f t="shared" si="75"/>
        <v>0</v>
      </c>
      <c r="AE530" s="20">
        <f t="shared" si="75"/>
        <v>7</v>
      </c>
      <c r="AF530" s="20">
        <f t="shared" si="75"/>
        <v>10</v>
      </c>
      <c r="AG530" s="300">
        <f t="shared" si="78"/>
        <v>211</v>
      </c>
      <c r="AH530" s="42">
        <f t="shared" si="74"/>
        <v>2</v>
      </c>
      <c r="AI530" s="42">
        <f t="shared" si="74"/>
        <v>0</v>
      </c>
      <c r="AJ530" s="42">
        <f t="shared" si="74"/>
        <v>0</v>
      </c>
      <c r="AK530" s="42">
        <f t="shared" si="74"/>
        <v>0</v>
      </c>
      <c r="AL530" s="42">
        <f t="shared" si="74"/>
        <v>0</v>
      </c>
      <c r="AM530" s="42">
        <f t="shared" si="74"/>
        <v>0</v>
      </c>
      <c r="AN530" s="42">
        <f t="shared" si="74"/>
        <v>0</v>
      </c>
      <c r="AO530" s="42">
        <f t="shared" si="82"/>
        <v>2</v>
      </c>
    </row>
    <row r="531" spans="1:41" ht="15.75">
      <c r="A531" s="16">
        <f t="shared" si="81"/>
        <v>528</v>
      </c>
      <c r="B531" s="390">
        <v>5095</v>
      </c>
      <c r="C531" s="391" t="s">
        <v>958</v>
      </c>
      <c r="D531" s="392" t="s">
        <v>2246</v>
      </c>
      <c r="E531" s="393" t="s">
        <v>959</v>
      </c>
      <c r="F531" s="394" t="s">
        <v>6036</v>
      </c>
      <c r="G531" s="461" t="s">
        <v>6473</v>
      </c>
      <c r="H531" s="408">
        <v>36171</v>
      </c>
      <c r="I531" s="396">
        <v>44440</v>
      </c>
      <c r="J531" s="459" t="s">
        <v>6293</v>
      </c>
      <c r="K531" s="460" t="s">
        <v>6125</v>
      </c>
      <c r="L531" s="460" t="s">
        <v>6339</v>
      </c>
      <c r="M531" s="1">
        <v>192</v>
      </c>
      <c r="N531" s="431">
        <v>0</v>
      </c>
      <c r="O531" s="432">
        <v>0</v>
      </c>
      <c r="P531" s="432">
        <v>0</v>
      </c>
      <c r="Q531" s="432">
        <v>0</v>
      </c>
      <c r="R531" s="1">
        <v>7</v>
      </c>
      <c r="S531" s="1">
        <v>10</v>
      </c>
      <c r="T531" s="300">
        <f t="shared" si="80"/>
        <v>209</v>
      </c>
      <c r="U531" s="3"/>
      <c r="V531" s="3"/>
      <c r="W531" s="3"/>
      <c r="X531" s="3"/>
      <c r="Y531" s="3"/>
      <c r="Z531" s="20">
        <f t="shared" si="77"/>
        <v>194</v>
      </c>
      <c r="AA531" s="20">
        <f t="shared" si="76"/>
        <v>0</v>
      </c>
      <c r="AB531" s="20">
        <f t="shared" si="76"/>
        <v>0</v>
      </c>
      <c r="AC531" s="20">
        <f t="shared" si="76"/>
        <v>0</v>
      </c>
      <c r="AD531" s="20">
        <f t="shared" si="75"/>
        <v>0</v>
      </c>
      <c r="AE531" s="20">
        <f t="shared" si="75"/>
        <v>7</v>
      </c>
      <c r="AF531" s="20">
        <f t="shared" si="75"/>
        <v>10</v>
      </c>
      <c r="AG531" s="300">
        <f t="shared" si="78"/>
        <v>211</v>
      </c>
      <c r="AH531" s="42">
        <f t="shared" si="74"/>
        <v>2</v>
      </c>
      <c r="AI531" s="42">
        <f t="shared" si="74"/>
        <v>0</v>
      </c>
      <c r="AJ531" s="42">
        <f t="shared" si="74"/>
        <v>0</v>
      </c>
      <c r="AK531" s="42">
        <f t="shared" si="74"/>
        <v>0</v>
      </c>
      <c r="AL531" s="42">
        <f t="shared" si="74"/>
        <v>0</v>
      </c>
      <c r="AM531" s="42">
        <f t="shared" ref="AM531:AO587" si="83">AE531-R531</f>
        <v>0</v>
      </c>
      <c r="AN531" s="42">
        <f t="shared" si="83"/>
        <v>0</v>
      </c>
      <c r="AO531" s="42">
        <f t="shared" si="82"/>
        <v>2</v>
      </c>
    </row>
    <row r="532" spans="1:41" ht="15.75">
      <c r="A532" s="16">
        <f t="shared" si="81"/>
        <v>529</v>
      </c>
      <c r="B532" s="390">
        <v>5096</v>
      </c>
      <c r="C532" s="391" t="s">
        <v>3066</v>
      </c>
      <c r="D532" s="392" t="s">
        <v>3067</v>
      </c>
      <c r="E532" s="393" t="s">
        <v>6375</v>
      </c>
      <c r="F532" s="394" t="s">
        <v>6376</v>
      </c>
      <c r="G532" s="461" t="s">
        <v>6475</v>
      </c>
      <c r="H532" s="408">
        <v>33666</v>
      </c>
      <c r="I532" s="396">
        <v>44446</v>
      </c>
      <c r="J532" s="459" t="s">
        <v>6159</v>
      </c>
      <c r="K532" s="462" t="s">
        <v>3070</v>
      </c>
      <c r="L532" s="462" t="s">
        <v>6010</v>
      </c>
      <c r="M532" s="1">
        <v>192</v>
      </c>
      <c r="N532" s="431">
        <v>0</v>
      </c>
      <c r="O532" s="432">
        <v>0</v>
      </c>
      <c r="P532" s="432">
        <v>0</v>
      </c>
      <c r="Q532" s="432">
        <v>0</v>
      </c>
      <c r="R532" s="1">
        <v>7</v>
      </c>
      <c r="S532" s="1">
        <v>10</v>
      </c>
      <c r="T532" s="300">
        <f t="shared" si="80"/>
        <v>209</v>
      </c>
      <c r="U532" s="3"/>
      <c r="V532" s="3"/>
      <c r="W532" s="3"/>
      <c r="X532" s="3"/>
      <c r="Y532" s="3"/>
      <c r="Z532" s="20">
        <f t="shared" si="77"/>
        <v>194</v>
      </c>
      <c r="AA532" s="20">
        <f t="shared" si="76"/>
        <v>0</v>
      </c>
      <c r="AB532" s="20">
        <f t="shared" si="76"/>
        <v>0</v>
      </c>
      <c r="AC532" s="20">
        <f t="shared" si="76"/>
        <v>0</v>
      </c>
      <c r="AD532" s="20">
        <f t="shared" si="75"/>
        <v>0</v>
      </c>
      <c r="AE532" s="20">
        <f t="shared" si="75"/>
        <v>7</v>
      </c>
      <c r="AF532" s="20">
        <f t="shared" si="75"/>
        <v>10</v>
      </c>
      <c r="AG532" s="300">
        <f t="shared" si="78"/>
        <v>211</v>
      </c>
      <c r="AH532" s="42">
        <f t="shared" ref="AH532:AL576" si="84">Z532-M532</f>
        <v>2</v>
      </c>
      <c r="AI532" s="42">
        <f t="shared" si="84"/>
        <v>0</v>
      </c>
      <c r="AJ532" s="42">
        <f t="shared" si="84"/>
        <v>0</v>
      </c>
      <c r="AK532" s="42">
        <f t="shared" si="84"/>
        <v>0</v>
      </c>
      <c r="AL532" s="42">
        <f t="shared" si="84"/>
        <v>0</v>
      </c>
      <c r="AM532" s="42">
        <f t="shared" si="83"/>
        <v>0</v>
      </c>
      <c r="AN532" s="42">
        <f t="shared" si="83"/>
        <v>0</v>
      </c>
      <c r="AO532" s="42">
        <f t="shared" si="82"/>
        <v>2</v>
      </c>
    </row>
    <row r="533" spans="1:41" ht="15.75">
      <c r="A533" s="16">
        <f t="shared" si="81"/>
        <v>530</v>
      </c>
      <c r="B533" s="390">
        <v>5097</v>
      </c>
      <c r="C533" s="391" t="s">
        <v>2483</v>
      </c>
      <c r="D533" s="392" t="s">
        <v>2484</v>
      </c>
      <c r="E533" s="393" t="s">
        <v>6194</v>
      </c>
      <c r="F533" s="394" t="s">
        <v>497</v>
      </c>
      <c r="G533" s="461" t="s">
        <v>6475</v>
      </c>
      <c r="H533" s="408">
        <v>32278</v>
      </c>
      <c r="I533" s="396">
        <v>44447</v>
      </c>
      <c r="J533" s="459" t="s">
        <v>6159</v>
      </c>
      <c r="K533" s="462" t="s">
        <v>3070</v>
      </c>
      <c r="L533" s="462" t="s">
        <v>6010</v>
      </c>
      <c r="M533" s="1">
        <v>192</v>
      </c>
      <c r="N533" s="431">
        <v>0</v>
      </c>
      <c r="O533" s="432">
        <v>0</v>
      </c>
      <c r="P533" s="432">
        <v>50</v>
      </c>
      <c r="Q533" s="432">
        <v>0</v>
      </c>
      <c r="R533" s="1">
        <v>7</v>
      </c>
      <c r="S533" s="1">
        <v>10</v>
      </c>
      <c r="T533" s="300">
        <f t="shared" si="80"/>
        <v>259</v>
      </c>
      <c r="U533" s="3"/>
      <c r="V533" s="3"/>
      <c r="W533" s="3"/>
      <c r="X533" s="3"/>
      <c r="Y533" s="3"/>
      <c r="Z533" s="20">
        <f t="shared" si="77"/>
        <v>194</v>
      </c>
      <c r="AA533" s="20">
        <f t="shared" si="76"/>
        <v>0</v>
      </c>
      <c r="AB533" s="20">
        <f t="shared" si="76"/>
        <v>0</v>
      </c>
      <c r="AC533" s="20">
        <f t="shared" si="76"/>
        <v>50</v>
      </c>
      <c r="AD533" s="20">
        <f t="shared" si="75"/>
        <v>0</v>
      </c>
      <c r="AE533" s="20">
        <f t="shared" si="75"/>
        <v>7</v>
      </c>
      <c r="AF533" s="20">
        <f t="shared" si="75"/>
        <v>10</v>
      </c>
      <c r="AG533" s="300">
        <f t="shared" si="78"/>
        <v>261</v>
      </c>
      <c r="AH533" s="42">
        <f t="shared" si="84"/>
        <v>2</v>
      </c>
      <c r="AI533" s="42">
        <f t="shared" si="84"/>
        <v>0</v>
      </c>
      <c r="AJ533" s="42">
        <f t="shared" si="84"/>
        <v>0</v>
      </c>
      <c r="AK533" s="42">
        <f t="shared" si="84"/>
        <v>0</v>
      </c>
      <c r="AL533" s="42">
        <f t="shared" si="84"/>
        <v>0</v>
      </c>
      <c r="AM533" s="42">
        <f t="shared" si="83"/>
        <v>0</v>
      </c>
      <c r="AN533" s="42">
        <f t="shared" si="83"/>
        <v>0</v>
      </c>
      <c r="AO533" s="42">
        <f t="shared" si="82"/>
        <v>2</v>
      </c>
    </row>
    <row r="534" spans="1:41" ht="15.75">
      <c r="A534" s="16">
        <f t="shared" si="81"/>
        <v>531</v>
      </c>
      <c r="B534" s="390">
        <v>5098</v>
      </c>
      <c r="C534" s="391" t="s">
        <v>1118</v>
      </c>
      <c r="D534" s="392" t="s">
        <v>958</v>
      </c>
      <c r="E534" s="393" t="s">
        <v>1120</v>
      </c>
      <c r="F534" s="394" t="s">
        <v>959</v>
      </c>
      <c r="G534" s="461" t="s">
        <v>6475</v>
      </c>
      <c r="H534" s="408">
        <v>30392</v>
      </c>
      <c r="I534" s="396">
        <v>44448</v>
      </c>
      <c r="J534" s="459" t="s">
        <v>6159</v>
      </c>
      <c r="K534" s="462" t="s">
        <v>3070</v>
      </c>
      <c r="L534" s="462" t="s">
        <v>6010</v>
      </c>
      <c r="M534" s="1">
        <v>192</v>
      </c>
      <c r="N534" s="431">
        <v>0</v>
      </c>
      <c r="O534" s="432">
        <v>0</v>
      </c>
      <c r="P534" s="432">
        <v>0</v>
      </c>
      <c r="Q534" s="432">
        <v>0</v>
      </c>
      <c r="R534" s="1">
        <v>7</v>
      </c>
      <c r="S534" s="1">
        <v>10</v>
      </c>
      <c r="T534" s="300">
        <f t="shared" si="80"/>
        <v>209</v>
      </c>
      <c r="U534" s="3"/>
      <c r="V534" s="3"/>
      <c r="W534" s="3"/>
      <c r="X534" s="3"/>
      <c r="Y534" s="3"/>
      <c r="Z534" s="20">
        <f t="shared" si="77"/>
        <v>194</v>
      </c>
      <c r="AA534" s="20">
        <f t="shared" si="76"/>
        <v>0</v>
      </c>
      <c r="AB534" s="20">
        <f t="shared" si="76"/>
        <v>0</v>
      </c>
      <c r="AC534" s="20">
        <f t="shared" si="76"/>
        <v>0</v>
      </c>
      <c r="AD534" s="20">
        <f t="shared" si="75"/>
        <v>0</v>
      </c>
      <c r="AE534" s="20">
        <f t="shared" si="75"/>
        <v>7</v>
      </c>
      <c r="AF534" s="20">
        <f t="shared" si="75"/>
        <v>10</v>
      </c>
      <c r="AG534" s="300">
        <f t="shared" si="78"/>
        <v>211</v>
      </c>
      <c r="AH534" s="42">
        <f t="shared" si="84"/>
        <v>2</v>
      </c>
      <c r="AI534" s="42">
        <f t="shared" si="84"/>
        <v>0</v>
      </c>
      <c r="AJ534" s="42">
        <f t="shared" si="84"/>
        <v>0</v>
      </c>
      <c r="AK534" s="42">
        <f t="shared" si="84"/>
        <v>0</v>
      </c>
      <c r="AL534" s="42">
        <f t="shared" si="84"/>
        <v>0</v>
      </c>
      <c r="AM534" s="42">
        <f t="shared" si="83"/>
        <v>0</v>
      </c>
      <c r="AN534" s="42">
        <f t="shared" si="83"/>
        <v>0</v>
      </c>
      <c r="AO534" s="42">
        <f t="shared" si="82"/>
        <v>2</v>
      </c>
    </row>
    <row r="535" spans="1:41" ht="15.75">
      <c r="A535" s="16">
        <f t="shared" si="81"/>
        <v>532</v>
      </c>
      <c r="B535" s="390">
        <v>5099</v>
      </c>
      <c r="C535" s="391" t="s">
        <v>2985</v>
      </c>
      <c r="D535" s="392" t="s">
        <v>6377</v>
      </c>
      <c r="E535" s="393" t="s">
        <v>6378</v>
      </c>
      <c r="F535" s="394" t="s">
        <v>1414</v>
      </c>
      <c r="G535" s="461" t="s">
        <v>6473</v>
      </c>
      <c r="H535" s="408">
        <v>33244</v>
      </c>
      <c r="I535" s="396">
        <v>44447</v>
      </c>
      <c r="J535" s="459" t="s">
        <v>6293</v>
      </c>
      <c r="K535" s="462" t="s">
        <v>6379</v>
      </c>
      <c r="L535" s="460" t="s">
        <v>6335</v>
      </c>
      <c r="M535" s="1">
        <v>192</v>
      </c>
      <c r="N535" s="431">
        <v>0</v>
      </c>
      <c r="O535" s="432">
        <v>0</v>
      </c>
      <c r="P535" s="432">
        <v>0</v>
      </c>
      <c r="Q535" s="432">
        <v>0</v>
      </c>
      <c r="R535" s="1">
        <v>7</v>
      </c>
      <c r="S535" s="1">
        <v>10</v>
      </c>
      <c r="T535" s="300">
        <f t="shared" si="80"/>
        <v>209</v>
      </c>
      <c r="U535" s="3"/>
      <c r="V535" s="3"/>
      <c r="W535" s="3"/>
      <c r="X535" s="3"/>
      <c r="Y535" s="3"/>
      <c r="Z535" s="20">
        <f t="shared" si="77"/>
        <v>194</v>
      </c>
      <c r="AA535" s="20">
        <f t="shared" si="76"/>
        <v>0</v>
      </c>
      <c r="AB535" s="20">
        <f t="shared" si="76"/>
        <v>0</v>
      </c>
      <c r="AC535" s="20">
        <f t="shared" si="76"/>
        <v>0</v>
      </c>
      <c r="AD535" s="20">
        <f t="shared" si="75"/>
        <v>0</v>
      </c>
      <c r="AE535" s="20">
        <f t="shared" si="75"/>
        <v>7</v>
      </c>
      <c r="AF535" s="20">
        <f t="shared" si="75"/>
        <v>10</v>
      </c>
      <c r="AG535" s="300">
        <f t="shared" si="78"/>
        <v>211</v>
      </c>
      <c r="AH535" s="42">
        <f t="shared" si="84"/>
        <v>2</v>
      </c>
      <c r="AI535" s="42">
        <f t="shared" si="84"/>
        <v>0</v>
      </c>
      <c r="AJ535" s="42">
        <f t="shared" si="84"/>
        <v>0</v>
      </c>
      <c r="AK535" s="42">
        <f t="shared" si="84"/>
        <v>0</v>
      </c>
      <c r="AL535" s="42">
        <f t="shared" si="84"/>
        <v>0</v>
      </c>
      <c r="AM535" s="42">
        <f t="shared" si="83"/>
        <v>0</v>
      </c>
      <c r="AN535" s="42">
        <f t="shared" si="83"/>
        <v>0</v>
      </c>
      <c r="AO535" s="42">
        <f t="shared" si="82"/>
        <v>2</v>
      </c>
    </row>
    <row r="536" spans="1:41" ht="15.75">
      <c r="A536" s="16">
        <f t="shared" si="81"/>
        <v>533</v>
      </c>
      <c r="B536" s="390">
        <v>5100</v>
      </c>
      <c r="C536" s="391" t="s">
        <v>1497</v>
      </c>
      <c r="D536" s="392" t="s">
        <v>1498</v>
      </c>
      <c r="E536" s="393" t="s">
        <v>2027</v>
      </c>
      <c r="F536" s="394" t="s">
        <v>6380</v>
      </c>
      <c r="G536" s="461" t="s">
        <v>6473</v>
      </c>
      <c r="H536" s="408">
        <v>33396</v>
      </c>
      <c r="I536" s="396">
        <v>44447</v>
      </c>
      <c r="J536" s="459" t="s">
        <v>6293</v>
      </c>
      <c r="K536" s="462" t="s">
        <v>6299</v>
      </c>
      <c r="L536" s="460" t="s">
        <v>6335</v>
      </c>
      <c r="M536" s="1">
        <v>192</v>
      </c>
      <c r="N536" s="431">
        <v>0</v>
      </c>
      <c r="O536" s="432">
        <v>0</v>
      </c>
      <c r="P536" s="432">
        <v>0</v>
      </c>
      <c r="Q536" s="432">
        <v>0</v>
      </c>
      <c r="R536" s="1">
        <v>7</v>
      </c>
      <c r="S536" s="1">
        <v>10</v>
      </c>
      <c r="T536" s="300">
        <f t="shared" si="80"/>
        <v>209</v>
      </c>
      <c r="U536" s="3"/>
      <c r="V536" s="3"/>
      <c r="W536" s="3"/>
      <c r="X536" s="3"/>
      <c r="Y536" s="3"/>
      <c r="Z536" s="20">
        <f t="shared" si="77"/>
        <v>194</v>
      </c>
      <c r="AA536" s="20">
        <f t="shared" si="76"/>
        <v>0</v>
      </c>
      <c r="AB536" s="20">
        <f t="shared" si="76"/>
        <v>0</v>
      </c>
      <c r="AC536" s="20">
        <f t="shared" si="76"/>
        <v>0</v>
      </c>
      <c r="AD536" s="20">
        <f t="shared" si="75"/>
        <v>0</v>
      </c>
      <c r="AE536" s="20">
        <f t="shared" si="75"/>
        <v>7</v>
      </c>
      <c r="AF536" s="20">
        <f t="shared" si="75"/>
        <v>10</v>
      </c>
      <c r="AG536" s="300">
        <f t="shared" si="78"/>
        <v>211</v>
      </c>
      <c r="AH536" s="42">
        <f t="shared" si="84"/>
        <v>2</v>
      </c>
      <c r="AI536" s="42">
        <f t="shared" si="84"/>
        <v>0</v>
      </c>
      <c r="AJ536" s="42">
        <f t="shared" si="84"/>
        <v>0</v>
      </c>
      <c r="AK536" s="42">
        <f t="shared" si="84"/>
        <v>0</v>
      </c>
      <c r="AL536" s="42">
        <f t="shared" si="84"/>
        <v>0</v>
      </c>
      <c r="AM536" s="42">
        <f t="shared" si="83"/>
        <v>0</v>
      </c>
      <c r="AN536" s="42">
        <f t="shared" si="83"/>
        <v>0</v>
      </c>
      <c r="AO536" s="42">
        <f t="shared" si="82"/>
        <v>2</v>
      </c>
    </row>
    <row r="537" spans="1:41" ht="15.75">
      <c r="A537" s="16">
        <f t="shared" si="81"/>
        <v>534</v>
      </c>
      <c r="B537" s="390">
        <v>5101</v>
      </c>
      <c r="C537" s="391" t="s">
        <v>6257</v>
      </c>
      <c r="D537" s="392" t="s">
        <v>3218</v>
      </c>
      <c r="E537" s="393" t="s">
        <v>6381</v>
      </c>
      <c r="F537" s="394" t="s">
        <v>6199</v>
      </c>
      <c r="G537" s="461" t="s">
        <v>6473</v>
      </c>
      <c r="H537" s="408">
        <v>33760</v>
      </c>
      <c r="I537" s="396">
        <v>44447</v>
      </c>
      <c r="J537" s="459" t="s">
        <v>6293</v>
      </c>
      <c r="K537" s="462" t="s">
        <v>6134</v>
      </c>
      <c r="L537" s="460" t="s">
        <v>6335</v>
      </c>
      <c r="M537" s="1">
        <v>192</v>
      </c>
      <c r="N537" s="431">
        <v>0</v>
      </c>
      <c r="O537" s="432">
        <v>0</v>
      </c>
      <c r="P537" s="432">
        <v>0</v>
      </c>
      <c r="Q537" s="432">
        <v>0</v>
      </c>
      <c r="R537" s="1">
        <v>7</v>
      </c>
      <c r="S537" s="1">
        <v>10</v>
      </c>
      <c r="T537" s="300">
        <f t="shared" si="80"/>
        <v>209</v>
      </c>
      <c r="U537" s="3"/>
      <c r="V537" s="3"/>
      <c r="W537" s="3"/>
      <c r="X537" s="3"/>
      <c r="Y537" s="3"/>
      <c r="Z537" s="20">
        <f t="shared" si="77"/>
        <v>194</v>
      </c>
      <c r="AA537" s="20">
        <f t="shared" si="76"/>
        <v>0</v>
      </c>
      <c r="AB537" s="20">
        <f t="shared" si="76"/>
        <v>0</v>
      </c>
      <c r="AC537" s="20">
        <f t="shared" si="76"/>
        <v>0</v>
      </c>
      <c r="AD537" s="20">
        <f t="shared" si="75"/>
        <v>0</v>
      </c>
      <c r="AE537" s="20">
        <f t="shared" si="75"/>
        <v>7</v>
      </c>
      <c r="AF537" s="20">
        <f t="shared" si="75"/>
        <v>10</v>
      </c>
      <c r="AG537" s="300">
        <f t="shared" si="78"/>
        <v>211</v>
      </c>
      <c r="AH537" s="42">
        <f t="shared" si="84"/>
        <v>2</v>
      </c>
      <c r="AI537" s="42">
        <f t="shared" si="84"/>
        <v>0</v>
      </c>
      <c r="AJ537" s="42">
        <f t="shared" si="84"/>
        <v>0</v>
      </c>
      <c r="AK537" s="42">
        <f t="shared" si="84"/>
        <v>0</v>
      </c>
      <c r="AL537" s="42">
        <f t="shared" si="84"/>
        <v>0</v>
      </c>
      <c r="AM537" s="42">
        <f t="shared" si="83"/>
        <v>0</v>
      </c>
      <c r="AN537" s="42">
        <f t="shared" si="83"/>
        <v>0</v>
      </c>
      <c r="AO537" s="42">
        <f t="shared" si="82"/>
        <v>2</v>
      </c>
    </row>
    <row r="538" spans="1:41" ht="15.75">
      <c r="A538" s="16">
        <f t="shared" si="81"/>
        <v>535</v>
      </c>
      <c r="B538" s="390">
        <v>5102</v>
      </c>
      <c r="C538" s="391" t="s">
        <v>855</v>
      </c>
      <c r="D538" s="392" t="s">
        <v>3731</v>
      </c>
      <c r="E538" s="393" t="s">
        <v>1573</v>
      </c>
      <c r="F538" s="394" t="s">
        <v>6382</v>
      </c>
      <c r="G538" s="461" t="s">
        <v>6473</v>
      </c>
      <c r="H538" s="395">
        <v>31598</v>
      </c>
      <c r="I538" s="396">
        <v>44447</v>
      </c>
      <c r="J538" s="459" t="s">
        <v>6293</v>
      </c>
      <c r="K538" s="462" t="s">
        <v>6134</v>
      </c>
      <c r="L538" s="460" t="s">
        <v>6335</v>
      </c>
      <c r="M538" s="1">
        <v>192</v>
      </c>
      <c r="N538" s="431">
        <v>0</v>
      </c>
      <c r="O538" s="432">
        <v>0</v>
      </c>
      <c r="P538" s="432">
        <v>0</v>
      </c>
      <c r="Q538" s="432">
        <v>0</v>
      </c>
      <c r="R538" s="1">
        <v>7</v>
      </c>
      <c r="S538" s="1">
        <v>10</v>
      </c>
      <c r="T538" s="300">
        <f t="shared" si="80"/>
        <v>209</v>
      </c>
      <c r="U538" s="3"/>
      <c r="V538" s="3"/>
      <c r="W538" s="3"/>
      <c r="X538" s="3"/>
      <c r="Y538" s="3"/>
      <c r="Z538" s="20">
        <f t="shared" si="77"/>
        <v>194</v>
      </c>
      <c r="AA538" s="20">
        <f t="shared" si="76"/>
        <v>0</v>
      </c>
      <c r="AB538" s="20">
        <f t="shared" si="76"/>
        <v>0</v>
      </c>
      <c r="AC538" s="20">
        <f t="shared" si="76"/>
        <v>0</v>
      </c>
      <c r="AD538" s="20">
        <f t="shared" si="75"/>
        <v>0</v>
      </c>
      <c r="AE538" s="20">
        <f t="shared" si="75"/>
        <v>7</v>
      </c>
      <c r="AF538" s="20">
        <f t="shared" si="75"/>
        <v>10</v>
      </c>
      <c r="AG538" s="300">
        <f t="shared" si="78"/>
        <v>211</v>
      </c>
      <c r="AH538" s="42">
        <f t="shared" si="84"/>
        <v>2</v>
      </c>
      <c r="AI538" s="42">
        <f t="shared" si="84"/>
        <v>0</v>
      </c>
      <c r="AJ538" s="42">
        <f t="shared" si="84"/>
        <v>0</v>
      </c>
      <c r="AK538" s="42">
        <f t="shared" si="84"/>
        <v>0</v>
      </c>
      <c r="AL538" s="42">
        <f t="shared" si="84"/>
        <v>0</v>
      </c>
      <c r="AM538" s="42">
        <f t="shared" si="83"/>
        <v>0</v>
      </c>
      <c r="AN538" s="42">
        <f t="shared" si="83"/>
        <v>0</v>
      </c>
      <c r="AO538" s="42">
        <f t="shared" si="82"/>
        <v>2</v>
      </c>
    </row>
    <row r="539" spans="1:41" ht="15.75">
      <c r="A539" s="16">
        <f t="shared" si="81"/>
        <v>536</v>
      </c>
      <c r="B539" s="390">
        <v>5103</v>
      </c>
      <c r="C539" s="391" t="s">
        <v>5405</v>
      </c>
      <c r="D539" s="392" t="s">
        <v>869</v>
      </c>
      <c r="E539" s="393" t="s">
        <v>6048</v>
      </c>
      <c r="F539" s="394" t="s">
        <v>720</v>
      </c>
      <c r="G539" s="461" t="s">
        <v>6473</v>
      </c>
      <c r="H539" s="395">
        <v>33044</v>
      </c>
      <c r="I539" s="396">
        <v>44447</v>
      </c>
      <c r="J539" s="459" t="s">
        <v>6293</v>
      </c>
      <c r="K539" s="462" t="s">
        <v>6489</v>
      </c>
      <c r="L539" s="460" t="s">
        <v>6335</v>
      </c>
      <c r="M539" s="1">
        <v>192</v>
      </c>
      <c r="N539" s="431">
        <v>0</v>
      </c>
      <c r="O539" s="432">
        <v>0</v>
      </c>
      <c r="P539" s="432">
        <v>0</v>
      </c>
      <c r="Q539" s="432">
        <v>0</v>
      </c>
      <c r="R539" s="1">
        <v>7</v>
      </c>
      <c r="S539" s="1">
        <v>10</v>
      </c>
      <c r="T539" s="300">
        <f t="shared" si="80"/>
        <v>209</v>
      </c>
      <c r="U539" s="3"/>
      <c r="V539" s="3"/>
      <c r="W539" s="3"/>
      <c r="X539" s="3"/>
      <c r="Y539" s="3"/>
      <c r="Z539" s="20">
        <f t="shared" si="77"/>
        <v>194</v>
      </c>
      <c r="AA539" s="20">
        <f t="shared" si="76"/>
        <v>0</v>
      </c>
      <c r="AB539" s="20">
        <f t="shared" si="76"/>
        <v>0</v>
      </c>
      <c r="AC539" s="20">
        <f t="shared" si="76"/>
        <v>0</v>
      </c>
      <c r="AD539" s="20">
        <f t="shared" si="75"/>
        <v>0</v>
      </c>
      <c r="AE539" s="20">
        <f t="shared" si="75"/>
        <v>7</v>
      </c>
      <c r="AF539" s="20">
        <f t="shared" si="75"/>
        <v>10</v>
      </c>
      <c r="AG539" s="300">
        <f t="shared" si="78"/>
        <v>211</v>
      </c>
      <c r="AH539" s="42">
        <f t="shared" si="84"/>
        <v>2</v>
      </c>
      <c r="AI539" s="42">
        <f t="shared" si="84"/>
        <v>0</v>
      </c>
      <c r="AJ539" s="42">
        <f t="shared" si="84"/>
        <v>0</v>
      </c>
      <c r="AK539" s="42">
        <f t="shared" si="84"/>
        <v>0</v>
      </c>
      <c r="AL539" s="42">
        <f t="shared" si="84"/>
        <v>0</v>
      </c>
      <c r="AM539" s="42">
        <f t="shared" si="83"/>
        <v>0</v>
      </c>
      <c r="AN539" s="42">
        <f t="shared" si="83"/>
        <v>0</v>
      </c>
      <c r="AO539" s="42">
        <f t="shared" si="82"/>
        <v>2</v>
      </c>
    </row>
    <row r="540" spans="1:41" ht="15.75">
      <c r="A540" s="16">
        <f t="shared" si="81"/>
        <v>537</v>
      </c>
      <c r="B540" s="390">
        <v>5104</v>
      </c>
      <c r="C540" s="391" t="s">
        <v>4919</v>
      </c>
      <c r="D540" s="392" t="s">
        <v>685</v>
      </c>
      <c r="E540" s="393" t="s">
        <v>4683</v>
      </c>
      <c r="F540" s="394" t="s">
        <v>687</v>
      </c>
      <c r="G540" s="461" t="s">
        <v>6473</v>
      </c>
      <c r="H540" s="395">
        <v>30744</v>
      </c>
      <c r="I540" s="396">
        <v>44447</v>
      </c>
      <c r="J540" s="459" t="s">
        <v>6293</v>
      </c>
      <c r="K540" s="462" t="s">
        <v>6489</v>
      </c>
      <c r="L540" s="460" t="s">
        <v>6335</v>
      </c>
      <c r="M540" s="1">
        <v>192</v>
      </c>
      <c r="N540" s="431">
        <v>0</v>
      </c>
      <c r="O540" s="432">
        <v>0</v>
      </c>
      <c r="P540" s="432">
        <v>0</v>
      </c>
      <c r="Q540" s="432">
        <v>0</v>
      </c>
      <c r="R540" s="1">
        <v>7</v>
      </c>
      <c r="S540" s="1">
        <v>10</v>
      </c>
      <c r="T540" s="300">
        <f t="shared" si="80"/>
        <v>209</v>
      </c>
      <c r="U540" s="3"/>
      <c r="V540" s="3"/>
      <c r="W540" s="3"/>
      <c r="X540" s="3"/>
      <c r="Y540" s="3"/>
      <c r="Z540" s="20">
        <f t="shared" si="77"/>
        <v>194</v>
      </c>
      <c r="AA540" s="20">
        <f t="shared" si="76"/>
        <v>0</v>
      </c>
      <c r="AB540" s="20">
        <f t="shared" si="76"/>
        <v>0</v>
      </c>
      <c r="AC540" s="20">
        <f t="shared" si="76"/>
        <v>0</v>
      </c>
      <c r="AD540" s="20">
        <f t="shared" si="75"/>
        <v>0</v>
      </c>
      <c r="AE540" s="20">
        <f t="shared" si="75"/>
        <v>7</v>
      </c>
      <c r="AF540" s="20">
        <f t="shared" si="75"/>
        <v>10</v>
      </c>
      <c r="AG540" s="300">
        <f t="shared" si="78"/>
        <v>211</v>
      </c>
      <c r="AH540" s="42">
        <f t="shared" si="84"/>
        <v>2</v>
      </c>
      <c r="AI540" s="42">
        <f t="shared" si="84"/>
        <v>0</v>
      </c>
      <c r="AJ540" s="42">
        <f t="shared" si="84"/>
        <v>0</v>
      </c>
      <c r="AK540" s="42">
        <f t="shared" si="84"/>
        <v>0</v>
      </c>
      <c r="AL540" s="42">
        <f t="shared" si="84"/>
        <v>0</v>
      </c>
      <c r="AM540" s="42">
        <f t="shared" si="83"/>
        <v>0</v>
      </c>
      <c r="AN540" s="42">
        <f t="shared" si="83"/>
        <v>0</v>
      </c>
      <c r="AO540" s="42">
        <f t="shared" si="82"/>
        <v>2</v>
      </c>
    </row>
    <row r="541" spans="1:41" ht="15.75">
      <c r="A541" s="16">
        <f t="shared" si="81"/>
        <v>538</v>
      </c>
      <c r="B541" s="390">
        <v>5105</v>
      </c>
      <c r="C541" s="391" t="s">
        <v>6383</v>
      </c>
      <c r="D541" s="392" t="s">
        <v>6384</v>
      </c>
      <c r="E541" s="393" t="s">
        <v>6385</v>
      </c>
      <c r="F541" s="394" t="s">
        <v>6386</v>
      </c>
      <c r="G541" s="461" t="s">
        <v>6473</v>
      </c>
      <c r="H541" s="395">
        <v>36008</v>
      </c>
      <c r="I541" s="396">
        <v>44447</v>
      </c>
      <c r="J541" s="459" t="s">
        <v>6293</v>
      </c>
      <c r="K541" s="462" t="s">
        <v>6489</v>
      </c>
      <c r="L541" s="460" t="s">
        <v>6335</v>
      </c>
      <c r="M541" s="1">
        <v>192</v>
      </c>
      <c r="N541" s="431">
        <v>0</v>
      </c>
      <c r="O541" s="432">
        <v>0</v>
      </c>
      <c r="P541" s="432">
        <v>0</v>
      </c>
      <c r="Q541" s="432">
        <v>0</v>
      </c>
      <c r="R541" s="1">
        <v>7</v>
      </c>
      <c r="S541" s="1">
        <v>10</v>
      </c>
      <c r="T541" s="300">
        <f t="shared" si="80"/>
        <v>209</v>
      </c>
      <c r="U541" s="3"/>
      <c r="V541" s="3"/>
      <c r="W541" s="3"/>
      <c r="X541" s="3"/>
      <c r="Y541" s="3"/>
      <c r="Z541" s="20">
        <f t="shared" si="77"/>
        <v>194</v>
      </c>
      <c r="AA541" s="20">
        <f t="shared" si="76"/>
        <v>0</v>
      </c>
      <c r="AB541" s="20">
        <f t="shared" si="76"/>
        <v>0</v>
      </c>
      <c r="AC541" s="20">
        <f t="shared" si="76"/>
        <v>0</v>
      </c>
      <c r="AD541" s="20">
        <f t="shared" si="76"/>
        <v>0</v>
      </c>
      <c r="AE541" s="20">
        <f t="shared" si="76"/>
        <v>7</v>
      </c>
      <c r="AF541" s="20">
        <f t="shared" si="76"/>
        <v>10</v>
      </c>
      <c r="AG541" s="300">
        <f t="shared" si="78"/>
        <v>211</v>
      </c>
      <c r="AH541" s="42">
        <f t="shared" si="84"/>
        <v>2</v>
      </c>
      <c r="AI541" s="42">
        <f t="shared" si="84"/>
        <v>0</v>
      </c>
      <c r="AJ541" s="42">
        <f t="shared" si="84"/>
        <v>0</v>
      </c>
      <c r="AK541" s="42">
        <f t="shared" si="84"/>
        <v>0</v>
      </c>
      <c r="AL541" s="42">
        <f t="shared" si="84"/>
        <v>0</v>
      </c>
      <c r="AM541" s="42">
        <f t="shared" si="83"/>
        <v>0</v>
      </c>
      <c r="AN541" s="42">
        <f t="shared" si="83"/>
        <v>0</v>
      </c>
      <c r="AO541" s="42">
        <f t="shared" si="82"/>
        <v>2</v>
      </c>
    </row>
    <row r="542" spans="1:41" ht="15.75">
      <c r="A542" s="16">
        <f t="shared" si="81"/>
        <v>539</v>
      </c>
      <c r="B542" s="390">
        <v>5109</v>
      </c>
      <c r="C542" s="391" t="s">
        <v>3842</v>
      </c>
      <c r="D542" s="392" t="s">
        <v>6227</v>
      </c>
      <c r="E542" s="393" t="s">
        <v>2005</v>
      </c>
      <c r="F542" s="394" t="s">
        <v>6053</v>
      </c>
      <c r="G542" s="461" t="s">
        <v>6473</v>
      </c>
      <c r="H542" s="395">
        <v>32454</v>
      </c>
      <c r="I542" s="396">
        <v>44447</v>
      </c>
      <c r="J542" s="459" t="s">
        <v>6293</v>
      </c>
      <c r="K542" s="462" t="s">
        <v>6388</v>
      </c>
      <c r="L542" s="460" t="s">
        <v>6335</v>
      </c>
      <c r="M542" s="1">
        <v>192</v>
      </c>
      <c r="N542" s="431">
        <v>0</v>
      </c>
      <c r="O542" s="432">
        <v>0</v>
      </c>
      <c r="P542" s="432">
        <v>0</v>
      </c>
      <c r="Q542" s="432">
        <v>0</v>
      </c>
      <c r="R542" s="1">
        <v>7</v>
      </c>
      <c r="S542" s="1">
        <v>10</v>
      </c>
      <c r="T542" s="300">
        <f t="shared" si="80"/>
        <v>209</v>
      </c>
      <c r="U542" s="3"/>
      <c r="V542" s="3"/>
      <c r="W542" s="3"/>
      <c r="X542" s="3"/>
      <c r="Y542" s="3"/>
      <c r="Z542" s="20">
        <f t="shared" si="77"/>
        <v>194</v>
      </c>
      <c r="AA542" s="20">
        <f t="shared" ref="AA542:AF578" si="85">N542</f>
        <v>0</v>
      </c>
      <c r="AB542" s="20">
        <f t="shared" si="85"/>
        <v>0</v>
      </c>
      <c r="AC542" s="20">
        <f t="shared" si="85"/>
        <v>0</v>
      </c>
      <c r="AD542" s="20">
        <f t="shared" si="85"/>
        <v>0</v>
      </c>
      <c r="AE542" s="20">
        <f t="shared" si="85"/>
        <v>7</v>
      </c>
      <c r="AF542" s="20">
        <f t="shared" si="85"/>
        <v>10</v>
      </c>
      <c r="AG542" s="300">
        <f t="shared" si="78"/>
        <v>211</v>
      </c>
      <c r="AH542" s="42">
        <f t="shared" si="84"/>
        <v>2</v>
      </c>
      <c r="AI542" s="42">
        <f t="shared" si="84"/>
        <v>0</v>
      </c>
      <c r="AJ542" s="42">
        <f t="shared" si="84"/>
        <v>0</v>
      </c>
      <c r="AK542" s="42">
        <f t="shared" si="84"/>
        <v>0</v>
      </c>
      <c r="AL542" s="42">
        <f t="shared" si="84"/>
        <v>0</v>
      </c>
      <c r="AM542" s="42">
        <f t="shared" si="83"/>
        <v>0</v>
      </c>
      <c r="AN542" s="42">
        <f t="shared" si="83"/>
        <v>0</v>
      </c>
      <c r="AO542" s="42">
        <f t="shared" si="82"/>
        <v>2</v>
      </c>
    </row>
    <row r="543" spans="1:41" ht="15.75">
      <c r="A543" s="16">
        <f t="shared" si="81"/>
        <v>540</v>
      </c>
      <c r="B543" s="390">
        <v>5110</v>
      </c>
      <c r="C543" s="391" t="s">
        <v>958</v>
      </c>
      <c r="D543" s="392" t="s">
        <v>2298</v>
      </c>
      <c r="E543" s="393" t="s">
        <v>959</v>
      </c>
      <c r="F543" s="394" t="s">
        <v>2299</v>
      </c>
      <c r="G543" s="461" t="s">
        <v>6473</v>
      </c>
      <c r="H543" s="395">
        <v>35613</v>
      </c>
      <c r="I543" s="396">
        <v>44447</v>
      </c>
      <c r="J543" s="459" t="s">
        <v>6293</v>
      </c>
      <c r="K543" s="462" t="s">
        <v>6389</v>
      </c>
      <c r="L543" s="460" t="s">
        <v>6335</v>
      </c>
      <c r="M543" s="1">
        <v>192</v>
      </c>
      <c r="N543" s="431">
        <v>0</v>
      </c>
      <c r="O543" s="432">
        <v>0</v>
      </c>
      <c r="P543" s="432">
        <v>0</v>
      </c>
      <c r="Q543" s="432">
        <v>0</v>
      </c>
      <c r="R543" s="1">
        <v>7</v>
      </c>
      <c r="S543" s="1">
        <v>10</v>
      </c>
      <c r="T543" s="300">
        <f t="shared" si="80"/>
        <v>209</v>
      </c>
      <c r="U543" s="3"/>
      <c r="V543" s="3"/>
      <c r="W543" s="3"/>
      <c r="X543" s="3"/>
      <c r="Y543" s="3"/>
      <c r="Z543" s="20">
        <f t="shared" si="77"/>
        <v>194</v>
      </c>
      <c r="AA543" s="20">
        <f t="shared" si="85"/>
        <v>0</v>
      </c>
      <c r="AB543" s="20">
        <f t="shared" si="85"/>
        <v>0</v>
      </c>
      <c r="AC543" s="20">
        <f t="shared" si="85"/>
        <v>0</v>
      </c>
      <c r="AD543" s="20">
        <f t="shared" si="85"/>
        <v>0</v>
      </c>
      <c r="AE543" s="20">
        <f t="shared" si="85"/>
        <v>7</v>
      </c>
      <c r="AF543" s="20">
        <f t="shared" si="85"/>
        <v>10</v>
      </c>
      <c r="AG543" s="300">
        <f t="shared" si="78"/>
        <v>211</v>
      </c>
      <c r="AH543" s="42">
        <f t="shared" si="84"/>
        <v>2</v>
      </c>
      <c r="AI543" s="42">
        <f t="shared" si="84"/>
        <v>0</v>
      </c>
      <c r="AJ543" s="42">
        <f t="shared" si="84"/>
        <v>0</v>
      </c>
      <c r="AK543" s="42">
        <f t="shared" si="84"/>
        <v>0</v>
      </c>
      <c r="AL543" s="42">
        <f t="shared" si="84"/>
        <v>0</v>
      </c>
      <c r="AM543" s="42">
        <f t="shared" si="83"/>
        <v>0</v>
      </c>
      <c r="AN543" s="42">
        <f t="shared" si="83"/>
        <v>0</v>
      </c>
      <c r="AO543" s="42">
        <f t="shared" si="82"/>
        <v>2</v>
      </c>
    </row>
    <row r="544" spans="1:41" ht="15.75">
      <c r="A544" s="16">
        <f t="shared" si="81"/>
        <v>541</v>
      </c>
      <c r="B544" s="390">
        <v>5111</v>
      </c>
      <c r="C544" s="391" t="s">
        <v>6390</v>
      </c>
      <c r="D544" s="392" t="s">
        <v>920</v>
      </c>
      <c r="E544" s="393" t="s">
        <v>6391</v>
      </c>
      <c r="F544" s="394" t="s">
        <v>1643</v>
      </c>
      <c r="G544" s="461" t="s">
        <v>6473</v>
      </c>
      <c r="H544" s="395">
        <v>31628</v>
      </c>
      <c r="I544" s="396">
        <v>44447</v>
      </c>
      <c r="J544" s="459" t="s">
        <v>6293</v>
      </c>
      <c r="K544" s="462" t="s">
        <v>6392</v>
      </c>
      <c r="L544" s="460" t="s">
        <v>6335</v>
      </c>
      <c r="M544" s="1">
        <v>192</v>
      </c>
      <c r="N544" s="431">
        <v>0</v>
      </c>
      <c r="O544" s="432">
        <v>0</v>
      </c>
      <c r="P544" s="432">
        <v>0</v>
      </c>
      <c r="Q544" s="432">
        <v>0</v>
      </c>
      <c r="R544" s="1">
        <v>7</v>
      </c>
      <c r="S544" s="1">
        <v>10</v>
      </c>
      <c r="T544" s="300">
        <f t="shared" si="80"/>
        <v>209</v>
      </c>
      <c r="U544" s="3"/>
      <c r="V544" s="3"/>
      <c r="W544" s="3"/>
      <c r="X544" s="3"/>
      <c r="Y544" s="3"/>
      <c r="Z544" s="20">
        <f t="shared" si="77"/>
        <v>194</v>
      </c>
      <c r="AA544" s="20">
        <f t="shared" si="85"/>
        <v>0</v>
      </c>
      <c r="AB544" s="20">
        <f t="shared" si="85"/>
        <v>0</v>
      </c>
      <c r="AC544" s="20">
        <f t="shared" si="85"/>
        <v>0</v>
      </c>
      <c r="AD544" s="20">
        <f t="shared" si="85"/>
        <v>0</v>
      </c>
      <c r="AE544" s="20">
        <f t="shared" si="85"/>
        <v>7</v>
      </c>
      <c r="AF544" s="20">
        <f t="shared" si="85"/>
        <v>10</v>
      </c>
      <c r="AG544" s="300">
        <f t="shared" si="78"/>
        <v>211</v>
      </c>
      <c r="AH544" s="42">
        <f t="shared" si="84"/>
        <v>2</v>
      </c>
      <c r="AI544" s="42">
        <f t="shared" si="84"/>
        <v>0</v>
      </c>
      <c r="AJ544" s="42">
        <f t="shared" si="84"/>
        <v>0</v>
      </c>
      <c r="AK544" s="42">
        <f t="shared" si="84"/>
        <v>0</v>
      </c>
      <c r="AL544" s="42">
        <f t="shared" si="84"/>
        <v>0</v>
      </c>
      <c r="AM544" s="42">
        <f t="shared" si="83"/>
        <v>0</v>
      </c>
      <c r="AN544" s="42">
        <f t="shared" si="83"/>
        <v>0</v>
      </c>
      <c r="AO544" s="42">
        <f t="shared" si="82"/>
        <v>2</v>
      </c>
    </row>
    <row r="545" spans="1:41" ht="15.75">
      <c r="A545" s="16">
        <f t="shared" si="81"/>
        <v>542</v>
      </c>
      <c r="B545" s="390">
        <v>5113</v>
      </c>
      <c r="C545" s="391" t="s">
        <v>6393</v>
      </c>
      <c r="D545" s="392" t="s">
        <v>3022</v>
      </c>
      <c r="E545" s="393" t="s">
        <v>6394</v>
      </c>
      <c r="F545" s="394" t="s">
        <v>6395</v>
      </c>
      <c r="G545" s="461" t="s">
        <v>6473</v>
      </c>
      <c r="H545" s="395">
        <v>32549</v>
      </c>
      <c r="I545" s="396">
        <v>44448</v>
      </c>
      <c r="J545" s="459" t="s">
        <v>6293</v>
      </c>
      <c r="K545" s="462" t="s">
        <v>6489</v>
      </c>
      <c r="L545" s="460" t="s">
        <v>6335</v>
      </c>
      <c r="M545" s="1">
        <v>192</v>
      </c>
      <c r="N545" s="431">
        <v>0</v>
      </c>
      <c r="O545" s="432">
        <v>0</v>
      </c>
      <c r="P545" s="432">
        <v>0</v>
      </c>
      <c r="Q545" s="432">
        <v>0</v>
      </c>
      <c r="R545" s="1">
        <v>7</v>
      </c>
      <c r="S545" s="1">
        <v>10</v>
      </c>
      <c r="T545" s="300">
        <f t="shared" si="80"/>
        <v>209</v>
      </c>
      <c r="U545" s="3"/>
      <c r="V545" s="3"/>
      <c r="W545" s="3"/>
      <c r="X545" s="3"/>
      <c r="Y545" s="3"/>
      <c r="Z545" s="20">
        <f t="shared" si="77"/>
        <v>194</v>
      </c>
      <c r="AA545" s="20">
        <f t="shared" si="85"/>
        <v>0</v>
      </c>
      <c r="AB545" s="20">
        <f t="shared" si="85"/>
        <v>0</v>
      </c>
      <c r="AC545" s="20">
        <f t="shared" si="85"/>
        <v>0</v>
      </c>
      <c r="AD545" s="20">
        <f t="shared" si="85"/>
        <v>0</v>
      </c>
      <c r="AE545" s="20">
        <f t="shared" si="85"/>
        <v>7</v>
      </c>
      <c r="AF545" s="20">
        <f t="shared" si="85"/>
        <v>10</v>
      </c>
      <c r="AG545" s="300">
        <f t="shared" si="78"/>
        <v>211</v>
      </c>
      <c r="AH545" s="42">
        <f t="shared" si="84"/>
        <v>2</v>
      </c>
      <c r="AI545" s="42">
        <f t="shared" si="84"/>
        <v>0</v>
      </c>
      <c r="AJ545" s="42">
        <f t="shared" si="84"/>
        <v>0</v>
      </c>
      <c r="AK545" s="42">
        <f t="shared" si="84"/>
        <v>0</v>
      </c>
      <c r="AL545" s="42">
        <f t="shared" si="84"/>
        <v>0</v>
      </c>
      <c r="AM545" s="42">
        <f t="shared" si="83"/>
        <v>0</v>
      </c>
      <c r="AN545" s="42">
        <f t="shared" si="83"/>
        <v>0</v>
      </c>
      <c r="AO545" s="42">
        <f t="shared" si="82"/>
        <v>2</v>
      </c>
    </row>
    <row r="546" spans="1:41" ht="15.75">
      <c r="A546" s="16">
        <f t="shared" si="81"/>
        <v>543</v>
      </c>
      <c r="B546" s="390">
        <v>5114</v>
      </c>
      <c r="C546" s="391" t="s">
        <v>4556</v>
      </c>
      <c r="D546" s="392" t="s">
        <v>6270</v>
      </c>
      <c r="E546" s="393" t="s">
        <v>3892</v>
      </c>
      <c r="F546" s="394" t="s">
        <v>6137</v>
      </c>
      <c r="G546" s="461" t="s">
        <v>6473</v>
      </c>
      <c r="H546" s="395">
        <v>28549</v>
      </c>
      <c r="I546" s="396">
        <v>44448</v>
      </c>
      <c r="J546" s="459" t="s">
        <v>6293</v>
      </c>
      <c r="K546" s="462" t="s">
        <v>6134</v>
      </c>
      <c r="L546" s="460" t="s">
        <v>6335</v>
      </c>
      <c r="M546" s="1">
        <v>192</v>
      </c>
      <c r="N546" s="431">
        <v>0</v>
      </c>
      <c r="O546" s="432">
        <v>0</v>
      </c>
      <c r="P546" s="432">
        <v>0</v>
      </c>
      <c r="Q546" s="432">
        <v>0</v>
      </c>
      <c r="R546" s="1">
        <v>7</v>
      </c>
      <c r="S546" s="1">
        <v>10</v>
      </c>
      <c r="T546" s="300">
        <f t="shared" si="80"/>
        <v>209</v>
      </c>
      <c r="U546" s="3"/>
      <c r="V546" s="3"/>
      <c r="W546" s="3"/>
      <c r="X546" s="3"/>
      <c r="Y546" s="3"/>
      <c r="Z546" s="20">
        <f t="shared" si="77"/>
        <v>194</v>
      </c>
      <c r="AA546" s="20">
        <f t="shared" si="85"/>
        <v>0</v>
      </c>
      <c r="AB546" s="20">
        <f t="shared" si="85"/>
        <v>0</v>
      </c>
      <c r="AC546" s="20">
        <f t="shared" si="85"/>
        <v>0</v>
      </c>
      <c r="AD546" s="20">
        <f t="shared" si="85"/>
        <v>0</v>
      </c>
      <c r="AE546" s="20">
        <f t="shared" si="85"/>
        <v>7</v>
      </c>
      <c r="AF546" s="20">
        <f t="shared" si="85"/>
        <v>10</v>
      </c>
      <c r="AG546" s="300">
        <f t="shared" si="78"/>
        <v>211</v>
      </c>
      <c r="AH546" s="42">
        <f t="shared" si="84"/>
        <v>2</v>
      </c>
      <c r="AI546" s="42">
        <f t="shared" si="84"/>
        <v>0</v>
      </c>
      <c r="AJ546" s="42">
        <f t="shared" si="84"/>
        <v>0</v>
      </c>
      <c r="AK546" s="42">
        <f t="shared" si="84"/>
        <v>0</v>
      </c>
      <c r="AL546" s="42">
        <f t="shared" si="84"/>
        <v>0</v>
      </c>
      <c r="AM546" s="42">
        <f t="shared" si="83"/>
        <v>0</v>
      </c>
      <c r="AN546" s="42">
        <f t="shared" si="83"/>
        <v>0</v>
      </c>
      <c r="AO546" s="42">
        <f t="shared" si="82"/>
        <v>2</v>
      </c>
    </row>
    <row r="547" spans="1:41" ht="15.75">
      <c r="A547" s="16">
        <f t="shared" si="81"/>
        <v>544</v>
      </c>
      <c r="B547" s="390">
        <v>5115</v>
      </c>
      <c r="C547" s="391" t="s">
        <v>1384</v>
      </c>
      <c r="D547" s="392" t="s">
        <v>6396</v>
      </c>
      <c r="E547" s="393" t="s">
        <v>1386</v>
      </c>
      <c r="F547" s="394" t="s">
        <v>6397</v>
      </c>
      <c r="G547" s="461" t="s">
        <v>6473</v>
      </c>
      <c r="H547" s="395">
        <v>29465</v>
      </c>
      <c r="I547" s="396">
        <v>44448</v>
      </c>
      <c r="J547" s="459" t="s">
        <v>6293</v>
      </c>
      <c r="K547" s="462" t="s">
        <v>6489</v>
      </c>
      <c r="L547" s="460" t="s">
        <v>6335</v>
      </c>
      <c r="M547" s="1">
        <v>192</v>
      </c>
      <c r="N547" s="431">
        <v>0</v>
      </c>
      <c r="O547" s="432">
        <v>0</v>
      </c>
      <c r="P547" s="432">
        <v>0</v>
      </c>
      <c r="Q547" s="432">
        <v>0</v>
      </c>
      <c r="R547" s="1">
        <v>7</v>
      </c>
      <c r="S547" s="1">
        <v>10</v>
      </c>
      <c r="T547" s="300">
        <f t="shared" si="80"/>
        <v>209</v>
      </c>
      <c r="U547" s="3"/>
      <c r="V547" s="3"/>
      <c r="W547" s="3"/>
      <c r="X547" s="3"/>
      <c r="Y547" s="3"/>
      <c r="Z547" s="20">
        <f t="shared" si="77"/>
        <v>194</v>
      </c>
      <c r="AA547" s="20">
        <f t="shared" si="85"/>
        <v>0</v>
      </c>
      <c r="AB547" s="20">
        <f t="shared" si="85"/>
        <v>0</v>
      </c>
      <c r="AC547" s="20">
        <f t="shared" si="85"/>
        <v>0</v>
      </c>
      <c r="AD547" s="20">
        <f t="shared" si="85"/>
        <v>0</v>
      </c>
      <c r="AE547" s="20">
        <f t="shared" si="85"/>
        <v>7</v>
      </c>
      <c r="AF547" s="20">
        <f t="shared" si="85"/>
        <v>10</v>
      </c>
      <c r="AG547" s="300">
        <f t="shared" si="78"/>
        <v>211</v>
      </c>
      <c r="AH547" s="42">
        <f t="shared" si="84"/>
        <v>2</v>
      </c>
      <c r="AI547" s="42">
        <f t="shared" si="84"/>
        <v>0</v>
      </c>
      <c r="AJ547" s="42">
        <f t="shared" si="84"/>
        <v>0</v>
      </c>
      <c r="AK547" s="42">
        <f t="shared" si="84"/>
        <v>0</v>
      </c>
      <c r="AL547" s="42">
        <f t="shared" si="84"/>
        <v>0</v>
      </c>
      <c r="AM547" s="42">
        <f t="shared" si="83"/>
        <v>0</v>
      </c>
      <c r="AN547" s="42">
        <f t="shared" si="83"/>
        <v>0</v>
      </c>
      <c r="AO547" s="42">
        <f t="shared" si="82"/>
        <v>2</v>
      </c>
    </row>
    <row r="548" spans="1:41" ht="15.75">
      <c r="A548" s="16">
        <f t="shared" si="81"/>
        <v>545</v>
      </c>
      <c r="B548" s="390">
        <v>5120</v>
      </c>
      <c r="C548" s="391" t="s">
        <v>1307</v>
      </c>
      <c r="D548" s="392" t="s">
        <v>1719</v>
      </c>
      <c r="E548" s="393" t="s">
        <v>5022</v>
      </c>
      <c r="F548" s="394" t="s">
        <v>1721</v>
      </c>
      <c r="G548" s="461" t="s">
        <v>6473</v>
      </c>
      <c r="H548" s="395">
        <v>34100</v>
      </c>
      <c r="I548" s="396">
        <v>44450</v>
      </c>
      <c r="J548" s="459" t="s">
        <v>6293</v>
      </c>
      <c r="K548" s="462" t="s">
        <v>6489</v>
      </c>
      <c r="L548" s="460" t="s">
        <v>6335</v>
      </c>
      <c r="M548" s="1">
        <v>192</v>
      </c>
      <c r="N548" s="431">
        <v>0</v>
      </c>
      <c r="O548" s="432">
        <v>0</v>
      </c>
      <c r="P548" s="432">
        <v>0</v>
      </c>
      <c r="Q548" s="432">
        <v>0</v>
      </c>
      <c r="R548" s="1">
        <v>7</v>
      </c>
      <c r="S548" s="1">
        <v>10</v>
      </c>
      <c r="T548" s="300">
        <f t="shared" si="80"/>
        <v>209</v>
      </c>
      <c r="U548" s="3"/>
      <c r="V548" s="3"/>
      <c r="W548" s="3"/>
      <c r="X548" s="3"/>
      <c r="Y548" s="3"/>
      <c r="Z548" s="20">
        <f t="shared" si="77"/>
        <v>194</v>
      </c>
      <c r="AA548" s="20">
        <f t="shared" si="85"/>
        <v>0</v>
      </c>
      <c r="AB548" s="20">
        <f t="shared" si="85"/>
        <v>0</v>
      </c>
      <c r="AC548" s="20">
        <f t="shared" si="85"/>
        <v>0</v>
      </c>
      <c r="AD548" s="20">
        <f t="shared" si="85"/>
        <v>0</v>
      </c>
      <c r="AE548" s="20">
        <f t="shared" si="85"/>
        <v>7</v>
      </c>
      <c r="AF548" s="20">
        <f t="shared" si="85"/>
        <v>10</v>
      </c>
      <c r="AG548" s="300">
        <f t="shared" si="78"/>
        <v>211</v>
      </c>
      <c r="AH548" s="42">
        <f t="shared" si="84"/>
        <v>2</v>
      </c>
      <c r="AI548" s="42">
        <f t="shared" si="84"/>
        <v>0</v>
      </c>
      <c r="AJ548" s="42">
        <f t="shared" si="84"/>
        <v>0</v>
      </c>
      <c r="AK548" s="42">
        <f t="shared" si="84"/>
        <v>0</v>
      </c>
      <c r="AL548" s="42">
        <f t="shared" si="84"/>
        <v>0</v>
      </c>
      <c r="AM548" s="42">
        <f t="shared" si="83"/>
        <v>0</v>
      </c>
      <c r="AN548" s="42">
        <f t="shared" si="83"/>
        <v>0</v>
      </c>
      <c r="AO548" s="42">
        <f t="shared" si="82"/>
        <v>2</v>
      </c>
    </row>
    <row r="549" spans="1:41" ht="15.75">
      <c r="A549" s="16">
        <f t="shared" si="81"/>
        <v>546</v>
      </c>
      <c r="B549" s="390">
        <v>5123</v>
      </c>
      <c r="C549" s="391" t="s">
        <v>4919</v>
      </c>
      <c r="D549" s="392" t="s">
        <v>6399</v>
      </c>
      <c r="E549" s="393" t="s">
        <v>4683</v>
      </c>
      <c r="F549" s="394" t="s">
        <v>6400</v>
      </c>
      <c r="G549" s="461" t="s">
        <v>6473</v>
      </c>
      <c r="H549" s="395">
        <v>33970</v>
      </c>
      <c r="I549" s="396">
        <v>44450</v>
      </c>
      <c r="J549" s="459" t="s">
        <v>6293</v>
      </c>
      <c r="K549" s="462" t="s">
        <v>6392</v>
      </c>
      <c r="L549" s="460" t="s">
        <v>6335</v>
      </c>
      <c r="M549" s="1">
        <v>192</v>
      </c>
      <c r="N549" s="431">
        <v>0</v>
      </c>
      <c r="O549" s="432">
        <v>0</v>
      </c>
      <c r="P549" s="432">
        <v>0</v>
      </c>
      <c r="Q549" s="432">
        <v>0</v>
      </c>
      <c r="R549" s="1">
        <v>7</v>
      </c>
      <c r="S549" s="1">
        <v>10</v>
      </c>
      <c r="T549" s="300">
        <f t="shared" si="80"/>
        <v>209</v>
      </c>
      <c r="U549" s="3"/>
      <c r="V549" s="3"/>
      <c r="W549" s="3"/>
      <c r="X549" s="3"/>
      <c r="Y549" s="3"/>
      <c r="Z549" s="20">
        <f t="shared" si="77"/>
        <v>194</v>
      </c>
      <c r="AA549" s="20">
        <f t="shared" si="85"/>
        <v>0</v>
      </c>
      <c r="AB549" s="20">
        <f t="shared" si="85"/>
        <v>0</v>
      </c>
      <c r="AC549" s="20">
        <f t="shared" si="85"/>
        <v>0</v>
      </c>
      <c r="AD549" s="20">
        <f t="shared" si="85"/>
        <v>0</v>
      </c>
      <c r="AE549" s="20">
        <f t="shared" si="85"/>
        <v>7</v>
      </c>
      <c r="AF549" s="20">
        <f t="shared" si="85"/>
        <v>10</v>
      </c>
      <c r="AG549" s="300">
        <f t="shared" si="78"/>
        <v>211</v>
      </c>
      <c r="AH549" s="42">
        <f t="shared" si="84"/>
        <v>2</v>
      </c>
      <c r="AI549" s="42">
        <f t="shared" si="84"/>
        <v>0</v>
      </c>
      <c r="AJ549" s="42">
        <f t="shared" si="84"/>
        <v>0</v>
      </c>
      <c r="AK549" s="42">
        <f t="shared" si="84"/>
        <v>0</v>
      </c>
      <c r="AL549" s="42">
        <f t="shared" si="84"/>
        <v>0</v>
      </c>
      <c r="AM549" s="42">
        <f t="shared" si="83"/>
        <v>0</v>
      </c>
      <c r="AN549" s="42">
        <f t="shared" si="83"/>
        <v>0</v>
      </c>
      <c r="AO549" s="42">
        <f t="shared" si="82"/>
        <v>2</v>
      </c>
    </row>
    <row r="550" spans="1:41" ht="15.75">
      <c r="A550" s="16">
        <f t="shared" si="81"/>
        <v>547</v>
      </c>
      <c r="B550" s="390">
        <v>5124</v>
      </c>
      <c r="C550" s="391" t="s">
        <v>737</v>
      </c>
      <c r="D550" s="392" t="s">
        <v>6401</v>
      </c>
      <c r="E550" s="393" t="s">
        <v>22</v>
      </c>
      <c r="F550" s="394" t="s">
        <v>6402</v>
      </c>
      <c r="G550" s="461" t="s">
        <v>6473</v>
      </c>
      <c r="H550" s="395">
        <v>28187</v>
      </c>
      <c r="I550" s="396">
        <v>44450</v>
      </c>
      <c r="J550" s="459" t="s">
        <v>6293</v>
      </c>
      <c r="K550" s="462" t="s">
        <v>6489</v>
      </c>
      <c r="L550" s="460" t="s">
        <v>6335</v>
      </c>
      <c r="M550" s="1">
        <v>192</v>
      </c>
      <c r="N550" s="431">
        <v>0</v>
      </c>
      <c r="O550" s="432">
        <v>0</v>
      </c>
      <c r="P550" s="432">
        <v>0</v>
      </c>
      <c r="Q550" s="432">
        <v>0</v>
      </c>
      <c r="R550" s="1">
        <v>7</v>
      </c>
      <c r="S550" s="1">
        <v>10</v>
      </c>
      <c r="T550" s="300">
        <f t="shared" si="80"/>
        <v>209</v>
      </c>
      <c r="U550" s="3"/>
      <c r="V550" s="3"/>
      <c r="W550" s="3"/>
      <c r="X550" s="3"/>
      <c r="Y550" s="3"/>
      <c r="Z550" s="20">
        <f t="shared" si="77"/>
        <v>194</v>
      </c>
      <c r="AA550" s="20">
        <f t="shared" si="85"/>
        <v>0</v>
      </c>
      <c r="AB550" s="20">
        <f t="shared" si="85"/>
        <v>0</v>
      </c>
      <c r="AC550" s="20">
        <f t="shared" si="85"/>
        <v>0</v>
      </c>
      <c r="AD550" s="20">
        <f t="shared" si="85"/>
        <v>0</v>
      </c>
      <c r="AE550" s="20">
        <f t="shared" si="85"/>
        <v>7</v>
      </c>
      <c r="AF550" s="20">
        <f t="shared" si="85"/>
        <v>10</v>
      </c>
      <c r="AG550" s="300">
        <f t="shared" si="78"/>
        <v>211</v>
      </c>
      <c r="AH550" s="42">
        <f t="shared" si="84"/>
        <v>2</v>
      </c>
      <c r="AI550" s="42">
        <f t="shared" si="84"/>
        <v>0</v>
      </c>
      <c r="AJ550" s="42">
        <f t="shared" si="84"/>
        <v>0</v>
      </c>
      <c r="AK550" s="42">
        <f t="shared" si="84"/>
        <v>0</v>
      </c>
      <c r="AL550" s="42">
        <f t="shared" si="84"/>
        <v>0</v>
      </c>
      <c r="AM550" s="42">
        <f t="shared" si="83"/>
        <v>0</v>
      </c>
      <c r="AN550" s="42">
        <f t="shared" si="83"/>
        <v>0</v>
      </c>
      <c r="AO550" s="42">
        <f t="shared" si="82"/>
        <v>2</v>
      </c>
    </row>
    <row r="551" spans="1:41" ht="15.75">
      <c r="A551" s="16">
        <f t="shared" si="81"/>
        <v>548</v>
      </c>
      <c r="B551" s="390">
        <v>5126</v>
      </c>
      <c r="C551" s="391" t="s">
        <v>1858</v>
      </c>
      <c r="D551" s="392" t="s">
        <v>826</v>
      </c>
      <c r="E551" s="393" t="s">
        <v>4774</v>
      </c>
      <c r="F551" s="394" t="s">
        <v>2231</v>
      </c>
      <c r="G551" s="461" t="s">
        <v>6473</v>
      </c>
      <c r="H551" s="395">
        <v>32924</v>
      </c>
      <c r="I551" s="396">
        <v>44454</v>
      </c>
      <c r="J551" s="459" t="s">
        <v>6293</v>
      </c>
      <c r="K551" s="462" t="s">
        <v>6489</v>
      </c>
      <c r="L551" s="460" t="s">
        <v>6335</v>
      </c>
      <c r="M551" s="1">
        <v>192</v>
      </c>
      <c r="N551" s="431">
        <v>0</v>
      </c>
      <c r="O551" s="432">
        <v>0</v>
      </c>
      <c r="P551" s="432">
        <v>0</v>
      </c>
      <c r="Q551" s="432">
        <v>0</v>
      </c>
      <c r="R551" s="1">
        <v>7</v>
      </c>
      <c r="S551" s="1">
        <v>10</v>
      </c>
      <c r="T551" s="300">
        <f t="shared" si="80"/>
        <v>209</v>
      </c>
      <c r="U551" s="3"/>
      <c r="V551" s="3"/>
      <c r="W551" s="3"/>
      <c r="X551" s="3"/>
      <c r="Y551" s="3"/>
      <c r="Z551" s="20">
        <f t="shared" si="77"/>
        <v>194</v>
      </c>
      <c r="AA551" s="20">
        <f t="shared" si="85"/>
        <v>0</v>
      </c>
      <c r="AB551" s="20">
        <f t="shared" si="85"/>
        <v>0</v>
      </c>
      <c r="AC551" s="20">
        <f t="shared" si="85"/>
        <v>0</v>
      </c>
      <c r="AD551" s="20">
        <f t="shared" si="85"/>
        <v>0</v>
      </c>
      <c r="AE551" s="20">
        <f t="shared" si="85"/>
        <v>7</v>
      </c>
      <c r="AF551" s="20">
        <f t="shared" si="85"/>
        <v>10</v>
      </c>
      <c r="AG551" s="300">
        <f t="shared" si="78"/>
        <v>211</v>
      </c>
      <c r="AH551" s="42">
        <f t="shared" si="84"/>
        <v>2</v>
      </c>
      <c r="AI551" s="42">
        <f t="shared" si="84"/>
        <v>0</v>
      </c>
      <c r="AJ551" s="42">
        <f t="shared" si="84"/>
        <v>0</v>
      </c>
      <c r="AK551" s="42">
        <f t="shared" si="84"/>
        <v>0</v>
      </c>
      <c r="AL551" s="42">
        <f t="shared" si="84"/>
        <v>0</v>
      </c>
      <c r="AM551" s="42">
        <f t="shared" si="83"/>
        <v>0</v>
      </c>
      <c r="AN551" s="42">
        <f t="shared" si="83"/>
        <v>0</v>
      </c>
      <c r="AO551" s="42">
        <f t="shared" si="82"/>
        <v>2</v>
      </c>
    </row>
    <row r="552" spans="1:41" ht="15.75">
      <c r="A552" s="16">
        <f t="shared" si="81"/>
        <v>549</v>
      </c>
      <c r="B552" s="390">
        <v>5127</v>
      </c>
      <c r="C552" s="391" t="s">
        <v>4180</v>
      </c>
      <c r="D552" s="392" t="s">
        <v>1572</v>
      </c>
      <c r="E552" s="393" t="s">
        <v>5655</v>
      </c>
      <c r="F552" s="394" t="s">
        <v>1574</v>
      </c>
      <c r="G552" s="461" t="s">
        <v>6473</v>
      </c>
      <c r="H552" s="395">
        <v>34613</v>
      </c>
      <c r="I552" s="396">
        <v>44453</v>
      </c>
      <c r="J552" s="459" t="s">
        <v>6293</v>
      </c>
      <c r="K552" s="462" t="s">
        <v>6389</v>
      </c>
      <c r="L552" s="460" t="s">
        <v>6335</v>
      </c>
      <c r="M552" s="1">
        <v>192</v>
      </c>
      <c r="N552" s="431">
        <v>0</v>
      </c>
      <c r="O552" s="432">
        <v>0</v>
      </c>
      <c r="P552" s="432">
        <v>0</v>
      </c>
      <c r="Q552" s="432">
        <v>0</v>
      </c>
      <c r="R552" s="1">
        <v>7</v>
      </c>
      <c r="S552" s="1">
        <v>10</v>
      </c>
      <c r="T552" s="300">
        <f t="shared" si="80"/>
        <v>209</v>
      </c>
      <c r="U552" s="3"/>
      <c r="V552" s="3"/>
      <c r="W552" s="3"/>
      <c r="X552" s="3"/>
      <c r="Y552" s="3"/>
      <c r="Z552" s="20">
        <f t="shared" si="77"/>
        <v>194</v>
      </c>
      <c r="AA552" s="20">
        <f t="shared" si="85"/>
        <v>0</v>
      </c>
      <c r="AB552" s="20">
        <f t="shared" si="85"/>
        <v>0</v>
      </c>
      <c r="AC552" s="20">
        <f t="shared" si="85"/>
        <v>0</v>
      </c>
      <c r="AD552" s="20">
        <f t="shared" si="85"/>
        <v>0</v>
      </c>
      <c r="AE552" s="20">
        <f t="shared" si="85"/>
        <v>7</v>
      </c>
      <c r="AF552" s="20">
        <f t="shared" si="85"/>
        <v>10</v>
      </c>
      <c r="AG552" s="300">
        <f t="shared" si="78"/>
        <v>211</v>
      </c>
      <c r="AH552" s="42">
        <f t="shared" si="84"/>
        <v>2</v>
      </c>
      <c r="AI552" s="42">
        <f t="shared" si="84"/>
        <v>0</v>
      </c>
      <c r="AJ552" s="42">
        <f t="shared" si="84"/>
        <v>0</v>
      </c>
      <c r="AK552" s="42">
        <f t="shared" si="84"/>
        <v>0</v>
      </c>
      <c r="AL552" s="42">
        <f t="shared" si="84"/>
        <v>0</v>
      </c>
      <c r="AM552" s="42">
        <f t="shared" si="83"/>
        <v>0</v>
      </c>
      <c r="AN552" s="42">
        <f t="shared" si="83"/>
        <v>0</v>
      </c>
      <c r="AO552" s="42">
        <f t="shared" si="82"/>
        <v>2</v>
      </c>
    </row>
    <row r="553" spans="1:41" ht="15.75">
      <c r="A553" s="16">
        <f t="shared" si="81"/>
        <v>550</v>
      </c>
      <c r="B553" s="390">
        <v>5128</v>
      </c>
      <c r="C553" s="391" t="s">
        <v>467</v>
      </c>
      <c r="D553" s="392" t="s">
        <v>1893</v>
      </c>
      <c r="E553" s="393" t="s">
        <v>5805</v>
      </c>
      <c r="F553" s="394" t="s">
        <v>6403</v>
      </c>
      <c r="G553" s="461" t="s">
        <v>6473</v>
      </c>
      <c r="H553" s="395">
        <v>32615</v>
      </c>
      <c r="I553" s="396">
        <v>44453</v>
      </c>
      <c r="J553" s="459" t="s">
        <v>6293</v>
      </c>
      <c r="K553" s="462" t="s">
        <v>6389</v>
      </c>
      <c r="L553" s="460" t="s">
        <v>6335</v>
      </c>
      <c r="M553" s="1">
        <v>192</v>
      </c>
      <c r="N553" s="431">
        <v>0</v>
      </c>
      <c r="O553" s="432">
        <v>0</v>
      </c>
      <c r="P553" s="432">
        <v>0</v>
      </c>
      <c r="Q553" s="432">
        <v>0</v>
      </c>
      <c r="R553" s="1">
        <v>7</v>
      </c>
      <c r="S553" s="1">
        <v>10</v>
      </c>
      <c r="T553" s="300">
        <f t="shared" si="80"/>
        <v>209</v>
      </c>
      <c r="U553" s="3"/>
      <c r="V553" s="3"/>
      <c r="W553" s="3"/>
      <c r="X553" s="3"/>
      <c r="Y553" s="3"/>
      <c r="Z553" s="20">
        <f t="shared" si="77"/>
        <v>194</v>
      </c>
      <c r="AA553" s="20">
        <f t="shared" si="85"/>
        <v>0</v>
      </c>
      <c r="AB553" s="20">
        <f t="shared" si="85"/>
        <v>0</v>
      </c>
      <c r="AC553" s="20">
        <f t="shared" si="85"/>
        <v>0</v>
      </c>
      <c r="AD553" s="20">
        <f t="shared" si="85"/>
        <v>0</v>
      </c>
      <c r="AE553" s="20">
        <f t="shared" si="85"/>
        <v>7</v>
      </c>
      <c r="AF553" s="20">
        <f t="shared" si="85"/>
        <v>10</v>
      </c>
      <c r="AG553" s="300">
        <f t="shared" si="78"/>
        <v>211</v>
      </c>
      <c r="AH553" s="42">
        <f t="shared" si="84"/>
        <v>2</v>
      </c>
      <c r="AI553" s="42">
        <f t="shared" si="84"/>
        <v>0</v>
      </c>
      <c r="AJ553" s="42">
        <f t="shared" si="84"/>
        <v>0</v>
      </c>
      <c r="AK553" s="42">
        <f t="shared" si="84"/>
        <v>0</v>
      </c>
      <c r="AL553" s="42">
        <f t="shared" si="84"/>
        <v>0</v>
      </c>
      <c r="AM553" s="42">
        <f t="shared" si="83"/>
        <v>0</v>
      </c>
      <c r="AN553" s="42">
        <f t="shared" si="83"/>
        <v>0</v>
      </c>
      <c r="AO553" s="42">
        <f t="shared" si="82"/>
        <v>2</v>
      </c>
    </row>
    <row r="554" spans="1:41" ht="15.75">
      <c r="A554" s="16">
        <f t="shared" si="81"/>
        <v>551</v>
      </c>
      <c r="B554" s="390">
        <v>5130</v>
      </c>
      <c r="C554" s="391" t="s">
        <v>6404</v>
      </c>
      <c r="D554" s="392" t="s">
        <v>6405</v>
      </c>
      <c r="E554" s="393" t="s">
        <v>4769</v>
      </c>
      <c r="F554" s="394" t="s">
        <v>6406</v>
      </c>
      <c r="G554" s="461" t="s">
        <v>6473</v>
      </c>
      <c r="H554" s="395">
        <v>35053</v>
      </c>
      <c r="I554" s="396">
        <v>44453</v>
      </c>
      <c r="J554" s="459" t="s">
        <v>6293</v>
      </c>
      <c r="K554" s="462" t="s">
        <v>6489</v>
      </c>
      <c r="L554" s="460" t="s">
        <v>6335</v>
      </c>
      <c r="M554" s="1">
        <v>192</v>
      </c>
      <c r="N554" s="431">
        <v>0</v>
      </c>
      <c r="O554" s="432">
        <v>0</v>
      </c>
      <c r="P554" s="432">
        <v>0</v>
      </c>
      <c r="Q554" s="432">
        <v>0</v>
      </c>
      <c r="R554" s="1">
        <v>7</v>
      </c>
      <c r="S554" s="1">
        <v>10</v>
      </c>
      <c r="T554" s="300">
        <f t="shared" si="80"/>
        <v>209</v>
      </c>
      <c r="U554" s="3"/>
      <c r="V554" s="3"/>
      <c r="W554" s="3"/>
      <c r="X554" s="3"/>
      <c r="Y554" s="3"/>
      <c r="Z554" s="20">
        <f t="shared" si="77"/>
        <v>194</v>
      </c>
      <c r="AA554" s="20">
        <f t="shared" si="85"/>
        <v>0</v>
      </c>
      <c r="AB554" s="20">
        <f t="shared" si="85"/>
        <v>0</v>
      </c>
      <c r="AC554" s="20">
        <f t="shared" si="85"/>
        <v>0</v>
      </c>
      <c r="AD554" s="20">
        <f t="shared" si="85"/>
        <v>0</v>
      </c>
      <c r="AE554" s="20">
        <f t="shared" si="85"/>
        <v>7</v>
      </c>
      <c r="AF554" s="20">
        <f t="shared" si="85"/>
        <v>10</v>
      </c>
      <c r="AG554" s="300">
        <f t="shared" si="78"/>
        <v>211</v>
      </c>
      <c r="AH554" s="42">
        <f t="shared" si="84"/>
        <v>2</v>
      </c>
      <c r="AI554" s="42">
        <f t="shared" si="84"/>
        <v>0</v>
      </c>
      <c r="AJ554" s="42">
        <f t="shared" si="84"/>
        <v>0</v>
      </c>
      <c r="AK554" s="42">
        <f t="shared" si="84"/>
        <v>0</v>
      </c>
      <c r="AL554" s="42">
        <f t="shared" si="84"/>
        <v>0</v>
      </c>
      <c r="AM554" s="42">
        <f t="shared" si="83"/>
        <v>0</v>
      </c>
      <c r="AN554" s="42">
        <f t="shared" si="83"/>
        <v>0</v>
      </c>
      <c r="AO554" s="42">
        <f t="shared" si="82"/>
        <v>2</v>
      </c>
    </row>
    <row r="555" spans="1:41" ht="15.75">
      <c r="A555" s="16">
        <f t="shared" si="81"/>
        <v>552</v>
      </c>
      <c r="B555" s="390">
        <v>5131</v>
      </c>
      <c r="C555" s="391" t="s">
        <v>3965</v>
      </c>
      <c r="D555" s="392" t="s">
        <v>6407</v>
      </c>
      <c r="E555" s="393" t="s">
        <v>3967</v>
      </c>
      <c r="F555" s="394" t="s">
        <v>6408</v>
      </c>
      <c r="G555" s="461" t="s">
        <v>6473</v>
      </c>
      <c r="H555" s="395">
        <v>29683</v>
      </c>
      <c r="I555" s="396">
        <v>44453</v>
      </c>
      <c r="J555" s="459" t="s">
        <v>6293</v>
      </c>
      <c r="K555" s="462" t="s">
        <v>6489</v>
      </c>
      <c r="L555" s="460" t="s">
        <v>6335</v>
      </c>
      <c r="M555" s="1">
        <v>192</v>
      </c>
      <c r="N555" s="431">
        <v>0</v>
      </c>
      <c r="O555" s="432">
        <v>0</v>
      </c>
      <c r="P555" s="432">
        <v>0</v>
      </c>
      <c r="Q555" s="432">
        <v>0</v>
      </c>
      <c r="R555" s="1">
        <v>7</v>
      </c>
      <c r="S555" s="1">
        <v>10</v>
      </c>
      <c r="T555" s="300">
        <f t="shared" si="80"/>
        <v>209</v>
      </c>
      <c r="U555" s="3"/>
      <c r="V555" s="3"/>
      <c r="W555" s="3"/>
      <c r="X555" s="3"/>
      <c r="Y555" s="3"/>
      <c r="Z555" s="20">
        <f t="shared" si="77"/>
        <v>194</v>
      </c>
      <c r="AA555" s="20">
        <f t="shared" si="85"/>
        <v>0</v>
      </c>
      <c r="AB555" s="20">
        <f t="shared" si="85"/>
        <v>0</v>
      </c>
      <c r="AC555" s="20">
        <f t="shared" si="85"/>
        <v>0</v>
      </c>
      <c r="AD555" s="20">
        <f t="shared" si="85"/>
        <v>0</v>
      </c>
      <c r="AE555" s="20">
        <f t="shared" si="85"/>
        <v>7</v>
      </c>
      <c r="AF555" s="20">
        <f t="shared" si="85"/>
        <v>10</v>
      </c>
      <c r="AG555" s="300">
        <f t="shared" si="78"/>
        <v>211</v>
      </c>
      <c r="AH555" s="42">
        <f t="shared" si="84"/>
        <v>2</v>
      </c>
      <c r="AI555" s="42">
        <f t="shared" si="84"/>
        <v>0</v>
      </c>
      <c r="AJ555" s="42">
        <f t="shared" si="84"/>
        <v>0</v>
      </c>
      <c r="AK555" s="42">
        <f t="shared" si="84"/>
        <v>0</v>
      </c>
      <c r="AL555" s="42">
        <f t="shared" si="84"/>
        <v>0</v>
      </c>
      <c r="AM555" s="42">
        <f t="shared" si="83"/>
        <v>0</v>
      </c>
      <c r="AN555" s="42">
        <f t="shared" si="83"/>
        <v>0</v>
      </c>
      <c r="AO555" s="42">
        <f t="shared" si="82"/>
        <v>2</v>
      </c>
    </row>
    <row r="556" spans="1:41" ht="15.75">
      <c r="A556" s="16">
        <f t="shared" si="81"/>
        <v>553</v>
      </c>
      <c r="B556" s="390">
        <v>5132</v>
      </c>
      <c r="C556" s="391" t="s">
        <v>825</v>
      </c>
      <c r="D556" s="392" t="s">
        <v>6409</v>
      </c>
      <c r="E556" s="393" t="s">
        <v>1799</v>
      </c>
      <c r="F556" s="394" t="s">
        <v>6410</v>
      </c>
      <c r="G556" s="461" t="s">
        <v>6473</v>
      </c>
      <c r="H556" s="395">
        <v>29847</v>
      </c>
      <c r="I556" s="396">
        <v>44453</v>
      </c>
      <c r="J556" s="459" t="s">
        <v>6293</v>
      </c>
      <c r="K556" s="462" t="s">
        <v>6392</v>
      </c>
      <c r="L556" s="460" t="s">
        <v>6335</v>
      </c>
      <c r="M556" s="1">
        <v>192</v>
      </c>
      <c r="N556" s="431">
        <v>0</v>
      </c>
      <c r="O556" s="432">
        <v>0</v>
      </c>
      <c r="P556" s="432">
        <v>0</v>
      </c>
      <c r="Q556" s="432">
        <v>0</v>
      </c>
      <c r="R556" s="1">
        <v>7</v>
      </c>
      <c r="S556" s="1">
        <v>10</v>
      </c>
      <c r="T556" s="300">
        <f t="shared" si="80"/>
        <v>209</v>
      </c>
      <c r="U556" s="3"/>
      <c r="V556" s="3"/>
      <c r="W556" s="3"/>
      <c r="X556" s="3"/>
      <c r="Y556" s="3"/>
      <c r="Z556" s="20">
        <f t="shared" si="77"/>
        <v>194</v>
      </c>
      <c r="AA556" s="20">
        <f t="shared" si="85"/>
        <v>0</v>
      </c>
      <c r="AB556" s="20">
        <f t="shared" si="85"/>
        <v>0</v>
      </c>
      <c r="AC556" s="20">
        <f t="shared" si="85"/>
        <v>0</v>
      </c>
      <c r="AD556" s="20">
        <f t="shared" si="85"/>
        <v>0</v>
      </c>
      <c r="AE556" s="20">
        <f t="shared" si="85"/>
        <v>7</v>
      </c>
      <c r="AF556" s="20">
        <f t="shared" si="85"/>
        <v>10</v>
      </c>
      <c r="AG556" s="300">
        <f t="shared" si="78"/>
        <v>211</v>
      </c>
      <c r="AH556" s="42">
        <f t="shared" si="84"/>
        <v>2</v>
      </c>
      <c r="AI556" s="42">
        <f t="shared" si="84"/>
        <v>0</v>
      </c>
      <c r="AJ556" s="42">
        <f t="shared" si="84"/>
        <v>0</v>
      </c>
      <c r="AK556" s="42">
        <f t="shared" si="84"/>
        <v>0</v>
      </c>
      <c r="AL556" s="42">
        <f t="shared" si="84"/>
        <v>0</v>
      </c>
      <c r="AM556" s="42">
        <f t="shared" si="83"/>
        <v>0</v>
      </c>
      <c r="AN556" s="42">
        <f t="shared" si="83"/>
        <v>0</v>
      </c>
      <c r="AO556" s="42">
        <f t="shared" si="82"/>
        <v>2</v>
      </c>
    </row>
    <row r="557" spans="1:41" ht="15.75">
      <c r="A557" s="16">
        <f t="shared" si="81"/>
        <v>554</v>
      </c>
      <c r="B557" s="390">
        <v>5133</v>
      </c>
      <c r="C557" s="391" t="s">
        <v>5211</v>
      </c>
      <c r="D557" s="392" t="s">
        <v>6411</v>
      </c>
      <c r="E557" s="393" t="s">
        <v>5213</v>
      </c>
      <c r="F557" s="394" t="s">
        <v>6412</v>
      </c>
      <c r="G557" s="461" t="s">
        <v>6473</v>
      </c>
      <c r="H557" s="395">
        <v>37532</v>
      </c>
      <c r="I557" s="396">
        <v>44454</v>
      </c>
      <c r="J557" s="459" t="s">
        <v>6293</v>
      </c>
      <c r="K557" s="460" t="s">
        <v>6125</v>
      </c>
      <c r="L557" s="460" t="s">
        <v>6339</v>
      </c>
      <c r="M557" s="1">
        <v>192</v>
      </c>
      <c r="N557" s="431">
        <v>0</v>
      </c>
      <c r="O557" s="432">
        <v>0</v>
      </c>
      <c r="P557" s="432">
        <v>0</v>
      </c>
      <c r="Q557" s="432">
        <v>0</v>
      </c>
      <c r="R557" s="1">
        <v>7</v>
      </c>
      <c r="S557" s="1">
        <v>10</v>
      </c>
      <c r="T557" s="300">
        <f t="shared" si="80"/>
        <v>209</v>
      </c>
      <c r="U557" s="3"/>
      <c r="V557" s="3"/>
      <c r="W557" s="3"/>
      <c r="X557" s="3"/>
      <c r="Y557" s="3"/>
      <c r="Z557" s="20">
        <f t="shared" si="77"/>
        <v>194</v>
      </c>
      <c r="AA557" s="20">
        <f t="shared" si="85"/>
        <v>0</v>
      </c>
      <c r="AB557" s="20">
        <f t="shared" si="85"/>
        <v>0</v>
      </c>
      <c r="AC557" s="20">
        <f t="shared" si="85"/>
        <v>0</v>
      </c>
      <c r="AD557" s="20">
        <f t="shared" si="85"/>
        <v>0</v>
      </c>
      <c r="AE557" s="20">
        <f t="shared" si="85"/>
        <v>7</v>
      </c>
      <c r="AF557" s="20">
        <f t="shared" si="85"/>
        <v>10</v>
      </c>
      <c r="AG557" s="300">
        <f t="shared" si="78"/>
        <v>211</v>
      </c>
      <c r="AH557" s="42">
        <f t="shared" si="84"/>
        <v>2</v>
      </c>
      <c r="AI557" s="42">
        <f t="shared" si="84"/>
        <v>0</v>
      </c>
      <c r="AJ557" s="42">
        <f t="shared" si="84"/>
        <v>0</v>
      </c>
      <c r="AK557" s="42">
        <f t="shared" si="84"/>
        <v>0</v>
      </c>
      <c r="AL557" s="42">
        <f t="shared" si="84"/>
        <v>0</v>
      </c>
      <c r="AM557" s="42">
        <f t="shared" si="83"/>
        <v>0</v>
      </c>
      <c r="AN557" s="42">
        <f t="shared" si="83"/>
        <v>0</v>
      </c>
      <c r="AO557" s="42">
        <f t="shared" si="82"/>
        <v>2</v>
      </c>
    </row>
    <row r="558" spans="1:41" ht="15.75">
      <c r="A558" s="16">
        <f t="shared" si="81"/>
        <v>555</v>
      </c>
      <c r="B558" s="390">
        <v>5137</v>
      </c>
      <c r="C558" s="391" t="s">
        <v>958</v>
      </c>
      <c r="D558" s="392" t="s">
        <v>1719</v>
      </c>
      <c r="E558" s="393" t="s">
        <v>6173</v>
      </c>
      <c r="F558" s="394" t="s">
        <v>1721</v>
      </c>
      <c r="G558" s="461" t="s">
        <v>6473</v>
      </c>
      <c r="H558" s="395">
        <v>35134</v>
      </c>
      <c r="I558" s="396">
        <v>44454</v>
      </c>
      <c r="J558" s="459" t="s">
        <v>6293</v>
      </c>
      <c r="K558" s="462" t="s">
        <v>6489</v>
      </c>
      <c r="L558" s="460" t="s">
        <v>6335</v>
      </c>
      <c r="M558" s="1">
        <v>192</v>
      </c>
      <c r="N558" s="431">
        <v>0</v>
      </c>
      <c r="O558" s="432">
        <v>0</v>
      </c>
      <c r="P558" s="432">
        <v>0</v>
      </c>
      <c r="Q558" s="432">
        <v>0</v>
      </c>
      <c r="R558" s="1">
        <v>7</v>
      </c>
      <c r="S558" s="1">
        <v>10</v>
      </c>
      <c r="T558" s="300">
        <f t="shared" si="80"/>
        <v>209</v>
      </c>
      <c r="U558" s="3"/>
      <c r="V558" s="3"/>
      <c r="W558" s="3"/>
      <c r="X558" s="3"/>
      <c r="Y558" s="3"/>
      <c r="Z558" s="20">
        <f t="shared" si="77"/>
        <v>194</v>
      </c>
      <c r="AA558" s="20">
        <f t="shared" si="85"/>
        <v>0</v>
      </c>
      <c r="AB558" s="20">
        <f t="shared" si="85"/>
        <v>0</v>
      </c>
      <c r="AC558" s="20">
        <f t="shared" si="85"/>
        <v>0</v>
      </c>
      <c r="AD558" s="20">
        <f t="shared" si="85"/>
        <v>0</v>
      </c>
      <c r="AE558" s="20">
        <f t="shared" si="85"/>
        <v>7</v>
      </c>
      <c r="AF558" s="20">
        <f t="shared" si="85"/>
        <v>10</v>
      </c>
      <c r="AG558" s="300">
        <f t="shared" si="78"/>
        <v>211</v>
      </c>
      <c r="AH558" s="42">
        <f t="shared" si="84"/>
        <v>2</v>
      </c>
      <c r="AI558" s="42">
        <f t="shared" si="84"/>
        <v>0</v>
      </c>
      <c r="AJ558" s="42">
        <f t="shared" si="84"/>
        <v>0</v>
      </c>
      <c r="AK558" s="42">
        <f t="shared" si="84"/>
        <v>0</v>
      </c>
      <c r="AL558" s="42">
        <f t="shared" si="84"/>
        <v>0</v>
      </c>
      <c r="AM558" s="42">
        <f t="shared" si="83"/>
        <v>0</v>
      </c>
      <c r="AN558" s="42">
        <f t="shared" si="83"/>
        <v>0</v>
      </c>
      <c r="AO558" s="42">
        <f t="shared" si="82"/>
        <v>2</v>
      </c>
    </row>
    <row r="559" spans="1:41" ht="15.75">
      <c r="A559" s="16">
        <f t="shared" si="81"/>
        <v>556</v>
      </c>
      <c r="B559" s="390">
        <v>5138</v>
      </c>
      <c r="C559" s="391" t="s">
        <v>958</v>
      </c>
      <c r="D559" s="392" t="s">
        <v>1419</v>
      </c>
      <c r="E559" s="393" t="s">
        <v>959</v>
      </c>
      <c r="F559" s="394" t="s">
        <v>1421</v>
      </c>
      <c r="G559" s="461" t="s">
        <v>6473</v>
      </c>
      <c r="H559" s="395">
        <v>36134</v>
      </c>
      <c r="I559" s="396">
        <v>44455</v>
      </c>
      <c r="J559" s="459" t="s">
        <v>6293</v>
      </c>
      <c r="K559" s="462" t="s">
        <v>6489</v>
      </c>
      <c r="L559" s="460" t="s">
        <v>6335</v>
      </c>
      <c r="M559" s="1">
        <v>192</v>
      </c>
      <c r="N559" s="431">
        <v>0</v>
      </c>
      <c r="O559" s="432">
        <v>0</v>
      </c>
      <c r="P559" s="432">
        <v>0</v>
      </c>
      <c r="Q559" s="432">
        <v>0</v>
      </c>
      <c r="R559" s="1">
        <v>7</v>
      </c>
      <c r="S559" s="1">
        <v>10</v>
      </c>
      <c r="T559" s="300">
        <f t="shared" si="80"/>
        <v>209</v>
      </c>
      <c r="U559" s="3"/>
      <c r="V559" s="3"/>
      <c r="W559" s="3"/>
      <c r="X559" s="3"/>
      <c r="Y559" s="3"/>
      <c r="Z559" s="20">
        <f t="shared" si="77"/>
        <v>194</v>
      </c>
      <c r="AA559" s="20">
        <f t="shared" si="85"/>
        <v>0</v>
      </c>
      <c r="AB559" s="20">
        <f t="shared" si="85"/>
        <v>0</v>
      </c>
      <c r="AC559" s="20">
        <f t="shared" si="85"/>
        <v>0</v>
      </c>
      <c r="AD559" s="20">
        <f t="shared" si="85"/>
        <v>0</v>
      </c>
      <c r="AE559" s="20">
        <f t="shared" si="85"/>
        <v>7</v>
      </c>
      <c r="AF559" s="20">
        <f t="shared" si="85"/>
        <v>10</v>
      </c>
      <c r="AG559" s="300">
        <f t="shared" si="78"/>
        <v>211</v>
      </c>
      <c r="AH559" s="42">
        <f t="shared" si="84"/>
        <v>2</v>
      </c>
      <c r="AI559" s="42">
        <f t="shared" si="84"/>
        <v>0</v>
      </c>
      <c r="AJ559" s="42">
        <f t="shared" si="84"/>
        <v>0</v>
      </c>
      <c r="AK559" s="42">
        <f t="shared" si="84"/>
        <v>0</v>
      </c>
      <c r="AL559" s="42">
        <f t="shared" si="84"/>
        <v>0</v>
      </c>
      <c r="AM559" s="42">
        <f t="shared" si="83"/>
        <v>0</v>
      </c>
      <c r="AN559" s="42">
        <f t="shared" si="83"/>
        <v>0</v>
      </c>
      <c r="AO559" s="42">
        <f t="shared" si="82"/>
        <v>2</v>
      </c>
    </row>
    <row r="560" spans="1:41" ht="15.75">
      <c r="A560" s="16">
        <f t="shared" si="81"/>
        <v>557</v>
      </c>
      <c r="B560" s="390">
        <v>5140</v>
      </c>
      <c r="C560" s="391" t="s">
        <v>1705</v>
      </c>
      <c r="D560" s="392" t="s">
        <v>6413</v>
      </c>
      <c r="E560" s="393" t="s">
        <v>1706</v>
      </c>
      <c r="F560" s="394" t="s">
        <v>6414</v>
      </c>
      <c r="G560" s="461" t="s">
        <v>6473</v>
      </c>
      <c r="H560" s="395">
        <v>35353</v>
      </c>
      <c r="I560" s="396">
        <v>44455</v>
      </c>
      <c r="J560" s="459" t="s">
        <v>6293</v>
      </c>
      <c r="K560" s="462" t="s">
        <v>6134</v>
      </c>
      <c r="L560" s="460" t="s">
        <v>6335</v>
      </c>
      <c r="M560" s="1">
        <v>187</v>
      </c>
      <c r="N560" s="431">
        <v>0</v>
      </c>
      <c r="O560" s="432">
        <v>0</v>
      </c>
      <c r="P560" s="432">
        <v>0</v>
      </c>
      <c r="Q560" s="432">
        <v>0</v>
      </c>
      <c r="R560" s="1">
        <v>7</v>
      </c>
      <c r="S560" s="1">
        <v>10</v>
      </c>
      <c r="T560" s="300">
        <f t="shared" si="80"/>
        <v>204</v>
      </c>
      <c r="U560" s="3"/>
      <c r="V560" s="3"/>
      <c r="W560" s="3"/>
      <c r="X560" s="3"/>
      <c r="Y560" s="3"/>
      <c r="Z560" s="20">
        <f t="shared" si="77"/>
        <v>189</v>
      </c>
      <c r="AA560" s="20">
        <f t="shared" si="85"/>
        <v>0</v>
      </c>
      <c r="AB560" s="20">
        <f t="shared" si="85"/>
        <v>0</v>
      </c>
      <c r="AC560" s="20">
        <f t="shared" si="85"/>
        <v>0</v>
      </c>
      <c r="AD560" s="20">
        <f t="shared" si="85"/>
        <v>0</v>
      </c>
      <c r="AE560" s="20">
        <f t="shared" si="85"/>
        <v>7</v>
      </c>
      <c r="AF560" s="20">
        <f t="shared" si="85"/>
        <v>10</v>
      </c>
      <c r="AG560" s="300">
        <f t="shared" si="78"/>
        <v>206</v>
      </c>
      <c r="AH560" s="42">
        <f t="shared" si="84"/>
        <v>2</v>
      </c>
      <c r="AI560" s="42">
        <f t="shared" si="84"/>
        <v>0</v>
      </c>
      <c r="AJ560" s="42">
        <f t="shared" si="84"/>
        <v>0</v>
      </c>
      <c r="AK560" s="42">
        <f t="shared" si="84"/>
        <v>0</v>
      </c>
      <c r="AL560" s="42">
        <f t="shared" si="84"/>
        <v>0</v>
      </c>
      <c r="AM560" s="42">
        <f t="shared" si="83"/>
        <v>0</v>
      </c>
      <c r="AN560" s="42">
        <f t="shared" si="83"/>
        <v>0</v>
      </c>
      <c r="AO560" s="42">
        <f t="shared" si="82"/>
        <v>2</v>
      </c>
    </row>
    <row r="561" spans="1:41" ht="15.75">
      <c r="A561" s="16">
        <f t="shared" si="81"/>
        <v>558</v>
      </c>
      <c r="B561" s="390">
        <v>5142</v>
      </c>
      <c r="C561" s="391" t="s">
        <v>6415</v>
      </c>
      <c r="D561" s="392" t="s">
        <v>6416</v>
      </c>
      <c r="E561" s="393" t="s">
        <v>1136</v>
      </c>
      <c r="F561" s="394" t="s">
        <v>6181</v>
      </c>
      <c r="G561" s="461" t="s">
        <v>6473</v>
      </c>
      <c r="H561" s="395">
        <v>31481</v>
      </c>
      <c r="I561" s="396">
        <v>44457</v>
      </c>
      <c r="J561" s="459" t="s">
        <v>6293</v>
      </c>
      <c r="K561" s="460" t="s">
        <v>6309</v>
      </c>
      <c r="L561" s="460" t="s">
        <v>6339</v>
      </c>
      <c r="M561" s="1">
        <v>187</v>
      </c>
      <c r="N561" s="431">
        <v>0</v>
      </c>
      <c r="O561" s="432">
        <v>0</v>
      </c>
      <c r="P561" s="432">
        <v>0</v>
      </c>
      <c r="Q561" s="432">
        <v>0</v>
      </c>
      <c r="R561" s="1">
        <v>7</v>
      </c>
      <c r="S561" s="1">
        <v>10</v>
      </c>
      <c r="T561" s="300">
        <f t="shared" si="80"/>
        <v>204</v>
      </c>
      <c r="U561" s="3"/>
      <c r="V561" s="3"/>
      <c r="W561" s="3"/>
      <c r="X561" s="3"/>
      <c r="Y561" s="3"/>
      <c r="Z561" s="20">
        <f t="shared" si="77"/>
        <v>189</v>
      </c>
      <c r="AA561" s="20">
        <f t="shared" si="85"/>
        <v>0</v>
      </c>
      <c r="AB561" s="20">
        <f t="shared" si="85"/>
        <v>0</v>
      </c>
      <c r="AC561" s="20">
        <f t="shared" si="85"/>
        <v>0</v>
      </c>
      <c r="AD561" s="20">
        <f t="shared" si="85"/>
        <v>0</v>
      </c>
      <c r="AE561" s="20">
        <f t="shared" si="85"/>
        <v>7</v>
      </c>
      <c r="AF561" s="20">
        <f t="shared" si="85"/>
        <v>10</v>
      </c>
      <c r="AG561" s="300">
        <f t="shared" si="78"/>
        <v>206</v>
      </c>
      <c r="AH561" s="42">
        <f t="shared" si="84"/>
        <v>2</v>
      </c>
      <c r="AI561" s="42">
        <f t="shared" si="84"/>
        <v>0</v>
      </c>
      <c r="AJ561" s="42">
        <f t="shared" si="84"/>
        <v>0</v>
      </c>
      <c r="AK561" s="42">
        <f t="shared" si="84"/>
        <v>0</v>
      </c>
      <c r="AL561" s="42">
        <f t="shared" si="84"/>
        <v>0</v>
      </c>
      <c r="AM561" s="42">
        <f t="shared" si="83"/>
        <v>0</v>
      </c>
      <c r="AN561" s="42">
        <f t="shared" si="83"/>
        <v>0</v>
      </c>
      <c r="AO561" s="42">
        <f t="shared" si="82"/>
        <v>2</v>
      </c>
    </row>
    <row r="562" spans="1:41" ht="15.75">
      <c r="A562" s="16">
        <f t="shared" si="81"/>
        <v>559</v>
      </c>
      <c r="B562" s="390">
        <v>5143</v>
      </c>
      <c r="C562" s="391" t="s">
        <v>6417</v>
      </c>
      <c r="D562" s="392" t="s">
        <v>6418</v>
      </c>
      <c r="E562" s="393" t="s">
        <v>6419</v>
      </c>
      <c r="F562" s="394" t="s">
        <v>6184</v>
      </c>
      <c r="G562" s="461" t="s">
        <v>6473</v>
      </c>
      <c r="H562" s="395">
        <v>33094</v>
      </c>
      <c r="I562" s="396">
        <v>44457</v>
      </c>
      <c r="J562" s="459" t="s">
        <v>6293</v>
      </c>
      <c r="K562" s="462" t="s">
        <v>6489</v>
      </c>
      <c r="L562" s="460" t="s">
        <v>6335</v>
      </c>
      <c r="M562" s="1">
        <v>187</v>
      </c>
      <c r="N562" s="431">
        <v>0</v>
      </c>
      <c r="O562" s="432">
        <v>0</v>
      </c>
      <c r="P562" s="432">
        <v>0</v>
      </c>
      <c r="Q562" s="432">
        <v>0</v>
      </c>
      <c r="R562" s="1">
        <v>7</v>
      </c>
      <c r="S562" s="1">
        <v>10</v>
      </c>
      <c r="T562" s="300">
        <f t="shared" si="80"/>
        <v>204</v>
      </c>
      <c r="U562" s="3"/>
      <c r="V562" s="3"/>
      <c r="W562" s="3"/>
      <c r="X562" s="3"/>
      <c r="Y562" s="3"/>
      <c r="Z562" s="20">
        <f t="shared" si="77"/>
        <v>189</v>
      </c>
      <c r="AA562" s="20">
        <f t="shared" si="85"/>
        <v>0</v>
      </c>
      <c r="AB562" s="20">
        <f t="shared" si="85"/>
        <v>0</v>
      </c>
      <c r="AC562" s="20">
        <f t="shared" si="85"/>
        <v>0</v>
      </c>
      <c r="AD562" s="20">
        <f t="shared" si="85"/>
        <v>0</v>
      </c>
      <c r="AE562" s="20">
        <f t="shared" si="85"/>
        <v>7</v>
      </c>
      <c r="AF562" s="20">
        <f t="shared" si="85"/>
        <v>10</v>
      </c>
      <c r="AG562" s="300">
        <f t="shared" si="78"/>
        <v>206</v>
      </c>
      <c r="AH562" s="42">
        <f t="shared" si="84"/>
        <v>2</v>
      </c>
      <c r="AI562" s="42">
        <f t="shared" si="84"/>
        <v>0</v>
      </c>
      <c r="AJ562" s="42">
        <f t="shared" si="84"/>
        <v>0</v>
      </c>
      <c r="AK562" s="42">
        <f t="shared" si="84"/>
        <v>0</v>
      </c>
      <c r="AL562" s="42">
        <f t="shared" si="84"/>
        <v>0</v>
      </c>
      <c r="AM562" s="42">
        <f t="shared" si="83"/>
        <v>0</v>
      </c>
      <c r="AN562" s="42">
        <f t="shared" si="83"/>
        <v>0</v>
      </c>
      <c r="AO562" s="42">
        <f t="shared" si="82"/>
        <v>2</v>
      </c>
    </row>
    <row r="563" spans="1:41" ht="15.75">
      <c r="A563" s="16">
        <f t="shared" si="81"/>
        <v>560</v>
      </c>
      <c r="B563" s="390">
        <v>5144</v>
      </c>
      <c r="C563" s="391" t="s">
        <v>6420</v>
      </c>
      <c r="D563" s="392" t="s">
        <v>6398</v>
      </c>
      <c r="E563" s="393" t="s">
        <v>6421</v>
      </c>
      <c r="F563" s="394" t="s">
        <v>6422</v>
      </c>
      <c r="G563" s="461" t="s">
        <v>6473</v>
      </c>
      <c r="H563" s="395">
        <v>35433</v>
      </c>
      <c r="I563" s="396">
        <v>44457</v>
      </c>
      <c r="J563" s="459" t="s">
        <v>6293</v>
      </c>
      <c r="K563" s="462" t="s">
        <v>6489</v>
      </c>
      <c r="L563" s="460" t="s">
        <v>6335</v>
      </c>
      <c r="M563" s="1">
        <v>187</v>
      </c>
      <c r="N563" s="431">
        <v>0</v>
      </c>
      <c r="O563" s="432">
        <v>0</v>
      </c>
      <c r="P563" s="432">
        <v>0</v>
      </c>
      <c r="Q563" s="432">
        <v>0</v>
      </c>
      <c r="R563" s="1">
        <v>7</v>
      </c>
      <c r="S563" s="1">
        <v>10</v>
      </c>
      <c r="T563" s="300">
        <f t="shared" si="80"/>
        <v>204</v>
      </c>
      <c r="U563" s="3"/>
      <c r="V563" s="3"/>
      <c r="W563" s="3"/>
      <c r="X563" s="3"/>
      <c r="Y563" s="3"/>
      <c r="Z563" s="20">
        <f t="shared" si="77"/>
        <v>189</v>
      </c>
      <c r="AA563" s="20">
        <f t="shared" si="85"/>
        <v>0</v>
      </c>
      <c r="AB563" s="20">
        <f t="shared" si="85"/>
        <v>0</v>
      </c>
      <c r="AC563" s="20">
        <f t="shared" si="85"/>
        <v>0</v>
      </c>
      <c r="AD563" s="20">
        <f t="shared" si="85"/>
        <v>0</v>
      </c>
      <c r="AE563" s="20">
        <f t="shared" si="85"/>
        <v>7</v>
      </c>
      <c r="AF563" s="20">
        <f t="shared" si="85"/>
        <v>10</v>
      </c>
      <c r="AG563" s="300">
        <f t="shared" si="78"/>
        <v>206</v>
      </c>
      <c r="AH563" s="42">
        <f t="shared" si="84"/>
        <v>2</v>
      </c>
      <c r="AI563" s="42">
        <f t="shared" si="84"/>
        <v>0</v>
      </c>
      <c r="AJ563" s="42">
        <f t="shared" si="84"/>
        <v>0</v>
      </c>
      <c r="AK563" s="42">
        <f t="shared" si="84"/>
        <v>0</v>
      </c>
      <c r="AL563" s="42">
        <f t="shared" si="84"/>
        <v>0</v>
      </c>
      <c r="AM563" s="42">
        <f t="shared" si="83"/>
        <v>0</v>
      </c>
      <c r="AN563" s="42">
        <f t="shared" si="83"/>
        <v>0</v>
      </c>
      <c r="AO563" s="42">
        <f t="shared" si="82"/>
        <v>2</v>
      </c>
    </row>
    <row r="564" spans="1:41" ht="15.75">
      <c r="A564" s="16">
        <f t="shared" si="81"/>
        <v>561</v>
      </c>
      <c r="B564" s="390">
        <v>5145</v>
      </c>
      <c r="C564" s="391" t="s">
        <v>1273</v>
      </c>
      <c r="D564" s="392" t="s">
        <v>6226</v>
      </c>
      <c r="E564" s="393" t="s">
        <v>1275</v>
      </c>
      <c r="F564" s="394" t="s">
        <v>6052</v>
      </c>
      <c r="G564" s="461" t="s">
        <v>6473</v>
      </c>
      <c r="H564" s="395">
        <v>30773</v>
      </c>
      <c r="I564" s="396">
        <v>44459</v>
      </c>
      <c r="J564" s="459" t="s">
        <v>6293</v>
      </c>
      <c r="K564" s="462" t="s">
        <v>6490</v>
      </c>
      <c r="L564" s="460" t="s">
        <v>6335</v>
      </c>
      <c r="M564" s="1">
        <v>192</v>
      </c>
      <c r="N564" s="431">
        <v>0</v>
      </c>
      <c r="O564" s="432">
        <v>0</v>
      </c>
      <c r="P564" s="432">
        <v>0</v>
      </c>
      <c r="Q564" s="432">
        <v>0</v>
      </c>
      <c r="R564" s="1">
        <v>7</v>
      </c>
      <c r="S564" s="1">
        <v>10</v>
      </c>
      <c r="T564" s="300">
        <f t="shared" si="80"/>
        <v>209</v>
      </c>
      <c r="U564" s="3"/>
      <c r="V564" s="3"/>
      <c r="W564" s="3"/>
      <c r="X564" s="3"/>
      <c r="Y564" s="3"/>
      <c r="Z564" s="20">
        <f t="shared" si="77"/>
        <v>194</v>
      </c>
      <c r="AA564" s="20">
        <f t="shared" si="85"/>
        <v>0</v>
      </c>
      <c r="AB564" s="20">
        <f t="shared" si="85"/>
        <v>0</v>
      </c>
      <c r="AC564" s="20">
        <f t="shared" si="85"/>
        <v>0</v>
      </c>
      <c r="AD564" s="20">
        <f t="shared" si="85"/>
        <v>0</v>
      </c>
      <c r="AE564" s="20">
        <f t="shared" si="85"/>
        <v>7</v>
      </c>
      <c r="AF564" s="20">
        <f t="shared" si="85"/>
        <v>10</v>
      </c>
      <c r="AG564" s="300">
        <f t="shared" si="78"/>
        <v>211</v>
      </c>
      <c r="AH564" s="42">
        <f t="shared" si="84"/>
        <v>2</v>
      </c>
      <c r="AI564" s="42">
        <f t="shared" si="84"/>
        <v>0</v>
      </c>
      <c r="AJ564" s="42">
        <f t="shared" si="84"/>
        <v>0</v>
      </c>
      <c r="AK564" s="42">
        <f t="shared" si="84"/>
        <v>0</v>
      </c>
      <c r="AL564" s="42">
        <f t="shared" si="84"/>
        <v>0</v>
      </c>
      <c r="AM564" s="42">
        <f t="shared" si="83"/>
        <v>0</v>
      </c>
      <c r="AN564" s="42">
        <f t="shared" si="83"/>
        <v>0</v>
      </c>
      <c r="AO564" s="42">
        <f t="shared" si="82"/>
        <v>2</v>
      </c>
    </row>
    <row r="565" spans="1:41" ht="15.75">
      <c r="A565" s="16">
        <f t="shared" si="81"/>
        <v>562</v>
      </c>
      <c r="B565" s="390">
        <v>5146</v>
      </c>
      <c r="C565" s="391" t="s">
        <v>340</v>
      </c>
      <c r="D565" s="392" t="s">
        <v>6423</v>
      </c>
      <c r="E565" s="393" t="s">
        <v>342</v>
      </c>
      <c r="F565" s="394" t="s">
        <v>6424</v>
      </c>
      <c r="G565" s="461" t="s">
        <v>6473</v>
      </c>
      <c r="H565" s="395">
        <v>37775</v>
      </c>
      <c r="I565" s="396">
        <v>44460</v>
      </c>
      <c r="J565" s="459" t="s">
        <v>6293</v>
      </c>
      <c r="K565" s="460" t="s">
        <v>6125</v>
      </c>
      <c r="L565" s="460" t="s">
        <v>6339</v>
      </c>
      <c r="M565" s="1">
        <v>187</v>
      </c>
      <c r="N565" s="431">
        <v>0</v>
      </c>
      <c r="O565" s="432">
        <v>0</v>
      </c>
      <c r="P565" s="432">
        <v>0</v>
      </c>
      <c r="Q565" s="432">
        <v>0</v>
      </c>
      <c r="R565" s="1">
        <v>7</v>
      </c>
      <c r="S565" s="1">
        <v>10</v>
      </c>
      <c r="T565" s="300">
        <f t="shared" si="80"/>
        <v>204</v>
      </c>
      <c r="U565" s="3"/>
      <c r="V565" s="3"/>
      <c r="W565" s="3"/>
      <c r="X565" s="3"/>
      <c r="Y565" s="3"/>
      <c r="Z565" s="20">
        <f t="shared" ref="Z565:Z619" si="86">M565+2</f>
        <v>189</v>
      </c>
      <c r="AA565" s="20">
        <f t="shared" si="85"/>
        <v>0</v>
      </c>
      <c r="AB565" s="20">
        <f t="shared" si="85"/>
        <v>0</v>
      </c>
      <c r="AC565" s="20">
        <f t="shared" si="85"/>
        <v>0</v>
      </c>
      <c r="AD565" s="20">
        <f t="shared" si="85"/>
        <v>0</v>
      </c>
      <c r="AE565" s="20">
        <f t="shared" si="85"/>
        <v>7</v>
      </c>
      <c r="AF565" s="20">
        <f t="shared" si="85"/>
        <v>10</v>
      </c>
      <c r="AG565" s="300">
        <f t="shared" ref="AG565:AG619" si="87">SUM(Z565:AF565)</f>
        <v>206</v>
      </c>
      <c r="AH565" s="42">
        <f t="shared" si="84"/>
        <v>2</v>
      </c>
      <c r="AI565" s="42">
        <f t="shared" si="84"/>
        <v>0</v>
      </c>
      <c r="AJ565" s="42">
        <f t="shared" si="84"/>
        <v>0</v>
      </c>
      <c r="AK565" s="42">
        <f t="shared" si="84"/>
        <v>0</v>
      </c>
      <c r="AL565" s="42">
        <f t="shared" si="84"/>
        <v>0</v>
      </c>
      <c r="AM565" s="42">
        <f t="shared" si="83"/>
        <v>0</v>
      </c>
      <c r="AN565" s="42">
        <f t="shared" si="83"/>
        <v>0</v>
      </c>
      <c r="AO565" s="42">
        <f t="shared" si="82"/>
        <v>2</v>
      </c>
    </row>
    <row r="566" spans="1:41" ht="15.75">
      <c r="A566" s="16">
        <f t="shared" si="81"/>
        <v>563</v>
      </c>
      <c r="B566" s="390">
        <v>5147</v>
      </c>
      <c r="C566" s="391" t="s">
        <v>1899</v>
      </c>
      <c r="D566" s="392" t="s">
        <v>6217</v>
      </c>
      <c r="E566" s="393" t="s">
        <v>1900</v>
      </c>
      <c r="F566" s="394" t="s">
        <v>6161</v>
      </c>
      <c r="G566" s="461" t="s">
        <v>6475</v>
      </c>
      <c r="H566" s="395">
        <v>33817</v>
      </c>
      <c r="I566" s="396">
        <v>44461</v>
      </c>
      <c r="J566" s="459" t="s">
        <v>6293</v>
      </c>
      <c r="K566" s="462" t="s">
        <v>45</v>
      </c>
      <c r="L566" s="460" t="s">
        <v>6350</v>
      </c>
      <c r="M566" s="1">
        <v>187</v>
      </c>
      <c r="N566" s="431">
        <v>0</v>
      </c>
      <c r="O566" s="432">
        <v>0</v>
      </c>
      <c r="P566" s="432">
        <v>0</v>
      </c>
      <c r="Q566" s="432">
        <v>0</v>
      </c>
      <c r="R566" s="1">
        <v>7</v>
      </c>
      <c r="S566" s="1">
        <v>10</v>
      </c>
      <c r="T566" s="300">
        <f t="shared" ref="T566:T619" si="88">SUM(M566:S566)</f>
        <v>204</v>
      </c>
      <c r="U566" s="3"/>
      <c r="V566" s="3"/>
      <c r="W566" s="3"/>
      <c r="X566" s="3"/>
      <c r="Y566" s="3"/>
      <c r="Z566" s="20">
        <f t="shared" si="86"/>
        <v>189</v>
      </c>
      <c r="AA566" s="20">
        <f t="shared" si="85"/>
        <v>0</v>
      </c>
      <c r="AB566" s="20">
        <f t="shared" si="85"/>
        <v>0</v>
      </c>
      <c r="AC566" s="20">
        <f t="shared" si="85"/>
        <v>0</v>
      </c>
      <c r="AD566" s="20">
        <f t="shared" si="85"/>
        <v>0</v>
      </c>
      <c r="AE566" s="20">
        <f t="shared" si="85"/>
        <v>7</v>
      </c>
      <c r="AF566" s="20">
        <f t="shared" si="85"/>
        <v>10</v>
      </c>
      <c r="AG566" s="300">
        <f t="shared" si="87"/>
        <v>206</v>
      </c>
      <c r="AH566" s="42">
        <f t="shared" si="84"/>
        <v>2</v>
      </c>
      <c r="AI566" s="42">
        <f t="shared" si="84"/>
        <v>0</v>
      </c>
      <c r="AJ566" s="42">
        <f t="shared" si="84"/>
        <v>0</v>
      </c>
      <c r="AK566" s="42">
        <f t="shared" si="84"/>
        <v>0</v>
      </c>
      <c r="AL566" s="42">
        <f t="shared" si="84"/>
        <v>0</v>
      </c>
      <c r="AM566" s="42">
        <f t="shared" si="83"/>
        <v>0</v>
      </c>
      <c r="AN566" s="42">
        <f t="shared" si="83"/>
        <v>0</v>
      </c>
      <c r="AO566" s="42">
        <f t="shared" si="82"/>
        <v>2</v>
      </c>
    </row>
    <row r="567" spans="1:41" ht="15.75">
      <c r="A567" s="16">
        <f t="shared" si="81"/>
        <v>564</v>
      </c>
      <c r="B567" s="390">
        <v>5148</v>
      </c>
      <c r="C567" s="391" t="s">
        <v>6425</v>
      </c>
      <c r="D567" s="392" t="s">
        <v>5449</v>
      </c>
      <c r="E567" s="393" t="s">
        <v>6426</v>
      </c>
      <c r="F567" s="394" t="s">
        <v>5450</v>
      </c>
      <c r="G567" s="461" t="s">
        <v>6473</v>
      </c>
      <c r="H567" s="395">
        <v>35804</v>
      </c>
      <c r="I567" s="396">
        <v>44461</v>
      </c>
      <c r="J567" s="459" t="s">
        <v>6293</v>
      </c>
      <c r="K567" s="462" t="s">
        <v>6490</v>
      </c>
      <c r="L567" s="460" t="s">
        <v>6335</v>
      </c>
      <c r="M567" s="1">
        <v>187</v>
      </c>
      <c r="N567" s="431">
        <v>0</v>
      </c>
      <c r="O567" s="432">
        <v>0</v>
      </c>
      <c r="P567" s="432">
        <v>0</v>
      </c>
      <c r="Q567" s="432">
        <v>0</v>
      </c>
      <c r="R567" s="1">
        <v>7</v>
      </c>
      <c r="S567" s="1">
        <v>10</v>
      </c>
      <c r="T567" s="300">
        <f t="shared" si="88"/>
        <v>204</v>
      </c>
      <c r="U567" s="3"/>
      <c r="V567" s="3"/>
      <c r="W567" s="3"/>
      <c r="X567" s="3"/>
      <c r="Y567" s="3"/>
      <c r="Z567" s="20">
        <f t="shared" si="86"/>
        <v>189</v>
      </c>
      <c r="AA567" s="20">
        <f t="shared" si="85"/>
        <v>0</v>
      </c>
      <c r="AB567" s="20">
        <f t="shared" si="85"/>
        <v>0</v>
      </c>
      <c r="AC567" s="20">
        <f t="shared" si="85"/>
        <v>0</v>
      </c>
      <c r="AD567" s="20">
        <f t="shared" si="85"/>
        <v>0</v>
      </c>
      <c r="AE567" s="20">
        <f t="shared" si="85"/>
        <v>7</v>
      </c>
      <c r="AF567" s="20">
        <f t="shared" si="85"/>
        <v>10</v>
      </c>
      <c r="AG567" s="300">
        <f t="shared" si="87"/>
        <v>206</v>
      </c>
      <c r="AH567" s="42">
        <f t="shared" si="84"/>
        <v>2</v>
      </c>
      <c r="AI567" s="42">
        <f t="shared" si="84"/>
        <v>0</v>
      </c>
      <c r="AJ567" s="42">
        <f t="shared" si="84"/>
        <v>0</v>
      </c>
      <c r="AK567" s="42">
        <f t="shared" si="84"/>
        <v>0</v>
      </c>
      <c r="AL567" s="42">
        <f t="shared" si="84"/>
        <v>0</v>
      </c>
      <c r="AM567" s="42">
        <f t="shared" si="83"/>
        <v>0</v>
      </c>
      <c r="AN567" s="42">
        <f t="shared" si="83"/>
        <v>0</v>
      </c>
      <c r="AO567" s="42">
        <f t="shared" si="82"/>
        <v>2</v>
      </c>
    </row>
    <row r="568" spans="1:41" ht="15.75">
      <c r="A568" s="16">
        <f t="shared" si="81"/>
        <v>565</v>
      </c>
      <c r="B568" s="390">
        <v>5149</v>
      </c>
      <c r="C568" s="391" t="s">
        <v>3866</v>
      </c>
      <c r="D568" s="392" t="s">
        <v>6427</v>
      </c>
      <c r="E568" s="393" t="s">
        <v>3868</v>
      </c>
      <c r="F568" s="394" t="s">
        <v>6428</v>
      </c>
      <c r="G568" s="461" t="s">
        <v>6473</v>
      </c>
      <c r="H568" s="395">
        <v>34111</v>
      </c>
      <c r="I568" s="396">
        <v>44461</v>
      </c>
      <c r="J568" s="459" t="s">
        <v>6293</v>
      </c>
      <c r="K568" s="462" t="s">
        <v>6489</v>
      </c>
      <c r="L568" s="460" t="s">
        <v>6335</v>
      </c>
      <c r="M568" s="1">
        <v>187</v>
      </c>
      <c r="N568" s="431">
        <v>0</v>
      </c>
      <c r="O568" s="432">
        <v>0</v>
      </c>
      <c r="P568" s="432">
        <v>0</v>
      </c>
      <c r="Q568" s="432">
        <v>0</v>
      </c>
      <c r="R568" s="1">
        <v>7</v>
      </c>
      <c r="S568" s="1">
        <v>10</v>
      </c>
      <c r="T568" s="300">
        <f t="shared" si="88"/>
        <v>204</v>
      </c>
      <c r="U568" s="3"/>
      <c r="V568" s="3"/>
      <c r="W568" s="3"/>
      <c r="X568" s="3"/>
      <c r="Y568" s="3"/>
      <c r="Z568" s="20">
        <f t="shared" si="86"/>
        <v>189</v>
      </c>
      <c r="AA568" s="20">
        <f t="shared" si="85"/>
        <v>0</v>
      </c>
      <c r="AB568" s="20">
        <f t="shared" si="85"/>
        <v>0</v>
      </c>
      <c r="AC568" s="20">
        <f t="shared" si="85"/>
        <v>0</v>
      </c>
      <c r="AD568" s="20">
        <f t="shared" si="85"/>
        <v>0</v>
      </c>
      <c r="AE568" s="20">
        <f t="shared" si="85"/>
        <v>7</v>
      </c>
      <c r="AF568" s="20">
        <f t="shared" si="85"/>
        <v>10</v>
      </c>
      <c r="AG568" s="300">
        <f t="shared" si="87"/>
        <v>206</v>
      </c>
      <c r="AH568" s="42">
        <f t="shared" si="84"/>
        <v>2</v>
      </c>
      <c r="AI568" s="42">
        <f t="shared" si="84"/>
        <v>0</v>
      </c>
      <c r="AJ568" s="42">
        <f t="shared" si="84"/>
        <v>0</v>
      </c>
      <c r="AK568" s="42">
        <f t="shared" si="84"/>
        <v>0</v>
      </c>
      <c r="AL568" s="42">
        <f t="shared" si="84"/>
        <v>0</v>
      </c>
      <c r="AM568" s="42">
        <f t="shared" si="83"/>
        <v>0</v>
      </c>
      <c r="AN568" s="42">
        <f t="shared" si="83"/>
        <v>0</v>
      </c>
      <c r="AO568" s="42">
        <f t="shared" si="82"/>
        <v>2</v>
      </c>
    </row>
    <row r="569" spans="1:41" ht="15.75">
      <c r="A569" s="16">
        <f t="shared" si="81"/>
        <v>566</v>
      </c>
      <c r="B569" s="390">
        <v>5150</v>
      </c>
      <c r="C569" s="391" t="s">
        <v>1307</v>
      </c>
      <c r="D569" s="392" t="s">
        <v>6429</v>
      </c>
      <c r="E569" s="393" t="s">
        <v>870</v>
      </c>
      <c r="F569" s="394" t="s">
        <v>1368</v>
      </c>
      <c r="G569" s="461" t="s">
        <v>6473</v>
      </c>
      <c r="H569" s="395">
        <v>36381</v>
      </c>
      <c r="I569" s="396">
        <v>44461</v>
      </c>
      <c r="J569" s="459" t="s">
        <v>6293</v>
      </c>
      <c r="K569" s="462" t="s">
        <v>6489</v>
      </c>
      <c r="L569" s="460" t="s">
        <v>6335</v>
      </c>
      <c r="M569" s="1">
        <v>187</v>
      </c>
      <c r="N569" s="431">
        <v>0</v>
      </c>
      <c r="O569" s="432">
        <v>0</v>
      </c>
      <c r="P569" s="432">
        <v>0</v>
      </c>
      <c r="Q569" s="432">
        <v>0</v>
      </c>
      <c r="R569" s="1">
        <v>7</v>
      </c>
      <c r="S569" s="1">
        <v>10</v>
      </c>
      <c r="T569" s="300">
        <f t="shared" si="88"/>
        <v>204</v>
      </c>
      <c r="U569" s="3"/>
      <c r="V569" s="3"/>
      <c r="W569" s="3"/>
      <c r="X569" s="3"/>
      <c r="Y569" s="3"/>
      <c r="Z569" s="20">
        <f t="shared" si="86"/>
        <v>189</v>
      </c>
      <c r="AA569" s="20">
        <f t="shared" si="85"/>
        <v>0</v>
      </c>
      <c r="AB569" s="20">
        <f t="shared" si="85"/>
        <v>0</v>
      </c>
      <c r="AC569" s="20">
        <f t="shared" si="85"/>
        <v>0</v>
      </c>
      <c r="AD569" s="20">
        <f t="shared" si="85"/>
        <v>0</v>
      </c>
      <c r="AE569" s="20">
        <f t="shared" si="85"/>
        <v>7</v>
      </c>
      <c r="AF569" s="20">
        <f t="shared" si="85"/>
        <v>10</v>
      </c>
      <c r="AG569" s="300">
        <f t="shared" si="87"/>
        <v>206</v>
      </c>
      <c r="AH569" s="42">
        <f t="shared" si="84"/>
        <v>2</v>
      </c>
      <c r="AI569" s="42">
        <f t="shared" si="84"/>
        <v>0</v>
      </c>
      <c r="AJ569" s="42">
        <f t="shared" si="84"/>
        <v>0</v>
      </c>
      <c r="AK569" s="42">
        <f t="shared" si="84"/>
        <v>0</v>
      </c>
      <c r="AL569" s="42">
        <f t="shared" si="84"/>
        <v>0</v>
      </c>
      <c r="AM569" s="42">
        <f t="shared" si="83"/>
        <v>0</v>
      </c>
      <c r="AN569" s="42">
        <f t="shared" si="83"/>
        <v>0</v>
      </c>
      <c r="AO569" s="42">
        <f t="shared" si="82"/>
        <v>2</v>
      </c>
    </row>
    <row r="570" spans="1:41" ht="15.75">
      <c r="A570" s="16">
        <f t="shared" si="81"/>
        <v>567</v>
      </c>
      <c r="B570" s="390">
        <v>5151</v>
      </c>
      <c r="C570" s="391" t="s">
        <v>6491</v>
      </c>
      <c r="D570" s="392" t="s">
        <v>2229</v>
      </c>
      <c r="E570" s="393" t="s">
        <v>6492</v>
      </c>
      <c r="F570" s="394" t="s">
        <v>2230</v>
      </c>
      <c r="G570" s="461" t="s">
        <v>6473</v>
      </c>
      <c r="H570" s="395">
        <v>34885</v>
      </c>
      <c r="I570" s="396">
        <v>44481</v>
      </c>
      <c r="J570" s="459" t="s">
        <v>6293</v>
      </c>
      <c r="K570" s="462" t="s">
        <v>6490</v>
      </c>
      <c r="L570" s="460" t="s">
        <v>6335</v>
      </c>
      <c r="M570" s="1">
        <v>187</v>
      </c>
      <c r="N570" s="431">
        <v>0</v>
      </c>
      <c r="O570" s="432">
        <v>0</v>
      </c>
      <c r="P570" s="432">
        <v>0</v>
      </c>
      <c r="Q570" s="432">
        <v>0</v>
      </c>
      <c r="R570" s="1">
        <v>7</v>
      </c>
      <c r="S570" s="1">
        <v>10</v>
      </c>
      <c r="T570" s="300">
        <f t="shared" si="88"/>
        <v>204</v>
      </c>
      <c r="U570" s="3"/>
      <c r="V570" s="3"/>
      <c r="W570" s="3"/>
      <c r="X570" s="3"/>
      <c r="Y570" s="3"/>
      <c r="Z570" s="20">
        <f t="shared" si="86"/>
        <v>189</v>
      </c>
      <c r="AA570" s="20">
        <f t="shared" si="85"/>
        <v>0</v>
      </c>
      <c r="AB570" s="20">
        <f t="shared" si="85"/>
        <v>0</v>
      </c>
      <c r="AC570" s="20">
        <f t="shared" si="85"/>
        <v>0</v>
      </c>
      <c r="AD570" s="20">
        <f t="shared" si="85"/>
        <v>0</v>
      </c>
      <c r="AE570" s="20">
        <f t="shared" si="85"/>
        <v>7</v>
      </c>
      <c r="AF570" s="20">
        <f t="shared" si="85"/>
        <v>10</v>
      </c>
      <c r="AG570" s="300">
        <f t="shared" si="87"/>
        <v>206</v>
      </c>
      <c r="AH570" s="42">
        <f t="shared" si="84"/>
        <v>2</v>
      </c>
      <c r="AI570" s="42">
        <f t="shared" si="84"/>
        <v>0</v>
      </c>
      <c r="AJ570" s="42">
        <f t="shared" si="84"/>
        <v>0</v>
      </c>
      <c r="AK570" s="42">
        <f t="shared" si="84"/>
        <v>0</v>
      </c>
      <c r="AL570" s="42">
        <f t="shared" si="84"/>
        <v>0</v>
      </c>
      <c r="AM570" s="42">
        <f t="shared" si="83"/>
        <v>0</v>
      </c>
      <c r="AN570" s="42">
        <f t="shared" si="83"/>
        <v>0</v>
      </c>
      <c r="AO570" s="42">
        <f t="shared" si="82"/>
        <v>2</v>
      </c>
    </row>
    <row r="571" spans="1:41" ht="15.75">
      <c r="A571" s="16">
        <f t="shared" si="81"/>
        <v>568</v>
      </c>
      <c r="B571" s="390">
        <v>5152</v>
      </c>
      <c r="C571" s="391" t="s">
        <v>793</v>
      </c>
      <c r="D571" s="392" t="s">
        <v>3651</v>
      </c>
      <c r="E571" s="393" t="s">
        <v>795</v>
      </c>
      <c r="F571" s="394" t="s">
        <v>6493</v>
      </c>
      <c r="G571" s="461" t="s">
        <v>6473</v>
      </c>
      <c r="H571" s="395">
        <v>37264</v>
      </c>
      <c r="I571" s="396">
        <v>44481</v>
      </c>
      <c r="J571" s="459" t="s">
        <v>6293</v>
      </c>
      <c r="K571" s="462" t="s">
        <v>6490</v>
      </c>
      <c r="L571" s="460" t="s">
        <v>6335</v>
      </c>
      <c r="M571" s="1">
        <v>187</v>
      </c>
      <c r="N571" s="431">
        <v>0</v>
      </c>
      <c r="O571" s="432">
        <v>0</v>
      </c>
      <c r="P571" s="432">
        <v>0</v>
      </c>
      <c r="Q571" s="432">
        <v>0</v>
      </c>
      <c r="R571" s="1">
        <v>7</v>
      </c>
      <c r="S571" s="1">
        <v>10</v>
      </c>
      <c r="T571" s="300">
        <f t="shared" si="88"/>
        <v>204</v>
      </c>
      <c r="U571" s="3"/>
      <c r="V571" s="3"/>
      <c r="W571" s="3"/>
      <c r="X571" s="3"/>
      <c r="Y571" s="3"/>
      <c r="Z571" s="20">
        <f t="shared" si="86"/>
        <v>189</v>
      </c>
      <c r="AA571" s="20">
        <f t="shared" si="85"/>
        <v>0</v>
      </c>
      <c r="AB571" s="20">
        <f t="shared" si="85"/>
        <v>0</v>
      </c>
      <c r="AC571" s="20">
        <f t="shared" si="85"/>
        <v>0</v>
      </c>
      <c r="AD571" s="20">
        <f t="shared" si="85"/>
        <v>0</v>
      </c>
      <c r="AE571" s="20">
        <f t="shared" si="85"/>
        <v>7</v>
      </c>
      <c r="AF571" s="20">
        <f t="shared" si="85"/>
        <v>10</v>
      </c>
      <c r="AG571" s="300">
        <f t="shared" si="87"/>
        <v>206</v>
      </c>
      <c r="AH571" s="42">
        <f t="shared" si="84"/>
        <v>2</v>
      </c>
      <c r="AI571" s="42">
        <f t="shared" si="84"/>
        <v>0</v>
      </c>
      <c r="AJ571" s="42">
        <f t="shared" si="84"/>
        <v>0</v>
      </c>
      <c r="AK571" s="42">
        <f t="shared" si="84"/>
        <v>0</v>
      </c>
      <c r="AL571" s="42">
        <f t="shared" si="84"/>
        <v>0</v>
      </c>
      <c r="AM571" s="42">
        <f t="shared" si="83"/>
        <v>0</v>
      </c>
      <c r="AN571" s="42">
        <f t="shared" si="83"/>
        <v>0</v>
      </c>
      <c r="AO571" s="42">
        <f t="shared" si="82"/>
        <v>2</v>
      </c>
    </row>
    <row r="572" spans="1:41" ht="15.75">
      <c r="A572" s="16">
        <f t="shared" si="81"/>
        <v>569</v>
      </c>
      <c r="B572" s="390">
        <v>5153</v>
      </c>
      <c r="C572" s="391" t="s">
        <v>3142</v>
      </c>
      <c r="D572" s="392" t="s">
        <v>4650</v>
      </c>
      <c r="E572" s="393" t="s">
        <v>6057</v>
      </c>
      <c r="F572" s="394" t="s">
        <v>4652</v>
      </c>
      <c r="G572" s="461" t="s">
        <v>6473</v>
      </c>
      <c r="H572" s="395">
        <v>32295</v>
      </c>
      <c r="I572" s="396">
        <v>44481</v>
      </c>
      <c r="J572" s="459" t="s">
        <v>6293</v>
      </c>
      <c r="K572" s="462" t="s">
        <v>6490</v>
      </c>
      <c r="L572" s="460" t="s">
        <v>6335</v>
      </c>
      <c r="M572" s="1">
        <v>187</v>
      </c>
      <c r="N572" s="431">
        <v>0</v>
      </c>
      <c r="O572" s="432">
        <v>0</v>
      </c>
      <c r="P572" s="432">
        <v>0</v>
      </c>
      <c r="Q572" s="432">
        <v>0</v>
      </c>
      <c r="R572" s="1">
        <v>7</v>
      </c>
      <c r="S572" s="1">
        <v>10</v>
      </c>
      <c r="T572" s="300">
        <f t="shared" si="88"/>
        <v>204</v>
      </c>
      <c r="U572" s="3"/>
      <c r="V572" s="3"/>
      <c r="W572" s="3"/>
      <c r="X572" s="3"/>
      <c r="Y572" s="3"/>
      <c r="Z572" s="20">
        <f t="shared" si="86"/>
        <v>189</v>
      </c>
      <c r="AA572" s="20">
        <f t="shared" si="85"/>
        <v>0</v>
      </c>
      <c r="AB572" s="20">
        <f t="shared" si="85"/>
        <v>0</v>
      </c>
      <c r="AC572" s="20">
        <f t="shared" si="85"/>
        <v>0</v>
      </c>
      <c r="AD572" s="20">
        <f t="shared" si="85"/>
        <v>0</v>
      </c>
      <c r="AE572" s="20">
        <f t="shared" si="85"/>
        <v>7</v>
      </c>
      <c r="AF572" s="20">
        <f t="shared" si="85"/>
        <v>10</v>
      </c>
      <c r="AG572" s="300">
        <f t="shared" si="87"/>
        <v>206</v>
      </c>
      <c r="AH572" s="42">
        <f t="shared" si="84"/>
        <v>2</v>
      </c>
      <c r="AI572" s="42">
        <f t="shared" si="84"/>
        <v>0</v>
      </c>
      <c r="AJ572" s="42">
        <f t="shared" si="84"/>
        <v>0</v>
      </c>
      <c r="AK572" s="42">
        <f t="shared" si="84"/>
        <v>0</v>
      </c>
      <c r="AL572" s="42">
        <f t="shared" si="84"/>
        <v>0</v>
      </c>
      <c r="AM572" s="42">
        <f t="shared" si="83"/>
        <v>0</v>
      </c>
      <c r="AN572" s="42">
        <f t="shared" si="83"/>
        <v>0</v>
      </c>
      <c r="AO572" s="42">
        <f t="shared" si="82"/>
        <v>2</v>
      </c>
    </row>
    <row r="573" spans="1:41" ht="15.75">
      <c r="A573" s="16">
        <f t="shared" si="81"/>
        <v>570</v>
      </c>
      <c r="B573" s="390">
        <v>5154</v>
      </c>
      <c r="C573" s="391" t="s">
        <v>6494</v>
      </c>
      <c r="D573" s="392" t="s">
        <v>6495</v>
      </c>
      <c r="E573" s="393" t="s">
        <v>6496</v>
      </c>
      <c r="F573" s="394" t="s">
        <v>6497</v>
      </c>
      <c r="G573" s="461" t="s">
        <v>6473</v>
      </c>
      <c r="H573" s="395">
        <v>32676</v>
      </c>
      <c r="I573" s="396">
        <v>44481</v>
      </c>
      <c r="J573" s="459" t="s">
        <v>6293</v>
      </c>
      <c r="K573" s="462" t="s">
        <v>6490</v>
      </c>
      <c r="L573" s="460" t="s">
        <v>6335</v>
      </c>
      <c r="M573" s="1">
        <v>187</v>
      </c>
      <c r="N573" s="431">
        <v>0</v>
      </c>
      <c r="O573" s="432">
        <v>0</v>
      </c>
      <c r="P573" s="432">
        <v>0</v>
      </c>
      <c r="Q573" s="432">
        <v>0</v>
      </c>
      <c r="R573" s="1">
        <v>7</v>
      </c>
      <c r="S573" s="1">
        <v>10</v>
      </c>
      <c r="T573" s="300">
        <f t="shared" si="88"/>
        <v>204</v>
      </c>
      <c r="U573" s="3"/>
      <c r="V573" s="3"/>
      <c r="W573" s="3"/>
      <c r="X573" s="3"/>
      <c r="Y573" s="3"/>
      <c r="Z573" s="20">
        <f t="shared" si="86"/>
        <v>189</v>
      </c>
      <c r="AA573" s="20">
        <f t="shared" si="85"/>
        <v>0</v>
      </c>
      <c r="AB573" s="20">
        <f t="shared" si="85"/>
        <v>0</v>
      </c>
      <c r="AC573" s="20">
        <f t="shared" si="85"/>
        <v>0</v>
      </c>
      <c r="AD573" s="20">
        <f t="shared" si="85"/>
        <v>0</v>
      </c>
      <c r="AE573" s="20">
        <f t="shared" si="85"/>
        <v>7</v>
      </c>
      <c r="AF573" s="20">
        <f t="shared" si="85"/>
        <v>10</v>
      </c>
      <c r="AG573" s="300">
        <f t="shared" si="87"/>
        <v>206</v>
      </c>
      <c r="AH573" s="42">
        <f t="shared" si="84"/>
        <v>2</v>
      </c>
      <c r="AI573" s="42">
        <f t="shared" si="84"/>
        <v>0</v>
      </c>
      <c r="AJ573" s="42">
        <f t="shared" si="84"/>
        <v>0</v>
      </c>
      <c r="AK573" s="42">
        <f t="shared" si="84"/>
        <v>0</v>
      </c>
      <c r="AL573" s="42">
        <f t="shared" si="84"/>
        <v>0</v>
      </c>
      <c r="AM573" s="42">
        <f t="shared" si="83"/>
        <v>0</v>
      </c>
      <c r="AN573" s="42">
        <f t="shared" si="83"/>
        <v>0</v>
      </c>
      <c r="AO573" s="42">
        <f t="shared" si="82"/>
        <v>2</v>
      </c>
    </row>
    <row r="574" spans="1:41" ht="15.75">
      <c r="A574" s="16">
        <f t="shared" si="81"/>
        <v>571</v>
      </c>
      <c r="B574" s="390">
        <v>5155</v>
      </c>
      <c r="C574" s="391" t="s">
        <v>684</v>
      </c>
      <c r="D574" s="392" t="s">
        <v>6498</v>
      </c>
      <c r="E574" s="393" t="s">
        <v>686</v>
      </c>
      <c r="F574" s="394" t="s">
        <v>5507</v>
      </c>
      <c r="G574" s="461" t="s">
        <v>6473</v>
      </c>
      <c r="H574" s="395">
        <v>31825</v>
      </c>
      <c r="I574" s="396">
        <v>44481</v>
      </c>
      <c r="J574" s="459" t="s">
        <v>6293</v>
      </c>
      <c r="K574" s="462" t="s">
        <v>6490</v>
      </c>
      <c r="L574" s="460" t="s">
        <v>6335</v>
      </c>
      <c r="M574" s="1">
        <v>187</v>
      </c>
      <c r="N574" s="431">
        <v>0</v>
      </c>
      <c r="O574" s="432">
        <v>0</v>
      </c>
      <c r="P574" s="432">
        <v>0</v>
      </c>
      <c r="Q574" s="432">
        <v>0</v>
      </c>
      <c r="R574" s="1">
        <v>7</v>
      </c>
      <c r="S574" s="1">
        <v>10</v>
      </c>
      <c r="T574" s="300">
        <f t="shared" si="88"/>
        <v>204</v>
      </c>
      <c r="U574" s="3"/>
      <c r="V574" s="3"/>
      <c r="W574" s="3"/>
      <c r="X574" s="3"/>
      <c r="Y574" s="3"/>
      <c r="Z574" s="20">
        <f t="shared" si="86"/>
        <v>189</v>
      </c>
      <c r="AA574" s="20">
        <f t="shared" si="85"/>
        <v>0</v>
      </c>
      <c r="AB574" s="20">
        <f t="shared" si="85"/>
        <v>0</v>
      </c>
      <c r="AC574" s="20">
        <f t="shared" si="85"/>
        <v>0</v>
      </c>
      <c r="AD574" s="20">
        <f t="shared" si="85"/>
        <v>0</v>
      </c>
      <c r="AE574" s="20">
        <f t="shared" si="85"/>
        <v>7</v>
      </c>
      <c r="AF574" s="20">
        <f t="shared" si="85"/>
        <v>10</v>
      </c>
      <c r="AG574" s="300">
        <f t="shared" si="87"/>
        <v>206</v>
      </c>
      <c r="AH574" s="42">
        <f t="shared" si="84"/>
        <v>2</v>
      </c>
      <c r="AI574" s="42">
        <f t="shared" si="84"/>
        <v>0</v>
      </c>
      <c r="AJ574" s="42">
        <f t="shared" si="84"/>
        <v>0</v>
      </c>
      <c r="AK574" s="42">
        <f t="shared" si="84"/>
        <v>0</v>
      </c>
      <c r="AL574" s="42">
        <f t="shared" si="84"/>
        <v>0</v>
      </c>
      <c r="AM574" s="42">
        <f t="shared" si="83"/>
        <v>0</v>
      </c>
      <c r="AN574" s="42">
        <f t="shared" si="83"/>
        <v>0</v>
      </c>
      <c r="AO574" s="42">
        <f t="shared" si="82"/>
        <v>2</v>
      </c>
    </row>
    <row r="575" spans="1:41" ht="15.75">
      <c r="A575" s="16">
        <f t="shared" si="81"/>
        <v>572</v>
      </c>
      <c r="B575" s="390">
        <v>5156</v>
      </c>
      <c r="C575" s="391" t="s">
        <v>6499</v>
      </c>
      <c r="D575" s="392" t="s">
        <v>3726</v>
      </c>
      <c r="E575" s="393" t="s">
        <v>937</v>
      </c>
      <c r="F575" s="394" t="s">
        <v>6500</v>
      </c>
      <c r="G575" s="461" t="s">
        <v>6473</v>
      </c>
      <c r="H575" s="395">
        <v>32618</v>
      </c>
      <c r="I575" s="396">
        <v>44481</v>
      </c>
      <c r="J575" s="459" t="s">
        <v>6293</v>
      </c>
      <c r="K575" s="462" t="s">
        <v>6490</v>
      </c>
      <c r="L575" s="460" t="s">
        <v>6335</v>
      </c>
      <c r="M575" s="1">
        <v>187</v>
      </c>
      <c r="N575" s="431">
        <v>0</v>
      </c>
      <c r="O575" s="432">
        <v>0</v>
      </c>
      <c r="P575" s="432">
        <v>0</v>
      </c>
      <c r="Q575" s="432">
        <v>0</v>
      </c>
      <c r="R575" s="1">
        <v>7</v>
      </c>
      <c r="S575" s="1">
        <v>10</v>
      </c>
      <c r="T575" s="300">
        <f t="shared" si="88"/>
        <v>204</v>
      </c>
      <c r="U575" s="3"/>
      <c r="V575" s="3"/>
      <c r="W575" s="3"/>
      <c r="X575" s="3"/>
      <c r="Y575" s="3"/>
      <c r="Z575" s="20">
        <f t="shared" si="86"/>
        <v>189</v>
      </c>
      <c r="AA575" s="20">
        <f t="shared" si="85"/>
        <v>0</v>
      </c>
      <c r="AB575" s="20">
        <f t="shared" si="85"/>
        <v>0</v>
      </c>
      <c r="AC575" s="20">
        <f t="shared" si="85"/>
        <v>0</v>
      </c>
      <c r="AD575" s="20">
        <f t="shared" si="85"/>
        <v>0</v>
      </c>
      <c r="AE575" s="20">
        <f t="shared" si="85"/>
        <v>7</v>
      </c>
      <c r="AF575" s="20">
        <f t="shared" si="85"/>
        <v>10</v>
      </c>
      <c r="AG575" s="300">
        <f t="shared" si="87"/>
        <v>206</v>
      </c>
      <c r="AH575" s="42">
        <f t="shared" si="84"/>
        <v>2</v>
      </c>
      <c r="AI575" s="42">
        <f t="shared" si="84"/>
        <v>0</v>
      </c>
      <c r="AJ575" s="42">
        <f t="shared" si="84"/>
        <v>0</v>
      </c>
      <c r="AK575" s="42">
        <f t="shared" si="84"/>
        <v>0</v>
      </c>
      <c r="AL575" s="42">
        <f t="shared" si="84"/>
        <v>0</v>
      </c>
      <c r="AM575" s="42">
        <f t="shared" si="83"/>
        <v>0</v>
      </c>
      <c r="AN575" s="42">
        <f t="shared" si="83"/>
        <v>0</v>
      </c>
      <c r="AO575" s="42">
        <f t="shared" si="82"/>
        <v>2</v>
      </c>
    </row>
    <row r="576" spans="1:41" ht="15.75">
      <c r="A576" s="16">
        <f t="shared" si="81"/>
        <v>573</v>
      </c>
      <c r="B576" s="390">
        <v>5157</v>
      </c>
      <c r="C576" s="391" t="s">
        <v>5665</v>
      </c>
      <c r="D576" s="392" t="s">
        <v>700</v>
      </c>
      <c r="E576" s="393" t="s">
        <v>5666</v>
      </c>
      <c r="F576" s="394" t="s">
        <v>15</v>
      </c>
      <c r="G576" s="461" t="s">
        <v>6473</v>
      </c>
      <c r="H576" s="395">
        <v>34423</v>
      </c>
      <c r="I576" s="396">
        <v>44481</v>
      </c>
      <c r="J576" s="459" t="s">
        <v>6293</v>
      </c>
      <c r="K576" s="462" t="s">
        <v>6490</v>
      </c>
      <c r="L576" s="460" t="s">
        <v>6335</v>
      </c>
      <c r="M576" s="1">
        <v>187</v>
      </c>
      <c r="N576" s="431">
        <v>0</v>
      </c>
      <c r="O576" s="432">
        <v>0</v>
      </c>
      <c r="P576" s="432">
        <v>0</v>
      </c>
      <c r="Q576" s="432">
        <v>0</v>
      </c>
      <c r="R576" s="1">
        <v>7</v>
      </c>
      <c r="S576" s="1">
        <v>10</v>
      </c>
      <c r="T576" s="300">
        <f t="shared" si="88"/>
        <v>204</v>
      </c>
      <c r="U576" s="3"/>
      <c r="V576" s="3"/>
      <c r="W576" s="3"/>
      <c r="X576" s="3"/>
      <c r="Y576" s="3"/>
      <c r="Z576" s="20">
        <f t="shared" si="86"/>
        <v>189</v>
      </c>
      <c r="AA576" s="20">
        <f t="shared" si="85"/>
        <v>0</v>
      </c>
      <c r="AB576" s="20">
        <f t="shared" si="85"/>
        <v>0</v>
      </c>
      <c r="AC576" s="20">
        <f t="shared" si="85"/>
        <v>0</v>
      </c>
      <c r="AD576" s="20">
        <f t="shared" si="85"/>
        <v>0</v>
      </c>
      <c r="AE576" s="20">
        <f t="shared" si="85"/>
        <v>7</v>
      </c>
      <c r="AF576" s="20">
        <f t="shared" si="85"/>
        <v>10</v>
      </c>
      <c r="AG576" s="300">
        <f t="shared" si="87"/>
        <v>206</v>
      </c>
      <c r="AH576" s="42">
        <f t="shared" si="84"/>
        <v>2</v>
      </c>
      <c r="AI576" s="42">
        <f t="shared" si="84"/>
        <v>0</v>
      </c>
      <c r="AJ576" s="42">
        <f t="shared" si="84"/>
        <v>0</v>
      </c>
      <c r="AK576" s="42">
        <f t="shared" si="84"/>
        <v>0</v>
      </c>
      <c r="AL576" s="42">
        <f t="shared" si="84"/>
        <v>0</v>
      </c>
      <c r="AM576" s="42">
        <f t="shared" si="83"/>
        <v>0</v>
      </c>
      <c r="AN576" s="42">
        <f t="shared" si="83"/>
        <v>0</v>
      </c>
      <c r="AO576" s="42">
        <f t="shared" si="82"/>
        <v>2</v>
      </c>
    </row>
    <row r="577" spans="1:41" ht="15.75">
      <c r="A577" s="16">
        <f t="shared" si="81"/>
        <v>574</v>
      </c>
      <c r="B577" s="390">
        <v>5158</v>
      </c>
      <c r="C577" s="391" t="s">
        <v>4878</v>
      </c>
      <c r="D577" s="392" t="s">
        <v>3584</v>
      </c>
      <c r="E577" s="393" t="s">
        <v>6501</v>
      </c>
      <c r="F577" s="394" t="s">
        <v>6502</v>
      </c>
      <c r="G577" s="461" t="s">
        <v>6473</v>
      </c>
      <c r="H577" s="395">
        <v>34180</v>
      </c>
      <c r="I577" s="396">
        <v>44481</v>
      </c>
      <c r="J577" s="459" t="s">
        <v>6293</v>
      </c>
      <c r="K577" s="462" t="s">
        <v>6489</v>
      </c>
      <c r="L577" s="460" t="s">
        <v>6335</v>
      </c>
      <c r="M577" s="1">
        <v>187</v>
      </c>
      <c r="N577" s="431">
        <v>0</v>
      </c>
      <c r="O577" s="432">
        <v>0</v>
      </c>
      <c r="P577" s="432">
        <v>0</v>
      </c>
      <c r="Q577" s="432">
        <v>0</v>
      </c>
      <c r="R577" s="1">
        <v>7</v>
      </c>
      <c r="S577" s="1">
        <v>10</v>
      </c>
      <c r="T577" s="300">
        <f t="shared" si="88"/>
        <v>204</v>
      </c>
      <c r="U577" s="3"/>
      <c r="V577" s="3"/>
      <c r="W577" s="3"/>
      <c r="X577" s="3"/>
      <c r="Y577" s="3"/>
      <c r="Z577" s="20">
        <f t="shared" si="86"/>
        <v>189</v>
      </c>
      <c r="AA577" s="20">
        <f t="shared" si="85"/>
        <v>0</v>
      </c>
      <c r="AB577" s="20">
        <f t="shared" si="85"/>
        <v>0</v>
      </c>
      <c r="AC577" s="20">
        <f t="shared" si="85"/>
        <v>0</v>
      </c>
      <c r="AD577" s="20">
        <f t="shared" si="85"/>
        <v>0</v>
      </c>
      <c r="AE577" s="20">
        <f t="shared" si="85"/>
        <v>7</v>
      </c>
      <c r="AF577" s="20">
        <f t="shared" si="85"/>
        <v>10</v>
      </c>
      <c r="AG577" s="300">
        <f t="shared" si="87"/>
        <v>206</v>
      </c>
      <c r="AH577" s="42">
        <f t="shared" ref="AH577:AO609" si="89">Z577-M577</f>
        <v>2</v>
      </c>
      <c r="AI577" s="42">
        <f t="shared" si="89"/>
        <v>0</v>
      </c>
      <c r="AJ577" s="42">
        <f t="shared" si="89"/>
        <v>0</v>
      </c>
      <c r="AK577" s="42">
        <f t="shared" si="89"/>
        <v>0</v>
      </c>
      <c r="AL577" s="42">
        <f t="shared" si="89"/>
        <v>0</v>
      </c>
      <c r="AM577" s="42">
        <f t="shared" si="83"/>
        <v>0</v>
      </c>
      <c r="AN577" s="42">
        <f t="shared" si="83"/>
        <v>0</v>
      </c>
      <c r="AO577" s="42">
        <f t="shared" si="82"/>
        <v>2</v>
      </c>
    </row>
    <row r="578" spans="1:41" ht="15.75">
      <c r="A578" s="16">
        <f t="shared" si="81"/>
        <v>575</v>
      </c>
      <c r="B578" s="390">
        <v>5159</v>
      </c>
      <c r="C578" s="391" t="s">
        <v>1218</v>
      </c>
      <c r="D578" s="392" t="s">
        <v>4987</v>
      </c>
      <c r="E578" s="393" t="s">
        <v>1220</v>
      </c>
      <c r="F578" s="394" t="s">
        <v>4989</v>
      </c>
      <c r="G578" s="461" t="s">
        <v>6473</v>
      </c>
      <c r="H578" s="395">
        <v>36872</v>
      </c>
      <c r="I578" s="396">
        <v>44482</v>
      </c>
      <c r="J578" s="459" t="s">
        <v>6293</v>
      </c>
      <c r="K578" s="462" t="s">
        <v>6490</v>
      </c>
      <c r="L578" s="460" t="s">
        <v>6335</v>
      </c>
      <c r="M578" s="1">
        <v>187</v>
      </c>
      <c r="N578" s="431">
        <v>0</v>
      </c>
      <c r="O578" s="432">
        <v>0</v>
      </c>
      <c r="P578" s="432">
        <v>0</v>
      </c>
      <c r="Q578" s="432">
        <v>0</v>
      </c>
      <c r="R578" s="1">
        <v>7</v>
      </c>
      <c r="S578" s="1">
        <v>10</v>
      </c>
      <c r="T578" s="300">
        <f t="shared" si="88"/>
        <v>204</v>
      </c>
      <c r="U578" s="3"/>
      <c r="V578" s="3"/>
      <c r="W578" s="3"/>
      <c r="X578" s="3"/>
      <c r="Y578" s="3"/>
      <c r="Z578" s="20">
        <f t="shared" si="86"/>
        <v>189</v>
      </c>
      <c r="AA578" s="20">
        <f t="shared" si="85"/>
        <v>0</v>
      </c>
      <c r="AB578" s="20">
        <f t="shared" si="85"/>
        <v>0</v>
      </c>
      <c r="AC578" s="20">
        <f t="shared" si="85"/>
        <v>0</v>
      </c>
      <c r="AD578" s="20">
        <f t="shared" ref="AD578:AF619" si="90">Q578</f>
        <v>0</v>
      </c>
      <c r="AE578" s="20">
        <f t="shared" si="90"/>
        <v>7</v>
      </c>
      <c r="AF578" s="20">
        <f t="shared" si="90"/>
        <v>10</v>
      </c>
      <c r="AG578" s="300">
        <f t="shared" si="87"/>
        <v>206</v>
      </c>
      <c r="AH578" s="42">
        <f t="shared" si="89"/>
        <v>2</v>
      </c>
      <c r="AI578" s="42">
        <f t="shared" si="89"/>
        <v>0</v>
      </c>
      <c r="AJ578" s="42">
        <f t="shared" si="89"/>
        <v>0</v>
      </c>
      <c r="AK578" s="42">
        <f t="shared" si="89"/>
        <v>0</v>
      </c>
      <c r="AL578" s="42">
        <f t="shared" si="89"/>
        <v>0</v>
      </c>
      <c r="AM578" s="42">
        <f t="shared" si="83"/>
        <v>0</v>
      </c>
      <c r="AN578" s="42">
        <f t="shared" si="83"/>
        <v>0</v>
      </c>
      <c r="AO578" s="42">
        <f t="shared" si="82"/>
        <v>2</v>
      </c>
    </row>
    <row r="579" spans="1:41" ht="15.75">
      <c r="A579" s="16">
        <f t="shared" si="81"/>
        <v>576</v>
      </c>
      <c r="B579" s="390">
        <v>5160</v>
      </c>
      <c r="C579" s="391" t="s">
        <v>552</v>
      </c>
      <c r="D579" s="392" t="s">
        <v>6503</v>
      </c>
      <c r="E579" s="393" t="s">
        <v>554</v>
      </c>
      <c r="F579" s="394" t="s">
        <v>6504</v>
      </c>
      <c r="G579" s="461" t="s">
        <v>6473</v>
      </c>
      <c r="H579" s="395">
        <v>33854</v>
      </c>
      <c r="I579" s="396">
        <v>44482</v>
      </c>
      <c r="J579" s="459" t="s">
        <v>6293</v>
      </c>
      <c r="K579" s="462" t="s">
        <v>6490</v>
      </c>
      <c r="L579" s="460" t="s">
        <v>6335</v>
      </c>
      <c r="M579" s="1">
        <v>192</v>
      </c>
      <c r="N579" s="431">
        <v>0</v>
      </c>
      <c r="O579" s="432">
        <v>0</v>
      </c>
      <c r="P579" s="432">
        <v>0</v>
      </c>
      <c r="Q579" s="432">
        <v>0</v>
      </c>
      <c r="R579" s="1">
        <v>7</v>
      </c>
      <c r="S579" s="1">
        <v>10</v>
      </c>
      <c r="T579" s="300">
        <f t="shared" si="88"/>
        <v>209</v>
      </c>
      <c r="U579" s="3"/>
      <c r="V579" s="3"/>
      <c r="W579" s="3"/>
      <c r="X579" s="3"/>
      <c r="Y579" s="3"/>
      <c r="Z579" s="20">
        <f t="shared" si="86"/>
        <v>194</v>
      </c>
      <c r="AA579" s="20">
        <f t="shared" ref="AA579:AC619" si="91">N579</f>
        <v>0</v>
      </c>
      <c r="AB579" s="20">
        <f t="shared" si="91"/>
        <v>0</v>
      </c>
      <c r="AC579" s="20">
        <f t="shared" si="91"/>
        <v>0</v>
      </c>
      <c r="AD579" s="20">
        <f t="shared" si="90"/>
        <v>0</v>
      </c>
      <c r="AE579" s="20">
        <f t="shared" si="90"/>
        <v>7</v>
      </c>
      <c r="AF579" s="20">
        <f t="shared" si="90"/>
        <v>10</v>
      </c>
      <c r="AG579" s="300">
        <f t="shared" si="87"/>
        <v>211</v>
      </c>
      <c r="AH579" s="42">
        <f t="shared" si="89"/>
        <v>2</v>
      </c>
      <c r="AI579" s="42">
        <f t="shared" si="89"/>
        <v>0</v>
      </c>
      <c r="AJ579" s="42">
        <f t="shared" si="89"/>
        <v>0</v>
      </c>
      <c r="AK579" s="42">
        <f t="shared" si="89"/>
        <v>0</v>
      </c>
      <c r="AL579" s="42">
        <f t="shared" si="89"/>
        <v>0</v>
      </c>
      <c r="AM579" s="42">
        <f t="shared" si="83"/>
        <v>0</v>
      </c>
      <c r="AN579" s="42">
        <f t="shared" si="83"/>
        <v>0</v>
      </c>
      <c r="AO579" s="42">
        <f t="shared" si="82"/>
        <v>2</v>
      </c>
    </row>
    <row r="580" spans="1:41" ht="15.75">
      <c r="A580" s="16">
        <f t="shared" si="81"/>
        <v>577</v>
      </c>
      <c r="B580" s="390">
        <v>5161</v>
      </c>
      <c r="C580" s="391" t="s">
        <v>1705</v>
      </c>
      <c r="D580" s="392" t="s">
        <v>6505</v>
      </c>
      <c r="E580" s="393" t="s">
        <v>1706</v>
      </c>
      <c r="F580" s="394" t="s">
        <v>4295</v>
      </c>
      <c r="G580" s="461" t="s">
        <v>6473</v>
      </c>
      <c r="H580" s="395">
        <v>33019</v>
      </c>
      <c r="I580" s="396">
        <v>44482</v>
      </c>
      <c r="J580" s="459" t="s">
        <v>6293</v>
      </c>
      <c r="K580" s="462" t="s">
        <v>6490</v>
      </c>
      <c r="L580" s="460" t="s">
        <v>6335</v>
      </c>
      <c r="M580" s="1">
        <v>187</v>
      </c>
      <c r="N580" s="431">
        <v>0</v>
      </c>
      <c r="O580" s="432">
        <v>0</v>
      </c>
      <c r="P580" s="432">
        <v>0</v>
      </c>
      <c r="Q580" s="432">
        <v>0</v>
      </c>
      <c r="R580" s="1">
        <v>7</v>
      </c>
      <c r="S580" s="1">
        <v>10</v>
      </c>
      <c r="T580" s="300">
        <f t="shared" si="88"/>
        <v>204</v>
      </c>
      <c r="U580" s="3"/>
      <c r="V580" s="3"/>
      <c r="W580" s="3"/>
      <c r="X580" s="3"/>
      <c r="Y580" s="3"/>
      <c r="Z580" s="20">
        <f t="shared" si="86"/>
        <v>189</v>
      </c>
      <c r="AA580" s="20">
        <f t="shared" si="91"/>
        <v>0</v>
      </c>
      <c r="AB580" s="20">
        <f t="shared" si="91"/>
        <v>0</v>
      </c>
      <c r="AC580" s="20">
        <f t="shared" si="91"/>
        <v>0</v>
      </c>
      <c r="AD580" s="20">
        <f t="shared" si="90"/>
        <v>0</v>
      </c>
      <c r="AE580" s="20">
        <f t="shared" si="90"/>
        <v>7</v>
      </c>
      <c r="AF580" s="20">
        <f t="shared" si="90"/>
        <v>10</v>
      </c>
      <c r="AG580" s="300">
        <f t="shared" si="87"/>
        <v>206</v>
      </c>
      <c r="AH580" s="42">
        <f t="shared" si="89"/>
        <v>2</v>
      </c>
      <c r="AI580" s="42">
        <f t="shared" si="89"/>
        <v>0</v>
      </c>
      <c r="AJ580" s="42">
        <f t="shared" si="89"/>
        <v>0</v>
      </c>
      <c r="AK580" s="42">
        <f t="shared" si="89"/>
        <v>0</v>
      </c>
      <c r="AL580" s="42">
        <f t="shared" si="89"/>
        <v>0</v>
      </c>
      <c r="AM580" s="42">
        <f t="shared" si="83"/>
        <v>0</v>
      </c>
      <c r="AN580" s="42">
        <f t="shared" si="83"/>
        <v>0</v>
      </c>
      <c r="AO580" s="42">
        <f t="shared" si="82"/>
        <v>2</v>
      </c>
    </row>
    <row r="581" spans="1:41" ht="15.75">
      <c r="A581" s="16">
        <f t="shared" si="81"/>
        <v>578</v>
      </c>
      <c r="B581" s="390">
        <v>5162</v>
      </c>
      <c r="C581" s="391" t="s">
        <v>6506</v>
      </c>
      <c r="D581" s="392" t="s">
        <v>6507</v>
      </c>
      <c r="E581" s="393" t="s">
        <v>6508</v>
      </c>
      <c r="F581" s="394" t="s">
        <v>887</v>
      </c>
      <c r="G581" s="461" t="s">
        <v>6473</v>
      </c>
      <c r="H581" s="395">
        <v>28991</v>
      </c>
      <c r="I581" s="396">
        <v>44482</v>
      </c>
      <c r="J581" s="459" t="s">
        <v>6293</v>
      </c>
      <c r="K581" s="462" t="s">
        <v>6490</v>
      </c>
      <c r="L581" s="460" t="s">
        <v>6335</v>
      </c>
      <c r="M581" s="1">
        <v>192</v>
      </c>
      <c r="N581" s="431">
        <v>0</v>
      </c>
      <c r="O581" s="432">
        <v>0</v>
      </c>
      <c r="P581" s="432">
        <v>0</v>
      </c>
      <c r="Q581" s="432">
        <v>0</v>
      </c>
      <c r="R581" s="1">
        <v>7</v>
      </c>
      <c r="S581" s="1">
        <v>10</v>
      </c>
      <c r="T581" s="300">
        <f t="shared" si="88"/>
        <v>209</v>
      </c>
      <c r="U581" s="3"/>
      <c r="V581" s="3"/>
      <c r="W581" s="3"/>
      <c r="X581" s="3"/>
      <c r="Y581" s="3"/>
      <c r="Z581" s="20">
        <f t="shared" si="86"/>
        <v>194</v>
      </c>
      <c r="AA581" s="20">
        <f t="shared" si="91"/>
        <v>0</v>
      </c>
      <c r="AB581" s="20">
        <f t="shared" si="91"/>
        <v>0</v>
      </c>
      <c r="AC581" s="20">
        <f t="shared" si="91"/>
        <v>0</v>
      </c>
      <c r="AD581" s="20">
        <f t="shared" si="90"/>
        <v>0</v>
      </c>
      <c r="AE581" s="20">
        <f t="shared" si="90"/>
        <v>7</v>
      </c>
      <c r="AF581" s="20">
        <f t="shared" si="90"/>
        <v>10</v>
      </c>
      <c r="AG581" s="300">
        <f t="shared" si="87"/>
        <v>211</v>
      </c>
      <c r="AH581" s="42">
        <f t="shared" si="89"/>
        <v>2</v>
      </c>
      <c r="AI581" s="42">
        <f t="shared" si="89"/>
        <v>0</v>
      </c>
      <c r="AJ581" s="42">
        <f t="shared" si="89"/>
        <v>0</v>
      </c>
      <c r="AK581" s="42">
        <f t="shared" si="89"/>
        <v>0</v>
      </c>
      <c r="AL581" s="42">
        <f t="shared" si="89"/>
        <v>0</v>
      </c>
      <c r="AM581" s="42">
        <f t="shared" si="83"/>
        <v>0</v>
      </c>
      <c r="AN581" s="42">
        <f t="shared" si="83"/>
        <v>0</v>
      </c>
      <c r="AO581" s="42">
        <f t="shared" si="82"/>
        <v>2</v>
      </c>
    </row>
    <row r="582" spans="1:41" ht="15.75">
      <c r="A582" s="16">
        <f t="shared" si="81"/>
        <v>579</v>
      </c>
      <c r="B582" s="390">
        <v>5163</v>
      </c>
      <c r="C582" s="391" t="s">
        <v>1000</v>
      </c>
      <c r="D582" s="392" t="s">
        <v>6270</v>
      </c>
      <c r="E582" s="393" t="s">
        <v>1002</v>
      </c>
      <c r="F582" s="394" t="s">
        <v>6137</v>
      </c>
      <c r="G582" s="461" t="s">
        <v>6473</v>
      </c>
      <c r="H582" s="395">
        <v>31566</v>
      </c>
      <c r="I582" s="396">
        <v>44483</v>
      </c>
      <c r="J582" s="459" t="s">
        <v>6293</v>
      </c>
      <c r="K582" s="462" t="s">
        <v>6489</v>
      </c>
      <c r="L582" s="460" t="s">
        <v>6335</v>
      </c>
      <c r="M582" s="1">
        <v>192</v>
      </c>
      <c r="N582" s="431">
        <v>0</v>
      </c>
      <c r="O582" s="432">
        <v>0</v>
      </c>
      <c r="P582" s="432">
        <v>0</v>
      </c>
      <c r="Q582" s="432">
        <v>0</v>
      </c>
      <c r="R582" s="1">
        <v>7</v>
      </c>
      <c r="S582" s="1">
        <v>10</v>
      </c>
      <c r="T582" s="300">
        <f t="shared" si="88"/>
        <v>209</v>
      </c>
      <c r="U582" s="3"/>
      <c r="V582" s="3"/>
      <c r="W582" s="3"/>
      <c r="X582" s="3"/>
      <c r="Y582" s="3"/>
      <c r="Z582" s="20">
        <f t="shared" si="86"/>
        <v>194</v>
      </c>
      <c r="AA582" s="20">
        <f t="shared" si="91"/>
        <v>0</v>
      </c>
      <c r="AB582" s="20">
        <f t="shared" si="91"/>
        <v>0</v>
      </c>
      <c r="AC582" s="20">
        <f t="shared" si="91"/>
        <v>0</v>
      </c>
      <c r="AD582" s="20">
        <f t="shared" si="90"/>
        <v>0</v>
      </c>
      <c r="AE582" s="20">
        <f t="shared" si="90"/>
        <v>7</v>
      </c>
      <c r="AF582" s="20">
        <f t="shared" si="90"/>
        <v>10</v>
      </c>
      <c r="AG582" s="300">
        <f t="shared" si="87"/>
        <v>211</v>
      </c>
      <c r="AH582" s="42">
        <f t="shared" si="89"/>
        <v>2</v>
      </c>
      <c r="AI582" s="42">
        <f t="shared" si="89"/>
        <v>0</v>
      </c>
      <c r="AJ582" s="42">
        <f t="shared" si="89"/>
        <v>0</v>
      </c>
      <c r="AK582" s="42">
        <f t="shared" si="89"/>
        <v>0</v>
      </c>
      <c r="AL582" s="42">
        <f t="shared" si="89"/>
        <v>0</v>
      </c>
      <c r="AM582" s="42">
        <f t="shared" si="83"/>
        <v>0</v>
      </c>
      <c r="AN582" s="42">
        <f t="shared" si="83"/>
        <v>0</v>
      </c>
      <c r="AO582" s="42">
        <f t="shared" si="82"/>
        <v>2</v>
      </c>
    </row>
    <row r="583" spans="1:41" ht="15.75">
      <c r="A583" s="16">
        <f t="shared" si="81"/>
        <v>580</v>
      </c>
      <c r="B583" s="390">
        <v>5164</v>
      </c>
      <c r="C583" s="391" t="s">
        <v>5016</v>
      </c>
      <c r="D583" s="392" t="s">
        <v>2359</v>
      </c>
      <c r="E583" s="393" t="s">
        <v>5017</v>
      </c>
      <c r="F583" s="394" t="s">
        <v>4993</v>
      </c>
      <c r="G583" s="461" t="s">
        <v>6473</v>
      </c>
      <c r="H583" s="395">
        <v>34736</v>
      </c>
      <c r="I583" s="396">
        <v>44483</v>
      </c>
      <c r="J583" s="459" t="s">
        <v>6293</v>
      </c>
      <c r="K583" s="462" t="s">
        <v>6490</v>
      </c>
      <c r="L583" s="460" t="s">
        <v>6335</v>
      </c>
      <c r="M583" s="1">
        <v>187</v>
      </c>
      <c r="N583" s="431">
        <v>0</v>
      </c>
      <c r="O583" s="432">
        <v>0</v>
      </c>
      <c r="P583" s="432">
        <v>0</v>
      </c>
      <c r="Q583" s="432">
        <v>0</v>
      </c>
      <c r="R583" s="1">
        <v>7</v>
      </c>
      <c r="S583" s="1">
        <v>10</v>
      </c>
      <c r="T583" s="300">
        <f t="shared" si="88"/>
        <v>204</v>
      </c>
      <c r="U583" s="3"/>
      <c r="V583" s="3"/>
      <c r="W583" s="3"/>
      <c r="X583" s="3"/>
      <c r="Y583" s="3"/>
      <c r="Z583" s="20">
        <f t="shared" si="86"/>
        <v>189</v>
      </c>
      <c r="AA583" s="20">
        <f t="shared" si="91"/>
        <v>0</v>
      </c>
      <c r="AB583" s="20">
        <f t="shared" si="91"/>
        <v>0</v>
      </c>
      <c r="AC583" s="20">
        <f t="shared" si="91"/>
        <v>0</v>
      </c>
      <c r="AD583" s="20">
        <f t="shared" si="90"/>
        <v>0</v>
      </c>
      <c r="AE583" s="20">
        <f t="shared" si="90"/>
        <v>7</v>
      </c>
      <c r="AF583" s="20">
        <f t="shared" si="90"/>
        <v>10</v>
      </c>
      <c r="AG583" s="300">
        <f t="shared" si="87"/>
        <v>206</v>
      </c>
      <c r="AH583" s="42">
        <f t="shared" si="89"/>
        <v>2</v>
      </c>
      <c r="AI583" s="42">
        <f t="shared" si="89"/>
        <v>0</v>
      </c>
      <c r="AJ583" s="42">
        <f t="shared" si="89"/>
        <v>0</v>
      </c>
      <c r="AK583" s="42">
        <f t="shared" si="89"/>
        <v>0</v>
      </c>
      <c r="AL583" s="42">
        <f t="shared" si="89"/>
        <v>0</v>
      </c>
      <c r="AM583" s="42">
        <f t="shared" si="83"/>
        <v>0</v>
      </c>
      <c r="AN583" s="42">
        <f t="shared" si="83"/>
        <v>0</v>
      </c>
      <c r="AO583" s="42">
        <f t="shared" si="82"/>
        <v>2</v>
      </c>
    </row>
    <row r="584" spans="1:41" ht="15.75">
      <c r="A584" s="16">
        <f t="shared" si="81"/>
        <v>581</v>
      </c>
      <c r="B584" s="390">
        <v>5165</v>
      </c>
      <c r="C584" s="391" t="s">
        <v>1693</v>
      </c>
      <c r="D584" s="392" t="s">
        <v>6509</v>
      </c>
      <c r="E584" s="393" t="s">
        <v>3560</v>
      </c>
      <c r="F584" s="394" t="s">
        <v>6510</v>
      </c>
      <c r="G584" s="461" t="s">
        <v>6473</v>
      </c>
      <c r="H584" s="395">
        <v>37416</v>
      </c>
      <c r="I584" s="396">
        <v>44483</v>
      </c>
      <c r="J584" s="459" t="s">
        <v>6293</v>
      </c>
      <c r="K584" s="462" t="s">
        <v>6490</v>
      </c>
      <c r="L584" s="460" t="s">
        <v>6335</v>
      </c>
      <c r="M584" s="1">
        <v>187</v>
      </c>
      <c r="N584" s="431">
        <v>0</v>
      </c>
      <c r="O584" s="432">
        <v>0</v>
      </c>
      <c r="P584" s="432">
        <v>0</v>
      </c>
      <c r="Q584" s="432">
        <v>0</v>
      </c>
      <c r="R584" s="1">
        <v>7</v>
      </c>
      <c r="S584" s="1">
        <v>10</v>
      </c>
      <c r="T584" s="300">
        <f t="shared" si="88"/>
        <v>204</v>
      </c>
      <c r="U584" s="3"/>
      <c r="V584" s="3"/>
      <c r="W584" s="3"/>
      <c r="X584" s="3"/>
      <c r="Y584" s="3"/>
      <c r="Z584" s="20">
        <f t="shared" si="86"/>
        <v>189</v>
      </c>
      <c r="AA584" s="20">
        <f t="shared" si="91"/>
        <v>0</v>
      </c>
      <c r="AB584" s="20">
        <f t="shared" si="91"/>
        <v>0</v>
      </c>
      <c r="AC584" s="20">
        <f t="shared" si="91"/>
        <v>0</v>
      </c>
      <c r="AD584" s="20">
        <f t="shared" si="90"/>
        <v>0</v>
      </c>
      <c r="AE584" s="20">
        <f t="shared" si="90"/>
        <v>7</v>
      </c>
      <c r="AF584" s="20">
        <f t="shared" si="90"/>
        <v>10</v>
      </c>
      <c r="AG584" s="300">
        <f t="shared" si="87"/>
        <v>206</v>
      </c>
      <c r="AH584" s="42">
        <f t="shared" si="89"/>
        <v>2</v>
      </c>
      <c r="AI584" s="42">
        <f t="shared" si="89"/>
        <v>0</v>
      </c>
      <c r="AJ584" s="42">
        <f t="shared" si="89"/>
        <v>0</v>
      </c>
      <c r="AK584" s="42">
        <f t="shared" si="89"/>
        <v>0</v>
      </c>
      <c r="AL584" s="42">
        <f t="shared" si="89"/>
        <v>0</v>
      </c>
      <c r="AM584" s="42">
        <f t="shared" si="83"/>
        <v>0</v>
      </c>
      <c r="AN584" s="42">
        <f t="shared" si="83"/>
        <v>0</v>
      </c>
      <c r="AO584" s="42">
        <f t="shared" si="82"/>
        <v>2</v>
      </c>
    </row>
    <row r="585" spans="1:41" ht="15.75">
      <c r="A585" s="16">
        <f t="shared" ref="A585:A611" si="92">1+A584</f>
        <v>582</v>
      </c>
      <c r="B585" s="390">
        <v>5167</v>
      </c>
      <c r="C585" s="391" t="s">
        <v>1327</v>
      </c>
      <c r="D585" s="392" t="s">
        <v>3507</v>
      </c>
      <c r="E585" s="393" t="s">
        <v>6511</v>
      </c>
      <c r="F585" s="394" t="s">
        <v>6512</v>
      </c>
      <c r="G585" s="461" t="s">
        <v>6473</v>
      </c>
      <c r="H585" s="395">
        <v>37493</v>
      </c>
      <c r="I585" s="396">
        <v>44485</v>
      </c>
      <c r="J585" s="459" t="s">
        <v>6293</v>
      </c>
      <c r="K585" s="460" t="s">
        <v>80</v>
      </c>
      <c r="L585" s="460" t="s">
        <v>6337</v>
      </c>
      <c r="M585" s="1">
        <v>187</v>
      </c>
      <c r="N585" s="431">
        <v>0</v>
      </c>
      <c r="O585" s="432">
        <v>0</v>
      </c>
      <c r="P585" s="432">
        <v>0</v>
      </c>
      <c r="Q585" s="432">
        <v>0</v>
      </c>
      <c r="R585" s="1">
        <v>7</v>
      </c>
      <c r="S585" s="1">
        <v>10</v>
      </c>
      <c r="T585" s="300">
        <f t="shared" si="88"/>
        <v>204</v>
      </c>
      <c r="U585" s="3"/>
      <c r="V585" s="3"/>
      <c r="W585" s="3"/>
      <c r="X585" s="3"/>
      <c r="Y585" s="3"/>
      <c r="Z585" s="20">
        <f t="shared" si="86"/>
        <v>189</v>
      </c>
      <c r="AA585" s="20">
        <f t="shared" si="91"/>
        <v>0</v>
      </c>
      <c r="AB585" s="20">
        <f t="shared" si="91"/>
        <v>0</v>
      </c>
      <c r="AC585" s="20">
        <f t="shared" si="91"/>
        <v>0</v>
      </c>
      <c r="AD585" s="20">
        <f t="shared" si="90"/>
        <v>0</v>
      </c>
      <c r="AE585" s="20">
        <f t="shared" si="90"/>
        <v>7</v>
      </c>
      <c r="AF585" s="20">
        <f t="shared" si="90"/>
        <v>10</v>
      </c>
      <c r="AG585" s="300">
        <f t="shared" si="87"/>
        <v>206</v>
      </c>
      <c r="AH585" s="42">
        <f t="shared" si="89"/>
        <v>2</v>
      </c>
      <c r="AI585" s="42">
        <f t="shared" si="89"/>
        <v>0</v>
      </c>
      <c r="AJ585" s="42">
        <f t="shared" si="89"/>
        <v>0</v>
      </c>
      <c r="AK585" s="42">
        <f t="shared" si="89"/>
        <v>0</v>
      </c>
      <c r="AL585" s="42">
        <f t="shared" si="89"/>
        <v>0</v>
      </c>
      <c r="AM585" s="42">
        <f t="shared" si="83"/>
        <v>0</v>
      </c>
      <c r="AN585" s="42">
        <f t="shared" si="83"/>
        <v>0</v>
      </c>
      <c r="AO585" s="42">
        <f t="shared" si="83"/>
        <v>2</v>
      </c>
    </row>
    <row r="586" spans="1:41" ht="15.75">
      <c r="A586" s="16">
        <f t="shared" si="92"/>
        <v>583</v>
      </c>
      <c r="B586" s="390">
        <v>5168</v>
      </c>
      <c r="C586" s="391" t="s">
        <v>1630</v>
      </c>
      <c r="D586" s="392" t="s">
        <v>3292</v>
      </c>
      <c r="E586" s="393" t="s">
        <v>1694</v>
      </c>
      <c r="F586" s="394" t="s">
        <v>3579</v>
      </c>
      <c r="G586" s="461" t="s">
        <v>6473</v>
      </c>
      <c r="H586" s="395">
        <v>33728</v>
      </c>
      <c r="I586" s="396">
        <v>44485</v>
      </c>
      <c r="J586" s="459" t="s">
        <v>6293</v>
      </c>
      <c r="K586" s="462" t="s">
        <v>6490</v>
      </c>
      <c r="L586" s="460" t="s">
        <v>6335</v>
      </c>
      <c r="M586" s="1">
        <v>187</v>
      </c>
      <c r="N586" s="431">
        <v>0</v>
      </c>
      <c r="O586" s="432">
        <v>0</v>
      </c>
      <c r="P586" s="432">
        <v>0</v>
      </c>
      <c r="Q586" s="432">
        <v>0</v>
      </c>
      <c r="R586" s="1">
        <v>7</v>
      </c>
      <c r="S586" s="1">
        <v>10</v>
      </c>
      <c r="T586" s="300">
        <f t="shared" si="88"/>
        <v>204</v>
      </c>
      <c r="U586" s="3"/>
      <c r="V586" s="3"/>
      <c r="W586" s="3"/>
      <c r="X586" s="3"/>
      <c r="Y586" s="3"/>
      <c r="Z586" s="20">
        <f t="shared" si="86"/>
        <v>189</v>
      </c>
      <c r="AA586" s="20">
        <f t="shared" si="91"/>
        <v>0</v>
      </c>
      <c r="AB586" s="20">
        <f t="shared" si="91"/>
        <v>0</v>
      </c>
      <c r="AC586" s="20">
        <f t="shared" si="91"/>
        <v>0</v>
      </c>
      <c r="AD586" s="20">
        <f t="shared" si="90"/>
        <v>0</v>
      </c>
      <c r="AE586" s="20">
        <f t="shared" si="90"/>
        <v>7</v>
      </c>
      <c r="AF586" s="20">
        <f t="shared" si="90"/>
        <v>10</v>
      </c>
      <c r="AG586" s="300">
        <f t="shared" si="87"/>
        <v>206</v>
      </c>
      <c r="AH586" s="42">
        <f t="shared" si="89"/>
        <v>2</v>
      </c>
      <c r="AI586" s="42">
        <f t="shared" si="89"/>
        <v>0</v>
      </c>
      <c r="AJ586" s="42">
        <f t="shared" si="89"/>
        <v>0</v>
      </c>
      <c r="AK586" s="42">
        <f t="shared" si="89"/>
        <v>0</v>
      </c>
      <c r="AL586" s="42">
        <f t="shared" si="89"/>
        <v>0</v>
      </c>
      <c r="AM586" s="42">
        <f t="shared" si="83"/>
        <v>0</v>
      </c>
      <c r="AN586" s="42">
        <f t="shared" si="83"/>
        <v>0</v>
      </c>
      <c r="AO586" s="42">
        <f t="shared" si="83"/>
        <v>2</v>
      </c>
    </row>
    <row r="587" spans="1:41" ht="15.75">
      <c r="A587" s="16">
        <f t="shared" si="92"/>
        <v>584</v>
      </c>
      <c r="B587" s="390">
        <v>5169</v>
      </c>
      <c r="C587" s="391" t="s">
        <v>431</v>
      </c>
      <c r="D587" s="392" t="s">
        <v>6265</v>
      </c>
      <c r="E587" s="393" t="s">
        <v>1183</v>
      </c>
      <c r="F587" s="394" t="s">
        <v>6513</v>
      </c>
      <c r="G587" s="461" t="s">
        <v>6473</v>
      </c>
      <c r="H587" s="395">
        <v>35940</v>
      </c>
      <c r="I587" s="396">
        <v>44485</v>
      </c>
      <c r="J587" s="459" t="s">
        <v>6293</v>
      </c>
      <c r="K587" s="462" t="s">
        <v>6490</v>
      </c>
      <c r="L587" s="460" t="s">
        <v>6335</v>
      </c>
      <c r="M587" s="1">
        <v>187</v>
      </c>
      <c r="N587" s="431">
        <v>0</v>
      </c>
      <c r="O587" s="432">
        <v>0</v>
      </c>
      <c r="P587" s="432">
        <v>0</v>
      </c>
      <c r="Q587" s="432">
        <v>0</v>
      </c>
      <c r="R587" s="1">
        <v>7</v>
      </c>
      <c r="S587" s="1">
        <v>10</v>
      </c>
      <c r="T587" s="300">
        <f t="shared" si="88"/>
        <v>204</v>
      </c>
      <c r="U587" s="3"/>
      <c r="V587" s="3"/>
      <c r="W587" s="3"/>
      <c r="X587" s="3"/>
      <c r="Y587" s="3"/>
      <c r="Z587" s="20">
        <f t="shared" si="86"/>
        <v>189</v>
      </c>
      <c r="AA587" s="20">
        <f t="shared" si="91"/>
        <v>0</v>
      </c>
      <c r="AB587" s="20">
        <f t="shared" si="91"/>
        <v>0</v>
      </c>
      <c r="AC587" s="20">
        <f t="shared" si="91"/>
        <v>0</v>
      </c>
      <c r="AD587" s="20">
        <f t="shared" si="90"/>
        <v>0</v>
      </c>
      <c r="AE587" s="20">
        <f t="shared" si="90"/>
        <v>7</v>
      </c>
      <c r="AF587" s="20">
        <f t="shared" si="90"/>
        <v>10</v>
      </c>
      <c r="AG587" s="300">
        <f t="shared" si="87"/>
        <v>206</v>
      </c>
      <c r="AH587" s="42">
        <f t="shared" si="89"/>
        <v>2</v>
      </c>
      <c r="AI587" s="42">
        <f t="shared" si="89"/>
        <v>0</v>
      </c>
      <c r="AJ587" s="42">
        <f t="shared" si="89"/>
        <v>0</v>
      </c>
      <c r="AK587" s="42">
        <f t="shared" si="89"/>
        <v>0</v>
      </c>
      <c r="AL587" s="42">
        <f t="shared" si="89"/>
        <v>0</v>
      </c>
      <c r="AM587" s="42">
        <f t="shared" si="83"/>
        <v>0</v>
      </c>
      <c r="AN587" s="42">
        <f t="shared" si="83"/>
        <v>0</v>
      </c>
      <c r="AO587" s="42">
        <f t="shared" si="83"/>
        <v>2</v>
      </c>
    </row>
    <row r="588" spans="1:41" ht="15.75">
      <c r="A588" s="16">
        <f t="shared" si="92"/>
        <v>585</v>
      </c>
      <c r="B588" s="390">
        <v>5170</v>
      </c>
      <c r="C588" s="391" t="s">
        <v>1454</v>
      </c>
      <c r="D588" s="392" t="s">
        <v>4867</v>
      </c>
      <c r="E588" s="393" t="s">
        <v>1886</v>
      </c>
      <c r="F588" s="394" t="s">
        <v>4869</v>
      </c>
      <c r="G588" s="461" t="s">
        <v>6473</v>
      </c>
      <c r="H588" s="395">
        <v>35432</v>
      </c>
      <c r="I588" s="396">
        <v>44485</v>
      </c>
      <c r="J588" s="459" t="s">
        <v>6293</v>
      </c>
      <c r="K588" s="462" t="s">
        <v>6490</v>
      </c>
      <c r="L588" s="460" t="s">
        <v>6335</v>
      </c>
      <c r="M588" s="1">
        <v>187</v>
      </c>
      <c r="N588" s="431">
        <v>0</v>
      </c>
      <c r="O588" s="432">
        <v>0</v>
      </c>
      <c r="P588" s="432">
        <v>0</v>
      </c>
      <c r="Q588" s="432">
        <v>0</v>
      </c>
      <c r="R588" s="1">
        <v>7</v>
      </c>
      <c r="S588" s="1">
        <v>10</v>
      </c>
      <c r="T588" s="300">
        <f t="shared" si="88"/>
        <v>204</v>
      </c>
      <c r="U588" s="3"/>
      <c r="V588" s="3"/>
      <c r="W588" s="3"/>
      <c r="X588" s="3"/>
      <c r="Y588" s="3"/>
      <c r="Z588" s="20">
        <f t="shared" si="86"/>
        <v>189</v>
      </c>
      <c r="AA588" s="20">
        <f t="shared" si="91"/>
        <v>0</v>
      </c>
      <c r="AB588" s="20">
        <f t="shared" si="91"/>
        <v>0</v>
      </c>
      <c r="AC588" s="20">
        <f t="shared" si="91"/>
        <v>0</v>
      </c>
      <c r="AD588" s="20">
        <f t="shared" si="90"/>
        <v>0</v>
      </c>
      <c r="AE588" s="20">
        <f t="shared" si="90"/>
        <v>7</v>
      </c>
      <c r="AF588" s="20">
        <f t="shared" si="90"/>
        <v>10</v>
      </c>
      <c r="AG588" s="300">
        <f t="shared" si="87"/>
        <v>206</v>
      </c>
      <c r="AH588" s="42">
        <f t="shared" si="89"/>
        <v>2</v>
      </c>
      <c r="AI588" s="42">
        <f t="shared" si="89"/>
        <v>0</v>
      </c>
      <c r="AJ588" s="42">
        <f t="shared" si="89"/>
        <v>0</v>
      </c>
      <c r="AK588" s="42">
        <f t="shared" si="89"/>
        <v>0</v>
      </c>
      <c r="AL588" s="42">
        <f t="shared" si="89"/>
        <v>0</v>
      </c>
      <c r="AM588" s="42">
        <f t="shared" si="89"/>
        <v>0</v>
      </c>
      <c r="AN588" s="42">
        <f t="shared" si="89"/>
        <v>0</v>
      </c>
      <c r="AO588" s="42">
        <f t="shared" si="89"/>
        <v>2</v>
      </c>
    </row>
    <row r="589" spans="1:41" ht="15.75">
      <c r="A589" s="16">
        <f t="shared" si="92"/>
        <v>586</v>
      </c>
      <c r="B589" s="390">
        <v>5171</v>
      </c>
      <c r="C589" s="391" t="s">
        <v>2319</v>
      </c>
      <c r="D589" s="392" t="s">
        <v>6514</v>
      </c>
      <c r="E589" s="393" t="s">
        <v>4018</v>
      </c>
      <c r="F589" s="394" t="s">
        <v>6515</v>
      </c>
      <c r="G589" s="461" t="s">
        <v>6473</v>
      </c>
      <c r="H589" s="395">
        <v>35836</v>
      </c>
      <c r="I589" s="396">
        <v>44485</v>
      </c>
      <c r="J589" s="459" t="s">
        <v>6293</v>
      </c>
      <c r="K589" s="462" t="s">
        <v>6489</v>
      </c>
      <c r="L589" s="460" t="s">
        <v>6335</v>
      </c>
      <c r="M589" s="1">
        <v>187</v>
      </c>
      <c r="N589" s="431">
        <v>0</v>
      </c>
      <c r="O589" s="432">
        <v>0</v>
      </c>
      <c r="P589" s="432">
        <v>0</v>
      </c>
      <c r="Q589" s="432">
        <v>0</v>
      </c>
      <c r="R589" s="1">
        <v>7</v>
      </c>
      <c r="S589" s="1">
        <v>10</v>
      </c>
      <c r="T589" s="300">
        <f t="shared" si="88"/>
        <v>204</v>
      </c>
      <c r="U589" s="3"/>
      <c r="V589" s="3"/>
      <c r="W589" s="3"/>
      <c r="X589" s="3"/>
      <c r="Y589" s="3"/>
      <c r="Z589" s="20">
        <f t="shared" si="86"/>
        <v>189</v>
      </c>
      <c r="AA589" s="20">
        <f t="shared" si="91"/>
        <v>0</v>
      </c>
      <c r="AB589" s="20">
        <f t="shared" si="91"/>
        <v>0</v>
      </c>
      <c r="AC589" s="20">
        <f t="shared" si="91"/>
        <v>0</v>
      </c>
      <c r="AD589" s="20">
        <f t="shared" si="90"/>
        <v>0</v>
      </c>
      <c r="AE589" s="20">
        <f t="shared" si="90"/>
        <v>7</v>
      </c>
      <c r="AF589" s="20">
        <f t="shared" si="90"/>
        <v>10</v>
      </c>
      <c r="AG589" s="300">
        <f t="shared" si="87"/>
        <v>206</v>
      </c>
      <c r="AH589" s="42">
        <f t="shared" si="89"/>
        <v>2</v>
      </c>
      <c r="AI589" s="42">
        <f t="shared" si="89"/>
        <v>0</v>
      </c>
      <c r="AJ589" s="42">
        <f t="shared" si="89"/>
        <v>0</v>
      </c>
      <c r="AK589" s="42">
        <f t="shared" si="89"/>
        <v>0</v>
      </c>
      <c r="AL589" s="42">
        <f t="shared" si="89"/>
        <v>0</v>
      </c>
      <c r="AM589" s="42">
        <f t="shared" si="89"/>
        <v>0</v>
      </c>
      <c r="AN589" s="42">
        <f t="shared" si="89"/>
        <v>0</v>
      </c>
      <c r="AO589" s="42">
        <f t="shared" si="89"/>
        <v>2</v>
      </c>
    </row>
    <row r="590" spans="1:41" ht="15.75">
      <c r="A590" s="16">
        <f t="shared" si="92"/>
        <v>587</v>
      </c>
      <c r="B590" s="390">
        <v>5172</v>
      </c>
      <c r="C590" s="391" t="s">
        <v>2596</v>
      </c>
      <c r="D590" s="392" t="s">
        <v>2597</v>
      </c>
      <c r="E590" s="393" t="s">
        <v>6516</v>
      </c>
      <c r="F590" s="394" t="s">
        <v>5843</v>
      </c>
      <c r="G590" s="461" t="s">
        <v>6475</v>
      </c>
      <c r="H590" s="395">
        <v>35160</v>
      </c>
      <c r="I590" s="396">
        <v>44485</v>
      </c>
      <c r="J590" s="459" t="s">
        <v>6293</v>
      </c>
      <c r="K590" s="460" t="s">
        <v>6104</v>
      </c>
      <c r="L590" s="460" t="s">
        <v>6345</v>
      </c>
      <c r="M590" s="1">
        <v>187</v>
      </c>
      <c r="N590" s="431">
        <v>0</v>
      </c>
      <c r="O590" s="432">
        <v>0</v>
      </c>
      <c r="P590" s="432">
        <v>0</v>
      </c>
      <c r="Q590" s="432">
        <v>0</v>
      </c>
      <c r="R590" s="1">
        <v>7</v>
      </c>
      <c r="S590" s="1">
        <v>10</v>
      </c>
      <c r="T590" s="300">
        <f t="shared" si="88"/>
        <v>204</v>
      </c>
      <c r="U590" s="3"/>
      <c r="V590" s="3"/>
      <c r="W590" s="3"/>
      <c r="X590" s="3"/>
      <c r="Y590" s="3"/>
      <c r="Z590" s="20">
        <f t="shared" si="86"/>
        <v>189</v>
      </c>
      <c r="AA590" s="20">
        <f t="shared" si="91"/>
        <v>0</v>
      </c>
      <c r="AB590" s="20">
        <f t="shared" si="91"/>
        <v>0</v>
      </c>
      <c r="AC590" s="20">
        <f t="shared" si="91"/>
        <v>0</v>
      </c>
      <c r="AD590" s="20">
        <f t="shared" si="90"/>
        <v>0</v>
      </c>
      <c r="AE590" s="20">
        <f t="shared" si="90"/>
        <v>7</v>
      </c>
      <c r="AF590" s="20">
        <f t="shared" si="90"/>
        <v>10</v>
      </c>
      <c r="AG590" s="300">
        <f t="shared" si="87"/>
        <v>206</v>
      </c>
      <c r="AH590" s="42">
        <f t="shared" si="89"/>
        <v>2</v>
      </c>
      <c r="AI590" s="42">
        <f t="shared" si="89"/>
        <v>0</v>
      </c>
      <c r="AJ590" s="42">
        <f t="shared" si="89"/>
        <v>0</v>
      </c>
      <c r="AK590" s="42">
        <f t="shared" si="89"/>
        <v>0</v>
      </c>
      <c r="AL590" s="42">
        <f t="shared" si="89"/>
        <v>0</v>
      </c>
      <c r="AM590" s="42">
        <f t="shared" si="89"/>
        <v>0</v>
      </c>
      <c r="AN590" s="42">
        <f t="shared" si="89"/>
        <v>0</v>
      </c>
      <c r="AO590" s="42">
        <f t="shared" si="89"/>
        <v>2</v>
      </c>
    </row>
    <row r="591" spans="1:41" ht="15.75">
      <c r="A591" s="16">
        <f t="shared" si="92"/>
        <v>588</v>
      </c>
      <c r="B591" s="390">
        <v>5173</v>
      </c>
      <c r="C591" s="391" t="s">
        <v>3719</v>
      </c>
      <c r="D591" s="392" t="s">
        <v>6517</v>
      </c>
      <c r="E591" s="393" t="s">
        <v>6518</v>
      </c>
      <c r="F591" s="394" t="s">
        <v>6519</v>
      </c>
      <c r="G591" s="461" t="s">
        <v>6475</v>
      </c>
      <c r="H591" s="395">
        <v>30729</v>
      </c>
      <c r="I591" s="396">
        <v>44485</v>
      </c>
      <c r="J591" s="459" t="s">
        <v>6293</v>
      </c>
      <c r="K591" s="460" t="s">
        <v>6104</v>
      </c>
      <c r="L591" s="460" t="s">
        <v>6345</v>
      </c>
      <c r="M591" s="1">
        <v>187</v>
      </c>
      <c r="N591" s="431">
        <v>0</v>
      </c>
      <c r="O591" s="432">
        <v>0</v>
      </c>
      <c r="P591" s="432">
        <v>0</v>
      </c>
      <c r="Q591" s="432">
        <v>0</v>
      </c>
      <c r="R591" s="1">
        <v>7</v>
      </c>
      <c r="S591" s="1">
        <v>10</v>
      </c>
      <c r="T591" s="300">
        <f t="shared" si="88"/>
        <v>204</v>
      </c>
      <c r="U591" s="3"/>
      <c r="V591" s="3"/>
      <c r="W591" s="3"/>
      <c r="X591" s="3"/>
      <c r="Y591" s="3"/>
      <c r="Z591" s="20">
        <f t="shared" si="86"/>
        <v>189</v>
      </c>
      <c r="AA591" s="20">
        <f t="shared" si="91"/>
        <v>0</v>
      </c>
      <c r="AB591" s="20">
        <f t="shared" si="91"/>
        <v>0</v>
      </c>
      <c r="AC591" s="20">
        <f t="shared" si="91"/>
        <v>0</v>
      </c>
      <c r="AD591" s="20">
        <f t="shared" si="90"/>
        <v>0</v>
      </c>
      <c r="AE591" s="20">
        <f t="shared" si="90"/>
        <v>7</v>
      </c>
      <c r="AF591" s="20">
        <f t="shared" si="90"/>
        <v>10</v>
      </c>
      <c r="AG591" s="300">
        <f t="shared" si="87"/>
        <v>206</v>
      </c>
      <c r="AH591" s="42">
        <f t="shared" si="89"/>
        <v>2</v>
      </c>
      <c r="AI591" s="42">
        <f t="shared" si="89"/>
        <v>0</v>
      </c>
      <c r="AJ591" s="42">
        <f t="shared" si="89"/>
        <v>0</v>
      </c>
      <c r="AK591" s="42">
        <f t="shared" si="89"/>
        <v>0</v>
      </c>
      <c r="AL591" s="42">
        <f t="shared" si="89"/>
        <v>0</v>
      </c>
      <c r="AM591" s="42">
        <f t="shared" si="89"/>
        <v>0</v>
      </c>
      <c r="AN591" s="42">
        <f t="shared" si="89"/>
        <v>0</v>
      </c>
      <c r="AO591" s="42">
        <f t="shared" si="89"/>
        <v>2</v>
      </c>
    </row>
    <row r="592" spans="1:41" ht="15.75">
      <c r="A592" s="16">
        <f t="shared" si="92"/>
        <v>589</v>
      </c>
      <c r="B592" s="390">
        <v>5174</v>
      </c>
      <c r="C592" s="391" t="s">
        <v>1207</v>
      </c>
      <c r="D592" s="392" t="s">
        <v>6520</v>
      </c>
      <c r="E592" s="393" t="s">
        <v>6521</v>
      </c>
      <c r="F592" s="394" t="s">
        <v>6395</v>
      </c>
      <c r="G592" s="461" t="s">
        <v>6475</v>
      </c>
      <c r="H592" s="395">
        <v>31564</v>
      </c>
      <c r="I592" s="396">
        <v>44485</v>
      </c>
      <c r="J592" s="459" t="s">
        <v>6293</v>
      </c>
      <c r="K592" s="460" t="s">
        <v>80</v>
      </c>
      <c r="L592" s="460" t="s">
        <v>6337</v>
      </c>
      <c r="M592" s="1">
        <v>187</v>
      </c>
      <c r="N592" s="431">
        <v>0</v>
      </c>
      <c r="O592" s="432">
        <v>0</v>
      </c>
      <c r="P592" s="432">
        <v>0</v>
      </c>
      <c r="Q592" s="432">
        <v>0</v>
      </c>
      <c r="R592" s="1">
        <v>7</v>
      </c>
      <c r="S592" s="1">
        <v>10</v>
      </c>
      <c r="T592" s="300">
        <f t="shared" si="88"/>
        <v>204</v>
      </c>
      <c r="U592" s="3"/>
      <c r="V592" s="3"/>
      <c r="W592" s="3"/>
      <c r="X592" s="3"/>
      <c r="Y592" s="3"/>
      <c r="Z592" s="20">
        <f t="shared" si="86"/>
        <v>189</v>
      </c>
      <c r="AA592" s="20">
        <f t="shared" si="91"/>
        <v>0</v>
      </c>
      <c r="AB592" s="20">
        <f t="shared" si="91"/>
        <v>0</v>
      </c>
      <c r="AC592" s="20">
        <f t="shared" si="91"/>
        <v>0</v>
      </c>
      <c r="AD592" s="20">
        <f t="shared" si="90"/>
        <v>0</v>
      </c>
      <c r="AE592" s="20">
        <f t="shared" si="90"/>
        <v>7</v>
      </c>
      <c r="AF592" s="20">
        <f t="shared" si="90"/>
        <v>10</v>
      </c>
      <c r="AG592" s="300">
        <f t="shared" si="87"/>
        <v>206</v>
      </c>
      <c r="AH592" s="42">
        <f t="shared" si="89"/>
        <v>2</v>
      </c>
      <c r="AI592" s="42">
        <f t="shared" si="89"/>
        <v>0</v>
      </c>
      <c r="AJ592" s="42">
        <f t="shared" si="89"/>
        <v>0</v>
      </c>
      <c r="AK592" s="42">
        <f t="shared" si="89"/>
        <v>0</v>
      </c>
      <c r="AL592" s="42">
        <f t="shared" si="89"/>
        <v>0</v>
      </c>
      <c r="AM592" s="42">
        <f t="shared" si="89"/>
        <v>0</v>
      </c>
      <c r="AN592" s="42">
        <f t="shared" si="89"/>
        <v>0</v>
      </c>
      <c r="AO592" s="42">
        <f t="shared" si="89"/>
        <v>2</v>
      </c>
    </row>
    <row r="593" spans="1:41" ht="15.75">
      <c r="A593" s="16">
        <f t="shared" si="92"/>
        <v>590</v>
      </c>
      <c r="B593" s="390">
        <v>5175</v>
      </c>
      <c r="C593" s="391" t="s">
        <v>958</v>
      </c>
      <c r="D593" s="392" t="s">
        <v>6522</v>
      </c>
      <c r="E593" s="393" t="s">
        <v>6523</v>
      </c>
      <c r="F593" s="394" t="s">
        <v>6524</v>
      </c>
      <c r="G593" s="461" t="s">
        <v>6475</v>
      </c>
      <c r="H593" s="395">
        <v>32424</v>
      </c>
      <c r="I593" s="396">
        <v>44488</v>
      </c>
      <c r="J593" s="459" t="s">
        <v>6293</v>
      </c>
      <c r="K593" s="460" t="s">
        <v>45</v>
      </c>
      <c r="L593" s="460" t="s">
        <v>6344</v>
      </c>
      <c r="M593" s="1">
        <v>187</v>
      </c>
      <c r="N593" s="431">
        <v>0</v>
      </c>
      <c r="O593" s="432">
        <v>0</v>
      </c>
      <c r="P593" s="432">
        <v>0</v>
      </c>
      <c r="Q593" s="432">
        <v>0</v>
      </c>
      <c r="R593" s="1">
        <v>7</v>
      </c>
      <c r="S593" s="1">
        <v>10</v>
      </c>
      <c r="T593" s="300">
        <f t="shared" si="88"/>
        <v>204</v>
      </c>
      <c r="U593" s="3"/>
      <c r="V593" s="3"/>
      <c r="W593" s="3"/>
      <c r="X593" s="3"/>
      <c r="Y593" s="3"/>
      <c r="Z593" s="20">
        <f t="shared" si="86"/>
        <v>189</v>
      </c>
      <c r="AA593" s="20">
        <f t="shared" si="91"/>
        <v>0</v>
      </c>
      <c r="AB593" s="20">
        <f t="shared" si="91"/>
        <v>0</v>
      </c>
      <c r="AC593" s="20">
        <f t="shared" si="91"/>
        <v>0</v>
      </c>
      <c r="AD593" s="20">
        <f t="shared" si="90"/>
        <v>0</v>
      </c>
      <c r="AE593" s="20">
        <f t="shared" si="90"/>
        <v>7</v>
      </c>
      <c r="AF593" s="20">
        <f t="shared" si="90"/>
        <v>10</v>
      </c>
      <c r="AG593" s="300">
        <f t="shared" si="87"/>
        <v>206</v>
      </c>
      <c r="AH593" s="42">
        <f t="shared" si="89"/>
        <v>2</v>
      </c>
      <c r="AI593" s="42">
        <f t="shared" si="89"/>
        <v>0</v>
      </c>
      <c r="AJ593" s="42">
        <f t="shared" si="89"/>
        <v>0</v>
      </c>
      <c r="AK593" s="42">
        <f t="shared" si="89"/>
        <v>0</v>
      </c>
      <c r="AL593" s="42">
        <f t="shared" si="89"/>
        <v>0</v>
      </c>
      <c r="AM593" s="42">
        <f t="shared" si="89"/>
        <v>0</v>
      </c>
      <c r="AN593" s="42">
        <f t="shared" si="89"/>
        <v>0</v>
      </c>
      <c r="AO593" s="42">
        <f t="shared" si="89"/>
        <v>2</v>
      </c>
    </row>
    <row r="594" spans="1:41" ht="15.75">
      <c r="A594" s="16">
        <f t="shared" si="92"/>
        <v>591</v>
      </c>
      <c r="B594" s="390">
        <v>5176</v>
      </c>
      <c r="C594" s="391" t="s">
        <v>6525</v>
      </c>
      <c r="D594" s="392" t="s">
        <v>6526</v>
      </c>
      <c r="E594" s="393" t="s">
        <v>6527</v>
      </c>
      <c r="F594" s="394" t="s">
        <v>835</v>
      </c>
      <c r="G594" s="461" t="s">
        <v>6475</v>
      </c>
      <c r="H594" s="395">
        <v>35492</v>
      </c>
      <c r="I594" s="396">
        <v>44488</v>
      </c>
      <c r="J594" s="459" t="s">
        <v>6293</v>
      </c>
      <c r="K594" s="460" t="s">
        <v>45</v>
      </c>
      <c r="L594" s="460" t="s">
        <v>6344</v>
      </c>
      <c r="M594" s="1">
        <v>187</v>
      </c>
      <c r="N594" s="431">
        <v>0</v>
      </c>
      <c r="O594" s="432">
        <v>0</v>
      </c>
      <c r="P594" s="432">
        <v>0</v>
      </c>
      <c r="Q594" s="432">
        <v>0</v>
      </c>
      <c r="R594" s="1">
        <v>7</v>
      </c>
      <c r="S594" s="1">
        <v>10</v>
      </c>
      <c r="T594" s="300">
        <f t="shared" si="88"/>
        <v>204</v>
      </c>
      <c r="U594" s="3"/>
      <c r="V594" s="3"/>
      <c r="W594" s="3"/>
      <c r="X594" s="3"/>
      <c r="Y594" s="3"/>
      <c r="Z594" s="20">
        <f t="shared" si="86"/>
        <v>189</v>
      </c>
      <c r="AA594" s="20">
        <f t="shared" si="91"/>
        <v>0</v>
      </c>
      <c r="AB594" s="20">
        <f t="shared" si="91"/>
        <v>0</v>
      </c>
      <c r="AC594" s="20">
        <f t="shared" si="91"/>
        <v>0</v>
      </c>
      <c r="AD594" s="20">
        <f t="shared" si="90"/>
        <v>0</v>
      </c>
      <c r="AE594" s="20">
        <f t="shared" si="90"/>
        <v>7</v>
      </c>
      <c r="AF594" s="20">
        <f t="shared" si="90"/>
        <v>10</v>
      </c>
      <c r="AG594" s="300">
        <f t="shared" si="87"/>
        <v>206</v>
      </c>
      <c r="AH594" s="42">
        <f t="shared" si="89"/>
        <v>2</v>
      </c>
      <c r="AI594" s="42">
        <f t="shared" si="89"/>
        <v>0</v>
      </c>
      <c r="AJ594" s="42">
        <f t="shared" si="89"/>
        <v>0</v>
      </c>
      <c r="AK594" s="42">
        <f t="shared" si="89"/>
        <v>0</v>
      </c>
      <c r="AL594" s="42">
        <f t="shared" si="89"/>
        <v>0</v>
      </c>
      <c r="AM594" s="42">
        <f t="shared" si="89"/>
        <v>0</v>
      </c>
      <c r="AN594" s="42">
        <f t="shared" si="89"/>
        <v>0</v>
      </c>
      <c r="AO594" s="42">
        <f t="shared" si="89"/>
        <v>2</v>
      </c>
    </row>
    <row r="595" spans="1:41" ht="15.75">
      <c r="A595" s="16">
        <f t="shared" si="92"/>
        <v>592</v>
      </c>
      <c r="B595" s="390">
        <v>5177</v>
      </c>
      <c r="C595" s="391" t="s">
        <v>6528</v>
      </c>
      <c r="D595" s="392" t="s">
        <v>6529</v>
      </c>
      <c r="E595" s="393" t="s">
        <v>6530</v>
      </c>
      <c r="F595" s="394" t="s">
        <v>33</v>
      </c>
      <c r="G595" s="461" t="s">
        <v>6475</v>
      </c>
      <c r="H595" s="395">
        <v>31631</v>
      </c>
      <c r="I595" s="396">
        <v>44488</v>
      </c>
      <c r="J595" s="459" t="s">
        <v>6293</v>
      </c>
      <c r="K595" s="460" t="s">
        <v>45</v>
      </c>
      <c r="L595" s="460" t="s">
        <v>6344</v>
      </c>
      <c r="M595" s="1">
        <v>187</v>
      </c>
      <c r="N595" s="431">
        <v>0</v>
      </c>
      <c r="O595" s="432">
        <v>0</v>
      </c>
      <c r="P595" s="432">
        <v>0</v>
      </c>
      <c r="Q595" s="432">
        <v>0</v>
      </c>
      <c r="R595" s="1">
        <v>7</v>
      </c>
      <c r="S595" s="1">
        <v>10</v>
      </c>
      <c r="T595" s="300">
        <f t="shared" si="88"/>
        <v>204</v>
      </c>
      <c r="U595" s="3"/>
      <c r="V595" s="3"/>
      <c r="W595" s="3"/>
      <c r="X595" s="3"/>
      <c r="Y595" s="3"/>
      <c r="Z595" s="20">
        <f t="shared" si="86"/>
        <v>189</v>
      </c>
      <c r="AA595" s="20">
        <f t="shared" si="91"/>
        <v>0</v>
      </c>
      <c r="AB595" s="20">
        <f t="shared" si="91"/>
        <v>0</v>
      </c>
      <c r="AC595" s="20">
        <f t="shared" si="91"/>
        <v>0</v>
      </c>
      <c r="AD595" s="20">
        <f t="shared" si="90"/>
        <v>0</v>
      </c>
      <c r="AE595" s="20">
        <f t="shared" si="90"/>
        <v>7</v>
      </c>
      <c r="AF595" s="20">
        <f t="shared" si="90"/>
        <v>10</v>
      </c>
      <c r="AG595" s="300">
        <f t="shared" si="87"/>
        <v>206</v>
      </c>
      <c r="AH595" s="42">
        <f t="shared" si="89"/>
        <v>2</v>
      </c>
      <c r="AI595" s="42">
        <f t="shared" si="89"/>
        <v>0</v>
      </c>
      <c r="AJ595" s="42">
        <f t="shared" si="89"/>
        <v>0</v>
      </c>
      <c r="AK595" s="42">
        <f t="shared" si="89"/>
        <v>0</v>
      </c>
      <c r="AL595" s="42">
        <f t="shared" si="89"/>
        <v>0</v>
      </c>
      <c r="AM595" s="42">
        <f t="shared" si="89"/>
        <v>0</v>
      </c>
      <c r="AN595" s="42">
        <f t="shared" si="89"/>
        <v>0</v>
      </c>
      <c r="AO595" s="42">
        <f t="shared" si="89"/>
        <v>2</v>
      </c>
    </row>
    <row r="596" spans="1:41" ht="15.75">
      <c r="A596" s="16">
        <f t="shared" si="92"/>
        <v>593</v>
      </c>
      <c r="B596" s="390">
        <v>5178</v>
      </c>
      <c r="C596" s="391" t="s">
        <v>6531</v>
      </c>
      <c r="D596" s="392" t="s">
        <v>6532</v>
      </c>
      <c r="E596" s="393" t="s">
        <v>1441</v>
      </c>
      <c r="F596" s="394" t="s">
        <v>6533</v>
      </c>
      <c r="G596" s="461" t="s">
        <v>6475</v>
      </c>
      <c r="H596" s="395">
        <v>33865</v>
      </c>
      <c r="I596" s="396">
        <v>44488</v>
      </c>
      <c r="J596" s="459" t="s">
        <v>6293</v>
      </c>
      <c r="K596" s="460" t="s">
        <v>45</v>
      </c>
      <c r="L596" s="460" t="s">
        <v>6344</v>
      </c>
      <c r="M596" s="1">
        <v>187</v>
      </c>
      <c r="N596" s="431">
        <v>0</v>
      </c>
      <c r="O596" s="432">
        <v>0</v>
      </c>
      <c r="P596" s="432">
        <v>0</v>
      </c>
      <c r="Q596" s="432">
        <v>0</v>
      </c>
      <c r="R596" s="1">
        <v>7</v>
      </c>
      <c r="S596" s="1">
        <v>10</v>
      </c>
      <c r="T596" s="300">
        <f t="shared" si="88"/>
        <v>204</v>
      </c>
      <c r="U596" s="3"/>
      <c r="V596" s="3"/>
      <c r="W596" s="3"/>
      <c r="X596" s="3"/>
      <c r="Y596" s="3"/>
      <c r="Z596" s="20">
        <f t="shared" si="86"/>
        <v>189</v>
      </c>
      <c r="AA596" s="20">
        <f t="shared" si="91"/>
        <v>0</v>
      </c>
      <c r="AB596" s="20">
        <f t="shared" si="91"/>
        <v>0</v>
      </c>
      <c r="AC596" s="20">
        <f t="shared" si="91"/>
        <v>0</v>
      </c>
      <c r="AD596" s="20">
        <f t="shared" si="90"/>
        <v>0</v>
      </c>
      <c r="AE596" s="20">
        <f t="shared" si="90"/>
        <v>7</v>
      </c>
      <c r="AF596" s="20">
        <f t="shared" si="90"/>
        <v>10</v>
      </c>
      <c r="AG596" s="300">
        <f t="shared" si="87"/>
        <v>206</v>
      </c>
      <c r="AH596" s="42">
        <f t="shared" si="89"/>
        <v>2</v>
      </c>
      <c r="AI596" s="42">
        <f t="shared" si="89"/>
        <v>0</v>
      </c>
      <c r="AJ596" s="42">
        <f t="shared" si="89"/>
        <v>0</v>
      </c>
      <c r="AK596" s="42">
        <f t="shared" si="89"/>
        <v>0</v>
      </c>
      <c r="AL596" s="42">
        <f t="shared" si="89"/>
        <v>0</v>
      </c>
      <c r="AM596" s="42">
        <f t="shared" si="89"/>
        <v>0</v>
      </c>
      <c r="AN596" s="42">
        <f t="shared" si="89"/>
        <v>0</v>
      </c>
      <c r="AO596" s="42">
        <f t="shared" si="89"/>
        <v>2</v>
      </c>
    </row>
    <row r="597" spans="1:41" ht="15.75">
      <c r="A597" s="16">
        <f t="shared" si="92"/>
        <v>594</v>
      </c>
      <c r="B597" s="390">
        <v>5181</v>
      </c>
      <c r="C597" s="391" t="s">
        <v>4650</v>
      </c>
      <c r="D597" s="392" t="s">
        <v>6534</v>
      </c>
      <c r="E597" s="393" t="s">
        <v>4652</v>
      </c>
      <c r="F597" s="394" t="s">
        <v>6535</v>
      </c>
      <c r="G597" s="461" t="s">
        <v>6473</v>
      </c>
      <c r="H597" s="395">
        <v>30579</v>
      </c>
      <c r="I597" s="396">
        <v>44488</v>
      </c>
      <c r="J597" s="459" t="s">
        <v>6293</v>
      </c>
      <c r="K597" s="462" t="s">
        <v>6490</v>
      </c>
      <c r="L597" s="460" t="s">
        <v>6335</v>
      </c>
      <c r="M597" s="1">
        <v>192</v>
      </c>
      <c r="N597" s="431">
        <v>0</v>
      </c>
      <c r="O597" s="432">
        <v>0</v>
      </c>
      <c r="P597" s="432">
        <v>0</v>
      </c>
      <c r="Q597" s="432">
        <v>0</v>
      </c>
      <c r="R597" s="1">
        <v>7</v>
      </c>
      <c r="S597" s="1">
        <v>10</v>
      </c>
      <c r="T597" s="300">
        <f t="shared" si="88"/>
        <v>209</v>
      </c>
      <c r="U597" s="3"/>
      <c r="V597" s="3"/>
      <c r="W597" s="3"/>
      <c r="X597" s="3"/>
      <c r="Y597" s="3"/>
      <c r="Z597" s="20">
        <f t="shared" si="86"/>
        <v>194</v>
      </c>
      <c r="AA597" s="20">
        <f t="shared" si="91"/>
        <v>0</v>
      </c>
      <c r="AB597" s="20">
        <f t="shared" si="91"/>
        <v>0</v>
      </c>
      <c r="AC597" s="20">
        <f t="shared" si="91"/>
        <v>0</v>
      </c>
      <c r="AD597" s="20">
        <f t="shared" si="90"/>
        <v>0</v>
      </c>
      <c r="AE597" s="20">
        <f t="shared" si="90"/>
        <v>7</v>
      </c>
      <c r="AF597" s="20">
        <f t="shared" si="90"/>
        <v>10</v>
      </c>
      <c r="AG597" s="300">
        <f t="shared" si="87"/>
        <v>211</v>
      </c>
      <c r="AH597" s="42">
        <f t="shared" si="89"/>
        <v>2</v>
      </c>
      <c r="AI597" s="42">
        <f t="shared" si="89"/>
        <v>0</v>
      </c>
      <c r="AJ597" s="42">
        <f t="shared" si="89"/>
        <v>0</v>
      </c>
      <c r="AK597" s="42">
        <f t="shared" si="89"/>
        <v>0</v>
      </c>
      <c r="AL597" s="42">
        <f t="shared" si="89"/>
        <v>0</v>
      </c>
      <c r="AM597" s="42">
        <f t="shared" si="89"/>
        <v>0</v>
      </c>
      <c r="AN597" s="42">
        <f t="shared" si="89"/>
        <v>0</v>
      </c>
      <c r="AO597" s="42">
        <f t="shared" si="89"/>
        <v>2</v>
      </c>
    </row>
    <row r="598" spans="1:41" ht="15.75">
      <c r="A598" s="16">
        <f t="shared" si="92"/>
        <v>595</v>
      </c>
      <c r="B598" s="390">
        <v>5182</v>
      </c>
      <c r="C598" s="391" t="s">
        <v>2545</v>
      </c>
      <c r="D598" s="392" t="s">
        <v>6536</v>
      </c>
      <c r="E598" s="393" t="s">
        <v>1642</v>
      </c>
      <c r="F598" s="394" t="s">
        <v>6537</v>
      </c>
      <c r="G598" s="461" t="s">
        <v>6473</v>
      </c>
      <c r="H598" s="395">
        <v>30933</v>
      </c>
      <c r="I598" s="396">
        <v>44488</v>
      </c>
      <c r="J598" s="459" t="s">
        <v>6293</v>
      </c>
      <c r="K598" s="462" t="s">
        <v>6490</v>
      </c>
      <c r="L598" s="460" t="s">
        <v>6335</v>
      </c>
      <c r="M598" s="1">
        <v>187</v>
      </c>
      <c r="N598" s="431">
        <v>0</v>
      </c>
      <c r="O598" s="432">
        <v>0</v>
      </c>
      <c r="P598" s="432">
        <v>0</v>
      </c>
      <c r="Q598" s="432">
        <v>0</v>
      </c>
      <c r="R598" s="1">
        <v>7</v>
      </c>
      <c r="S598" s="1">
        <v>10</v>
      </c>
      <c r="T598" s="300">
        <f t="shared" si="88"/>
        <v>204</v>
      </c>
      <c r="U598" s="3"/>
      <c r="V598" s="3"/>
      <c r="W598" s="3"/>
      <c r="X598" s="3"/>
      <c r="Y598" s="3"/>
      <c r="Z598" s="20">
        <f t="shared" si="86"/>
        <v>189</v>
      </c>
      <c r="AA598" s="20">
        <f t="shared" si="91"/>
        <v>0</v>
      </c>
      <c r="AB598" s="20">
        <f t="shared" si="91"/>
        <v>0</v>
      </c>
      <c r="AC598" s="20">
        <f t="shared" si="91"/>
        <v>0</v>
      </c>
      <c r="AD598" s="20">
        <f t="shared" si="90"/>
        <v>0</v>
      </c>
      <c r="AE598" s="20">
        <f t="shared" si="90"/>
        <v>7</v>
      </c>
      <c r="AF598" s="20">
        <f t="shared" si="90"/>
        <v>10</v>
      </c>
      <c r="AG598" s="300">
        <f t="shared" si="87"/>
        <v>206</v>
      </c>
      <c r="AH598" s="42">
        <f t="shared" si="89"/>
        <v>2</v>
      </c>
      <c r="AI598" s="42">
        <f t="shared" si="89"/>
        <v>0</v>
      </c>
      <c r="AJ598" s="42">
        <f t="shared" si="89"/>
        <v>0</v>
      </c>
      <c r="AK598" s="42">
        <f t="shared" si="89"/>
        <v>0</v>
      </c>
      <c r="AL598" s="42">
        <f t="shared" si="89"/>
        <v>0</v>
      </c>
      <c r="AM598" s="42">
        <f t="shared" si="89"/>
        <v>0</v>
      </c>
      <c r="AN598" s="42">
        <f t="shared" si="89"/>
        <v>0</v>
      </c>
      <c r="AO598" s="42">
        <f t="shared" si="89"/>
        <v>2</v>
      </c>
    </row>
    <row r="599" spans="1:41" ht="15.75">
      <c r="A599" s="16">
        <f t="shared" si="92"/>
        <v>596</v>
      </c>
      <c r="B599" s="390">
        <v>5183</v>
      </c>
      <c r="C599" s="391" t="s">
        <v>309</v>
      </c>
      <c r="D599" s="392" t="s">
        <v>6270</v>
      </c>
      <c r="E599" s="393" t="s">
        <v>4747</v>
      </c>
      <c r="F599" s="394" t="s">
        <v>6137</v>
      </c>
      <c r="G599" s="461" t="s">
        <v>6473</v>
      </c>
      <c r="H599" s="395">
        <v>31140</v>
      </c>
      <c r="I599" s="396">
        <v>44488</v>
      </c>
      <c r="J599" s="459" t="s">
        <v>6293</v>
      </c>
      <c r="K599" s="462" t="s">
        <v>6489</v>
      </c>
      <c r="L599" s="460" t="s">
        <v>6335</v>
      </c>
      <c r="M599" s="1">
        <v>187</v>
      </c>
      <c r="N599" s="431">
        <v>0</v>
      </c>
      <c r="O599" s="432">
        <v>0</v>
      </c>
      <c r="P599" s="432">
        <v>0</v>
      </c>
      <c r="Q599" s="432">
        <v>0</v>
      </c>
      <c r="R599" s="1">
        <v>7</v>
      </c>
      <c r="S599" s="1">
        <v>10</v>
      </c>
      <c r="T599" s="300">
        <f t="shared" si="88"/>
        <v>204</v>
      </c>
      <c r="U599" s="3"/>
      <c r="V599" s="3"/>
      <c r="W599" s="3"/>
      <c r="X599" s="3"/>
      <c r="Y599" s="3"/>
      <c r="Z599" s="20">
        <f t="shared" si="86"/>
        <v>189</v>
      </c>
      <c r="AA599" s="20">
        <f t="shared" si="91"/>
        <v>0</v>
      </c>
      <c r="AB599" s="20">
        <f t="shared" si="91"/>
        <v>0</v>
      </c>
      <c r="AC599" s="20">
        <f t="shared" si="91"/>
        <v>0</v>
      </c>
      <c r="AD599" s="20">
        <f t="shared" si="90"/>
        <v>0</v>
      </c>
      <c r="AE599" s="20">
        <f t="shared" si="90"/>
        <v>7</v>
      </c>
      <c r="AF599" s="20">
        <f t="shared" si="90"/>
        <v>10</v>
      </c>
      <c r="AG599" s="300">
        <f t="shared" si="87"/>
        <v>206</v>
      </c>
      <c r="AH599" s="42">
        <f t="shared" si="89"/>
        <v>2</v>
      </c>
      <c r="AI599" s="42">
        <f t="shared" si="89"/>
        <v>0</v>
      </c>
      <c r="AJ599" s="42">
        <f t="shared" si="89"/>
        <v>0</v>
      </c>
      <c r="AK599" s="42">
        <f t="shared" si="89"/>
        <v>0</v>
      </c>
      <c r="AL599" s="42">
        <f t="shared" si="89"/>
        <v>0</v>
      </c>
      <c r="AM599" s="42">
        <f t="shared" si="89"/>
        <v>0</v>
      </c>
      <c r="AN599" s="42">
        <f t="shared" si="89"/>
        <v>0</v>
      </c>
      <c r="AO599" s="42">
        <f t="shared" si="89"/>
        <v>2</v>
      </c>
    </row>
    <row r="600" spans="1:41" ht="15.75">
      <c r="A600" s="16">
        <f t="shared" si="92"/>
        <v>597</v>
      </c>
      <c r="B600" s="390">
        <v>5184</v>
      </c>
      <c r="C600" s="391" t="s">
        <v>6538</v>
      </c>
      <c r="D600" s="392" t="s">
        <v>3205</v>
      </c>
      <c r="E600" s="393" t="s">
        <v>2293</v>
      </c>
      <c r="F600" s="394" t="s">
        <v>5733</v>
      </c>
      <c r="G600" s="461" t="s">
        <v>6473</v>
      </c>
      <c r="H600" s="395">
        <v>34442</v>
      </c>
      <c r="I600" s="396">
        <v>44488</v>
      </c>
      <c r="J600" s="459" t="s">
        <v>6293</v>
      </c>
      <c r="K600" s="462" t="s">
        <v>6490</v>
      </c>
      <c r="L600" s="460" t="s">
        <v>6335</v>
      </c>
      <c r="M600" s="1">
        <v>187</v>
      </c>
      <c r="N600" s="431">
        <v>0</v>
      </c>
      <c r="O600" s="432">
        <v>0</v>
      </c>
      <c r="P600" s="432">
        <v>0</v>
      </c>
      <c r="Q600" s="432">
        <v>0</v>
      </c>
      <c r="R600" s="1">
        <v>7</v>
      </c>
      <c r="S600" s="1">
        <v>10</v>
      </c>
      <c r="T600" s="300">
        <f t="shared" si="88"/>
        <v>204</v>
      </c>
      <c r="U600" s="3"/>
      <c r="V600" s="3"/>
      <c r="W600" s="3"/>
      <c r="X600" s="3"/>
      <c r="Y600" s="3"/>
      <c r="Z600" s="20">
        <f t="shared" si="86"/>
        <v>189</v>
      </c>
      <c r="AA600" s="20">
        <f t="shared" si="91"/>
        <v>0</v>
      </c>
      <c r="AB600" s="20">
        <f t="shared" si="91"/>
        <v>0</v>
      </c>
      <c r="AC600" s="20">
        <f t="shared" si="91"/>
        <v>0</v>
      </c>
      <c r="AD600" s="20">
        <f t="shared" si="90"/>
        <v>0</v>
      </c>
      <c r="AE600" s="20">
        <f t="shared" si="90"/>
        <v>7</v>
      </c>
      <c r="AF600" s="20">
        <f t="shared" si="90"/>
        <v>10</v>
      </c>
      <c r="AG600" s="300">
        <f t="shared" si="87"/>
        <v>206</v>
      </c>
      <c r="AH600" s="42">
        <f t="shared" si="89"/>
        <v>2</v>
      </c>
      <c r="AI600" s="42">
        <f t="shared" si="89"/>
        <v>0</v>
      </c>
      <c r="AJ600" s="42">
        <f t="shared" si="89"/>
        <v>0</v>
      </c>
      <c r="AK600" s="42">
        <f t="shared" si="89"/>
        <v>0</v>
      </c>
      <c r="AL600" s="42">
        <f t="shared" si="89"/>
        <v>0</v>
      </c>
      <c r="AM600" s="42">
        <f t="shared" si="89"/>
        <v>0</v>
      </c>
      <c r="AN600" s="42">
        <f t="shared" si="89"/>
        <v>0</v>
      </c>
      <c r="AO600" s="42">
        <f t="shared" si="89"/>
        <v>2</v>
      </c>
    </row>
    <row r="601" spans="1:41" ht="15.75">
      <c r="A601" s="16">
        <f t="shared" si="92"/>
        <v>598</v>
      </c>
      <c r="B601" s="390">
        <v>5185</v>
      </c>
      <c r="C601" s="391" t="s">
        <v>1248</v>
      </c>
      <c r="D601" s="392" t="s">
        <v>232</v>
      </c>
      <c r="E601" s="393" t="s">
        <v>1250</v>
      </c>
      <c r="F601" s="394" t="s">
        <v>3902</v>
      </c>
      <c r="G601" s="461" t="s">
        <v>6473</v>
      </c>
      <c r="H601" s="395">
        <v>31510</v>
      </c>
      <c r="I601" s="396">
        <v>44488</v>
      </c>
      <c r="J601" s="459" t="s">
        <v>6293</v>
      </c>
      <c r="K601" s="462" t="s">
        <v>6490</v>
      </c>
      <c r="L601" s="460" t="s">
        <v>6335</v>
      </c>
      <c r="M601" s="1">
        <v>192</v>
      </c>
      <c r="N601" s="431">
        <v>0</v>
      </c>
      <c r="O601" s="432">
        <v>0</v>
      </c>
      <c r="P601" s="432">
        <v>0</v>
      </c>
      <c r="Q601" s="432">
        <v>0</v>
      </c>
      <c r="R601" s="1">
        <v>7</v>
      </c>
      <c r="S601" s="1">
        <v>10</v>
      </c>
      <c r="T601" s="300">
        <f t="shared" si="88"/>
        <v>209</v>
      </c>
      <c r="U601" s="3"/>
      <c r="V601" s="3"/>
      <c r="W601" s="3"/>
      <c r="X601" s="3"/>
      <c r="Y601" s="3"/>
      <c r="Z601" s="20">
        <f t="shared" si="86"/>
        <v>194</v>
      </c>
      <c r="AA601" s="20">
        <f t="shared" si="91"/>
        <v>0</v>
      </c>
      <c r="AB601" s="20">
        <f t="shared" si="91"/>
        <v>0</v>
      </c>
      <c r="AC601" s="20">
        <f t="shared" si="91"/>
        <v>0</v>
      </c>
      <c r="AD601" s="20">
        <f t="shared" si="90"/>
        <v>0</v>
      </c>
      <c r="AE601" s="20">
        <f t="shared" si="90"/>
        <v>7</v>
      </c>
      <c r="AF601" s="20">
        <f t="shared" si="90"/>
        <v>10</v>
      </c>
      <c r="AG601" s="300">
        <f t="shared" si="87"/>
        <v>211</v>
      </c>
      <c r="AH601" s="42">
        <f t="shared" si="89"/>
        <v>2</v>
      </c>
      <c r="AI601" s="42">
        <f t="shared" si="89"/>
        <v>0</v>
      </c>
      <c r="AJ601" s="42">
        <f t="shared" si="89"/>
        <v>0</v>
      </c>
      <c r="AK601" s="42">
        <f t="shared" si="89"/>
        <v>0</v>
      </c>
      <c r="AL601" s="42">
        <f t="shared" si="89"/>
        <v>0</v>
      </c>
      <c r="AM601" s="42">
        <f t="shared" si="89"/>
        <v>0</v>
      </c>
      <c r="AN601" s="42">
        <f t="shared" si="89"/>
        <v>0</v>
      </c>
      <c r="AO601" s="42">
        <f t="shared" si="89"/>
        <v>2</v>
      </c>
    </row>
    <row r="602" spans="1:41" ht="15.75">
      <c r="A602" s="16">
        <f t="shared" si="92"/>
        <v>599</v>
      </c>
      <c r="B602" s="390">
        <v>5186</v>
      </c>
      <c r="C602" s="391" t="s">
        <v>1823</v>
      </c>
      <c r="D602" s="392" t="s">
        <v>467</v>
      </c>
      <c r="E602" s="393" t="s">
        <v>1824</v>
      </c>
      <c r="F602" s="394" t="s">
        <v>5805</v>
      </c>
      <c r="G602" s="461" t="s">
        <v>6473</v>
      </c>
      <c r="H602" s="395">
        <v>30257</v>
      </c>
      <c r="I602" s="396">
        <v>44488</v>
      </c>
      <c r="J602" s="459" t="s">
        <v>6293</v>
      </c>
      <c r="K602" s="462" t="s">
        <v>6489</v>
      </c>
      <c r="L602" s="460" t="s">
        <v>6335</v>
      </c>
      <c r="M602" s="1">
        <v>192</v>
      </c>
      <c r="N602" s="431">
        <v>0</v>
      </c>
      <c r="O602" s="432">
        <v>0</v>
      </c>
      <c r="P602" s="432">
        <v>0</v>
      </c>
      <c r="Q602" s="432">
        <v>0</v>
      </c>
      <c r="R602" s="1">
        <v>7</v>
      </c>
      <c r="S602" s="1">
        <v>10</v>
      </c>
      <c r="T602" s="300">
        <f t="shared" si="88"/>
        <v>209</v>
      </c>
      <c r="U602" s="3"/>
      <c r="V602" s="3"/>
      <c r="W602" s="3"/>
      <c r="X602" s="3"/>
      <c r="Y602" s="3"/>
      <c r="Z602" s="20">
        <f t="shared" si="86"/>
        <v>194</v>
      </c>
      <c r="AA602" s="20">
        <f t="shared" si="91"/>
        <v>0</v>
      </c>
      <c r="AB602" s="20">
        <f t="shared" si="91"/>
        <v>0</v>
      </c>
      <c r="AC602" s="20">
        <f t="shared" si="91"/>
        <v>0</v>
      </c>
      <c r="AD602" s="20">
        <f t="shared" si="90"/>
        <v>0</v>
      </c>
      <c r="AE602" s="20">
        <f t="shared" si="90"/>
        <v>7</v>
      </c>
      <c r="AF602" s="20">
        <f t="shared" si="90"/>
        <v>10</v>
      </c>
      <c r="AG602" s="300">
        <f t="shared" si="87"/>
        <v>211</v>
      </c>
      <c r="AH602" s="42">
        <f t="shared" si="89"/>
        <v>2</v>
      </c>
      <c r="AI602" s="42">
        <f t="shared" si="89"/>
        <v>0</v>
      </c>
      <c r="AJ602" s="42">
        <f t="shared" si="89"/>
        <v>0</v>
      </c>
      <c r="AK602" s="42">
        <f t="shared" si="89"/>
        <v>0</v>
      </c>
      <c r="AL602" s="42">
        <f t="shared" si="89"/>
        <v>0</v>
      </c>
      <c r="AM602" s="42">
        <f t="shared" si="89"/>
        <v>0</v>
      </c>
      <c r="AN602" s="42">
        <f t="shared" si="89"/>
        <v>0</v>
      </c>
      <c r="AO602" s="42">
        <f t="shared" si="89"/>
        <v>2</v>
      </c>
    </row>
    <row r="603" spans="1:41" ht="15.75">
      <c r="A603" s="16">
        <f t="shared" si="92"/>
        <v>600</v>
      </c>
      <c r="B603" s="390">
        <v>5187</v>
      </c>
      <c r="C603" s="391" t="s">
        <v>1747</v>
      </c>
      <c r="D603" s="392" t="s">
        <v>1748</v>
      </c>
      <c r="E603" s="393" t="s">
        <v>1749</v>
      </c>
      <c r="F603" s="394" t="s">
        <v>1750</v>
      </c>
      <c r="G603" s="461" t="s">
        <v>6473</v>
      </c>
      <c r="H603" s="395">
        <v>34004</v>
      </c>
      <c r="I603" s="396">
        <v>44488</v>
      </c>
      <c r="J603" s="459" t="s">
        <v>6293</v>
      </c>
      <c r="K603" s="462" t="s">
        <v>6490</v>
      </c>
      <c r="L603" s="460" t="s">
        <v>6335</v>
      </c>
      <c r="M603" s="1">
        <v>187</v>
      </c>
      <c r="N603" s="431">
        <v>0</v>
      </c>
      <c r="O603" s="432">
        <v>0</v>
      </c>
      <c r="P603" s="432">
        <v>0</v>
      </c>
      <c r="Q603" s="432">
        <v>0</v>
      </c>
      <c r="R603" s="1">
        <v>7</v>
      </c>
      <c r="S603" s="1">
        <v>10</v>
      </c>
      <c r="T603" s="300">
        <f t="shared" si="88"/>
        <v>204</v>
      </c>
      <c r="U603" s="3"/>
      <c r="V603" s="3"/>
      <c r="W603" s="3"/>
      <c r="X603" s="3"/>
      <c r="Y603" s="3"/>
      <c r="Z603" s="20">
        <f t="shared" si="86"/>
        <v>189</v>
      </c>
      <c r="AA603" s="20">
        <f t="shared" si="91"/>
        <v>0</v>
      </c>
      <c r="AB603" s="20">
        <f t="shared" si="91"/>
        <v>0</v>
      </c>
      <c r="AC603" s="20">
        <f t="shared" si="91"/>
        <v>0</v>
      </c>
      <c r="AD603" s="20">
        <f t="shared" si="90"/>
        <v>0</v>
      </c>
      <c r="AE603" s="20">
        <f t="shared" si="90"/>
        <v>7</v>
      </c>
      <c r="AF603" s="20">
        <f t="shared" si="90"/>
        <v>10</v>
      </c>
      <c r="AG603" s="300">
        <f t="shared" si="87"/>
        <v>206</v>
      </c>
      <c r="AH603" s="42">
        <f t="shared" si="89"/>
        <v>2</v>
      </c>
      <c r="AI603" s="42">
        <f t="shared" si="89"/>
        <v>0</v>
      </c>
      <c r="AJ603" s="42">
        <f t="shared" si="89"/>
        <v>0</v>
      </c>
      <c r="AK603" s="42">
        <f t="shared" si="89"/>
        <v>0</v>
      </c>
      <c r="AL603" s="42">
        <f t="shared" si="89"/>
        <v>0</v>
      </c>
      <c r="AM603" s="42">
        <f t="shared" si="89"/>
        <v>0</v>
      </c>
      <c r="AN603" s="42">
        <f t="shared" si="89"/>
        <v>0</v>
      </c>
      <c r="AO603" s="42">
        <f t="shared" si="89"/>
        <v>2</v>
      </c>
    </row>
    <row r="604" spans="1:41" ht="15.75">
      <c r="A604" s="16">
        <f t="shared" si="92"/>
        <v>601</v>
      </c>
      <c r="B604" s="390">
        <v>5188</v>
      </c>
      <c r="C604" s="391" t="s">
        <v>282</v>
      </c>
      <c r="D604" s="392" t="s">
        <v>6539</v>
      </c>
      <c r="E604" s="393" t="s">
        <v>284</v>
      </c>
      <c r="F604" s="394" t="s">
        <v>6540</v>
      </c>
      <c r="G604" s="461" t="s">
        <v>6473</v>
      </c>
      <c r="H604" s="395">
        <v>30349</v>
      </c>
      <c r="I604" s="396">
        <v>44489</v>
      </c>
      <c r="J604" s="459" t="s">
        <v>6293</v>
      </c>
      <c r="K604" s="462" t="s">
        <v>6490</v>
      </c>
      <c r="L604" s="460" t="s">
        <v>6335</v>
      </c>
      <c r="M604" s="1">
        <v>187</v>
      </c>
      <c r="N604" s="431">
        <v>0</v>
      </c>
      <c r="O604" s="432">
        <v>0</v>
      </c>
      <c r="P604" s="432">
        <v>0</v>
      </c>
      <c r="Q604" s="432">
        <v>0</v>
      </c>
      <c r="R604" s="1">
        <v>7</v>
      </c>
      <c r="S604" s="1">
        <v>10</v>
      </c>
      <c r="T604" s="300">
        <f t="shared" si="88"/>
        <v>204</v>
      </c>
      <c r="U604" s="3"/>
      <c r="V604" s="3"/>
      <c r="W604" s="3"/>
      <c r="X604" s="3"/>
      <c r="Y604" s="3"/>
      <c r="Z604" s="20">
        <f t="shared" si="86"/>
        <v>189</v>
      </c>
      <c r="AA604" s="20">
        <f t="shared" si="91"/>
        <v>0</v>
      </c>
      <c r="AB604" s="20">
        <f t="shared" si="91"/>
        <v>0</v>
      </c>
      <c r="AC604" s="20">
        <f t="shared" si="91"/>
        <v>0</v>
      </c>
      <c r="AD604" s="20">
        <f t="shared" si="90"/>
        <v>0</v>
      </c>
      <c r="AE604" s="20">
        <f t="shared" si="90"/>
        <v>7</v>
      </c>
      <c r="AF604" s="20">
        <f t="shared" si="90"/>
        <v>10</v>
      </c>
      <c r="AG604" s="300">
        <f t="shared" si="87"/>
        <v>206</v>
      </c>
      <c r="AH604" s="42">
        <f t="shared" si="89"/>
        <v>2</v>
      </c>
      <c r="AI604" s="42">
        <f t="shared" si="89"/>
        <v>0</v>
      </c>
      <c r="AJ604" s="42">
        <f t="shared" si="89"/>
        <v>0</v>
      </c>
      <c r="AK604" s="42">
        <f t="shared" si="89"/>
        <v>0</v>
      </c>
      <c r="AL604" s="42">
        <f t="shared" si="89"/>
        <v>0</v>
      </c>
      <c r="AM604" s="42">
        <f t="shared" si="89"/>
        <v>0</v>
      </c>
      <c r="AN604" s="42">
        <f t="shared" si="89"/>
        <v>0</v>
      </c>
      <c r="AO604" s="42">
        <f t="shared" si="89"/>
        <v>2</v>
      </c>
    </row>
    <row r="605" spans="1:41" ht="15.75">
      <c r="A605" s="16">
        <f t="shared" si="92"/>
        <v>602</v>
      </c>
      <c r="B605" s="390">
        <v>5189</v>
      </c>
      <c r="C605" s="391" t="s">
        <v>3048</v>
      </c>
      <c r="D605" s="392" t="s">
        <v>6541</v>
      </c>
      <c r="E605" s="393" t="s">
        <v>653</v>
      </c>
      <c r="F605" s="394" t="s">
        <v>6542</v>
      </c>
      <c r="G605" s="461" t="s">
        <v>6473</v>
      </c>
      <c r="H605" s="395">
        <v>26760</v>
      </c>
      <c r="I605" s="396">
        <v>44489</v>
      </c>
      <c r="J605" s="459" t="s">
        <v>6293</v>
      </c>
      <c r="K605" s="462" t="s">
        <v>6490</v>
      </c>
      <c r="L605" s="460" t="s">
        <v>6335</v>
      </c>
      <c r="M605" s="1">
        <v>187</v>
      </c>
      <c r="N605" s="431">
        <v>0</v>
      </c>
      <c r="O605" s="432">
        <v>0</v>
      </c>
      <c r="P605" s="432">
        <v>0</v>
      </c>
      <c r="Q605" s="432">
        <v>0</v>
      </c>
      <c r="R605" s="1">
        <v>7</v>
      </c>
      <c r="S605" s="1">
        <v>10</v>
      </c>
      <c r="T605" s="300">
        <f t="shared" si="88"/>
        <v>204</v>
      </c>
      <c r="U605" s="3"/>
      <c r="V605" s="3"/>
      <c r="W605" s="3"/>
      <c r="X605" s="3"/>
      <c r="Y605" s="3"/>
      <c r="Z605" s="20">
        <f t="shared" si="86"/>
        <v>189</v>
      </c>
      <c r="AA605" s="20">
        <f t="shared" si="91"/>
        <v>0</v>
      </c>
      <c r="AB605" s="20">
        <f t="shared" si="91"/>
        <v>0</v>
      </c>
      <c r="AC605" s="20">
        <f t="shared" si="91"/>
        <v>0</v>
      </c>
      <c r="AD605" s="20">
        <f t="shared" si="90"/>
        <v>0</v>
      </c>
      <c r="AE605" s="20">
        <f t="shared" si="90"/>
        <v>7</v>
      </c>
      <c r="AF605" s="20">
        <f t="shared" si="90"/>
        <v>10</v>
      </c>
      <c r="AG605" s="300">
        <f t="shared" si="87"/>
        <v>206</v>
      </c>
      <c r="AH605" s="42">
        <f t="shared" si="89"/>
        <v>2</v>
      </c>
      <c r="AI605" s="42">
        <f t="shared" si="89"/>
        <v>0</v>
      </c>
      <c r="AJ605" s="42">
        <f t="shared" si="89"/>
        <v>0</v>
      </c>
      <c r="AK605" s="42">
        <f t="shared" si="89"/>
        <v>0</v>
      </c>
      <c r="AL605" s="42">
        <f t="shared" si="89"/>
        <v>0</v>
      </c>
      <c r="AM605" s="42">
        <f t="shared" si="89"/>
        <v>0</v>
      </c>
      <c r="AN605" s="42">
        <f t="shared" si="89"/>
        <v>0</v>
      </c>
      <c r="AO605" s="42">
        <f t="shared" si="89"/>
        <v>2</v>
      </c>
    </row>
    <row r="606" spans="1:41" ht="15.75">
      <c r="A606" s="16">
        <f t="shared" si="92"/>
        <v>603</v>
      </c>
      <c r="B606" s="390">
        <v>5190</v>
      </c>
      <c r="C606" s="391" t="s">
        <v>6543</v>
      </c>
      <c r="D606" s="392" t="s">
        <v>1966</v>
      </c>
      <c r="E606" s="393" t="s">
        <v>6544</v>
      </c>
      <c r="F606" s="394" t="s">
        <v>5508</v>
      </c>
      <c r="G606" s="461" t="s">
        <v>6473</v>
      </c>
      <c r="H606" s="395">
        <v>37413</v>
      </c>
      <c r="I606" s="396">
        <v>44489</v>
      </c>
      <c r="J606" s="459" t="s">
        <v>6293</v>
      </c>
      <c r="K606" s="462" t="s">
        <v>6490</v>
      </c>
      <c r="L606" s="460" t="s">
        <v>6335</v>
      </c>
      <c r="M606" s="1">
        <v>187</v>
      </c>
      <c r="N606" s="431">
        <v>0</v>
      </c>
      <c r="O606" s="432">
        <v>0</v>
      </c>
      <c r="P606" s="432">
        <v>0</v>
      </c>
      <c r="Q606" s="432">
        <v>0</v>
      </c>
      <c r="R606" s="1">
        <v>7</v>
      </c>
      <c r="S606" s="1">
        <v>10</v>
      </c>
      <c r="T606" s="300">
        <f t="shared" si="88"/>
        <v>204</v>
      </c>
      <c r="U606" s="3"/>
      <c r="V606" s="3"/>
      <c r="W606" s="3"/>
      <c r="X606" s="3"/>
      <c r="Y606" s="3"/>
      <c r="Z606" s="20">
        <f t="shared" si="86"/>
        <v>189</v>
      </c>
      <c r="AA606" s="20">
        <f t="shared" si="91"/>
        <v>0</v>
      </c>
      <c r="AB606" s="20">
        <f t="shared" si="91"/>
        <v>0</v>
      </c>
      <c r="AC606" s="20">
        <f t="shared" si="91"/>
        <v>0</v>
      </c>
      <c r="AD606" s="20">
        <f t="shared" si="90"/>
        <v>0</v>
      </c>
      <c r="AE606" s="20">
        <f t="shared" si="90"/>
        <v>7</v>
      </c>
      <c r="AF606" s="20">
        <f t="shared" si="90"/>
        <v>10</v>
      </c>
      <c r="AG606" s="300">
        <f t="shared" si="87"/>
        <v>206</v>
      </c>
      <c r="AH606" s="42">
        <f t="shared" si="89"/>
        <v>2</v>
      </c>
      <c r="AI606" s="42">
        <f t="shared" si="89"/>
        <v>0</v>
      </c>
      <c r="AJ606" s="42">
        <f t="shared" si="89"/>
        <v>0</v>
      </c>
      <c r="AK606" s="42">
        <f t="shared" si="89"/>
        <v>0</v>
      </c>
      <c r="AL606" s="42">
        <f t="shared" si="89"/>
        <v>0</v>
      </c>
      <c r="AM606" s="42">
        <f t="shared" si="89"/>
        <v>0</v>
      </c>
      <c r="AN606" s="42">
        <f t="shared" si="89"/>
        <v>0</v>
      </c>
      <c r="AO606" s="42">
        <f t="shared" si="89"/>
        <v>2</v>
      </c>
    </row>
    <row r="607" spans="1:41" ht="15.75">
      <c r="A607" s="16">
        <f t="shared" si="92"/>
        <v>604</v>
      </c>
      <c r="B607" s="400">
        <v>5192</v>
      </c>
      <c r="C607" s="391" t="s">
        <v>1032</v>
      </c>
      <c r="D607" s="392" t="s">
        <v>1033</v>
      </c>
      <c r="E607" s="393" t="s">
        <v>6545</v>
      </c>
      <c r="F607" s="394" t="s">
        <v>1035</v>
      </c>
      <c r="G607" s="461" t="s">
        <v>6473</v>
      </c>
      <c r="H607" s="403">
        <v>31965</v>
      </c>
      <c r="I607" s="464">
        <v>44491</v>
      </c>
      <c r="J607" s="459" t="s">
        <v>6293</v>
      </c>
      <c r="K607" s="462" t="s">
        <v>6490</v>
      </c>
      <c r="L607" s="460" t="s">
        <v>6335</v>
      </c>
      <c r="M607" s="1">
        <v>192</v>
      </c>
      <c r="N607" s="431">
        <v>0</v>
      </c>
      <c r="O607" s="432">
        <v>0</v>
      </c>
      <c r="P607" s="432">
        <v>0</v>
      </c>
      <c r="Q607" s="432">
        <v>0</v>
      </c>
      <c r="R607" s="1">
        <v>7</v>
      </c>
      <c r="S607" s="1">
        <v>10</v>
      </c>
      <c r="T607" s="300">
        <f t="shared" si="88"/>
        <v>209</v>
      </c>
      <c r="U607" s="3"/>
      <c r="V607" s="3"/>
      <c r="W607" s="3"/>
      <c r="X607" s="3"/>
      <c r="Y607" s="3"/>
      <c r="Z607" s="20">
        <f t="shared" si="86"/>
        <v>194</v>
      </c>
      <c r="AA607" s="20">
        <f t="shared" si="91"/>
        <v>0</v>
      </c>
      <c r="AB607" s="20">
        <f t="shared" si="91"/>
        <v>0</v>
      </c>
      <c r="AC607" s="20">
        <f t="shared" si="91"/>
        <v>0</v>
      </c>
      <c r="AD607" s="20">
        <f t="shared" si="90"/>
        <v>0</v>
      </c>
      <c r="AE607" s="20">
        <f t="shared" si="90"/>
        <v>7</v>
      </c>
      <c r="AF607" s="20">
        <f t="shared" si="90"/>
        <v>10</v>
      </c>
      <c r="AG607" s="300">
        <f t="shared" si="87"/>
        <v>211</v>
      </c>
      <c r="AH607" s="42">
        <f t="shared" si="89"/>
        <v>2</v>
      </c>
      <c r="AI607" s="42">
        <f t="shared" si="89"/>
        <v>0</v>
      </c>
      <c r="AJ607" s="42">
        <f t="shared" si="89"/>
        <v>0</v>
      </c>
      <c r="AK607" s="42">
        <f t="shared" si="89"/>
        <v>0</v>
      </c>
      <c r="AL607" s="42">
        <f t="shared" si="89"/>
        <v>0</v>
      </c>
      <c r="AM607" s="42">
        <f t="shared" si="89"/>
        <v>0</v>
      </c>
      <c r="AN607" s="42">
        <f t="shared" si="89"/>
        <v>0</v>
      </c>
      <c r="AO607" s="42">
        <f t="shared" si="89"/>
        <v>2</v>
      </c>
    </row>
    <row r="608" spans="1:41" ht="15.75">
      <c r="A608" s="16">
        <f t="shared" si="92"/>
        <v>605</v>
      </c>
      <c r="B608" s="400">
        <v>5193</v>
      </c>
      <c r="C608" s="391" t="s">
        <v>6546</v>
      </c>
      <c r="D608" s="392" t="s">
        <v>1293</v>
      </c>
      <c r="E608" s="393" t="s">
        <v>4402</v>
      </c>
      <c r="F608" s="394" t="s">
        <v>1295</v>
      </c>
      <c r="G608" s="461" t="s">
        <v>6473</v>
      </c>
      <c r="H608" s="403">
        <v>25443</v>
      </c>
      <c r="I608" s="464">
        <v>44501</v>
      </c>
      <c r="J608" s="459" t="s">
        <v>6159</v>
      </c>
      <c r="K608" s="460" t="s">
        <v>3070</v>
      </c>
      <c r="L608" s="462" t="s">
        <v>194</v>
      </c>
      <c r="M608" s="1">
        <v>187</v>
      </c>
      <c r="N608" s="431">
        <v>0</v>
      </c>
      <c r="O608" s="432">
        <v>0</v>
      </c>
      <c r="P608" s="432">
        <v>0</v>
      </c>
      <c r="Q608" s="432">
        <v>0</v>
      </c>
      <c r="R608" s="1">
        <v>7</v>
      </c>
      <c r="S608" s="1">
        <v>10</v>
      </c>
      <c r="T608" s="300">
        <f t="shared" si="88"/>
        <v>204</v>
      </c>
      <c r="U608" s="3"/>
      <c r="V608" s="3"/>
      <c r="W608" s="3"/>
      <c r="X608" s="3"/>
      <c r="Y608" s="3"/>
      <c r="Z608" s="20">
        <f t="shared" si="86"/>
        <v>189</v>
      </c>
      <c r="AA608" s="20">
        <f t="shared" si="91"/>
        <v>0</v>
      </c>
      <c r="AB608" s="20">
        <f t="shared" si="91"/>
        <v>0</v>
      </c>
      <c r="AC608" s="20">
        <f t="shared" si="91"/>
        <v>0</v>
      </c>
      <c r="AD608" s="20">
        <f t="shared" si="90"/>
        <v>0</v>
      </c>
      <c r="AE608" s="20">
        <f t="shared" si="90"/>
        <v>7</v>
      </c>
      <c r="AF608" s="20">
        <f t="shared" si="90"/>
        <v>10</v>
      </c>
      <c r="AG608" s="300">
        <f t="shared" si="87"/>
        <v>206</v>
      </c>
      <c r="AH608" s="42">
        <f t="shared" si="89"/>
        <v>2</v>
      </c>
      <c r="AI608" s="42">
        <f t="shared" si="89"/>
        <v>0</v>
      </c>
      <c r="AJ608" s="42">
        <f t="shared" si="89"/>
        <v>0</v>
      </c>
      <c r="AK608" s="42">
        <f t="shared" si="89"/>
        <v>0</v>
      </c>
      <c r="AL608" s="42">
        <f t="shared" si="89"/>
        <v>0</v>
      </c>
      <c r="AM608" s="42">
        <f t="shared" si="89"/>
        <v>0</v>
      </c>
      <c r="AN608" s="42">
        <f t="shared" si="89"/>
        <v>0</v>
      </c>
      <c r="AO608" s="42">
        <f t="shared" si="89"/>
        <v>2</v>
      </c>
    </row>
    <row r="609" spans="1:41" ht="15.75">
      <c r="A609" s="16">
        <f t="shared" si="92"/>
        <v>606</v>
      </c>
      <c r="B609" s="400">
        <v>5194</v>
      </c>
      <c r="C609" s="391" t="s">
        <v>6547</v>
      </c>
      <c r="D609" s="392" t="s">
        <v>6548</v>
      </c>
      <c r="E609" s="393" t="s">
        <v>4553</v>
      </c>
      <c r="F609" s="394" t="s">
        <v>6549</v>
      </c>
      <c r="G609" s="461" t="s">
        <v>6475</v>
      </c>
      <c r="H609" s="403">
        <v>37534</v>
      </c>
      <c r="I609" s="464">
        <v>44502</v>
      </c>
      <c r="J609" s="459" t="s">
        <v>6293</v>
      </c>
      <c r="K609" s="460" t="s">
        <v>6128</v>
      </c>
      <c r="L609" s="460" t="s">
        <v>6346</v>
      </c>
      <c r="M609" s="1">
        <v>187</v>
      </c>
      <c r="N609" s="431">
        <v>0</v>
      </c>
      <c r="O609" s="432">
        <v>0</v>
      </c>
      <c r="P609" s="432">
        <v>0</v>
      </c>
      <c r="Q609" s="432">
        <v>0</v>
      </c>
      <c r="R609" s="1">
        <v>7</v>
      </c>
      <c r="S609" s="1">
        <v>10</v>
      </c>
      <c r="T609" s="300">
        <f t="shared" si="88"/>
        <v>204</v>
      </c>
      <c r="U609" s="3"/>
      <c r="V609" s="3"/>
      <c r="W609" s="3"/>
      <c r="X609" s="3"/>
      <c r="Y609" s="3"/>
      <c r="Z609" s="20">
        <f t="shared" si="86"/>
        <v>189</v>
      </c>
      <c r="AA609" s="20">
        <f t="shared" si="91"/>
        <v>0</v>
      </c>
      <c r="AB609" s="20">
        <f t="shared" si="91"/>
        <v>0</v>
      </c>
      <c r="AC609" s="20">
        <f t="shared" si="91"/>
        <v>0</v>
      </c>
      <c r="AD609" s="20">
        <f t="shared" si="90"/>
        <v>0</v>
      </c>
      <c r="AE609" s="20">
        <f t="shared" si="90"/>
        <v>7</v>
      </c>
      <c r="AF609" s="20">
        <f t="shared" si="90"/>
        <v>10</v>
      </c>
      <c r="AG609" s="300">
        <f t="shared" si="87"/>
        <v>206</v>
      </c>
      <c r="AH609" s="42">
        <f t="shared" si="89"/>
        <v>2</v>
      </c>
      <c r="AI609" s="42">
        <f t="shared" si="89"/>
        <v>0</v>
      </c>
      <c r="AJ609" s="42">
        <f t="shared" si="89"/>
        <v>0</v>
      </c>
      <c r="AK609" s="42">
        <f t="shared" ref="AK609:AO619" si="93">AC609-P609</f>
        <v>0</v>
      </c>
      <c r="AL609" s="42">
        <f t="shared" si="93"/>
        <v>0</v>
      </c>
      <c r="AM609" s="42">
        <f t="shared" si="93"/>
        <v>0</v>
      </c>
      <c r="AN609" s="42">
        <f t="shared" si="93"/>
        <v>0</v>
      </c>
      <c r="AO609" s="42">
        <f t="shared" si="93"/>
        <v>2</v>
      </c>
    </row>
    <row r="610" spans="1:41" ht="15.75">
      <c r="A610" s="16">
        <f t="shared" si="92"/>
        <v>607</v>
      </c>
      <c r="B610" s="400">
        <v>5195</v>
      </c>
      <c r="C610" s="391" t="s">
        <v>825</v>
      </c>
      <c r="D610" s="392" t="s">
        <v>971</v>
      </c>
      <c r="E610" s="393" t="s">
        <v>827</v>
      </c>
      <c r="F610" s="394" t="s">
        <v>972</v>
      </c>
      <c r="G610" s="461" t="s">
        <v>6475</v>
      </c>
      <c r="H610" s="403">
        <v>36713</v>
      </c>
      <c r="I610" s="464">
        <v>44502</v>
      </c>
      <c r="J610" s="459" t="s">
        <v>6293</v>
      </c>
      <c r="K610" s="460" t="s">
        <v>6129</v>
      </c>
      <c r="L610" s="460" t="s">
        <v>6346</v>
      </c>
      <c r="M610" s="1">
        <v>187</v>
      </c>
      <c r="N610" s="431">
        <v>0</v>
      </c>
      <c r="O610" s="432">
        <v>0</v>
      </c>
      <c r="P610" s="432">
        <v>0</v>
      </c>
      <c r="Q610" s="432">
        <v>0</v>
      </c>
      <c r="R610" s="1">
        <v>7</v>
      </c>
      <c r="S610" s="1">
        <v>10</v>
      </c>
      <c r="T610" s="300">
        <f t="shared" si="88"/>
        <v>204</v>
      </c>
      <c r="U610" s="3"/>
      <c r="V610" s="3"/>
      <c r="W610" s="3"/>
      <c r="X610" s="3"/>
      <c r="Y610" s="3"/>
      <c r="Z610" s="20">
        <f t="shared" si="86"/>
        <v>189</v>
      </c>
      <c r="AA610" s="20">
        <f t="shared" si="91"/>
        <v>0</v>
      </c>
      <c r="AB610" s="20">
        <f t="shared" si="91"/>
        <v>0</v>
      </c>
      <c r="AC610" s="20">
        <f t="shared" si="91"/>
        <v>0</v>
      </c>
      <c r="AD610" s="20">
        <f t="shared" si="90"/>
        <v>0</v>
      </c>
      <c r="AE610" s="20">
        <f t="shared" si="90"/>
        <v>7</v>
      </c>
      <c r="AF610" s="20">
        <f t="shared" si="90"/>
        <v>10</v>
      </c>
      <c r="AG610" s="300">
        <f t="shared" si="87"/>
        <v>206</v>
      </c>
      <c r="AH610" s="42">
        <f t="shared" ref="AH610:AJ619" si="94">Z610-M610</f>
        <v>2</v>
      </c>
      <c r="AI610" s="42">
        <f t="shared" si="94"/>
        <v>0</v>
      </c>
      <c r="AJ610" s="42">
        <f t="shared" si="94"/>
        <v>0</v>
      </c>
      <c r="AK610" s="42">
        <f t="shared" si="93"/>
        <v>0</v>
      </c>
      <c r="AL610" s="42">
        <f t="shared" si="93"/>
        <v>0</v>
      </c>
      <c r="AM610" s="42">
        <f t="shared" si="93"/>
        <v>0</v>
      </c>
      <c r="AN610" s="42">
        <f t="shared" si="93"/>
        <v>0</v>
      </c>
      <c r="AO610" s="42">
        <f t="shared" si="93"/>
        <v>2</v>
      </c>
    </row>
    <row r="611" spans="1:41" ht="15.75">
      <c r="A611" s="16">
        <f t="shared" si="92"/>
        <v>608</v>
      </c>
      <c r="B611" s="400">
        <v>5196</v>
      </c>
      <c r="C611" s="391" t="s">
        <v>393</v>
      </c>
      <c r="D611" s="392" t="s">
        <v>2064</v>
      </c>
      <c r="E611" s="393" t="s">
        <v>6550</v>
      </c>
      <c r="F611" s="394" t="s">
        <v>6551</v>
      </c>
      <c r="G611" s="461" t="s">
        <v>6473</v>
      </c>
      <c r="H611" s="403">
        <v>28621</v>
      </c>
      <c r="I611" s="464">
        <v>44198</v>
      </c>
      <c r="J611" s="459" t="s">
        <v>6159</v>
      </c>
      <c r="K611" s="460" t="s">
        <v>3070</v>
      </c>
      <c r="L611" s="462" t="s">
        <v>194</v>
      </c>
      <c r="M611" s="1">
        <v>187</v>
      </c>
      <c r="N611" s="431">
        <v>0</v>
      </c>
      <c r="O611" s="432">
        <v>0</v>
      </c>
      <c r="P611" s="432">
        <v>0</v>
      </c>
      <c r="Q611" s="432">
        <v>0</v>
      </c>
      <c r="R611" s="1">
        <v>7</v>
      </c>
      <c r="S611" s="1">
        <v>10</v>
      </c>
      <c r="T611" s="300">
        <f t="shared" si="88"/>
        <v>204</v>
      </c>
      <c r="U611" s="3"/>
      <c r="V611" s="3"/>
      <c r="W611" s="3"/>
      <c r="X611" s="3"/>
      <c r="Y611" s="3"/>
      <c r="Z611" s="20">
        <f t="shared" si="86"/>
        <v>189</v>
      </c>
      <c r="AA611" s="20">
        <f t="shared" si="91"/>
        <v>0</v>
      </c>
      <c r="AB611" s="20">
        <f t="shared" si="91"/>
        <v>0</v>
      </c>
      <c r="AC611" s="20">
        <f t="shared" si="91"/>
        <v>0</v>
      </c>
      <c r="AD611" s="20">
        <f t="shared" si="90"/>
        <v>0</v>
      </c>
      <c r="AE611" s="20">
        <f t="shared" si="90"/>
        <v>7</v>
      </c>
      <c r="AF611" s="20">
        <f t="shared" si="90"/>
        <v>10</v>
      </c>
      <c r="AG611" s="300">
        <f t="shared" si="87"/>
        <v>206</v>
      </c>
      <c r="AH611" s="42">
        <f t="shared" si="94"/>
        <v>2</v>
      </c>
      <c r="AI611" s="42">
        <f t="shared" si="94"/>
        <v>0</v>
      </c>
      <c r="AJ611" s="42">
        <f t="shared" si="94"/>
        <v>0</v>
      </c>
      <c r="AK611" s="42">
        <f t="shared" si="93"/>
        <v>0</v>
      </c>
      <c r="AL611" s="42">
        <f t="shared" si="93"/>
        <v>0</v>
      </c>
      <c r="AM611" s="42">
        <f t="shared" si="93"/>
        <v>0</v>
      </c>
      <c r="AN611" s="42">
        <f t="shared" si="93"/>
        <v>0</v>
      </c>
      <c r="AO611" s="42">
        <f t="shared" si="93"/>
        <v>2</v>
      </c>
    </row>
    <row r="612" spans="1:41" ht="15.75">
      <c r="A612" s="16">
        <f t="shared" ref="A612" si="95">1+A611</f>
        <v>609</v>
      </c>
      <c r="B612" s="8"/>
      <c r="C612" s="227"/>
      <c r="D612" s="228"/>
      <c r="E612" s="229"/>
      <c r="F612" s="230"/>
      <c r="G612" s="231"/>
      <c r="H612" s="232"/>
      <c r="I612" s="234"/>
      <c r="J612" s="430"/>
      <c r="K612" s="366"/>
      <c r="L612" s="366"/>
      <c r="M612" s="1"/>
      <c r="N612" s="1"/>
      <c r="O612" s="1"/>
      <c r="P612" s="1"/>
      <c r="Q612" s="1"/>
      <c r="R612" s="1"/>
      <c r="S612" s="1"/>
      <c r="T612" s="300">
        <f t="shared" si="88"/>
        <v>0</v>
      </c>
      <c r="U612" s="3"/>
      <c r="V612" s="3"/>
      <c r="W612" s="3"/>
      <c r="X612" s="3"/>
      <c r="Y612" s="3"/>
      <c r="Z612" s="20">
        <f t="shared" si="86"/>
        <v>2</v>
      </c>
      <c r="AA612" s="20">
        <f t="shared" si="91"/>
        <v>0</v>
      </c>
      <c r="AB612" s="20">
        <f t="shared" si="91"/>
        <v>0</v>
      </c>
      <c r="AC612" s="20">
        <f t="shared" si="91"/>
        <v>0</v>
      </c>
      <c r="AD612" s="20">
        <f t="shared" si="90"/>
        <v>0</v>
      </c>
      <c r="AE612" s="20">
        <f t="shared" si="90"/>
        <v>0</v>
      </c>
      <c r="AF612" s="20">
        <f t="shared" si="90"/>
        <v>0</v>
      </c>
      <c r="AG612" s="300">
        <f t="shared" si="87"/>
        <v>2</v>
      </c>
      <c r="AH612" s="42">
        <f t="shared" si="94"/>
        <v>2</v>
      </c>
      <c r="AI612" s="42">
        <f t="shared" si="94"/>
        <v>0</v>
      </c>
      <c r="AJ612" s="42">
        <f t="shared" si="94"/>
        <v>0</v>
      </c>
      <c r="AK612" s="42">
        <f t="shared" si="93"/>
        <v>0</v>
      </c>
      <c r="AL612" s="42">
        <f t="shared" si="93"/>
        <v>0</v>
      </c>
      <c r="AM612" s="42">
        <f t="shared" si="93"/>
        <v>0</v>
      </c>
      <c r="AN612" s="42">
        <f t="shared" si="93"/>
        <v>0</v>
      </c>
      <c r="AO612" s="42">
        <f t="shared" si="93"/>
        <v>2</v>
      </c>
    </row>
    <row r="613" spans="1:41" ht="15.75">
      <c r="A613" s="16">
        <f t="shared" ref="A613:A619" si="96">1+A612</f>
        <v>610</v>
      </c>
      <c r="B613" s="223"/>
      <c r="C613" s="227"/>
      <c r="D613" s="228"/>
      <c r="E613" s="229"/>
      <c r="F613" s="230"/>
      <c r="G613" s="231"/>
      <c r="H613" s="232"/>
      <c r="I613" s="234"/>
      <c r="J613" s="430"/>
      <c r="K613" s="366"/>
      <c r="L613" s="366"/>
      <c r="M613" s="1"/>
      <c r="N613" s="1"/>
      <c r="O613" s="1"/>
      <c r="P613" s="1"/>
      <c r="Q613" s="1"/>
      <c r="R613" s="1"/>
      <c r="S613" s="1"/>
      <c r="T613" s="300">
        <f t="shared" si="88"/>
        <v>0</v>
      </c>
      <c r="U613" s="3"/>
      <c r="V613" s="3"/>
      <c r="W613" s="3"/>
      <c r="X613" s="3"/>
      <c r="Y613" s="3"/>
      <c r="Z613" s="20">
        <f t="shared" si="86"/>
        <v>2</v>
      </c>
      <c r="AA613" s="20">
        <f t="shared" si="91"/>
        <v>0</v>
      </c>
      <c r="AB613" s="20">
        <f t="shared" si="91"/>
        <v>0</v>
      </c>
      <c r="AC613" s="20">
        <f t="shared" si="91"/>
        <v>0</v>
      </c>
      <c r="AD613" s="20">
        <f t="shared" si="90"/>
        <v>0</v>
      </c>
      <c r="AE613" s="20">
        <f t="shared" si="90"/>
        <v>0</v>
      </c>
      <c r="AF613" s="20">
        <f t="shared" si="90"/>
        <v>0</v>
      </c>
      <c r="AG613" s="300">
        <f t="shared" si="87"/>
        <v>2</v>
      </c>
      <c r="AH613" s="42">
        <f t="shared" si="94"/>
        <v>2</v>
      </c>
      <c r="AI613" s="42">
        <f t="shared" si="94"/>
        <v>0</v>
      </c>
      <c r="AJ613" s="42">
        <f t="shared" si="94"/>
        <v>0</v>
      </c>
      <c r="AK613" s="42">
        <f t="shared" si="93"/>
        <v>0</v>
      </c>
      <c r="AL613" s="42">
        <f t="shared" si="93"/>
        <v>0</v>
      </c>
      <c r="AM613" s="42">
        <f t="shared" si="93"/>
        <v>0</v>
      </c>
      <c r="AN613" s="42">
        <f t="shared" si="93"/>
        <v>0</v>
      </c>
      <c r="AO613" s="42">
        <f t="shared" si="93"/>
        <v>2</v>
      </c>
    </row>
    <row r="614" spans="1:41" ht="15.75">
      <c r="A614" s="16">
        <f t="shared" si="96"/>
        <v>611</v>
      </c>
      <c r="B614" s="223"/>
      <c r="C614" s="227"/>
      <c r="D614" s="228"/>
      <c r="E614" s="229"/>
      <c r="F614" s="230"/>
      <c r="G614" s="231"/>
      <c r="H614" s="232"/>
      <c r="I614" s="234"/>
      <c r="J614" s="430"/>
      <c r="K614" s="366"/>
      <c r="L614" s="366"/>
      <c r="M614" s="1"/>
      <c r="N614" s="1"/>
      <c r="O614" s="1"/>
      <c r="P614" s="1"/>
      <c r="Q614" s="1"/>
      <c r="R614" s="1"/>
      <c r="S614" s="1"/>
      <c r="T614" s="300">
        <f t="shared" si="88"/>
        <v>0</v>
      </c>
      <c r="U614" s="3"/>
      <c r="V614" s="3"/>
      <c r="W614" s="3"/>
      <c r="X614" s="3"/>
      <c r="Y614" s="3"/>
      <c r="Z614" s="20">
        <f t="shared" si="86"/>
        <v>2</v>
      </c>
      <c r="AA614" s="20">
        <f t="shared" si="91"/>
        <v>0</v>
      </c>
      <c r="AB614" s="20">
        <f t="shared" si="91"/>
        <v>0</v>
      </c>
      <c r="AC614" s="20">
        <f t="shared" si="91"/>
        <v>0</v>
      </c>
      <c r="AD614" s="20">
        <f t="shared" si="90"/>
        <v>0</v>
      </c>
      <c r="AE614" s="20">
        <f t="shared" si="90"/>
        <v>0</v>
      </c>
      <c r="AF614" s="20">
        <f t="shared" si="90"/>
        <v>0</v>
      </c>
      <c r="AG614" s="300">
        <f t="shared" si="87"/>
        <v>2</v>
      </c>
      <c r="AH614" s="42">
        <f t="shared" si="94"/>
        <v>2</v>
      </c>
      <c r="AI614" s="42">
        <f t="shared" si="94"/>
        <v>0</v>
      </c>
      <c r="AJ614" s="42">
        <f t="shared" si="94"/>
        <v>0</v>
      </c>
      <c r="AK614" s="42">
        <f t="shared" si="93"/>
        <v>0</v>
      </c>
      <c r="AL614" s="42">
        <f t="shared" si="93"/>
        <v>0</v>
      </c>
      <c r="AM614" s="42">
        <f t="shared" si="93"/>
        <v>0</v>
      </c>
      <c r="AN614" s="42">
        <f t="shared" si="93"/>
        <v>0</v>
      </c>
      <c r="AO614" s="42">
        <f t="shared" si="93"/>
        <v>2</v>
      </c>
    </row>
    <row r="615" spans="1:41" ht="15.75">
      <c r="A615" s="16">
        <f t="shared" si="96"/>
        <v>612</v>
      </c>
      <c r="B615" s="223"/>
      <c r="C615" s="227"/>
      <c r="D615" s="228"/>
      <c r="E615" s="229"/>
      <c r="F615" s="230"/>
      <c r="G615" s="231"/>
      <c r="H615" s="232"/>
      <c r="I615" s="234"/>
      <c r="J615" s="430"/>
      <c r="K615" s="366"/>
      <c r="L615" s="366"/>
      <c r="M615" s="1"/>
      <c r="N615" s="1"/>
      <c r="O615" s="1"/>
      <c r="P615" s="1"/>
      <c r="Q615" s="1"/>
      <c r="R615" s="1"/>
      <c r="S615" s="1"/>
      <c r="T615" s="300">
        <f t="shared" si="88"/>
        <v>0</v>
      </c>
      <c r="U615" s="3"/>
      <c r="V615" s="3"/>
      <c r="W615" s="3"/>
      <c r="X615" s="3"/>
      <c r="Y615" s="3"/>
      <c r="Z615" s="20">
        <f t="shared" si="86"/>
        <v>2</v>
      </c>
      <c r="AA615" s="20">
        <f t="shared" si="91"/>
        <v>0</v>
      </c>
      <c r="AB615" s="20">
        <f t="shared" si="91"/>
        <v>0</v>
      </c>
      <c r="AC615" s="20">
        <f t="shared" si="91"/>
        <v>0</v>
      </c>
      <c r="AD615" s="20">
        <f t="shared" si="90"/>
        <v>0</v>
      </c>
      <c r="AE615" s="20">
        <f t="shared" si="90"/>
        <v>0</v>
      </c>
      <c r="AF615" s="20">
        <f t="shared" si="90"/>
        <v>0</v>
      </c>
      <c r="AG615" s="300">
        <f t="shared" si="87"/>
        <v>2</v>
      </c>
      <c r="AH615" s="42">
        <f t="shared" si="94"/>
        <v>2</v>
      </c>
      <c r="AI615" s="42">
        <f t="shared" si="94"/>
        <v>0</v>
      </c>
      <c r="AJ615" s="42">
        <f t="shared" si="94"/>
        <v>0</v>
      </c>
      <c r="AK615" s="42">
        <f t="shared" si="93"/>
        <v>0</v>
      </c>
      <c r="AL615" s="42">
        <f t="shared" si="93"/>
        <v>0</v>
      </c>
      <c r="AM615" s="42">
        <f t="shared" si="93"/>
        <v>0</v>
      </c>
      <c r="AN615" s="42">
        <f t="shared" si="93"/>
        <v>0</v>
      </c>
      <c r="AO615" s="42">
        <f t="shared" si="93"/>
        <v>2</v>
      </c>
    </row>
    <row r="616" spans="1:41" ht="15.75">
      <c r="A616" s="16">
        <f t="shared" si="96"/>
        <v>613</v>
      </c>
      <c r="B616" s="223"/>
      <c r="C616" s="227"/>
      <c r="D616" s="228"/>
      <c r="E616" s="229"/>
      <c r="F616" s="230"/>
      <c r="G616" s="231"/>
      <c r="H616" s="232"/>
      <c r="I616" s="234"/>
      <c r="J616" s="430"/>
      <c r="K616" s="366"/>
      <c r="L616" s="366"/>
      <c r="M616" s="1"/>
      <c r="N616" s="1"/>
      <c r="O616" s="1"/>
      <c r="P616" s="1"/>
      <c r="Q616" s="1"/>
      <c r="R616" s="1"/>
      <c r="S616" s="1"/>
      <c r="T616" s="300">
        <f t="shared" si="88"/>
        <v>0</v>
      </c>
      <c r="U616" s="3"/>
      <c r="V616" s="3"/>
      <c r="W616" s="3"/>
      <c r="X616" s="3"/>
      <c r="Y616" s="3"/>
      <c r="Z616" s="20">
        <f t="shared" si="86"/>
        <v>2</v>
      </c>
      <c r="AA616" s="20">
        <f t="shared" si="91"/>
        <v>0</v>
      </c>
      <c r="AB616" s="20">
        <f t="shared" si="91"/>
        <v>0</v>
      </c>
      <c r="AC616" s="20">
        <f t="shared" si="91"/>
        <v>0</v>
      </c>
      <c r="AD616" s="20">
        <f t="shared" si="90"/>
        <v>0</v>
      </c>
      <c r="AE616" s="20">
        <f t="shared" si="90"/>
        <v>0</v>
      </c>
      <c r="AF616" s="20">
        <f t="shared" si="90"/>
        <v>0</v>
      </c>
      <c r="AG616" s="300">
        <f t="shared" si="87"/>
        <v>2</v>
      </c>
      <c r="AH616" s="42">
        <f t="shared" si="94"/>
        <v>2</v>
      </c>
      <c r="AI616" s="42">
        <f t="shared" si="94"/>
        <v>0</v>
      </c>
      <c r="AJ616" s="42">
        <f t="shared" si="94"/>
        <v>0</v>
      </c>
      <c r="AK616" s="42">
        <f t="shared" si="93"/>
        <v>0</v>
      </c>
      <c r="AL616" s="42">
        <f t="shared" si="93"/>
        <v>0</v>
      </c>
      <c r="AM616" s="42">
        <f t="shared" si="93"/>
        <v>0</v>
      </c>
      <c r="AN616" s="42">
        <f t="shared" si="93"/>
        <v>0</v>
      </c>
      <c r="AO616" s="42">
        <f t="shared" si="93"/>
        <v>2</v>
      </c>
    </row>
    <row r="617" spans="1:41" ht="15.75">
      <c r="A617" s="16">
        <f t="shared" si="96"/>
        <v>614</v>
      </c>
      <c r="B617" s="223"/>
      <c r="C617" s="227"/>
      <c r="D617" s="228"/>
      <c r="E617" s="229"/>
      <c r="F617" s="230"/>
      <c r="G617" s="231"/>
      <c r="H617" s="232"/>
      <c r="I617" s="234"/>
      <c r="J617" s="430"/>
      <c r="K617" s="366"/>
      <c r="L617" s="366"/>
      <c r="M617" s="1"/>
      <c r="N617" s="1"/>
      <c r="O617" s="1"/>
      <c r="P617" s="1"/>
      <c r="Q617" s="1"/>
      <c r="R617" s="1"/>
      <c r="S617" s="1"/>
      <c r="T617" s="300">
        <f t="shared" si="88"/>
        <v>0</v>
      </c>
      <c r="U617" s="3"/>
      <c r="V617" s="3"/>
      <c r="W617" s="3"/>
      <c r="X617" s="3"/>
      <c r="Y617" s="3"/>
      <c r="Z617" s="20">
        <f t="shared" si="86"/>
        <v>2</v>
      </c>
      <c r="AA617" s="20">
        <f t="shared" si="91"/>
        <v>0</v>
      </c>
      <c r="AB617" s="20">
        <f t="shared" si="91"/>
        <v>0</v>
      </c>
      <c r="AC617" s="20">
        <f t="shared" si="91"/>
        <v>0</v>
      </c>
      <c r="AD617" s="20">
        <f t="shared" si="90"/>
        <v>0</v>
      </c>
      <c r="AE617" s="20">
        <f t="shared" si="90"/>
        <v>0</v>
      </c>
      <c r="AF617" s="20">
        <f t="shared" si="90"/>
        <v>0</v>
      </c>
      <c r="AG617" s="300">
        <f t="shared" si="87"/>
        <v>2</v>
      </c>
      <c r="AH617" s="42">
        <f t="shared" si="94"/>
        <v>2</v>
      </c>
      <c r="AI617" s="42">
        <f t="shared" si="94"/>
        <v>0</v>
      </c>
      <c r="AJ617" s="42">
        <f t="shared" si="94"/>
        <v>0</v>
      </c>
      <c r="AK617" s="42">
        <f t="shared" si="93"/>
        <v>0</v>
      </c>
      <c r="AL617" s="42">
        <f t="shared" si="93"/>
        <v>0</v>
      </c>
      <c r="AM617" s="42">
        <f t="shared" si="93"/>
        <v>0</v>
      </c>
      <c r="AN617" s="42">
        <f t="shared" si="93"/>
        <v>0</v>
      </c>
      <c r="AO617" s="42">
        <f t="shared" si="93"/>
        <v>2</v>
      </c>
    </row>
    <row r="618" spans="1:41" ht="15.75">
      <c r="A618" s="16">
        <f t="shared" si="96"/>
        <v>615</v>
      </c>
      <c r="B618" s="223"/>
      <c r="C618" s="227"/>
      <c r="D618" s="228"/>
      <c r="E618" s="229"/>
      <c r="F618" s="230"/>
      <c r="G618" s="231"/>
      <c r="H618" s="232"/>
      <c r="I618" s="234"/>
      <c r="J618" s="430"/>
      <c r="K618" s="366"/>
      <c r="L618" s="366"/>
      <c r="M618" s="1"/>
      <c r="N618" s="1"/>
      <c r="O618" s="1"/>
      <c r="P618" s="1"/>
      <c r="Q618" s="1"/>
      <c r="R618" s="1"/>
      <c r="S618" s="1"/>
      <c r="T618" s="300">
        <f t="shared" si="88"/>
        <v>0</v>
      </c>
      <c r="U618" s="3"/>
      <c r="V618" s="3"/>
      <c r="W618" s="3"/>
      <c r="X618" s="3"/>
      <c r="Y618" s="3"/>
      <c r="Z618" s="20">
        <f t="shared" si="86"/>
        <v>2</v>
      </c>
      <c r="AA618" s="20">
        <f t="shared" si="91"/>
        <v>0</v>
      </c>
      <c r="AB618" s="20">
        <f t="shared" si="91"/>
        <v>0</v>
      </c>
      <c r="AC618" s="20">
        <f t="shared" si="91"/>
        <v>0</v>
      </c>
      <c r="AD618" s="20">
        <f t="shared" si="90"/>
        <v>0</v>
      </c>
      <c r="AE618" s="20">
        <f t="shared" si="90"/>
        <v>0</v>
      </c>
      <c r="AF618" s="20">
        <f t="shared" si="90"/>
        <v>0</v>
      </c>
      <c r="AG618" s="300">
        <f t="shared" si="87"/>
        <v>2</v>
      </c>
      <c r="AH618" s="42">
        <f t="shared" si="94"/>
        <v>2</v>
      </c>
      <c r="AI618" s="42">
        <f t="shared" si="94"/>
        <v>0</v>
      </c>
      <c r="AJ618" s="42">
        <f t="shared" si="94"/>
        <v>0</v>
      </c>
      <c r="AK618" s="42">
        <f t="shared" si="93"/>
        <v>0</v>
      </c>
      <c r="AL618" s="42">
        <f t="shared" si="93"/>
        <v>0</v>
      </c>
      <c r="AM618" s="42">
        <f t="shared" si="93"/>
        <v>0</v>
      </c>
      <c r="AN618" s="42">
        <f t="shared" si="93"/>
        <v>0</v>
      </c>
      <c r="AO618" s="42">
        <f t="shared" si="93"/>
        <v>2</v>
      </c>
    </row>
    <row r="619" spans="1:41" ht="15.75">
      <c r="A619" s="16">
        <f t="shared" si="96"/>
        <v>616</v>
      </c>
      <c r="B619" s="223"/>
      <c r="C619" s="227"/>
      <c r="D619" s="228"/>
      <c r="E619" s="229"/>
      <c r="F619" s="230"/>
      <c r="G619" s="231"/>
      <c r="H619" s="232"/>
      <c r="I619" s="234"/>
      <c r="J619" s="430"/>
      <c r="K619" s="366"/>
      <c r="L619" s="366"/>
      <c r="M619" s="1"/>
      <c r="N619" s="1"/>
      <c r="O619" s="1"/>
      <c r="P619" s="1"/>
      <c r="Q619" s="1"/>
      <c r="R619" s="1"/>
      <c r="S619" s="1"/>
      <c r="T619" s="300">
        <f t="shared" si="88"/>
        <v>0</v>
      </c>
      <c r="U619" s="3"/>
      <c r="V619" s="3"/>
      <c r="W619" s="3"/>
      <c r="X619" s="3"/>
      <c r="Y619" s="3"/>
      <c r="Z619" s="20">
        <f t="shared" si="86"/>
        <v>2</v>
      </c>
      <c r="AA619" s="20">
        <f t="shared" si="91"/>
        <v>0</v>
      </c>
      <c r="AB619" s="20">
        <f t="shared" si="91"/>
        <v>0</v>
      </c>
      <c r="AC619" s="20">
        <f t="shared" si="91"/>
        <v>0</v>
      </c>
      <c r="AD619" s="20">
        <f t="shared" si="90"/>
        <v>0</v>
      </c>
      <c r="AE619" s="20">
        <f t="shared" si="90"/>
        <v>0</v>
      </c>
      <c r="AF619" s="20">
        <f t="shared" si="90"/>
        <v>0</v>
      </c>
      <c r="AG619" s="300">
        <f t="shared" si="87"/>
        <v>2</v>
      </c>
      <c r="AH619" s="42">
        <f t="shared" si="94"/>
        <v>2</v>
      </c>
      <c r="AI619" s="42">
        <f t="shared" si="94"/>
        <v>0</v>
      </c>
      <c r="AJ619" s="42">
        <f t="shared" si="94"/>
        <v>0</v>
      </c>
      <c r="AK619" s="42">
        <f t="shared" si="93"/>
        <v>0</v>
      </c>
      <c r="AL619" s="42">
        <f t="shared" si="93"/>
        <v>0</v>
      </c>
      <c r="AM619" s="42">
        <f t="shared" si="93"/>
        <v>0</v>
      </c>
      <c r="AN619" s="42">
        <f t="shared" si="93"/>
        <v>0</v>
      </c>
      <c r="AO619" s="42">
        <f t="shared" si="93"/>
        <v>2</v>
      </c>
    </row>
    <row r="620" spans="1:41">
      <c r="B620" s="335"/>
      <c r="C620" s="354"/>
      <c r="J620" s="465"/>
      <c r="K620" s="465"/>
      <c r="L620" s="465"/>
    </row>
    <row r="621" spans="1:41">
      <c r="B621" s="335"/>
      <c r="C621" s="354"/>
      <c r="J621" s="465"/>
      <c r="K621" s="465"/>
      <c r="L621" s="465"/>
    </row>
    <row r="622" spans="1:41">
      <c r="B622" s="335"/>
      <c r="C622" s="354"/>
      <c r="J622" s="465"/>
      <c r="K622" s="465"/>
      <c r="L622" s="465"/>
    </row>
    <row r="623" spans="1:41">
      <c r="B623" s="335"/>
      <c r="C623" s="354"/>
      <c r="J623" s="465"/>
      <c r="K623" s="465"/>
      <c r="L623" s="465"/>
    </row>
    <row r="624" spans="1:41">
      <c r="B624" s="335"/>
      <c r="C624" s="354"/>
      <c r="J624" s="465"/>
      <c r="K624" s="465"/>
      <c r="L624" s="465"/>
    </row>
    <row r="625" spans="2:12">
      <c r="B625" s="335"/>
      <c r="C625" s="354"/>
      <c r="J625" s="465"/>
      <c r="K625" s="465"/>
      <c r="L625" s="465"/>
    </row>
    <row r="626" spans="2:12">
      <c r="B626" s="335"/>
      <c r="C626" s="354"/>
      <c r="J626" s="465"/>
      <c r="K626" s="465"/>
      <c r="L626" s="465"/>
    </row>
    <row r="627" spans="2:12">
      <c r="B627" s="335"/>
      <c r="C627" s="354"/>
      <c r="J627" s="465"/>
      <c r="K627" s="465"/>
      <c r="L627" s="465"/>
    </row>
    <row r="628" spans="2:12">
      <c r="B628" s="335"/>
      <c r="C628" s="354"/>
      <c r="J628" s="465"/>
      <c r="K628" s="465"/>
      <c r="L628" s="465"/>
    </row>
    <row r="629" spans="2:12">
      <c r="B629" s="335"/>
      <c r="C629" s="354"/>
      <c r="J629" s="465"/>
      <c r="K629" s="465"/>
      <c r="L629" s="465"/>
    </row>
    <row r="630" spans="2:12">
      <c r="B630" s="335"/>
      <c r="C630" s="354"/>
      <c r="J630" s="465"/>
      <c r="K630" s="465"/>
      <c r="L630" s="465"/>
    </row>
    <row r="631" spans="2:12">
      <c r="B631" s="335"/>
      <c r="C631" s="354"/>
      <c r="J631" s="465"/>
      <c r="K631" s="465"/>
      <c r="L631" s="465"/>
    </row>
    <row r="632" spans="2:12">
      <c r="B632" s="335"/>
      <c r="C632" s="354"/>
      <c r="J632" s="465"/>
      <c r="K632" s="465"/>
      <c r="L632" s="465"/>
    </row>
    <row r="633" spans="2:12">
      <c r="B633" s="335"/>
      <c r="C633" s="354"/>
      <c r="J633" s="465"/>
      <c r="K633" s="465"/>
      <c r="L633" s="465"/>
    </row>
    <row r="634" spans="2:12">
      <c r="B634" s="335"/>
      <c r="C634" s="354"/>
      <c r="J634" s="465"/>
      <c r="K634" s="465"/>
      <c r="L634" s="465"/>
    </row>
    <row r="635" spans="2:12">
      <c r="B635" s="335"/>
      <c r="C635" s="354"/>
      <c r="J635" s="465"/>
      <c r="K635" s="465"/>
      <c r="L635" s="465"/>
    </row>
    <row r="636" spans="2:12">
      <c r="B636" s="335"/>
      <c r="C636" s="354"/>
      <c r="J636" s="465"/>
      <c r="K636" s="465"/>
      <c r="L636" s="465"/>
    </row>
    <row r="637" spans="2:12">
      <c r="B637" s="335"/>
      <c r="C637" s="354"/>
      <c r="L637" s="465"/>
    </row>
    <row r="638" spans="2:12">
      <c r="B638" s="335"/>
      <c r="C638" s="354"/>
    </row>
    <row r="639" spans="2:12">
      <c r="B639" s="335"/>
      <c r="C639" s="354"/>
    </row>
    <row r="640" spans="2:12">
      <c r="B640" s="335"/>
      <c r="C640" s="354"/>
    </row>
    <row r="641" spans="2:3">
      <c r="B641" s="335"/>
      <c r="C641" s="354"/>
    </row>
    <row r="642" spans="2:3">
      <c r="B642" s="335"/>
      <c r="C642" s="354"/>
    </row>
    <row r="643" spans="2:3">
      <c r="B643" s="335"/>
      <c r="C643" s="354"/>
    </row>
    <row r="644" spans="2:3">
      <c r="B644" s="335"/>
      <c r="C644" s="354"/>
    </row>
    <row r="645" spans="2:3">
      <c r="B645" s="335"/>
      <c r="C645" s="354"/>
    </row>
    <row r="646" spans="2:3">
      <c r="B646" s="335"/>
      <c r="C646" s="354"/>
    </row>
    <row r="647" spans="2:3">
      <c r="B647" s="335"/>
      <c r="C647" s="354"/>
    </row>
    <row r="648" spans="2:3">
      <c r="B648" s="335"/>
      <c r="C648" s="354"/>
    </row>
    <row r="649" spans="2:3">
      <c r="B649" s="335"/>
      <c r="C649" s="354"/>
    </row>
    <row r="650" spans="2:3">
      <c r="B650" s="335"/>
      <c r="C650" s="354"/>
    </row>
    <row r="651" spans="2:3">
      <c r="B651" s="335"/>
      <c r="C651" s="354"/>
    </row>
    <row r="652" spans="2:3">
      <c r="B652" s="335"/>
      <c r="C652" s="354"/>
    </row>
    <row r="653" spans="2:3">
      <c r="B653" s="335"/>
      <c r="C653" s="354"/>
    </row>
    <row r="654" spans="2:3">
      <c r="B654" s="335"/>
      <c r="C654" s="354"/>
    </row>
    <row r="655" spans="2:3">
      <c r="B655" s="335"/>
      <c r="C655" s="354"/>
    </row>
    <row r="656" spans="2:3">
      <c r="B656" s="335"/>
      <c r="C656" s="354"/>
    </row>
    <row r="657" spans="2:3">
      <c r="B657" s="335"/>
      <c r="C657" s="354"/>
    </row>
    <row r="658" spans="2:3">
      <c r="B658" s="335"/>
      <c r="C658" s="354"/>
    </row>
    <row r="659" spans="2:3">
      <c r="B659" s="335"/>
      <c r="C659" s="354"/>
    </row>
    <row r="660" spans="2:3">
      <c r="B660" s="335"/>
      <c r="C660" s="354"/>
    </row>
    <row r="661" spans="2:3">
      <c r="B661" s="335"/>
      <c r="C661" s="354"/>
    </row>
    <row r="662" spans="2:3">
      <c r="B662" s="335"/>
      <c r="C662" s="354"/>
    </row>
    <row r="663" spans="2:3">
      <c r="B663" s="335"/>
      <c r="C663" s="354"/>
    </row>
    <row r="664" spans="2:3">
      <c r="B664" s="335"/>
      <c r="C664" s="354"/>
    </row>
    <row r="665" spans="2:3">
      <c r="B665" s="335"/>
      <c r="C665" s="354"/>
    </row>
    <row r="666" spans="2:3">
      <c r="B666" s="335"/>
      <c r="C666" s="354"/>
    </row>
    <row r="667" spans="2:3">
      <c r="B667" s="335"/>
      <c r="C667" s="354"/>
    </row>
    <row r="668" spans="2:3">
      <c r="B668" s="335"/>
      <c r="C668" s="354"/>
    </row>
    <row r="669" spans="2:3">
      <c r="B669" s="335"/>
      <c r="C669" s="354"/>
    </row>
    <row r="670" spans="2:3">
      <c r="B670" s="335"/>
      <c r="C670" s="354"/>
    </row>
    <row r="671" spans="2:3">
      <c r="B671" s="335"/>
      <c r="C671" s="354"/>
    </row>
    <row r="672" spans="2:3">
      <c r="B672" s="335"/>
      <c r="C672" s="354"/>
    </row>
    <row r="673" spans="2:3">
      <c r="B673" s="335"/>
      <c r="C673" s="354"/>
    </row>
    <row r="674" spans="2:3">
      <c r="B674" s="335"/>
      <c r="C674" s="354"/>
    </row>
    <row r="675" spans="2:3">
      <c r="B675" s="335"/>
      <c r="C675" s="354"/>
    </row>
    <row r="676" spans="2:3">
      <c r="B676" s="335"/>
      <c r="C676" s="354"/>
    </row>
    <row r="677" spans="2:3">
      <c r="B677" s="335"/>
      <c r="C677" s="354"/>
    </row>
    <row r="678" spans="2:3">
      <c r="B678" s="335"/>
      <c r="C678" s="354"/>
    </row>
    <row r="679" spans="2:3">
      <c r="B679" s="335"/>
      <c r="C679" s="354"/>
    </row>
    <row r="680" spans="2:3">
      <c r="B680" s="335"/>
      <c r="C680" s="354"/>
    </row>
    <row r="681" spans="2:3">
      <c r="B681" s="335"/>
      <c r="C681" s="354"/>
    </row>
    <row r="682" spans="2:3">
      <c r="B682" s="335"/>
      <c r="C682" s="354"/>
    </row>
    <row r="683" spans="2:3">
      <c r="B683" s="335"/>
      <c r="C683" s="354"/>
    </row>
    <row r="684" spans="2:3">
      <c r="B684" s="335"/>
      <c r="C684" s="354"/>
    </row>
    <row r="685" spans="2:3">
      <c r="B685" s="335"/>
      <c r="C685" s="354"/>
    </row>
    <row r="686" spans="2:3">
      <c r="B686" s="335"/>
      <c r="C686" s="354"/>
    </row>
    <row r="687" spans="2:3">
      <c r="B687" s="335"/>
      <c r="C687" s="354"/>
    </row>
    <row r="688" spans="2:3">
      <c r="B688" s="335"/>
      <c r="C688" s="354"/>
    </row>
    <row r="689" spans="2:3">
      <c r="B689" s="335"/>
      <c r="C689" s="354"/>
    </row>
    <row r="690" spans="2:3">
      <c r="B690" s="335"/>
      <c r="C690" s="354"/>
    </row>
    <row r="691" spans="2:3">
      <c r="B691" s="335"/>
      <c r="C691" s="354"/>
    </row>
    <row r="692" spans="2:3">
      <c r="B692" s="335"/>
      <c r="C692" s="354"/>
    </row>
    <row r="693" spans="2:3">
      <c r="B693" s="335"/>
      <c r="C693" s="354"/>
    </row>
    <row r="694" spans="2:3">
      <c r="B694" s="335"/>
      <c r="C694" s="354"/>
    </row>
    <row r="695" spans="2:3">
      <c r="B695" s="335"/>
      <c r="C695" s="354"/>
    </row>
    <row r="696" spans="2:3">
      <c r="B696" s="335"/>
      <c r="C696" s="354"/>
    </row>
    <row r="697" spans="2:3">
      <c r="B697" s="335"/>
      <c r="C697" s="354"/>
    </row>
    <row r="698" spans="2:3">
      <c r="B698" s="335"/>
      <c r="C698" s="354"/>
    </row>
    <row r="699" spans="2:3">
      <c r="B699" s="335"/>
      <c r="C699" s="354"/>
    </row>
    <row r="700" spans="2:3">
      <c r="B700" s="335"/>
      <c r="C700" s="354"/>
    </row>
    <row r="701" spans="2:3">
      <c r="B701" s="335"/>
      <c r="C701" s="354"/>
    </row>
    <row r="702" spans="2:3">
      <c r="B702" s="335"/>
      <c r="C702" s="354"/>
    </row>
    <row r="703" spans="2:3">
      <c r="B703" s="335"/>
      <c r="C703" s="354"/>
    </row>
    <row r="704" spans="2:3">
      <c r="B704" s="335"/>
      <c r="C704" s="354"/>
    </row>
    <row r="705" spans="2:3">
      <c r="B705" s="335"/>
      <c r="C705" s="354"/>
    </row>
    <row r="706" spans="2:3">
      <c r="B706" s="335"/>
      <c r="C706" s="354"/>
    </row>
    <row r="707" spans="2:3">
      <c r="B707" s="335"/>
      <c r="C707" s="354"/>
    </row>
    <row r="708" spans="2:3">
      <c r="B708" s="335"/>
      <c r="C708" s="354"/>
    </row>
    <row r="709" spans="2:3">
      <c r="B709" s="335"/>
      <c r="C709" s="354"/>
    </row>
    <row r="710" spans="2:3">
      <c r="B710" s="335"/>
      <c r="C710" s="354"/>
    </row>
    <row r="711" spans="2:3">
      <c r="B711" s="335"/>
      <c r="C711" s="354"/>
    </row>
    <row r="712" spans="2:3">
      <c r="B712" s="335"/>
      <c r="C712" s="354"/>
    </row>
    <row r="713" spans="2:3">
      <c r="B713" s="335"/>
      <c r="C713" s="354"/>
    </row>
    <row r="714" spans="2:3">
      <c r="B714" s="335"/>
      <c r="C714" s="354"/>
    </row>
    <row r="715" spans="2:3">
      <c r="B715" s="335"/>
      <c r="C715" s="354"/>
    </row>
    <row r="716" spans="2:3">
      <c r="B716" s="335"/>
      <c r="C716" s="354"/>
    </row>
    <row r="717" spans="2:3">
      <c r="B717" s="335"/>
      <c r="C717" s="354"/>
    </row>
    <row r="718" spans="2:3">
      <c r="B718" s="335"/>
      <c r="C718" s="354"/>
    </row>
    <row r="719" spans="2:3">
      <c r="B719" s="335"/>
      <c r="C719" s="354"/>
    </row>
    <row r="720" spans="2:3">
      <c r="B720" s="335"/>
      <c r="C720" s="354"/>
    </row>
    <row r="721" spans="2:3">
      <c r="B721" s="335"/>
      <c r="C721" s="354"/>
    </row>
    <row r="722" spans="2:3">
      <c r="B722" s="335"/>
      <c r="C722" s="354"/>
    </row>
    <row r="723" spans="2:3">
      <c r="B723" s="335"/>
      <c r="C723" s="354"/>
    </row>
    <row r="724" spans="2:3">
      <c r="B724" s="335"/>
      <c r="C724" s="354"/>
    </row>
    <row r="725" spans="2:3">
      <c r="B725" s="335"/>
      <c r="C725" s="354"/>
    </row>
    <row r="726" spans="2:3">
      <c r="B726" s="335"/>
      <c r="C726" s="354"/>
    </row>
    <row r="727" spans="2:3">
      <c r="B727" s="335"/>
      <c r="C727" s="354"/>
    </row>
    <row r="728" spans="2:3">
      <c r="B728" s="335"/>
      <c r="C728" s="354"/>
    </row>
    <row r="729" spans="2:3">
      <c r="B729" s="335"/>
      <c r="C729" s="354"/>
    </row>
    <row r="730" spans="2:3">
      <c r="B730" s="335"/>
      <c r="C730" s="354"/>
    </row>
    <row r="731" spans="2:3">
      <c r="B731" s="335"/>
      <c r="C731" s="354"/>
    </row>
    <row r="732" spans="2:3">
      <c r="B732" s="335"/>
      <c r="C732" s="354"/>
    </row>
    <row r="733" spans="2:3">
      <c r="B733" s="335"/>
      <c r="C733" s="354"/>
    </row>
    <row r="734" spans="2:3">
      <c r="B734" s="335"/>
      <c r="C734" s="354"/>
    </row>
    <row r="735" spans="2:3">
      <c r="B735" s="335"/>
      <c r="C735" s="354"/>
    </row>
    <row r="736" spans="2:3">
      <c r="B736" s="335"/>
      <c r="C736" s="354"/>
    </row>
    <row r="737" spans="2:3">
      <c r="B737" s="335"/>
      <c r="C737" s="354"/>
    </row>
    <row r="738" spans="2:3">
      <c r="B738" s="335"/>
      <c r="C738" s="354"/>
    </row>
    <row r="739" spans="2:3">
      <c r="B739" s="335"/>
      <c r="C739" s="354"/>
    </row>
    <row r="740" spans="2:3">
      <c r="B740" s="335"/>
      <c r="C740" s="354"/>
    </row>
    <row r="741" spans="2:3">
      <c r="B741" s="335"/>
      <c r="C741" s="354"/>
    </row>
    <row r="742" spans="2:3">
      <c r="B742" s="335"/>
      <c r="C742" s="354"/>
    </row>
    <row r="743" spans="2:3">
      <c r="B743" s="335"/>
      <c r="C743" s="354"/>
    </row>
    <row r="744" spans="2:3">
      <c r="B744" s="335"/>
      <c r="C744" s="354"/>
    </row>
    <row r="745" spans="2:3">
      <c r="B745" s="335"/>
      <c r="C745" s="354"/>
    </row>
    <row r="746" spans="2:3">
      <c r="B746" s="335"/>
      <c r="C746" s="354"/>
    </row>
    <row r="747" spans="2:3">
      <c r="B747" s="335"/>
      <c r="C747" s="354"/>
    </row>
    <row r="748" spans="2:3">
      <c r="B748" s="335"/>
      <c r="C748" s="354"/>
    </row>
    <row r="749" spans="2:3">
      <c r="B749" s="335"/>
      <c r="C749" s="354"/>
    </row>
    <row r="750" spans="2:3">
      <c r="B750" s="335"/>
      <c r="C750" s="354"/>
    </row>
    <row r="751" spans="2:3">
      <c r="B751" s="335"/>
      <c r="C751" s="354"/>
    </row>
    <row r="752" spans="2:3">
      <c r="B752" s="335"/>
      <c r="C752" s="354"/>
    </row>
    <row r="753" spans="2:3">
      <c r="B753" s="335"/>
      <c r="C753" s="354"/>
    </row>
    <row r="754" spans="2:3">
      <c r="B754" s="335"/>
      <c r="C754" s="354"/>
    </row>
    <row r="755" spans="2:3">
      <c r="B755" s="335"/>
      <c r="C755" s="354"/>
    </row>
    <row r="756" spans="2:3">
      <c r="B756" s="335"/>
      <c r="C756" s="354"/>
    </row>
    <row r="757" spans="2:3">
      <c r="B757" s="335"/>
      <c r="C757" s="354"/>
    </row>
    <row r="758" spans="2:3">
      <c r="B758" s="335"/>
      <c r="C758" s="354"/>
    </row>
    <row r="759" spans="2:3">
      <c r="B759" s="335"/>
      <c r="C759" s="354"/>
    </row>
    <row r="760" spans="2:3">
      <c r="B760" s="335"/>
      <c r="C760" s="354"/>
    </row>
    <row r="761" spans="2:3">
      <c r="B761" s="335"/>
      <c r="C761" s="354"/>
    </row>
    <row r="762" spans="2:3">
      <c r="B762" s="335"/>
      <c r="C762" s="354"/>
    </row>
    <row r="763" spans="2:3">
      <c r="B763" s="335"/>
      <c r="C763" s="354"/>
    </row>
    <row r="764" spans="2:3">
      <c r="B764" s="335"/>
      <c r="C764" s="354"/>
    </row>
    <row r="765" spans="2:3">
      <c r="B765" s="335"/>
      <c r="C765" s="354"/>
    </row>
    <row r="766" spans="2:3">
      <c r="B766" s="335"/>
      <c r="C766" s="354"/>
    </row>
    <row r="767" spans="2:3">
      <c r="B767" s="335"/>
      <c r="C767" s="354"/>
    </row>
    <row r="768" spans="2:3">
      <c r="B768" s="335"/>
      <c r="C768" s="354"/>
    </row>
    <row r="769" spans="2:3">
      <c r="B769" s="335"/>
      <c r="C769" s="354"/>
    </row>
    <row r="770" spans="2:3">
      <c r="B770" s="335"/>
      <c r="C770" s="354"/>
    </row>
    <row r="771" spans="2:3">
      <c r="B771" s="335"/>
      <c r="C771" s="354"/>
    </row>
    <row r="772" spans="2:3">
      <c r="B772" s="335"/>
      <c r="C772" s="354"/>
    </row>
    <row r="773" spans="2:3">
      <c r="B773" s="335"/>
      <c r="C773" s="354"/>
    </row>
    <row r="774" spans="2:3">
      <c r="B774" s="335"/>
      <c r="C774" s="354"/>
    </row>
    <row r="775" spans="2:3">
      <c r="B775" s="335"/>
      <c r="C775" s="354"/>
    </row>
    <row r="776" spans="2:3">
      <c r="B776" s="335"/>
      <c r="C776" s="354"/>
    </row>
    <row r="777" spans="2:3">
      <c r="B777" s="335"/>
      <c r="C777" s="354"/>
    </row>
    <row r="778" spans="2:3">
      <c r="B778" s="335"/>
      <c r="C778" s="354"/>
    </row>
    <row r="779" spans="2:3">
      <c r="B779" s="335"/>
      <c r="C779" s="354"/>
    </row>
    <row r="780" spans="2:3">
      <c r="B780" s="335"/>
      <c r="C780" s="354"/>
    </row>
    <row r="781" spans="2:3">
      <c r="B781" s="335"/>
      <c r="C781" s="354"/>
    </row>
    <row r="782" spans="2:3">
      <c r="B782" s="335"/>
      <c r="C782" s="354"/>
    </row>
    <row r="783" spans="2:3">
      <c r="B783" s="335"/>
      <c r="C783" s="354"/>
    </row>
    <row r="784" spans="2:3">
      <c r="B784" s="335"/>
      <c r="C784" s="354"/>
    </row>
    <row r="785" spans="2:3">
      <c r="B785" s="335"/>
      <c r="C785" s="354"/>
    </row>
    <row r="786" spans="2:3">
      <c r="B786" s="335"/>
      <c r="C786" s="354"/>
    </row>
    <row r="787" spans="2:3">
      <c r="B787" s="335"/>
      <c r="C787" s="354"/>
    </row>
    <row r="788" spans="2:3">
      <c r="B788" s="335"/>
      <c r="C788" s="354"/>
    </row>
    <row r="789" spans="2:3">
      <c r="B789" s="335"/>
      <c r="C789" s="354"/>
    </row>
    <row r="790" spans="2:3">
      <c r="B790" s="335"/>
      <c r="C790" s="354"/>
    </row>
    <row r="791" spans="2:3">
      <c r="B791" s="335"/>
      <c r="C791" s="354"/>
    </row>
    <row r="792" spans="2:3">
      <c r="B792" s="335"/>
      <c r="C792" s="354"/>
    </row>
    <row r="793" spans="2:3">
      <c r="B793" s="335"/>
      <c r="C793" s="354"/>
    </row>
    <row r="794" spans="2:3">
      <c r="B794" s="335"/>
      <c r="C794" s="354"/>
    </row>
    <row r="795" spans="2:3">
      <c r="B795" s="335"/>
      <c r="C795" s="354"/>
    </row>
    <row r="796" spans="2:3">
      <c r="B796" s="335"/>
      <c r="C796" s="354"/>
    </row>
    <row r="797" spans="2:3">
      <c r="B797" s="335"/>
      <c r="C797" s="354"/>
    </row>
    <row r="798" spans="2:3">
      <c r="B798" s="335"/>
      <c r="C798" s="354"/>
    </row>
    <row r="799" spans="2:3">
      <c r="B799" s="335"/>
      <c r="C799" s="354"/>
    </row>
    <row r="800" spans="2:3">
      <c r="B800" s="335"/>
      <c r="C800" s="354"/>
    </row>
    <row r="801" spans="2:3">
      <c r="B801" s="335"/>
      <c r="C801" s="354"/>
    </row>
    <row r="802" spans="2:3">
      <c r="B802" s="335"/>
      <c r="C802" s="354"/>
    </row>
    <row r="803" spans="2:3">
      <c r="B803" s="335"/>
      <c r="C803" s="354"/>
    </row>
    <row r="804" spans="2:3">
      <c r="B804" s="335"/>
      <c r="C804" s="354"/>
    </row>
    <row r="805" spans="2:3">
      <c r="B805" s="335"/>
      <c r="C805" s="354"/>
    </row>
    <row r="806" spans="2:3">
      <c r="B806" s="335"/>
      <c r="C806" s="354"/>
    </row>
    <row r="807" spans="2:3">
      <c r="B807" s="335"/>
      <c r="C807" s="354"/>
    </row>
    <row r="808" spans="2:3">
      <c r="B808" s="335"/>
      <c r="C808" s="354"/>
    </row>
    <row r="809" spans="2:3">
      <c r="B809" s="335"/>
      <c r="C809" s="354"/>
    </row>
    <row r="810" spans="2:3">
      <c r="B810" s="335"/>
      <c r="C810" s="354"/>
    </row>
    <row r="811" spans="2:3">
      <c r="B811" s="335"/>
      <c r="C811" s="354"/>
    </row>
    <row r="812" spans="2:3">
      <c r="B812" s="335"/>
      <c r="C812" s="354"/>
    </row>
    <row r="813" spans="2:3">
      <c r="B813" s="335"/>
      <c r="C813" s="354"/>
    </row>
    <row r="814" spans="2:3">
      <c r="B814" s="335"/>
      <c r="C814" s="354"/>
    </row>
    <row r="815" spans="2:3">
      <c r="B815" s="335"/>
      <c r="C815" s="354"/>
    </row>
    <row r="816" spans="2:3">
      <c r="B816" s="335"/>
      <c r="C816" s="354"/>
    </row>
    <row r="817" spans="2:3">
      <c r="B817" s="335"/>
      <c r="C817" s="354"/>
    </row>
    <row r="818" spans="2:3">
      <c r="B818" s="335"/>
      <c r="C818" s="354"/>
    </row>
    <row r="819" spans="2:3">
      <c r="B819" s="335"/>
      <c r="C819" s="354"/>
    </row>
    <row r="820" spans="2:3">
      <c r="B820" s="335"/>
      <c r="C820" s="354"/>
    </row>
    <row r="821" spans="2:3">
      <c r="B821" s="335"/>
      <c r="C821" s="354"/>
    </row>
    <row r="822" spans="2:3">
      <c r="B822" s="335"/>
      <c r="C822" s="354"/>
    </row>
    <row r="823" spans="2:3">
      <c r="B823" s="335"/>
      <c r="C823" s="354"/>
    </row>
    <row r="824" spans="2:3">
      <c r="B824" s="335"/>
      <c r="C824" s="354"/>
    </row>
    <row r="825" spans="2:3">
      <c r="B825" s="335"/>
      <c r="C825" s="354"/>
    </row>
    <row r="826" spans="2:3">
      <c r="B826" s="335"/>
      <c r="C826" s="354"/>
    </row>
    <row r="827" spans="2:3">
      <c r="B827" s="335"/>
      <c r="C827" s="354"/>
    </row>
    <row r="828" spans="2:3">
      <c r="B828" s="335"/>
      <c r="C828" s="354"/>
    </row>
    <row r="829" spans="2:3">
      <c r="B829" s="335"/>
      <c r="C829" s="354"/>
    </row>
    <row r="830" spans="2:3">
      <c r="B830" s="335"/>
      <c r="C830" s="354"/>
    </row>
    <row r="831" spans="2:3">
      <c r="B831" s="335"/>
      <c r="C831" s="354"/>
    </row>
    <row r="832" spans="2:3">
      <c r="B832" s="335"/>
      <c r="C832" s="354"/>
    </row>
    <row r="833" spans="2:3">
      <c r="B833" s="335"/>
      <c r="C833" s="354"/>
    </row>
    <row r="834" spans="2:3">
      <c r="B834" s="335"/>
      <c r="C834" s="354"/>
    </row>
    <row r="835" spans="2:3">
      <c r="B835" s="335"/>
      <c r="C835" s="354"/>
    </row>
    <row r="836" spans="2:3">
      <c r="B836" s="335"/>
      <c r="C836" s="354"/>
    </row>
    <row r="837" spans="2:3">
      <c r="B837" s="335"/>
      <c r="C837" s="354"/>
    </row>
    <row r="838" spans="2:3">
      <c r="B838" s="335"/>
      <c r="C838" s="354"/>
    </row>
    <row r="839" spans="2:3">
      <c r="B839" s="335"/>
      <c r="C839" s="354"/>
    </row>
    <row r="840" spans="2:3">
      <c r="B840" s="335"/>
      <c r="C840" s="354"/>
    </row>
    <row r="841" spans="2:3">
      <c r="B841" s="335"/>
      <c r="C841" s="354"/>
    </row>
    <row r="842" spans="2:3">
      <c r="B842" s="335"/>
      <c r="C842" s="354"/>
    </row>
    <row r="843" spans="2:3">
      <c r="B843" s="335"/>
      <c r="C843" s="354"/>
    </row>
    <row r="844" spans="2:3">
      <c r="B844" s="335"/>
      <c r="C844" s="354"/>
    </row>
    <row r="845" spans="2:3">
      <c r="B845" s="335"/>
      <c r="C845" s="354"/>
    </row>
    <row r="846" spans="2:3">
      <c r="B846" s="335"/>
      <c r="C846" s="354"/>
    </row>
    <row r="847" spans="2:3">
      <c r="B847" s="335"/>
      <c r="C847" s="354"/>
    </row>
    <row r="848" spans="2:3">
      <c r="B848" s="335"/>
      <c r="C848" s="354"/>
    </row>
    <row r="849" spans="2:3">
      <c r="B849" s="335"/>
      <c r="C849" s="354"/>
    </row>
    <row r="850" spans="2:3">
      <c r="B850" s="335"/>
      <c r="C850" s="354"/>
    </row>
    <row r="851" spans="2:3">
      <c r="B851" s="335"/>
      <c r="C851" s="354"/>
    </row>
    <row r="852" spans="2:3">
      <c r="B852" s="335"/>
      <c r="C852" s="354"/>
    </row>
    <row r="853" spans="2:3">
      <c r="B853" s="335"/>
      <c r="C853" s="354"/>
    </row>
    <row r="854" spans="2:3">
      <c r="B854" s="335"/>
      <c r="C854" s="354"/>
    </row>
    <row r="855" spans="2:3">
      <c r="B855" s="335"/>
      <c r="C855" s="354"/>
    </row>
    <row r="856" spans="2:3">
      <c r="B856" s="335"/>
      <c r="C856" s="354"/>
    </row>
    <row r="857" spans="2:3">
      <c r="B857" s="335"/>
      <c r="C857" s="354"/>
    </row>
    <row r="858" spans="2:3">
      <c r="B858" s="335"/>
      <c r="C858" s="354"/>
    </row>
    <row r="859" spans="2:3">
      <c r="B859" s="335"/>
      <c r="C859" s="354"/>
    </row>
    <row r="860" spans="2:3">
      <c r="B860" s="335"/>
      <c r="C860" s="354"/>
    </row>
    <row r="861" spans="2:3">
      <c r="B861" s="335"/>
      <c r="C861" s="354"/>
    </row>
    <row r="862" spans="2:3">
      <c r="B862" s="335"/>
      <c r="C862" s="354"/>
    </row>
    <row r="863" spans="2:3">
      <c r="B863" s="335"/>
      <c r="C863" s="354"/>
    </row>
    <row r="864" spans="2:3">
      <c r="B864" s="335"/>
      <c r="C864" s="354"/>
    </row>
    <row r="865" spans="2:3">
      <c r="B865" s="335"/>
      <c r="C865" s="354"/>
    </row>
    <row r="866" spans="2:3">
      <c r="B866" s="335"/>
      <c r="C866" s="354"/>
    </row>
    <row r="867" spans="2:3">
      <c r="B867" s="335"/>
      <c r="C867" s="354"/>
    </row>
    <row r="868" spans="2:3">
      <c r="B868" s="335"/>
      <c r="C868" s="354"/>
    </row>
    <row r="869" spans="2:3">
      <c r="B869" s="335"/>
      <c r="C869" s="354"/>
    </row>
    <row r="870" spans="2:3">
      <c r="B870" s="335"/>
      <c r="C870" s="354"/>
    </row>
    <row r="871" spans="2:3">
      <c r="B871" s="335"/>
      <c r="C871" s="354"/>
    </row>
    <row r="872" spans="2:3">
      <c r="B872" s="335"/>
      <c r="C872" s="354"/>
    </row>
    <row r="873" spans="2:3">
      <c r="B873" s="335"/>
      <c r="C873" s="354"/>
    </row>
    <row r="874" spans="2:3">
      <c r="B874" s="335"/>
      <c r="C874" s="354"/>
    </row>
    <row r="875" spans="2:3">
      <c r="B875" s="335"/>
      <c r="C875" s="354"/>
    </row>
    <row r="876" spans="2:3">
      <c r="B876" s="335"/>
      <c r="C876" s="354"/>
    </row>
    <row r="877" spans="2:3">
      <c r="B877" s="335"/>
      <c r="C877" s="354"/>
    </row>
    <row r="878" spans="2:3">
      <c r="B878" s="335"/>
      <c r="C878" s="354"/>
    </row>
    <row r="879" spans="2:3">
      <c r="B879" s="335"/>
      <c r="C879" s="354"/>
    </row>
    <row r="880" spans="2:3">
      <c r="B880" s="335"/>
      <c r="C880" s="354"/>
    </row>
    <row r="881" spans="2:3">
      <c r="B881" s="335"/>
      <c r="C881" s="354"/>
    </row>
    <row r="882" spans="2:3">
      <c r="B882" s="335"/>
      <c r="C882" s="354"/>
    </row>
    <row r="883" spans="2:3">
      <c r="B883" s="335"/>
      <c r="C883" s="354"/>
    </row>
    <row r="884" spans="2:3">
      <c r="B884" s="335"/>
      <c r="C884" s="354"/>
    </row>
    <row r="885" spans="2:3">
      <c r="B885" s="335"/>
      <c r="C885" s="354"/>
    </row>
    <row r="886" spans="2:3">
      <c r="B886" s="335"/>
      <c r="C886" s="354"/>
    </row>
    <row r="887" spans="2:3">
      <c r="B887" s="335"/>
      <c r="C887" s="354"/>
    </row>
    <row r="888" spans="2:3">
      <c r="B888" s="335"/>
      <c r="C888" s="354"/>
    </row>
    <row r="889" spans="2:3">
      <c r="B889" s="335"/>
      <c r="C889" s="354"/>
    </row>
    <row r="890" spans="2:3">
      <c r="B890" s="335"/>
      <c r="C890" s="354"/>
    </row>
    <row r="891" spans="2:3">
      <c r="B891" s="335"/>
      <c r="C891" s="354"/>
    </row>
    <row r="892" spans="2:3">
      <c r="B892" s="335"/>
      <c r="C892" s="354"/>
    </row>
    <row r="893" spans="2:3">
      <c r="B893" s="335"/>
      <c r="C893" s="354"/>
    </row>
    <row r="894" spans="2:3">
      <c r="B894" s="335"/>
      <c r="C894" s="354"/>
    </row>
    <row r="895" spans="2:3">
      <c r="B895" s="335"/>
      <c r="C895" s="354"/>
    </row>
    <row r="896" spans="2:3">
      <c r="B896" s="335"/>
      <c r="C896" s="354"/>
    </row>
    <row r="897" spans="2:3">
      <c r="B897" s="335"/>
      <c r="C897" s="354"/>
    </row>
    <row r="898" spans="2:3">
      <c r="B898" s="335"/>
      <c r="C898" s="354"/>
    </row>
    <row r="899" spans="2:3">
      <c r="B899" s="335"/>
      <c r="C899" s="354"/>
    </row>
    <row r="900" spans="2:3">
      <c r="B900" s="335"/>
      <c r="C900" s="354"/>
    </row>
    <row r="902" spans="2:3">
      <c r="B902" s="337"/>
      <c r="C902" s="21"/>
    </row>
    <row r="903" spans="2:3">
      <c r="B903" s="337"/>
      <c r="C903" s="21"/>
    </row>
    <row r="904" spans="2:3">
      <c r="B904" s="337"/>
      <c r="C904" s="21"/>
    </row>
    <row r="905" spans="2:3">
      <c r="B905" s="337"/>
    </row>
    <row r="906" spans="2:3">
      <c r="B906" s="337"/>
    </row>
    <row r="907" spans="2:3">
      <c r="B907" s="337"/>
    </row>
    <row r="908" spans="2:3">
      <c r="B908" s="337"/>
    </row>
    <row r="909" spans="2:3">
      <c r="B909" s="337"/>
    </row>
    <row r="910" spans="2:3">
      <c r="B910" s="337"/>
    </row>
    <row r="911" spans="2:3">
      <c r="B911" s="337"/>
    </row>
    <row r="912" spans="2:3">
      <c r="B912" s="337"/>
    </row>
    <row r="913" spans="2:2">
      <c r="B913" s="337"/>
    </row>
    <row r="914" spans="2:2">
      <c r="B914" s="337"/>
    </row>
    <row r="915" spans="2:2">
      <c r="B915" s="337"/>
    </row>
    <row r="916" spans="2:2">
      <c r="B916" s="337"/>
    </row>
    <row r="917" spans="2:2">
      <c r="B917" s="337"/>
    </row>
    <row r="918" spans="2:2">
      <c r="B918" s="337"/>
    </row>
    <row r="919" spans="2:2">
      <c r="B919" s="337"/>
    </row>
    <row r="920" spans="2:2">
      <c r="B920" s="337"/>
    </row>
    <row r="921" spans="2:2">
      <c r="B921" s="337"/>
    </row>
    <row r="922" spans="2:2">
      <c r="B922" s="337"/>
    </row>
    <row r="923" spans="2:2">
      <c r="B923" s="337"/>
    </row>
    <row r="924" spans="2:2">
      <c r="B924" s="337"/>
    </row>
    <row r="925" spans="2:2">
      <c r="B925" s="337"/>
    </row>
    <row r="926" spans="2:2">
      <c r="B926" s="337"/>
    </row>
    <row r="927" spans="2:2">
      <c r="B927" s="337"/>
    </row>
    <row r="928" spans="2:2">
      <c r="B928" s="337"/>
    </row>
    <row r="929" spans="2:2">
      <c r="B929" s="337"/>
    </row>
    <row r="930" spans="2:2">
      <c r="B930" s="337"/>
    </row>
    <row r="931" spans="2:2">
      <c r="B931" s="337"/>
    </row>
    <row r="932" spans="2:2">
      <c r="B932" s="337"/>
    </row>
    <row r="933" spans="2:2">
      <c r="B933" s="337"/>
    </row>
    <row r="934" spans="2:2">
      <c r="B934" s="337"/>
    </row>
    <row r="935" spans="2:2">
      <c r="B935" s="337"/>
    </row>
    <row r="936" spans="2:2">
      <c r="B936" s="337"/>
    </row>
    <row r="937" spans="2:2">
      <c r="B937" s="337"/>
    </row>
    <row r="938" spans="2:2">
      <c r="B938" s="337"/>
    </row>
    <row r="939" spans="2:2">
      <c r="B939" s="337"/>
    </row>
    <row r="940" spans="2:2">
      <c r="B940" s="337"/>
    </row>
    <row r="941" spans="2:2">
      <c r="B941" s="337"/>
    </row>
    <row r="947" spans="2:2">
      <c r="B947" s="337"/>
    </row>
    <row r="948" spans="2:2">
      <c r="B948" s="337"/>
    </row>
    <row r="949" spans="2:2">
      <c r="B949" s="337"/>
    </row>
    <row r="950" spans="2:2">
      <c r="B950" s="337"/>
    </row>
    <row r="951" spans="2:2">
      <c r="B951" s="337"/>
    </row>
    <row r="952" spans="2:2">
      <c r="B952" s="337"/>
    </row>
    <row r="953" spans="2:2">
      <c r="B953" s="337"/>
    </row>
    <row r="954" spans="2:2">
      <c r="B954" s="337"/>
    </row>
    <row r="955" spans="2:2">
      <c r="B955" s="337"/>
    </row>
    <row r="956" spans="2:2">
      <c r="B956" s="337"/>
    </row>
    <row r="957" spans="2:2">
      <c r="B957" s="337"/>
    </row>
    <row r="958" spans="2:2">
      <c r="B958" s="337"/>
    </row>
    <row r="959" spans="2:2">
      <c r="B959" s="337"/>
    </row>
    <row r="960" spans="2:2">
      <c r="B960" s="337"/>
    </row>
    <row r="961" spans="2:2">
      <c r="B961" s="337"/>
    </row>
    <row r="962" spans="2:2">
      <c r="B962" s="337"/>
    </row>
    <row r="963" spans="2:2">
      <c r="B963" s="337"/>
    </row>
    <row r="964" spans="2:2">
      <c r="B964" s="337"/>
    </row>
    <row r="965" spans="2:2">
      <c r="B965" s="337"/>
    </row>
    <row r="966" spans="2:2">
      <c r="B966" s="337"/>
    </row>
    <row r="967" spans="2:2">
      <c r="B967" s="337"/>
    </row>
    <row r="968" spans="2:2">
      <c r="B968" s="337"/>
    </row>
    <row r="969" spans="2:2">
      <c r="B969" s="337"/>
    </row>
    <row r="970" spans="2:2">
      <c r="B970" s="337"/>
    </row>
    <row r="971" spans="2:2">
      <c r="B971" s="337"/>
    </row>
    <row r="972" spans="2:2">
      <c r="B972" s="337"/>
    </row>
    <row r="973" spans="2:2">
      <c r="B973" s="337"/>
    </row>
    <row r="974" spans="2:2">
      <c r="B974" s="337"/>
    </row>
    <row r="975" spans="2:2">
      <c r="B975" s="337"/>
    </row>
    <row r="976" spans="2:2">
      <c r="B976" s="337"/>
    </row>
    <row r="977" spans="2:2">
      <c r="B977" s="337"/>
    </row>
    <row r="978" spans="2:2">
      <c r="B978" s="337"/>
    </row>
    <row r="979" spans="2:2">
      <c r="B979" s="337"/>
    </row>
    <row r="980" spans="2:2">
      <c r="B980" s="337"/>
    </row>
    <row r="981" spans="2:2">
      <c r="B981" s="337"/>
    </row>
    <row r="982" spans="2:2">
      <c r="B982" s="337"/>
    </row>
    <row r="983" spans="2:2">
      <c r="B983" s="337"/>
    </row>
    <row r="984" spans="2:2">
      <c r="B984" s="337"/>
    </row>
    <row r="985" spans="2:2">
      <c r="B985" s="337"/>
    </row>
    <row r="986" spans="2:2">
      <c r="B986" s="337"/>
    </row>
  </sheetData>
  <autoFilter ref="B1:B986"/>
  <mergeCells count="2">
    <mergeCell ref="M2:T2"/>
    <mergeCell ref="Z2:AG2"/>
  </mergeCells>
  <conditionalFormatting sqref="B613:B1048576 B2:B7">
    <cfRule type="duplicateValues" dxfId="1296" priority="1748"/>
  </conditionalFormatting>
  <conditionalFormatting sqref="C620:C900">
    <cfRule type="cellIs" dxfId="1295" priority="1747" operator="between">
      <formula>41760</formula>
      <formula>41790</formula>
    </cfRule>
  </conditionalFormatting>
  <conditionalFormatting sqref="C791">
    <cfRule type="cellIs" dxfId="1294" priority="1746" operator="between">
      <formula>41760</formula>
      <formula>41790</formula>
    </cfRule>
  </conditionalFormatting>
  <conditionalFormatting sqref="C793">
    <cfRule type="cellIs" dxfId="1293" priority="1744" operator="between">
      <formula>41760</formula>
      <formula>41790</formula>
    </cfRule>
  </conditionalFormatting>
  <conditionalFormatting sqref="C794">
    <cfRule type="cellIs" dxfId="1292" priority="1743" operator="between">
      <formula>41760</formula>
      <formula>41790</formula>
    </cfRule>
  </conditionalFormatting>
  <conditionalFormatting sqref="C812">
    <cfRule type="cellIs" dxfId="1291" priority="1742" operator="between">
      <formula>41760</formula>
      <formula>41790</formula>
    </cfRule>
  </conditionalFormatting>
  <conditionalFormatting sqref="C813">
    <cfRule type="cellIs" dxfId="1290" priority="1741" operator="between">
      <formula>41760</formula>
      <formula>41790</formula>
    </cfRule>
  </conditionalFormatting>
  <conditionalFormatting sqref="C814">
    <cfRule type="cellIs" dxfId="1289" priority="1740" operator="between">
      <formula>41760</formula>
      <formula>41790</formula>
    </cfRule>
  </conditionalFormatting>
  <conditionalFormatting sqref="C815">
    <cfRule type="cellIs" dxfId="1288" priority="1739" operator="between">
      <formula>41760</formula>
      <formula>41790</formula>
    </cfRule>
  </conditionalFormatting>
  <conditionalFormatting sqref="C816">
    <cfRule type="cellIs" dxfId="1287" priority="1738" operator="between">
      <formula>41760</formula>
      <formula>41790</formula>
    </cfRule>
  </conditionalFormatting>
  <conditionalFormatting sqref="C826">
    <cfRule type="cellIs" dxfId="1286" priority="1737" operator="between">
      <formula>41760</formula>
      <formula>41790</formula>
    </cfRule>
  </conditionalFormatting>
  <conditionalFormatting sqref="C827">
    <cfRule type="cellIs" dxfId="1285" priority="1736" operator="between">
      <formula>41760</formula>
      <formula>41790</formula>
    </cfRule>
  </conditionalFormatting>
  <conditionalFormatting sqref="C829">
    <cfRule type="cellIs" dxfId="1284" priority="1735" operator="between">
      <formula>41760</formula>
      <formula>41790</formula>
    </cfRule>
  </conditionalFormatting>
  <conditionalFormatting sqref="C851">
    <cfRule type="cellIs" dxfId="1283" priority="1734" operator="between">
      <formula>41760</formula>
      <formula>41790</formula>
    </cfRule>
  </conditionalFormatting>
  <conditionalFormatting sqref="C852">
    <cfRule type="cellIs" dxfId="1282" priority="1733" operator="between">
      <formula>41760</formula>
      <formula>41790</formula>
    </cfRule>
  </conditionalFormatting>
  <conditionalFormatting sqref="C853">
    <cfRule type="cellIs" dxfId="1281" priority="1732" operator="between">
      <formula>41760</formula>
      <formula>41790</formula>
    </cfRule>
  </conditionalFormatting>
  <conditionalFormatting sqref="C854">
    <cfRule type="cellIs" dxfId="1280" priority="1731" operator="between">
      <formula>41760</formula>
      <formula>41790</formula>
    </cfRule>
  </conditionalFormatting>
  <conditionalFormatting sqref="C855">
    <cfRule type="cellIs" dxfId="1279" priority="1730" operator="between">
      <formula>41760</formula>
      <formula>41790</formula>
    </cfRule>
  </conditionalFormatting>
  <conditionalFormatting sqref="C856">
    <cfRule type="cellIs" dxfId="1278" priority="1729" operator="between">
      <formula>41760</formula>
      <formula>41790</formula>
    </cfRule>
  </conditionalFormatting>
  <conditionalFormatting sqref="C857">
    <cfRule type="cellIs" dxfId="1277" priority="1728" operator="between">
      <formula>41760</formula>
      <formula>41790</formula>
    </cfRule>
  </conditionalFormatting>
  <conditionalFormatting sqref="C858">
    <cfRule type="cellIs" dxfId="1276" priority="1727" operator="between">
      <formula>41760</formula>
      <formula>41790</formula>
    </cfRule>
  </conditionalFormatting>
  <conditionalFormatting sqref="C859">
    <cfRule type="cellIs" dxfId="1275" priority="1726" operator="between">
      <formula>41760</formula>
      <formula>41790</formula>
    </cfRule>
  </conditionalFormatting>
  <conditionalFormatting sqref="C860">
    <cfRule type="cellIs" dxfId="1274" priority="1725" operator="between">
      <formula>41760</formula>
      <formula>41790</formula>
    </cfRule>
  </conditionalFormatting>
  <conditionalFormatting sqref="C861">
    <cfRule type="cellIs" dxfId="1273" priority="1724" operator="between">
      <formula>41760</formula>
      <formula>41790</formula>
    </cfRule>
  </conditionalFormatting>
  <conditionalFormatting sqref="C862">
    <cfRule type="cellIs" dxfId="1272" priority="1723" operator="between">
      <formula>41760</formula>
      <formula>41790</formula>
    </cfRule>
  </conditionalFormatting>
  <conditionalFormatting sqref="C863">
    <cfRule type="cellIs" dxfId="1271" priority="1722" operator="between">
      <formula>41760</formula>
      <formula>41790</formula>
    </cfRule>
  </conditionalFormatting>
  <conditionalFormatting sqref="C864">
    <cfRule type="cellIs" dxfId="1270" priority="1721" operator="between">
      <formula>41760</formula>
      <formula>41790</formula>
    </cfRule>
  </conditionalFormatting>
  <conditionalFormatting sqref="C865">
    <cfRule type="cellIs" dxfId="1269" priority="1720" operator="between">
      <formula>41760</formula>
      <formula>41790</formula>
    </cfRule>
  </conditionalFormatting>
  <conditionalFormatting sqref="C866">
    <cfRule type="cellIs" dxfId="1268" priority="1719" operator="between">
      <formula>41760</formula>
      <formula>41790</formula>
    </cfRule>
  </conditionalFormatting>
  <conditionalFormatting sqref="C867">
    <cfRule type="cellIs" dxfId="1267" priority="1718" operator="between">
      <formula>41760</formula>
      <formula>41790</formula>
    </cfRule>
  </conditionalFormatting>
  <conditionalFormatting sqref="C868">
    <cfRule type="cellIs" dxfId="1266" priority="1717" operator="between">
      <formula>41760</formula>
      <formula>41790</formula>
    </cfRule>
  </conditionalFormatting>
  <conditionalFormatting sqref="C869">
    <cfRule type="cellIs" dxfId="1265" priority="1716" operator="between">
      <formula>41760</formula>
      <formula>41790</formula>
    </cfRule>
  </conditionalFormatting>
  <conditionalFormatting sqref="B613:B1048576">
    <cfRule type="duplicateValues" dxfId="1264" priority="1753"/>
  </conditionalFormatting>
  <conditionalFormatting sqref="C870:C889 C830:C850 C828 C817:C825 C795:C811 C756:C787 C649:C754">
    <cfRule type="cellIs" dxfId="1263" priority="1752" operator="between">
      <formula>41760</formula>
      <formula>41790</formula>
    </cfRule>
  </conditionalFormatting>
  <conditionalFormatting sqref="C648">
    <cfRule type="cellIs" dxfId="1262" priority="1751" operator="between">
      <formula>41760</formula>
      <formula>41790</formula>
    </cfRule>
  </conditionalFormatting>
  <conditionalFormatting sqref="C755">
    <cfRule type="cellIs" dxfId="1261" priority="1750" operator="between">
      <formula>41760</formula>
      <formula>41790</formula>
    </cfRule>
  </conditionalFormatting>
  <conditionalFormatting sqref="C788">
    <cfRule type="cellIs" dxfId="1260" priority="1749" operator="between">
      <formula>41760</formula>
      <formula>41790</formula>
    </cfRule>
  </conditionalFormatting>
  <conditionalFormatting sqref="C789">
    <cfRule type="cellIs" dxfId="1259" priority="1754" operator="between">
      <formula>41760</formula>
      <formula>41790</formula>
    </cfRule>
  </conditionalFormatting>
  <conditionalFormatting sqref="C792">
    <cfRule type="cellIs" dxfId="1258" priority="1745" operator="between">
      <formula>41760</formula>
      <formula>41790</formula>
    </cfRule>
  </conditionalFormatting>
  <conditionalFormatting sqref="B613:B1048576 B4:B7">
    <cfRule type="duplicateValues" dxfId="1257" priority="1755"/>
  </conditionalFormatting>
  <conditionalFormatting sqref="B613:B1048576">
    <cfRule type="duplicateValues" dxfId="1256" priority="1756"/>
  </conditionalFormatting>
  <conditionalFormatting sqref="B2:B7">
    <cfRule type="duplicateValues" dxfId="1255" priority="1757"/>
  </conditionalFormatting>
  <conditionalFormatting sqref="B2:B7">
    <cfRule type="duplicateValues" dxfId="1254" priority="1758"/>
  </conditionalFormatting>
  <conditionalFormatting sqref="B620:B1048576 B4:B7">
    <cfRule type="duplicateValues" dxfId="1253" priority="1759"/>
  </conditionalFormatting>
  <conditionalFormatting sqref="L637:L1048576 B2:B7 L2:L7 B613:B1048576 L612:L624">
    <cfRule type="duplicateValues" dxfId="1252" priority="1715"/>
  </conditionalFormatting>
  <conditionalFormatting sqref="B2:B7">
    <cfRule type="duplicateValues" dxfId="1251" priority="1714"/>
  </conditionalFormatting>
  <conditionalFormatting sqref="B2:B7">
    <cfRule type="duplicateValues" dxfId="1250" priority="1713"/>
  </conditionalFormatting>
  <conditionalFormatting sqref="L625:L636">
    <cfRule type="duplicateValues" dxfId="1249" priority="1712"/>
  </conditionalFormatting>
  <conditionalFormatting sqref="B2:B7">
    <cfRule type="duplicateValues" dxfId="1248" priority="1760"/>
  </conditionalFormatting>
  <conditionalFormatting sqref="B612 B8:B606">
    <cfRule type="duplicateValues" dxfId="1247" priority="1711"/>
  </conditionalFormatting>
  <conditionalFormatting sqref="B607:B611">
    <cfRule type="duplicateValues" dxfId="1246" priority="1697"/>
  </conditionalFormatting>
  <conditionalFormatting sqref="B607:B611">
    <cfRule type="duplicateValues" dxfId="1245" priority="1696"/>
  </conditionalFormatting>
  <conditionalFormatting sqref="B607:B611">
    <cfRule type="duplicateValues" dxfId="1244" priority="1695"/>
  </conditionalFormatting>
  <conditionalFormatting sqref="B607:B611">
    <cfRule type="duplicateValues" dxfId="1243" priority="1694"/>
  </conditionalFormatting>
  <conditionalFormatting sqref="B607:B611">
    <cfRule type="duplicateValues" dxfId="1242" priority="1693"/>
  </conditionalFormatting>
  <conditionalFormatting sqref="B607:B611">
    <cfRule type="duplicateValues" dxfId="1241" priority="1692"/>
  </conditionalFormatting>
  <conditionalFormatting sqref="B607:B611">
    <cfRule type="duplicateValues" dxfId="1240" priority="1691"/>
  </conditionalFormatting>
  <conditionalFormatting sqref="B607:B611">
    <cfRule type="duplicateValues" dxfId="1239" priority="1690"/>
  </conditionalFormatting>
  <conditionalFormatting sqref="B607:B611">
    <cfRule type="duplicateValues" dxfId="1238" priority="1689"/>
  </conditionalFormatting>
  <conditionalFormatting sqref="B607:B611">
    <cfRule type="duplicateValues" dxfId="1237" priority="1688"/>
  </conditionalFormatting>
  <conditionalFormatting sqref="B607:B611">
    <cfRule type="duplicateValues" dxfId="1236" priority="1687"/>
  </conditionalFormatting>
  <conditionalFormatting sqref="B607:B611">
    <cfRule type="duplicateValues" dxfId="1235" priority="1686"/>
  </conditionalFormatting>
  <conditionalFormatting sqref="B607:B611">
    <cfRule type="duplicateValues" dxfId="1234" priority="1685"/>
  </conditionalFormatting>
  <conditionalFormatting sqref="B613:B1048576">
    <cfRule type="duplicateValues" dxfId="1233" priority="1761"/>
  </conditionalFormatting>
  <conditionalFormatting sqref="B1:B1048576">
    <cfRule type="duplicateValues" dxfId="1232" priority="1679"/>
  </conditionalFormatting>
  <conditionalFormatting sqref="B8:B612">
    <cfRule type="duplicateValues" dxfId="1231" priority="15422"/>
  </conditionalFormatting>
  <conditionalFormatting sqref="B1:B1048576">
    <cfRule type="duplicateValues" dxfId="1230" priority="15423"/>
  </conditionalFormatting>
  <conditionalFormatting sqref="B1:B1048576">
    <cfRule type="duplicateValues" dxfId="1229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O33"/>
  <sheetViews>
    <sheetView showGridLines="0" zoomScale="90" zoomScaleNormal="90" workbookViewId="0">
      <pane xSplit="12" ySplit="3" topLeftCell="M4" activePane="bottomRight" state="frozen"/>
      <selection pane="topRight" activeCell="N1" sqref="N1"/>
      <selection pane="bottomLeft" activeCell="A4" sqref="A4"/>
      <selection pane="bottomRight" activeCell="M18" sqref="L18:M18"/>
    </sheetView>
  </sheetViews>
  <sheetFormatPr defaultRowHeight="15"/>
  <cols>
    <col min="1" max="1" width="4.85546875" customWidth="1"/>
    <col min="2" max="2" width="8.42578125" customWidth="1"/>
    <col min="3" max="4" width="9.140625" style="480" hidden="1" customWidth="1"/>
    <col min="5" max="5" width="9.140625" style="480" customWidth="1"/>
    <col min="6" max="6" width="11.7109375" style="480" bestFit="1" customWidth="1"/>
    <col min="7" max="7" width="4.42578125" bestFit="1" customWidth="1"/>
    <col min="8" max="8" width="12" hidden="1" customWidth="1"/>
    <col min="9" max="9" width="12.42578125" customWidth="1"/>
    <col min="10" max="10" width="10.7109375" bestFit="1" customWidth="1"/>
    <col min="11" max="11" width="9.140625" style="632" customWidth="1"/>
    <col min="12" max="12" width="10.140625" style="632" customWidth="1"/>
    <col min="13" max="13" width="9.28515625" customWidth="1"/>
    <col min="14" max="14" width="7.42578125" customWidth="1"/>
    <col min="15" max="16" width="9" customWidth="1"/>
    <col min="17" max="17" width="9.5703125" style="4" customWidth="1"/>
    <col min="18" max="19" width="9.140625" style="4"/>
    <col min="20" max="20" width="10.5703125" style="338" bestFit="1" customWidth="1"/>
    <col min="21" max="21" width="8.5703125" customWidth="1"/>
    <col min="22" max="22" width="10.85546875" bestFit="1" customWidth="1"/>
    <col min="23" max="23" width="7.85546875" bestFit="1" customWidth="1"/>
    <col min="24" max="24" width="8.42578125" customWidth="1"/>
    <col min="25" max="25" width="11.7109375" bestFit="1" customWidth="1"/>
    <col min="27" max="27" width="7.85546875" customWidth="1"/>
    <col min="29" max="29" width="10" customWidth="1"/>
    <col min="30" max="30" width="9.140625" customWidth="1"/>
    <col min="31" max="31" width="8.140625" customWidth="1"/>
    <col min="32" max="32" width="8.28515625" customWidth="1"/>
    <col min="33" max="33" width="10.5703125" bestFit="1" customWidth="1"/>
    <col min="34" max="36" width="0" hidden="1" customWidth="1"/>
    <col min="37" max="37" width="9.7109375" hidden="1" customWidth="1"/>
    <col min="38" max="41" width="0" hidden="1" customWidth="1"/>
  </cols>
  <sheetData>
    <row r="1" spans="1:41" ht="31.5">
      <c r="A1" s="541" t="s">
        <v>60</v>
      </c>
      <c r="B1" s="542" t="s">
        <v>68</v>
      </c>
      <c r="C1" s="542" t="s">
        <v>128</v>
      </c>
      <c r="D1" s="543" t="s">
        <v>129</v>
      </c>
      <c r="E1" s="542" t="s">
        <v>61</v>
      </c>
      <c r="F1" s="543" t="s">
        <v>62</v>
      </c>
      <c r="G1" s="544" t="s">
        <v>130</v>
      </c>
      <c r="H1" s="545" t="s">
        <v>63</v>
      </c>
      <c r="I1" s="546" t="s">
        <v>64</v>
      </c>
      <c r="J1" s="546" t="s">
        <v>6160</v>
      </c>
      <c r="K1" s="546" t="s">
        <v>65</v>
      </c>
      <c r="L1" s="546" t="s">
        <v>66</v>
      </c>
      <c r="M1" s="715" t="s">
        <v>6022</v>
      </c>
      <c r="N1" s="716"/>
      <c r="O1" s="716"/>
      <c r="P1" s="716"/>
      <c r="Q1" s="716"/>
      <c r="R1" s="716"/>
      <c r="S1" s="716"/>
      <c r="T1" s="717"/>
      <c r="U1" s="339" t="s">
        <v>6145</v>
      </c>
      <c r="V1" s="340" t="s">
        <v>6146</v>
      </c>
      <c r="W1" s="340" t="s">
        <v>6147</v>
      </c>
      <c r="X1" s="341" t="s">
        <v>6321</v>
      </c>
      <c r="Y1" s="470" t="s">
        <v>6148</v>
      </c>
      <c r="Z1" s="718" t="s">
        <v>6322</v>
      </c>
      <c r="AA1" s="719"/>
      <c r="AB1" s="719"/>
      <c r="AC1" s="719"/>
      <c r="AD1" s="719"/>
      <c r="AE1" s="719"/>
      <c r="AF1" s="719"/>
      <c r="AG1" s="720"/>
    </row>
    <row r="2" spans="1:41" ht="33.75">
      <c r="A2" s="547" t="s">
        <v>67</v>
      </c>
      <c r="B2" s="483" t="s">
        <v>68</v>
      </c>
      <c r="C2" s="483" t="s">
        <v>150</v>
      </c>
      <c r="D2" s="426" t="s">
        <v>69</v>
      </c>
      <c r="E2" s="483" t="s">
        <v>70</v>
      </c>
      <c r="F2" s="426" t="s">
        <v>69</v>
      </c>
      <c r="G2" s="53" t="s">
        <v>151</v>
      </c>
      <c r="H2" s="33" t="s">
        <v>71</v>
      </c>
      <c r="I2" s="352" t="s">
        <v>1</v>
      </c>
      <c r="J2" s="352" t="s">
        <v>72</v>
      </c>
      <c r="K2" s="352" t="s">
        <v>6315</v>
      </c>
      <c r="L2" s="352" t="s">
        <v>0</v>
      </c>
      <c r="M2" s="59" t="s">
        <v>73</v>
      </c>
      <c r="N2" s="59" t="s">
        <v>2</v>
      </c>
      <c r="O2" s="59" t="s">
        <v>3</v>
      </c>
      <c r="P2" s="59" t="s">
        <v>0</v>
      </c>
      <c r="Q2" s="59" t="s">
        <v>4</v>
      </c>
      <c r="R2" s="298" t="s">
        <v>74</v>
      </c>
      <c r="S2" s="59" t="s">
        <v>75</v>
      </c>
      <c r="T2" s="548" t="s">
        <v>76</v>
      </c>
      <c r="U2" s="359" t="s">
        <v>6149</v>
      </c>
      <c r="V2" s="360" t="s">
        <v>6150</v>
      </c>
      <c r="W2" s="360" t="s">
        <v>6151</v>
      </c>
      <c r="X2" s="361" t="s">
        <v>6563</v>
      </c>
      <c r="Y2" s="561" t="s">
        <v>6153</v>
      </c>
      <c r="Z2" s="563" t="s">
        <v>73</v>
      </c>
      <c r="AA2" s="363" t="s">
        <v>2</v>
      </c>
      <c r="AB2" s="363" t="s">
        <v>3</v>
      </c>
      <c r="AC2" s="363" t="s">
        <v>0</v>
      </c>
      <c r="AD2" s="363" t="s">
        <v>4</v>
      </c>
      <c r="AE2" s="364" t="s">
        <v>74</v>
      </c>
      <c r="AF2" s="363" t="s">
        <v>75</v>
      </c>
      <c r="AG2" s="564" t="s">
        <v>76</v>
      </c>
    </row>
    <row r="3" spans="1:41" ht="24" thickBot="1">
      <c r="A3" s="576" t="s">
        <v>6584</v>
      </c>
      <c r="B3" s="35" t="s">
        <v>6580</v>
      </c>
      <c r="C3" s="577"/>
      <c r="D3" s="578"/>
      <c r="E3" s="721" t="s">
        <v>117</v>
      </c>
      <c r="F3" s="722"/>
      <c r="G3" s="579" t="s">
        <v>6581</v>
      </c>
      <c r="H3" s="580" t="s">
        <v>6582</v>
      </c>
      <c r="I3" s="36" t="s">
        <v>123</v>
      </c>
      <c r="J3" s="581" t="s">
        <v>6109</v>
      </c>
      <c r="K3" s="582" t="s">
        <v>6583</v>
      </c>
      <c r="L3" s="345" t="s">
        <v>124</v>
      </c>
      <c r="M3" s="37" t="s">
        <v>118</v>
      </c>
      <c r="N3" s="38" t="s">
        <v>119</v>
      </c>
      <c r="O3" s="38" t="s">
        <v>120</v>
      </c>
      <c r="P3" s="38" t="s">
        <v>121</v>
      </c>
      <c r="Q3" s="38" t="s">
        <v>6155</v>
      </c>
      <c r="R3" s="39" t="s">
        <v>6156</v>
      </c>
      <c r="S3" s="38" t="s">
        <v>122</v>
      </c>
      <c r="T3" s="41" t="s">
        <v>6157</v>
      </c>
      <c r="U3" s="343" t="s">
        <v>6149</v>
      </c>
      <c r="V3" s="36" t="s">
        <v>6150</v>
      </c>
      <c r="W3" s="36" t="s">
        <v>6151</v>
      </c>
      <c r="X3" s="344" t="s">
        <v>6563</v>
      </c>
      <c r="Y3" s="40" t="s">
        <v>6153</v>
      </c>
      <c r="Z3" s="37" t="s">
        <v>118</v>
      </c>
      <c r="AA3" s="38" t="s">
        <v>119</v>
      </c>
      <c r="AB3" s="38" t="s">
        <v>120</v>
      </c>
      <c r="AC3" s="38" t="s">
        <v>121</v>
      </c>
      <c r="AD3" s="38" t="s">
        <v>6155</v>
      </c>
      <c r="AE3" s="39" t="s">
        <v>6156</v>
      </c>
      <c r="AF3" s="38" t="s">
        <v>122</v>
      </c>
      <c r="AG3" s="41" t="s">
        <v>6462</v>
      </c>
    </row>
    <row r="4" spans="1:41" ht="30.75" customHeight="1">
      <c r="A4" s="615">
        <f>1</f>
        <v>1</v>
      </c>
      <c r="B4" s="599">
        <v>2037</v>
      </c>
      <c r="C4" s="616" t="str">
        <f>VLOOKUP(B4,All!$B$4:$S$8977,2,FALSE)</f>
        <v>សៀង</v>
      </c>
      <c r="D4" s="602" t="str">
        <f>VLOOKUP(B4,All!$B$4:$S$89977,3,FALSE)</f>
        <v>វាសនា</v>
      </c>
      <c r="E4" s="616" t="str">
        <f>VLOOKUP(B4,All!$B$4:$S$8977,4,FALSE)</f>
        <v>SEANG</v>
      </c>
      <c r="F4" s="602" t="str">
        <f>VLOOKUP(B4,All!$B$4:$S$8977,5,FALSE)</f>
        <v>VEASNA</v>
      </c>
      <c r="G4" s="617" t="str">
        <f>VLOOKUP(B4,All!$B$4:$S$8977,6,FALSE)</f>
        <v>M</v>
      </c>
      <c r="H4" s="618">
        <f>VLOOKUP(B4,All!$B$4:$S$8977,7,FALSE)</f>
        <v>31810</v>
      </c>
      <c r="I4" s="619">
        <f>VLOOKUP(B4,All!$B$4:$S$8977,8,FALSE)</f>
        <v>42917</v>
      </c>
      <c r="J4" s="604" t="str">
        <f>VLOOKUP(B4,All!$B$4:$S$8977,9,FALSE)</f>
        <v>Shipping</v>
      </c>
      <c r="K4" s="641" t="str">
        <f>VLOOKUP(B4,All!$B$4:$S$8977,10,FALSE)</f>
        <v>Export</v>
      </c>
      <c r="L4" s="642" t="str">
        <f>VLOOKUP(B4,All!$B$4:$S$8977,11,FALSE)</f>
        <v>assistant</v>
      </c>
      <c r="M4" s="613">
        <f>VLOOKUP(B4,All!$B$4:$S$8977,12,FALSE)</f>
        <v>192</v>
      </c>
      <c r="N4" s="18">
        <f>VLOOKUP(B4,All!$B$4:$S$8977,13,FALSE)</f>
        <v>5</v>
      </c>
      <c r="O4" s="18">
        <f>VLOOKUP(B4,All!$B$4:$S$8977,14,FALSE)</f>
        <v>20</v>
      </c>
      <c r="P4" s="18">
        <f>VLOOKUP(B4,All!$B$4:$S$8977,15,FALSE)</f>
        <v>200</v>
      </c>
      <c r="Q4" s="18">
        <f>VLOOKUP(B4,All!$B$4:$S$8977,16,FALSE)</f>
        <v>50</v>
      </c>
      <c r="R4" s="18">
        <v>7</v>
      </c>
      <c r="S4" s="18">
        <v>10</v>
      </c>
      <c r="T4" s="550">
        <f>SUM(M4:S4)</f>
        <v>484</v>
      </c>
      <c r="U4" s="620">
        <v>30</v>
      </c>
      <c r="V4" s="621">
        <v>44562</v>
      </c>
      <c r="W4" s="622" t="s">
        <v>6566</v>
      </c>
      <c r="X4" s="623"/>
      <c r="Y4" s="624" t="s">
        <v>6609</v>
      </c>
      <c r="Z4" s="565">
        <f>M4+AH4</f>
        <v>194</v>
      </c>
      <c r="AA4" s="20">
        <f t="shared" ref="AA4:AF4" si="0">N4</f>
        <v>5</v>
      </c>
      <c r="AB4" s="699">
        <f>O4</f>
        <v>20</v>
      </c>
      <c r="AC4" s="700">
        <f>P4+U4</f>
        <v>230</v>
      </c>
      <c r="AD4" s="20">
        <f t="shared" si="0"/>
        <v>50</v>
      </c>
      <c r="AE4" s="20">
        <f t="shared" si="0"/>
        <v>7</v>
      </c>
      <c r="AF4" s="20">
        <f t="shared" si="0"/>
        <v>10</v>
      </c>
      <c r="AG4" s="550">
        <f>SUM(Z4:AF4)</f>
        <v>516</v>
      </c>
      <c r="AH4" s="409">
        <v>2</v>
      </c>
      <c r="AI4" s="409">
        <f t="shared" ref="AI4:AO12" si="1">AA4-N4</f>
        <v>0</v>
      </c>
      <c r="AJ4" s="409">
        <f t="shared" si="1"/>
        <v>0</v>
      </c>
      <c r="AK4" s="409">
        <f t="shared" si="1"/>
        <v>30</v>
      </c>
      <c r="AL4" s="409">
        <f t="shared" si="1"/>
        <v>0</v>
      </c>
      <c r="AM4" s="409">
        <f t="shared" si="1"/>
        <v>0</v>
      </c>
      <c r="AN4" s="409">
        <f t="shared" si="1"/>
        <v>0</v>
      </c>
      <c r="AO4" s="409">
        <f t="shared" si="1"/>
        <v>32</v>
      </c>
    </row>
    <row r="5" spans="1:41" ht="30.75" customHeight="1">
      <c r="A5" s="549">
        <f>1+A4</f>
        <v>2</v>
      </c>
      <c r="B5" s="8">
        <v>3083</v>
      </c>
      <c r="C5" s="484" t="str">
        <f>VLOOKUP(B5,All!$B$4:$S$8977,2,FALSE)</f>
        <v>សន់</v>
      </c>
      <c r="D5" s="482" t="str">
        <f>VLOOKUP(B5,All!$B$4:$S$89977,3,FALSE)</f>
        <v>សុរ៉ាន់ដា</v>
      </c>
      <c r="E5" s="484" t="str">
        <f>VLOOKUP(B5,All!$B$4:$S$8977,4,FALSE)</f>
        <v xml:space="preserve">Son </v>
      </c>
      <c r="F5" s="482" t="str">
        <f>VLOOKUP(B5,All!$B$4:$S$8977,5,FALSE)</f>
        <v>Sorannda</v>
      </c>
      <c r="G5" s="479" t="str">
        <f>VLOOKUP(B5,All!$B$4:$S$8977,6,FALSE)</f>
        <v>M</v>
      </c>
      <c r="H5" s="385">
        <f>VLOOKUP(B5,All!$B$4:$S$8977,7,FALSE)</f>
        <v>34992</v>
      </c>
      <c r="I5" s="154">
        <f>VLOOKUP(B5,All!$B$4:$S$8977,8,FALSE)</f>
        <v>43620</v>
      </c>
      <c r="J5" s="481" t="s">
        <v>9</v>
      </c>
      <c r="K5" s="631"/>
      <c r="L5" s="636" t="str">
        <f>VLOOKUP(B5,All!$B$4:$S$8977,11,FALSE)</f>
        <v>IT specialist</v>
      </c>
      <c r="M5" s="613">
        <f>VLOOKUP(B5,All!$B$4:$S$8977,12,FALSE)</f>
        <v>192</v>
      </c>
      <c r="N5" s="18">
        <f>VLOOKUP(B5,All!$B$4:$S$8977,13,FALSE)</f>
        <v>3</v>
      </c>
      <c r="O5" s="18">
        <f>VLOOKUP(B5,All!$B$4:$S$8977,14,FALSE)</f>
        <v>163</v>
      </c>
      <c r="P5" s="18">
        <f>VLOOKUP(B5,All!$B$4:$S$8977,15,FALSE)</f>
        <v>208</v>
      </c>
      <c r="Q5" s="18">
        <f>VLOOKUP(B5,All!$B$4:$S$8977,16,FALSE)</f>
        <v>10</v>
      </c>
      <c r="R5" s="18">
        <v>7</v>
      </c>
      <c r="S5" s="18">
        <v>10</v>
      </c>
      <c r="T5" s="550">
        <f t="shared" ref="T5:T8" si="2">SUM(M5:S5)</f>
        <v>593</v>
      </c>
      <c r="U5" s="625">
        <v>30</v>
      </c>
      <c r="V5" s="472">
        <v>44562</v>
      </c>
      <c r="W5" s="492" t="s">
        <v>6566</v>
      </c>
      <c r="X5" s="3"/>
      <c r="Y5" s="626" t="s">
        <v>6603</v>
      </c>
      <c r="Z5" s="565">
        <f t="shared" ref="Z5:Z12" si="3">M5+AH5</f>
        <v>194</v>
      </c>
      <c r="AA5" s="20">
        <f t="shared" ref="AA5:AA8" si="4">N5</f>
        <v>3</v>
      </c>
      <c r="AB5" s="699">
        <f t="shared" ref="AB5:AB12" si="5">O5</f>
        <v>163</v>
      </c>
      <c r="AC5" s="700">
        <f t="shared" ref="AC5:AC12" si="6">P5+U5</f>
        <v>238</v>
      </c>
      <c r="AD5" s="20">
        <f t="shared" ref="AD5:AD8" si="7">Q5</f>
        <v>10</v>
      </c>
      <c r="AE5" s="20">
        <f t="shared" ref="AE5:AE8" si="8">R5</f>
        <v>7</v>
      </c>
      <c r="AF5" s="20">
        <f t="shared" ref="AF5:AF8" si="9">S5</f>
        <v>10</v>
      </c>
      <c r="AG5" s="550">
        <f t="shared" ref="AG5:AG8" si="10">SUM(Z5:AF5)</f>
        <v>625</v>
      </c>
      <c r="AH5" s="409">
        <v>2</v>
      </c>
      <c r="AI5" s="409">
        <f t="shared" si="1"/>
        <v>0</v>
      </c>
      <c r="AJ5" s="409">
        <f t="shared" si="1"/>
        <v>0</v>
      </c>
      <c r="AK5" s="409">
        <f t="shared" si="1"/>
        <v>30</v>
      </c>
      <c r="AL5" s="409">
        <f t="shared" si="1"/>
        <v>0</v>
      </c>
      <c r="AM5" s="409">
        <f t="shared" si="1"/>
        <v>0</v>
      </c>
      <c r="AN5" s="409">
        <f t="shared" si="1"/>
        <v>0</v>
      </c>
      <c r="AO5" s="409">
        <f t="shared" si="1"/>
        <v>32</v>
      </c>
    </row>
    <row r="6" spans="1:41" ht="30.75" customHeight="1">
      <c r="A6" s="549">
        <f t="shared" ref="A6:A12" si="11">1+A5</f>
        <v>3</v>
      </c>
      <c r="B6" s="8">
        <v>3426</v>
      </c>
      <c r="C6" s="484" t="str">
        <f>VLOOKUP(B6,All!$B$4:$S$8977,2,FALSE)</f>
        <v>ប៉ុក</v>
      </c>
      <c r="D6" s="482" t="str">
        <f>VLOOKUP(B6,All!$B$4:$S$89977,3,FALSE)</f>
        <v>ដាវុទ្ធា</v>
      </c>
      <c r="E6" s="484" t="str">
        <f>VLOOKUP(B6,All!$B$4:$S$8977,4,FALSE)</f>
        <v>POK</v>
      </c>
      <c r="F6" s="482" t="str">
        <f>VLOOKUP(B6,All!$B$4:$S$8977,5,FALSE)</f>
        <v>DAVUTHEA</v>
      </c>
      <c r="G6" s="479" t="str">
        <f>VLOOKUP(B6,All!$B$4:$S$8977,6,FALSE)</f>
        <v>M</v>
      </c>
      <c r="H6" s="385">
        <f>VLOOKUP(B6,All!$B$4:$S$8977,7,FALSE)</f>
        <v>34765</v>
      </c>
      <c r="I6" s="154">
        <f>VLOOKUP(B6,All!$B$4:$S$8977,8,FALSE)</f>
        <v>43771</v>
      </c>
      <c r="J6" s="481" t="str">
        <f>VLOOKUP(B6,All!$B$4:$S$8977,9,FALSE)</f>
        <v>Production</v>
      </c>
      <c r="K6" s="631" t="str">
        <f>VLOOKUP(B6,All!$B$4:$S$8977,10,FALSE)</f>
        <v>Finish good</v>
      </c>
      <c r="L6" s="636" t="str">
        <f>VLOOKUP(B6,All!$B$4:$S$8977,11,FALSE)</f>
        <v>assistant</v>
      </c>
      <c r="M6" s="613">
        <f>VLOOKUP(B6,All!$B$4:$S$8977,12,FALSE)</f>
        <v>192</v>
      </c>
      <c r="N6" s="18">
        <f>VLOOKUP(B6,All!$B$4:$S$8977,13,FALSE)</f>
        <v>3</v>
      </c>
      <c r="O6" s="18">
        <f>VLOOKUP(B6,All!$B$4:$S$8977,14,FALSE)</f>
        <v>20</v>
      </c>
      <c r="P6" s="18">
        <f>VLOOKUP(B6,All!$B$4:$S$8977,15,FALSE)</f>
        <v>30</v>
      </c>
      <c r="Q6" s="18">
        <f>VLOOKUP(B6,All!$B$4:$S$8977,16,FALSE)</f>
        <v>0</v>
      </c>
      <c r="R6" s="18">
        <v>7</v>
      </c>
      <c r="S6" s="18">
        <v>10</v>
      </c>
      <c r="T6" s="550">
        <f>SUM(M6:S6)</f>
        <v>262</v>
      </c>
      <c r="U6" s="686">
        <v>15</v>
      </c>
      <c r="V6" s="472">
        <v>44562</v>
      </c>
      <c r="W6" s="492" t="s">
        <v>6566</v>
      </c>
      <c r="X6" s="3"/>
      <c r="Y6" s="626" t="s">
        <v>6604</v>
      </c>
      <c r="Z6" s="565">
        <f t="shared" si="3"/>
        <v>194</v>
      </c>
      <c r="AA6" s="20">
        <f>N6</f>
        <v>3</v>
      </c>
      <c r="AB6" s="699">
        <f t="shared" si="5"/>
        <v>20</v>
      </c>
      <c r="AC6" s="700">
        <f t="shared" si="6"/>
        <v>45</v>
      </c>
      <c r="AD6" s="20">
        <f t="shared" ref="AD6:AF7" si="12">Q6</f>
        <v>0</v>
      </c>
      <c r="AE6" s="20">
        <f t="shared" si="12"/>
        <v>7</v>
      </c>
      <c r="AF6" s="20">
        <f t="shared" si="12"/>
        <v>10</v>
      </c>
      <c r="AG6" s="550">
        <f>SUM(Z6:AF6)</f>
        <v>279</v>
      </c>
      <c r="AH6" s="409">
        <v>2</v>
      </c>
      <c r="AI6" s="409">
        <f t="shared" si="1"/>
        <v>0</v>
      </c>
      <c r="AJ6" s="409">
        <f t="shared" si="1"/>
        <v>0</v>
      </c>
      <c r="AK6" s="409">
        <f t="shared" si="1"/>
        <v>15</v>
      </c>
      <c r="AL6" s="409">
        <f t="shared" si="1"/>
        <v>0</v>
      </c>
      <c r="AM6" s="409">
        <f t="shared" si="1"/>
        <v>0</v>
      </c>
      <c r="AN6" s="409">
        <f t="shared" si="1"/>
        <v>0</v>
      </c>
      <c r="AO6" s="409">
        <f t="shared" si="1"/>
        <v>17</v>
      </c>
    </row>
    <row r="7" spans="1:41" ht="30.75" customHeight="1">
      <c r="A7" s="549">
        <f t="shared" si="11"/>
        <v>4</v>
      </c>
      <c r="B7" s="8">
        <v>4060</v>
      </c>
      <c r="C7" s="484" t="str">
        <f>VLOOKUP(B7,All!$B$4:$S$8977,2,FALSE)</f>
        <v>លី</v>
      </c>
      <c r="D7" s="482" t="str">
        <f>VLOOKUP(B7,All!$B$4:$S$89977,3,FALSE)</f>
        <v>ឡេងចេង</v>
      </c>
      <c r="E7" s="484" t="str">
        <f>VLOOKUP(B7,All!$B$4:$S$8977,4,FALSE)</f>
        <v>LY</v>
      </c>
      <c r="F7" s="482" t="str">
        <f>VLOOKUP(B7,All!$B$4:$S$8977,5,FALSE)</f>
        <v>LENGCHENG</v>
      </c>
      <c r="G7" s="479" t="str">
        <f>VLOOKUP(B7,All!$B$4:$S$8977,6,FALSE)</f>
        <v>F</v>
      </c>
      <c r="H7" s="385">
        <f>VLOOKUP(B7,All!$B$4:$S$8977,7,FALSE)</f>
        <v>33159</v>
      </c>
      <c r="I7" s="154">
        <f>VLOOKUP(B7,All!$B$4:$S$8977,8,FALSE)</f>
        <v>43842</v>
      </c>
      <c r="J7" s="481" t="str">
        <f>VLOOKUP(B7,All!$B$4:$S$8977,9,FALSE)</f>
        <v>Production</v>
      </c>
      <c r="K7" s="631" t="str">
        <f>VLOOKUP(B7,All!$B$4:$S$8977,10,FALSE)</f>
        <v>Finish good</v>
      </c>
      <c r="L7" s="636" t="str">
        <f>VLOOKUP(B7,All!$B$4:$S$8977,11,FALSE)</f>
        <v>assistant</v>
      </c>
      <c r="M7" s="613">
        <f>VLOOKUP(B7,All!$B$4:$S$8977,12,FALSE)</f>
        <v>192</v>
      </c>
      <c r="N7" s="18">
        <f>VLOOKUP(B7,All!$B$4:$S$8977,13,FALSE)</f>
        <v>3</v>
      </c>
      <c r="O7" s="18">
        <f>VLOOKUP(B7,All!$B$4:$S$8977,14,FALSE)</f>
        <v>20</v>
      </c>
      <c r="P7" s="18">
        <f>VLOOKUP(B7,All!$B$4:$S$8977,15,FALSE)</f>
        <v>43</v>
      </c>
      <c r="Q7" s="18">
        <f>VLOOKUP(B7,All!$B$4:$S$8977,16,FALSE)</f>
        <v>20</v>
      </c>
      <c r="R7" s="18">
        <v>7</v>
      </c>
      <c r="S7" s="18">
        <v>10</v>
      </c>
      <c r="T7" s="550">
        <f>SUM(M7:S7)</f>
        <v>295</v>
      </c>
      <c r="U7" s="686">
        <v>15</v>
      </c>
      <c r="V7" s="472">
        <v>44562</v>
      </c>
      <c r="W7" s="492" t="s">
        <v>6566</v>
      </c>
      <c r="X7" s="3"/>
      <c r="Y7" s="626" t="s">
        <v>6604</v>
      </c>
      <c r="Z7" s="565">
        <f t="shared" si="3"/>
        <v>194</v>
      </c>
      <c r="AA7" s="20">
        <f>N7</f>
        <v>3</v>
      </c>
      <c r="AB7" s="699">
        <f t="shared" si="5"/>
        <v>20</v>
      </c>
      <c r="AC7" s="700">
        <f t="shared" si="6"/>
        <v>58</v>
      </c>
      <c r="AD7" s="20">
        <f t="shared" si="12"/>
        <v>20</v>
      </c>
      <c r="AE7" s="20">
        <f t="shared" si="12"/>
        <v>7</v>
      </c>
      <c r="AF7" s="20">
        <f t="shared" si="12"/>
        <v>10</v>
      </c>
      <c r="AG7" s="550">
        <f>SUM(Z7:AF7)</f>
        <v>312</v>
      </c>
      <c r="AH7" s="409">
        <v>2</v>
      </c>
      <c r="AI7" s="409">
        <f t="shared" si="1"/>
        <v>0</v>
      </c>
      <c r="AJ7" s="409">
        <f t="shared" si="1"/>
        <v>0</v>
      </c>
      <c r="AK7" s="409">
        <f t="shared" si="1"/>
        <v>15</v>
      </c>
      <c r="AL7" s="409">
        <f t="shared" si="1"/>
        <v>0</v>
      </c>
      <c r="AM7" s="409">
        <f t="shared" si="1"/>
        <v>0</v>
      </c>
      <c r="AN7" s="409">
        <f t="shared" si="1"/>
        <v>0</v>
      </c>
      <c r="AO7" s="409">
        <f t="shared" si="1"/>
        <v>17</v>
      </c>
    </row>
    <row r="8" spans="1:41" ht="30.75" customHeight="1">
      <c r="A8" s="549">
        <f t="shared" si="11"/>
        <v>5</v>
      </c>
      <c r="B8" s="8">
        <v>2242</v>
      </c>
      <c r="C8" s="484" t="str">
        <f>VLOOKUP(B8,All!$B$4:$S$8977,2,FALSE)</f>
        <v>វ៉ន</v>
      </c>
      <c r="D8" s="482" t="str">
        <f>VLOOKUP(B8,All!$B$4:$S$89977,3,FALSE)</f>
        <v>សុភក្តិ</v>
      </c>
      <c r="E8" s="484" t="str">
        <f>VLOOKUP(B8,All!$B$4:$S$8977,4,FALSE)</f>
        <v>VORN</v>
      </c>
      <c r="F8" s="482" t="str">
        <f>VLOOKUP(B8,All!$B$4:$S$8977,5,FALSE)</f>
        <v>SOPHEAK</v>
      </c>
      <c r="G8" s="479" t="str">
        <f>VLOOKUP(B8,All!$B$4:$S$8977,6,FALSE)</f>
        <v>F</v>
      </c>
      <c r="H8" s="385">
        <f>VLOOKUP(B8,All!$B$4:$S$8977,7,FALSE)</f>
        <v>34837</v>
      </c>
      <c r="I8" s="154">
        <f>VLOOKUP(B8,All!$B$4:$S$8977,8,FALSE)</f>
        <v>42962</v>
      </c>
      <c r="J8" s="481" t="str">
        <f>VLOOKUP(B8,All!$B$4:$S$8977,9,FALSE)</f>
        <v>Production</v>
      </c>
      <c r="K8" s="631" t="str">
        <f>VLOOKUP(B8,All!$B$4:$S$8977,10,FALSE)</f>
        <v>PC</v>
      </c>
      <c r="L8" s="636" t="str">
        <f>VLOOKUP(B8,All!$B$4:$S$8977,11,FALSE)</f>
        <v>PC assistant</v>
      </c>
      <c r="M8" s="613">
        <f>VLOOKUP(B8,All!$B$4:$S$8977,12,FALSE)</f>
        <v>192</v>
      </c>
      <c r="N8" s="18">
        <f>VLOOKUP(B8,All!$B$4:$S$8977,13,FALSE)</f>
        <v>5</v>
      </c>
      <c r="O8" s="18">
        <f>VLOOKUP(B8,All!$B$4:$S$8977,14,FALSE)</f>
        <v>0</v>
      </c>
      <c r="P8" s="18">
        <f>VLOOKUP(B8,All!$B$4:$S$8977,15,FALSE)</f>
        <v>153</v>
      </c>
      <c r="Q8" s="18">
        <f>VLOOKUP(B8,All!$B$4:$S$8977,16,FALSE)</f>
        <v>40</v>
      </c>
      <c r="R8" s="18">
        <v>7</v>
      </c>
      <c r="S8" s="18">
        <v>10</v>
      </c>
      <c r="T8" s="550">
        <f t="shared" si="2"/>
        <v>407</v>
      </c>
      <c r="U8" s="686">
        <v>15</v>
      </c>
      <c r="V8" s="472">
        <v>44562</v>
      </c>
      <c r="W8" s="492" t="s">
        <v>6566</v>
      </c>
      <c r="X8" s="3"/>
      <c r="Y8" s="626" t="s">
        <v>6605</v>
      </c>
      <c r="Z8" s="565">
        <f t="shared" si="3"/>
        <v>194</v>
      </c>
      <c r="AA8" s="20">
        <f t="shared" si="4"/>
        <v>5</v>
      </c>
      <c r="AB8" s="699">
        <f t="shared" si="5"/>
        <v>0</v>
      </c>
      <c r="AC8" s="700">
        <f t="shared" si="6"/>
        <v>168</v>
      </c>
      <c r="AD8" s="20">
        <f t="shared" si="7"/>
        <v>40</v>
      </c>
      <c r="AE8" s="20">
        <f t="shared" si="8"/>
        <v>7</v>
      </c>
      <c r="AF8" s="20">
        <f t="shared" si="9"/>
        <v>10</v>
      </c>
      <c r="AG8" s="550">
        <f t="shared" si="10"/>
        <v>424</v>
      </c>
      <c r="AH8" s="409">
        <v>2</v>
      </c>
      <c r="AI8" s="409">
        <f t="shared" si="1"/>
        <v>0</v>
      </c>
      <c r="AJ8" s="409">
        <f t="shared" si="1"/>
        <v>0</v>
      </c>
      <c r="AK8" s="409">
        <f t="shared" si="1"/>
        <v>15</v>
      </c>
      <c r="AL8" s="409">
        <f t="shared" si="1"/>
        <v>0</v>
      </c>
      <c r="AM8" s="409">
        <f t="shared" si="1"/>
        <v>0</v>
      </c>
      <c r="AN8" s="409">
        <f t="shared" si="1"/>
        <v>0</v>
      </c>
      <c r="AO8" s="409">
        <f t="shared" si="1"/>
        <v>17</v>
      </c>
    </row>
    <row r="9" spans="1:41" ht="30.75" customHeight="1">
      <c r="A9" s="549">
        <f t="shared" si="11"/>
        <v>6</v>
      </c>
      <c r="B9" s="8">
        <v>2612</v>
      </c>
      <c r="C9" s="484" t="str">
        <f>VLOOKUP(B9,All!$B$4:$S$8977,2,FALSE)</f>
        <v>អ៊ុត</v>
      </c>
      <c r="D9" s="482" t="str">
        <f>VLOOKUP(B9,All!$B$4:$S$89977,3,FALSE)</f>
        <v>សូរិយា</v>
      </c>
      <c r="E9" s="484" t="str">
        <f>VLOOKUP(B9,All!$B$4:$S$8977,4,FALSE)</f>
        <v>UT</v>
      </c>
      <c r="F9" s="482" t="str">
        <f>VLOOKUP(B9,All!$B$4:$S$8977,5,FALSE)</f>
        <v>SORIYA</v>
      </c>
      <c r="G9" s="479" t="str">
        <f>VLOOKUP(B9,All!$B$4:$S$8977,6,FALSE)</f>
        <v>F</v>
      </c>
      <c r="H9" s="385">
        <f>VLOOKUP(B9,All!$B$4:$S$8977,7,FALSE)</f>
        <v>36742</v>
      </c>
      <c r="I9" s="154">
        <f>VLOOKUP(B9,All!$B$4:$S$8977,8,FALSE)</f>
        <v>43474</v>
      </c>
      <c r="J9" s="481" t="str">
        <f>VLOOKUP(B9,All!$B$4:$S$8977,9,FALSE)</f>
        <v>Production</v>
      </c>
      <c r="K9" s="631" t="str">
        <f>VLOOKUP(B9,All!$B$4:$S$8977,10,FALSE)</f>
        <v>PC</v>
      </c>
      <c r="L9" s="636" t="str">
        <f>VLOOKUP(B9,All!$B$4:$S$8977,11,FALSE)</f>
        <v>PC clerk</v>
      </c>
      <c r="M9" s="613">
        <f>VLOOKUP(B9,All!$B$4:$S$8977,12,FALSE)</f>
        <v>192</v>
      </c>
      <c r="N9" s="18">
        <f>VLOOKUP(B9,All!$B$4:$S$8977,13,FALSE)</f>
        <v>4</v>
      </c>
      <c r="O9" s="18">
        <f>VLOOKUP(B9,All!$B$4:$S$8977,14,FALSE)</f>
        <v>0</v>
      </c>
      <c r="P9" s="18">
        <f>VLOOKUP(B9,All!$B$4:$S$8977,15,FALSE)</f>
        <v>61</v>
      </c>
      <c r="Q9" s="18">
        <f>VLOOKUP(B9,All!$B$4:$S$8977,16,FALSE)</f>
        <v>0</v>
      </c>
      <c r="R9" s="18">
        <v>7</v>
      </c>
      <c r="S9" s="18">
        <v>10</v>
      </c>
      <c r="T9" s="550">
        <f t="shared" ref="T9:T10" si="13">SUM(M9:S9)</f>
        <v>274</v>
      </c>
      <c r="U9" s="687">
        <v>10</v>
      </c>
      <c r="V9" s="472">
        <v>44562</v>
      </c>
      <c r="W9" s="492" t="s">
        <v>6566</v>
      </c>
      <c r="X9" s="3"/>
      <c r="Y9" s="626" t="s">
        <v>6606</v>
      </c>
      <c r="Z9" s="565">
        <f t="shared" si="3"/>
        <v>194</v>
      </c>
      <c r="AA9" s="20">
        <f t="shared" ref="AA9:AF10" si="14">N9</f>
        <v>4</v>
      </c>
      <c r="AB9" s="699">
        <f t="shared" si="5"/>
        <v>0</v>
      </c>
      <c r="AC9" s="700">
        <f t="shared" si="6"/>
        <v>71</v>
      </c>
      <c r="AD9" s="20">
        <f t="shared" si="14"/>
        <v>0</v>
      </c>
      <c r="AE9" s="20">
        <f t="shared" si="14"/>
        <v>7</v>
      </c>
      <c r="AF9" s="20">
        <f t="shared" si="14"/>
        <v>10</v>
      </c>
      <c r="AG9" s="550">
        <f t="shared" ref="AG9:AG10" si="15">SUM(Z9:AF9)</f>
        <v>286</v>
      </c>
      <c r="AH9" s="409">
        <v>2</v>
      </c>
      <c r="AI9" s="409">
        <f t="shared" si="1"/>
        <v>0</v>
      </c>
      <c r="AJ9" s="409">
        <f t="shared" si="1"/>
        <v>0</v>
      </c>
      <c r="AK9" s="409">
        <f t="shared" si="1"/>
        <v>10</v>
      </c>
      <c r="AL9" s="409">
        <f t="shared" si="1"/>
        <v>0</v>
      </c>
      <c r="AM9" s="409">
        <f t="shared" si="1"/>
        <v>0</v>
      </c>
      <c r="AN9" s="409">
        <f t="shared" si="1"/>
        <v>0</v>
      </c>
      <c r="AO9" s="409">
        <f t="shared" si="1"/>
        <v>12</v>
      </c>
    </row>
    <row r="10" spans="1:41" ht="30.75" customHeight="1">
      <c r="A10" s="549">
        <f t="shared" si="11"/>
        <v>7</v>
      </c>
      <c r="B10" s="8">
        <v>5055</v>
      </c>
      <c r="C10" s="484" t="str">
        <f>VLOOKUP(B10,All!$B$4:$S$8977,2,FALSE)</f>
        <v>វ៉ន</v>
      </c>
      <c r="D10" s="482" t="str">
        <f>VLOOKUP(B10,All!$B$4:$S$89977,3,FALSE)</f>
        <v>គីមហុង</v>
      </c>
      <c r="E10" s="484" t="str">
        <f>VLOOKUP(B10,All!$B$4:$S$8977,4,FALSE)</f>
        <v>VORN</v>
      </c>
      <c r="F10" s="482" t="str">
        <f>VLOOKUP(B10,All!$B$4:$S$8977,5,FALSE)</f>
        <v>KIMHONG</v>
      </c>
      <c r="G10" s="479" t="str">
        <f>VLOOKUP(B10,All!$B$4:$S$8977,6,FALSE)</f>
        <v>M</v>
      </c>
      <c r="H10" s="385">
        <f>VLOOKUP(B10,All!$B$4:$S$8977,7,FALSE)</f>
        <v>36751</v>
      </c>
      <c r="I10" s="154">
        <f>VLOOKUP(B10,All!$B$4:$S$8977,8,FALSE)</f>
        <v>44147</v>
      </c>
      <c r="J10" s="481" t="str">
        <f>VLOOKUP(B10,All!$B$4:$S$8977,9,FALSE)</f>
        <v>Production</v>
      </c>
      <c r="K10" s="631" t="str">
        <f>VLOOKUP(B10,All!$B$4:$S$8977,10,FALSE)</f>
        <v>PC</v>
      </c>
      <c r="L10" s="636" t="str">
        <f>VLOOKUP(B10,All!$B$4:$S$8977,11,FALSE)</f>
        <v>PC clerk</v>
      </c>
      <c r="M10" s="613">
        <f>VLOOKUP(B10,All!$B$4:$S$8977,12,FALSE)</f>
        <v>192</v>
      </c>
      <c r="N10" s="18">
        <f>VLOOKUP(B10,All!$B$4:$S$8977,13,FALSE)</f>
        <v>2</v>
      </c>
      <c r="O10" s="18">
        <f>VLOOKUP(B10,All!$B$4:$S$8977,14,FALSE)</f>
        <v>0</v>
      </c>
      <c r="P10" s="18">
        <f>VLOOKUP(B10,All!$B$4:$S$8977,15,FALSE)</f>
        <v>18</v>
      </c>
      <c r="Q10" s="18">
        <f>VLOOKUP(B10,All!$B$4:$S$8977,16,FALSE)</f>
        <v>0</v>
      </c>
      <c r="R10" s="18">
        <v>7</v>
      </c>
      <c r="S10" s="18">
        <v>10</v>
      </c>
      <c r="T10" s="550">
        <f t="shared" si="13"/>
        <v>229</v>
      </c>
      <c r="U10" s="687">
        <v>10</v>
      </c>
      <c r="V10" s="472">
        <v>44562</v>
      </c>
      <c r="W10" s="492" t="s">
        <v>6566</v>
      </c>
      <c r="X10" s="3"/>
      <c r="Y10" s="626" t="s">
        <v>6606</v>
      </c>
      <c r="Z10" s="565">
        <f t="shared" si="3"/>
        <v>194</v>
      </c>
      <c r="AA10" s="20">
        <f t="shared" si="14"/>
        <v>2</v>
      </c>
      <c r="AB10" s="699">
        <f t="shared" si="5"/>
        <v>0</v>
      </c>
      <c r="AC10" s="700">
        <f t="shared" si="6"/>
        <v>28</v>
      </c>
      <c r="AD10" s="20">
        <f t="shared" si="14"/>
        <v>0</v>
      </c>
      <c r="AE10" s="20">
        <f t="shared" si="14"/>
        <v>7</v>
      </c>
      <c r="AF10" s="20">
        <f t="shared" si="14"/>
        <v>10</v>
      </c>
      <c r="AG10" s="550">
        <f t="shared" si="15"/>
        <v>241</v>
      </c>
      <c r="AH10" s="409">
        <v>2</v>
      </c>
      <c r="AI10" s="409">
        <f t="shared" si="1"/>
        <v>0</v>
      </c>
      <c r="AJ10" s="409">
        <f t="shared" si="1"/>
        <v>0</v>
      </c>
      <c r="AK10" s="409">
        <f t="shared" si="1"/>
        <v>10</v>
      </c>
      <c r="AL10" s="409">
        <f t="shared" si="1"/>
        <v>0</v>
      </c>
      <c r="AM10" s="409">
        <f t="shared" si="1"/>
        <v>0</v>
      </c>
      <c r="AN10" s="409">
        <f t="shared" si="1"/>
        <v>0</v>
      </c>
      <c r="AO10" s="409">
        <f t="shared" si="1"/>
        <v>12</v>
      </c>
    </row>
    <row r="11" spans="1:41" ht="30.75" customHeight="1">
      <c r="A11" s="549">
        <f t="shared" si="11"/>
        <v>8</v>
      </c>
      <c r="B11" s="8">
        <v>18</v>
      </c>
      <c r="C11" s="484" t="str">
        <f>VLOOKUP(B11,All!$B$4:$S$8977,2,FALSE)</f>
        <v>ស្រី</v>
      </c>
      <c r="D11" s="482" t="str">
        <f>VLOOKUP(B11,All!$B$4:$S$89977,3,FALSE)</f>
        <v>ច័ន្ទថុនា</v>
      </c>
      <c r="E11" s="484" t="str">
        <f>VLOOKUP(B11,All!$B$4:$S$8977,4,FALSE)</f>
        <v>Srey</v>
      </c>
      <c r="F11" s="482" t="str">
        <f>VLOOKUP(B11,All!$B$4:$S$8977,5,FALSE)</f>
        <v>Chanthuna</v>
      </c>
      <c r="G11" s="479" t="str">
        <f>VLOOKUP(B11,All!$B$4:$S$8977,6,FALSE)</f>
        <v>M</v>
      </c>
      <c r="H11" s="385">
        <f>VLOOKUP(B11,All!$B$4:$S$8977,7,FALSE)</f>
        <v>33771</v>
      </c>
      <c r="I11" s="154">
        <f>VLOOKUP(B11,All!$B$4:$S$8977,8,FALSE)</f>
        <v>41577</v>
      </c>
      <c r="J11" s="481" t="s">
        <v>6293</v>
      </c>
      <c r="K11" s="631" t="s">
        <v>6579</v>
      </c>
      <c r="L11" s="636" t="str">
        <f>VLOOKUP(B11,All!$B$4:$S$8977,11,FALSE)</f>
        <v>Marker technicial</v>
      </c>
      <c r="M11" s="613">
        <f>VLOOKUP(B11,All!$B$4:$S$8977,12,FALSE)</f>
        <v>262</v>
      </c>
      <c r="N11" s="18">
        <f>VLOOKUP(B11,All!$B$4:$S$8977,13,FALSE)</f>
        <v>9</v>
      </c>
      <c r="O11" s="18">
        <f>VLOOKUP(B11,All!$B$4:$S$8977,14,FALSE)</f>
        <v>20</v>
      </c>
      <c r="P11" s="18">
        <f>VLOOKUP(B11,All!$B$4:$S$8977,15,FALSE)</f>
        <v>72</v>
      </c>
      <c r="Q11" s="18">
        <f>VLOOKUP(B11,All!$B$4:$S$8977,16,FALSE)</f>
        <v>66</v>
      </c>
      <c r="R11" s="18">
        <v>7</v>
      </c>
      <c r="S11" s="18">
        <v>10</v>
      </c>
      <c r="T11" s="550">
        <f>SUM(M11:S11)</f>
        <v>446</v>
      </c>
      <c r="U11" s="688">
        <v>40</v>
      </c>
      <c r="V11" s="472">
        <v>44562</v>
      </c>
      <c r="W11" s="492" t="s">
        <v>6566</v>
      </c>
      <c r="X11" s="3"/>
      <c r="Y11" s="626" t="s">
        <v>6607</v>
      </c>
      <c r="Z11" s="565">
        <f t="shared" si="3"/>
        <v>264</v>
      </c>
      <c r="AA11" s="20">
        <f>N11</f>
        <v>9</v>
      </c>
      <c r="AB11" s="699">
        <f t="shared" si="5"/>
        <v>20</v>
      </c>
      <c r="AC11" s="700">
        <f t="shared" si="6"/>
        <v>112</v>
      </c>
      <c r="AD11" s="20">
        <f t="shared" ref="AD11:AF12" si="16">Q11</f>
        <v>66</v>
      </c>
      <c r="AE11" s="20">
        <f t="shared" si="16"/>
        <v>7</v>
      </c>
      <c r="AF11" s="20">
        <f t="shared" si="16"/>
        <v>10</v>
      </c>
      <c r="AG11" s="550">
        <f>SUM(Z11:AF11)</f>
        <v>488</v>
      </c>
      <c r="AH11" s="409">
        <v>2</v>
      </c>
      <c r="AI11" s="409">
        <f t="shared" si="1"/>
        <v>0</v>
      </c>
      <c r="AJ11" s="409">
        <f t="shared" si="1"/>
        <v>0</v>
      </c>
      <c r="AK11" s="409">
        <f t="shared" si="1"/>
        <v>40</v>
      </c>
      <c r="AL11" s="409">
        <f t="shared" si="1"/>
        <v>0</v>
      </c>
      <c r="AM11" s="409">
        <f t="shared" si="1"/>
        <v>0</v>
      </c>
      <c r="AN11" s="409">
        <f t="shared" si="1"/>
        <v>0</v>
      </c>
      <c r="AO11" s="409">
        <f t="shared" si="1"/>
        <v>42</v>
      </c>
    </row>
    <row r="12" spans="1:41" ht="30.75" customHeight="1" thickBot="1">
      <c r="A12" s="551">
        <f t="shared" si="11"/>
        <v>9</v>
      </c>
      <c r="B12" s="552">
        <v>1411</v>
      </c>
      <c r="C12" s="553" t="str">
        <f>VLOOKUP(B12,All!$B$4:$S$8977,2,FALSE)</f>
        <v>រូ</v>
      </c>
      <c r="D12" s="554" t="str">
        <f>VLOOKUP(B12,All!$B$4:$S$89977,3,FALSE)</f>
        <v>និច</v>
      </c>
      <c r="E12" s="553" t="str">
        <f>VLOOKUP(B12,All!$B$4:$S$8977,4,FALSE)</f>
        <v>Ro</v>
      </c>
      <c r="F12" s="554" t="str">
        <f>VLOOKUP(B12,All!$B$4:$S$8977,5,FALSE)</f>
        <v>Nich</v>
      </c>
      <c r="G12" s="555" t="str">
        <f>VLOOKUP(B12,All!$B$4:$S$8977,6,FALSE)</f>
        <v>F</v>
      </c>
      <c r="H12" s="556">
        <f>VLOOKUP(B12,All!$B$4:$S$8977,7,FALSE)</f>
        <v>35831</v>
      </c>
      <c r="I12" s="557">
        <f>VLOOKUP(B12,All!$B$4:$S$8977,8,FALSE)</f>
        <v>42343</v>
      </c>
      <c r="J12" s="558" t="s">
        <v>6293</v>
      </c>
      <c r="K12" s="637" t="s">
        <v>397</v>
      </c>
      <c r="L12" s="638" t="str">
        <f>VLOOKUP(B12,All!$B$4:$S$8977,11,FALSE)</f>
        <v>Sample Coordinator</v>
      </c>
      <c r="M12" s="614">
        <f>VLOOKUP(B12,All!$B$4:$S$8977,12,FALSE)</f>
        <v>192</v>
      </c>
      <c r="N12" s="559">
        <f>VLOOKUP(B12,All!$B$4:$S$8977,13,FALSE)</f>
        <v>7</v>
      </c>
      <c r="O12" s="559">
        <f>VLOOKUP(B12,All!$B$4:$S$8977,14,FALSE)</f>
        <v>20</v>
      </c>
      <c r="P12" s="559">
        <f>VLOOKUP(B12,All!$B$4:$S$8977,15,FALSE)</f>
        <v>85</v>
      </c>
      <c r="Q12" s="559">
        <f>VLOOKUP(B12,All!$B$4:$S$8977,16,FALSE)</f>
        <v>30</v>
      </c>
      <c r="R12" s="559">
        <v>7</v>
      </c>
      <c r="S12" s="559">
        <v>10</v>
      </c>
      <c r="T12" s="560">
        <f>SUM(M12:S12)</f>
        <v>351</v>
      </c>
      <c r="U12" s="689">
        <v>40</v>
      </c>
      <c r="V12" s="627">
        <v>44562</v>
      </c>
      <c r="W12" s="628" t="s">
        <v>6566</v>
      </c>
      <c r="X12" s="629"/>
      <c r="Y12" s="630" t="s">
        <v>6608</v>
      </c>
      <c r="Z12" s="566">
        <f t="shared" si="3"/>
        <v>194</v>
      </c>
      <c r="AA12" s="567">
        <f>N12</f>
        <v>7</v>
      </c>
      <c r="AB12" s="701">
        <f t="shared" si="5"/>
        <v>20</v>
      </c>
      <c r="AC12" s="702">
        <f t="shared" si="6"/>
        <v>125</v>
      </c>
      <c r="AD12" s="567">
        <f t="shared" si="16"/>
        <v>30</v>
      </c>
      <c r="AE12" s="567">
        <f t="shared" si="16"/>
        <v>7</v>
      </c>
      <c r="AF12" s="567">
        <f t="shared" si="16"/>
        <v>10</v>
      </c>
      <c r="AG12" s="560">
        <f>SUM(Z12:AF12)</f>
        <v>393</v>
      </c>
      <c r="AH12" s="409">
        <v>2</v>
      </c>
      <c r="AI12" s="409">
        <f t="shared" si="1"/>
        <v>0</v>
      </c>
      <c r="AJ12" s="409">
        <f t="shared" si="1"/>
        <v>0</v>
      </c>
      <c r="AK12" s="409">
        <f t="shared" si="1"/>
        <v>40</v>
      </c>
      <c r="AL12" s="409">
        <f t="shared" si="1"/>
        <v>0</v>
      </c>
      <c r="AM12" s="409">
        <f t="shared" si="1"/>
        <v>0</v>
      </c>
      <c r="AN12" s="409">
        <f t="shared" si="1"/>
        <v>0</v>
      </c>
      <c r="AO12" s="409">
        <f t="shared" si="1"/>
        <v>42</v>
      </c>
    </row>
    <row r="13" spans="1:41" ht="17.25" customHeight="1">
      <c r="A13" s="21"/>
      <c r="B13" s="336"/>
      <c r="C13" s="485"/>
      <c r="D13" s="485"/>
      <c r="E13" s="423"/>
      <c r="F13" s="423"/>
      <c r="G13" s="21"/>
      <c r="H13" s="356"/>
      <c r="I13" s="355"/>
      <c r="J13" s="21"/>
      <c r="K13" s="668"/>
      <c r="L13" s="668"/>
      <c r="M13" s="4"/>
      <c r="N13" s="4"/>
      <c r="O13" s="4"/>
      <c r="P13" s="4"/>
      <c r="T13"/>
    </row>
    <row r="14" spans="1:41">
      <c r="Q14"/>
      <c r="R14"/>
      <c r="S14"/>
      <c r="T14" s="42">
        <f>SUM(T4:T13)</f>
        <v>3341</v>
      </c>
      <c r="U14" s="522">
        <f>SUM(U4:U13)</f>
        <v>205</v>
      </c>
      <c r="Z14" s="42"/>
      <c r="AA14" s="42"/>
      <c r="AB14" s="42"/>
      <c r="AC14" s="42"/>
      <c r="AD14" s="42"/>
      <c r="AE14" s="42"/>
      <c r="AF14" s="42"/>
      <c r="AG14" s="42">
        <f>SUM(AG4:AG13)</f>
        <v>3564</v>
      </c>
      <c r="AH14" s="42">
        <f>SUM(AH4:AH13)</f>
        <v>18</v>
      </c>
      <c r="AJ14" s="42">
        <f>SUM(AJ4:AJ13)</f>
        <v>0</v>
      </c>
    </row>
    <row r="15" spans="1:41">
      <c r="Q15"/>
      <c r="R15"/>
      <c r="S15"/>
      <c r="T15"/>
    </row>
    <row r="16" spans="1:41">
      <c r="A16" s="6"/>
      <c r="B16" s="468"/>
      <c r="C16" s="10"/>
      <c r="D16" s="469"/>
      <c r="E16" s="497"/>
      <c r="F16" s="497"/>
      <c r="G16" s="497"/>
      <c r="H16" s="497"/>
      <c r="I16" s="497"/>
      <c r="J16" s="498"/>
      <c r="K16" s="504"/>
      <c r="L16" s="504"/>
      <c r="M16" s="497"/>
      <c r="N16" s="497"/>
      <c r="O16" s="497"/>
      <c r="P16" s="497"/>
      <c r="Q16" s="499"/>
      <c r="R16" s="500"/>
      <c r="S16" s="500"/>
      <c r="T16" s="500"/>
      <c r="U16" s="500"/>
      <c r="V16" s="500"/>
      <c r="W16" s="498"/>
      <c r="X16" s="498"/>
      <c r="Y16" s="498"/>
      <c r="AB16" s="4"/>
      <c r="AC16" s="4"/>
      <c r="AD16" s="4"/>
      <c r="AH16" s="331"/>
      <c r="AI16" s="331"/>
    </row>
    <row r="17" spans="2:20">
      <c r="B17" s="480"/>
      <c r="Q17"/>
      <c r="R17"/>
      <c r="S17"/>
      <c r="T17"/>
    </row>
    <row r="18" spans="2:20">
      <c r="B18" s="480"/>
      <c r="Q18"/>
      <c r="R18"/>
      <c r="S18"/>
      <c r="T18"/>
    </row>
    <row r="19" spans="2:20">
      <c r="B19" s="480"/>
      <c r="Q19"/>
      <c r="R19"/>
      <c r="S19"/>
      <c r="T19"/>
    </row>
    <row r="20" spans="2:20">
      <c r="B20" s="480"/>
      <c r="Q20"/>
      <c r="R20"/>
      <c r="S20"/>
      <c r="T20"/>
    </row>
    <row r="21" spans="2:20">
      <c r="B21" s="480"/>
      <c r="Q21"/>
      <c r="R21"/>
      <c r="S21"/>
      <c r="T21"/>
    </row>
    <row r="22" spans="2:20">
      <c r="B22" s="480"/>
      <c r="Q22"/>
      <c r="R22"/>
      <c r="S22"/>
      <c r="T22"/>
    </row>
    <row r="23" spans="2:20">
      <c r="B23" s="480"/>
      <c r="Q23"/>
      <c r="R23"/>
      <c r="S23"/>
      <c r="T23"/>
    </row>
    <row r="24" spans="2:20">
      <c r="B24" s="480"/>
      <c r="Q24"/>
      <c r="R24"/>
      <c r="S24"/>
      <c r="T24"/>
    </row>
    <row r="25" spans="2:20">
      <c r="B25" s="480"/>
      <c r="Q25"/>
      <c r="R25"/>
      <c r="S25"/>
      <c r="T25"/>
    </row>
    <row r="26" spans="2:20">
      <c r="B26" s="480"/>
      <c r="Q26"/>
      <c r="R26"/>
      <c r="S26"/>
      <c r="T26"/>
    </row>
    <row r="27" spans="2:20">
      <c r="B27" s="480"/>
      <c r="Q27"/>
      <c r="R27"/>
      <c r="S27"/>
      <c r="T27"/>
    </row>
    <row r="28" spans="2:20">
      <c r="B28" s="480"/>
      <c r="Q28"/>
      <c r="R28"/>
      <c r="S28"/>
      <c r="T28"/>
    </row>
    <row r="29" spans="2:20">
      <c r="B29" s="480"/>
      <c r="Q29"/>
      <c r="R29"/>
      <c r="S29"/>
      <c r="T29"/>
    </row>
    <row r="30" spans="2:20">
      <c r="B30" s="480"/>
      <c r="Q30"/>
      <c r="R30"/>
      <c r="S30"/>
      <c r="T30"/>
    </row>
    <row r="31" spans="2:20">
      <c r="Q31"/>
      <c r="R31"/>
      <c r="S31"/>
      <c r="T31"/>
    </row>
    <row r="32" spans="2:20">
      <c r="Q32"/>
      <c r="R32"/>
      <c r="S32"/>
      <c r="T32"/>
    </row>
    <row r="33" spans="17:20">
      <c r="Q33"/>
      <c r="R33"/>
      <c r="S33"/>
      <c r="T33"/>
    </row>
  </sheetData>
  <autoFilter ref="B1:B10"/>
  <mergeCells count="3">
    <mergeCell ref="M1:T1"/>
    <mergeCell ref="Z1:AG1"/>
    <mergeCell ref="E3:F3"/>
  </mergeCells>
  <phoneticPr fontId="8" type="noConversion"/>
  <conditionalFormatting sqref="B14:B15 B31:B1048576">
    <cfRule type="duplicateValues" dxfId="1228" priority="7990"/>
  </conditionalFormatting>
  <conditionalFormatting sqref="B31:B1048576">
    <cfRule type="duplicateValues" dxfId="1227" priority="7995"/>
  </conditionalFormatting>
  <conditionalFormatting sqref="AJ1:AJ3">
    <cfRule type="duplicateValues" dxfId="1226" priority="150"/>
  </conditionalFormatting>
  <conditionalFormatting sqref="B14:B15">
    <cfRule type="duplicateValues" dxfId="1225" priority="9478"/>
  </conditionalFormatting>
  <conditionalFormatting sqref="B7 B10">
    <cfRule type="duplicateValues" dxfId="1224" priority="109"/>
  </conditionalFormatting>
  <conditionalFormatting sqref="B10">
    <cfRule type="duplicateValues" dxfId="1223" priority="110"/>
  </conditionalFormatting>
  <conditionalFormatting sqref="U4">
    <cfRule type="cellIs" dxfId="1222" priority="107" operator="greaterThan">
      <formula>0</formula>
    </cfRule>
  </conditionalFormatting>
  <conditionalFormatting sqref="U5">
    <cfRule type="cellIs" dxfId="1221" priority="101" operator="greaterThan">
      <formula>0</formula>
    </cfRule>
  </conditionalFormatting>
  <conditionalFormatting sqref="B31:B1048576 B4:B15">
    <cfRule type="duplicateValues" dxfId="1220" priority="99"/>
  </conditionalFormatting>
  <conditionalFormatting sqref="B31:B1048576">
    <cfRule type="duplicateValues" dxfId="1219" priority="97"/>
  </conditionalFormatting>
  <conditionalFormatting sqref="A16">
    <cfRule type="duplicateValues" dxfId="1218" priority="96"/>
  </conditionalFormatting>
  <conditionalFormatting sqref="B4:B12">
    <cfRule type="duplicateValues" dxfId="1217" priority="14330"/>
  </conditionalFormatting>
  <conditionalFormatting sqref="B13">
    <cfRule type="duplicateValues" dxfId="1216" priority="15543"/>
  </conditionalFormatting>
  <conditionalFormatting sqref="B3">
    <cfRule type="duplicateValues" dxfId="1215" priority="92"/>
  </conditionalFormatting>
  <conditionalFormatting sqref="B3">
    <cfRule type="duplicateValues" dxfId="1214" priority="91"/>
  </conditionalFormatting>
  <conditionalFormatting sqref="B3">
    <cfRule type="duplicateValues" dxfId="1213" priority="90"/>
  </conditionalFormatting>
  <conditionalFormatting sqref="B3">
    <cfRule type="duplicateValues" dxfId="1212" priority="88"/>
    <cfRule type="duplicateValues" dxfId="1211" priority="89"/>
  </conditionalFormatting>
  <conditionalFormatting sqref="B3">
    <cfRule type="duplicateValues" dxfId="1210" priority="87"/>
  </conditionalFormatting>
  <conditionalFormatting sqref="B3">
    <cfRule type="duplicateValues" dxfId="1209" priority="83"/>
    <cfRule type="duplicateValues" dxfId="1208" priority="84"/>
    <cfRule type="duplicateValues" dxfId="1207" priority="85"/>
    <cfRule type="duplicateValues" dxfId="1206" priority="86"/>
  </conditionalFormatting>
  <conditionalFormatting sqref="B3">
    <cfRule type="duplicateValues" dxfId="1205" priority="82"/>
  </conditionalFormatting>
  <conditionalFormatting sqref="B3">
    <cfRule type="duplicateValues" dxfId="1204" priority="77"/>
    <cfRule type="duplicateValues" dxfId="1203" priority="78"/>
    <cfRule type="duplicateValues" dxfId="1202" priority="79"/>
    <cfRule type="duplicateValues" dxfId="1201" priority="80"/>
    <cfRule type="duplicateValues" dxfId="1200" priority="81"/>
  </conditionalFormatting>
  <conditionalFormatting sqref="B3">
    <cfRule type="duplicateValues" dxfId="1199" priority="76"/>
  </conditionalFormatting>
  <conditionalFormatting sqref="B3">
    <cfRule type="duplicateValues" dxfId="1198" priority="75"/>
  </conditionalFormatting>
  <conditionalFormatting sqref="B3">
    <cfRule type="duplicateValues" dxfId="1197" priority="73"/>
    <cfRule type="duplicateValues" dxfId="1196" priority="74"/>
  </conditionalFormatting>
  <conditionalFormatting sqref="B3">
    <cfRule type="duplicateValues" dxfId="1195" priority="68"/>
    <cfRule type="duplicateValues" dxfId="1194" priority="69"/>
    <cfRule type="duplicateValues" dxfId="1193" priority="70"/>
    <cfRule type="duplicateValues" dxfId="1192" priority="71"/>
    <cfRule type="duplicateValues" dxfId="1191" priority="72"/>
  </conditionalFormatting>
  <conditionalFormatting sqref="B3">
    <cfRule type="duplicateValues" dxfId="1190" priority="67"/>
  </conditionalFormatting>
  <conditionalFormatting sqref="B3">
    <cfRule type="duplicateValues" dxfId="1189" priority="66"/>
  </conditionalFormatting>
  <conditionalFormatting sqref="B3">
    <cfRule type="duplicateValues" dxfId="1188" priority="64"/>
    <cfRule type="duplicateValues" dxfId="1187" priority="65"/>
  </conditionalFormatting>
  <conditionalFormatting sqref="B3">
    <cfRule type="duplicateValues" dxfId="1186" priority="60"/>
    <cfRule type="duplicateValues" dxfId="1185" priority="61"/>
    <cfRule type="duplicateValues" dxfId="1184" priority="62"/>
    <cfRule type="duplicateValues" dxfId="1183" priority="63"/>
  </conditionalFormatting>
  <conditionalFormatting sqref="B3">
    <cfRule type="duplicateValues" dxfId="1182" priority="59"/>
  </conditionalFormatting>
  <conditionalFormatting sqref="B3">
    <cfRule type="duplicateValues" dxfId="1181" priority="54"/>
    <cfRule type="duplicateValues" dxfId="1180" priority="55"/>
    <cfRule type="duplicateValues" dxfId="1179" priority="56"/>
    <cfRule type="duplicateValues" dxfId="1178" priority="57"/>
    <cfRule type="duplicateValues" dxfId="1177" priority="58"/>
  </conditionalFormatting>
  <conditionalFormatting sqref="B3">
    <cfRule type="duplicateValues" dxfId="1176" priority="53"/>
  </conditionalFormatting>
  <conditionalFormatting sqref="B3">
    <cfRule type="duplicateValues" dxfId="1175" priority="52"/>
  </conditionalFormatting>
  <conditionalFormatting sqref="B3">
    <cfRule type="duplicateValues" dxfId="1174" priority="51"/>
  </conditionalFormatting>
  <conditionalFormatting sqref="B3">
    <cfRule type="duplicateValues" dxfId="1173" priority="49"/>
    <cfRule type="duplicateValues" dxfId="1172" priority="50"/>
  </conditionalFormatting>
  <conditionalFormatting sqref="B3">
    <cfRule type="duplicateValues" dxfId="1171" priority="48"/>
  </conditionalFormatting>
  <conditionalFormatting sqref="B3">
    <cfRule type="duplicateValues" dxfId="1170" priority="93"/>
  </conditionalFormatting>
  <conditionalFormatting sqref="E3">
    <cfRule type="duplicateValues" dxfId="1169" priority="47"/>
  </conditionalFormatting>
  <conditionalFormatting sqref="E3">
    <cfRule type="duplicateValues" dxfId="1168" priority="46"/>
  </conditionalFormatting>
  <conditionalFormatting sqref="E3">
    <cfRule type="duplicateValues" dxfId="1167" priority="45"/>
  </conditionalFormatting>
  <conditionalFormatting sqref="E3">
    <cfRule type="duplicateValues" dxfId="1166" priority="43"/>
    <cfRule type="duplicateValues" dxfId="1165" priority="44"/>
  </conditionalFormatting>
  <conditionalFormatting sqref="E3">
    <cfRule type="duplicateValues" dxfId="1164" priority="42"/>
  </conditionalFormatting>
  <conditionalFormatting sqref="E3">
    <cfRule type="duplicateValues" dxfId="1163" priority="38"/>
    <cfRule type="duplicateValues" dxfId="1162" priority="39"/>
    <cfRule type="duplicateValues" dxfId="1161" priority="40"/>
    <cfRule type="duplicateValues" dxfId="1160" priority="41"/>
  </conditionalFormatting>
  <conditionalFormatting sqref="E3">
    <cfRule type="duplicateValues" dxfId="1159" priority="37"/>
  </conditionalFormatting>
  <conditionalFormatting sqref="E3">
    <cfRule type="duplicateValues" dxfId="1158" priority="32"/>
    <cfRule type="duplicateValues" dxfId="1157" priority="33"/>
    <cfRule type="duplicateValues" dxfId="1156" priority="34"/>
    <cfRule type="duplicateValues" dxfId="1155" priority="35"/>
    <cfRule type="duplicateValues" dxfId="1154" priority="36"/>
  </conditionalFormatting>
  <conditionalFormatting sqref="E3">
    <cfRule type="duplicateValues" dxfId="1153" priority="31"/>
  </conditionalFormatting>
  <conditionalFormatting sqref="E3">
    <cfRule type="duplicateValues" dxfId="1152" priority="30"/>
  </conditionalFormatting>
  <conditionalFormatting sqref="E3">
    <cfRule type="duplicateValues" dxfId="1151" priority="28"/>
    <cfRule type="duplicateValues" dxfId="1150" priority="29"/>
  </conditionalFormatting>
  <conditionalFormatting sqref="E3">
    <cfRule type="duplicateValues" dxfId="1149" priority="23"/>
    <cfRule type="duplicateValues" dxfId="1148" priority="24"/>
    <cfRule type="duplicateValues" dxfId="1147" priority="25"/>
    <cfRule type="duplicateValues" dxfId="1146" priority="26"/>
    <cfRule type="duplicateValues" dxfId="1145" priority="27"/>
  </conditionalFormatting>
  <conditionalFormatting sqref="E3">
    <cfRule type="duplicateValues" dxfId="1144" priority="22"/>
  </conditionalFormatting>
  <conditionalFormatting sqref="E3">
    <cfRule type="duplicateValues" dxfId="1143" priority="21"/>
  </conditionalFormatting>
  <conditionalFormatting sqref="E3">
    <cfRule type="duplicateValues" dxfId="1142" priority="19"/>
    <cfRule type="duplicateValues" dxfId="1141" priority="20"/>
  </conditionalFormatting>
  <conditionalFormatting sqref="E3">
    <cfRule type="duplicateValues" dxfId="1140" priority="15"/>
    <cfRule type="duplicateValues" dxfId="1139" priority="16"/>
    <cfRule type="duplicateValues" dxfId="1138" priority="17"/>
    <cfRule type="duplicateValues" dxfId="1137" priority="18"/>
  </conditionalFormatting>
  <conditionalFormatting sqref="E3">
    <cfRule type="duplicateValues" dxfId="1136" priority="14"/>
  </conditionalFormatting>
  <conditionalFormatting sqref="E3">
    <cfRule type="duplicateValues" dxfId="1135" priority="9"/>
    <cfRule type="duplicateValues" dxfId="1134" priority="10"/>
    <cfRule type="duplicateValues" dxfId="1133" priority="11"/>
    <cfRule type="duplicateValues" dxfId="1132" priority="12"/>
    <cfRule type="duplicateValues" dxfId="1131" priority="13"/>
  </conditionalFormatting>
  <conditionalFormatting sqref="E3">
    <cfRule type="duplicateValues" dxfId="1130" priority="8"/>
  </conditionalFormatting>
  <conditionalFormatting sqref="E3">
    <cfRule type="duplicateValues" dxfId="1129" priority="7"/>
  </conditionalFormatting>
  <conditionalFormatting sqref="E3">
    <cfRule type="duplicateValues" dxfId="1128" priority="6"/>
  </conditionalFormatting>
  <conditionalFormatting sqref="E3">
    <cfRule type="duplicateValues" dxfId="1127" priority="4"/>
    <cfRule type="duplicateValues" dxfId="1126" priority="5"/>
  </conditionalFormatting>
  <conditionalFormatting sqref="E3">
    <cfRule type="duplicateValues" dxfId="1125" priority="3"/>
  </conditionalFormatting>
  <conditionalFormatting sqref="B3">
    <cfRule type="duplicateValues" dxfId="1124" priority="2"/>
  </conditionalFormatting>
  <conditionalFormatting sqref="B3">
    <cfRule type="duplicateValues" dxfId="1123" priority="1"/>
  </conditionalFormatting>
  <pageMargins left="0.2" right="0.2" top="0.25" bottom="0.25" header="0.3" footer="0.3"/>
  <pageSetup scale="41" orientation="landscape" r:id="rId1"/>
  <colBreaks count="1" manualBreakCount="1">
    <brk id="3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O16"/>
  <sheetViews>
    <sheetView showGridLines="0" zoomScaleNormal="100" workbookViewId="0">
      <pane xSplit="12" ySplit="3" topLeftCell="S4" activePane="bottomRight" state="frozen"/>
      <selection pane="topRight" activeCell="M1" sqref="M1"/>
      <selection pane="bottomLeft" activeCell="A4" sqref="A4"/>
      <selection pane="bottomRight" activeCell="O5" sqref="O5"/>
    </sheetView>
  </sheetViews>
  <sheetFormatPr defaultRowHeight="15"/>
  <cols>
    <col min="1" max="1" width="4.140625" bestFit="1" customWidth="1"/>
    <col min="3" max="4" width="9.140625" hidden="1" customWidth="1"/>
    <col min="5" max="5" width="10.140625" customWidth="1"/>
    <col min="6" max="6" width="15.140625" customWidth="1"/>
    <col min="7" max="7" width="6.7109375" style="2" customWidth="1"/>
    <col min="8" max="8" width="13.140625" customWidth="1"/>
    <col min="9" max="9" width="10.7109375" bestFit="1" customWidth="1"/>
    <col min="10" max="10" width="12.85546875" hidden="1" customWidth="1"/>
    <col min="11" max="11" width="11.7109375" style="632" customWidth="1"/>
    <col min="12" max="12" width="9.28515625" style="632" customWidth="1"/>
    <col min="13" max="13" width="9.28515625" customWidth="1"/>
    <col min="14" max="16" width="8" customWidth="1"/>
    <col min="17" max="17" width="9.42578125" customWidth="1"/>
    <col min="18" max="19" width="9.28515625" bestFit="1" customWidth="1"/>
    <col min="20" max="20" width="12" customWidth="1"/>
    <col min="21" max="21" width="9.7109375" hidden="1" customWidth="1"/>
    <col min="22" max="22" width="9.28515625" hidden="1" customWidth="1"/>
    <col min="23" max="23" width="9.7109375" hidden="1" customWidth="1"/>
    <col min="24" max="24" width="11.42578125" hidden="1" customWidth="1"/>
    <col min="25" max="25" width="9.7109375" hidden="1" customWidth="1"/>
    <col min="33" max="33" width="10.42578125" customWidth="1"/>
    <col min="34" max="41" width="0" hidden="1" customWidth="1"/>
  </cols>
  <sheetData>
    <row r="1" spans="1:41" ht="22.5">
      <c r="A1" s="541" t="s">
        <v>60</v>
      </c>
      <c r="B1" s="542" t="s">
        <v>68</v>
      </c>
      <c r="C1" s="573" t="s">
        <v>128</v>
      </c>
      <c r="D1" s="546" t="s">
        <v>129</v>
      </c>
      <c r="E1" s="573" t="s">
        <v>61</v>
      </c>
      <c r="F1" s="546" t="s">
        <v>62</v>
      </c>
      <c r="G1" s="544" t="s">
        <v>130</v>
      </c>
      <c r="H1" s="545" t="s">
        <v>63</v>
      </c>
      <c r="I1" s="546" t="s">
        <v>64</v>
      </c>
      <c r="J1" s="546" t="s">
        <v>6160</v>
      </c>
      <c r="K1" s="546" t="s">
        <v>65</v>
      </c>
      <c r="L1" s="574" t="s">
        <v>66</v>
      </c>
      <c r="M1" s="723" t="s">
        <v>6022</v>
      </c>
      <c r="N1" s="713"/>
      <c r="O1" s="713"/>
      <c r="P1" s="713"/>
      <c r="Q1" s="713"/>
      <c r="R1" s="713"/>
      <c r="S1" s="713"/>
      <c r="T1" s="713"/>
      <c r="U1" s="339" t="s">
        <v>6145</v>
      </c>
      <c r="V1" s="340" t="s">
        <v>6146</v>
      </c>
      <c r="W1" s="340" t="s">
        <v>6147</v>
      </c>
      <c r="X1" s="341" t="s">
        <v>6321</v>
      </c>
      <c r="Y1" s="470" t="s">
        <v>6148</v>
      </c>
      <c r="Z1" s="718" t="s">
        <v>6322</v>
      </c>
      <c r="AA1" s="719"/>
      <c r="AB1" s="719"/>
      <c r="AC1" s="719"/>
      <c r="AD1" s="719"/>
      <c r="AE1" s="719"/>
      <c r="AF1" s="719"/>
      <c r="AG1" s="720"/>
    </row>
    <row r="2" spans="1:41" ht="33.75">
      <c r="A2" s="547" t="s">
        <v>67</v>
      </c>
      <c r="B2" s="483" t="s">
        <v>68</v>
      </c>
      <c r="C2" s="351" t="s">
        <v>150</v>
      </c>
      <c r="D2" s="352" t="s">
        <v>69</v>
      </c>
      <c r="E2" s="351" t="s">
        <v>70</v>
      </c>
      <c r="F2" s="352" t="s">
        <v>69</v>
      </c>
      <c r="G2" s="53" t="s">
        <v>151</v>
      </c>
      <c r="H2" s="33" t="s">
        <v>71</v>
      </c>
      <c r="I2" s="352" t="s">
        <v>1</v>
      </c>
      <c r="J2" s="352" t="s">
        <v>72</v>
      </c>
      <c r="K2" s="352" t="s">
        <v>6315</v>
      </c>
      <c r="L2" s="575" t="s">
        <v>0</v>
      </c>
      <c r="M2" s="643" t="s">
        <v>73</v>
      </c>
      <c r="N2" s="59" t="s">
        <v>2</v>
      </c>
      <c r="O2" s="59" t="s">
        <v>3</v>
      </c>
      <c r="P2" s="59" t="s">
        <v>0</v>
      </c>
      <c r="Q2" s="59" t="s">
        <v>4</v>
      </c>
      <c r="R2" s="298" t="s">
        <v>74</v>
      </c>
      <c r="S2" s="59" t="s">
        <v>75</v>
      </c>
      <c r="T2" s="358" t="s">
        <v>76</v>
      </c>
      <c r="U2" s="359" t="s">
        <v>6149</v>
      </c>
      <c r="V2" s="360" t="s">
        <v>6150</v>
      </c>
      <c r="W2" s="360" t="s">
        <v>6151</v>
      </c>
      <c r="X2" s="361" t="s">
        <v>6563</v>
      </c>
      <c r="Y2" s="561" t="s">
        <v>6153</v>
      </c>
      <c r="Z2" s="563" t="s">
        <v>73</v>
      </c>
      <c r="AA2" s="363" t="s">
        <v>2</v>
      </c>
      <c r="AB2" s="363" t="s">
        <v>3</v>
      </c>
      <c r="AC2" s="363" t="s">
        <v>0</v>
      </c>
      <c r="AD2" s="363" t="s">
        <v>4</v>
      </c>
      <c r="AE2" s="364" t="s">
        <v>74</v>
      </c>
      <c r="AF2" s="363" t="s">
        <v>75</v>
      </c>
      <c r="AG2" s="564" t="s">
        <v>76</v>
      </c>
    </row>
    <row r="3" spans="1:41" ht="26.25" thickBot="1">
      <c r="A3" s="576" t="s">
        <v>6584</v>
      </c>
      <c r="B3" s="35" t="s">
        <v>6580</v>
      </c>
      <c r="C3" s="577"/>
      <c r="D3" s="578"/>
      <c r="E3" s="721" t="s">
        <v>117</v>
      </c>
      <c r="F3" s="722"/>
      <c r="G3" s="579" t="s">
        <v>6581</v>
      </c>
      <c r="H3" s="580" t="s">
        <v>6582</v>
      </c>
      <c r="I3" s="36" t="s">
        <v>123</v>
      </c>
      <c r="J3" s="581" t="s">
        <v>6109</v>
      </c>
      <c r="K3" s="582" t="s">
        <v>6583</v>
      </c>
      <c r="L3" s="345" t="s">
        <v>124</v>
      </c>
      <c r="M3" s="644" t="s">
        <v>118</v>
      </c>
      <c r="N3" s="38" t="s">
        <v>119</v>
      </c>
      <c r="O3" s="38" t="s">
        <v>120</v>
      </c>
      <c r="P3" s="38" t="s">
        <v>121</v>
      </c>
      <c r="Q3" s="38" t="s">
        <v>6155</v>
      </c>
      <c r="R3" s="39" t="s">
        <v>6156</v>
      </c>
      <c r="S3" s="38" t="s">
        <v>122</v>
      </c>
      <c r="T3" s="41" t="s">
        <v>6157</v>
      </c>
      <c r="U3" s="343" t="s">
        <v>6149</v>
      </c>
      <c r="V3" s="36" t="s">
        <v>6150</v>
      </c>
      <c r="W3" s="36" t="s">
        <v>6151</v>
      </c>
      <c r="X3" s="344" t="s">
        <v>6563</v>
      </c>
      <c r="Y3" s="40" t="s">
        <v>6153</v>
      </c>
      <c r="Z3" s="37" t="s">
        <v>118</v>
      </c>
      <c r="AA3" s="38" t="s">
        <v>119</v>
      </c>
      <c r="AB3" s="38" t="s">
        <v>120</v>
      </c>
      <c r="AC3" s="38" t="s">
        <v>121</v>
      </c>
      <c r="AD3" s="38" t="s">
        <v>6155</v>
      </c>
      <c r="AE3" s="39" t="s">
        <v>6156</v>
      </c>
      <c r="AF3" s="38" t="s">
        <v>122</v>
      </c>
      <c r="AG3" s="41" t="s">
        <v>6462</v>
      </c>
    </row>
    <row r="4" spans="1:41" s="7" customFormat="1" ht="33.75" customHeight="1">
      <c r="A4" s="598">
        <f>1</f>
        <v>1</v>
      </c>
      <c r="B4" s="599">
        <v>2426</v>
      </c>
      <c r="C4" s="616" t="str">
        <f>VLOOKUP(B4,All!$B$4:$S$8977,2,FALSE)</f>
        <v>ផុន</v>
      </c>
      <c r="D4" s="602" t="str">
        <f>VLOOKUP(B4,All!$B$4:$S$89977,3,FALSE)</f>
        <v>ភារ៉ា</v>
      </c>
      <c r="E4" s="616" t="str">
        <f>VLOOKUP(B4,All!$B$4:$S$8977,4,FALSE)</f>
        <v>PHON</v>
      </c>
      <c r="F4" s="602" t="str">
        <f>VLOOKUP(B4,All!$B$4:$S$8977,5,FALSE)</f>
        <v>PHEARA</v>
      </c>
      <c r="G4" s="617" t="str">
        <f>VLOOKUP(B4,All!$B$4:$S$8977,6,FALSE)</f>
        <v>M</v>
      </c>
      <c r="H4" s="603">
        <f>VLOOKUP(B4,All!$B$4:$S$8977,7,FALSE)</f>
        <v>32516</v>
      </c>
      <c r="I4" s="604">
        <f>VLOOKUP(B4,All!$B$4:$S$8977,8,FALSE)</f>
        <v>43222</v>
      </c>
      <c r="J4" s="604" t="str">
        <f>VLOOKUP(B4,All!$B$4:$S$8977,9,FALSE)</f>
        <v>Production</v>
      </c>
      <c r="K4" s="641" t="str">
        <f>VLOOKUP(B4,All!$B$4:$S$8977,10,FALSE)</f>
        <v>Warehouse Fabric</v>
      </c>
      <c r="L4" s="642" t="str">
        <f>VLOOKUP(B4,All!$B$4:$S$8977,11,FALSE)</f>
        <v>Loader</v>
      </c>
      <c r="M4" s="645">
        <f>VLOOKUP(B4,All!$B$4:$S$8977,12,FALSE)</f>
        <v>192</v>
      </c>
      <c r="N4" s="586">
        <f>VLOOKUP(B4,All!$B$4:$S$8977,13,FALSE)</f>
        <v>4</v>
      </c>
      <c r="O4" s="586">
        <f>VLOOKUP(B4,All!$B$4:$S$8977,14,FALSE)</f>
        <v>20</v>
      </c>
      <c r="P4" s="586">
        <f>VLOOKUP(B4,All!$B$4:$S$8977,15,FALSE)</f>
        <v>25</v>
      </c>
      <c r="Q4" s="586">
        <f>VLOOKUP(B4,All!$B$4:$S$8977,16,FALSE)</f>
        <v>0</v>
      </c>
      <c r="R4" s="586">
        <v>7</v>
      </c>
      <c r="S4" s="586">
        <v>10</v>
      </c>
      <c r="T4" s="640">
        <f t="shared" ref="T4:T12" si="0">SUM(M4:S4)</f>
        <v>258</v>
      </c>
      <c r="U4" s="633"/>
      <c r="V4" s="5"/>
      <c r="W4" s="5"/>
      <c r="X4" s="5"/>
      <c r="Y4" s="639"/>
      <c r="Z4" s="570">
        <f t="shared" ref="Z4:Z14" si="1">M4+AH4</f>
        <v>194</v>
      </c>
      <c r="AA4" s="18">
        <f t="shared" ref="AA4:AF12" si="2">N4</f>
        <v>4</v>
      </c>
      <c r="AB4" s="18">
        <f t="shared" si="2"/>
        <v>20</v>
      </c>
      <c r="AC4" s="18">
        <f t="shared" si="2"/>
        <v>25</v>
      </c>
      <c r="AD4" s="18">
        <f t="shared" si="2"/>
        <v>0</v>
      </c>
      <c r="AE4" s="18">
        <f t="shared" si="2"/>
        <v>7</v>
      </c>
      <c r="AF4" s="18">
        <f t="shared" si="2"/>
        <v>10</v>
      </c>
      <c r="AG4" s="634">
        <f t="shared" ref="AG4:AG12" si="3">SUM(Z4:AF4)</f>
        <v>260</v>
      </c>
      <c r="AH4" s="409">
        <v>2</v>
      </c>
      <c r="AI4" s="409">
        <v>0</v>
      </c>
      <c r="AJ4" s="409">
        <v>0</v>
      </c>
      <c r="AK4" s="409">
        <v>0</v>
      </c>
      <c r="AL4" s="409">
        <v>0</v>
      </c>
      <c r="AM4" s="409">
        <v>0</v>
      </c>
      <c r="AN4" s="409">
        <v>0</v>
      </c>
      <c r="AO4" s="409">
        <v>2</v>
      </c>
    </row>
    <row r="5" spans="1:41" s="7" customFormat="1" ht="33.75" customHeight="1">
      <c r="A5" s="606">
        <f t="shared" ref="A5:A14" si="4">1+A4</f>
        <v>2</v>
      </c>
      <c r="B5" s="8">
        <v>2851</v>
      </c>
      <c r="C5" s="484" t="str">
        <f>VLOOKUP(B5,All!$B$4:$S$8977,2,FALSE)</f>
        <v>ផាង</v>
      </c>
      <c r="D5" s="482" t="str">
        <f>VLOOKUP(B5,All!$B$4:$S$89977,3,FALSE)</f>
        <v>ហ៊ុយ</v>
      </c>
      <c r="E5" s="484" t="str">
        <f>VLOOKUP(B5,All!$B$4:$S$8977,4,FALSE)</f>
        <v>Phang</v>
      </c>
      <c r="F5" s="482" t="str">
        <f>VLOOKUP(B5,All!$B$4:$S$8977,5,FALSE)</f>
        <v>Huy</v>
      </c>
      <c r="G5" s="479" t="str">
        <f>VLOOKUP(B5,All!$B$4:$S$8977,6,FALSE)</f>
        <v>M</v>
      </c>
      <c r="H5" s="486">
        <f>VLOOKUP(B5,All!$B$4:$S$8977,7,FALSE)</f>
        <v>35160</v>
      </c>
      <c r="I5" s="481">
        <f>VLOOKUP(B5,All!$B$4:$S$8977,8,FALSE)</f>
        <v>43573</v>
      </c>
      <c r="J5" s="481" t="str">
        <f>VLOOKUP(B5,All!$B$4:$S$8977,9,FALSE)</f>
        <v>Production</v>
      </c>
      <c r="K5" s="631" t="str">
        <f>VLOOKUP(B5,All!$B$4:$S$8977,10,FALSE)</f>
        <v>Warehouse Fabric</v>
      </c>
      <c r="L5" s="636" t="str">
        <f>VLOOKUP(B5,All!$B$4:$S$8977,11,FALSE)</f>
        <v>Loader</v>
      </c>
      <c r="M5" s="613">
        <f>VLOOKUP(B5,All!$B$4:$S$8977,12,FALSE)</f>
        <v>192</v>
      </c>
      <c r="N5" s="18">
        <f>VLOOKUP(B5,All!$B$4:$S$8977,13,FALSE)</f>
        <v>3</v>
      </c>
      <c r="O5" s="18">
        <f>VLOOKUP(B5,All!$B$4:$S$8977,14,FALSE)</f>
        <v>0</v>
      </c>
      <c r="P5" s="18">
        <f>VLOOKUP(B5,All!$B$4:$S$8977,15,FALSE)</f>
        <v>20</v>
      </c>
      <c r="Q5" s="18">
        <f>VLOOKUP(B5,All!$B$4:$S$8977,16,FALSE)</f>
        <v>0</v>
      </c>
      <c r="R5" s="18">
        <v>7</v>
      </c>
      <c r="S5" s="18">
        <v>10</v>
      </c>
      <c r="T5" s="634">
        <f t="shared" si="0"/>
        <v>232</v>
      </c>
      <c r="U5" s="633"/>
      <c r="V5" s="5"/>
      <c r="W5" s="5"/>
      <c r="X5" s="5"/>
      <c r="Y5" s="639"/>
      <c r="Z5" s="570">
        <f t="shared" si="1"/>
        <v>194</v>
      </c>
      <c r="AA5" s="18">
        <f t="shared" si="2"/>
        <v>3</v>
      </c>
      <c r="AB5" s="18">
        <f t="shared" si="2"/>
        <v>0</v>
      </c>
      <c r="AC5" s="18">
        <f t="shared" si="2"/>
        <v>20</v>
      </c>
      <c r="AD5" s="18">
        <f t="shared" si="2"/>
        <v>0</v>
      </c>
      <c r="AE5" s="18">
        <f t="shared" si="2"/>
        <v>7</v>
      </c>
      <c r="AF5" s="18">
        <f t="shared" si="2"/>
        <v>10</v>
      </c>
      <c r="AG5" s="634">
        <f t="shared" si="3"/>
        <v>234</v>
      </c>
      <c r="AH5" s="409">
        <v>2</v>
      </c>
      <c r="AI5" s="409">
        <v>0</v>
      </c>
      <c r="AJ5" s="409">
        <v>0</v>
      </c>
      <c r="AK5" s="409">
        <v>0</v>
      </c>
      <c r="AL5" s="409">
        <v>0</v>
      </c>
      <c r="AM5" s="409">
        <v>0</v>
      </c>
      <c r="AN5" s="409">
        <v>0</v>
      </c>
      <c r="AO5" s="409">
        <v>2</v>
      </c>
    </row>
    <row r="6" spans="1:41" s="7" customFormat="1" ht="33.75" customHeight="1">
      <c r="A6" s="606">
        <f t="shared" si="4"/>
        <v>3</v>
      </c>
      <c r="B6" s="8">
        <v>2966</v>
      </c>
      <c r="C6" s="484" t="str">
        <f>VLOOKUP(B6,All!$B$4:$S$8977,2,FALSE)</f>
        <v>ស្រី</v>
      </c>
      <c r="D6" s="482" t="str">
        <f>VLOOKUP(B6,All!$B$4:$S$89977,3,FALSE)</f>
        <v>ភារុណ</v>
      </c>
      <c r="E6" s="484" t="str">
        <f>VLOOKUP(B6,All!$B$4:$S$8977,4,FALSE)</f>
        <v>Srey</v>
      </c>
      <c r="F6" s="482" t="str">
        <f>VLOOKUP(B6,All!$B$4:$S$8977,5,FALSE)</f>
        <v>Phearun</v>
      </c>
      <c r="G6" s="479" t="str">
        <f>VLOOKUP(B6,All!$B$4:$S$8977,6,FALSE)</f>
        <v>M</v>
      </c>
      <c r="H6" s="486">
        <f>VLOOKUP(B6,All!$B$4:$S$8977,7,FALSE)</f>
        <v>28194</v>
      </c>
      <c r="I6" s="481">
        <f>VLOOKUP(B6,All!$B$4:$S$8977,8,FALSE)</f>
        <v>43636</v>
      </c>
      <c r="J6" s="481" t="str">
        <f>VLOOKUP(B6,All!$B$4:$S$8977,9,FALSE)</f>
        <v>Production</v>
      </c>
      <c r="K6" s="631" t="str">
        <f>VLOOKUP(B6,All!$B$4:$S$8977,10,FALSE)</f>
        <v>Warehouse Fabric</v>
      </c>
      <c r="L6" s="636" t="str">
        <f>VLOOKUP(B6,All!$B$4:$S$8977,11,FALSE)</f>
        <v>Loader</v>
      </c>
      <c r="M6" s="613">
        <f>VLOOKUP(B6,All!$B$4:$S$8977,12,FALSE)</f>
        <v>192</v>
      </c>
      <c r="N6" s="18">
        <f>VLOOKUP(B6,All!$B$4:$S$8977,13,FALSE)</f>
        <v>3</v>
      </c>
      <c r="O6" s="18">
        <f>VLOOKUP(B6,All!$B$4:$S$8977,14,FALSE)</f>
        <v>0</v>
      </c>
      <c r="P6" s="18">
        <f>VLOOKUP(B6,All!$B$4:$S$8977,15,FALSE)</f>
        <v>0</v>
      </c>
      <c r="Q6" s="18">
        <f>VLOOKUP(B6,All!$B$4:$S$8977,16,FALSE)</f>
        <v>0</v>
      </c>
      <c r="R6" s="18">
        <v>7</v>
      </c>
      <c r="S6" s="18">
        <v>10</v>
      </c>
      <c r="T6" s="634">
        <f t="shared" si="0"/>
        <v>212</v>
      </c>
      <c r="U6" s="633"/>
      <c r="V6" s="5"/>
      <c r="W6" s="5"/>
      <c r="X6" s="5"/>
      <c r="Y6" s="639"/>
      <c r="Z6" s="570">
        <f t="shared" si="1"/>
        <v>194</v>
      </c>
      <c r="AA6" s="18">
        <f t="shared" si="2"/>
        <v>3</v>
      </c>
      <c r="AB6" s="18">
        <f t="shared" si="2"/>
        <v>0</v>
      </c>
      <c r="AC6" s="18">
        <f t="shared" si="2"/>
        <v>0</v>
      </c>
      <c r="AD6" s="18">
        <f t="shared" si="2"/>
        <v>0</v>
      </c>
      <c r="AE6" s="18">
        <f t="shared" si="2"/>
        <v>7</v>
      </c>
      <c r="AF6" s="18">
        <f t="shared" si="2"/>
        <v>10</v>
      </c>
      <c r="AG6" s="634">
        <f t="shared" si="3"/>
        <v>214</v>
      </c>
      <c r="AH6" s="409">
        <v>2</v>
      </c>
      <c r="AI6" s="409">
        <v>0</v>
      </c>
      <c r="AJ6" s="409">
        <v>0</v>
      </c>
      <c r="AK6" s="409">
        <v>0</v>
      </c>
      <c r="AL6" s="409">
        <v>0</v>
      </c>
      <c r="AM6" s="409">
        <v>0</v>
      </c>
      <c r="AN6" s="409">
        <v>0</v>
      </c>
      <c r="AO6" s="409">
        <v>2</v>
      </c>
    </row>
    <row r="7" spans="1:41" s="7" customFormat="1" ht="33.75" customHeight="1">
      <c r="A7" s="606">
        <f t="shared" si="4"/>
        <v>4</v>
      </c>
      <c r="B7" s="8">
        <v>3095</v>
      </c>
      <c r="C7" s="484" t="str">
        <f>VLOOKUP(B7,All!$B$4:$S$8977,2,FALSE)</f>
        <v>វន្ត័</v>
      </c>
      <c r="D7" s="482" t="str">
        <f>VLOOKUP(B7,All!$B$4:$S$89977,3,FALSE)</f>
        <v>វណ្ណា</v>
      </c>
      <c r="E7" s="484" t="str">
        <f>VLOOKUP(B7,All!$B$4:$S$8977,4,FALSE)</f>
        <v>Vourn</v>
      </c>
      <c r="F7" s="482" t="str">
        <f>VLOOKUP(B7,All!$B$4:$S$8977,5,FALSE)</f>
        <v>Vanna</v>
      </c>
      <c r="G7" s="479" t="str">
        <f>VLOOKUP(B7,All!$B$4:$S$8977,6,FALSE)</f>
        <v>M</v>
      </c>
      <c r="H7" s="486">
        <f>VLOOKUP(B7,All!$B$4:$S$8977,7,FALSE)</f>
        <v>33118</v>
      </c>
      <c r="I7" s="481">
        <f>VLOOKUP(B7,All!$B$4:$S$8977,8,FALSE)</f>
        <v>43740</v>
      </c>
      <c r="J7" s="481" t="str">
        <f>VLOOKUP(B7,All!$B$4:$S$8977,9,FALSE)</f>
        <v>Production</v>
      </c>
      <c r="K7" s="631" t="str">
        <f>VLOOKUP(B7,All!$B$4:$S$8977,10,FALSE)</f>
        <v>Warehouse Fabric</v>
      </c>
      <c r="L7" s="636" t="str">
        <f>VLOOKUP(B7,All!$B$4:$S$8977,11,FALSE)</f>
        <v>Loader</v>
      </c>
      <c r="M7" s="613">
        <f>VLOOKUP(B7,All!$B$4:$S$8977,12,FALSE)</f>
        <v>192</v>
      </c>
      <c r="N7" s="18">
        <f>VLOOKUP(B7,All!$B$4:$S$8977,13,FALSE)</f>
        <v>3</v>
      </c>
      <c r="O7" s="18">
        <f>VLOOKUP(B7,All!$B$4:$S$8977,14,FALSE)</f>
        <v>0</v>
      </c>
      <c r="P7" s="18">
        <f>VLOOKUP(B7,All!$B$4:$S$8977,15,FALSE)</f>
        <v>0</v>
      </c>
      <c r="Q7" s="18">
        <f>VLOOKUP(B7,All!$B$4:$S$8977,16,FALSE)</f>
        <v>0</v>
      </c>
      <c r="R7" s="18">
        <v>7</v>
      </c>
      <c r="S7" s="18">
        <v>10</v>
      </c>
      <c r="T7" s="634">
        <f t="shared" si="0"/>
        <v>212</v>
      </c>
      <c r="U7" s="633"/>
      <c r="V7" s="5"/>
      <c r="W7" s="5"/>
      <c r="X7" s="5"/>
      <c r="Y7" s="639"/>
      <c r="Z7" s="570">
        <f t="shared" si="1"/>
        <v>194</v>
      </c>
      <c r="AA7" s="18">
        <f t="shared" si="2"/>
        <v>3</v>
      </c>
      <c r="AB7" s="18">
        <f t="shared" si="2"/>
        <v>0</v>
      </c>
      <c r="AC7" s="18">
        <f t="shared" si="2"/>
        <v>0</v>
      </c>
      <c r="AD7" s="18">
        <f t="shared" si="2"/>
        <v>0</v>
      </c>
      <c r="AE7" s="18">
        <f t="shared" si="2"/>
        <v>7</v>
      </c>
      <c r="AF7" s="18">
        <f t="shared" si="2"/>
        <v>10</v>
      </c>
      <c r="AG7" s="634">
        <f t="shared" si="3"/>
        <v>214</v>
      </c>
      <c r="AH7" s="409">
        <v>2</v>
      </c>
      <c r="AI7" s="409">
        <v>0</v>
      </c>
      <c r="AJ7" s="409">
        <v>0</v>
      </c>
      <c r="AK7" s="409">
        <v>0</v>
      </c>
      <c r="AL7" s="409">
        <v>0</v>
      </c>
      <c r="AM7" s="409">
        <v>0</v>
      </c>
      <c r="AN7" s="409">
        <v>0</v>
      </c>
      <c r="AO7" s="409">
        <v>2</v>
      </c>
    </row>
    <row r="8" spans="1:41" s="7" customFormat="1" ht="33.75" customHeight="1">
      <c r="A8" s="606">
        <f t="shared" si="4"/>
        <v>5</v>
      </c>
      <c r="B8" s="93">
        <v>3205</v>
      </c>
      <c r="C8" s="484" t="str">
        <f>VLOOKUP(B8,All!$B$4:$S$8977,2,FALSE)</f>
        <v>សាន</v>
      </c>
      <c r="D8" s="482" t="str">
        <f>VLOOKUP(B8,All!$B$4:$S$89977,3,FALSE)</f>
        <v>វាសនា</v>
      </c>
      <c r="E8" s="484" t="str">
        <f>VLOOKUP(B8,All!$B$4:$S$8977,4,FALSE)</f>
        <v>SAN</v>
      </c>
      <c r="F8" s="482" t="str">
        <f>VLOOKUP(B8,All!$B$4:$S$8977,5,FALSE)</f>
        <v>VEASNA</v>
      </c>
      <c r="G8" s="479" t="str">
        <f>VLOOKUP(B8,All!$B$4:$S$8977,6,FALSE)</f>
        <v>M</v>
      </c>
      <c r="H8" s="486">
        <f>VLOOKUP(B8,All!$B$4:$S$8977,7,FALSE)</f>
        <v>33340</v>
      </c>
      <c r="I8" s="481">
        <f>VLOOKUP(B8,All!$B$4:$S$8977,8,FALSE)</f>
        <v>43740</v>
      </c>
      <c r="J8" s="481" t="str">
        <f>VLOOKUP(B8,All!$B$4:$S$8977,9,FALSE)</f>
        <v>Production</v>
      </c>
      <c r="K8" s="631" t="str">
        <f>VLOOKUP(B8,All!$B$4:$S$8977,10,FALSE)</f>
        <v>Warehouse Fabric</v>
      </c>
      <c r="L8" s="636" t="str">
        <f>VLOOKUP(B8,All!$B$4:$S$8977,11,FALSE)</f>
        <v>Loader</v>
      </c>
      <c r="M8" s="613">
        <f>VLOOKUP(B8,All!$B$4:$S$8977,12,FALSE)</f>
        <v>192</v>
      </c>
      <c r="N8" s="18">
        <f>VLOOKUP(B8,All!$B$4:$S$8977,13,FALSE)</f>
        <v>3</v>
      </c>
      <c r="O8" s="18">
        <f>VLOOKUP(B8,All!$B$4:$S$8977,14,FALSE)</f>
        <v>0</v>
      </c>
      <c r="P8" s="18">
        <f>VLOOKUP(B8,All!$B$4:$S$8977,15,FALSE)</f>
        <v>0</v>
      </c>
      <c r="Q8" s="18">
        <f>VLOOKUP(B8,All!$B$4:$S$8977,16,FALSE)</f>
        <v>0</v>
      </c>
      <c r="R8" s="18">
        <v>7</v>
      </c>
      <c r="S8" s="18">
        <v>10</v>
      </c>
      <c r="T8" s="634">
        <f t="shared" si="0"/>
        <v>212</v>
      </c>
      <c r="U8" s="633"/>
      <c r="V8" s="5"/>
      <c r="W8" s="5"/>
      <c r="X8" s="5"/>
      <c r="Y8" s="639"/>
      <c r="Z8" s="570">
        <f t="shared" si="1"/>
        <v>194</v>
      </c>
      <c r="AA8" s="18">
        <f t="shared" si="2"/>
        <v>3</v>
      </c>
      <c r="AB8" s="18">
        <f t="shared" si="2"/>
        <v>0</v>
      </c>
      <c r="AC8" s="18">
        <f t="shared" si="2"/>
        <v>0</v>
      </c>
      <c r="AD8" s="18">
        <f t="shared" si="2"/>
        <v>0</v>
      </c>
      <c r="AE8" s="18">
        <f t="shared" si="2"/>
        <v>7</v>
      </c>
      <c r="AF8" s="18">
        <f t="shared" si="2"/>
        <v>10</v>
      </c>
      <c r="AG8" s="634">
        <f t="shared" si="3"/>
        <v>214</v>
      </c>
      <c r="AH8" s="409">
        <v>2</v>
      </c>
      <c r="AI8" s="409">
        <v>0</v>
      </c>
      <c r="AJ8" s="409">
        <v>0</v>
      </c>
      <c r="AK8" s="409">
        <v>0</v>
      </c>
      <c r="AL8" s="409">
        <v>0</v>
      </c>
      <c r="AM8" s="409">
        <v>0</v>
      </c>
      <c r="AN8" s="409">
        <v>0</v>
      </c>
      <c r="AO8" s="409">
        <v>2</v>
      </c>
    </row>
    <row r="9" spans="1:41" s="7" customFormat="1" ht="33.75" customHeight="1">
      <c r="A9" s="606">
        <f t="shared" si="4"/>
        <v>6</v>
      </c>
      <c r="B9" s="93">
        <v>3542</v>
      </c>
      <c r="C9" s="484" t="str">
        <f>VLOOKUP(B9,All!$B$4:$S$8977,2,FALSE)</f>
        <v>ស៊ុន</v>
      </c>
      <c r="D9" s="482" t="str">
        <f>VLOOKUP(B9,All!$B$4:$S$89977,3,FALSE)</f>
        <v>ប៊ុនធឿន</v>
      </c>
      <c r="E9" s="484" t="str">
        <f>VLOOKUP(B9,All!$B$4:$S$8977,4,FALSE)</f>
        <v>SUN</v>
      </c>
      <c r="F9" s="482" t="str">
        <f>VLOOKUP(B9,All!$B$4:$S$8977,5,FALSE)</f>
        <v>BUNTHOEUN</v>
      </c>
      <c r="G9" s="479" t="str">
        <f>VLOOKUP(B9,All!$B$4:$S$8977,6,FALSE)</f>
        <v>M</v>
      </c>
      <c r="H9" s="486">
        <f>VLOOKUP(B9,All!$B$4:$S$8977,7,FALSE)</f>
        <v>34175</v>
      </c>
      <c r="I9" s="481">
        <f>VLOOKUP(B9,All!$B$4:$S$8977,8,FALSE)</f>
        <v>43747</v>
      </c>
      <c r="J9" s="481" t="str">
        <f>VLOOKUP(B9,All!$B$4:$S$8977,9,FALSE)</f>
        <v>Production</v>
      </c>
      <c r="K9" s="631" t="str">
        <f>VLOOKUP(B9,All!$B$4:$S$8977,10,FALSE)</f>
        <v>Warehouse Fabric</v>
      </c>
      <c r="L9" s="636" t="str">
        <f>VLOOKUP(B9,All!$B$4:$S$8977,11,FALSE)</f>
        <v>Loader</v>
      </c>
      <c r="M9" s="613">
        <f>VLOOKUP(B9,All!$B$4:$S$8977,12,FALSE)</f>
        <v>192</v>
      </c>
      <c r="N9" s="18">
        <f>VLOOKUP(B9,All!$B$4:$S$8977,13,FALSE)</f>
        <v>3</v>
      </c>
      <c r="O9" s="18">
        <f>VLOOKUP(B9,All!$B$4:$S$8977,14,FALSE)</f>
        <v>0</v>
      </c>
      <c r="P9" s="18">
        <f>VLOOKUP(B9,All!$B$4:$S$8977,15,FALSE)</f>
        <v>0</v>
      </c>
      <c r="Q9" s="18">
        <f>VLOOKUP(B9,All!$B$4:$S$8977,16,FALSE)</f>
        <v>0</v>
      </c>
      <c r="R9" s="18">
        <v>7</v>
      </c>
      <c r="S9" s="18">
        <v>10</v>
      </c>
      <c r="T9" s="634">
        <f t="shared" si="0"/>
        <v>212</v>
      </c>
      <c r="U9" s="633"/>
      <c r="V9" s="5"/>
      <c r="W9" s="5"/>
      <c r="X9" s="5"/>
      <c r="Y9" s="639"/>
      <c r="Z9" s="570">
        <f t="shared" si="1"/>
        <v>194</v>
      </c>
      <c r="AA9" s="18">
        <f t="shared" si="2"/>
        <v>3</v>
      </c>
      <c r="AB9" s="18">
        <f t="shared" si="2"/>
        <v>0</v>
      </c>
      <c r="AC9" s="18">
        <f t="shared" si="2"/>
        <v>0</v>
      </c>
      <c r="AD9" s="18">
        <f t="shared" si="2"/>
        <v>0</v>
      </c>
      <c r="AE9" s="18">
        <f t="shared" si="2"/>
        <v>7</v>
      </c>
      <c r="AF9" s="18">
        <f t="shared" si="2"/>
        <v>10</v>
      </c>
      <c r="AG9" s="634">
        <f t="shared" si="3"/>
        <v>214</v>
      </c>
      <c r="AH9" s="409">
        <v>2</v>
      </c>
      <c r="AI9" s="409">
        <v>0</v>
      </c>
      <c r="AJ9" s="409">
        <v>0</v>
      </c>
      <c r="AK9" s="409">
        <v>0</v>
      </c>
      <c r="AL9" s="409">
        <v>0</v>
      </c>
      <c r="AM9" s="409">
        <v>0</v>
      </c>
      <c r="AN9" s="409">
        <v>0</v>
      </c>
      <c r="AO9" s="409">
        <v>2</v>
      </c>
    </row>
    <row r="10" spans="1:41" s="7" customFormat="1" ht="33.75" customHeight="1">
      <c r="A10" s="606">
        <f t="shared" si="4"/>
        <v>7</v>
      </c>
      <c r="B10" s="8">
        <v>3647</v>
      </c>
      <c r="C10" s="484" t="str">
        <f>VLOOKUP(B10,All!$B$4:$S$8977,2,FALSE)</f>
        <v>សូ</v>
      </c>
      <c r="D10" s="482" t="str">
        <f>VLOOKUP(B10,All!$B$4:$S$89977,3,FALSE)</f>
        <v>សារ៉ាន់</v>
      </c>
      <c r="E10" s="484" t="str">
        <f>VLOOKUP(B10,All!$B$4:$S$8977,4,FALSE)</f>
        <v>SO</v>
      </c>
      <c r="F10" s="482" t="str">
        <f>VLOOKUP(B10,All!$B$4:$S$8977,5,FALSE)</f>
        <v>SARANN</v>
      </c>
      <c r="G10" s="479" t="str">
        <f>VLOOKUP(B10,All!$B$4:$S$8977,6,FALSE)</f>
        <v>M</v>
      </c>
      <c r="H10" s="486">
        <f>VLOOKUP(B10,All!$B$4:$S$8977,7,FALSE)</f>
        <v>32782</v>
      </c>
      <c r="I10" s="481">
        <f>VLOOKUP(B10,All!$B$4:$S$8977,8,FALSE)</f>
        <v>43754</v>
      </c>
      <c r="J10" s="481" t="str">
        <f>VLOOKUP(B10,All!$B$4:$S$8977,9,FALSE)</f>
        <v>Production</v>
      </c>
      <c r="K10" s="631" t="str">
        <f>VLOOKUP(B10,All!$B$4:$S$8977,10,FALSE)</f>
        <v>Warehouse Fabric</v>
      </c>
      <c r="L10" s="636" t="str">
        <f>VLOOKUP(B10,All!$B$4:$S$8977,11,FALSE)</f>
        <v>Loader</v>
      </c>
      <c r="M10" s="613">
        <f>VLOOKUP(B10,All!$B$4:$S$8977,12,FALSE)</f>
        <v>192</v>
      </c>
      <c r="N10" s="18">
        <f>VLOOKUP(B10,All!$B$4:$S$8977,13,FALSE)</f>
        <v>3</v>
      </c>
      <c r="O10" s="18">
        <f>VLOOKUP(B10,All!$B$4:$S$8977,14,FALSE)</f>
        <v>0</v>
      </c>
      <c r="P10" s="18">
        <f>VLOOKUP(B10,All!$B$4:$S$8977,15,FALSE)</f>
        <v>20</v>
      </c>
      <c r="Q10" s="18">
        <f>VLOOKUP(B10,All!$B$4:$S$8977,16,FALSE)</f>
        <v>0</v>
      </c>
      <c r="R10" s="18">
        <v>7</v>
      </c>
      <c r="S10" s="18">
        <v>10</v>
      </c>
      <c r="T10" s="634">
        <f t="shared" si="0"/>
        <v>232</v>
      </c>
      <c r="U10" s="633"/>
      <c r="V10" s="5"/>
      <c r="W10" s="5"/>
      <c r="X10" s="5"/>
      <c r="Y10" s="639"/>
      <c r="Z10" s="570">
        <f t="shared" si="1"/>
        <v>194</v>
      </c>
      <c r="AA10" s="18">
        <f t="shared" si="2"/>
        <v>3</v>
      </c>
      <c r="AB10" s="18">
        <f t="shared" si="2"/>
        <v>0</v>
      </c>
      <c r="AC10" s="18">
        <f t="shared" si="2"/>
        <v>20</v>
      </c>
      <c r="AD10" s="18">
        <f t="shared" si="2"/>
        <v>0</v>
      </c>
      <c r="AE10" s="18">
        <f t="shared" si="2"/>
        <v>7</v>
      </c>
      <c r="AF10" s="18">
        <f t="shared" si="2"/>
        <v>10</v>
      </c>
      <c r="AG10" s="634">
        <f t="shared" si="3"/>
        <v>234</v>
      </c>
      <c r="AH10" s="409">
        <v>2</v>
      </c>
      <c r="AI10" s="409">
        <v>0</v>
      </c>
      <c r="AJ10" s="409">
        <v>0</v>
      </c>
      <c r="AK10" s="409">
        <v>0</v>
      </c>
      <c r="AL10" s="409">
        <v>0</v>
      </c>
      <c r="AM10" s="409">
        <v>0</v>
      </c>
      <c r="AN10" s="409">
        <v>0</v>
      </c>
      <c r="AO10" s="409">
        <v>2</v>
      </c>
    </row>
    <row r="11" spans="1:41" s="7" customFormat="1" ht="33.75" customHeight="1">
      <c r="A11" s="606">
        <f t="shared" si="4"/>
        <v>8</v>
      </c>
      <c r="B11" s="8">
        <v>4126</v>
      </c>
      <c r="C11" s="484" t="str">
        <f>VLOOKUP(B11,All!$B$4:$S$8977,2,FALSE)</f>
        <v>មឿន</v>
      </c>
      <c r="D11" s="482" t="str">
        <f>VLOOKUP(B11,All!$B$4:$S$89977,3,FALSE)</f>
        <v>នូសុខវិច្ឆកា</v>
      </c>
      <c r="E11" s="484" t="str">
        <f>VLOOKUP(B11,All!$B$4:$S$8977,4,FALSE)</f>
        <v>MOEUN</v>
      </c>
      <c r="F11" s="482" t="str">
        <f>VLOOKUP(B11,All!$B$4:$S$8977,5,FALSE)</f>
        <v>NOU SOKVICHHIKA</v>
      </c>
      <c r="G11" s="479" t="str">
        <f>VLOOKUP(B11,All!$B$4:$S$8977,6,FALSE)</f>
        <v>M</v>
      </c>
      <c r="H11" s="486">
        <f>VLOOKUP(B11,All!$B$4:$S$8977,7,FALSE)</f>
        <v>34278</v>
      </c>
      <c r="I11" s="481">
        <f>VLOOKUP(B11,All!$B$4:$S$8977,8,FALSE)</f>
        <v>43810</v>
      </c>
      <c r="J11" s="481" t="str">
        <f>VLOOKUP(B11,All!$B$4:$S$8977,9,FALSE)</f>
        <v>Production</v>
      </c>
      <c r="K11" s="631" t="str">
        <f>VLOOKUP(B11,All!$B$4:$S$8977,10,FALSE)</f>
        <v>Warehouse Fabric</v>
      </c>
      <c r="L11" s="636" t="str">
        <f>VLOOKUP(B11,All!$B$4:$S$8977,11,FALSE)</f>
        <v>Loader</v>
      </c>
      <c r="M11" s="613">
        <f>VLOOKUP(B11,All!$B$4:$S$8977,12,FALSE)</f>
        <v>192</v>
      </c>
      <c r="N11" s="18">
        <f>VLOOKUP(B11,All!$B$4:$S$8977,13,FALSE)</f>
        <v>3</v>
      </c>
      <c r="O11" s="18">
        <f>VLOOKUP(B11,All!$B$4:$S$8977,14,FALSE)</f>
        <v>0</v>
      </c>
      <c r="P11" s="18">
        <f>VLOOKUP(B11,All!$B$4:$S$8977,15,FALSE)</f>
        <v>0</v>
      </c>
      <c r="Q11" s="18">
        <f>VLOOKUP(B11,All!$B$4:$S$8977,16,FALSE)</f>
        <v>0</v>
      </c>
      <c r="R11" s="18">
        <v>7</v>
      </c>
      <c r="S11" s="18">
        <v>10</v>
      </c>
      <c r="T11" s="634">
        <f t="shared" si="0"/>
        <v>212</v>
      </c>
      <c r="U11" s="633"/>
      <c r="V11" s="5"/>
      <c r="W11" s="5"/>
      <c r="X11" s="5"/>
      <c r="Y11" s="639"/>
      <c r="Z11" s="570">
        <f t="shared" si="1"/>
        <v>194</v>
      </c>
      <c r="AA11" s="18">
        <f t="shared" si="2"/>
        <v>3</v>
      </c>
      <c r="AB11" s="18">
        <f t="shared" si="2"/>
        <v>0</v>
      </c>
      <c r="AC11" s="18">
        <f t="shared" si="2"/>
        <v>0</v>
      </c>
      <c r="AD11" s="18">
        <f t="shared" si="2"/>
        <v>0</v>
      </c>
      <c r="AE11" s="18">
        <f t="shared" si="2"/>
        <v>7</v>
      </c>
      <c r="AF11" s="18">
        <f t="shared" si="2"/>
        <v>10</v>
      </c>
      <c r="AG11" s="634">
        <f t="shared" si="3"/>
        <v>214</v>
      </c>
      <c r="AH11" s="409">
        <v>2</v>
      </c>
      <c r="AI11" s="409">
        <v>0</v>
      </c>
      <c r="AJ11" s="409">
        <v>0</v>
      </c>
      <c r="AK11" s="409">
        <v>0</v>
      </c>
      <c r="AL11" s="409">
        <v>0</v>
      </c>
      <c r="AM11" s="409">
        <v>0</v>
      </c>
      <c r="AN11" s="409">
        <v>0</v>
      </c>
      <c r="AO11" s="409">
        <v>2</v>
      </c>
    </row>
    <row r="12" spans="1:41" s="7" customFormat="1" ht="33.75" customHeight="1">
      <c r="A12" s="606">
        <f t="shared" si="4"/>
        <v>9</v>
      </c>
      <c r="B12" s="8">
        <v>4138</v>
      </c>
      <c r="C12" s="484" t="str">
        <f>VLOOKUP(B12,All!$B$4:$S$8977,2,FALSE)</f>
        <v>នេត</v>
      </c>
      <c r="D12" s="482" t="str">
        <f>VLOOKUP(B12,All!$B$4:$S$89977,3,FALSE)</f>
        <v>ចាន់វ៉ាន់ឆៃ</v>
      </c>
      <c r="E12" s="484" t="str">
        <f>VLOOKUP(B12,All!$B$4:$S$8977,4,FALSE)</f>
        <v>NET</v>
      </c>
      <c r="F12" s="482" t="str">
        <f>VLOOKUP(B12,All!$B$4:$S$8977,5,FALSE)</f>
        <v>CHANVANCHHAY</v>
      </c>
      <c r="G12" s="479" t="str">
        <f>VLOOKUP(B12,All!$B$4:$S$8977,6,FALSE)</f>
        <v>M</v>
      </c>
      <c r="H12" s="486">
        <f>VLOOKUP(B12,All!$B$4:$S$8977,7,FALSE)</f>
        <v>35345</v>
      </c>
      <c r="I12" s="481">
        <f>VLOOKUP(B12,All!$B$4:$S$8977,8,FALSE)</f>
        <v>43822</v>
      </c>
      <c r="J12" s="481" t="str">
        <f>VLOOKUP(B12,All!$B$4:$S$8977,9,FALSE)</f>
        <v>Production</v>
      </c>
      <c r="K12" s="631" t="str">
        <f>VLOOKUP(B12,All!$B$4:$S$8977,10,FALSE)</f>
        <v>Warehouse Fabric</v>
      </c>
      <c r="L12" s="636" t="str">
        <f>VLOOKUP(B12,All!$B$4:$S$8977,11,FALSE)</f>
        <v>Loader</v>
      </c>
      <c r="M12" s="613">
        <f>VLOOKUP(B12,All!$B$4:$S$8977,12,FALSE)</f>
        <v>192</v>
      </c>
      <c r="N12" s="18">
        <f>VLOOKUP(B12,All!$B$4:$S$8977,13,FALSE)</f>
        <v>3</v>
      </c>
      <c r="O12" s="18">
        <f>VLOOKUP(B12,All!$B$4:$S$8977,14,FALSE)</f>
        <v>0</v>
      </c>
      <c r="P12" s="18">
        <f>VLOOKUP(B12,All!$B$4:$S$8977,15,FALSE)</f>
        <v>0</v>
      </c>
      <c r="Q12" s="18">
        <f>VLOOKUP(B12,All!$B$4:$S$8977,16,FALSE)</f>
        <v>0</v>
      </c>
      <c r="R12" s="18">
        <v>7</v>
      </c>
      <c r="S12" s="18">
        <v>10</v>
      </c>
      <c r="T12" s="634">
        <f t="shared" si="0"/>
        <v>212</v>
      </c>
      <c r="U12" s="633"/>
      <c r="V12" s="5"/>
      <c r="W12" s="5"/>
      <c r="X12" s="5"/>
      <c r="Y12" s="639"/>
      <c r="Z12" s="570">
        <f t="shared" si="1"/>
        <v>194</v>
      </c>
      <c r="AA12" s="18">
        <f t="shared" si="2"/>
        <v>3</v>
      </c>
      <c r="AB12" s="18">
        <f t="shared" si="2"/>
        <v>0</v>
      </c>
      <c r="AC12" s="18">
        <f t="shared" si="2"/>
        <v>0</v>
      </c>
      <c r="AD12" s="18">
        <f t="shared" si="2"/>
        <v>0</v>
      </c>
      <c r="AE12" s="18">
        <f t="shared" si="2"/>
        <v>7</v>
      </c>
      <c r="AF12" s="18">
        <f t="shared" si="2"/>
        <v>10</v>
      </c>
      <c r="AG12" s="634">
        <f t="shared" si="3"/>
        <v>214</v>
      </c>
      <c r="AH12" s="409">
        <v>2</v>
      </c>
      <c r="AI12" s="409">
        <v>0</v>
      </c>
      <c r="AJ12" s="409">
        <v>0</v>
      </c>
      <c r="AK12" s="409">
        <v>0</v>
      </c>
      <c r="AL12" s="409">
        <v>0</v>
      </c>
      <c r="AM12" s="409">
        <v>0</v>
      </c>
      <c r="AN12" s="409">
        <v>0</v>
      </c>
      <c r="AO12" s="409">
        <v>2</v>
      </c>
    </row>
    <row r="13" spans="1:41" s="7" customFormat="1" ht="33.75" customHeight="1">
      <c r="A13" s="606">
        <f t="shared" si="4"/>
        <v>10</v>
      </c>
      <c r="B13" s="8">
        <v>5172</v>
      </c>
      <c r="C13" s="484" t="str">
        <f>VLOOKUP(B13,All!$B$4:$S$8977,2,FALSE)</f>
        <v>អឹម</v>
      </c>
      <c r="D13" s="482" t="str">
        <f>VLOOKUP(B13,All!$B$4:$S$89977,3,FALSE)</f>
        <v>ថេ</v>
      </c>
      <c r="E13" s="484" t="str">
        <f>VLOOKUP(B13,All!$B$4:$S$8977,4,FALSE)</f>
        <v>OEM</v>
      </c>
      <c r="F13" s="482" t="str">
        <f>VLOOKUP(B13,All!$B$4:$S$8977,5,FALSE)</f>
        <v>THE</v>
      </c>
      <c r="G13" s="479" t="str">
        <f>VLOOKUP(B13,All!$B$4:$S$8977,6,FALSE)</f>
        <v>M</v>
      </c>
      <c r="H13" s="486">
        <f>VLOOKUP(B13,All!$B$4:$S$8977,7,FALSE)</f>
        <v>35160</v>
      </c>
      <c r="I13" s="481">
        <f>VLOOKUP(B13,All!$B$4:$S$8977,8,FALSE)</f>
        <v>44485</v>
      </c>
      <c r="J13" s="481" t="str">
        <f>VLOOKUP(B13,All!$B$4:$S$8977,9,FALSE)</f>
        <v>Production</v>
      </c>
      <c r="K13" s="631" t="str">
        <f>VLOOKUP(B13,All!$B$4:$S$8977,10,FALSE)</f>
        <v>Warehouse Fabric</v>
      </c>
      <c r="L13" s="636" t="str">
        <f>VLOOKUP(B13,All!$B$4:$S$8977,11,FALSE)</f>
        <v>Loader</v>
      </c>
      <c r="M13" s="613">
        <f>VLOOKUP(B13,All!$B$4:$S$8977,12,FALSE)</f>
        <v>187</v>
      </c>
      <c r="N13" s="18">
        <f>VLOOKUP(B13,All!$B$4:$S$8977,13,FALSE)</f>
        <v>0</v>
      </c>
      <c r="O13" s="18">
        <f>VLOOKUP(B13,All!$B$4:$S$8977,14,FALSE)</f>
        <v>0</v>
      </c>
      <c r="P13" s="18">
        <f>VLOOKUP(B13,All!$B$4:$S$8977,15,FALSE)</f>
        <v>0</v>
      </c>
      <c r="Q13" s="18">
        <f>VLOOKUP(B13,All!$B$4:$S$8977,16,FALSE)</f>
        <v>0</v>
      </c>
      <c r="R13" s="18">
        <v>7</v>
      </c>
      <c r="S13" s="18">
        <v>10</v>
      </c>
      <c r="T13" s="634">
        <f t="shared" ref="T13:T14" si="5">SUM(M13:S13)</f>
        <v>204</v>
      </c>
      <c r="U13" s="633"/>
      <c r="V13" s="5"/>
      <c r="W13" s="5"/>
      <c r="X13" s="5"/>
      <c r="Y13" s="639"/>
      <c r="Z13" s="570">
        <f t="shared" si="1"/>
        <v>189</v>
      </c>
      <c r="AA13" s="18">
        <f t="shared" ref="AA13:AA14" si="6">N13</f>
        <v>0</v>
      </c>
      <c r="AB13" s="18">
        <f t="shared" ref="AB13:AB14" si="7">O13</f>
        <v>0</v>
      </c>
      <c r="AC13" s="18">
        <f t="shared" ref="AC13:AC14" si="8">P13</f>
        <v>0</v>
      </c>
      <c r="AD13" s="18">
        <f t="shared" ref="AD13:AD14" si="9">Q13</f>
        <v>0</v>
      </c>
      <c r="AE13" s="18">
        <f t="shared" ref="AE13:AE14" si="10">R13</f>
        <v>7</v>
      </c>
      <c r="AF13" s="18">
        <f t="shared" ref="AF13:AF14" si="11">S13</f>
        <v>10</v>
      </c>
      <c r="AG13" s="634">
        <f t="shared" ref="AG13:AG14" si="12">SUM(Z13:AF13)</f>
        <v>206</v>
      </c>
      <c r="AH13" s="409">
        <v>2</v>
      </c>
      <c r="AI13" s="409">
        <v>0</v>
      </c>
      <c r="AJ13" s="409">
        <v>0</v>
      </c>
      <c r="AK13" s="409">
        <v>0</v>
      </c>
      <c r="AL13" s="409">
        <v>0</v>
      </c>
      <c r="AM13" s="409">
        <v>0</v>
      </c>
      <c r="AN13" s="409">
        <v>0</v>
      </c>
      <c r="AO13" s="409">
        <v>2</v>
      </c>
    </row>
    <row r="14" spans="1:41" s="7" customFormat="1" ht="33.75" customHeight="1" thickBot="1">
      <c r="A14" s="608">
        <f t="shared" si="4"/>
        <v>11</v>
      </c>
      <c r="B14" s="552">
        <v>5173</v>
      </c>
      <c r="C14" s="553" t="str">
        <f>VLOOKUP(B14,All!$B$4:$S$8977,2,FALSE)</f>
        <v>ណុប</v>
      </c>
      <c r="D14" s="554" t="str">
        <f>VLOOKUP(B14,All!$B$4:$S$89977,3,FALSE)</f>
        <v>គីនីន</v>
      </c>
      <c r="E14" s="553" t="str">
        <f>VLOOKUP(B14,All!$B$4:$S$8977,4,FALSE)</f>
        <v>NOP</v>
      </c>
      <c r="F14" s="554" t="str">
        <f>VLOOKUP(B14,All!$B$4:$S$8977,5,FALSE)</f>
        <v>KININ</v>
      </c>
      <c r="G14" s="555" t="str">
        <f>VLOOKUP(B14,All!$B$4:$S$8977,6,FALSE)</f>
        <v>M</v>
      </c>
      <c r="H14" s="611">
        <f>VLOOKUP(B14,All!$B$4:$S$8977,7,FALSE)</f>
        <v>30729</v>
      </c>
      <c r="I14" s="558">
        <f>VLOOKUP(B14,All!$B$4:$S$8977,8,FALSE)</f>
        <v>44485</v>
      </c>
      <c r="J14" s="558" t="str">
        <f>VLOOKUP(B14,All!$B$4:$S$8977,9,FALSE)</f>
        <v>Production</v>
      </c>
      <c r="K14" s="637" t="str">
        <f>VLOOKUP(B14,All!$B$4:$S$8977,10,FALSE)</f>
        <v>Warehouse Fabric</v>
      </c>
      <c r="L14" s="638" t="str">
        <f>VLOOKUP(B14,All!$B$4:$S$8977,11,FALSE)</f>
        <v>Loader</v>
      </c>
      <c r="M14" s="614">
        <f>VLOOKUP(B14,All!$B$4:$S$8977,12,FALSE)</f>
        <v>187</v>
      </c>
      <c r="N14" s="559">
        <f>VLOOKUP(B14,All!$B$4:$S$8977,13,FALSE)</f>
        <v>0</v>
      </c>
      <c r="O14" s="559">
        <f>VLOOKUP(B14,All!$B$4:$S$8977,14,FALSE)</f>
        <v>0</v>
      </c>
      <c r="P14" s="559">
        <f>VLOOKUP(B14,All!$B$4:$S$8977,15,FALSE)</f>
        <v>0</v>
      </c>
      <c r="Q14" s="559">
        <f>VLOOKUP(B14,All!$B$4:$S$8977,16,FALSE)</f>
        <v>0</v>
      </c>
      <c r="R14" s="559">
        <v>7</v>
      </c>
      <c r="S14" s="559">
        <v>10</v>
      </c>
      <c r="T14" s="590">
        <f t="shared" si="5"/>
        <v>204</v>
      </c>
      <c r="U14" s="633"/>
      <c r="V14" s="5"/>
      <c r="W14" s="5"/>
      <c r="X14" s="5"/>
      <c r="Y14" s="639"/>
      <c r="Z14" s="571">
        <f t="shared" si="1"/>
        <v>189</v>
      </c>
      <c r="AA14" s="559">
        <f t="shared" si="6"/>
        <v>0</v>
      </c>
      <c r="AB14" s="559">
        <f t="shared" si="7"/>
        <v>0</v>
      </c>
      <c r="AC14" s="559">
        <f t="shared" si="8"/>
        <v>0</v>
      </c>
      <c r="AD14" s="559">
        <f t="shared" si="9"/>
        <v>0</v>
      </c>
      <c r="AE14" s="559">
        <f t="shared" si="10"/>
        <v>7</v>
      </c>
      <c r="AF14" s="559">
        <f t="shared" si="11"/>
        <v>10</v>
      </c>
      <c r="AG14" s="590">
        <f t="shared" si="12"/>
        <v>206</v>
      </c>
      <c r="AH14" s="409">
        <v>2</v>
      </c>
      <c r="AI14" s="409">
        <v>0</v>
      </c>
      <c r="AJ14" s="409">
        <v>0</v>
      </c>
      <c r="AK14" s="409">
        <v>0</v>
      </c>
      <c r="AL14" s="409">
        <v>0</v>
      </c>
      <c r="AM14" s="409">
        <v>0</v>
      </c>
      <c r="AN14" s="409">
        <v>0</v>
      </c>
      <c r="AO14" s="409">
        <v>2</v>
      </c>
    </row>
    <row r="15" spans="1:41" s="584" customFormat="1" ht="33.75" customHeight="1">
      <c r="A15" s="592"/>
      <c r="B15" s="593"/>
      <c r="C15" s="594"/>
      <c r="D15" s="594"/>
      <c r="E15" s="594"/>
      <c r="F15" s="594"/>
      <c r="G15" s="474"/>
      <c r="H15" s="595"/>
      <c r="I15" s="596"/>
      <c r="J15" s="596"/>
      <c r="K15" s="635"/>
      <c r="L15" s="635"/>
      <c r="M15" s="473"/>
      <c r="N15" s="473"/>
      <c r="O15" s="473"/>
      <c r="P15" s="473"/>
      <c r="Q15" s="473"/>
      <c r="R15" s="473"/>
      <c r="S15" s="473"/>
      <c r="T15" s="473"/>
      <c r="U15" s="475"/>
      <c r="V15" s="475"/>
      <c r="W15" s="475"/>
      <c r="X15" s="475"/>
      <c r="Y15" s="475"/>
      <c r="Z15" s="473"/>
      <c r="AA15" s="473"/>
      <c r="AB15" s="473"/>
      <c r="AC15" s="473"/>
      <c r="AD15" s="473"/>
      <c r="AE15" s="473"/>
      <c r="AF15" s="473"/>
      <c r="AG15" s="473"/>
      <c r="AH15" s="597"/>
      <c r="AI15" s="597"/>
      <c r="AJ15" s="597"/>
      <c r="AK15" s="597"/>
      <c r="AL15" s="597"/>
      <c r="AM15" s="597"/>
      <c r="AN15" s="597"/>
      <c r="AO15" s="597"/>
    </row>
    <row r="16" spans="1:41">
      <c r="T16" s="42">
        <f>SUM(T4:T14)</f>
        <v>2402</v>
      </c>
      <c r="AA16" s="42"/>
      <c r="AB16" s="42"/>
      <c r="AC16" s="42"/>
      <c r="AD16" s="42"/>
      <c r="AE16" s="42"/>
      <c r="AF16" s="42"/>
      <c r="AG16" s="42">
        <f>SUM(AG4:AG14)</f>
        <v>2424</v>
      </c>
      <c r="AH16" s="42">
        <f>SUM(AH4:AH14)</f>
        <v>22</v>
      </c>
      <c r="AI16" s="42">
        <f>SUM(AI4:AI14)</f>
        <v>0</v>
      </c>
    </row>
  </sheetData>
  <mergeCells count="3">
    <mergeCell ref="Z1:AG1"/>
    <mergeCell ref="E3:F3"/>
    <mergeCell ref="M1:T1"/>
  </mergeCells>
  <phoneticPr fontId="8" type="noConversion"/>
  <conditionalFormatting sqref="B33:B1048576 B17:B19 AJ1:AJ3 AJ16:AJ1048576">
    <cfRule type="duplicateValues" dxfId="1122" priority="208"/>
  </conditionalFormatting>
  <conditionalFormatting sqref="B33:B1048576 B17:B19">
    <cfRule type="duplicateValues" dxfId="1121" priority="164"/>
  </conditionalFormatting>
  <conditionalFormatting sqref="B11:B13">
    <cfRule type="duplicateValues" dxfId="1120" priority="14279"/>
  </conditionalFormatting>
  <conditionalFormatting sqref="B13">
    <cfRule type="duplicateValues" dxfId="1119" priority="14281"/>
  </conditionalFormatting>
  <conditionalFormatting sqref="B4:B13">
    <cfRule type="duplicateValues" dxfId="1118" priority="14282"/>
  </conditionalFormatting>
  <conditionalFormatting sqref="B33:B1048576 B4:B19">
    <cfRule type="duplicateValues" dxfId="1117" priority="94"/>
  </conditionalFormatting>
  <conditionalFormatting sqref="B3">
    <cfRule type="duplicateValues" dxfId="1116" priority="92"/>
  </conditionalFormatting>
  <conditionalFormatting sqref="B3">
    <cfRule type="duplicateValues" dxfId="1115" priority="91"/>
  </conditionalFormatting>
  <conditionalFormatting sqref="B3">
    <cfRule type="duplicateValues" dxfId="1114" priority="90"/>
  </conditionalFormatting>
  <conditionalFormatting sqref="B3">
    <cfRule type="duplicateValues" dxfId="1113" priority="88"/>
    <cfRule type="duplicateValues" dxfId="1112" priority="89"/>
  </conditionalFormatting>
  <conditionalFormatting sqref="B3">
    <cfRule type="duplicateValues" dxfId="1111" priority="87"/>
  </conditionalFormatting>
  <conditionalFormatting sqref="B3">
    <cfRule type="duplicateValues" dxfId="1110" priority="83"/>
    <cfRule type="duplicateValues" dxfId="1109" priority="84"/>
    <cfRule type="duplicateValues" dxfId="1108" priority="85"/>
    <cfRule type="duplicateValues" dxfId="1107" priority="86"/>
  </conditionalFormatting>
  <conditionalFormatting sqref="B3">
    <cfRule type="duplicateValues" dxfId="1106" priority="82"/>
  </conditionalFormatting>
  <conditionalFormatting sqref="B3">
    <cfRule type="duplicateValues" dxfId="1105" priority="77"/>
    <cfRule type="duplicateValues" dxfId="1104" priority="78"/>
    <cfRule type="duplicateValues" dxfId="1103" priority="79"/>
    <cfRule type="duplicateValues" dxfId="1102" priority="80"/>
    <cfRule type="duplicateValues" dxfId="1101" priority="81"/>
  </conditionalFormatting>
  <conditionalFormatting sqref="B3">
    <cfRule type="duplicateValues" dxfId="1100" priority="76"/>
  </conditionalFormatting>
  <conditionalFormatting sqref="B3">
    <cfRule type="duplicateValues" dxfId="1099" priority="75"/>
  </conditionalFormatting>
  <conditionalFormatting sqref="B3">
    <cfRule type="duplicateValues" dxfId="1098" priority="73"/>
    <cfRule type="duplicateValues" dxfId="1097" priority="74"/>
  </conditionalFormatting>
  <conditionalFormatting sqref="B3">
    <cfRule type="duplicateValues" dxfId="1096" priority="68"/>
    <cfRule type="duplicateValues" dxfId="1095" priority="69"/>
    <cfRule type="duplicateValues" dxfId="1094" priority="70"/>
    <cfRule type="duplicateValues" dxfId="1093" priority="71"/>
    <cfRule type="duplicateValues" dxfId="1092" priority="72"/>
  </conditionalFormatting>
  <conditionalFormatting sqref="B3">
    <cfRule type="duplicateValues" dxfId="1091" priority="67"/>
  </conditionalFormatting>
  <conditionalFormatting sqref="B3">
    <cfRule type="duplicateValues" dxfId="1090" priority="66"/>
  </conditionalFormatting>
  <conditionalFormatting sqref="B3">
    <cfRule type="duplicateValues" dxfId="1089" priority="64"/>
    <cfRule type="duplicateValues" dxfId="1088" priority="65"/>
  </conditionalFormatting>
  <conditionalFormatting sqref="B3">
    <cfRule type="duplicateValues" dxfId="1087" priority="60"/>
    <cfRule type="duplicateValues" dxfId="1086" priority="61"/>
    <cfRule type="duplicateValues" dxfId="1085" priority="62"/>
    <cfRule type="duplicateValues" dxfId="1084" priority="63"/>
  </conditionalFormatting>
  <conditionalFormatting sqref="B3">
    <cfRule type="duplicateValues" dxfId="1083" priority="59"/>
  </conditionalFormatting>
  <conditionalFormatting sqref="B3">
    <cfRule type="duplicateValues" dxfId="1082" priority="54"/>
    <cfRule type="duplicateValues" dxfId="1081" priority="55"/>
    <cfRule type="duplicateValues" dxfId="1080" priority="56"/>
    <cfRule type="duplicateValues" dxfId="1079" priority="57"/>
    <cfRule type="duplicateValues" dxfId="1078" priority="58"/>
  </conditionalFormatting>
  <conditionalFormatting sqref="B3">
    <cfRule type="duplicateValues" dxfId="1077" priority="53"/>
  </conditionalFormatting>
  <conditionalFormatting sqref="B3">
    <cfRule type="duplicateValues" dxfId="1076" priority="52"/>
  </conditionalFormatting>
  <conditionalFormatting sqref="B3">
    <cfRule type="duplicateValues" dxfId="1075" priority="51"/>
  </conditionalFormatting>
  <conditionalFormatting sqref="B3">
    <cfRule type="duplicateValues" dxfId="1074" priority="49"/>
    <cfRule type="duplicateValues" dxfId="1073" priority="50"/>
  </conditionalFormatting>
  <conditionalFormatting sqref="B3">
    <cfRule type="duplicateValues" dxfId="1072" priority="48"/>
  </conditionalFormatting>
  <conditionalFormatting sqref="B3">
    <cfRule type="duplicateValues" dxfId="1071" priority="93"/>
  </conditionalFormatting>
  <conditionalFormatting sqref="E3">
    <cfRule type="duplicateValues" dxfId="1070" priority="47"/>
  </conditionalFormatting>
  <conditionalFormatting sqref="E3">
    <cfRule type="duplicateValues" dxfId="1069" priority="46"/>
  </conditionalFormatting>
  <conditionalFormatting sqref="E3">
    <cfRule type="duplicateValues" dxfId="1068" priority="45"/>
  </conditionalFormatting>
  <conditionalFormatting sqref="E3">
    <cfRule type="duplicateValues" dxfId="1067" priority="43"/>
    <cfRule type="duplicateValues" dxfId="1066" priority="44"/>
  </conditionalFormatting>
  <conditionalFormatting sqref="E3">
    <cfRule type="duplicateValues" dxfId="1065" priority="42"/>
  </conditionalFormatting>
  <conditionalFormatting sqref="E3">
    <cfRule type="duplicateValues" dxfId="1064" priority="38"/>
    <cfRule type="duplicateValues" dxfId="1063" priority="39"/>
    <cfRule type="duplicateValues" dxfId="1062" priority="40"/>
    <cfRule type="duplicateValues" dxfId="1061" priority="41"/>
  </conditionalFormatting>
  <conditionalFormatting sqref="E3">
    <cfRule type="duplicateValues" dxfId="1060" priority="37"/>
  </conditionalFormatting>
  <conditionalFormatting sqref="E3">
    <cfRule type="duplicateValues" dxfId="1059" priority="32"/>
    <cfRule type="duplicateValues" dxfId="1058" priority="33"/>
    <cfRule type="duplicateValues" dxfId="1057" priority="34"/>
    <cfRule type="duplicateValues" dxfId="1056" priority="35"/>
    <cfRule type="duplicateValues" dxfId="1055" priority="36"/>
  </conditionalFormatting>
  <conditionalFormatting sqref="E3">
    <cfRule type="duplicateValues" dxfId="1054" priority="31"/>
  </conditionalFormatting>
  <conditionalFormatting sqref="E3">
    <cfRule type="duplicateValues" dxfId="1053" priority="30"/>
  </conditionalFormatting>
  <conditionalFormatting sqref="E3">
    <cfRule type="duplicateValues" dxfId="1052" priority="28"/>
    <cfRule type="duplicateValues" dxfId="1051" priority="29"/>
  </conditionalFormatting>
  <conditionalFormatting sqref="E3">
    <cfRule type="duplicateValues" dxfId="1050" priority="23"/>
    <cfRule type="duplicateValues" dxfId="1049" priority="24"/>
    <cfRule type="duplicateValues" dxfId="1048" priority="25"/>
    <cfRule type="duplicateValues" dxfId="1047" priority="26"/>
    <cfRule type="duplicateValues" dxfId="1046" priority="27"/>
  </conditionalFormatting>
  <conditionalFormatting sqref="E3">
    <cfRule type="duplicateValues" dxfId="1045" priority="22"/>
  </conditionalFormatting>
  <conditionalFormatting sqref="E3">
    <cfRule type="duplicateValues" dxfId="1044" priority="21"/>
  </conditionalFormatting>
  <conditionalFormatting sqref="E3">
    <cfRule type="duplicateValues" dxfId="1043" priority="19"/>
    <cfRule type="duplicateValues" dxfId="1042" priority="20"/>
  </conditionalFormatting>
  <conditionalFormatting sqref="E3">
    <cfRule type="duplicateValues" dxfId="1041" priority="15"/>
    <cfRule type="duplicateValues" dxfId="1040" priority="16"/>
    <cfRule type="duplicateValues" dxfId="1039" priority="17"/>
    <cfRule type="duplicateValues" dxfId="1038" priority="18"/>
  </conditionalFormatting>
  <conditionalFormatting sqref="E3">
    <cfRule type="duplicateValues" dxfId="1037" priority="14"/>
  </conditionalFormatting>
  <conditionalFormatting sqref="E3">
    <cfRule type="duplicateValues" dxfId="1036" priority="9"/>
    <cfRule type="duplicateValues" dxfId="1035" priority="10"/>
    <cfRule type="duplicateValues" dxfId="1034" priority="11"/>
    <cfRule type="duplicateValues" dxfId="1033" priority="12"/>
    <cfRule type="duplicateValues" dxfId="1032" priority="13"/>
  </conditionalFormatting>
  <conditionalFormatting sqref="E3">
    <cfRule type="duplicateValues" dxfId="1031" priority="8"/>
  </conditionalFormatting>
  <conditionalFormatting sqref="E3">
    <cfRule type="duplicateValues" dxfId="1030" priority="7"/>
  </conditionalFormatting>
  <conditionalFormatting sqref="E3">
    <cfRule type="duplicateValues" dxfId="1029" priority="6"/>
  </conditionalFormatting>
  <conditionalFormatting sqref="E3">
    <cfRule type="duplicateValues" dxfId="1028" priority="4"/>
    <cfRule type="duplicateValues" dxfId="1027" priority="5"/>
  </conditionalFormatting>
  <conditionalFormatting sqref="E3">
    <cfRule type="duplicateValues" dxfId="1026" priority="3"/>
  </conditionalFormatting>
  <conditionalFormatting sqref="B3">
    <cfRule type="duplicateValues" dxfId="1025" priority="2"/>
  </conditionalFormatting>
  <conditionalFormatting sqref="B3">
    <cfRule type="duplicateValues" dxfId="1024" priority="1"/>
  </conditionalFormatting>
  <conditionalFormatting sqref="B14:B15">
    <cfRule type="duplicateValues" dxfId="1023" priority="15548"/>
  </conditionalFormatting>
  <pageMargins left="0.2" right="0.2" top="0.75" bottom="0.75" header="0.3" footer="0.3"/>
  <pageSetup paperSize="9" scale="44" orientation="landscape" r:id="rId1"/>
  <colBreaks count="1" manualBreakCount="1">
    <brk id="3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O17"/>
  <sheetViews>
    <sheetView showGridLines="0" zoomScaleNormal="100" workbookViewId="0">
      <pane xSplit="12" ySplit="3" topLeftCell="S4" activePane="bottomRight" state="frozen"/>
      <selection pane="topRight" activeCell="M1" sqref="M1"/>
      <selection pane="bottomLeft" activeCell="A4" sqref="A4"/>
      <selection pane="bottomRight" activeCell="T4" sqref="T4"/>
    </sheetView>
  </sheetViews>
  <sheetFormatPr defaultRowHeight="15"/>
  <cols>
    <col min="1" max="1" width="4.140625" bestFit="1" customWidth="1"/>
    <col min="3" max="4" width="9.140625" hidden="1" customWidth="1"/>
    <col min="5" max="5" width="10.85546875" customWidth="1"/>
    <col min="6" max="6" width="11.140625" customWidth="1"/>
    <col min="7" max="7" width="5.7109375" style="2" customWidth="1"/>
    <col min="8" max="8" width="9.85546875" customWidth="1"/>
    <col min="9" max="9" width="10.5703125" customWidth="1"/>
    <col min="10" max="10" width="11.42578125" hidden="1" customWidth="1"/>
    <col min="11" max="11" width="11.5703125" style="632" bestFit="1" customWidth="1"/>
    <col min="12" max="12" width="12.5703125" style="632" customWidth="1"/>
    <col min="14" max="15" width="9.7109375" customWidth="1"/>
    <col min="16" max="16" width="9.85546875" customWidth="1"/>
    <col min="20" max="20" width="10.28515625" customWidth="1"/>
    <col min="21" max="21" width="0" hidden="1" customWidth="1"/>
    <col min="22" max="22" width="13" hidden="1" customWidth="1"/>
    <col min="23" max="23" width="11.42578125" hidden="1" customWidth="1"/>
    <col min="24" max="24" width="9.7109375" hidden="1" customWidth="1"/>
    <col min="25" max="25" width="0" hidden="1" customWidth="1"/>
    <col min="33" max="33" width="12.42578125" bestFit="1" customWidth="1"/>
    <col min="34" max="41" width="0" hidden="1" customWidth="1"/>
  </cols>
  <sheetData>
    <row r="1" spans="1:41" ht="22.5">
      <c r="A1" s="541" t="s">
        <v>60</v>
      </c>
      <c r="B1" s="542" t="s">
        <v>68</v>
      </c>
      <c r="C1" s="573" t="s">
        <v>128</v>
      </c>
      <c r="D1" s="546" t="s">
        <v>129</v>
      </c>
      <c r="E1" s="573" t="s">
        <v>61</v>
      </c>
      <c r="F1" s="546" t="s">
        <v>62</v>
      </c>
      <c r="G1" s="544" t="s">
        <v>130</v>
      </c>
      <c r="H1" s="545" t="s">
        <v>63</v>
      </c>
      <c r="I1" s="546" t="s">
        <v>64</v>
      </c>
      <c r="J1" s="546" t="s">
        <v>6160</v>
      </c>
      <c r="K1" s="546" t="s">
        <v>65</v>
      </c>
      <c r="L1" s="574" t="s">
        <v>66</v>
      </c>
      <c r="M1" s="724" t="s">
        <v>6022</v>
      </c>
      <c r="N1" s="725"/>
      <c r="O1" s="725"/>
      <c r="P1" s="725"/>
      <c r="Q1" s="725"/>
      <c r="R1" s="725"/>
      <c r="S1" s="725"/>
      <c r="T1" s="726"/>
      <c r="U1" s="339" t="s">
        <v>6145</v>
      </c>
      <c r="V1" s="340" t="s">
        <v>6146</v>
      </c>
      <c r="W1" s="340" t="s">
        <v>6147</v>
      </c>
      <c r="X1" s="341" t="s">
        <v>6321</v>
      </c>
      <c r="Y1" s="470" t="s">
        <v>6148</v>
      </c>
      <c r="Z1" s="718" t="s">
        <v>6322</v>
      </c>
      <c r="AA1" s="719"/>
      <c r="AB1" s="719"/>
      <c r="AC1" s="719"/>
      <c r="AD1" s="719"/>
      <c r="AE1" s="719"/>
      <c r="AF1" s="719"/>
      <c r="AG1" s="720"/>
    </row>
    <row r="2" spans="1:41" ht="33.75">
      <c r="A2" s="547" t="s">
        <v>67</v>
      </c>
      <c r="B2" s="483" t="s">
        <v>68</v>
      </c>
      <c r="C2" s="351" t="s">
        <v>150</v>
      </c>
      <c r="D2" s="352" t="s">
        <v>69</v>
      </c>
      <c r="E2" s="351" t="s">
        <v>70</v>
      </c>
      <c r="F2" s="352" t="s">
        <v>69</v>
      </c>
      <c r="G2" s="53" t="s">
        <v>151</v>
      </c>
      <c r="H2" s="33" t="s">
        <v>71</v>
      </c>
      <c r="I2" s="352" t="s">
        <v>1</v>
      </c>
      <c r="J2" s="352" t="s">
        <v>72</v>
      </c>
      <c r="K2" s="352" t="s">
        <v>6315</v>
      </c>
      <c r="L2" s="575" t="s">
        <v>0</v>
      </c>
      <c r="M2" s="569" t="s">
        <v>73</v>
      </c>
      <c r="N2" s="59" t="s">
        <v>2</v>
      </c>
      <c r="O2" s="59" t="s">
        <v>3</v>
      </c>
      <c r="P2" s="59" t="s">
        <v>0</v>
      </c>
      <c r="Q2" s="59" t="s">
        <v>4</v>
      </c>
      <c r="R2" s="298" t="s">
        <v>74</v>
      </c>
      <c r="S2" s="59" t="s">
        <v>75</v>
      </c>
      <c r="T2" s="548" t="s">
        <v>76</v>
      </c>
      <c r="U2" s="359" t="s">
        <v>6149</v>
      </c>
      <c r="V2" s="360" t="s">
        <v>6150</v>
      </c>
      <c r="W2" s="360" t="s">
        <v>6151</v>
      </c>
      <c r="X2" s="361" t="s">
        <v>6563</v>
      </c>
      <c r="Y2" s="561" t="s">
        <v>6153</v>
      </c>
      <c r="Z2" s="563" t="s">
        <v>73</v>
      </c>
      <c r="AA2" s="363" t="s">
        <v>2</v>
      </c>
      <c r="AB2" s="363" t="s">
        <v>3</v>
      </c>
      <c r="AC2" s="363" t="s">
        <v>0</v>
      </c>
      <c r="AD2" s="363" t="s">
        <v>4</v>
      </c>
      <c r="AE2" s="364" t="s">
        <v>74</v>
      </c>
      <c r="AF2" s="363" t="s">
        <v>75</v>
      </c>
      <c r="AG2" s="564" t="s">
        <v>76</v>
      </c>
    </row>
    <row r="3" spans="1:41" ht="26.25" thickBot="1">
      <c r="A3" s="576" t="s">
        <v>6584</v>
      </c>
      <c r="B3" s="35" t="s">
        <v>6580</v>
      </c>
      <c r="C3" s="577"/>
      <c r="D3" s="578"/>
      <c r="E3" s="721" t="s">
        <v>117</v>
      </c>
      <c r="F3" s="722"/>
      <c r="G3" s="579" t="s">
        <v>6581</v>
      </c>
      <c r="H3" s="580" t="s">
        <v>6582</v>
      </c>
      <c r="I3" s="36" t="s">
        <v>123</v>
      </c>
      <c r="J3" s="581" t="s">
        <v>6109</v>
      </c>
      <c r="K3" s="582" t="s">
        <v>6583</v>
      </c>
      <c r="L3" s="345" t="s">
        <v>124</v>
      </c>
      <c r="M3" s="37" t="s">
        <v>118</v>
      </c>
      <c r="N3" s="38" t="s">
        <v>119</v>
      </c>
      <c r="O3" s="38" t="s">
        <v>120</v>
      </c>
      <c r="P3" s="38" t="s">
        <v>121</v>
      </c>
      <c r="Q3" s="38" t="s">
        <v>6155</v>
      </c>
      <c r="R3" s="39" t="s">
        <v>6156</v>
      </c>
      <c r="S3" s="38" t="s">
        <v>122</v>
      </c>
      <c r="T3" s="41" t="s">
        <v>6157</v>
      </c>
      <c r="U3" s="343" t="s">
        <v>6149</v>
      </c>
      <c r="V3" s="36" t="s">
        <v>6150</v>
      </c>
      <c r="W3" s="36" t="s">
        <v>6151</v>
      </c>
      <c r="X3" s="344" t="s">
        <v>6563</v>
      </c>
      <c r="Y3" s="40" t="s">
        <v>6153</v>
      </c>
      <c r="Z3" s="37" t="s">
        <v>118</v>
      </c>
      <c r="AA3" s="38" t="s">
        <v>119</v>
      </c>
      <c r="AB3" s="38" t="s">
        <v>120</v>
      </c>
      <c r="AC3" s="38" t="s">
        <v>121</v>
      </c>
      <c r="AD3" s="38" t="s">
        <v>6155</v>
      </c>
      <c r="AE3" s="39" t="s">
        <v>6156</v>
      </c>
      <c r="AF3" s="38" t="s">
        <v>122</v>
      </c>
      <c r="AG3" s="41" t="s">
        <v>6462</v>
      </c>
    </row>
    <row r="4" spans="1:41" s="7" customFormat="1" ht="36" customHeight="1">
      <c r="A4" s="606">
        <f>1</f>
        <v>1</v>
      </c>
      <c r="B4" s="8">
        <v>316</v>
      </c>
      <c r="C4" s="484" t="str">
        <f>VLOOKUP(B4,All!$B$4:$S$8977,2,FALSE)</f>
        <v>រិន</v>
      </c>
      <c r="D4" s="482" t="str">
        <f>VLOOKUP(B4,All!$B$4:$S$89977,3,FALSE)</f>
        <v>ចាន់ថា</v>
      </c>
      <c r="E4" s="484" t="str">
        <f>VLOOKUP(B4,All!$B$4:$S$8977,4,FALSE)</f>
        <v>RIN</v>
      </c>
      <c r="F4" s="482" t="str">
        <f>VLOOKUP(B4,All!$B$4:$S$8977,5,FALSE)</f>
        <v>CHANTHA</v>
      </c>
      <c r="G4" s="479" t="str">
        <f>VLOOKUP(B4,All!$B$4:$S$8977,6,FALSE)</f>
        <v>F</v>
      </c>
      <c r="H4" s="486">
        <f>VLOOKUP(B4,All!$B$4:$S$8977,7,FALSE)</f>
        <v>34981</v>
      </c>
      <c r="I4" s="481">
        <f>VLOOKUP(B4,All!$B$4:$S$8977,8,FALSE)</f>
        <v>41755</v>
      </c>
      <c r="J4" s="481" t="str">
        <f>VLOOKUP(B4,All!$B$4:$S$8977,9,FALSE)</f>
        <v>Production</v>
      </c>
      <c r="K4" s="631" t="str">
        <f>VLOOKUP(B4,All!$B$4:$S$8977,10,FALSE)</f>
        <v>Warehouse Trims</v>
      </c>
      <c r="L4" s="636" t="str">
        <f>VLOOKUP(B4,All!$B$4:$S$8977,11,FALSE)</f>
        <v>accessory assistant</v>
      </c>
      <c r="M4" s="570">
        <f>VLOOKUP(B4,All!$B$4:$S$8977,12,FALSE)</f>
        <v>192</v>
      </c>
      <c r="N4" s="18">
        <f>VLOOKUP(B4,All!$B$4:$S$8977,13,FALSE)</f>
        <v>8</v>
      </c>
      <c r="O4" s="18">
        <f>VLOOKUP(B4,All!$B$4:$S$8977,14,FALSE)</f>
        <v>20</v>
      </c>
      <c r="P4" s="18">
        <f>VLOOKUP(B4,All!$B$4:$S$8977,15,FALSE)</f>
        <v>20</v>
      </c>
      <c r="Q4" s="18">
        <f>VLOOKUP(B4,All!$B$4:$S$8977,16,FALSE)</f>
        <v>0</v>
      </c>
      <c r="R4" s="18">
        <v>7</v>
      </c>
      <c r="S4" s="18">
        <v>10</v>
      </c>
      <c r="T4" s="634">
        <f>SUM(M4:S4)</f>
        <v>257</v>
      </c>
      <c r="U4" s="633"/>
      <c r="V4" s="5"/>
      <c r="W4" s="5"/>
      <c r="X4" s="5"/>
      <c r="Y4" s="639"/>
      <c r="Z4" s="570">
        <f>M4+AH4</f>
        <v>194</v>
      </c>
      <c r="AA4" s="18">
        <f t="shared" ref="AA4:AF4" si="0">N4</f>
        <v>8</v>
      </c>
      <c r="AB4" s="18">
        <f t="shared" si="0"/>
        <v>20</v>
      </c>
      <c r="AC4" s="18">
        <f t="shared" si="0"/>
        <v>20</v>
      </c>
      <c r="AD4" s="18">
        <f t="shared" si="0"/>
        <v>0</v>
      </c>
      <c r="AE4" s="18">
        <f t="shared" si="0"/>
        <v>7</v>
      </c>
      <c r="AF4" s="18">
        <f t="shared" si="0"/>
        <v>10</v>
      </c>
      <c r="AG4" s="634">
        <f>SUM(Z4:AF4)</f>
        <v>259</v>
      </c>
      <c r="AH4" s="409">
        <v>2</v>
      </c>
      <c r="AI4" s="409">
        <v>0</v>
      </c>
      <c r="AJ4" s="409">
        <v>0</v>
      </c>
      <c r="AK4" s="409">
        <v>0</v>
      </c>
      <c r="AL4" s="409">
        <v>0</v>
      </c>
      <c r="AM4" s="409">
        <v>0</v>
      </c>
      <c r="AN4" s="409">
        <v>0</v>
      </c>
      <c r="AO4" s="409">
        <v>2</v>
      </c>
    </row>
    <row r="5" spans="1:41" s="7" customFormat="1" ht="36" customHeight="1">
      <c r="A5" s="606">
        <f>1+A4</f>
        <v>2</v>
      </c>
      <c r="B5" s="8">
        <v>2974</v>
      </c>
      <c r="C5" s="484" t="str">
        <f>VLOOKUP(B5,All!$B$4:$S$8977,2,FALSE)</f>
        <v>ស៊ុំ</v>
      </c>
      <c r="D5" s="482" t="str">
        <f>VLOOKUP(B5,All!$B$4:$S$89977,3,FALSE)</f>
        <v>ហ៊ីង</v>
      </c>
      <c r="E5" s="484" t="str">
        <f>VLOOKUP(B5,All!$B$4:$S$8977,4,FALSE)</f>
        <v>Sum</v>
      </c>
      <c r="F5" s="482" t="str">
        <f>VLOOKUP(B5,All!$B$4:$S$8977,5,FALSE)</f>
        <v>Hing</v>
      </c>
      <c r="G5" s="479" t="str">
        <f>VLOOKUP(B5,All!$B$4:$S$8977,6,FALSE)</f>
        <v>F</v>
      </c>
      <c r="H5" s="486">
        <f>VLOOKUP(B5,All!$B$4:$S$8977,7,FALSE)</f>
        <v>28470</v>
      </c>
      <c r="I5" s="481">
        <f>VLOOKUP(B5,All!$B$4:$S$8977,8,FALSE)</f>
        <v>43636</v>
      </c>
      <c r="J5" s="481" t="str">
        <f>VLOOKUP(B5,All!$B$4:$S$8977,9,FALSE)</f>
        <v>Production</v>
      </c>
      <c r="K5" s="631" t="str">
        <f>VLOOKUP(B5,All!$B$4:$S$8977,10,FALSE)</f>
        <v>Warehouse Trims</v>
      </c>
      <c r="L5" s="636" t="str">
        <f>VLOOKUP(B5,All!$B$4:$S$8977,11,FALSE)</f>
        <v>accessory assistant</v>
      </c>
      <c r="M5" s="570">
        <f>VLOOKUP(B5,All!$B$4:$S$8977,12,FALSE)</f>
        <v>192</v>
      </c>
      <c r="N5" s="18">
        <f>VLOOKUP(B5,All!$B$4:$S$8977,13,FALSE)</f>
        <v>3</v>
      </c>
      <c r="O5" s="18">
        <f>VLOOKUP(B5,All!$B$4:$S$8977,14,FALSE)</f>
        <v>0</v>
      </c>
      <c r="P5" s="18">
        <f>VLOOKUP(B5,All!$B$4:$S$8977,15,FALSE)</f>
        <v>0</v>
      </c>
      <c r="Q5" s="18">
        <f>VLOOKUP(B5,All!$B$4:$S$8977,16,FALSE)</f>
        <v>0</v>
      </c>
      <c r="R5" s="18">
        <v>7</v>
      </c>
      <c r="S5" s="18">
        <v>10</v>
      </c>
      <c r="T5" s="634">
        <f t="shared" ref="T5:T10" si="1">SUM(M5:S5)</f>
        <v>212</v>
      </c>
      <c r="U5" s="633"/>
      <c r="V5" s="5"/>
      <c r="W5" s="5"/>
      <c r="X5" s="5"/>
      <c r="Y5" s="639"/>
      <c r="Z5" s="570">
        <f t="shared" ref="Z5:Z12" si="2">M5+AH5</f>
        <v>194</v>
      </c>
      <c r="AA5" s="18">
        <f t="shared" ref="AA5:AF10" si="3">N5</f>
        <v>3</v>
      </c>
      <c r="AB5" s="18">
        <f t="shared" si="3"/>
        <v>0</v>
      </c>
      <c r="AC5" s="18">
        <f t="shared" si="3"/>
        <v>0</v>
      </c>
      <c r="AD5" s="18">
        <f t="shared" si="3"/>
        <v>0</v>
      </c>
      <c r="AE5" s="18">
        <f t="shared" si="3"/>
        <v>7</v>
      </c>
      <c r="AF5" s="18">
        <f t="shared" si="3"/>
        <v>10</v>
      </c>
      <c r="AG5" s="634">
        <f t="shared" ref="AG5:AG10" si="4">SUM(Z5:AF5)</f>
        <v>214</v>
      </c>
      <c r="AH5" s="409">
        <v>2</v>
      </c>
      <c r="AI5" s="409">
        <v>0</v>
      </c>
      <c r="AJ5" s="409">
        <v>0</v>
      </c>
      <c r="AK5" s="409">
        <v>0</v>
      </c>
      <c r="AL5" s="409">
        <v>0</v>
      </c>
      <c r="AM5" s="409">
        <v>0</v>
      </c>
      <c r="AN5" s="409">
        <v>0</v>
      </c>
      <c r="AO5" s="409">
        <v>2</v>
      </c>
    </row>
    <row r="6" spans="1:41" s="7" customFormat="1" ht="36" customHeight="1">
      <c r="A6" s="606">
        <f t="shared" ref="A6:A12" si="5">1+A5</f>
        <v>3</v>
      </c>
      <c r="B6" s="8">
        <v>3053</v>
      </c>
      <c r="C6" s="484" t="str">
        <f>VLOOKUP(B6,All!$B$4:$S$8977,2,FALSE)</f>
        <v>សន់</v>
      </c>
      <c r="D6" s="482" t="str">
        <f>VLOOKUP(B6,All!$B$4:$S$89977,3,FALSE)</f>
        <v>សុឧត្តម</v>
      </c>
      <c r="E6" s="484" t="str">
        <f>VLOOKUP(B6,All!$B$4:$S$8977,4,FALSE)</f>
        <v>Sann</v>
      </c>
      <c r="F6" s="482" t="str">
        <f>VLOOKUP(B6,All!$B$4:$S$8977,5,FALSE)</f>
        <v>Sodom</v>
      </c>
      <c r="G6" s="479" t="str">
        <f>VLOOKUP(B6,All!$B$4:$S$8977,6,FALSE)</f>
        <v>M</v>
      </c>
      <c r="H6" s="486">
        <f>VLOOKUP(B6,All!$B$4:$S$8977,7,FALSE)</f>
        <v>36524</v>
      </c>
      <c r="I6" s="481">
        <f>VLOOKUP(B6,All!$B$4:$S$8977,8,FALSE)</f>
        <v>43653</v>
      </c>
      <c r="J6" s="481" t="str">
        <f>VLOOKUP(B6,All!$B$4:$S$8977,9,FALSE)</f>
        <v>Production</v>
      </c>
      <c r="K6" s="631" t="str">
        <f>VLOOKUP(B6,All!$B$4:$S$8977,10,FALSE)</f>
        <v>Warehouse Trims</v>
      </c>
      <c r="L6" s="636" t="str">
        <f>VLOOKUP(B6,All!$B$4:$S$8977,11,FALSE)</f>
        <v>accessory assistant</v>
      </c>
      <c r="M6" s="570">
        <f>VLOOKUP(B6,All!$B$4:$S$8977,12,FALSE)</f>
        <v>192</v>
      </c>
      <c r="N6" s="18">
        <f>VLOOKUP(B6,All!$B$4:$S$8977,13,FALSE)</f>
        <v>3</v>
      </c>
      <c r="O6" s="18">
        <f>VLOOKUP(B6,All!$B$4:$S$8977,14,FALSE)</f>
        <v>0</v>
      </c>
      <c r="P6" s="18">
        <f>VLOOKUP(B6,All!$B$4:$S$8977,15,FALSE)</f>
        <v>0</v>
      </c>
      <c r="Q6" s="18">
        <f>VLOOKUP(B6,All!$B$4:$S$8977,16,FALSE)</f>
        <v>0</v>
      </c>
      <c r="R6" s="18">
        <v>7</v>
      </c>
      <c r="S6" s="18">
        <v>10</v>
      </c>
      <c r="T6" s="634">
        <f t="shared" si="1"/>
        <v>212</v>
      </c>
      <c r="U6" s="633"/>
      <c r="V6" s="5"/>
      <c r="W6" s="5"/>
      <c r="X6" s="5"/>
      <c r="Y6" s="639"/>
      <c r="Z6" s="570">
        <f t="shared" si="2"/>
        <v>194</v>
      </c>
      <c r="AA6" s="18">
        <f t="shared" si="3"/>
        <v>3</v>
      </c>
      <c r="AB6" s="18">
        <f t="shared" si="3"/>
        <v>0</v>
      </c>
      <c r="AC6" s="18">
        <f t="shared" si="3"/>
        <v>0</v>
      </c>
      <c r="AD6" s="18">
        <f t="shared" si="3"/>
        <v>0</v>
      </c>
      <c r="AE6" s="18">
        <f t="shared" si="3"/>
        <v>7</v>
      </c>
      <c r="AF6" s="18">
        <f t="shared" si="3"/>
        <v>10</v>
      </c>
      <c r="AG6" s="634">
        <f t="shared" si="4"/>
        <v>214</v>
      </c>
      <c r="AH6" s="409">
        <v>2</v>
      </c>
      <c r="AI6" s="409">
        <v>0</v>
      </c>
      <c r="AJ6" s="409">
        <v>0</v>
      </c>
      <c r="AK6" s="409">
        <v>0</v>
      </c>
      <c r="AL6" s="409">
        <v>0</v>
      </c>
      <c r="AM6" s="409">
        <v>0</v>
      </c>
      <c r="AN6" s="409">
        <v>0</v>
      </c>
      <c r="AO6" s="409">
        <v>2</v>
      </c>
    </row>
    <row r="7" spans="1:41" s="7" customFormat="1" ht="36" customHeight="1">
      <c r="A7" s="606">
        <f t="shared" si="5"/>
        <v>4</v>
      </c>
      <c r="B7" s="8">
        <v>5002</v>
      </c>
      <c r="C7" s="484" t="str">
        <f>VLOOKUP(B7,All!$B$4:$S$8977,2,FALSE)</f>
        <v>អ៊ុក</v>
      </c>
      <c r="D7" s="482" t="str">
        <f>VLOOKUP(B7,All!$B$4:$S$89977,3,FALSE)</f>
        <v>ស្រីណូ</v>
      </c>
      <c r="E7" s="484" t="str">
        <f>VLOOKUP(B7,All!$B$4:$S$8977,4,FALSE)</f>
        <v>OUK</v>
      </c>
      <c r="F7" s="482" t="str">
        <f>VLOOKUP(B7,All!$B$4:$S$8977,5,FALSE)</f>
        <v>SREYNO</v>
      </c>
      <c r="G7" s="479" t="str">
        <f>VLOOKUP(B7,All!$B$4:$S$8977,6,FALSE)</f>
        <v>F</v>
      </c>
      <c r="H7" s="486">
        <f>VLOOKUP(B7,All!$B$4:$S$8977,7,FALSE)</f>
        <v>34713</v>
      </c>
      <c r="I7" s="481">
        <f>VLOOKUP(B7,All!$B$4:$S$8977,8,FALSE)</f>
        <v>44139</v>
      </c>
      <c r="J7" s="481" t="str">
        <f>VLOOKUP(B7,All!$B$4:$S$8977,9,FALSE)</f>
        <v>Production</v>
      </c>
      <c r="K7" s="631" t="str">
        <f>VLOOKUP(B7,All!$B$4:$S$8977,10,FALSE)</f>
        <v>Warehouse Trims</v>
      </c>
      <c r="L7" s="636" t="str">
        <f>VLOOKUP(B7,All!$B$4:$S$8977,11,FALSE)</f>
        <v>accessory assistant</v>
      </c>
      <c r="M7" s="570">
        <f>VLOOKUP(B7,All!$B$4:$S$8977,12,FALSE)</f>
        <v>192</v>
      </c>
      <c r="N7" s="18">
        <f>VLOOKUP(B7,All!$B$4:$S$8977,13,FALSE)</f>
        <v>2</v>
      </c>
      <c r="O7" s="18">
        <f>VLOOKUP(B7,All!$B$4:$S$8977,14,FALSE)</f>
        <v>0</v>
      </c>
      <c r="P7" s="18">
        <f>VLOOKUP(B7,All!$B$4:$S$8977,15,FALSE)</f>
        <v>0</v>
      </c>
      <c r="Q7" s="18">
        <f>VLOOKUP(B7,All!$B$4:$S$8977,16,FALSE)</f>
        <v>0</v>
      </c>
      <c r="R7" s="18">
        <v>7</v>
      </c>
      <c r="S7" s="18">
        <v>10</v>
      </c>
      <c r="T7" s="634">
        <f t="shared" ref="T7:T8" si="6">SUM(M7:S7)</f>
        <v>211</v>
      </c>
      <c r="U7" s="633"/>
      <c r="V7" s="5"/>
      <c r="W7" s="5"/>
      <c r="X7" s="5"/>
      <c r="Y7" s="639"/>
      <c r="Z7" s="570">
        <f t="shared" si="2"/>
        <v>194</v>
      </c>
      <c r="AA7" s="18">
        <f t="shared" ref="AA7:AA8" si="7">N7</f>
        <v>2</v>
      </c>
      <c r="AB7" s="18">
        <f t="shared" ref="AB7:AB8" si="8">O7</f>
        <v>0</v>
      </c>
      <c r="AC7" s="18">
        <f t="shared" ref="AC7:AC8" si="9">P7</f>
        <v>0</v>
      </c>
      <c r="AD7" s="18">
        <f t="shared" ref="AD7:AD8" si="10">Q7</f>
        <v>0</v>
      </c>
      <c r="AE7" s="18">
        <f t="shared" ref="AE7:AE8" si="11">R7</f>
        <v>7</v>
      </c>
      <c r="AF7" s="18">
        <f t="shared" ref="AF7:AF8" si="12">S7</f>
        <v>10</v>
      </c>
      <c r="AG7" s="634">
        <f t="shared" ref="AG7:AG8" si="13">SUM(Z7:AF7)</f>
        <v>213</v>
      </c>
      <c r="AH7" s="409">
        <v>2</v>
      </c>
      <c r="AI7" s="409">
        <v>0</v>
      </c>
      <c r="AJ7" s="409">
        <v>0</v>
      </c>
      <c r="AK7" s="409">
        <v>0</v>
      </c>
      <c r="AL7" s="409">
        <v>0</v>
      </c>
      <c r="AM7" s="409">
        <v>0</v>
      </c>
      <c r="AN7" s="409">
        <v>0</v>
      </c>
      <c r="AO7" s="409">
        <v>2</v>
      </c>
    </row>
    <row r="8" spans="1:41" s="7" customFormat="1" ht="36" customHeight="1">
      <c r="A8" s="606">
        <f t="shared" si="5"/>
        <v>5</v>
      </c>
      <c r="B8" s="8">
        <v>5093</v>
      </c>
      <c r="C8" s="484" t="str">
        <f>VLOOKUP(B8,All!$B$4:$S$8977,2,FALSE)</f>
        <v>ស៊ិន​</v>
      </c>
      <c r="D8" s="482" t="str">
        <f>VLOOKUP(B8,All!$B$4:$S$89977,3,FALSE)</f>
        <v>សាវ៉ើន</v>
      </c>
      <c r="E8" s="484" t="str">
        <f>VLOOKUP(B8,All!$B$4:$S$8977,4,FALSE)</f>
        <v>SIN</v>
      </c>
      <c r="F8" s="482" t="str">
        <f>VLOOKUP(B8,All!$B$4:$S$8977,5,FALSE)</f>
        <v>SAVOEUN</v>
      </c>
      <c r="G8" s="479" t="str">
        <f>VLOOKUP(B8,All!$B$4:$S$8977,6,FALSE)</f>
        <v>M</v>
      </c>
      <c r="H8" s="486">
        <f>VLOOKUP(B8,All!$B$4:$S$8977,7,FALSE)</f>
        <v>35524</v>
      </c>
      <c r="I8" s="481">
        <f>VLOOKUP(B8,All!$B$4:$S$8977,8,FALSE)</f>
        <v>44421</v>
      </c>
      <c r="J8" s="481" t="str">
        <f>VLOOKUP(B8,All!$B$4:$S$8977,9,FALSE)</f>
        <v>Production</v>
      </c>
      <c r="K8" s="631" t="str">
        <f>VLOOKUP(B8,All!$B$4:$S$8977,10,FALSE)</f>
        <v>Warehouse Trims</v>
      </c>
      <c r="L8" s="636" t="str">
        <f>VLOOKUP(B8,All!$B$4:$S$8977,11,FALSE)</f>
        <v>accessory assistant</v>
      </c>
      <c r="M8" s="570">
        <f>VLOOKUP(B8,All!$B$4:$S$8977,12,FALSE)</f>
        <v>187</v>
      </c>
      <c r="N8" s="18">
        <f>VLOOKUP(B8,All!$B$4:$S$8977,13,FALSE)</f>
        <v>0</v>
      </c>
      <c r="O8" s="18">
        <f>VLOOKUP(B8,All!$B$4:$S$8977,14,FALSE)</f>
        <v>0</v>
      </c>
      <c r="P8" s="18">
        <f>VLOOKUP(B8,All!$B$4:$S$8977,15,FALSE)</f>
        <v>0</v>
      </c>
      <c r="Q8" s="18">
        <f>VLOOKUP(B8,All!$B$4:$S$8977,16,FALSE)</f>
        <v>0</v>
      </c>
      <c r="R8" s="18">
        <v>7</v>
      </c>
      <c r="S8" s="18">
        <v>10</v>
      </c>
      <c r="T8" s="634">
        <f t="shared" si="6"/>
        <v>204</v>
      </c>
      <c r="U8" s="633"/>
      <c r="V8" s="5"/>
      <c r="W8" s="5"/>
      <c r="X8" s="5"/>
      <c r="Y8" s="639"/>
      <c r="Z8" s="570">
        <f t="shared" si="2"/>
        <v>189</v>
      </c>
      <c r="AA8" s="18">
        <f t="shared" si="7"/>
        <v>0</v>
      </c>
      <c r="AB8" s="18">
        <f t="shared" si="8"/>
        <v>0</v>
      </c>
      <c r="AC8" s="18">
        <f t="shared" si="9"/>
        <v>0</v>
      </c>
      <c r="AD8" s="18">
        <f t="shared" si="10"/>
        <v>0</v>
      </c>
      <c r="AE8" s="18">
        <f t="shared" si="11"/>
        <v>7</v>
      </c>
      <c r="AF8" s="18">
        <f t="shared" si="12"/>
        <v>10</v>
      </c>
      <c r="AG8" s="634">
        <f t="shared" si="13"/>
        <v>206</v>
      </c>
      <c r="AH8" s="409">
        <v>2</v>
      </c>
      <c r="AI8" s="409">
        <v>0</v>
      </c>
      <c r="AJ8" s="409">
        <v>0</v>
      </c>
      <c r="AK8" s="409">
        <v>0</v>
      </c>
      <c r="AL8" s="409">
        <v>0</v>
      </c>
      <c r="AM8" s="409">
        <v>0</v>
      </c>
      <c r="AN8" s="409">
        <v>0</v>
      </c>
      <c r="AO8" s="409">
        <v>2</v>
      </c>
    </row>
    <row r="9" spans="1:41" s="7" customFormat="1" ht="36" customHeight="1">
      <c r="A9" s="606">
        <f t="shared" si="5"/>
        <v>6</v>
      </c>
      <c r="B9" s="8">
        <v>5088</v>
      </c>
      <c r="C9" s="484" t="str">
        <f>VLOOKUP(B9,All!$B$4:$S$8977,2,FALSE)</f>
        <v>ម៉ុស</v>
      </c>
      <c r="D9" s="482" t="str">
        <f>VLOOKUP(B9,All!$B$4:$S$89977,3,FALSE)</f>
        <v>ប៊ុនធី</v>
      </c>
      <c r="E9" s="484" t="str">
        <f>VLOOKUP(B9,All!$B$4:$S$8977,4,FALSE)</f>
        <v>MOS</v>
      </c>
      <c r="F9" s="482" t="str">
        <f>VLOOKUP(B9,All!$B$4:$S$8977,5,FALSE)</f>
        <v>BUNTHY</v>
      </c>
      <c r="G9" s="479" t="str">
        <f>VLOOKUP(B9,All!$B$4:$S$8977,6,FALSE)</f>
        <v>M</v>
      </c>
      <c r="H9" s="486">
        <f>VLOOKUP(B9,All!$B$4:$S$8977,7,FALSE)</f>
        <v>33060</v>
      </c>
      <c r="I9" s="481">
        <f>VLOOKUP(B9,All!$B$4:$S$8977,8,FALSE)</f>
        <v>44399</v>
      </c>
      <c r="J9" s="481" t="str">
        <f>VLOOKUP(B9,All!$B$4:$S$8977,9,FALSE)</f>
        <v>Production</v>
      </c>
      <c r="K9" s="631" t="str">
        <f>VLOOKUP(B9,All!$B$4:$S$8977,10,FALSE)</f>
        <v>Warehouse Trims</v>
      </c>
      <c r="L9" s="636" t="str">
        <f>VLOOKUP(B9,All!$B$4:$S$8977,11,FALSE)</f>
        <v>accessory assistant</v>
      </c>
      <c r="M9" s="570">
        <f>VLOOKUP(B9,All!$B$4:$S$8977,12,FALSE)</f>
        <v>192</v>
      </c>
      <c r="N9" s="18">
        <f>VLOOKUP(B9,All!$B$4:$S$8977,13,FALSE)</f>
        <v>0</v>
      </c>
      <c r="O9" s="18">
        <f>VLOOKUP(B9,All!$B$4:$S$8977,14,FALSE)</f>
        <v>0</v>
      </c>
      <c r="P9" s="18">
        <f>VLOOKUP(B9,All!$B$4:$S$8977,15,FALSE)</f>
        <v>0</v>
      </c>
      <c r="Q9" s="18">
        <f>VLOOKUP(B9,All!$B$4:$S$8977,16,FALSE)</f>
        <v>0</v>
      </c>
      <c r="R9" s="18">
        <v>7</v>
      </c>
      <c r="S9" s="18">
        <v>10</v>
      </c>
      <c r="T9" s="634">
        <f t="shared" si="1"/>
        <v>209</v>
      </c>
      <c r="U9" s="633"/>
      <c r="V9" s="5"/>
      <c r="W9" s="5"/>
      <c r="X9" s="5"/>
      <c r="Y9" s="639"/>
      <c r="Z9" s="570">
        <f t="shared" si="2"/>
        <v>194</v>
      </c>
      <c r="AA9" s="18">
        <f t="shared" si="3"/>
        <v>0</v>
      </c>
      <c r="AB9" s="18">
        <f t="shared" si="3"/>
        <v>0</v>
      </c>
      <c r="AC9" s="18">
        <f t="shared" si="3"/>
        <v>0</v>
      </c>
      <c r="AD9" s="18">
        <f t="shared" si="3"/>
        <v>0</v>
      </c>
      <c r="AE9" s="18">
        <f t="shared" si="3"/>
        <v>7</v>
      </c>
      <c r="AF9" s="18">
        <f t="shared" si="3"/>
        <v>10</v>
      </c>
      <c r="AG9" s="634">
        <f t="shared" si="4"/>
        <v>211</v>
      </c>
      <c r="AH9" s="409">
        <v>2</v>
      </c>
      <c r="AI9" s="409">
        <v>0</v>
      </c>
      <c r="AJ9" s="409">
        <v>0</v>
      </c>
      <c r="AK9" s="409">
        <v>0</v>
      </c>
      <c r="AL9" s="409">
        <v>0</v>
      </c>
      <c r="AM9" s="409">
        <v>0</v>
      </c>
      <c r="AN9" s="409">
        <v>0</v>
      </c>
      <c r="AO9" s="409">
        <v>2</v>
      </c>
    </row>
    <row r="10" spans="1:41" s="7" customFormat="1" ht="36" customHeight="1">
      <c r="A10" s="606">
        <f t="shared" si="5"/>
        <v>7</v>
      </c>
      <c r="B10" s="8">
        <v>5089</v>
      </c>
      <c r="C10" s="484" t="str">
        <f>VLOOKUP(B10,All!$B$4:$S$8977,2,FALSE)</f>
        <v>បេន</v>
      </c>
      <c r="D10" s="482" t="str">
        <f>VLOOKUP(B10,All!$B$4:$S$89977,3,FALSE)</f>
        <v>ខេមរ៉ា</v>
      </c>
      <c r="E10" s="484" t="str">
        <f>VLOOKUP(B10,All!$B$4:$S$8977,4,FALSE)</f>
        <v>BEN</v>
      </c>
      <c r="F10" s="482" t="str">
        <f>VLOOKUP(B10,All!$B$4:$S$8977,5,FALSE)</f>
        <v>KHEMRA</v>
      </c>
      <c r="G10" s="479" t="str">
        <f>VLOOKUP(B10,All!$B$4:$S$8977,6,FALSE)</f>
        <v>F</v>
      </c>
      <c r="H10" s="486">
        <f>VLOOKUP(B10,All!$B$4:$S$8977,7,FALSE)</f>
        <v>32234</v>
      </c>
      <c r="I10" s="481">
        <f>VLOOKUP(B10,All!$B$4:$S$8977,8,FALSE)</f>
        <v>44400</v>
      </c>
      <c r="J10" s="481" t="str">
        <f>VLOOKUP(B10,All!$B$4:$S$8977,9,FALSE)</f>
        <v>Production</v>
      </c>
      <c r="K10" s="631" t="str">
        <f>VLOOKUP(B10,All!$B$4:$S$8977,10,FALSE)</f>
        <v>Warehouse Trims</v>
      </c>
      <c r="L10" s="636" t="str">
        <f>VLOOKUP(B10,All!$B$4:$S$8977,11,FALSE)</f>
        <v>accessory assistant</v>
      </c>
      <c r="M10" s="570">
        <f>VLOOKUP(B10,All!$B$4:$S$8977,12,FALSE)</f>
        <v>192</v>
      </c>
      <c r="N10" s="18">
        <f>VLOOKUP(B10,All!$B$4:$S$8977,13,FALSE)</f>
        <v>0</v>
      </c>
      <c r="O10" s="18">
        <f>VLOOKUP(B10,All!$B$4:$S$8977,14,FALSE)</f>
        <v>0</v>
      </c>
      <c r="P10" s="18">
        <f>VLOOKUP(B10,All!$B$4:$S$8977,15,FALSE)</f>
        <v>0</v>
      </c>
      <c r="Q10" s="18">
        <f>VLOOKUP(B10,All!$B$4:$S$8977,16,FALSE)</f>
        <v>0</v>
      </c>
      <c r="R10" s="18">
        <v>7</v>
      </c>
      <c r="S10" s="18">
        <v>10</v>
      </c>
      <c r="T10" s="634">
        <f t="shared" si="1"/>
        <v>209</v>
      </c>
      <c r="U10" s="633"/>
      <c r="V10" s="5"/>
      <c r="W10" s="5"/>
      <c r="X10" s="5"/>
      <c r="Y10" s="639"/>
      <c r="Z10" s="570">
        <f t="shared" si="2"/>
        <v>194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7</v>
      </c>
      <c r="AF10" s="18">
        <f t="shared" si="3"/>
        <v>10</v>
      </c>
      <c r="AG10" s="634">
        <f t="shared" si="4"/>
        <v>211</v>
      </c>
      <c r="AH10" s="409">
        <v>2</v>
      </c>
      <c r="AI10" s="409">
        <v>0</v>
      </c>
      <c r="AJ10" s="409">
        <v>0</v>
      </c>
      <c r="AK10" s="409">
        <v>0</v>
      </c>
      <c r="AL10" s="409">
        <v>0</v>
      </c>
      <c r="AM10" s="409">
        <v>0</v>
      </c>
      <c r="AN10" s="409">
        <v>0</v>
      </c>
      <c r="AO10" s="409">
        <v>2</v>
      </c>
    </row>
    <row r="11" spans="1:41" s="7" customFormat="1" ht="36" customHeight="1">
      <c r="A11" s="606">
        <f t="shared" si="5"/>
        <v>8</v>
      </c>
      <c r="B11" s="8">
        <v>5167</v>
      </c>
      <c r="C11" s="484" t="str">
        <f>VLOOKUP(B11,All!$B$4:$S$8977,2,FALSE)</f>
        <v>រូ</v>
      </c>
      <c r="D11" s="482" t="str">
        <f>VLOOKUP(B11,All!$B$4:$S$89977,3,FALSE)</f>
        <v>ស្រីនុត</v>
      </c>
      <c r="E11" s="484" t="str">
        <f>VLOOKUP(B11,All!$B$4:$S$8977,4,FALSE)</f>
        <v>RU</v>
      </c>
      <c r="F11" s="482" t="str">
        <f>VLOOKUP(B11,All!$B$4:$S$8977,5,FALSE)</f>
        <v>SREYNUTH</v>
      </c>
      <c r="G11" s="479" t="str">
        <f>VLOOKUP(B11,All!$B$4:$S$8977,6,FALSE)</f>
        <v>F</v>
      </c>
      <c r="H11" s="486">
        <f>VLOOKUP(B11,All!$B$4:$S$8977,7,FALSE)</f>
        <v>37493</v>
      </c>
      <c r="I11" s="481">
        <f>VLOOKUP(B11,All!$B$4:$S$8977,8,FALSE)</f>
        <v>44485</v>
      </c>
      <c r="J11" s="481" t="str">
        <f>VLOOKUP(B11,All!$B$4:$S$8977,9,FALSE)</f>
        <v>Production</v>
      </c>
      <c r="K11" s="631" t="str">
        <f>VLOOKUP(B11,All!$B$4:$S$8977,10,FALSE)</f>
        <v>Warehouse Trims</v>
      </c>
      <c r="L11" s="636" t="str">
        <f>VLOOKUP(B11,All!$B$4:$S$8977,11,FALSE)</f>
        <v>accessory assistant</v>
      </c>
      <c r="M11" s="570">
        <f>VLOOKUP(B11,All!$B$4:$S$8977,12,FALSE)</f>
        <v>187</v>
      </c>
      <c r="N11" s="18">
        <f>VLOOKUP(B11,All!$B$4:$S$8977,13,FALSE)</f>
        <v>0</v>
      </c>
      <c r="O11" s="18">
        <f>VLOOKUP(B11,All!$B$4:$S$8977,14,FALSE)</f>
        <v>0</v>
      </c>
      <c r="P11" s="18">
        <f>VLOOKUP(B11,All!$B$4:$S$8977,15,FALSE)</f>
        <v>0</v>
      </c>
      <c r="Q11" s="18">
        <f>VLOOKUP(B11,All!$B$4:$S$8977,16,FALSE)</f>
        <v>0</v>
      </c>
      <c r="R11" s="18">
        <v>7</v>
      </c>
      <c r="S11" s="18">
        <v>10</v>
      </c>
      <c r="T11" s="634">
        <f t="shared" ref="T11:T12" si="14">SUM(M11:S11)</f>
        <v>204</v>
      </c>
      <c r="U11" s="633"/>
      <c r="V11" s="5"/>
      <c r="W11" s="5"/>
      <c r="X11" s="5"/>
      <c r="Y11" s="639"/>
      <c r="Z11" s="570">
        <f t="shared" si="2"/>
        <v>189</v>
      </c>
      <c r="AA11" s="18">
        <f t="shared" ref="AA11:AA12" si="15">N11</f>
        <v>0</v>
      </c>
      <c r="AB11" s="18">
        <f t="shared" ref="AB11:AB12" si="16">O11</f>
        <v>0</v>
      </c>
      <c r="AC11" s="18">
        <f t="shared" ref="AC11:AC12" si="17">P11</f>
        <v>0</v>
      </c>
      <c r="AD11" s="18">
        <f t="shared" ref="AD11:AD12" si="18">Q11</f>
        <v>0</v>
      </c>
      <c r="AE11" s="18">
        <f t="shared" ref="AE11:AE12" si="19">R11</f>
        <v>7</v>
      </c>
      <c r="AF11" s="18">
        <f t="shared" ref="AF11:AF12" si="20">S11</f>
        <v>10</v>
      </c>
      <c r="AG11" s="634">
        <f t="shared" ref="AG11:AG12" si="21">SUM(Z11:AF11)</f>
        <v>206</v>
      </c>
      <c r="AH11" s="409">
        <v>2</v>
      </c>
      <c r="AI11" s="409">
        <v>0</v>
      </c>
      <c r="AJ11" s="409">
        <v>0</v>
      </c>
      <c r="AK11" s="409">
        <v>0</v>
      </c>
      <c r="AL11" s="409">
        <v>0</v>
      </c>
      <c r="AM11" s="409">
        <v>0</v>
      </c>
      <c r="AN11" s="409">
        <v>0</v>
      </c>
      <c r="AO11" s="409">
        <v>2</v>
      </c>
    </row>
    <row r="12" spans="1:41" s="7" customFormat="1" ht="36" customHeight="1" thickBot="1">
      <c r="A12" s="608">
        <f t="shared" si="5"/>
        <v>9</v>
      </c>
      <c r="B12" s="552">
        <v>5174</v>
      </c>
      <c r="C12" s="553" t="str">
        <f>VLOOKUP(B12,All!$B$4:$S$8977,2,FALSE)</f>
        <v>ឃួន</v>
      </c>
      <c r="D12" s="554" t="str">
        <f>VLOOKUP(B12,All!$B$4:$S$89977,3,FALSE)</f>
        <v>វាណ្ណា</v>
      </c>
      <c r="E12" s="553" t="str">
        <f>VLOOKUP(B12,All!$B$4:$S$8977,4,FALSE)</f>
        <v>KHOUN</v>
      </c>
      <c r="F12" s="554" t="str">
        <f>VLOOKUP(B12,All!$B$4:$S$8977,5,FALSE)</f>
        <v>VANNA</v>
      </c>
      <c r="G12" s="555" t="str">
        <f>VLOOKUP(B12,All!$B$4:$S$8977,6,FALSE)</f>
        <v>M</v>
      </c>
      <c r="H12" s="611">
        <f>VLOOKUP(B12,All!$B$4:$S$8977,7,FALSE)</f>
        <v>31564</v>
      </c>
      <c r="I12" s="558">
        <f>VLOOKUP(B12,All!$B$4:$S$8977,8,FALSE)</f>
        <v>44485</v>
      </c>
      <c r="J12" s="558" t="str">
        <f>VLOOKUP(B12,All!$B$4:$S$8977,9,FALSE)</f>
        <v>Production</v>
      </c>
      <c r="K12" s="637" t="str">
        <f>VLOOKUP(B12,All!$B$4:$S$8977,10,FALSE)</f>
        <v>Warehouse Trims</v>
      </c>
      <c r="L12" s="638" t="str">
        <f>VLOOKUP(B12,All!$B$4:$S$8977,11,FALSE)</f>
        <v>accessory assistant</v>
      </c>
      <c r="M12" s="571">
        <f>VLOOKUP(B12,All!$B$4:$S$8977,12,FALSE)</f>
        <v>187</v>
      </c>
      <c r="N12" s="559">
        <f>VLOOKUP(B12,All!$B$4:$S$8977,13,FALSE)</f>
        <v>0</v>
      </c>
      <c r="O12" s="559">
        <f>VLOOKUP(B12,All!$B$4:$S$8977,14,FALSE)</f>
        <v>0</v>
      </c>
      <c r="P12" s="559">
        <f>VLOOKUP(B12,All!$B$4:$S$8977,15,FALSE)</f>
        <v>0</v>
      </c>
      <c r="Q12" s="559">
        <f>VLOOKUP(B12,All!$B$4:$S$8977,16,FALSE)</f>
        <v>0</v>
      </c>
      <c r="R12" s="559">
        <v>7</v>
      </c>
      <c r="S12" s="559">
        <v>10</v>
      </c>
      <c r="T12" s="590">
        <f t="shared" si="14"/>
        <v>204</v>
      </c>
      <c r="U12" s="633"/>
      <c r="V12" s="5"/>
      <c r="W12" s="5"/>
      <c r="X12" s="5"/>
      <c r="Y12" s="639"/>
      <c r="Z12" s="571">
        <f t="shared" si="2"/>
        <v>189</v>
      </c>
      <c r="AA12" s="559">
        <f t="shared" si="15"/>
        <v>0</v>
      </c>
      <c r="AB12" s="559">
        <f t="shared" si="16"/>
        <v>0</v>
      </c>
      <c r="AC12" s="559">
        <f t="shared" si="17"/>
        <v>0</v>
      </c>
      <c r="AD12" s="559">
        <f t="shared" si="18"/>
        <v>0</v>
      </c>
      <c r="AE12" s="559">
        <f t="shared" si="19"/>
        <v>7</v>
      </c>
      <c r="AF12" s="559">
        <f t="shared" si="20"/>
        <v>10</v>
      </c>
      <c r="AG12" s="590">
        <f t="shared" si="21"/>
        <v>206</v>
      </c>
      <c r="AH12" s="409">
        <v>2</v>
      </c>
      <c r="AI12" s="409">
        <v>0</v>
      </c>
      <c r="AJ12" s="409">
        <v>0</v>
      </c>
      <c r="AK12" s="409">
        <v>0</v>
      </c>
      <c r="AL12" s="409">
        <v>0</v>
      </c>
      <c r="AM12" s="409">
        <v>0</v>
      </c>
      <c r="AN12" s="409">
        <v>0</v>
      </c>
      <c r="AO12" s="409">
        <v>2</v>
      </c>
    </row>
    <row r="13" spans="1:41" s="584" customFormat="1" ht="36" customHeight="1">
      <c r="A13" s="592"/>
      <c r="B13" s="593"/>
      <c r="C13" s="594"/>
      <c r="D13" s="594"/>
      <c r="E13" s="594"/>
      <c r="F13" s="594"/>
      <c r="G13" s="474"/>
      <c r="H13" s="595"/>
      <c r="I13" s="596"/>
      <c r="J13" s="596"/>
      <c r="K13" s="635"/>
      <c r="L13" s="635"/>
      <c r="M13" s="473"/>
      <c r="N13" s="473"/>
      <c r="O13" s="473"/>
      <c r="P13" s="473"/>
      <c r="Q13" s="473"/>
      <c r="R13" s="473"/>
      <c r="S13" s="473"/>
      <c r="T13" s="473"/>
      <c r="U13" s="475"/>
      <c r="V13" s="475"/>
      <c r="W13" s="475"/>
      <c r="X13" s="475"/>
      <c r="Y13" s="475"/>
      <c r="Z13" s="473"/>
      <c r="AA13" s="473"/>
      <c r="AB13" s="473"/>
      <c r="AC13" s="473"/>
      <c r="AD13" s="473"/>
      <c r="AE13" s="473"/>
      <c r="AF13" s="473"/>
      <c r="AG13" s="473"/>
      <c r="AH13" s="597"/>
      <c r="AI13" s="597"/>
      <c r="AJ13" s="597"/>
      <c r="AK13" s="597"/>
      <c r="AL13" s="597"/>
      <c r="AM13" s="597"/>
      <c r="AN13" s="597"/>
      <c r="AO13" s="597"/>
    </row>
    <row r="14" spans="1:41">
      <c r="T14" s="42">
        <f>SUM(T4:T12)</f>
        <v>1922</v>
      </c>
      <c r="Z14" s="42"/>
      <c r="AA14" s="42"/>
      <c r="AB14" s="42"/>
      <c r="AC14" s="42"/>
      <c r="AD14" s="42"/>
      <c r="AG14" s="42">
        <f>SUM(AG4:AG12)</f>
        <v>1940</v>
      </c>
      <c r="AH14" s="42">
        <f>SUM(AH5:AH12)</f>
        <v>16</v>
      </c>
      <c r="AI14" s="42">
        <f>SUM(AI5:AI12)</f>
        <v>0</v>
      </c>
    </row>
    <row r="17" spans="1:36" s="498" customFormat="1">
      <c r="A17" s="497"/>
      <c r="B17" s="501"/>
      <c r="C17" s="502"/>
      <c r="D17" s="503"/>
      <c r="E17" s="504"/>
      <c r="F17" s="497"/>
      <c r="G17" s="497"/>
      <c r="H17" s="497"/>
      <c r="I17" s="497"/>
      <c r="J17" s="497"/>
      <c r="K17" s="504"/>
      <c r="L17" s="504"/>
      <c r="N17" s="497"/>
      <c r="O17" s="497"/>
      <c r="P17" s="497"/>
      <c r="Q17" s="497"/>
      <c r="R17" s="499"/>
      <c r="S17" s="500"/>
      <c r="T17" s="500"/>
      <c r="U17" s="500"/>
      <c r="V17" s="500"/>
      <c r="W17" s="500"/>
      <c r="AC17" s="497"/>
      <c r="AD17" s="497"/>
      <c r="AE17" s="497"/>
      <c r="AI17" s="505"/>
      <c r="AJ17" s="505"/>
    </row>
  </sheetData>
  <mergeCells count="3">
    <mergeCell ref="M1:T1"/>
    <mergeCell ref="Z1:AG1"/>
    <mergeCell ref="E3:F3"/>
  </mergeCells>
  <phoneticPr fontId="8" type="noConversion"/>
  <conditionalFormatting sqref="B15 AH15:AH16 B30:B1048576 AH18:AH1048576">
    <cfRule type="duplicateValues" dxfId="1022" priority="383"/>
  </conditionalFormatting>
  <conditionalFormatting sqref="AJ1:AJ3">
    <cfRule type="duplicateValues" dxfId="1021" priority="285"/>
  </conditionalFormatting>
  <conditionalFormatting sqref="B30:B1048576 B15">
    <cfRule type="duplicateValues" dxfId="1020" priority="248"/>
  </conditionalFormatting>
  <conditionalFormatting sqref="B8">
    <cfRule type="duplicateValues" dxfId="1019" priority="144"/>
  </conditionalFormatting>
  <conditionalFormatting sqref="B8">
    <cfRule type="duplicateValues" dxfId="1018" priority="143"/>
  </conditionalFormatting>
  <conditionalFormatting sqref="B8">
    <cfRule type="duplicateValues" dxfId="1017" priority="142"/>
  </conditionalFormatting>
  <conditionalFormatting sqref="B8">
    <cfRule type="duplicateValues" dxfId="1016" priority="141"/>
  </conditionalFormatting>
  <conditionalFormatting sqref="B8">
    <cfRule type="duplicateValues" dxfId="1015" priority="140"/>
  </conditionalFormatting>
  <conditionalFormatting sqref="B8">
    <cfRule type="duplicateValues" dxfId="1014" priority="139"/>
  </conditionalFormatting>
  <conditionalFormatting sqref="B8">
    <cfRule type="duplicateValues" dxfId="1013" priority="138"/>
  </conditionalFormatting>
  <conditionalFormatting sqref="B8">
    <cfRule type="duplicateValues" dxfId="1012" priority="137"/>
  </conditionalFormatting>
  <conditionalFormatting sqref="B8">
    <cfRule type="duplicateValues" dxfId="1011" priority="136"/>
  </conditionalFormatting>
  <conditionalFormatting sqref="B8">
    <cfRule type="duplicateValues" dxfId="1010" priority="135"/>
  </conditionalFormatting>
  <conditionalFormatting sqref="B8">
    <cfRule type="duplicateValues" dxfId="1009" priority="134"/>
  </conditionalFormatting>
  <conditionalFormatting sqref="B9:B13">
    <cfRule type="duplicateValues" dxfId="1008" priority="133"/>
  </conditionalFormatting>
  <conditionalFormatting sqref="B9:B13">
    <cfRule type="duplicateValues" dxfId="1007" priority="132"/>
  </conditionalFormatting>
  <conditionalFormatting sqref="B9:B13">
    <cfRule type="duplicateValues" dxfId="1006" priority="131"/>
  </conditionalFormatting>
  <conditionalFormatting sqref="B9:B13">
    <cfRule type="duplicateValues" dxfId="1005" priority="130"/>
  </conditionalFormatting>
  <conditionalFormatting sqref="B9:B13">
    <cfRule type="duplicateValues" dxfId="1004" priority="129"/>
  </conditionalFormatting>
  <conditionalFormatting sqref="B9:B13">
    <cfRule type="duplicateValues" dxfId="1003" priority="128"/>
  </conditionalFormatting>
  <conditionalFormatting sqref="B9:B13">
    <cfRule type="duplicateValues" dxfId="1002" priority="127"/>
  </conditionalFormatting>
  <conditionalFormatting sqref="B9:B13">
    <cfRule type="duplicateValues" dxfId="1001" priority="126"/>
  </conditionalFormatting>
  <conditionalFormatting sqref="B9:B13">
    <cfRule type="duplicateValues" dxfId="1000" priority="125"/>
  </conditionalFormatting>
  <conditionalFormatting sqref="B9:B13">
    <cfRule type="duplicateValues" dxfId="999" priority="124"/>
  </conditionalFormatting>
  <conditionalFormatting sqref="B9:B13">
    <cfRule type="duplicateValues" dxfId="998" priority="123"/>
  </conditionalFormatting>
  <conditionalFormatting sqref="B9:B13">
    <cfRule type="duplicateValues" dxfId="997" priority="122"/>
  </conditionalFormatting>
  <conditionalFormatting sqref="B7">
    <cfRule type="duplicateValues" dxfId="996" priority="14181"/>
  </conditionalFormatting>
  <conditionalFormatting sqref="B17">
    <cfRule type="duplicateValues" dxfId="995" priority="121"/>
  </conditionalFormatting>
  <conditionalFormatting sqref="B30:B1048576 B4:B19">
    <cfRule type="duplicateValues" dxfId="994" priority="94"/>
  </conditionalFormatting>
  <conditionalFormatting sqref="B4:B13">
    <cfRule type="duplicateValues" dxfId="993" priority="14251"/>
  </conditionalFormatting>
  <conditionalFormatting sqref="B4:B7">
    <cfRule type="duplicateValues" dxfId="992" priority="14253"/>
  </conditionalFormatting>
  <conditionalFormatting sqref="B3">
    <cfRule type="duplicateValues" dxfId="991" priority="92"/>
  </conditionalFormatting>
  <conditionalFormatting sqref="B3">
    <cfRule type="duplicateValues" dxfId="990" priority="91"/>
  </conditionalFormatting>
  <conditionalFormatting sqref="B3">
    <cfRule type="duplicateValues" dxfId="989" priority="90"/>
  </conditionalFormatting>
  <conditionalFormatting sqref="B3">
    <cfRule type="duplicateValues" dxfId="988" priority="88"/>
    <cfRule type="duplicateValues" dxfId="987" priority="89"/>
  </conditionalFormatting>
  <conditionalFormatting sqref="B3">
    <cfRule type="duplicateValues" dxfId="986" priority="87"/>
  </conditionalFormatting>
  <conditionalFormatting sqref="B3">
    <cfRule type="duplicateValues" dxfId="985" priority="83"/>
    <cfRule type="duplicateValues" dxfId="984" priority="84"/>
    <cfRule type="duplicateValues" dxfId="983" priority="85"/>
    <cfRule type="duplicateValues" dxfId="982" priority="86"/>
  </conditionalFormatting>
  <conditionalFormatting sqref="B3">
    <cfRule type="duplicateValues" dxfId="981" priority="82"/>
  </conditionalFormatting>
  <conditionalFormatting sqref="B3">
    <cfRule type="duplicateValues" dxfId="980" priority="77"/>
    <cfRule type="duplicateValues" dxfId="979" priority="78"/>
    <cfRule type="duplicateValues" dxfId="978" priority="79"/>
    <cfRule type="duplicateValues" dxfId="977" priority="80"/>
    <cfRule type="duplicateValues" dxfId="976" priority="81"/>
  </conditionalFormatting>
  <conditionalFormatting sqref="B3">
    <cfRule type="duplicateValues" dxfId="975" priority="76"/>
  </conditionalFormatting>
  <conditionalFormatting sqref="B3">
    <cfRule type="duplicateValues" dxfId="974" priority="75"/>
  </conditionalFormatting>
  <conditionalFormatting sqref="B3">
    <cfRule type="duplicateValues" dxfId="973" priority="73"/>
    <cfRule type="duplicateValues" dxfId="972" priority="74"/>
  </conditionalFormatting>
  <conditionalFormatting sqref="B3">
    <cfRule type="duplicateValues" dxfId="971" priority="68"/>
    <cfRule type="duplicateValues" dxfId="970" priority="69"/>
    <cfRule type="duplicateValues" dxfId="969" priority="70"/>
    <cfRule type="duplicateValues" dxfId="968" priority="71"/>
    <cfRule type="duplicateValues" dxfId="967" priority="72"/>
  </conditionalFormatting>
  <conditionalFormatting sqref="B3">
    <cfRule type="duplicateValues" dxfId="966" priority="67"/>
  </conditionalFormatting>
  <conditionalFormatting sqref="B3">
    <cfRule type="duplicateValues" dxfId="965" priority="66"/>
  </conditionalFormatting>
  <conditionalFormatting sqref="B3">
    <cfRule type="duplicateValues" dxfId="964" priority="64"/>
    <cfRule type="duplicateValues" dxfId="963" priority="65"/>
  </conditionalFormatting>
  <conditionalFormatting sqref="B3">
    <cfRule type="duplicateValues" dxfId="962" priority="60"/>
    <cfRule type="duplicateValues" dxfId="961" priority="61"/>
    <cfRule type="duplicateValues" dxfId="960" priority="62"/>
    <cfRule type="duplicateValues" dxfId="959" priority="63"/>
  </conditionalFormatting>
  <conditionalFormatting sqref="B3">
    <cfRule type="duplicateValues" dxfId="958" priority="59"/>
  </conditionalFormatting>
  <conditionalFormatting sqref="B3">
    <cfRule type="duplicateValues" dxfId="957" priority="54"/>
    <cfRule type="duplicateValues" dxfId="956" priority="55"/>
    <cfRule type="duplicateValues" dxfId="955" priority="56"/>
    <cfRule type="duplicateValues" dxfId="954" priority="57"/>
    <cfRule type="duplicateValues" dxfId="953" priority="58"/>
  </conditionalFormatting>
  <conditionalFormatting sqref="B3">
    <cfRule type="duplicateValues" dxfId="952" priority="53"/>
  </conditionalFormatting>
  <conditionalFormatting sqref="B3">
    <cfRule type="duplicateValues" dxfId="951" priority="52"/>
  </conditionalFormatting>
  <conditionalFormatting sqref="B3">
    <cfRule type="duplicateValues" dxfId="950" priority="51"/>
  </conditionalFormatting>
  <conditionalFormatting sqref="B3">
    <cfRule type="duplicateValues" dxfId="949" priority="49"/>
    <cfRule type="duplicateValues" dxfId="948" priority="50"/>
  </conditionalFormatting>
  <conditionalFormatting sqref="B3">
    <cfRule type="duplicateValues" dxfId="947" priority="48"/>
  </conditionalFormatting>
  <conditionalFormatting sqref="B3">
    <cfRule type="duplicateValues" dxfId="946" priority="93"/>
  </conditionalFormatting>
  <conditionalFormatting sqref="E3">
    <cfRule type="duplicateValues" dxfId="945" priority="47"/>
  </conditionalFormatting>
  <conditionalFormatting sqref="E3">
    <cfRule type="duplicateValues" dxfId="944" priority="46"/>
  </conditionalFormatting>
  <conditionalFormatting sqref="E3">
    <cfRule type="duplicateValues" dxfId="943" priority="45"/>
  </conditionalFormatting>
  <conditionalFormatting sqref="E3">
    <cfRule type="duplicateValues" dxfId="942" priority="43"/>
    <cfRule type="duplicateValues" dxfId="941" priority="44"/>
  </conditionalFormatting>
  <conditionalFormatting sqref="E3">
    <cfRule type="duplicateValues" dxfId="940" priority="42"/>
  </conditionalFormatting>
  <conditionalFormatting sqref="E3">
    <cfRule type="duplicateValues" dxfId="939" priority="38"/>
    <cfRule type="duplicateValues" dxfId="938" priority="39"/>
    <cfRule type="duplicateValues" dxfId="937" priority="40"/>
    <cfRule type="duplicateValues" dxfId="936" priority="41"/>
  </conditionalFormatting>
  <conditionalFormatting sqref="E3">
    <cfRule type="duplicateValues" dxfId="935" priority="37"/>
  </conditionalFormatting>
  <conditionalFormatting sqref="E3">
    <cfRule type="duplicateValues" dxfId="934" priority="32"/>
    <cfRule type="duplicateValues" dxfId="933" priority="33"/>
    <cfRule type="duplicateValues" dxfId="932" priority="34"/>
    <cfRule type="duplicateValues" dxfId="931" priority="35"/>
    <cfRule type="duplicateValues" dxfId="930" priority="36"/>
  </conditionalFormatting>
  <conditionalFormatting sqref="E3">
    <cfRule type="duplicateValues" dxfId="929" priority="31"/>
  </conditionalFormatting>
  <conditionalFormatting sqref="E3">
    <cfRule type="duplicateValues" dxfId="928" priority="30"/>
  </conditionalFormatting>
  <conditionalFormatting sqref="E3">
    <cfRule type="duplicateValues" dxfId="927" priority="28"/>
    <cfRule type="duplicateValues" dxfId="926" priority="29"/>
  </conditionalFormatting>
  <conditionalFormatting sqref="E3">
    <cfRule type="duplicateValues" dxfId="925" priority="23"/>
    <cfRule type="duplicateValues" dxfId="924" priority="24"/>
    <cfRule type="duplicateValues" dxfId="923" priority="25"/>
    <cfRule type="duplicateValues" dxfId="922" priority="26"/>
    <cfRule type="duplicateValues" dxfId="921" priority="27"/>
  </conditionalFormatting>
  <conditionalFormatting sqref="E3">
    <cfRule type="duplicateValues" dxfId="920" priority="22"/>
  </conditionalFormatting>
  <conditionalFormatting sqref="E3">
    <cfRule type="duplicateValues" dxfId="919" priority="21"/>
  </conditionalFormatting>
  <conditionalFormatting sqref="E3">
    <cfRule type="duplicateValues" dxfId="918" priority="19"/>
    <cfRule type="duplicateValues" dxfId="917" priority="20"/>
  </conditionalFormatting>
  <conditionalFormatting sqref="E3">
    <cfRule type="duplicateValues" dxfId="916" priority="15"/>
    <cfRule type="duplicateValues" dxfId="915" priority="16"/>
    <cfRule type="duplicateValues" dxfId="914" priority="17"/>
    <cfRule type="duplicateValues" dxfId="913" priority="18"/>
  </conditionalFormatting>
  <conditionalFormatting sqref="E3">
    <cfRule type="duplicateValues" dxfId="912" priority="14"/>
  </conditionalFormatting>
  <conditionalFormatting sqref="E3">
    <cfRule type="duplicateValues" dxfId="911" priority="9"/>
    <cfRule type="duplicateValues" dxfId="910" priority="10"/>
    <cfRule type="duplicateValues" dxfId="909" priority="11"/>
    <cfRule type="duplicateValues" dxfId="908" priority="12"/>
    <cfRule type="duplicateValues" dxfId="907" priority="13"/>
  </conditionalFormatting>
  <conditionalFormatting sqref="E3">
    <cfRule type="duplicateValues" dxfId="906" priority="8"/>
  </conditionalFormatting>
  <conditionalFormatting sqref="E3">
    <cfRule type="duplicateValues" dxfId="905" priority="7"/>
  </conditionalFormatting>
  <conditionalFormatting sqref="E3">
    <cfRule type="duplicateValues" dxfId="904" priority="6"/>
  </conditionalFormatting>
  <conditionalFormatting sqref="E3">
    <cfRule type="duplicateValues" dxfId="903" priority="4"/>
    <cfRule type="duplicateValues" dxfId="902" priority="5"/>
  </conditionalFormatting>
  <conditionalFormatting sqref="E3">
    <cfRule type="duplicateValues" dxfId="901" priority="3"/>
  </conditionalFormatting>
  <conditionalFormatting sqref="B3">
    <cfRule type="duplicateValues" dxfId="900" priority="2"/>
  </conditionalFormatting>
  <conditionalFormatting sqref="B3">
    <cfRule type="duplicateValues" dxfId="899" priority="1"/>
  </conditionalFormatting>
  <pageMargins left="0.2" right="0.2" top="0.75" bottom="0.75" header="0.3" footer="0.3"/>
  <pageSetup paperSize="9" scale="4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O29"/>
  <sheetViews>
    <sheetView showGridLines="0" zoomScale="96" zoomScaleNormal="96" workbookViewId="0">
      <pane xSplit="12" ySplit="3" topLeftCell="R4" activePane="bottomRight" state="frozen"/>
      <selection pane="topRight" activeCell="M1" sqref="M1"/>
      <selection pane="bottomLeft" activeCell="A4" sqref="A4"/>
      <selection pane="bottomRight" activeCell="R8" sqref="R8"/>
    </sheetView>
  </sheetViews>
  <sheetFormatPr defaultRowHeight="24" customHeight="1"/>
  <cols>
    <col min="1" max="1" width="4.140625" bestFit="1" customWidth="1"/>
    <col min="3" max="3" width="9.140625" hidden="1" customWidth="1"/>
    <col min="4" max="4" width="9.42578125" hidden="1" customWidth="1"/>
    <col min="5" max="5" width="8" customWidth="1"/>
    <col min="6" max="6" width="11.85546875" customWidth="1"/>
    <col min="7" max="7" width="7.7109375" customWidth="1"/>
    <col min="8" max="8" width="13.42578125" customWidth="1"/>
    <col min="9" max="9" width="12.85546875" customWidth="1"/>
    <col min="10" max="10" width="11" hidden="1" customWidth="1"/>
    <col min="11" max="11" width="9.7109375" customWidth="1"/>
    <col min="12" max="12" width="8.7109375" customWidth="1"/>
    <col min="16" max="16" width="8.7109375" customWidth="1"/>
    <col min="20" max="20" width="11.85546875" customWidth="1"/>
    <col min="21" max="23" width="0" hidden="1" customWidth="1"/>
    <col min="24" max="24" width="11.140625" hidden="1" customWidth="1"/>
    <col min="25" max="25" width="9.7109375" hidden="1" customWidth="1"/>
    <col min="33" max="33" width="11.42578125" customWidth="1"/>
    <col min="34" max="41" width="0" hidden="1" customWidth="1"/>
  </cols>
  <sheetData>
    <row r="1" spans="1:41" ht="24" customHeight="1">
      <c r="A1" s="541" t="s">
        <v>60</v>
      </c>
      <c r="B1" s="542" t="s">
        <v>68</v>
      </c>
      <c r="C1" s="573" t="s">
        <v>128</v>
      </c>
      <c r="D1" s="546" t="s">
        <v>129</v>
      </c>
      <c r="E1" s="573" t="s">
        <v>61</v>
      </c>
      <c r="F1" s="546" t="s">
        <v>62</v>
      </c>
      <c r="G1" s="544" t="s">
        <v>130</v>
      </c>
      <c r="H1" s="545" t="s">
        <v>63</v>
      </c>
      <c r="I1" s="546" t="s">
        <v>64</v>
      </c>
      <c r="J1" s="546" t="s">
        <v>6160</v>
      </c>
      <c r="K1" s="546" t="s">
        <v>65</v>
      </c>
      <c r="L1" s="574" t="s">
        <v>66</v>
      </c>
      <c r="M1" s="724" t="s">
        <v>6022</v>
      </c>
      <c r="N1" s="725"/>
      <c r="O1" s="725"/>
      <c r="P1" s="725"/>
      <c r="Q1" s="725"/>
      <c r="R1" s="725"/>
      <c r="S1" s="725"/>
      <c r="T1" s="726"/>
      <c r="U1" s="339" t="s">
        <v>6145</v>
      </c>
      <c r="V1" s="340" t="s">
        <v>6146</v>
      </c>
      <c r="W1" s="340" t="s">
        <v>6147</v>
      </c>
      <c r="X1" s="341" t="s">
        <v>6321</v>
      </c>
      <c r="Y1" s="470" t="s">
        <v>6148</v>
      </c>
      <c r="Z1" s="718" t="s">
        <v>6322</v>
      </c>
      <c r="AA1" s="719"/>
      <c r="AB1" s="719"/>
      <c r="AC1" s="719"/>
      <c r="AD1" s="719"/>
      <c r="AE1" s="719"/>
      <c r="AF1" s="719"/>
      <c r="AG1" s="720"/>
    </row>
    <row r="2" spans="1:41" ht="24" customHeight="1">
      <c r="A2" s="547" t="s">
        <v>67</v>
      </c>
      <c r="B2" s="483" t="s">
        <v>68</v>
      </c>
      <c r="C2" s="351" t="s">
        <v>150</v>
      </c>
      <c r="D2" s="352" t="s">
        <v>69</v>
      </c>
      <c r="E2" s="351" t="s">
        <v>70</v>
      </c>
      <c r="F2" s="352" t="s">
        <v>69</v>
      </c>
      <c r="G2" s="53" t="s">
        <v>151</v>
      </c>
      <c r="H2" s="33" t="s">
        <v>71</v>
      </c>
      <c r="I2" s="352" t="s">
        <v>1</v>
      </c>
      <c r="J2" s="352" t="s">
        <v>72</v>
      </c>
      <c r="K2" s="352" t="s">
        <v>6315</v>
      </c>
      <c r="L2" s="575" t="s">
        <v>0</v>
      </c>
      <c r="M2" s="569" t="s">
        <v>73</v>
      </c>
      <c r="N2" s="59" t="s">
        <v>2</v>
      </c>
      <c r="O2" s="59" t="s">
        <v>3</v>
      </c>
      <c r="P2" s="59" t="s">
        <v>0</v>
      </c>
      <c r="Q2" s="59" t="s">
        <v>4</v>
      </c>
      <c r="R2" s="298" t="s">
        <v>74</v>
      </c>
      <c r="S2" s="59" t="s">
        <v>75</v>
      </c>
      <c r="T2" s="548" t="s">
        <v>76</v>
      </c>
      <c r="U2" s="359" t="s">
        <v>6149</v>
      </c>
      <c r="V2" s="360" t="s">
        <v>6150</v>
      </c>
      <c r="W2" s="360" t="s">
        <v>6151</v>
      </c>
      <c r="X2" s="361" t="s">
        <v>6563</v>
      </c>
      <c r="Y2" s="561" t="s">
        <v>6153</v>
      </c>
      <c r="Z2" s="563" t="s">
        <v>73</v>
      </c>
      <c r="AA2" s="363" t="s">
        <v>2</v>
      </c>
      <c r="AB2" s="363" t="s">
        <v>3</v>
      </c>
      <c r="AC2" s="363" t="s">
        <v>0</v>
      </c>
      <c r="AD2" s="363" t="s">
        <v>4</v>
      </c>
      <c r="AE2" s="364" t="s">
        <v>74</v>
      </c>
      <c r="AF2" s="363" t="s">
        <v>75</v>
      </c>
      <c r="AG2" s="564" t="s">
        <v>76</v>
      </c>
    </row>
    <row r="3" spans="1:41" ht="24" customHeight="1" thickBot="1">
      <c r="A3" s="576" t="s">
        <v>6584</v>
      </c>
      <c r="B3" s="35" t="s">
        <v>6580</v>
      </c>
      <c r="C3" s="577"/>
      <c r="D3" s="578"/>
      <c r="E3" s="721" t="s">
        <v>117</v>
      </c>
      <c r="F3" s="722"/>
      <c r="G3" s="579" t="s">
        <v>6581</v>
      </c>
      <c r="H3" s="580" t="s">
        <v>6582</v>
      </c>
      <c r="I3" s="36" t="s">
        <v>123</v>
      </c>
      <c r="J3" s="581" t="s">
        <v>6109</v>
      </c>
      <c r="K3" s="582" t="s">
        <v>6583</v>
      </c>
      <c r="L3" s="345" t="s">
        <v>124</v>
      </c>
      <c r="M3" s="37" t="s">
        <v>118</v>
      </c>
      <c r="N3" s="38" t="s">
        <v>119</v>
      </c>
      <c r="O3" s="38" t="s">
        <v>120</v>
      </c>
      <c r="P3" s="38" t="s">
        <v>121</v>
      </c>
      <c r="Q3" s="38" t="s">
        <v>6155</v>
      </c>
      <c r="R3" s="39" t="s">
        <v>6156</v>
      </c>
      <c r="S3" s="38" t="s">
        <v>122</v>
      </c>
      <c r="T3" s="41" t="s">
        <v>6157</v>
      </c>
      <c r="U3" s="343" t="s">
        <v>6149</v>
      </c>
      <c r="V3" s="36" t="s">
        <v>6150</v>
      </c>
      <c r="W3" s="36" t="s">
        <v>6151</v>
      </c>
      <c r="X3" s="344" t="s">
        <v>6563</v>
      </c>
      <c r="Y3" s="40" t="s">
        <v>6153</v>
      </c>
      <c r="Z3" s="37" t="s">
        <v>118</v>
      </c>
      <c r="AA3" s="38" t="s">
        <v>119</v>
      </c>
      <c r="AB3" s="38" t="s">
        <v>120</v>
      </c>
      <c r="AC3" s="38" t="s">
        <v>121</v>
      </c>
      <c r="AD3" s="38" t="s">
        <v>6155</v>
      </c>
      <c r="AE3" s="39" t="s">
        <v>6156</v>
      </c>
      <c r="AF3" s="38" t="s">
        <v>122</v>
      </c>
      <c r="AG3" s="41" t="s">
        <v>6462</v>
      </c>
    </row>
    <row r="4" spans="1:41" ht="24" customHeight="1">
      <c r="A4" s="549">
        <f>1</f>
        <v>1</v>
      </c>
      <c r="B4" s="8">
        <v>648</v>
      </c>
      <c r="C4" s="484" t="str">
        <f>VLOOKUP(B4,All!$B$4:$S$8977,2,FALSE)</f>
        <v>ម៉េង</v>
      </c>
      <c r="D4" s="482" t="str">
        <f>VLOOKUP(B4,All!$B$4:$S$89977,3,FALSE)</f>
        <v>រដ្ឋា</v>
      </c>
      <c r="E4" s="484" t="str">
        <f>VLOOKUP(B4,All!$B$4:$S$8977,4,FALSE)</f>
        <v>MENG</v>
      </c>
      <c r="F4" s="482" t="str">
        <f>VLOOKUP(B4,All!$B$4:$S$8977,5,FALSE)</f>
        <v>RATHA</v>
      </c>
      <c r="G4" s="482" t="str">
        <f>VLOOKUP(B4,All!$B$4:$S$8977,6,FALSE)</f>
        <v>M</v>
      </c>
      <c r="H4" s="486">
        <f>VLOOKUP(B4,All!$B$4:$S$8977,7,FALSE)</f>
        <v>34481</v>
      </c>
      <c r="I4" s="481">
        <f>VLOOKUP(B4,All!$B$4:$S$8977,8,FALSE)</f>
        <v>41869</v>
      </c>
      <c r="J4" s="481" t="str">
        <f>VLOOKUP(B4,All!$B$4:$S$8977,9,FALSE)</f>
        <v>Production</v>
      </c>
      <c r="K4" s="481" t="str">
        <f>VLOOKUP(B4,All!$B$4:$S$8977,10,FALSE)</f>
        <v xml:space="preserve">Cutting  </v>
      </c>
      <c r="L4" s="607" t="str">
        <f>VLOOKUP(B4,All!$B$4:$S$8977,11,FALSE)</f>
        <v>Cutter</v>
      </c>
      <c r="M4" s="570">
        <f>VLOOKUP(B4,All!$B$4:$S$8977,12,FALSE)</f>
        <v>192</v>
      </c>
      <c r="N4" s="18">
        <f>VLOOKUP(B4,All!$B$4:$S$8977,13,FALSE)</f>
        <v>8</v>
      </c>
      <c r="O4" s="18">
        <f>VLOOKUP(B4,All!$B$4:$S$8977,14,FALSE)</f>
        <v>20</v>
      </c>
      <c r="P4" s="18">
        <f>VLOOKUP(B4,All!$B$4:$S$8977,15,FALSE)</f>
        <v>15</v>
      </c>
      <c r="Q4" s="18">
        <f>VLOOKUP(B4,All!$B$4:$S$8977,16,FALSE)</f>
        <v>5</v>
      </c>
      <c r="R4" s="159">
        <v>7</v>
      </c>
      <c r="S4" s="159">
        <v>10</v>
      </c>
      <c r="T4" s="550">
        <f t="shared" ref="T4:T21" si="0">SUM(M4:S4)</f>
        <v>257</v>
      </c>
      <c r="U4" s="568"/>
      <c r="V4" s="3"/>
      <c r="W4" s="3"/>
      <c r="X4" s="3"/>
      <c r="Y4" s="562"/>
      <c r="Z4" s="565">
        <f>M4+AH4</f>
        <v>194</v>
      </c>
      <c r="AA4" s="20">
        <f t="shared" ref="AA4:AF21" si="1">N4</f>
        <v>8</v>
      </c>
      <c r="AB4" s="20">
        <f t="shared" si="1"/>
        <v>20</v>
      </c>
      <c r="AC4" s="20">
        <f t="shared" si="1"/>
        <v>15</v>
      </c>
      <c r="AD4" s="20">
        <f t="shared" si="1"/>
        <v>5</v>
      </c>
      <c r="AE4" s="20">
        <f t="shared" si="1"/>
        <v>7</v>
      </c>
      <c r="AF4" s="20">
        <f t="shared" si="1"/>
        <v>10</v>
      </c>
      <c r="AG4" s="550">
        <f t="shared" ref="AG4:AG21" si="2">SUM(Z4:AF4)</f>
        <v>259</v>
      </c>
      <c r="AH4" s="42">
        <v>2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2</v>
      </c>
    </row>
    <row r="5" spans="1:41" ht="24" customHeight="1">
      <c r="A5" s="549">
        <f>1+A4</f>
        <v>2</v>
      </c>
      <c r="B5" s="8">
        <v>1593</v>
      </c>
      <c r="C5" s="484" t="str">
        <f>VLOOKUP(B5,All!$B$4:$S$8977,2,FALSE)</f>
        <v>ប៊ុន</v>
      </c>
      <c r="D5" s="482" t="str">
        <f>VLOOKUP(B5,All!$B$4:$S$89977,3,FALSE)</f>
        <v>ស្រីឃីម</v>
      </c>
      <c r="E5" s="484" t="str">
        <f>VLOOKUP(B5,All!$B$4:$S$8977,4,FALSE)</f>
        <v>BUN</v>
      </c>
      <c r="F5" s="482" t="str">
        <f>VLOOKUP(B5,All!$B$4:$S$8977,5,FALSE)</f>
        <v>SREI  KHIM</v>
      </c>
      <c r="G5" s="482" t="str">
        <f>VLOOKUP(B5,All!$B$4:$S$8977,6,FALSE)</f>
        <v>F</v>
      </c>
      <c r="H5" s="486">
        <f>VLOOKUP(B5,All!$B$4:$S$8977,7,FALSE)</f>
        <v>28495</v>
      </c>
      <c r="I5" s="481">
        <f>VLOOKUP(B5,All!$B$4:$S$8977,8,FALSE)</f>
        <v>42597</v>
      </c>
      <c r="J5" s="481" t="str">
        <f>VLOOKUP(B5,All!$B$4:$S$8977,9,FALSE)</f>
        <v>Production</v>
      </c>
      <c r="K5" s="481" t="str">
        <f>VLOOKUP(B5,All!$B$4:$S$8977,10,FALSE)</f>
        <v xml:space="preserve">Cutting  </v>
      </c>
      <c r="L5" s="607" t="str">
        <f>VLOOKUP(B5,All!$B$4:$S$8977,11,FALSE)</f>
        <v>Cutter</v>
      </c>
      <c r="M5" s="570">
        <f>VLOOKUP(B5,All!$B$4:$S$8977,12,FALSE)</f>
        <v>192</v>
      </c>
      <c r="N5" s="18">
        <f>VLOOKUP(B5,All!$B$4:$S$8977,13,FALSE)</f>
        <v>6</v>
      </c>
      <c r="O5" s="18">
        <f>VLOOKUP(B5,All!$B$4:$S$8977,14,FALSE)</f>
        <v>20</v>
      </c>
      <c r="P5" s="18">
        <f>VLOOKUP(B5,All!$B$4:$S$8977,15,FALSE)</f>
        <v>0</v>
      </c>
      <c r="Q5" s="18">
        <f>VLOOKUP(B5,All!$B$4:$S$8977,16,FALSE)</f>
        <v>0</v>
      </c>
      <c r="R5" s="159">
        <v>7</v>
      </c>
      <c r="S5" s="159">
        <v>10</v>
      </c>
      <c r="T5" s="550">
        <f t="shared" si="0"/>
        <v>235</v>
      </c>
      <c r="U5" s="568"/>
      <c r="V5" s="3"/>
      <c r="W5" s="3"/>
      <c r="X5" s="3"/>
      <c r="Y5" s="562"/>
      <c r="Z5" s="565">
        <f t="shared" ref="Z5:Z27" si="3">M5+AH5</f>
        <v>194</v>
      </c>
      <c r="AA5" s="20">
        <f t="shared" si="1"/>
        <v>6</v>
      </c>
      <c r="AB5" s="20">
        <f t="shared" si="1"/>
        <v>20</v>
      </c>
      <c r="AC5" s="20">
        <f t="shared" si="1"/>
        <v>0</v>
      </c>
      <c r="AD5" s="20">
        <f t="shared" si="1"/>
        <v>0</v>
      </c>
      <c r="AE5" s="20">
        <f t="shared" si="1"/>
        <v>7</v>
      </c>
      <c r="AF5" s="20">
        <f t="shared" si="1"/>
        <v>10</v>
      </c>
      <c r="AG5" s="550">
        <f t="shared" si="2"/>
        <v>237</v>
      </c>
      <c r="AH5" s="42">
        <v>2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2</v>
      </c>
    </row>
    <row r="6" spans="1:41" ht="24" customHeight="1">
      <c r="A6" s="549">
        <f t="shared" ref="A6:A27" si="4">1+A5</f>
        <v>3</v>
      </c>
      <c r="B6" s="8">
        <v>1610</v>
      </c>
      <c r="C6" s="484" t="str">
        <f>VLOOKUP(B6,All!$B$4:$S$8977,2,FALSE)</f>
        <v xml:space="preserve">យ៉ូន </v>
      </c>
      <c r="D6" s="482" t="str">
        <f>VLOOKUP(B6,All!$B$4:$S$89977,3,FALSE)</f>
        <v>សំអឿន</v>
      </c>
      <c r="E6" s="484" t="str">
        <f>VLOOKUP(B6,All!$B$4:$S$8977,4,FALSE)</f>
        <v>YAUN</v>
      </c>
      <c r="F6" s="482" t="str">
        <f>VLOOKUP(B6,All!$B$4:$S$8977,5,FALSE)</f>
        <v>SAMOEUN</v>
      </c>
      <c r="G6" s="482" t="str">
        <f>VLOOKUP(B6,All!$B$4:$S$8977,6,FALSE)</f>
        <v>F</v>
      </c>
      <c r="H6" s="486">
        <f>VLOOKUP(B6,All!$B$4:$S$8977,7,FALSE)</f>
        <v>29710</v>
      </c>
      <c r="I6" s="481">
        <f>VLOOKUP(B6,All!$B$4:$S$8977,8,FALSE)</f>
        <v>42618</v>
      </c>
      <c r="J6" s="481" t="str">
        <f>VLOOKUP(B6,All!$B$4:$S$8977,9,FALSE)</f>
        <v>Production</v>
      </c>
      <c r="K6" s="481" t="str">
        <f>VLOOKUP(B6,All!$B$4:$S$8977,10,FALSE)</f>
        <v xml:space="preserve">Cutting  </v>
      </c>
      <c r="L6" s="607" t="str">
        <f>VLOOKUP(B6,All!$B$4:$S$8977,11,FALSE)</f>
        <v>Cutter</v>
      </c>
      <c r="M6" s="570">
        <f>VLOOKUP(B6,All!$B$4:$S$8977,12,FALSE)</f>
        <v>192</v>
      </c>
      <c r="N6" s="18">
        <f>VLOOKUP(B6,All!$B$4:$S$8977,13,FALSE)</f>
        <v>6</v>
      </c>
      <c r="O6" s="18">
        <f>VLOOKUP(B6,All!$B$4:$S$8977,14,FALSE)</f>
        <v>20</v>
      </c>
      <c r="P6" s="18">
        <f>VLOOKUP(B6,All!$B$4:$S$8977,15,FALSE)</f>
        <v>0</v>
      </c>
      <c r="Q6" s="18">
        <f>VLOOKUP(B6,All!$B$4:$S$8977,16,FALSE)</f>
        <v>0</v>
      </c>
      <c r="R6" s="159">
        <v>7</v>
      </c>
      <c r="S6" s="159">
        <v>10</v>
      </c>
      <c r="T6" s="550">
        <f t="shared" si="0"/>
        <v>235</v>
      </c>
      <c r="U6" s="568"/>
      <c r="V6" s="3"/>
      <c r="W6" s="3"/>
      <c r="X6" s="3"/>
      <c r="Y6" s="562"/>
      <c r="Z6" s="565">
        <f t="shared" si="3"/>
        <v>194</v>
      </c>
      <c r="AA6" s="20">
        <f t="shared" si="1"/>
        <v>6</v>
      </c>
      <c r="AB6" s="20">
        <f t="shared" si="1"/>
        <v>20</v>
      </c>
      <c r="AC6" s="20">
        <f t="shared" si="1"/>
        <v>0</v>
      </c>
      <c r="AD6" s="20">
        <f t="shared" si="1"/>
        <v>0</v>
      </c>
      <c r="AE6" s="20">
        <f t="shared" si="1"/>
        <v>7</v>
      </c>
      <c r="AF6" s="20">
        <f t="shared" si="1"/>
        <v>10</v>
      </c>
      <c r="AG6" s="550">
        <f t="shared" si="2"/>
        <v>237</v>
      </c>
      <c r="AH6" s="42">
        <v>2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2</v>
      </c>
    </row>
    <row r="7" spans="1:41" ht="24" customHeight="1">
      <c r="A7" s="549">
        <f t="shared" si="4"/>
        <v>4</v>
      </c>
      <c r="B7" s="8">
        <v>1700</v>
      </c>
      <c r="C7" s="484" t="str">
        <f>VLOOKUP(B7,All!$B$4:$S$8977,2,FALSE)</f>
        <v>សូយ</v>
      </c>
      <c r="D7" s="482" t="str">
        <f>VLOOKUP(B7,All!$B$4:$S$89977,3,FALSE)</f>
        <v>វ៉ាន់ឌី</v>
      </c>
      <c r="E7" s="484" t="str">
        <f>VLOOKUP(B7,All!$B$4:$S$8977,4,FALSE)</f>
        <v>SOUY</v>
      </c>
      <c r="F7" s="482" t="str">
        <f>VLOOKUP(B7,All!$B$4:$S$8977,5,FALSE)</f>
        <v>VANDY</v>
      </c>
      <c r="G7" s="482" t="str">
        <f>VLOOKUP(B7,All!$B$4:$S$8977,6,FALSE)</f>
        <v>M</v>
      </c>
      <c r="H7" s="486">
        <f>VLOOKUP(B7,All!$B$4:$S$8977,7,FALSE)</f>
        <v>31093</v>
      </c>
      <c r="I7" s="481">
        <f>VLOOKUP(B7,All!$B$4:$S$8977,8,FALSE)</f>
        <v>42661</v>
      </c>
      <c r="J7" s="481" t="str">
        <f>VLOOKUP(B7,All!$B$4:$S$8977,9,FALSE)</f>
        <v>Production</v>
      </c>
      <c r="K7" s="481" t="str">
        <f>VLOOKUP(B7,All!$B$4:$S$8977,10,FALSE)</f>
        <v xml:space="preserve">Cutting  </v>
      </c>
      <c r="L7" s="607" t="str">
        <f>VLOOKUP(B7,All!$B$4:$S$8977,11,FALSE)</f>
        <v>Cutter</v>
      </c>
      <c r="M7" s="570">
        <f>VLOOKUP(B7,All!$B$4:$S$8977,12,FALSE)</f>
        <v>192</v>
      </c>
      <c r="N7" s="18">
        <f>VLOOKUP(B7,All!$B$4:$S$8977,13,FALSE)</f>
        <v>6</v>
      </c>
      <c r="O7" s="18">
        <f>VLOOKUP(B7,All!$B$4:$S$8977,14,FALSE)</f>
        <v>20</v>
      </c>
      <c r="P7" s="18">
        <f>VLOOKUP(B7,All!$B$4:$S$8977,15,FALSE)</f>
        <v>24</v>
      </c>
      <c r="Q7" s="18">
        <f>VLOOKUP(B7,All!$B$4:$S$8977,16,FALSE)</f>
        <v>0</v>
      </c>
      <c r="R7" s="159">
        <v>7</v>
      </c>
      <c r="S7" s="159">
        <v>10</v>
      </c>
      <c r="T7" s="550">
        <f t="shared" si="0"/>
        <v>259</v>
      </c>
      <c r="U7" s="568"/>
      <c r="V7" s="3"/>
      <c r="W7" s="3"/>
      <c r="X7" s="3"/>
      <c r="Y7" s="562"/>
      <c r="Z7" s="565">
        <f t="shared" si="3"/>
        <v>194</v>
      </c>
      <c r="AA7" s="20">
        <f t="shared" si="1"/>
        <v>6</v>
      </c>
      <c r="AB7" s="20">
        <f t="shared" si="1"/>
        <v>20</v>
      </c>
      <c r="AC7" s="20">
        <f t="shared" si="1"/>
        <v>24</v>
      </c>
      <c r="AD7" s="20">
        <f t="shared" si="1"/>
        <v>0</v>
      </c>
      <c r="AE7" s="20">
        <f t="shared" si="1"/>
        <v>7</v>
      </c>
      <c r="AF7" s="20">
        <f t="shared" si="1"/>
        <v>10</v>
      </c>
      <c r="AG7" s="550">
        <f t="shared" si="2"/>
        <v>261</v>
      </c>
      <c r="AH7" s="42">
        <v>2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2</v>
      </c>
    </row>
    <row r="8" spans="1:41" s="583" customFormat="1" ht="24" customHeight="1">
      <c r="A8" s="669">
        <f t="shared" si="4"/>
        <v>5</v>
      </c>
      <c r="B8" s="670">
        <v>1831</v>
      </c>
      <c r="C8" s="671" t="str">
        <f>VLOOKUP(B8,All!$B$4:$S$8977,2,FALSE)</f>
        <v>គឹម</v>
      </c>
      <c r="D8" s="672" t="str">
        <f>VLOOKUP(B8,All!$B$4:$S$89977,3,FALSE)</f>
        <v>យឿង</v>
      </c>
      <c r="E8" s="671" t="str">
        <f>VLOOKUP(B8,All!$B$4:$S$8977,4,FALSE)</f>
        <v>KIM</v>
      </c>
      <c r="F8" s="672" t="str">
        <f>VLOOKUP(B8,All!$B$4:$S$8977,5,FALSE)</f>
        <v>YOEUNG</v>
      </c>
      <c r="G8" s="672" t="str">
        <f>VLOOKUP(B8,All!$B$4:$S$8977,6,FALSE)</f>
        <v>F</v>
      </c>
      <c r="H8" s="673">
        <f>VLOOKUP(B8,All!$B$4:$S$8977,7,FALSE)</f>
        <v>29637</v>
      </c>
      <c r="I8" s="674">
        <f>VLOOKUP(B8,All!$B$4:$S$8977,8,FALSE)</f>
        <v>42768</v>
      </c>
      <c r="J8" s="674" t="str">
        <f>VLOOKUP(B8,All!$B$4:$S$8977,9,FALSE)</f>
        <v>Production</v>
      </c>
      <c r="K8" s="674" t="str">
        <f>VLOOKUP(B8,All!$B$4:$S$8977,10,FALSE)</f>
        <v xml:space="preserve">Cutting  </v>
      </c>
      <c r="L8" s="675" t="str">
        <f>VLOOKUP(B8,All!$B$4:$S$8977,11,FALSE)</f>
        <v>Assist. Cutting</v>
      </c>
      <c r="M8" s="676"/>
      <c r="N8" s="677"/>
      <c r="O8" s="677"/>
      <c r="P8" s="677"/>
      <c r="Q8" s="677"/>
      <c r="R8" s="677"/>
      <c r="S8" s="677"/>
      <c r="T8" s="678"/>
      <c r="U8" s="679"/>
      <c r="V8" s="680"/>
      <c r="W8" s="680"/>
      <c r="X8" s="680"/>
      <c r="Y8" s="681"/>
      <c r="Z8" s="676"/>
      <c r="AA8" s="677"/>
      <c r="AB8" s="677"/>
      <c r="AC8" s="677"/>
      <c r="AD8" s="677"/>
      <c r="AE8" s="677"/>
      <c r="AF8" s="677"/>
      <c r="AG8" s="678"/>
      <c r="AH8" s="682">
        <v>2</v>
      </c>
      <c r="AI8" s="682">
        <v>0</v>
      </c>
      <c r="AJ8" s="682">
        <v>0</v>
      </c>
      <c r="AK8" s="682">
        <v>0</v>
      </c>
      <c r="AL8" s="682">
        <v>0</v>
      </c>
      <c r="AM8" s="682">
        <v>0</v>
      </c>
      <c r="AN8" s="682">
        <v>0</v>
      </c>
      <c r="AO8" s="682">
        <v>2</v>
      </c>
    </row>
    <row r="9" spans="1:41" ht="24" customHeight="1">
      <c r="A9" s="549">
        <f t="shared" si="4"/>
        <v>6</v>
      </c>
      <c r="B9" s="8">
        <v>1886</v>
      </c>
      <c r="C9" s="484" t="str">
        <f>VLOOKUP(B9,All!$B$4:$S$8977,2,FALSE)</f>
        <v>នាង</v>
      </c>
      <c r="D9" s="482" t="str">
        <f>VLOOKUP(B9,All!$B$4:$S$89977,3,FALSE)</f>
        <v>ពោច</v>
      </c>
      <c r="E9" s="484" t="str">
        <f>VLOOKUP(B9,All!$B$4:$S$8977,4,FALSE)</f>
        <v>NEANG</v>
      </c>
      <c r="F9" s="482" t="str">
        <f>VLOOKUP(B9,All!$B$4:$S$8977,5,FALSE)</f>
        <v>POCH</v>
      </c>
      <c r="G9" s="482" t="str">
        <f>VLOOKUP(B9,All!$B$4:$S$8977,6,FALSE)</f>
        <v>M</v>
      </c>
      <c r="H9" s="486">
        <f>VLOOKUP(B9,All!$B$4:$S$8977,7,FALSE)</f>
        <v>32759</v>
      </c>
      <c r="I9" s="481">
        <f>VLOOKUP(B9,All!$B$4:$S$8977,8,FALSE)</f>
        <v>42811</v>
      </c>
      <c r="J9" s="481" t="str">
        <f>VLOOKUP(B9,All!$B$4:$S$8977,9,FALSE)</f>
        <v>Production</v>
      </c>
      <c r="K9" s="481" t="str">
        <f>VLOOKUP(B9,All!$B$4:$S$8977,10,FALSE)</f>
        <v xml:space="preserve">Cutting  </v>
      </c>
      <c r="L9" s="607" t="str">
        <f>VLOOKUP(B9,All!$B$4:$S$8977,11,FALSE)</f>
        <v>Cutter</v>
      </c>
      <c r="M9" s="570">
        <f>VLOOKUP(B9,All!$B$4:$S$8977,12,FALSE)</f>
        <v>192</v>
      </c>
      <c r="N9" s="18">
        <f>VLOOKUP(B9,All!$B$4:$S$8977,13,FALSE)</f>
        <v>5</v>
      </c>
      <c r="O9" s="18">
        <f>VLOOKUP(B9,All!$B$4:$S$8977,14,FALSE)</f>
        <v>20</v>
      </c>
      <c r="P9" s="18">
        <f>VLOOKUP(B9,All!$B$4:$S$8977,15,FALSE)</f>
        <v>15</v>
      </c>
      <c r="Q9" s="18">
        <f>VLOOKUP(B9,All!$B$4:$S$8977,16,FALSE)</f>
        <v>0</v>
      </c>
      <c r="R9" s="159">
        <v>7</v>
      </c>
      <c r="S9" s="159">
        <v>10</v>
      </c>
      <c r="T9" s="550">
        <f t="shared" si="0"/>
        <v>249</v>
      </c>
      <c r="U9" s="568"/>
      <c r="V9" s="3"/>
      <c r="W9" s="3"/>
      <c r="X9" s="3"/>
      <c r="Y9" s="562"/>
      <c r="Z9" s="565">
        <f t="shared" si="3"/>
        <v>194</v>
      </c>
      <c r="AA9" s="20">
        <f t="shared" si="1"/>
        <v>5</v>
      </c>
      <c r="AB9" s="20">
        <f t="shared" si="1"/>
        <v>20</v>
      </c>
      <c r="AC9" s="20">
        <f t="shared" si="1"/>
        <v>15</v>
      </c>
      <c r="AD9" s="20">
        <f t="shared" si="1"/>
        <v>0</v>
      </c>
      <c r="AE9" s="20">
        <f t="shared" si="1"/>
        <v>7</v>
      </c>
      <c r="AF9" s="20">
        <f t="shared" si="1"/>
        <v>10</v>
      </c>
      <c r="AG9" s="550">
        <f t="shared" si="2"/>
        <v>251</v>
      </c>
      <c r="AH9" s="42">
        <v>2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2</v>
      </c>
    </row>
    <row r="10" spans="1:41" ht="24" customHeight="1">
      <c r="A10" s="549">
        <f t="shared" si="4"/>
        <v>7</v>
      </c>
      <c r="B10" s="8">
        <v>2305</v>
      </c>
      <c r="C10" s="484" t="str">
        <f>VLOOKUP(B10,All!$B$4:$S$8977,2,FALSE)</f>
        <v>លាម</v>
      </c>
      <c r="D10" s="482" t="str">
        <f>VLOOKUP(B10,All!$B$4:$S$89977,3,FALSE)</f>
        <v>វី</v>
      </c>
      <c r="E10" s="484" t="str">
        <f>VLOOKUP(B10,All!$B$4:$S$8977,4,FALSE)</f>
        <v>LEAM</v>
      </c>
      <c r="F10" s="482" t="str">
        <f>VLOOKUP(B10,All!$B$4:$S$8977,5,FALSE)</f>
        <v>VY</v>
      </c>
      <c r="G10" s="482" t="str">
        <f>VLOOKUP(B10,All!$B$4:$S$8977,6,FALSE)</f>
        <v>M</v>
      </c>
      <c r="H10" s="486">
        <f>VLOOKUP(B10,All!$B$4:$S$8977,7,FALSE)</f>
        <v>25691</v>
      </c>
      <c r="I10" s="481">
        <f>VLOOKUP(B10,All!$B$4:$S$8977,8,FALSE)</f>
        <v>43022</v>
      </c>
      <c r="J10" s="481" t="str">
        <f>VLOOKUP(B10,All!$B$4:$S$8977,9,FALSE)</f>
        <v>Production</v>
      </c>
      <c r="K10" s="481" t="str">
        <f>VLOOKUP(B10,All!$B$4:$S$8977,10,FALSE)</f>
        <v xml:space="preserve">Cutting  </v>
      </c>
      <c r="L10" s="607" t="str">
        <f>VLOOKUP(B10,All!$B$4:$S$8977,11,FALSE)</f>
        <v>spreader</v>
      </c>
      <c r="M10" s="570">
        <f>VLOOKUP(B10,All!$B$4:$S$8977,12,FALSE)</f>
        <v>192</v>
      </c>
      <c r="N10" s="18">
        <f>VLOOKUP(B10,All!$B$4:$S$8977,13,FALSE)</f>
        <v>5</v>
      </c>
      <c r="O10" s="18">
        <f>VLOOKUP(B10,All!$B$4:$S$8977,14,FALSE)</f>
        <v>20</v>
      </c>
      <c r="P10" s="18">
        <f>VLOOKUP(B10,All!$B$4:$S$8977,15,FALSE)</f>
        <v>23</v>
      </c>
      <c r="Q10" s="18">
        <f>VLOOKUP(B10,All!$B$4:$S$8977,16,FALSE)</f>
        <v>0</v>
      </c>
      <c r="R10" s="159">
        <v>7</v>
      </c>
      <c r="S10" s="159">
        <v>10</v>
      </c>
      <c r="T10" s="550">
        <f t="shared" si="0"/>
        <v>257</v>
      </c>
      <c r="U10" s="568"/>
      <c r="V10" s="3"/>
      <c r="W10" s="3"/>
      <c r="X10" s="3"/>
      <c r="Y10" s="562"/>
      <c r="Z10" s="565">
        <f t="shared" si="3"/>
        <v>194</v>
      </c>
      <c r="AA10" s="20">
        <f t="shared" si="1"/>
        <v>5</v>
      </c>
      <c r="AB10" s="20">
        <f t="shared" si="1"/>
        <v>20</v>
      </c>
      <c r="AC10" s="20">
        <f t="shared" si="1"/>
        <v>23</v>
      </c>
      <c r="AD10" s="20">
        <f t="shared" si="1"/>
        <v>0</v>
      </c>
      <c r="AE10" s="20">
        <f t="shared" si="1"/>
        <v>7</v>
      </c>
      <c r="AF10" s="20">
        <f t="shared" si="1"/>
        <v>10</v>
      </c>
      <c r="AG10" s="550">
        <f t="shared" si="2"/>
        <v>259</v>
      </c>
      <c r="AH10" s="42">
        <v>2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2</v>
      </c>
    </row>
    <row r="11" spans="1:41" ht="24" customHeight="1">
      <c r="A11" s="549">
        <f t="shared" si="4"/>
        <v>8</v>
      </c>
      <c r="B11" s="8">
        <v>2325</v>
      </c>
      <c r="C11" s="484" t="str">
        <f>VLOOKUP(B11,All!$B$4:$S$8977,2,FALSE)</f>
        <v>ស្រី</v>
      </c>
      <c r="D11" s="482" t="str">
        <f>VLOOKUP(B11,All!$B$4:$S$89977,3,FALSE)</f>
        <v>លាង</v>
      </c>
      <c r="E11" s="484" t="str">
        <f>VLOOKUP(B11,All!$B$4:$S$8977,4,FALSE)</f>
        <v>SRY</v>
      </c>
      <c r="F11" s="482" t="str">
        <f>VLOOKUP(B11,All!$B$4:$S$8977,5,FALSE)</f>
        <v>LEANG</v>
      </c>
      <c r="G11" s="482" t="str">
        <f>VLOOKUP(B11,All!$B$4:$S$8977,6,FALSE)</f>
        <v>M</v>
      </c>
      <c r="H11" s="486">
        <f>VLOOKUP(B11,All!$B$4:$S$8977,7,FALSE)</f>
        <v>33004</v>
      </c>
      <c r="I11" s="481">
        <f>VLOOKUP(B11,All!$B$4:$S$8977,8,FALSE)</f>
        <v>43050</v>
      </c>
      <c r="J11" s="481" t="str">
        <f>VLOOKUP(B11,All!$B$4:$S$8977,9,FALSE)</f>
        <v>Production</v>
      </c>
      <c r="K11" s="481" t="str">
        <f>VLOOKUP(B11,All!$B$4:$S$8977,10,FALSE)</f>
        <v xml:space="preserve">Cutting  </v>
      </c>
      <c r="L11" s="607" t="str">
        <f>VLOOKUP(B11,All!$B$4:$S$8977,11,FALSE)</f>
        <v>spreader</v>
      </c>
      <c r="M11" s="570">
        <f>VLOOKUP(B11,All!$B$4:$S$8977,12,FALSE)</f>
        <v>192</v>
      </c>
      <c r="N11" s="18">
        <f>VLOOKUP(B11,All!$B$4:$S$8977,13,FALSE)</f>
        <v>5</v>
      </c>
      <c r="O11" s="18">
        <f>VLOOKUP(B11,All!$B$4:$S$8977,14,FALSE)</f>
        <v>20</v>
      </c>
      <c r="P11" s="18">
        <f>VLOOKUP(B11,All!$B$4:$S$8977,15,FALSE)</f>
        <v>23</v>
      </c>
      <c r="Q11" s="18">
        <f>VLOOKUP(B11,All!$B$4:$S$8977,16,FALSE)</f>
        <v>0</v>
      </c>
      <c r="R11" s="159">
        <v>7</v>
      </c>
      <c r="S11" s="159">
        <v>10</v>
      </c>
      <c r="T11" s="550">
        <f t="shared" si="0"/>
        <v>257</v>
      </c>
      <c r="U11" s="568"/>
      <c r="V11" s="3"/>
      <c r="W11" s="3"/>
      <c r="X11" s="3"/>
      <c r="Y11" s="562"/>
      <c r="Z11" s="565">
        <f t="shared" si="3"/>
        <v>194</v>
      </c>
      <c r="AA11" s="20">
        <f t="shared" si="1"/>
        <v>5</v>
      </c>
      <c r="AB11" s="20">
        <f t="shared" si="1"/>
        <v>20</v>
      </c>
      <c r="AC11" s="20">
        <f t="shared" si="1"/>
        <v>23</v>
      </c>
      <c r="AD11" s="20">
        <f t="shared" si="1"/>
        <v>0</v>
      </c>
      <c r="AE11" s="20">
        <f t="shared" si="1"/>
        <v>7</v>
      </c>
      <c r="AF11" s="20">
        <f t="shared" si="1"/>
        <v>10</v>
      </c>
      <c r="AG11" s="550">
        <f t="shared" si="2"/>
        <v>259</v>
      </c>
      <c r="AH11" s="42">
        <v>2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2</v>
      </c>
    </row>
    <row r="12" spans="1:41" ht="24" customHeight="1">
      <c r="A12" s="549">
        <f t="shared" si="4"/>
        <v>9</v>
      </c>
      <c r="B12" s="8">
        <v>2444</v>
      </c>
      <c r="C12" s="484" t="str">
        <f>VLOOKUP(B12,All!$B$4:$S$8977,2,FALSE)</f>
        <v>ងី</v>
      </c>
      <c r="D12" s="482" t="str">
        <f>VLOOKUP(B12,All!$B$4:$S$89977,3,FALSE)</f>
        <v>ឡាឌី</v>
      </c>
      <c r="E12" s="484" t="str">
        <f>VLOOKUP(B12,All!$B$4:$S$8977,4,FALSE)</f>
        <v>Ngy</v>
      </c>
      <c r="F12" s="482" t="str">
        <f>VLOOKUP(B12,All!$B$4:$S$8977,5,FALSE)</f>
        <v>Lady</v>
      </c>
      <c r="G12" s="482" t="str">
        <f>VLOOKUP(B12,All!$B$4:$S$8977,6,FALSE)</f>
        <v>F</v>
      </c>
      <c r="H12" s="486">
        <f>VLOOKUP(B12,All!$B$4:$S$8977,7,FALSE)</f>
        <v>26613</v>
      </c>
      <c r="I12" s="481">
        <f>VLOOKUP(B12,All!$B$4:$S$8977,8,FALSE)</f>
        <v>43273</v>
      </c>
      <c r="J12" s="481" t="str">
        <f>VLOOKUP(B12,All!$B$4:$S$8977,9,FALSE)</f>
        <v>Production</v>
      </c>
      <c r="K12" s="481" t="str">
        <f>VLOOKUP(B12,All!$B$4:$S$8977,10,FALSE)</f>
        <v xml:space="preserve">Cutting  </v>
      </c>
      <c r="L12" s="607" t="str">
        <f>VLOOKUP(B12,All!$B$4:$S$8977,11,FALSE)</f>
        <v>spreader</v>
      </c>
      <c r="M12" s="570">
        <f>VLOOKUP(B12,All!$B$4:$S$8977,12,FALSE)</f>
        <v>192</v>
      </c>
      <c r="N12" s="18">
        <f>VLOOKUP(B12,All!$B$4:$S$8977,13,FALSE)</f>
        <v>4</v>
      </c>
      <c r="O12" s="18">
        <f>VLOOKUP(B12,All!$B$4:$S$8977,14,FALSE)</f>
        <v>20</v>
      </c>
      <c r="P12" s="18">
        <f>VLOOKUP(B12,All!$B$4:$S$8977,15,FALSE)</f>
        <v>0</v>
      </c>
      <c r="Q12" s="18">
        <f>VLOOKUP(B12,All!$B$4:$S$8977,16,FALSE)</f>
        <v>0</v>
      </c>
      <c r="R12" s="159">
        <v>7</v>
      </c>
      <c r="S12" s="159">
        <v>10</v>
      </c>
      <c r="T12" s="550">
        <f t="shared" si="0"/>
        <v>233</v>
      </c>
      <c r="U12" s="568"/>
      <c r="V12" s="3"/>
      <c r="W12" s="3"/>
      <c r="X12" s="3"/>
      <c r="Y12" s="562"/>
      <c r="Z12" s="565">
        <f t="shared" si="3"/>
        <v>194</v>
      </c>
      <c r="AA12" s="20">
        <f t="shared" si="1"/>
        <v>4</v>
      </c>
      <c r="AB12" s="20">
        <f t="shared" si="1"/>
        <v>20</v>
      </c>
      <c r="AC12" s="20">
        <f t="shared" si="1"/>
        <v>0</v>
      </c>
      <c r="AD12" s="20">
        <f t="shared" si="1"/>
        <v>0</v>
      </c>
      <c r="AE12" s="20">
        <f t="shared" si="1"/>
        <v>7</v>
      </c>
      <c r="AF12" s="20">
        <f t="shared" si="1"/>
        <v>10</v>
      </c>
      <c r="AG12" s="550">
        <f t="shared" si="2"/>
        <v>235</v>
      </c>
      <c r="AH12" s="42">
        <v>2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2</v>
      </c>
    </row>
    <row r="13" spans="1:41" ht="24" customHeight="1">
      <c r="A13" s="549">
        <f t="shared" si="4"/>
        <v>10</v>
      </c>
      <c r="B13" s="8">
        <v>2827</v>
      </c>
      <c r="C13" s="484" t="str">
        <f>VLOOKUP(B13,All!$B$4:$S$8977,2,FALSE)</f>
        <v>គុយ</v>
      </c>
      <c r="D13" s="482" t="str">
        <f>VLOOKUP(B13,All!$B$4:$S$89977,3,FALSE)</f>
        <v>ខ្លី</v>
      </c>
      <c r="E13" s="484" t="str">
        <f>VLOOKUP(B13,All!$B$4:$S$8977,4,FALSE)</f>
        <v>Kuy</v>
      </c>
      <c r="F13" s="482" t="str">
        <f>VLOOKUP(B13,All!$B$4:$S$8977,5,FALSE)</f>
        <v>Khley</v>
      </c>
      <c r="G13" s="482" t="str">
        <f>VLOOKUP(B13,All!$B$4:$S$8977,6,FALSE)</f>
        <v>F</v>
      </c>
      <c r="H13" s="486">
        <f>VLOOKUP(B13,All!$B$4:$S$8977,7,FALSE)</f>
        <v>31328</v>
      </c>
      <c r="I13" s="481">
        <f>VLOOKUP(B13,All!$B$4:$S$8977,8,FALSE)</f>
        <v>43577</v>
      </c>
      <c r="J13" s="481" t="str">
        <f>VLOOKUP(B13,All!$B$4:$S$8977,9,FALSE)</f>
        <v>Production</v>
      </c>
      <c r="K13" s="481" t="str">
        <f>VLOOKUP(B13,All!$B$4:$S$8977,10,FALSE)</f>
        <v xml:space="preserve">Cutting  </v>
      </c>
      <c r="L13" s="607" t="str">
        <f>VLOOKUP(B13,All!$B$4:$S$8977,11,FALSE)</f>
        <v>spreader</v>
      </c>
      <c r="M13" s="570">
        <f>VLOOKUP(B13,All!$B$4:$S$8977,12,FALSE)</f>
        <v>192</v>
      </c>
      <c r="N13" s="18">
        <f>VLOOKUP(B13,All!$B$4:$S$8977,13,FALSE)</f>
        <v>3</v>
      </c>
      <c r="O13" s="18">
        <f>VLOOKUP(B13,All!$B$4:$S$8977,14,FALSE)</f>
        <v>0</v>
      </c>
      <c r="P13" s="18">
        <f>VLOOKUP(B13,All!$B$4:$S$8977,15,FALSE)</f>
        <v>0</v>
      </c>
      <c r="Q13" s="18">
        <f>VLOOKUP(B13,All!$B$4:$S$8977,16,FALSE)</f>
        <v>0</v>
      </c>
      <c r="R13" s="159">
        <v>7</v>
      </c>
      <c r="S13" s="159">
        <v>10</v>
      </c>
      <c r="T13" s="550">
        <f t="shared" si="0"/>
        <v>212</v>
      </c>
      <c r="U13" s="568"/>
      <c r="V13" s="3"/>
      <c r="W13" s="3"/>
      <c r="X13" s="3"/>
      <c r="Y13" s="562"/>
      <c r="Z13" s="565">
        <f t="shared" si="3"/>
        <v>194</v>
      </c>
      <c r="AA13" s="20">
        <f t="shared" si="1"/>
        <v>3</v>
      </c>
      <c r="AB13" s="20">
        <f t="shared" si="1"/>
        <v>0</v>
      </c>
      <c r="AC13" s="20">
        <f t="shared" si="1"/>
        <v>0</v>
      </c>
      <c r="AD13" s="20">
        <f t="shared" si="1"/>
        <v>0</v>
      </c>
      <c r="AE13" s="20">
        <f t="shared" si="1"/>
        <v>7</v>
      </c>
      <c r="AF13" s="20">
        <f t="shared" si="1"/>
        <v>10</v>
      </c>
      <c r="AG13" s="550">
        <f t="shared" si="2"/>
        <v>214</v>
      </c>
      <c r="AH13" s="42">
        <v>2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2</v>
      </c>
    </row>
    <row r="14" spans="1:41" ht="24" customHeight="1">
      <c r="A14" s="549">
        <f t="shared" si="4"/>
        <v>11</v>
      </c>
      <c r="B14" s="8">
        <v>2890</v>
      </c>
      <c r="C14" s="484" t="str">
        <f>VLOOKUP(B14,All!$B$4:$S$8977,2,FALSE)</f>
        <v>សៅ</v>
      </c>
      <c r="D14" s="482" t="str">
        <f>VLOOKUP(B14,All!$B$4:$S$89977,3,FALSE)</f>
        <v>តាប់</v>
      </c>
      <c r="E14" s="484" t="str">
        <f>VLOOKUP(B14,All!$B$4:$S$8977,4,FALSE)</f>
        <v>Sao</v>
      </c>
      <c r="F14" s="482" t="str">
        <f>VLOOKUP(B14,All!$B$4:$S$8977,5,FALSE)</f>
        <v>Tap</v>
      </c>
      <c r="G14" s="482" t="str">
        <f>VLOOKUP(B14,All!$B$4:$S$8977,6,FALSE)</f>
        <v>M</v>
      </c>
      <c r="H14" s="486">
        <f>VLOOKUP(B14,All!$B$4:$S$8977,7,FALSE)</f>
        <v>34920</v>
      </c>
      <c r="I14" s="481">
        <f>VLOOKUP(B14,All!$B$4:$S$8977,8,FALSE)</f>
        <v>43587</v>
      </c>
      <c r="J14" s="481" t="str">
        <f>VLOOKUP(B14,All!$B$4:$S$8977,9,FALSE)</f>
        <v>Production</v>
      </c>
      <c r="K14" s="481" t="str">
        <f>VLOOKUP(B14,All!$B$4:$S$8977,10,FALSE)</f>
        <v xml:space="preserve">Cutting  </v>
      </c>
      <c r="L14" s="607" t="str">
        <f>VLOOKUP(B14,All!$B$4:$S$8977,11,FALSE)</f>
        <v>spreader</v>
      </c>
      <c r="M14" s="570">
        <f>VLOOKUP(B14,All!$B$4:$S$8977,12,FALSE)</f>
        <v>192</v>
      </c>
      <c r="N14" s="18">
        <f>VLOOKUP(B14,All!$B$4:$S$8977,13,FALSE)</f>
        <v>3</v>
      </c>
      <c r="O14" s="18">
        <f>VLOOKUP(B14,All!$B$4:$S$8977,14,FALSE)</f>
        <v>0</v>
      </c>
      <c r="P14" s="18">
        <f>VLOOKUP(B14,All!$B$4:$S$8977,15,FALSE)</f>
        <v>0</v>
      </c>
      <c r="Q14" s="18">
        <f>VLOOKUP(B14,All!$B$4:$S$8977,16,FALSE)</f>
        <v>0</v>
      </c>
      <c r="R14" s="159">
        <v>7</v>
      </c>
      <c r="S14" s="159">
        <v>10</v>
      </c>
      <c r="T14" s="550">
        <f t="shared" si="0"/>
        <v>212</v>
      </c>
      <c r="U14" s="568"/>
      <c r="V14" s="3"/>
      <c r="W14" s="3"/>
      <c r="X14" s="3"/>
      <c r="Y14" s="562"/>
      <c r="Z14" s="565">
        <f t="shared" si="3"/>
        <v>194</v>
      </c>
      <c r="AA14" s="20">
        <f t="shared" si="1"/>
        <v>3</v>
      </c>
      <c r="AB14" s="20">
        <f t="shared" si="1"/>
        <v>0</v>
      </c>
      <c r="AC14" s="20">
        <f t="shared" si="1"/>
        <v>0</v>
      </c>
      <c r="AD14" s="20">
        <f t="shared" si="1"/>
        <v>0</v>
      </c>
      <c r="AE14" s="20">
        <f t="shared" si="1"/>
        <v>7</v>
      </c>
      <c r="AF14" s="20">
        <f t="shared" si="1"/>
        <v>10</v>
      </c>
      <c r="AG14" s="550">
        <f t="shared" si="2"/>
        <v>214</v>
      </c>
      <c r="AH14" s="42">
        <v>2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2</v>
      </c>
    </row>
    <row r="15" spans="1:41" ht="24" customHeight="1">
      <c r="A15" s="549">
        <f t="shared" si="4"/>
        <v>12</v>
      </c>
      <c r="B15" s="8">
        <v>2992</v>
      </c>
      <c r="C15" s="484" t="str">
        <f>VLOOKUP(B15,All!$B$4:$S$8977,2,FALSE)</f>
        <v>ប៊ន</v>
      </c>
      <c r="D15" s="482" t="str">
        <f>VLOOKUP(B15,All!$B$4:$S$89977,3,FALSE)</f>
        <v>រីករាយ</v>
      </c>
      <c r="E15" s="484" t="str">
        <f>VLOOKUP(B15,All!$B$4:$S$8977,4,FALSE)</f>
        <v>Born</v>
      </c>
      <c r="F15" s="482" t="str">
        <f>VLOOKUP(B15,All!$B$4:$S$8977,5,FALSE)</f>
        <v>Rikreay</v>
      </c>
      <c r="G15" s="482" t="str">
        <f>VLOOKUP(B15,All!$B$4:$S$8977,6,FALSE)</f>
        <v>M</v>
      </c>
      <c r="H15" s="486">
        <f>VLOOKUP(B15,All!$B$4:$S$8977,7,FALSE)</f>
        <v>36285</v>
      </c>
      <c r="I15" s="481">
        <f>VLOOKUP(B15,All!$B$4:$S$8977,8,FALSE)</f>
        <v>43619</v>
      </c>
      <c r="J15" s="481" t="str">
        <f>VLOOKUP(B15,All!$B$4:$S$8977,9,FALSE)</f>
        <v>Production</v>
      </c>
      <c r="K15" s="481" t="str">
        <f>VLOOKUP(B15,All!$B$4:$S$8977,10,FALSE)</f>
        <v xml:space="preserve">Cutting  </v>
      </c>
      <c r="L15" s="607" t="str">
        <f>VLOOKUP(B15,All!$B$4:$S$8977,11,FALSE)</f>
        <v>spreader</v>
      </c>
      <c r="M15" s="570">
        <f>VLOOKUP(B15,All!$B$4:$S$8977,12,FALSE)</f>
        <v>192</v>
      </c>
      <c r="N15" s="18">
        <f>VLOOKUP(B15,All!$B$4:$S$8977,13,FALSE)</f>
        <v>3</v>
      </c>
      <c r="O15" s="18">
        <f>VLOOKUP(B15,All!$B$4:$S$8977,14,FALSE)</f>
        <v>0</v>
      </c>
      <c r="P15" s="18">
        <f>VLOOKUP(B15,All!$B$4:$S$8977,15,FALSE)</f>
        <v>0</v>
      </c>
      <c r="Q15" s="18">
        <f>VLOOKUP(B15,All!$B$4:$S$8977,16,FALSE)</f>
        <v>0</v>
      </c>
      <c r="R15" s="159">
        <v>7</v>
      </c>
      <c r="S15" s="159">
        <v>10</v>
      </c>
      <c r="T15" s="550">
        <f t="shared" si="0"/>
        <v>212</v>
      </c>
      <c r="U15" s="568"/>
      <c r="V15" s="3"/>
      <c r="W15" s="3"/>
      <c r="X15" s="3"/>
      <c r="Y15" s="562"/>
      <c r="Z15" s="565">
        <f t="shared" si="3"/>
        <v>194</v>
      </c>
      <c r="AA15" s="20">
        <f t="shared" si="1"/>
        <v>3</v>
      </c>
      <c r="AB15" s="20">
        <f t="shared" si="1"/>
        <v>0</v>
      </c>
      <c r="AC15" s="20">
        <f t="shared" si="1"/>
        <v>0</v>
      </c>
      <c r="AD15" s="20">
        <f t="shared" si="1"/>
        <v>0</v>
      </c>
      <c r="AE15" s="20">
        <f t="shared" si="1"/>
        <v>7</v>
      </c>
      <c r="AF15" s="20">
        <f t="shared" si="1"/>
        <v>10</v>
      </c>
      <c r="AG15" s="550">
        <f t="shared" si="2"/>
        <v>214</v>
      </c>
      <c r="AH15" s="42">
        <v>2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2</v>
      </c>
    </row>
    <row r="16" spans="1:41" ht="24" customHeight="1">
      <c r="A16" s="549">
        <f t="shared" si="4"/>
        <v>13</v>
      </c>
      <c r="B16" s="8">
        <v>3062</v>
      </c>
      <c r="C16" s="484" t="str">
        <f>VLOOKUP(B16,All!$B$4:$S$8977,2,FALSE)</f>
        <v>សៅ</v>
      </c>
      <c r="D16" s="482" t="str">
        <f>VLOOKUP(B16,All!$B$4:$S$89977,3,FALSE)</f>
        <v>វ៉ាន</v>
      </c>
      <c r="E16" s="484" t="str">
        <f>VLOOKUP(B16,All!$B$4:$S$8977,4,FALSE)</f>
        <v>Sov</v>
      </c>
      <c r="F16" s="482" t="str">
        <f>VLOOKUP(B16,All!$B$4:$S$8977,5,FALSE)</f>
        <v>Van</v>
      </c>
      <c r="G16" s="482" t="str">
        <f>VLOOKUP(B16,All!$B$4:$S$8977,6,FALSE)</f>
        <v>M</v>
      </c>
      <c r="H16" s="486">
        <f>VLOOKUP(B16,All!$B$4:$S$8977,7,FALSE)</f>
        <v>32569</v>
      </c>
      <c r="I16" s="481">
        <f>VLOOKUP(B16,All!$B$4:$S$8977,8,FALSE)</f>
        <v>43664</v>
      </c>
      <c r="J16" s="481" t="str">
        <f>VLOOKUP(B16,All!$B$4:$S$8977,9,FALSE)</f>
        <v>Production</v>
      </c>
      <c r="K16" s="481" t="str">
        <f>VLOOKUP(B16,All!$B$4:$S$8977,10,FALSE)</f>
        <v xml:space="preserve">Cutting  </v>
      </c>
      <c r="L16" s="607" t="str">
        <f>VLOOKUP(B16,All!$B$4:$S$8977,11,FALSE)</f>
        <v>spreader</v>
      </c>
      <c r="M16" s="570">
        <f>VLOOKUP(B16,All!$B$4:$S$8977,12,FALSE)</f>
        <v>192</v>
      </c>
      <c r="N16" s="18">
        <f>VLOOKUP(B16,All!$B$4:$S$8977,13,FALSE)</f>
        <v>3</v>
      </c>
      <c r="O16" s="18">
        <f>VLOOKUP(B16,All!$B$4:$S$8977,14,FALSE)</f>
        <v>0</v>
      </c>
      <c r="P16" s="18">
        <f>VLOOKUP(B16,All!$B$4:$S$8977,15,FALSE)</f>
        <v>0</v>
      </c>
      <c r="Q16" s="18">
        <f>VLOOKUP(B16,All!$B$4:$S$8977,16,FALSE)</f>
        <v>0</v>
      </c>
      <c r="R16" s="159">
        <v>7</v>
      </c>
      <c r="S16" s="159">
        <v>10</v>
      </c>
      <c r="T16" s="550">
        <f t="shared" si="0"/>
        <v>212</v>
      </c>
      <c r="U16" s="568"/>
      <c r="V16" s="3"/>
      <c r="W16" s="3"/>
      <c r="X16" s="3"/>
      <c r="Y16" s="562"/>
      <c r="Z16" s="565">
        <f t="shared" si="3"/>
        <v>194</v>
      </c>
      <c r="AA16" s="20">
        <f t="shared" si="1"/>
        <v>3</v>
      </c>
      <c r="AB16" s="20">
        <f t="shared" si="1"/>
        <v>0</v>
      </c>
      <c r="AC16" s="20">
        <f t="shared" si="1"/>
        <v>0</v>
      </c>
      <c r="AD16" s="20">
        <f t="shared" si="1"/>
        <v>0</v>
      </c>
      <c r="AE16" s="20">
        <f t="shared" si="1"/>
        <v>7</v>
      </c>
      <c r="AF16" s="20">
        <f t="shared" si="1"/>
        <v>10</v>
      </c>
      <c r="AG16" s="550">
        <f t="shared" si="2"/>
        <v>214</v>
      </c>
      <c r="AH16" s="42">
        <v>2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2</v>
      </c>
    </row>
    <row r="17" spans="1:41" ht="24" customHeight="1">
      <c r="A17" s="549">
        <f t="shared" si="4"/>
        <v>14</v>
      </c>
      <c r="B17" s="8">
        <v>3335</v>
      </c>
      <c r="C17" s="484" t="str">
        <f>VLOOKUP(B17,All!$B$4:$S$8977,2,FALSE)</f>
        <v>ស្រី</v>
      </c>
      <c r="D17" s="482" t="str">
        <f>VLOOKUP(B17,All!$B$4:$S$89977,3,FALSE)</f>
        <v>សាត</v>
      </c>
      <c r="E17" s="484" t="str">
        <f>VLOOKUP(B17,All!$B$4:$S$8977,4,FALSE)</f>
        <v>Srey</v>
      </c>
      <c r="F17" s="482" t="str">
        <f>VLOOKUP(B17,All!$B$4:$S$8977,5,FALSE)</f>
        <v>Sat</v>
      </c>
      <c r="G17" s="482" t="str">
        <f>VLOOKUP(B17,All!$B$4:$S$8977,6,FALSE)</f>
        <v>M</v>
      </c>
      <c r="H17" s="486">
        <f>VLOOKUP(B17,All!$B$4:$S$8977,7,FALSE)</f>
        <v>30651</v>
      </c>
      <c r="I17" s="481">
        <f>VLOOKUP(B17,All!$B$4:$S$8977,8,FALSE)</f>
        <v>43749</v>
      </c>
      <c r="J17" s="481" t="str">
        <f>VLOOKUP(B17,All!$B$4:$S$8977,9,FALSE)</f>
        <v>Production</v>
      </c>
      <c r="K17" s="481" t="str">
        <f>VLOOKUP(B17,All!$B$4:$S$8977,10,FALSE)</f>
        <v xml:space="preserve">Cutting  </v>
      </c>
      <c r="L17" s="607" t="str">
        <f>VLOOKUP(B17,All!$B$4:$S$8977,11,FALSE)</f>
        <v>helper</v>
      </c>
      <c r="M17" s="570">
        <f>VLOOKUP(B17,All!$B$4:$S$8977,12,FALSE)</f>
        <v>192</v>
      </c>
      <c r="N17" s="18">
        <f>VLOOKUP(B17,All!$B$4:$S$8977,13,FALSE)</f>
        <v>3</v>
      </c>
      <c r="O17" s="18">
        <f>VLOOKUP(B17,All!$B$4:$S$8977,14,FALSE)</f>
        <v>0</v>
      </c>
      <c r="P17" s="18">
        <f>VLOOKUP(B17,All!$B$4:$S$8977,15,FALSE)</f>
        <v>0</v>
      </c>
      <c r="Q17" s="18">
        <f>VLOOKUP(B17,All!$B$4:$S$8977,16,FALSE)</f>
        <v>0</v>
      </c>
      <c r="R17" s="159">
        <v>7</v>
      </c>
      <c r="S17" s="159">
        <v>10</v>
      </c>
      <c r="T17" s="550">
        <f t="shared" si="0"/>
        <v>212</v>
      </c>
      <c r="U17" s="568"/>
      <c r="V17" s="3"/>
      <c r="W17" s="3"/>
      <c r="X17" s="3"/>
      <c r="Y17" s="562"/>
      <c r="Z17" s="565">
        <f t="shared" si="3"/>
        <v>194</v>
      </c>
      <c r="AA17" s="20">
        <f t="shared" si="1"/>
        <v>3</v>
      </c>
      <c r="AB17" s="20">
        <f t="shared" si="1"/>
        <v>0</v>
      </c>
      <c r="AC17" s="20">
        <f t="shared" si="1"/>
        <v>0</v>
      </c>
      <c r="AD17" s="20">
        <f t="shared" si="1"/>
        <v>0</v>
      </c>
      <c r="AE17" s="20">
        <f t="shared" si="1"/>
        <v>7</v>
      </c>
      <c r="AF17" s="20">
        <f t="shared" si="1"/>
        <v>10</v>
      </c>
      <c r="AG17" s="550">
        <f t="shared" si="2"/>
        <v>214</v>
      </c>
      <c r="AH17" s="42">
        <v>2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2</v>
      </c>
    </row>
    <row r="18" spans="1:41" ht="24" customHeight="1">
      <c r="A18" s="549">
        <f t="shared" si="4"/>
        <v>15</v>
      </c>
      <c r="B18" s="93">
        <v>3255</v>
      </c>
      <c r="C18" s="484" t="str">
        <f>VLOOKUP(B18,All!$B$4:$S$8977,2,FALSE)</f>
        <v>អ៊ិន</v>
      </c>
      <c r="D18" s="482" t="str">
        <f>VLOOKUP(B18,All!$B$4:$S$89977,3,FALSE)</f>
        <v>ចាន់ចាវ</v>
      </c>
      <c r="E18" s="484" t="str">
        <f>VLOOKUP(B18,All!$B$4:$S$8977,4,FALSE)</f>
        <v>IN</v>
      </c>
      <c r="F18" s="482" t="str">
        <f>VLOOKUP(B18,All!$B$4:$S$8977,5,FALSE)</f>
        <v>CHANCHAV</v>
      </c>
      <c r="G18" s="482" t="str">
        <f>VLOOKUP(B18,All!$B$4:$S$8977,6,FALSE)</f>
        <v>M</v>
      </c>
      <c r="H18" s="486">
        <f>VLOOKUP(B18,All!$B$4:$S$8977,7,FALSE)</f>
        <v>34360</v>
      </c>
      <c r="I18" s="481">
        <f>VLOOKUP(B18,All!$B$4:$S$8977,8,FALSE)</f>
        <v>43745</v>
      </c>
      <c r="J18" s="481" t="str">
        <f>VLOOKUP(B18,All!$B$4:$S$8977,9,FALSE)</f>
        <v>Production</v>
      </c>
      <c r="K18" s="481" t="str">
        <f>VLOOKUP(B18,All!$B$4:$S$8977,10,FALSE)</f>
        <v xml:space="preserve">Cutting  </v>
      </c>
      <c r="L18" s="607" t="str">
        <f>VLOOKUP(B18,All!$B$4:$S$8977,11,FALSE)</f>
        <v>helper</v>
      </c>
      <c r="M18" s="570">
        <f>VLOOKUP(B18,All!$B$4:$S$8977,12,FALSE)</f>
        <v>192</v>
      </c>
      <c r="N18" s="18">
        <f>VLOOKUP(B18,All!$B$4:$S$8977,13,FALSE)</f>
        <v>3</v>
      </c>
      <c r="O18" s="18">
        <f>VLOOKUP(B18,All!$B$4:$S$8977,14,FALSE)</f>
        <v>0</v>
      </c>
      <c r="P18" s="18">
        <f>VLOOKUP(B18,All!$B$4:$S$8977,15,FALSE)</f>
        <v>20</v>
      </c>
      <c r="Q18" s="18">
        <f>VLOOKUP(B18,All!$B$4:$S$8977,16,FALSE)</f>
        <v>0</v>
      </c>
      <c r="R18" s="159">
        <v>7</v>
      </c>
      <c r="S18" s="159">
        <v>10</v>
      </c>
      <c r="T18" s="550">
        <f t="shared" si="0"/>
        <v>232</v>
      </c>
      <c r="U18" s="568"/>
      <c r="V18" s="3"/>
      <c r="W18" s="3"/>
      <c r="X18" s="3"/>
      <c r="Y18" s="562"/>
      <c r="Z18" s="565">
        <f t="shared" si="3"/>
        <v>194</v>
      </c>
      <c r="AA18" s="20">
        <f t="shared" si="1"/>
        <v>3</v>
      </c>
      <c r="AB18" s="20">
        <f t="shared" si="1"/>
        <v>0</v>
      </c>
      <c r="AC18" s="20">
        <f t="shared" si="1"/>
        <v>20</v>
      </c>
      <c r="AD18" s="20">
        <f t="shared" si="1"/>
        <v>0</v>
      </c>
      <c r="AE18" s="20">
        <f t="shared" si="1"/>
        <v>7</v>
      </c>
      <c r="AF18" s="20">
        <f t="shared" si="1"/>
        <v>10</v>
      </c>
      <c r="AG18" s="550">
        <f t="shared" si="2"/>
        <v>234</v>
      </c>
      <c r="AH18" s="42">
        <v>2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2</v>
      </c>
    </row>
    <row r="19" spans="1:41" ht="24" customHeight="1">
      <c r="A19" s="549">
        <f t="shared" si="4"/>
        <v>16</v>
      </c>
      <c r="B19" s="8">
        <v>3603</v>
      </c>
      <c r="C19" s="484" t="str">
        <f>VLOOKUP(B19,All!$B$4:$S$8977,2,FALSE)</f>
        <v>ជ័យ</v>
      </c>
      <c r="D19" s="482" t="str">
        <f>VLOOKUP(B19,All!$B$4:$S$89977,3,FALSE)</f>
        <v>ប៊ុនធឿន</v>
      </c>
      <c r="E19" s="484" t="str">
        <f>VLOOKUP(B19,All!$B$4:$S$8977,4,FALSE)</f>
        <v>CHEY</v>
      </c>
      <c r="F19" s="482" t="str">
        <f>VLOOKUP(B19,All!$B$4:$S$8977,5,FALSE)</f>
        <v>BUNTHOUEN</v>
      </c>
      <c r="G19" s="482" t="str">
        <f>VLOOKUP(B19,All!$B$4:$S$8977,6,FALSE)</f>
        <v>M</v>
      </c>
      <c r="H19" s="486">
        <f>VLOOKUP(B19,All!$B$4:$S$8977,7,FALSE)</f>
        <v>30900</v>
      </c>
      <c r="I19" s="481">
        <f>VLOOKUP(B19,All!$B$4:$S$8977,8,FALSE)</f>
        <v>43753</v>
      </c>
      <c r="J19" s="481" t="str">
        <f>VLOOKUP(B19,All!$B$4:$S$8977,9,FALSE)</f>
        <v>Production</v>
      </c>
      <c r="K19" s="481" t="str">
        <f>VLOOKUP(B19,All!$B$4:$S$8977,10,FALSE)</f>
        <v xml:space="preserve">Cutting  </v>
      </c>
      <c r="L19" s="607" t="str">
        <f>VLOOKUP(B19,All!$B$4:$S$8977,11,FALSE)</f>
        <v>helper</v>
      </c>
      <c r="M19" s="570">
        <f>VLOOKUP(B19,All!$B$4:$S$8977,12,FALSE)</f>
        <v>192</v>
      </c>
      <c r="N19" s="18">
        <f>VLOOKUP(B19,All!$B$4:$S$8977,13,FALSE)</f>
        <v>3</v>
      </c>
      <c r="O19" s="18">
        <f>VLOOKUP(B19,All!$B$4:$S$8977,14,FALSE)</f>
        <v>0</v>
      </c>
      <c r="P19" s="18">
        <f>VLOOKUP(B19,All!$B$4:$S$8977,15,FALSE)</f>
        <v>0</v>
      </c>
      <c r="Q19" s="18">
        <f>VLOOKUP(B19,All!$B$4:$S$8977,16,FALSE)</f>
        <v>0</v>
      </c>
      <c r="R19" s="159">
        <v>7</v>
      </c>
      <c r="S19" s="159">
        <v>10</v>
      </c>
      <c r="T19" s="550">
        <f t="shared" ref="T19:T20" si="5">SUM(M19:S19)</f>
        <v>212</v>
      </c>
      <c r="U19" s="568"/>
      <c r="V19" s="3"/>
      <c r="W19" s="3"/>
      <c r="X19" s="3"/>
      <c r="Y19" s="562"/>
      <c r="Z19" s="565">
        <f t="shared" si="3"/>
        <v>194</v>
      </c>
      <c r="AA19" s="20">
        <f t="shared" ref="AA19:AA20" si="6">N19</f>
        <v>3</v>
      </c>
      <c r="AB19" s="20">
        <f t="shared" ref="AB19:AB20" si="7">O19</f>
        <v>0</v>
      </c>
      <c r="AC19" s="20">
        <f t="shared" ref="AC19:AC20" si="8">P19</f>
        <v>0</v>
      </c>
      <c r="AD19" s="20">
        <f t="shared" ref="AD19:AD20" si="9">Q19</f>
        <v>0</v>
      </c>
      <c r="AE19" s="20">
        <f t="shared" ref="AE19:AE20" si="10">R19</f>
        <v>7</v>
      </c>
      <c r="AF19" s="20">
        <f t="shared" ref="AF19:AF20" si="11">S19</f>
        <v>10</v>
      </c>
      <c r="AG19" s="550">
        <f t="shared" ref="AG19:AG20" si="12">SUM(Z19:AF19)</f>
        <v>214</v>
      </c>
      <c r="AH19" s="42">
        <v>2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2</v>
      </c>
    </row>
    <row r="20" spans="1:41" ht="24" customHeight="1">
      <c r="A20" s="549">
        <f t="shared" si="4"/>
        <v>17</v>
      </c>
      <c r="B20" s="8">
        <v>4067</v>
      </c>
      <c r="C20" s="484" t="str">
        <f>VLOOKUP(B20,All!$B$4:$S$8977,2,FALSE)</f>
        <v>ហួន</v>
      </c>
      <c r="D20" s="482" t="str">
        <f>VLOOKUP(B20,All!$B$4:$S$89977,3,FALSE)</f>
        <v>ថាន</v>
      </c>
      <c r="E20" s="484" t="str">
        <f>VLOOKUP(B20,All!$B$4:$S$8977,4,FALSE)</f>
        <v>HUON</v>
      </c>
      <c r="F20" s="482" t="str">
        <f>VLOOKUP(B20,All!$B$4:$S$8977,5,FALSE)</f>
        <v>THAN</v>
      </c>
      <c r="G20" s="482" t="str">
        <f>VLOOKUP(B20,All!$B$4:$S$8977,6,FALSE)</f>
        <v>M</v>
      </c>
      <c r="H20" s="486">
        <f>VLOOKUP(B20,All!$B$4:$S$8977,7,FALSE)</f>
        <v>37057</v>
      </c>
      <c r="I20" s="481">
        <f>VLOOKUP(B20,All!$B$4:$S$8977,8,FALSE)</f>
        <v>43846</v>
      </c>
      <c r="J20" s="481" t="str">
        <f>VLOOKUP(B20,All!$B$4:$S$8977,9,FALSE)</f>
        <v>Production</v>
      </c>
      <c r="K20" s="481" t="str">
        <f>VLOOKUP(B20,All!$B$4:$S$8977,10,FALSE)</f>
        <v xml:space="preserve">Cutting  </v>
      </c>
      <c r="L20" s="607" t="str">
        <f>VLOOKUP(B20,All!$B$4:$S$8977,11,FALSE)</f>
        <v>helper</v>
      </c>
      <c r="M20" s="570">
        <f>VLOOKUP(B20,All!$B$4:$S$8977,12,FALSE)</f>
        <v>192</v>
      </c>
      <c r="N20" s="18">
        <f>VLOOKUP(B20,All!$B$4:$S$8977,13,FALSE)</f>
        <v>3</v>
      </c>
      <c r="O20" s="18">
        <f>VLOOKUP(B20,All!$B$4:$S$8977,14,FALSE)</f>
        <v>0</v>
      </c>
      <c r="P20" s="18">
        <f>VLOOKUP(B20,All!$B$4:$S$8977,15,FALSE)</f>
        <v>0</v>
      </c>
      <c r="Q20" s="18">
        <f>VLOOKUP(B20,All!$B$4:$S$8977,16,FALSE)</f>
        <v>0</v>
      </c>
      <c r="R20" s="159">
        <v>7</v>
      </c>
      <c r="S20" s="159">
        <v>10</v>
      </c>
      <c r="T20" s="550">
        <f t="shared" si="5"/>
        <v>212</v>
      </c>
      <c r="U20" s="568"/>
      <c r="V20" s="3"/>
      <c r="W20" s="3"/>
      <c r="X20" s="3"/>
      <c r="Y20" s="562"/>
      <c r="Z20" s="565">
        <f t="shared" si="3"/>
        <v>194</v>
      </c>
      <c r="AA20" s="20">
        <f t="shared" si="6"/>
        <v>3</v>
      </c>
      <c r="AB20" s="20">
        <f t="shared" si="7"/>
        <v>0</v>
      </c>
      <c r="AC20" s="20">
        <f t="shared" si="8"/>
        <v>0</v>
      </c>
      <c r="AD20" s="20">
        <f t="shared" si="9"/>
        <v>0</v>
      </c>
      <c r="AE20" s="20">
        <f t="shared" si="10"/>
        <v>7</v>
      </c>
      <c r="AF20" s="20">
        <f t="shared" si="11"/>
        <v>10</v>
      </c>
      <c r="AG20" s="550">
        <f t="shared" si="12"/>
        <v>214</v>
      </c>
      <c r="AH20" s="42">
        <v>2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2</v>
      </c>
    </row>
    <row r="21" spans="1:41" ht="24" customHeight="1">
      <c r="A21" s="549">
        <f t="shared" si="4"/>
        <v>18</v>
      </c>
      <c r="B21" s="8">
        <v>5084</v>
      </c>
      <c r="C21" s="484" t="str">
        <f>VLOOKUP(B21,All!$B$4:$S$8977,2,FALSE)</f>
        <v>អៀវ</v>
      </c>
      <c r="D21" s="482" t="str">
        <f>VLOOKUP(B21,All!$B$4:$S$89977,3,FALSE)</f>
        <v>វិច្ឆ័យ</v>
      </c>
      <c r="E21" s="484" t="str">
        <f>VLOOKUP(B21,All!$B$4:$S$8977,4,FALSE)</f>
        <v>EAV</v>
      </c>
      <c r="F21" s="482" t="str">
        <f>VLOOKUP(B21,All!$B$4:$S$8977,5,FALSE)</f>
        <v>VICHHAY</v>
      </c>
      <c r="G21" s="482" t="str">
        <f>VLOOKUP(B21,All!$B$4:$S$8977,6,FALSE)</f>
        <v>M</v>
      </c>
      <c r="H21" s="486">
        <f>VLOOKUP(B21,All!$B$4:$S$8977,7,FALSE)</f>
        <v>31169</v>
      </c>
      <c r="I21" s="481">
        <f>VLOOKUP(B21,All!$B$4:$S$8977,8,FALSE)</f>
        <v>44157</v>
      </c>
      <c r="J21" s="481" t="str">
        <f>VLOOKUP(B21,All!$B$4:$S$8977,9,FALSE)</f>
        <v>Production</v>
      </c>
      <c r="K21" s="481" t="str">
        <f>VLOOKUP(B21,All!$B$4:$S$8977,10,FALSE)</f>
        <v xml:space="preserve">Cutting  </v>
      </c>
      <c r="L21" s="607" t="str">
        <f>VLOOKUP(B21,All!$B$4:$S$8977,11,FALSE)</f>
        <v>helper</v>
      </c>
      <c r="M21" s="570">
        <f>VLOOKUP(B21,All!$B$4:$S$8977,12,FALSE)</f>
        <v>192</v>
      </c>
      <c r="N21" s="18">
        <f>VLOOKUP(B21,All!$B$4:$S$8977,13,FALSE)</f>
        <v>0</v>
      </c>
      <c r="O21" s="18">
        <f>VLOOKUP(B21,All!$B$4:$S$8977,14,FALSE)</f>
        <v>0</v>
      </c>
      <c r="P21" s="18">
        <f>VLOOKUP(B21,All!$B$4:$S$8977,15,FALSE)</f>
        <v>0</v>
      </c>
      <c r="Q21" s="18">
        <f>VLOOKUP(B21,All!$B$4:$S$8977,16,FALSE)</f>
        <v>0</v>
      </c>
      <c r="R21" s="159">
        <v>7</v>
      </c>
      <c r="S21" s="159">
        <v>10</v>
      </c>
      <c r="T21" s="550">
        <f t="shared" si="0"/>
        <v>209</v>
      </c>
      <c r="U21" s="568"/>
      <c r="V21" s="3"/>
      <c r="W21" s="3"/>
      <c r="X21" s="3"/>
      <c r="Y21" s="562"/>
      <c r="Z21" s="565">
        <f t="shared" si="3"/>
        <v>194</v>
      </c>
      <c r="AA21" s="20">
        <f t="shared" si="1"/>
        <v>0</v>
      </c>
      <c r="AB21" s="20">
        <f t="shared" si="1"/>
        <v>0</v>
      </c>
      <c r="AC21" s="20">
        <f t="shared" si="1"/>
        <v>0</v>
      </c>
      <c r="AD21" s="20">
        <f t="shared" si="1"/>
        <v>0</v>
      </c>
      <c r="AE21" s="20">
        <f t="shared" si="1"/>
        <v>7</v>
      </c>
      <c r="AF21" s="20">
        <f t="shared" si="1"/>
        <v>10</v>
      </c>
      <c r="AG21" s="550">
        <f t="shared" si="2"/>
        <v>211</v>
      </c>
      <c r="AH21" s="42">
        <v>2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2</v>
      </c>
    </row>
    <row r="22" spans="1:41" ht="24" customHeight="1">
      <c r="A22" s="549">
        <f t="shared" si="4"/>
        <v>19</v>
      </c>
      <c r="B22" s="8">
        <v>5085</v>
      </c>
      <c r="C22" s="484" t="str">
        <f>VLOOKUP(B22,All!$B$4:$S$8977,2,FALSE)</f>
        <v>បេត</v>
      </c>
      <c r="D22" s="482" t="str">
        <f>VLOOKUP(B22,All!$B$4:$S$89977,3,FALSE)</f>
        <v>ស៊ីនឿន</v>
      </c>
      <c r="E22" s="484" t="str">
        <f>VLOOKUP(B22,All!$B$4:$S$8977,4,FALSE)</f>
        <v>BET</v>
      </c>
      <c r="F22" s="482" t="str">
        <f>VLOOKUP(B22,All!$B$4:$S$8977,5,FALSE)</f>
        <v>SINOEURN</v>
      </c>
      <c r="G22" s="482" t="str">
        <f>VLOOKUP(B22,All!$B$4:$S$8977,6,FALSE)</f>
        <v>M</v>
      </c>
      <c r="H22" s="486">
        <f>VLOOKUP(B22,All!$B$4:$S$8977,7,FALSE)</f>
        <v>33049</v>
      </c>
      <c r="I22" s="481">
        <f>VLOOKUP(B22,All!$B$4:$S$8977,8,FALSE)</f>
        <v>44158</v>
      </c>
      <c r="J22" s="481" t="str">
        <f>VLOOKUP(B22,All!$B$4:$S$8977,9,FALSE)</f>
        <v>Production</v>
      </c>
      <c r="K22" s="481" t="str">
        <f>VLOOKUP(B22,All!$B$4:$S$8977,10,FALSE)</f>
        <v xml:space="preserve">Cutting  </v>
      </c>
      <c r="L22" s="607" t="str">
        <f>VLOOKUP(B22,All!$B$4:$S$8977,11,FALSE)</f>
        <v>helper</v>
      </c>
      <c r="M22" s="570">
        <f>VLOOKUP(B22,All!$B$4:$S$8977,12,FALSE)</f>
        <v>192</v>
      </c>
      <c r="N22" s="18">
        <f>VLOOKUP(B22,All!$B$4:$S$8977,13,FALSE)</f>
        <v>0</v>
      </c>
      <c r="O22" s="18">
        <f>VLOOKUP(B22,All!$B$4:$S$8977,14,FALSE)</f>
        <v>0</v>
      </c>
      <c r="P22" s="18">
        <f>VLOOKUP(B22,All!$B$4:$S$8977,15,FALSE)</f>
        <v>0</v>
      </c>
      <c r="Q22" s="18">
        <f>VLOOKUP(B22,All!$B$4:$S$8977,16,FALSE)</f>
        <v>0</v>
      </c>
      <c r="R22" s="159">
        <v>7</v>
      </c>
      <c r="S22" s="159">
        <v>10</v>
      </c>
      <c r="T22" s="550">
        <f t="shared" ref="T22" si="13">SUM(M22:S22)</f>
        <v>209</v>
      </c>
      <c r="U22" s="568"/>
      <c r="V22" s="3"/>
      <c r="W22" s="3"/>
      <c r="X22" s="3"/>
      <c r="Y22" s="562"/>
      <c r="Z22" s="565">
        <f t="shared" si="3"/>
        <v>194</v>
      </c>
      <c r="AA22" s="20">
        <f t="shared" ref="AA22" si="14">N22</f>
        <v>0</v>
      </c>
      <c r="AB22" s="20">
        <f t="shared" ref="AB22" si="15">O22</f>
        <v>0</v>
      </c>
      <c r="AC22" s="20">
        <f t="shared" ref="AC22" si="16">P22</f>
        <v>0</v>
      </c>
      <c r="AD22" s="20">
        <f t="shared" ref="AD22" si="17">Q22</f>
        <v>0</v>
      </c>
      <c r="AE22" s="20">
        <f t="shared" ref="AE22" si="18">R22</f>
        <v>7</v>
      </c>
      <c r="AF22" s="20">
        <f t="shared" ref="AF22" si="19">S22</f>
        <v>10</v>
      </c>
      <c r="AG22" s="550">
        <f t="shared" ref="AG22" si="20">SUM(Z22:AF22)</f>
        <v>211</v>
      </c>
      <c r="AH22" s="42">
        <v>2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2</v>
      </c>
    </row>
    <row r="23" spans="1:41" ht="24" customHeight="1">
      <c r="A23" s="549">
        <f t="shared" si="4"/>
        <v>20</v>
      </c>
      <c r="B23" s="8">
        <v>5147</v>
      </c>
      <c r="C23" s="484" t="str">
        <f>VLOOKUP(B23,All!$B$4:$S$8977,2,FALSE)</f>
        <v>ខុន</v>
      </c>
      <c r="D23" s="482" t="str">
        <f>VLOOKUP(B23,All!$B$4:$S$89977,3,FALSE)</f>
        <v>តូ</v>
      </c>
      <c r="E23" s="484" t="str">
        <f>VLOOKUP(B23,All!$B$4:$S$8977,4,FALSE)</f>
        <v>KHON</v>
      </c>
      <c r="F23" s="482" t="str">
        <f>VLOOKUP(B23,All!$B$4:$S$8977,5,FALSE)</f>
        <v>TO</v>
      </c>
      <c r="G23" s="482" t="str">
        <f>VLOOKUP(B23,All!$B$4:$S$8977,6,FALSE)</f>
        <v>M</v>
      </c>
      <c r="H23" s="486">
        <f>VLOOKUP(B23,All!$B$4:$S$8977,7,FALSE)</f>
        <v>33817</v>
      </c>
      <c r="I23" s="481">
        <f>VLOOKUP(B23,All!$B$4:$S$8977,8,FALSE)</f>
        <v>44461</v>
      </c>
      <c r="J23" s="481" t="str">
        <f>VLOOKUP(B23,All!$B$4:$S$8977,9,FALSE)</f>
        <v>Production</v>
      </c>
      <c r="K23" s="481" t="str">
        <f>VLOOKUP(B23,All!$B$4:$S$8977,10,FALSE)</f>
        <v xml:space="preserve">Cutting  </v>
      </c>
      <c r="L23" s="607" t="str">
        <f>VLOOKUP(B23,All!$B$4:$S$8977,11,FALSE)</f>
        <v>helper</v>
      </c>
      <c r="M23" s="570">
        <f>VLOOKUP(B23,All!$B$4:$S$8977,12,FALSE)</f>
        <v>187</v>
      </c>
      <c r="N23" s="18">
        <f>VLOOKUP(B23,All!$B$4:$S$8977,13,FALSE)</f>
        <v>0</v>
      </c>
      <c r="O23" s="18">
        <f>VLOOKUP(B23,All!$B$4:$S$8977,14,FALSE)</f>
        <v>0</v>
      </c>
      <c r="P23" s="18">
        <f>VLOOKUP(B23,All!$B$4:$S$8977,15,FALSE)</f>
        <v>0</v>
      </c>
      <c r="Q23" s="18">
        <f>VLOOKUP(B23,All!$B$4:$S$8977,16,FALSE)</f>
        <v>0</v>
      </c>
      <c r="R23" s="159">
        <v>7</v>
      </c>
      <c r="S23" s="159">
        <v>10</v>
      </c>
      <c r="T23" s="550">
        <f t="shared" ref="T23:T27" si="21">SUM(M23:S23)</f>
        <v>204</v>
      </c>
      <c r="U23" s="568"/>
      <c r="V23" s="3"/>
      <c r="W23" s="3"/>
      <c r="X23" s="3"/>
      <c r="Y23" s="562"/>
      <c r="Z23" s="565">
        <f t="shared" si="3"/>
        <v>189</v>
      </c>
      <c r="AA23" s="20">
        <f t="shared" ref="AA23:AA27" si="22">N23</f>
        <v>0</v>
      </c>
      <c r="AB23" s="20">
        <f t="shared" ref="AB23:AB27" si="23">O23</f>
        <v>0</v>
      </c>
      <c r="AC23" s="20">
        <f t="shared" ref="AC23:AC27" si="24">P23</f>
        <v>0</v>
      </c>
      <c r="AD23" s="20">
        <f t="shared" ref="AD23:AD27" si="25">Q23</f>
        <v>0</v>
      </c>
      <c r="AE23" s="20">
        <f t="shared" ref="AE23:AE27" si="26">R23</f>
        <v>7</v>
      </c>
      <c r="AF23" s="20">
        <f t="shared" ref="AF23:AF27" si="27">S23</f>
        <v>10</v>
      </c>
      <c r="AG23" s="550">
        <f t="shared" ref="AG23:AG27" si="28">SUM(Z23:AF23)</f>
        <v>206</v>
      </c>
      <c r="AH23" s="42">
        <v>2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2</v>
      </c>
    </row>
    <row r="24" spans="1:41" ht="24" customHeight="1">
      <c r="A24" s="549">
        <f t="shared" si="4"/>
        <v>21</v>
      </c>
      <c r="B24" s="8">
        <v>5175</v>
      </c>
      <c r="C24" s="484" t="str">
        <f>VLOOKUP(B24,All!$B$4:$S$8977,2,FALSE)</f>
        <v>សុខ</v>
      </c>
      <c r="D24" s="482" t="str">
        <f>VLOOKUP(B24,All!$B$4:$S$89977,3,FALSE)</f>
        <v>សុះស្តែន</v>
      </c>
      <c r="E24" s="484" t="str">
        <f>VLOOKUP(B24,All!$B$4:$S$8977,4,FALSE)</f>
        <v>SOKH</v>
      </c>
      <c r="F24" s="482" t="str">
        <f>VLOOKUP(B24,All!$B$4:$S$8977,5,FALSE)</f>
        <v>SOSSTEN</v>
      </c>
      <c r="G24" s="482" t="str">
        <f>VLOOKUP(B24,All!$B$4:$S$8977,6,FALSE)</f>
        <v>M</v>
      </c>
      <c r="H24" s="486">
        <f>VLOOKUP(B24,All!$B$4:$S$8977,7,FALSE)</f>
        <v>32424</v>
      </c>
      <c r="I24" s="481">
        <f>VLOOKUP(B24,All!$B$4:$S$8977,8,FALSE)</f>
        <v>44488</v>
      </c>
      <c r="J24" s="481" t="str">
        <f>VLOOKUP(B24,All!$B$4:$S$8977,9,FALSE)</f>
        <v>Production</v>
      </c>
      <c r="K24" s="481" t="str">
        <f>VLOOKUP(B24,All!$B$4:$S$8977,10,FALSE)</f>
        <v xml:space="preserve">Cutting  </v>
      </c>
      <c r="L24" s="607" t="str">
        <f>VLOOKUP(B24,All!$B$4:$S$8977,11,FALSE)</f>
        <v>spreader</v>
      </c>
      <c r="M24" s="570">
        <f>VLOOKUP(B24,All!$B$4:$S$8977,12,FALSE)</f>
        <v>187</v>
      </c>
      <c r="N24" s="18">
        <f>VLOOKUP(B24,All!$B$4:$S$8977,13,FALSE)</f>
        <v>0</v>
      </c>
      <c r="O24" s="18">
        <f>VLOOKUP(B24,All!$B$4:$S$8977,14,FALSE)</f>
        <v>0</v>
      </c>
      <c r="P24" s="18">
        <f>VLOOKUP(B24,All!$B$4:$S$8977,15,FALSE)</f>
        <v>0</v>
      </c>
      <c r="Q24" s="18">
        <f>VLOOKUP(B24,All!$B$4:$S$8977,16,FALSE)</f>
        <v>0</v>
      </c>
      <c r="R24" s="159">
        <v>7</v>
      </c>
      <c r="S24" s="159">
        <v>10</v>
      </c>
      <c r="T24" s="550">
        <f t="shared" si="21"/>
        <v>204</v>
      </c>
      <c r="U24" s="568"/>
      <c r="V24" s="3"/>
      <c r="W24" s="3"/>
      <c r="X24" s="3"/>
      <c r="Y24" s="562"/>
      <c r="Z24" s="565">
        <f t="shared" si="3"/>
        <v>189</v>
      </c>
      <c r="AA24" s="20">
        <f t="shared" si="22"/>
        <v>0</v>
      </c>
      <c r="AB24" s="20">
        <f t="shared" si="23"/>
        <v>0</v>
      </c>
      <c r="AC24" s="20">
        <f t="shared" si="24"/>
        <v>0</v>
      </c>
      <c r="AD24" s="20">
        <f t="shared" si="25"/>
        <v>0</v>
      </c>
      <c r="AE24" s="20">
        <f t="shared" si="26"/>
        <v>7</v>
      </c>
      <c r="AF24" s="20">
        <f t="shared" si="27"/>
        <v>10</v>
      </c>
      <c r="AG24" s="550">
        <f t="shared" si="28"/>
        <v>206</v>
      </c>
      <c r="AH24" s="42">
        <v>2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2</v>
      </c>
    </row>
    <row r="25" spans="1:41" ht="24" customHeight="1">
      <c r="A25" s="549">
        <f t="shared" si="4"/>
        <v>22</v>
      </c>
      <c r="B25" s="8">
        <v>5176</v>
      </c>
      <c r="C25" s="484" t="str">
        <f>VLOOKUP(B25,All!$B$4:$S$8977,2,FALSE)</f>
        <v>គ្រុត</v>
      </c>
      <c r="D25" s="482" t="str">
        <f>VLOOKUP(B25,All!$B$4:$S$89977,3,FALSE)</f>
        <v>សុខគា</v>
      </c>
      <c r="E25" s="484" t="str">
        <f>VLOOKUP(B25,All!$B$4:$S$8977,4,FALSE)</f>
        <v>KROT</v>
      </c>
      <c r="F25" s="482" t="str">
        <f>VLOOKUP(B25,All!$B$4:$S$8977,5,FALSE)</f>
        <v>SOKEA</v>
      </c>
      <c r="G25" s="482" t="str">
        <f>VLOOKUP(B25,All!$B$4:$S$8977,6,FALSE)</f>
        <v>M</v>
      </c>
      <c r="H25" s="486">
        <f>VLOOKUP(B25,All!$B$4:$S$8977,7,FALSE)</f>
        <v>35492</v>
      </c>
      <c r="I25" s="481">
        <f>VLOOKUP(B25,All!$B$4:$S$8977,8,FALSE)</f>
        <v>44488</v>
      </c>
      <c r="J25" s="481" t="str">
        <f>VLOOKUP(B25,All!$B$4:$S$8977,9,FALSE)</f>
        <v>Production</v>
      </c>
      <c r="K25" s="481" t="str">
        <f>VLOOKUP(B25,All!$B$4:$S$8977,10,FALSE)</f>
        <v xml:space="preserve">Cutting  </v>
      </c>
      <c r="L25" s="607" t="str">
        <f>VLOOKUP(B25,All!$B$4:$S$8977,11,FALSE)</f>
        <v>spreader</v>
      </c>
      <c r="M25" s="570">
        <f>VLOOKUP(B25,All!$B$4:$S$8977,12,FALSE)</f>
        <v>187</v>
      </c>
      <c r="N25" s="18">
        <f>VLOOKUP(B25,All!$B$4:$S$8977,13,FALSE)</f>
        <v>0</v>
      </c>
      <c r="O25" s="18">
        <f>VLOOKUP(B25,All!$B$4:$S$8977,14,FALSE)</f>
        <v>0</v>
      </c>
      <c r="P25" s="18">
        <f>VLOOKUP(B25,All!$B$4:$S$8977,15,FALSE)</f>
        <v>0</v>
      </c>
      <c r="Q25" s="18">
        <f>VLOOKUP(B25,All!$B$4:$S$8977,16,FALSE)</f>
        <v>0</v>
      </c>
      <c r="R25" s="159">
        <v>7</v>
      </c>
      <c r="S25" s="159">
        <v>10</v>
      </c>
      <c r="T25" s="550">
        <f t="shared" si="21"/>
        <v>204</v>
      </c>
      <c r="U25" s="568"/>
      <c r="V25" s="3"/>
      <c r="W25" s="3"/>
      <c r="X25" s="3"/>
      <c r="Y25" s="562"/>
      <c r="Z25" s="565">
        <f t="shared" si="3"/>
        <v>189</v>
      </c>
      <c r="AA25" s="20">
        <f t="shared" si="22"/>
        <v>0</v>
      </c>
      <c r="AB25" s="20">
        <f t="shared" si="23"/>
        <v>0</v>
      </c>
      <c r="AC25" s="20">
        <f t="shared" si="24"/>
        <v>0</v>
      </c>
      <c r="AD25" s="20">
        <f t="shared" si="25"/>
        <v>0</v>
      </c>
      <c r="AE25" s="20">
        <f t="shared" si="26"/>
        <v>7</v>
      </c>
      <c r="AF25" s="20">
        <f t="shared" si="27"/>
        <v>10</v>
      </c>
      <c r="AG25" s="550">
        <f t="shared" si="28"/>
        <v>206</v>
      </c>
      <c r="AH25" s="42">
        <v>2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2</v>
      </c>
    </row>
    <row r="26" spans="1:41" ht="24" customHeight="1">
      <c r="A26" s="549">
        <f t="shared" si="4"/>
        <v>23</v>
      </c>
      <c r="B26" s="8">
        <v>5177</v>
      </c>
      <c r="C26" s="484" t="str">
        <f>VLOOKUP(B26,All!$B$4:$S$8977,2,FALSE)</f>
        <v>ប៉ន</v>
      </c>
      <c r="D26" s="482" t="str">
        <f>VLOOKUP(B26,All!$B$4:$S$89977,3,FALSE)</f>
        <v>លុច</v>
      </c>
      <c r="E26" s="484" t="str">
        <f>VLOOKUP(B26,All!$B$4:$S$8977,4,FALSE)</f>
        <v>PORN</v>
      </c>
      <c r="F26" s="482" t="str">
        <f>VLOOKUP(B26,All!$B$4:$S$8977,5,FALSE)</f>
        <v>LOCH</v>
      </c>
      <c r="G26" s="482" t="str">
        <f>VLOOKUP(B26,All!$B$4:$S$8977,6,FALSE)</f>
        <v>M</v>
      </c>
      <c r="H26" s="486">
        <f>VLOOKUP(B26,All!$B$4:$S$8977,7,FALSE)</f>
        <v>31631</v>
      </c>
      <c r="I26" s="481">
        <f>VLOOKUP(B26,All!$B$4:$S$8977,8,FALSE)</f>
        <v>44488</v>
      </c>
      <c r="J26" s="481" t="str">
        <f>VLOOKUP(B26,All!$B$4:$S$8977,9,FALSE)</f>
        <v>Production</v>
      </c>
      <c r="K26" s="481" t="str">
        <f>VLOOKUP(B26,All!$B$4:$S$8977,10,FALSE)</f>
        <v xml:space="preserve">Cutting  </v>
      </c>
      <c r="L26" s="607" t="str">
        <f>VLOOKUP(B26,All!$B$4:$S$8977,11,FALSE)</f>
        <v>spreader</v>
      </c>
      <c r="M26" s="570">
        <f>VLOOKUP(B26,All!$B$4:$S$8977,12,FALSE)</f>
        <v>187</v>
      </c>
      <c r="N26" s="18">
        <f>VLOOKUP(B26,All!$B$4:$S$8977,13,FALSE)</f>
        <v>0</v>
      </c>
      <c r="O26" s="18">
        <f>VLOOKUP(B26,All!$B$4:$S$8977,14,FALSE)</f>
        <v>0</v>
      </c>
      <c r="P26" s="18">
        <f>VLOOKUP(B26,All!$B$4:$S$8977,15,FALSE)</f>
        <v>0</v>
      </c>
      <c r="Q26" s="18">
        <f>VLOOKUP(B26,All!$B$4:$S$8977,16,FALSE)</f>
        <v>0</v>
      </c>
      <c r="R26" s="159">
        <v>7</v>
      </c>
      <c r="S26" s="159">
        <v>10</v>
      </c>
      <c r="T26" s="550">
        <f t="shared" si="21"/>
        <v>204</v>
      </c>
      <c r="U26" s="568"/>
      <c r="V26" s="3"/>
      <c r="W26" s="3"/>
      <c r="X26" s="3"/>
      <c r="Y26" s="562"/>
      <c r="Z26" s="565">
        <f t="shared" si="3"/>
        <v>189</v>
      </c>
      <c r="AA26" s="20">
        <f t="shared" si="22"/>
        <v>0</v>
      </c>
      <c r="AB26" s="20">
        <f t="shared" si="23"/>
        <v>0</v>
      </c>
      <c r="AC26" s="20">
        <f t="shared" si="24"/>
        <v>0</v>
      </c>
      <c r="AD26" s="20">
        <f t="shared" si="25"/>
        <v>0</v>
      </c>
      <c r="AE26" s="20">
        <f t="shared" si="26"/>
        <v>7</v>
      </c>
      <c r="AF26" s="20">
        <f t="shared" si="27"/>
        <v>10</v>
      </c>
      <c r="AG26" s="550">
        <f t="shared" si="28"/>
        <v>206</v>
      </c>
      <c r="AH26" s="42">
        <v>2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2</v>
      </c>
    </row>
    <row r="27" spans="1:41" ht="24" customHeight="1" thickBot="1">
      <c r="A27" s="551">
        <f t="shared" si="4"/>
        <v>24</v>
      </c>
      <c r="B27" s="552">
        <v>5178</v>
      </c>
      <c r="C27" s="553" t="str">
        <f>VLOOKUP(B27,All!$B$4:$S$8977,2,FALSE)</f>
        <v>ឌឿប</v>
      </c>
      <c r="D27" s="554" t="str">
        <f>VLOOKUP(B27,All!$B$4:$S$89977,3,FALSE)</f>
        <v>មុំហឿន</v>
      </c>
      <c r="E27" s="553" t="str">
        <f>VLOOKUP(B27,All!$B$4:$S$8977,4,FALSE)</f>
        <v>DIEB</v>
      </c>
      <c r="F27" s="554" t="str">
        <f>VLOOKUP(B27,All!$B$4:$S$8977,5,FALSE)</f>
        <v>MOMHOEUN</v>
      </c>
      <c r="G27" s="554" t="str">
        <f>VLOOKUP(B27,All!$B$4:$S$8977,6,FALSE)</f>
        <v>M</v>
      </c>
      <c r="H27" s="611">
        <f>VLOOKUP(B27,All!$B$4:$S$8977,7,FALSE)</f>
        <v>33865</v>
      </c>
      <c r="I27" s="558">
        <f>VLOOKUP(B27,All!$B$4:$S$8977,8,FALSE)</f>
        <v>44488</v>
      </c>
      <c r="J27" s="558" t="str">
        <f>VLOOKUP(B27,All!$B$4:$S$8977,9,FALSE)</f>
        <v>Production</v>
      </c>
      <c r="K27" s="558" t="str">
        <f>VLOOKUP(B27,All!$B$4:$S$8977,10,FALSE)</f>
        <v xml:space="preserve">Cutting  </v>
      </c>
      <c r="L27" s="612" t="str">
        <f>VLOOKUP(B27,All!$B$4:$S$8977,11,FALSE)</f>
        <v>spreader</v>
      </c>
      <c r="M27" s="571">
        <f>VLOOKUP(B27,All!$B$4:$S$8977,12,FALSE)</f>
        <v>187</v>
      </c>
      <c r="N27" s="559">
        <f>VLOOKUP(B27,All!$B$4:$S$8977,13,FALSE)</f>
        <v>0</v>
      </c>
      <c r="O27" s="559">
        <f>VLOOKUP(B27,All!$B$4:$S$8977,14,FALSE)</f>
        <v>0</v>
      </c>
      <c r="P27" s="559">
        <f>VLOOKUP(B27,All!$B$4:$S$8977,15,FALSE)</f>
        <v>0</v>
      </c>
      <c r="Q27" s="559">
        <f>VLOOKUP(B27,All!$B$4:$S$8977,16,FALSE)</f>
        <v>0</v>
      </c>
      <c r="R27" s="572">
        <v>7</v>
      </c>
      <c r="S27" s="572">
        <v>10</v>
      </c>
      <c r="T27" s="560">
        <f t="shared" si="21"/>
        <v>204</v>
      </c>
      <c r="U27" s="568"/>
      <c r="V27" s="3"/>
      <c r="W27" s="3"/>
      <c r="X27" s="3"/>
      <c r="Y27" s="562"/>
      <c r="Z27" s="566">
        <f t="shared" si="3"/>
        <v>189</v>
      </c>
      <c r="AA27" s="567">
        <f t="shared" si="22"/>
        <v>0</v>
      </c>
      <c r="AB27" s="567">
        <f t="shared" si="23"/>
        <v>0</v>
      </c>
      <c r="AC27" s="567">
        <f t="shared" si="24"/>
        <v>0</v>
      </c>
      <c r="AD27" s="567">
        <f t="shared" si="25"/>
        <v>0</v>
      </c>
      <c r="AE27" s="567">
        <f t="shared" si="26"/>
        <v>7</v>
      </c>
      <c r="AF27" s="567">
        <f t="shared" si="27"/>
        <v>10</v>
      </c>
      <c r="AG27" s="560">
        <f t="shared" si="28"/>
        <v>206</v>
      </c>
      <c r="AH27" s="42">
        <v>2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2</v>
      </c>
    </row>
    <row r="28" spans="1:41" ht="15.75" customHeight="1">
      <c r="B28" s="7"/>
    </row>
    <row r="29" spans="1:41" ht="24" customHeight="1">
      <c r="T29" s="42">
        <f>SUM(T4:T28)</f>
        <v>5136</v>
      </c>
      <c r="Z29" s="42"/>
      <c r="AA29" s="42"/>
      <c r="AB29" s="42"/>
      <c r="AC29" s="42"/>
      <c r="AD29" s="42"/>
      <c r="AE29" s="42"/>
      <c r="AF29" s="42"/>
      <c r="AG29" s="42">
        <f>SUM(AG4:AG28)</f>
        <v>5182</v>
      </c>
      <c r="AH29" s="42">
        <f>SUM(AH4:AH28)</f>
        <v>48</v>
      </c>
      <c r="AI29" s="42">
        <f>SUM(AI4:AI28)</f>
        <v>0</v>
      </c>
    </row>
  </sheetData>
  <mergeCells count="3">
    <mergeCell ref="Z1:AG1"/>
    <mergeCell ref="E3:F3"/>
    <mergeCell ref="M1:T1"/>
  </mergeCells>
  <phoneticPr fontId="8" type="noConversion"/>
  <conditionalFormatting sqref="B30:B1048576">
    <cfRule type="duplicateValues" dxfId="898" priority="714"/>
  </conditionalFormatting>
  <conditionalFormatting sqref="Y28 B30:B1048576 Y30:Y1048576">
    <cfRule type="duplicateValues" dxfId="897" priority="461"/>
  </conditionalFormatting>
  <conditionalFormatting sqref="B19:B20">
    <cfRule type="duplicateValues" dxfId="896" priority="12726"/>
  </conditionalFormatting>
  <conditionalFormatting sqref="B20">
    <cfRule type="duplicateValues" dxfId="895" priority="12727"/>
  </conditionalFormatting>
  <conditionalFormatting sqref="B4:B20">
    <cfRule type="duplicateValues" dxfId="894" priority="14180"/>
  </conditionalFormatting>
  <conditionalFormatting sqref="B3">
    <cfRule type="duplicateValues" dxfId="893" priority="92"/>
  </conditionalFormatting>
  <conditionalFormatting sqref="B3">
    <cfRule type="duplicateValues" dxfId="892" priority="91"/>
  </conditionalFormatting>
  <conditionalFormatting sqref="B3">
    <cfRule type="duplicateValues" dxfId="891" priority="90"/>
  </conditionalFormatting>
  <conditionalFormatting sqref="B3">
    <cfRule type="duplicateValues" dxfId="890" priority="88"/>
    <cfRule type="duplicateValues" dxfId="889" priority="89"/>
  </conditionalFormatting>
  <conditionalFormatting sqref="B3">
    <cfRule type="duplicateValues" dxfId="888" priority="87"/>
  </conditionalFormatting>
  <conditionalFormatting sqref="B3">
    <cfRule type="duplicateValues" dxfId="887" priority="83"/>
    <cfRule type="duplicateValues" dxfId="886" priority="84"/>
    <cfRule type="duplicateValues" dxfId="885" priority="85"/>
    <cfRule type="duplicateValues" dxfId="884" priority="86"/>
  </conditionalFormatting>
  <conditionalFormatting sqref="B3">
    <cfRule type="duplicateValues" dxfId="883" priority="82"/>
  </conditionalFormatting>
  <conditionalFormatting sqref="B3">
    <cfRule type="duplicateValues" dxfId="882" priority="77"/>
    <cfRule type="duplicateValues" dxfId="881" priority="78"/>
    <cfRule type="duplicateValues" dxfId="880" priority="79"/>
    <cfRule type="duplicateValues" dxfId="879" priority="80"/>
    <cfRule type="duplicateValues" dxfId="878" priority="81"/>
  </conditionalFormatting>
  <conditionalFormatting sqref="B3">
    <cfRule type="duplicateValues" dxfId="877" priority="76"/>
  </conditionalFormatting>
  <conditionalFormatting sqref="B3">
    <cfRule type="duplicateValues" dxfId="876" priority="75"/>
  </conditionalFormatting>
  <conditionalFormatting sqref="B3">
    <cfRule type="duplicateValues" dxfId="875" priority="73"/>
    <cfRule type="duplicateValues" dxfId="874" priority="74"/>
  </conditionalFormatting>
  <conditionalFormatting sqref="B3">
    <cfRule type="duplicateValues" dxfId="873" priority="68"/>
    <cfRule type="duplicateValues" dxfId="872" priority="69"/>
    <cfRule type="duplicateValues" dxfId="871" priority="70"/>
    <cfRule type="duplicateValues" dxfId="870" priority="71"/>
    <cfRule type="duplicateValues" dxfId="869" priority="72"/>
  </conditionalFormatting>
  <conditionalFormatting sqref="B3">
    <cfRule type="duplicateValues" dxfId="868" priority="67"/>
  </conditionalFormatting>
  <conditionalFormatting sqref="B3">
    <cfRule type="duplicateValues" dxfId="867" priority="66"/>
  </conditionalFormatting>
  <conditionalFormatting sqref="B3">
    <cfRule type="duplicateValues" dxfId="866" priority="64"/>
    <cfRule type="duplicateValues" dxfId="865" priority="65"/>
  </conditionalFormatting>
  <conditionalFormatting sqref="B3">
    <cfRule type="duplicateValues" dxfId="864" priority="60"/>
    <cfRule type="duplicateValues" dxfId="863" priority="61"/>
    <cfRule type="duplicateValues" dxfId="862" priority="62"/>
    <cfRule type="duplicateValues" dxfId="861" priority="63"/>
  </conditionalFormatting>
  <conditionalFormatting sqref="B3">
    <cfRule type="duplicateValues" dxfId="860" priority="59"/>
  </conditionalFormatting>
  <conditionalFormatting sqref="B3">
    <cfRule type="duplicateValues" dxfId="859" priority="54"/>
    <cfRule type="duplicateValues" dxfId="858" priority="55"/>
    <cfRule type="duplicateValues" dxfId="857" priority="56"/>
    <cfRule type="duplicateValues" dxfId="856" priority="57"/>
    <cfRule type="duplicateValues" dxfId="855" priority="58"/>
  </conditionalFormatting>
  <conditionalFormatting sqref="B3">
    <cfRule type="duplicateValues" dxfId="854" priority="53"/>
  </conditionalFormatting>
  <conditionalFormatting sqref="B3">
    <cfRule type="duplicateValues" dxfId="853" priority="52"/>
  </conditionalFormatting>
  <conditionalFormatting sqref="B3">
    <cfRule type="duplicateValues" dxfId="852" priority="51"/>
  </conditionalFormatting>
  <conditionalFormatting sqref="B3">
    <cfRule type="duplicateValues" dxfId="851" priority="49"/>
    <cfRule type="duplicateValues" dxfId="850" priority="50"/>
  </conditionalFormatting>
  <conditionalFormatting sqref="B3">
    <cfRule type="duplicateValues" dxfId="849" priority="48"/>
  </conditionalFormatting>
  <conditionalFormatting sqref="B3">
    <cfRule type="duplicateValues" dxfId="848" priority="93"/>
  </conditionalFormatting>
  <conditionalFormatting sqref="E3">
    <cfRule type="duplicateValues" dxfId="847" priority="47"/>
  </conditionalFormatting>
  <conditionalFormatting sqref="E3">
    <cfRule type="duplicateValues" dxfId="846" priority="46"/>
  </conditionalFormatting>
  <conditionalFormatting sqref="E3">
    <cfRule type="duplicateValues" dxfId="845" priority="45"/>
  </conditionalFormatting>
  <conditionalFormatting sqref="E3">
    <cfRule type="duplicateValues" dxfId="844" priority="43"/>
    <cfRule type="duplicateValues" dxfId="843" priority="44"/>
  </conditionalFormatting>
  <conditionalFormatting sqref="E3">
    <cfRule type="duplicateValues" dxfId="842" priority="42"/>
  </conditionalFormatting>
  <conditionalFormatting sqref="E3">
    <cfRule type="duplicateValues" dxfId="841" priority="38"/>
    <cfRule type="duplicateValues" dxfId="840" priority="39"/>
    <cfRule type="duplicateValues" dxfId="839" priority="40"/>
    <cfRule type="duplicateValues" dxfId="838" priority="41"/>
  </conditionalFormatting>
  <conditionalFormatting sqref="E3">
    <cfRule type="duplicateValues" dxfId="837" priority="37"/>
  </conditionalFormatting>
  <conditionalFormatting sqref="E3">
    <cfRule type="duplicateValues" dxfId="836" priority="32"/>
    <cfRule type="duplicateValues" dxfId="835" priority="33"/>
    <cfRule type="duplicateValues" dxfId="834" priority="34"/>
    <cfRule type="duplicateValues" dxfId="833" priority="35"/>
    <cfRule type="duplicateValues" dxfId="832" priority="36"/>
  </conditionalFormatting>
  <conditionalFormatting sqref="E3">
    <cfRule type="duplicateValues" dxfId="831" priority="31"/>
  </conditionalFormatting>
  <conditionalFormatting sqref="E3">
    <cfRule type="duplicateValues" dxfId="830" priority="30"/>
  </conditionalFormatting>
  <conditionalFormatting sqref="E3">
    <cfRule type="duplicateValues" dxfId="829" priority="28"/>
    <cfRule type="duplicateValues" dxfId="828" priority="29"/>
  </conditionalFormatting>
  <conditionalFormatting sqref="E3">
    <cfRule type="duplicateValues" dxfId="827" priority="23"/>
    <cfRule type="duplicateValues" dxfId="826" priority="24"/>
    <cfRule type="duplicateValues" dxfId="825" priority="25"/>
    <cfRule type="duplicateValues" dxfId="824" priority="26"/>
    <cfRule type="duplicateValues" dxfId="823" priority="27"/>
  </conditionalFormatting>
  <conditionalFormatting sqref="E3">
    <cfRule type="duplicateValues" dxfId="822" priority="22"/>
  </conditionalFormatting>
  <conditionalFormatting sqref="E3">
    <cfRule type="duplicateValues" dxfId="821" priority="21"/>
  </conditionalFormatting>
  <conditionalFormatting sqref="E3">
    <cfRule type="duplicateValues" dxfId="820" priority="19"/>
    <cfRule type="duplicateValues" dxfId="819" priority="20"/>
  </conditionalFormatting>
  <conditionalFormatting sqref="E3">
    <cfRule type="duplicateValues" dxfId="818" priority="15"/>
    <cfRule type="duplicateValues" dxfId="817" priority="16"/>
    <cfRule type="duplicateValues" dxfId="816" priority="17"/>
    <cfRule type="duplicateValues" dxfId="815" priority="18"/>
  </conditionalFormatting>
  <conditionalFormatting sqref="E3">
    <cfRule type="duplicateValues" dxfId="814" priority="14"/>
  </conditionalFormatting>
  <conditionalFormatting sqref="E3">
    <cfRule type="duplicateValues" dxfId="813" priority="9"/>
    <cfRule type="duplicateValues" dxfId="812" priority="10"/>
    <cfRule type="duplicateValues" dxfId="811" priority="11"/>
    <cfRule type="duplicateValues" dxfId="810" priority="12"/>
    <cfRule type="duplicateValues" dxfId="809" priority="13"/>
  </conditionalFormatting>
  <conditionalFormatting sqref="E3">
    <cfRule type="duplicateValues" dxfId="808" priority="8"/>
  </conditionalFormatting>
  <conditionalFormatting sqref="E3">
    <cfRule type="duplicateValues" dxfId="807" priority="7"/>
  </conditionalFormatting>
  <conditionalFormatting sqref="E3">
    <cfRule type="duplicateValues" dxfId="806" priority="6"/>
  </conditionalFormatting>
  <conditionalFormatting sqref="E3">
    <cfRule type="duplicateValues" dxfId="805" priority="4"/>
    <cfRule type="duplicateValues" dxfId="804" priority="5"/>
  </conditionalFormatting>
  <conditionalFormatting sqref="E3">
    <cfRule type="duplicateValues" dxfId="803" priority="3"/>
  </conditionalFormatting>
  <conditionalFormatting sqref="B3">
    <cfRule type="duplicateValues" dxfId="802" priority="2"/>
  </conditionalFormatting>
  <conditionalFormatting sqref="B3">
    <cfRule type="duplicateValues" dxfId="801" priority="1"/>
  </conditionalFormatting>
  <conditionalFormatting sqref="B21:B27">
    <cfRule type="duplicateValues" dxfId="800" priority="15551"/>
  </conditionalFormatting>
  <conditionalFormatting sqref="B4:B27">
    <cfRule type="duplicateValues" dxfId="799" priority="15552"/>
  </conditionalFormatting>
  <pageMargins left="0.7" right="0.7" top="0.75" bottom="0.75" header="0.3" footer="0.3"/>
  <pageSetup paperSize="9" scale="4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O60"/>
  <sheetViews>
    <sheetView showGridLines="0" zoomScaleNormal="100" workbookViewId="0">
      <pane xSplit="12" ySplit="3" topLeftCell="R4" activePane="bottomRight" state="frozen"/>
      <selection pane="topRight" activeCell="M1" sqref="M1"/>
      <selection pane="bottomLeft" activeCell="A4" sqref="A4"/>
      <selection pane="bottomRight" activeCell="G11" sqref="G11"/>
    </sheetView>
  </sheetViews>
  <sheetFormatPr defaultRowHeight="15"/>
  <cols>
    <col min="1" max="1" width="5.7109375" customWidth="1"/>
    <col min="2" max="2" width="7.5703125" customWidth="1"/>
    <col min="3" max="3" width="7" hidden="1" customWidth="1"/>
    <col min="4" max="4" width="9.28515625" hidden="1" customWidth="1"/>
    <col min="6" max="6" width="12.5703125" customWidth="1"/>
    <col min="7" max="7" width="5.7109375" customWidth="1"/>
    <col min="8" max="8" width="9.42578125" customWidth="1"/>
    <col min="9" max="9" width="11.28515625" customWidth="1"/>
    <col min="10" max="10" width="11.7109375" hidden="1" customWidth="1"/>
    <col min="11" max="11" width="9.85546875" style="632" customWidth="1"/>
    <col min="12" max="12" width="9.42578125" bestFit="1" customWidth="1"/>
    <col min="13" max="13" width="10.28515625" customWidth="1"/>
    <col min="14" max="14" width="7.5703125" customWidth="1"/>
    <col min="15" max="15" width="6.140625" bestFit="1" customWidth="1"/>
    <col min="16" max="16" width="9.42578125" style="4" customWidth="1"/>
    <col min="17" max="17" width="9" style="4" bestFit="1" customWidth="1"/>
    <col min="18" max="18" width="9.140625" style="4"/>
    <col min="19" max="19" width="8.7109375" style="338" bestFit="1" customWidth="1"/>
    <col min="20" max="20" width="12.42578125" bestFit="1" customWidth="1"/>
    <col min="21" max="22" width="0" hidden="1" customWidth="1"/>
    <col min="23" max="23" width="15.42578125" hidden="1" customWidth="1"/>
    <col min="24" max="25" width="0" hidden="1" customWidth="1"/>
    <col min="28" max="28" width="6.140625" bestFit="1" customWidth="1"/>
    <col min="30" max="30" width="9" bestFit="1" customWidth="1"/>
    <col min="33" max="33" width="12.42578125" bestFit="1" customWidth="1"/>
    <col min="34" max="41" width="0" hidden="1" customWidth="1"/>
  </cols>
  <sheetData>
    <row r="1" spans="1:41" ht="22.5">
      <c r="A1" s="541" t="s">
        <v>60</v>
      </c>
      <c r="B1" s="542" t="s">
        <v>68</v>
      </c>
      <c r="C1" s="573" t="s">
        <v>128</v>
      </c>
      <c r="D1" s="546" t="s">
        <v>129</v>
      </c>
      <c r="E1" s="573" t="s">
        <v>61</v>
      </c>
      <c r="F1" s="546" t="s">
        <v>62</v>
      </c>
      <c r="G1" s="544" t="s">
        <v>130</v>
      </c>
      <c r="H1" s="545" t="s">
        <v>63</v>
      </c>
      <c r="I1" s="546" t="s">
        <v>64</v>
      </c>
      <c r="J1" s="546" t="s">
        <v>6160</v>
      </c>
      <c r="K1" s="546" t="s">
        <v>65</v>
      </c>
      <c r="L1" s="574" t="s">
        <v>66</v>
      </c>
      <c r="M1" s="724" t="s">
        <v>6022</v>
      </c>
      <c r="N1" s="725"/>
      <c r="O1" s="725"/>
      <c r="P1" s="725"/>
      <c r="Q1" s="725"/>
      <c r="R1" s="725"/>
      <c r="S1" s="725"/>
      <c r="T1" s="726"/>
      <c r="U1" s="339" t="s">
        <v>6145</v>
      </c>
      <c r="V1" s="340" t="s">
        <v>6146</v>
      </c>
      <c r="W1" s="340" t="s">
        <v>6147</v>
      </c>
      <c r="X1" s="341" t="s">
        <v>6321</v>
      </c>
      <c r="Y1" s="470" t="s">
        <v>6148</v>
      </c>
      <c r="Z1" s="718" t="s">
        <v>6322</v>
      </c>
      <c r="AA1" s="719"/>
      <c r="AB1" s="719"/>
      <c r="AC1" s="719"/>
      <c r="AD1" s="719"/>
      <c r="AE1" s="719"/>
      <c r="AF1" s="719"/>
      <c r="AG1" s="720"/>
    </row>
    <row r="2" spans="1:41" ht="33.75">
      <c r="A2" s="547" t="s">
        <v>67</v>
      </c>
      <c r="B2" s="483" t="s">
        <v>68</v>
      </c>
      <c r="C2" s="351" t="s">
        <v>150</v>
      </c>
      <c r="D2" s="352" t="s">
        <v>69</v>
      </c>
      <c r="E2" s="351" t="s">
        <v>70</v>
      </c>
      <c r="F2" s="352" t="s">
        <v>69</v>
      </c>
      <c r="G2" s="53" t="s">
        <v>151</v>
      </c>
      <c r="H2" s="33" t="s">
        <v>71</v>
      </c>
      <c r="I2" s="352" t="s">
        <v>1</v>
      </c>
      <c r="J2" s="352" t="s">
        <v>72</v>
      </c>
      <c r="K2" s="352" t="s">
        <v>6315</v>
      </c>
      <c r="L2" s="575" t="s">
        <v>0</v>
      </c>
      <c r="M2" s="569" t="s">
        <v>73</v>
      </c>
      <c r="N2" s="59" t="s">
        <v>2</v>
      </c>
      <c r="O2" s="59" t="s">
        <v>3</v>
      </c>
      <c r="P2" s="59" t="s">
        <v>0</v>
      </c>
      <c r="Q2" s="59" t="s">
        <v>4</v>
      </c>
      <c r="R2" s="298" t="s">
        <v>74</v>
      </c>
      <c r="S2" s="59" t="s">
        <v>75</v>
      </c>
      <c r="T2" s="548" t="s">
        <v>76</v>
      </c>
      <c r="U2" s="359" t="s">
        <v>6149</v>
      </c>
      <c r="V2" s="360" t="s">
        <v>6150</v>
      </c>
      <c r="W2" s="360" t="s">
        <v>6151</v>
      </c>
      <c r="X2" s="361" t="s">
        <v>6563</v>
      </c>
      <c r="Y2" s="561" t="s">
        <v>6153</v>
      </c>
      <c r="Z2" s="563" t="s">
        <v>73</v>
      </c>
      <c r="AA2" s="363" t="s">
        <v>2</v>
      </c>
      <c r="AB2" s="363" t="s">
        <v>3</v>
      </c>
      <c r="AC2" s="363" t="s">
        <v>0</v>
      </c>
      <c r="AD2" s="363" t="s">
        <v>4</v>
      </c>
      <c r="AE2" s="364" t="s">
        <v>74</v>
      </c>
      <c r="AF2" s="363" t="s">
        <v>75</v>
      </c>
      <c r="AG2" s="564" t="s">
        <v>76</v>
      </c>
    </row>
    <row r="3" spans="1:41" ht="15.75" thickBot="1">
      <c r="A3" s="576" t="s">
        <v>6584</v>
      </c>
      <c r="B3" s="35" t="s">
        <v>6580</v>
      </c>
      <c r="C3" s="577"/>
      <c r="D3" s="578"/>
      <c r="E3" s="721" t="s">
        <v>117</v>
      </c>
      <c r="F3" s="722"/>
      <c r="G3" s="579" t="s">
        <v>6581</v>
      </c>
      <c r="H3" s="580" t="s">
        <v>6582</v>
      </c>
      <c r="I3" s="36" t="s">
        <v>123</v>
      </c>
      <c r="J3" s="581" t="s">
        <v>6109</v>
      </c>
      <c r="K3" s="582" t="s">
        <v>6583</v>
      </c>
      <c r="L3" s="345" t="s">
        <v>124</v>
      </c>
      <c r="M3" s="37" t="s">
        <v>118</v>
      </c>
      <c r="N3" s="38" t="s">
        <v>119</v>
      </c>
      <c r="O3" s="38" t="s">
        <v>120</v>
      </c>
      <c r="P3" s="38" t="s">
        <v>121</v>
      </c>
      <c r="Q3" s="38" t="s">
        <v>6155</v>
      </c>
      <c r="R3" s="39" t="s">
        <v>6156</v>
      </c>
      <c r="S3" s="38" t="s">
        <v>122</v>
      </c>
      <c r="T3" s="41" t="s">
        <v>6157</v>
      </c>
      <c r="U3" s="343" t="s">
        <v>6154</v>
      </c>
      <c r="V3" s="36" t="s">
        <v>6150</v>
      </c>
      <c r="W3" s="36" t="s">
        <v>6151</v>
      </c>
      <c r="X3" s="344" t="s">
        <v>6563</v>
      </c>
      <c r="Y3" s="40" t="s">
        <v>6153</v>
      </c>
      <c r="Z3" s="37" t="s">
        <v>118</v>
      </c>
      <c r="AA3" s="38" t="s">
        <v>119</v>
      </c>
      <c r="AB3" s="38" t="s">
        <v>120</v>
      </c>
      <c r="AC3" s="38" t="s">
        <v>121</v>
      </c>
      <c r="AD3" s="38" t="s">
        <v>6155</v>
      </c>
      <c r="AE3" s="39" t="s">
        <v>6156</v>
      </c>
      <c r="AF3" s="38" t="s">
        <v>122</v>
      </c>
      <c r="AG3" s="41" t="s">
        <v>6462</v>
      </c>
    </row>
    <row r="4" spans="1:41" ht="24" customHeight="1">
      <c r="A4" s="598">
        <f>1</f>
        <v>1</v>
      </c>
      <c r="B4" s="599">
        <v>2679</v>
      </c>
      <c r="C4" s="600" t="str">
        <f>VLOOKUP(B4,All!$B$4:$S$8977,2,FALSE)</f>
        <v>ប៉ោ</v>
      </c>
      <c r="D4" s="601" t="str">
        <f>VLOOKUP(B4,All!$B$4:$S$89977,3,FALSE)</f>
        <v>ចន្ទ័តារ៉ា</v>
      </c>
      <c r="E4" s="600" t="str">
        <f>VLOOKUP(B4,All!$B$4:$S$8977,4,FALSE)</f>
        <v>Por</v>
      </c>
      <c r="F4" s="601" t="str">
        <f>VLOOKUP(B4,All!$B$4:$S$8977,5,FALSE)</f>
        <v>ChanDara</v>
      </c>
      <c r="G4" s="602" t="str">
        <f>VLOOKUP(B4,All!$B$4:$S$8977,6,FALSE)</f>
        <v>M</v>
      </c>
      <c r="H4" s="603">
        <f>VLOOKUP(B4,All!$B$4:$S$8977,7,FALSE)</f>
        <v>26419</v>
      </c>
      <c r="I4" s="604">
        <f>VLOOKUP(B4,All!$B$4:$S$8977,8,FALSE)</f>
        <v>43498</v>
      </c>
      <c r="J4" s="604" t="str">
        <f>VLOOKUP(B4,All!$B$4:$S$8977,9,FALSE)</f>
        <v>Production</v>
      </c>
      <c r="K4" s="641" t="str">
        <f>VLOOKUP(B4,All!$B$4:$S$8977,10,FALSE)</f>
        <v>Machine on Line</v>
      </c>
      <c r="L4" s="605" t="str">
        <f>VLOOKUP(B4,All!$B$4:$S$8977,11,FALSE)</f>
        <v>mechanic</v>
      </c>
      <c r="M4" s="570">
        <f>VLOOKUP(B4,All!$B$4:$S$8977,12,FALSE)</f>
        <v>192</v>
      </c>
      <c r="N4" s="18">
        <f>VLOOKUP(B4,All!$B$4:$S$8977,13,FALSE)</f>
        <v>3</v>
      </c>
      <c r="O4" s="18">
        <f>VLOOKUP(B4,All!$B$4:$S$8977,14,FALSE)</f>
        <v>0</v>
      </c>
      <c r="P4" s="18">
        <f>VLOOKUP(B4,All!$B$4:$S$8977,15,FALSE)</f>
        <v>148</v>
      </c>
      <c r="Q4" s="18">
        <f>VLOOKUP(B4,All!$B$4:$S$8977,16,FALSE)</f>
        <v>0</v>
      </c>
      <c r="R4" s="159">
        <v>7</v>
      </c>
      <c r="S4" s="159">
        <v>10</v>
      </c>
      <c r="T4" s="550">
        <f t="shared" ref="T4:T9" si="0">SUM(M4:S4)</f>
        <v>360</v>
      </c>
      <c r="U4" s="568"/>
      <c r="V4" s="3"/>
      <c r="W4" s="3"/>
      <c r="X4" s="3"/>
      <c r="Y4" s="562"/>
      <c r="Z4" s="565">
        <f t="shared" ref="Z4:Z9" si="1">M4+AH4</f>
        <v>194</v>
      </c>
      <c r="AA4" s="20">
        <f t="shared" ref="AA4:AA9" si="2">N4</f>
        <v>3</v>
      </c>
      <c r="AB4" s="20">
        <f t="shared" ref="AB4:AB9" si="3">O4</f>
        <v>0</v>
      </c>
      <c r="AC4" s="20">
        <f t="shared" ref="AC4:AC9" si="4">P4</f>
        <v>148</v>
      </c>
      <c r="AD4" s="20">
        <f t="shared" ref="AD4:AD9" si="5">Q4</f>
        <v>0</v>
      </c>
      <c r="AE4" s="20">
        <f t="shared" ref="AE4:AE9" si="6">R4</f>
        <v>7</v>
      </c>
      <c r="AF4" s="20">
        <f t="shared" ref="AF4:AF9" si="7">S4</f>
        <v>10</v>
      </c>
      <c r="AG4" s="550">
        <f t="shared" ref="AG4:AG8" si="8">SUM(Z4:AF4)</f>
        <v>362</v>
      </c>
      <c r="AH4" s="42">
        <v>2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2</v>
      </c>
    </row>
    <row r="5" spans="1:41" ht="24" customHeight="1">
      <c r="A5" s="606">
        <f t="shared" ref="A5:A9" si="9">1+A4</f>
        <v>2</v>
      </c>
      <c r="B5" s="8">
        <v>2710</v>
      </c>
      <c r="C5" s="487" t="str">
        <f>VLOOKUP(B5,All!$B$4:$S$8977,2,FALSE)</f>
        <v>គង់</v>
      </c>
      <c r="D5" s="488" t="str">
        <f>VLOOKUP(B5,All!$B$4:$S$89977,3,FALSE)</f>
        <v>ភឿន</v>
      </c>
      <c r="E5" s="487" t="str">
        <f>VLOOKUP(B5,All!$B$4:$S$8977,4,FALSE)</f>
        <v>Kong</v>
      </c>
      <c r="F5" s="488" t="str">
        <f>VLOOKUP(B5,All!$B$4:$S$8977,5,FALSE)</f>
        <v>Phoeun</v>
      </c>
      <c r="G5" s="482" t="str">
        <f>VLOOKUP(B5,All!$B$4:$S$8977,6,FALSE)</f>
        <v>M</v>
      </c>
      <c r="H5" s="486">
        <f>VLOOKUP(B5,All!$B$4:$S$8977,7,FALSE)</f>
        <v>29314</v>
      </c>
      <c r="I5" s="481">
        <f>VLOOKUP(B5,All!$B$4:$S$8977,8,FALSE)</f>
        <v>43508</v>
      </c>
      <c r="J5" s="481" t="str">
        <f>VLOOKUP(B5,All!$B$4:$S$8977,9,FALSE)</f>
        <v>Production</v>
      </c>
      <c r="K5" s="631" t="str">
        <f>VLOOKUP(B5,All!$B$4:$S$8977,10,FALSE)</f>
        <v>Machine on Line</v>
      </c>
      <c r="L5" s="607" t="str">
        <f>VLOOKUP(B5,All!$B$4:$S$8977,11,FALSE)</f>
        <v>mechanic</v>
      </c>
      <c r="M5" s="570">
        <f>VLOOKUP(B5,All!$B$4:$S$8977,12,FALSE)</f>
        <v>192</v>
      </c>
      <c r="N5" s="18">
        <f>VLOOKUP(B5,All!$B$4:$S$8977,13,FALSE)</f>
        <v>3</v>
      </c>
      <c r="O5" s="18">
        <f>VLOOKUP(B5,All!$B$4:$S$8977,14,FALSE)</f>
        <v>0</v>
      </c>
      <c r="P5" s="18">
        <f>VLOOKUP(B5,All!$B$4:$S$8977,15,FALSE)</f>
        <v>173</v>
      </c>
      <c r="Q5" s="18">
        <f>VLOOKUP(B5,All!$B$4:$S$8977,16,FALSE)</f>
        <v>0</v>
      </c>
      <c r="R5" s="159">
        <v>7</v>
      </c>
      <c r="S5" s="159">
        <v>10</v>
      </c>
      <c r="T5" s="550">
        <f t="shared" si="0"/>
        <v>385</v>
      </c>
      <c r="U5" s="568"/>
      <c r="V5" s="3"/>
      <c r="W5" s="3"/>
      <c r="X5" s="3"/>
      <c r="Y5" s="562"/>
      <c r="Z5" s="565">
        <f t="shared" si="1"/>
        <v>194</v>
      </c>
      <c r="AA5" s="20">
        <f t="shared" si="2"/>
        <v>3</v>
      </c>
      <c r="AB5" s="20">
        <f t="shared" si="3"/>
        <v>0</v>
      </c>
      <c r="AC5" s="20">
        <f t="shared" si="4"/>
        <v>173</v>
      </c>
      <c r="AD5" s="20">
        <f t="shared" si="5"/>
        <v>0</v>
      </c>
      <c r="AE5" s="20">
        <f t="shared" si="6"/>
        <v>7</v>
      </c>
      <c r="AF5" s="20">
        <f t="shared" si="7"/>
        <v>10</v>
      </c>
      <c r="AG5" s="550">
        <f t="shared" si="8"/>
        <v>387</v>
      </c>
      <c r="AH5" s="42">
        <v>2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2</v>
      </c>
    </row>
    <row r="6" spans="1:41" ht="24" customHeight="1">
      <c r="A6" s="606">
        <f t="shared" si="9"/>
        <v>3</v>
      </c>
      <c r="B6" s="8">
        <v>3876</v>
      </c>
      <c r="C6" s="487" t="str">
        <f>VLOOKUP(B6,All!$B$4:$S$8977,2,FALSE)</f>
        <v>ឃៀន</v>
      </c>
      <c r="D6" s="488" t="str">
        <f>VLOOKUP(B6,All!$B$4:$S$89977,3,FALSE)</f>
        <v>ខុម</v>
      </c>
      <c r="E6" s="487" t="str">
        <f>VLOOKUP(B6,All!$B$4:$S$8977,4,FALSE)</f>
        <v>KHEA</v>
      </c>
      <c r="F6" s="488" t="str">
        <f>VLOOKUP(B6,All!$B$4:$S$8977,5,FALSE)</f>
        <v>KHOM</v>
      </c>
      <c r="G6" s="482" t="str">
        <f>VLOOKUP(B6,All!$B$4:$S$8977,6,FALSE)</f>
        <v>M</v>
      </c>
      <c r="H6" s="486">
        <f>VLOOKUP(B6,All!$B$4:$S$8977,7,FALSE)</f>
        <v>29864</v>
      </c>
      <c r="I6" s="481">
        <f>VLOOKUP(B6,All!$B$4:$S$8977,8,FALSE)</f>
        <v>43773</v>
      </c>
      <c r="J6" s="481" t="str">
        <f>VLOOKUP(B6,All!$B$4:$S$8977,9,FALSE)</f>
        <v>Production</v>
      </c>
      <c r="K6" s="631" t="str">
        <f>VLOOKUP(B6,All!$B$4:$S$8977,10,FALSE)</f>
        <v>Machine on Line</v>
      </c>
      <c r="L6" s="607" t="str">
        <f>VLOOKUP(B6,All!$B$4:$S$8977,11,FALSE)</f>
        <v>mechanic</v>
      </c>
      <c r="M6" s="570">
        <f>VLOOKUP(B6,All!$B$4:$S$8977,12,FALSE)</f>
        <v>192</v>
      </c>
      <c r="N6" s="18">
        <f>VLOOKUP(B6,All!$B$4:$S$8977,13,FALSE)</f>
        <v>3</v>
      </c>
      <c r="O6" s="18">
        <f>VLOOKUP(B6,All!$B$4:$S$8977,14,FALSE)</f>
        <v>0</v>
      </c>
      <c r="P6" s="18">
        <f>VLOOKUP(B6,All!$B$4:$S$8977,15,FALSE)</f>
        <v>168</v>
      </c>
      <c r="Q6" s="18">
        <f>VLOOKUP(B6,All!$B$4:$S$8977,16,FALSE)</f>
        <v>0</v>
      </c>
      <c r="R6" s="159">
        <v>7</v>
      </c>
      <c r="S6" s="159">
        <v>10</v>
      </c>
      <c r="T6" s="550">
        <f t="shared" si="0"/>
        <v>380</v>
      </c>
      <c r="U6" s="568"/>
      <c r="V6" s="3"/>
      <c r="W6" s="3"/>
      <c r="X6" s="3"/>
      <c r="Y6" s="562"/>
      <c r="Z6" s="565">
        <f t="shared" si="1"/>
        <v>194</v>
      </c>
      <c r="AA6" s="20">
        <f t="shared" si="2"/>
        <v>3</v>
      </c>
      <c r="AB6" s="20">
        <f t="shared" si="3"/>
        <v>0</v>
      </c>
      <c r="AC6" s="20">
        <f t="shared" si="4"/>
        <v>168</v>
      </c>
      <c r="AD6" s="20">
        <f t="shared" si="5"/>
        <v>0</v>
      </c>
      <c r="AE6" s="20">
        <f t="shared" si="6"/>
        <v>7</v>
      </c>
      <c r="AF6" s="20">
        <f t="shared" si="7"/>
        <v>10</v>
      </c>
      <c r="AG6" s="550">
        <f t="shared" si="8"/>
        <v>382</v>
      </c>
      <c r="AH6" s="42">
        <v>2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2</v>
      </c>
    </row>
    <row r="7" spans="1:41" ht="24" customHeight="1">
      <c r="A7" s="606">
        <f t="shared" si="9"/>
        <v>4</v>
      </c>
      <c r="B7" s="8">
        <v>4007</v>
      </c>
      <c r="C7" s="487" t="str">
        <f>VLOOKUP(B7,All!$B$4:$S$8977,2,FALSE)</f>
        <v>ខៀវ</v>
      </c>
      <c r="D7" s="488" t="str">
        <f>VLOOKUP(B7,All!$B$4:$S$89977,3,FALSE)</f>
        <v>ខី</v>
      </c>
      <c r="E7" s="487" t="str">
        <f>VLOOKUP(B7,All!$B$4:$S$8977,4,FALSE)</f>
        <v>KHIEV</v>
      </c>
      <c r="F7" s="488" t="str">
        <f>VLOOKUP(B7,All!$B$4:$S$8977,5,FALSE)</f>
        <v>KHEY</v>
      </c>
      <c r="G7" s="482" t="str">
        <f>VLOOKUP(B7,All!$B$4:$S$8977,6,FALSE)</f>
        <v>M</v>
      </c>
      <c r="H7" s="486">
        <f>VLOOKUP(B7,All!$B$4:$S$8977,7,FALSE)</f>
        <v>34416</v>
      </c>
      <c r="I7" s="481">
        <f>VLOOKUP(B7,All!$B$4:$S$8977,8,FALSE)</f>
        <v>43834</v>
      </c>
      <c r="J7" s="481" t="str">
        <f>VLOOKUP(B7,All!$B$4:$S$8977,9,FALSE)</f>
        <v>Production</v>
      </c>
      <c r="K7" s="631" t="str">
        <f>VLOOKUP(B7,All!$B$4:$S$8977,10,FALSE)</f>
        <v>Machine on Line</v>
      </c>
      <c r="L7" s="607" t="str">
        <f>VLOOKUP(B7,All!$B$4:$S$8977,11,FALSE)</f>
        <v>mechanic</v>
      </c>
      <c r="M7" s="570">
        <f>VLOOKUP(B7,All!$B$4:$S$8977,12,FALSE)</f>
        <v>192</v>
      </c>
      <c r="N7" s="18">
        <f>VLOOKUP(B7,All!$B$4:$S$8977,13,FALSE)</f>
        <v>3</v>
      </c>
      <c r="O7" s="18">
        <f>VLOOKUP(B7,All!$B$4:$S$8977,14,FALSE)</f>
        <v>0</v>
      </c>
      <c r="P7" s="18">
        <f>VLOOKUP(B7,All!$B$4:$S$8977,15,FALSE)</f>
        <v>160</v>
      </c>
      <c r="Q7" s="18">
        <f>VLOOKUP(B7,All!$B$4:$S$8977,16,FALSE)</f>
        <v>0</v>
      </c>
      <c r="R7" s="159">
        <v>7</v>
      </c>
      <c r="S7" s="159">
        <v>10</v>
      </c>
      <c r="T7" s="550">
        <f t="shared" si="0"/>
        <v>372</v>
      </c>
      <c r="U7" s="568"/>
      <c r="V7" s="3"/>
      <c r="W7" s="3"/>
      <c r="X7" s="3"/>
      <c r="Y7" s="562"/>
      <c r="Z7" s="565">
        <f t="shared" si="1"/>
        <v>194</v>
      </c>
      <c r="AA7" s="20">
        <f t="shared" si="2"/>
        <v>3</v>
      </c>
      <c r="AB7" s="20">
        <f t="shared" si="3"/>
        <v>0</v>
      </c>
      <c r="AC7" s="20">
        <f t="shared" si="4"/>
        <v>160</v>
      </c>
      <c r="AD7" s="20">
        <f t="shared" si="5"/>
        <v>0</v>
      </c>
      <c r="AE7" s="20">
        <f t="shared" si="6"/>
        <v>7</v>
      </c>
      <c r="AF7" s="20">
        <f t="shared" si="7"/>
        <v>10</v>
      </c>
      <c r="AG7" s="550">
        <f t="shared" si="8"/>
        <v>374</v>
      </c>
      <c r="AH7" s="42">
        <v>2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2</v>
      </c>
    </row>
    <row r="8" spans="1:41" ht="24" customHeight="1">
      <c r="A8" s="606">
        <f t="shared" si="9"/>
        <v>5</v>
      </c>
      <c r="B8" s="8">
        <v>4059</v>
      </c>
      <c r="C8" s="487" t="str">
        <f>VLOOKUP(B8,All!$B$4:$S$8977,2,FALSE)</f>
        <v>នូត</v>
      </c>
      <c r="D8" s="488" t="str">
        <f>VLOOKUP(B8,All!$B$4:$S$89977,3,FALSE)</f>
        <v>មេសា</v>
      </c>
      <c r="E8" s="487" t="str">
        <f>VLOOKUP(B8,All!$B$4:$S$8977,4,FALSE)</f>
        <v>NUTH</v>
      </c>
      <c r="F8" s="488" t="str">
        <f>VLOOKUP(B8,All!$B$4:$S$8977,5,FALSE)</f>
        <v>MASA</v>
      </c>
      <c r="G8" s="482" t="str">
        <f>VLOOKUP(B8,All!$B$4:$S$8977,6,FALSE)</f>
        <v>M</v>
      </c>
      <c r="H8" s="486">
        <f>VLOOKUP(B8,All!$B$4:$S$8977,7,FALSE)</f>
        <v>33335</v>
      </c>
      <c r="I8" s="481">
        <f>VLOOKUP(B8,All!$B$4:$S$8977,8,FALSE)</f>
        <v>43840</v>
      </c>
      <c r="J8" s="481" t="str">
        <f>VLOOKUP(B8,All!$B$4:$S$8977,9,FALSE)</f>
        <v>Production</v>
      </c>
      <c r="K8" s="631" t="str">
        <f>VLOOKUP(B8,All!$B$4:$S$8977,10,FALSE)</f>
        <v>Machine on Line</v>
      </c>
      <c r="L8" s="607" t="str">
        <f>VLOOKUP(B8,All!$B$4:$S$8977,11,FALSE)</f>
        <v>mechanic</v>
      </c>
      <c r="M8" s="570">
        <f>VLOOKUP(B8,All!$B$4:$S$8977,12,FALSE)</f>
        <v>192</v>
      </c>
      <c r="N8" s="18">
        <f>VLOOKUP(B8,All!$B$4:$S$8977,13,FALSE)</f>
        <v>3</v>
      </c>
      <c r="O8" s="18">
        <f>VLOOKUP(B8,All!$B$4:$S$8977,14,FALSE)</f>
        <v>0</v>
      </c>
      <c r="P8" s="18">
        <f>VLOOKUP(B8,All!$B$4:$S$8977,15,FALSE)</f>
        <v>140</v>
      </c>
      <c r="Q8" s="18">
        <f>VLOOKUP(B8,All!$B$4:$S$8977,16,FALSE)</f>
        <v>0</v>
      </c>
      <c r="R8" s="159">
        <v>7</v>
      </c>
      <c r="S8" s="159">
        <v>10</v>
      </c>
      <c r="T8" s="550">
        <f t="shared" si="0"/>
        <v>352</v>
      </c>
      <c r="U8" s="568"/>
      <c r="V8" s="3"/>
      <c r="W8" s="3"/>
      <c r="X8" s="3"/>
      <c r="Y8" s="562"/>
      <c r="Z8" s="565">
        <f t="shared" si="1"/>
        <v>194</v>
      </c>
      <c r="AA8" s="20">
        <f t="shared" si="2"/>
        <v>3</v>
      </c>
      <c r="AB8" s="20">
        <f t="shared" si="3"/>
        <v>0</v>
      </c>
      <c r="AC8" s="20">
        <f t="shared" si="4"/>
        <v>140</v>
      </c>
      <c r="AD8" s="20">
        <f t="shared" si="5"/>
        <v>0</v>
      </c>
      <c r="AE8" s="20">
        <f t="shared" si="6"/>
        <v>7</v>
      </c>
      <c r="AF8" s="20">
        <f t="shared" si="7"/>
        <v>10</v>
      </c>
      <c r="AG8" s="550">
        <f t="shared" si="8"/>
        <v>354</v>
      </c>
      <c r="AH8" s="42">
        <v>2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2</v>
      </c>
    </row>
    <row r="9" spans="1:41" ht="24" customHeight="1" thickBot="1">
      <c r="A9" s="608">
        <f t="shared" si="9"/>
        <v>6</v>
      </c>
      <c r="B9" s="552">
        <v>4079</v>
      </c>
      <c r="C9" s="609" t="str">
        <f>VLOOKUP(B9,All!$B$4:$S$8977,2,FALSE)</f>
        <v>ចាន់</v>
      </c>
      <c r="D9" s="610" t="str">
        <f>VLOOKUP(B9,All!$B$4:$S$89977,3,FALSE)</f>
        <v>ស្រៀង</v>
      </c>
      <c r="E9" s="609" t="str">
        <f>VLOOKUP(B9,All!$B$4:$S$8977,4,FALSE)</f>
        <v>CHAN</v>
      </c>
      <c r="F9" s="610" t="str">
        <f>VLOOKUP(B9,All!$B$4:$S$8977,5,FALSE)</f>
        <v>SREANG</v>
      </c>
      <c r="G9" s="554" t="str">
        <f>VLOOKUP(B9,All!$B$4:$S$8977,6,FALSE)</f>
        <v>M</v>
      </c>
      <c r="H9" s="611">
        <f>VLOOKUP(B9,All!$B$4:$S$8977,7,FALSE)</f>
        <v>33487</v>
      </c>
      <c r="I9" s="558">
        <f>VLOOKUP(B9,All!$B$4:$S$8977,8,FALSE)</f>
        <v>43856</v>
      </c>
      <c r="J9" s="558" t="str">
        <f>VLOOKUP(B9,All!$B$4:$S$8977,9,FALSE)</f>
        <v>Production</v>
      </c>
      <c r="K9" s="637" t="str">
        <f>VLOOKUP(B9,All!$B$4:$S$8977,10,FALSE)</f>
        <v>Machine on Line</v>
      </c>
      <c r="L9" s="612" t="str">
        <f>VLOOKUP(B9,All!$B$4:$S$8977,11,FALSE)</f>
        <v>mechanic</v>
      </c>
      <c r="M9" s="571">
        <f>VLOOKUP(B9,All!$B$4:$S$8977,12,FALSE)</f>
        <v>192</v>
      </c>
      <c r="N9" s="559">
        <f>VLOOKUP(B9,All!$B$4:$S$8977,13,FALSE)</f>
        <v>2</v>
      </c>
      <c r="O9" s="559">
        <f>VLOOKUP(B9,All!$B$4:$S$8977,14,FALSE)</f>
        <v>0</v>
      </c>
      <c r="P9" s="559">
        <f>VLOOKUP(B9,All!$B$4:$S$8977,15,FALSE)</f>
        <v>140</v>
      </c>
      <c r="Q9" s="559">
        <f>VLOOKUP(B9,All!$B$4:$S$8977,16,FALSE)</f>
        <v>0</v>
      </c>
      <c r="R9" s="572">
        <v>7</v>
      </c>
      <c r="S9" s="572">
        <v>10</v>
      </c>
      <c r="T9" s="560">
        <f t="shared" si="0"/>
        <v>351</v>
      </c>
      <c r="U9" s="568"/>
      <c r="V9" s="3"/>
      <c r="W9" s="3"/>
      <c r="X9" s="3"/>
      <c r="Y9" s="562"/>
      <c r="Z9" s="566">
        <f t="shared" si="1"/>
        <v>194</v>
      </c>
      <c r="AA9" s="567">
        <f t="shared" si="2"/>
        <v>2</v>
      </c>
      <c r="AB9" s="567">
        <f t="shared" si="3"/>
        <v>0</v>
      </c>
      <c r="AC9" s="567">
        <f t="shared" si="4"/>
        <v>140</v>
      </c>
      <c r="AD9" s="567">
        <f t="shared" si="5"/>
        <v>0</v>
      </c>
      <c r="AE9" s="567">
        <f t="shared" si="6"/>
        <v>7</v>
      </c>
      <c r="AF9" s="567">
        <f t="shared" si="7"/>
        <v>10</v>
      </c>
      <c r="AG9" s="560">
        <f>SUM(Z9:AF9)</f>
        <v>353</v>
      </c>
      <c r="AH9" s="42">
        <v>2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2</v>
      </c>
    </row>
    <row r="10" spans="1:41">
      <c r="P10"/>
      <c r="Q10"/>
      <c r="R10"/>
      <c r="S10"/>
    </row>
    <row r="11" spans="1:41" ht="24" customHeight="1">
      <c r="P11"/>
      <c r="Q11"/>
      <c r="R11"/>
      <c r="S11"/>
      <c r="T11" s="42">
        <f>SUM(T4:T9)</f>
        <v>2200</v>
      </c>
      <c r="Z11" s="42"/>
      <c r="AA11" s="42"/>
      <c r="AB11" s="42"/>
      <c r="AC11" s="42"/>
      <c r="AD11" s="42"/>
      <c r="AE11" s="42"/>
      <c r="AF11" s="42"/>
      <c r="AG11" s="42">
        <f>SUM(AG4:AG9)</f>
        <v>2212</v>
      </c>
      <c r="AH11" s="42">
        <f>SUM(AH4:AH9)</f>
        <v>12</v>
      </c>
      <c r="AI11" s="42">
        <f>SUM(AI4:AI9)</f>
        <v>0</v>
      </c>
    </row>
    <row r="12" spans="1:41">
      <c r="P12"/>
      <c r="Q12"/>
      <c r="R12"/>
      <c r="S12"/>
    </row>
    <row r="13" spans="1:41">
      <c r="P13"/>
      <c r="Q13"/>
      <c r="R13"/>
      <c r="S13"/>
    </row>
    <row r="14" spans="1:41">
      <c r="A14" s="4"/>
      <c r="B14" s="6"/>
      <c r="C14" s="468"/>
      <c r="D14" s="10"/>
      <c r="E14" s="469"/>
      <c r="F14" s="2"/>
      <c r="G14" s="2"/>
      <c r="H14" s="2"/>
      <c r="I14" s="2"/>
      <c r="J14" s="2"/>
      <c r="N14" s="4"/>
      <c r="O14" s="4"/>
      <c r="R14" s="466"/>
      <c r="S14" s="467"/>
      <c r="T14" s="467"/>
      <c r="U14" s="467"/>
      <c r="V14" s="467"/>
      <c r="W14" s="467"/>
      <c r="X14" s="477"/>
      <c r="Y14" s="477"/>
      <c r="Z14" s="477"/>
      <c r="AC14" s="4"/>
      <c r="AD14" s="4"/>
      <c r="AE14" s="4"/>
      <c r="AI14" s="331"/>
      <c r="AJ14" s="331"/>
    </row>
    <row r="15" spans="1:41">
      <c r="P15"/>
      <c r="Q15"/>
      <c r="R15"/>
      <c r="S15"/>
    </row>
    <row r="16" spans="1:41">
      <c r="P16"/>
      <c r="Q16"/>
      <c r="R16"/>
      <c r="S16"/>
    </row>
    <row r="17" spans="16:19">
      <c r="P17"/>
      <c r="Q17"/>
      <c r="R17"/>
      <c r="S17"/>
    </row>
    <row r="18" spans="16:19">
      <c r="P18"/>
      <c r="Q18"/>
      <c r="R18"/>
      <c r="S18"/>
    </row>
    <row r="19" spans="16:19">
      <c r="P19"/>
      <c r="Q19"/>
      <c r="R19"/>
      <c r="S19"/>
    </row>
    <row r="20" spans="16:19">
      <c r="P20"/>
      <c r="Q20"/>
      <c r="R20"/>
      <c r="S20"/>
    </row>
    <row r="21" spans="16:19">
      <c r="P21"/>
      <c r="Q21"/>
      <c r="R21"/>
      <c r="S21"/>
    </row>
    <row r="22" spans="16:19">
      <c r="P22"/>
      <c r="Q22"/>
      <c r="R22"/>
      <c r="S22"/>
    </row>
    <row r="23" spans="16:19">
      <c r="P23"/>
      <c r="Q23"/>
      <c r="R23"/>
      <c r="S23"/>
    </row>
    <row r="24" spans="16:19">
      <c r="P24"/>
      <c r="Q24"/>
      <c r="R24"/>
      <c r="S24"/>
    </row>
    <row r="25" spans="16:19">
      <c r="P25"/>
      <c r="Q25"/>
      <c r="R25"/>
      <c r="S25"/>
    </row>
    <row r="26" spans="16:19">
      <c r="P26"/>
      <c r="Q26"/>
      <c r="R26"/>
      <c r="S26"/>
    </row>
    <row r="27" spans="16:19">
      <c r="P27"/>
      <c r="Q27"/>
      <c r="R27"/>
      <c r="S27"/>
    </row>
    <row r="28" spans="16:19">
      <c r="P28"/>
      <c r="Q28"/>
      <c r="R28"/>
      <c r="S28"/>
    </row>
    <row r="29" spans="16:19">
      <c r="P29"/>
      <c r="Q29"/>
      <c r="R29"/>
      <c r="S29"/>
    </row>
    <row r="30" spans="16:19">
      <c r="P30"/>
      <c r="Q30"/>
      <c r="R30"/>
      <c r="S30"/>
    </row>
    <row r="31" spans="16:19">
      <c r="P31"/>
      <c r="Q31"/>
      <c r="R31"/>
      <c r="S31"/>
    </row>
    <row r="32" spans="16:19">
      <c r="P32"/>
      <c r="Q32"/>
      <c r="R32"/>
      <c r="S32"/>
    </row>
    <row r="33" spans="16:19">
      <c r="P33"/>
      <c r="Q33"/>
      <c r="R33"/>
      <c r="S33"/>
    </row>
    <row r="34" spans="16:19">
      <c r="P34"/>
      <c r="Q34"/>
      <c r="R34"/>
      <c r="S34"/>
    </row>
    <row r="35" spans="16:19">
      <c r="P35"/>
      <c r="Q35"/>
      <c r="R35"/>
      <c r="S35"/>
    </row>
    <row r="36" spans="16:19">
      <c r="P36"/>
      <c r="Q36"/>
      <c r="R36"/>
      <c r="S36"/>
    </row>
    <row r="37" spans="16:19">
      <c r="P37"/>
      <c r="Q37"/>
      <c r="R37"/>
      <c r="S37"/>
    </row>
    <row r="38" spans="16:19">
      <c r="P38"/>
      <c r="Q38"/>
      <c r="R38"/>
      <c r="S38"/>
    </row>
    <row r="39" spans="16:19">
      <c r="P39"/>
      <c r="Q39"/>
      <c r="R39"/>
      <c r="S39"/>
    </row>
    <row r="40" spans="16:19">
      <c r="P40"/>
      <c r="Q40"/>
      <c r="R40"/>
      <c r="S40"/>
    </row>
    <row r="41" spans="16:19">
      <c r="P41"/>
      <c r="Q41"/>
      <c r="R41"/>
      <c r="S41"/>
    </row>
    <row r="42" spans="16:19">
      <c r="P42"/>
      <c r="Q42"/>
      <c r="R42"/>
      <c r="S42"/>
    </row>
    <row r="43" spans="16:19">
      <c r="P43"/>
      <c r="Q43"/>
      <c r="R43"/>
      <c r="S43"/>
    </row>
    <row r="44" spans="16:19">
      <c r="P44"/>
      <c r="Q44"/>
      <c r="R44"/>
      <c r="S44"/>
    </row>
    <row r="45" spans="16:19">
      <c r="P45"/>
      <c r="Q45"/>
      <c r="R45"/>
      <c r="S45"/>
    </row>
    <row r="46" spans="16:19">
      <c r="P46"/>
      <c r="Q46"/>
      <c r="R46"/>
      <c r="S46"/>
    </row>
    <row r="47" spans="16:19">
      <c r="P47"/>
      <c r="Q47"/>
      <c r="R47"/>
      <c r="S47"/>
    </row>
    <row r="48" spans="16:19">
      <c r="P48"/>
      <c r="Q48"/>
      <c r="R48"/>
      <c r="S48"/>
    </row>
    <row r="49" spans="16:19">
      <c r="P49"/>
      <c r="Q49"/>
      <c r="R49"/>
      <c r="S49"/>
    </row>
    <row r="50" spans="16:19">
      <c r="P50"/>
      <c r="Q50"/>
      <c r="R50"/>
      <c r="S50"/>
    </row>
    <row r="51" spans="16:19">
      <c r="P51"/>
      <c r="Q51"/>
      <c r="R51"/>
      <c r="S51"/>
    </row>
    <row r="52" spans="16:19">
      <c r="P52"/>
      <c r="Q52"/>
      <c r="R52"/>
      <c r="S52"/>
    </row>
    <row r="53" spans="16:19">
      <c r="P53"/>
      <c r="Q53"/>
      <c r="R53"/>
      <c r="S53"/>
    </row>
    <row r="54" spans="16:19">
      <c r="P54"/>
      <c r="Q54"/>
      <c r="R54"/>
      <c r="S54"/>
    </row>
    <row r="55" spans="16:19">
      <c r="P55"/>
      <c r="Q55"/>
      <c r="R55"/>
      <c r="S55"/>
    </row>
    <row r="56" spans="16:19">
      <c r="P56"/>
      <c r="Q56"/>
      <c r="R56"/>
      <c r="S56"/>
    </row>
    <row r="57" spans="16:19">
      <c r="P57"/>
      <c r="Q57"/>
      <c r="R57"/>
      <c r="S57"/>
    </row>
    <row r="58" spans="16:19">
      <c r="P58"/>
      <c r="Q58"/>
      <c r="R58"/>
      <c r="S58"/>
    </row>
    <row r="59" spans="16:19">
      <c r="P59"/>
      <c r="Q59"/>
      <c r="R59"/>
      <c r="S59"/>
    </row>
    <row r="60" spans="16:19">
      <c r="P60"/>
      <c r="Q60"/>
      <c r="R60"/>
      <c r="S60"/>
    </row>
  </sheetData>
  <mergeCells count="3">
    <mergeCell ref="M1:T1"/>
    <mergeCell ref="Z1:AG1"/>
    <mergeCell ref="E3:F3"/>
  </mergeCells>
  <phoneticPr fontId="8" type="noConversion"/>
  <conditionalFormatting sqref="B15:B27">
    <cfRule type="duplicateValues" dxfId="798" priority="139"/>
  </conditionalFormatting>
  <conditionalFormatting sqref="B15:B27">
    <cfRule type="duplicateValues" dxfId="797" priority="138" stopIfTrue="1"/>
  </conditionalFormatting>
  <conditionalFormatting sqref="B17:B19">
    <cfRule type="duplicateValues" dxfId="796" priority="137"/>
  </conditionalFormatting>
  <conditionalFormatting sqref="B17:B19">
    <cfRule type="duplicateValues" dxfId="795" priority="136"/>
  </conditionalFormatting>
  <conditionalFormatting sqref="B17:B19">
    <cfRule type="duplicateValues" dxfId="794" priority="135"/>
  </conditionalFormatting>
  <conditionalFormatting sqref="B17:B19">
    <cfRule type="duplicateValues" dxfId="793" priority="134"/>
  </conditionalFormatting>
  <conditionalFormatting sqref="B10 B12:B13 B15:B1048576">
    <cfRule type="duplicateValues" dxfId="792" priority="133"/>
  </conditionalFormatting>
  <conditionalFormatting sqref="B3">
    <cfRule type="duplicateValues" dxfId="791" priority="118"/>
  </conditionalFormatting>
  <conditionalFormatting sqref="B3">
    <cfRule type="duplicateValues" dxfId="790" priority="117"/>
  </conditionalFormatting>
  <conditionalFormatting sqref="B3">
    <cfRule type="duplicateValues" dxfId="789" priority="116"/>
  </conditionalFormatting>
  <conditionalFormatting sqref="B3">
    <cfRule type="duplicateValues" dxfId="788" priority="114"/>
    <cfRule type="duplicateValues" dxfId="787" priority="115"/>
  </conditionalFormatting>
  <conditionalFormatting sqref="B3">
    <cfRule type="duplicateValues" dxfId="786" priority="113"/>
  </conditionalFormatting>
  <conditionalFormatting sqref="B3">
    <cfRule type="duplicateValues" dxfId="785" priority="109"/>
    <cfRule type="duplicateValues" dxfId="784" priority="110"/>
    <cfRule type="duplicateValues" dxfId="783" priority="111"/>
    <cfRule type="duplicateValues" dxfId="782" priority="112"/>
  </conditionalFormatting>
  <conditionalFormatting sqref="B3">
    <cfRule type="duplicateValues" dxfId="781" priority="108"/>
  </conditionalFormatting>
  <conditionalFormatting sqref="B3">
    <cfRule type="duplicateValues" dxfId="780" priority="103"/>
    <cfRule type="duplicateValues" dxfId="779" priority="104"/>
    <cfRule type="duplicateValues" dxfId="778" priority="105"/>
    <cfRule type="duplicateValues" dxfId="777" priority="106"/>
    <cfRule type="duplicateValues" dxfId="776" priority="107"/>
  </conditionalFormatting>
  <conditionalFormatting sqref="B3">
    <cfRule type="duplicateValues" dxfId="775" priority="102"/>
  </conditionalFormatting>
  <conditionalFormatting sqref="B3">
    <cfRule type="duplicateValues" dxfId="774" priority="101"/>
  </conditionalFormatting>
  <conditionalFormatting sqref="B3">
    <cfRule type="duplicateValues" dxfId="773" priority="99"/>
    <cfRule type="duplicateValues" dxfId="772" priority="100"/>
  </conditionalFormatting>
  <conditionalFormatting sqref="B3">
    <cfRule type="duplicateValues" dxfId="771" priority="94"/>
    <cfRule type="duplicateValues" dxfId="770" priority="95"/>
    <cfRule type="duplicateValues" dxfId="769" priority="96"/>
    <cfRule type="duplicateValues" dxfId="768" priority="97"/>
    <cfRule type="duplicateValues" dxfId="767" priority="98"/>
  </conditionalFormatting>
  <conditionalFormatting sqref="B3">
    <cfRule type="duplicateValues" dxfId="766" priority="93"/>
  </conditionalFormatting>
  <conditionalFormatting sqref="B3">
    <cfRule type="duplicateValues" dxfId="765" priority="92"/>
  </conditionalFormatting>
  <conditionalFormatting sqref="B3">
    <cfRule type="duplicateValues" dxfId="764" priority="90"/>
    <cfRule type="duplicateValues" dxfId="763" priority="91"/>
  </conditionalFormatting>
  <conditionalFormatting sqref="B3">
    <cfRule type="duplicateValues" dxfId="762" priority="86"/>
    <cfRule type="duplicateValues" dxfId="761" priority="87"/>
    <cfRule type="duplicateValues" dxfId="760" priority="88"/>
    <cfRule type="duplicateValues" dxfId="759" priority="89"/>
  </conditionalFormatting>
  <conditionalFormatting sqref="B3">
    <cfRule type="duplicateValues" dxfId="758" priority="85"/>
  </conditionalFormatting>
  <conditionalFormatting sqref="B3">
    <cfRule type="duplicateValues" dxfId="757" priority="80"/>
    <cfRule type="duplicateValues" dxfId="756" priority="81"/>
    <cfRule type="duplicateValues" dxfId="755" priority="82"/>
    <cfRule type="duplicateValues" dxfId="754" priority="83"/>
    <cfRule type="duplicateValues" dxfId="753" priority="84"/>
  </conditionalFormatting>
  <conditionalFormatting sqref="B3">
    <cfRule type="duplicateValues" dxfId="752" priority="79"/>
  </conditionalFormatting>
  <conditionalFormatting sqref="B3">
    <cfRule type="duplicateValues" dxfId="751" priority="78"/>
  </conditionalFormatting>
  <conditionalFormatting sqref="B3">
    <cfRule type="duplicateValues" dxfId="750" priority="77"/>
  </conditionalFormatting>
  <conditionalFormatting sqref="B3">
    <cfRule type="duplicateValues" dxfId="749" priority="75"/>
    <cfRule type="duplicateValues" dxfId="748" priority="76"/>
  </conditionalFormatting>
  <conditionalFormatting sqref="B3">
    <cfRule type="duplicateValues" dxfId="747" priority="74"/>
  </conditionalFormatting>
  <conditionalFormatting sqref="B3">
    <cfRule type="duplicateValues" dxfId="746" priority="119"/>
  </conditionalFormatting>
  <conditionalFormatting sqref="E3">
    <cfRule type="duplicateValues" dxfId="745" priority="73"/>
  </conditionalFormatting>
  <conditionalFormatting sqref="E3">
    <cfRule type="duplicateValues" dxfId="744" priority="72"/>
  </conditionalFormatting>
  <conditionalFormatting sqref="E3">
    <cfRule type="duplicateValues" dxfId="743" priority="71"/>
  </conditionalFormatting>
  <conditionalFormatting sqref="E3">
    <cfRule type="duplicateValues" dxfId="742" priority="69"/>
    <cfRule type="duplicateValues" dxfId="741" priority="70"/>
  </conditionalFormatting>
  <conditionalFormatting sqref="E3">
    <cfRule type="duplicateValues" dxfId="740" priority="68"/>
  </conditionalFormatting>
  <conditionalFormatting sqref="E3">
    <cfRule type="duplicateValues" dxfId="739" priority="64"/>
    <cfRule type="duplicateValues" dxfId="738" priority="65"/>
    <cfRule type="duplicateValues" dxfId="737" priority="66"/>
    <cfRule type="duplicateValues" dxfId="736" priority="67"/>
  </conditionalFormatting>
  <conditionalFormatting sqref="E3">
    <cfRule type="duplicateValues" dxfId="735" priority="63"/>
  </conditionalFormatting>
  <conditionalFormatting sqref="E3">
    <cfRule type="duplicateValues" dxfId="734" priority="58"/>
    <cfRule type="duplicateValues" dxfId="733" priority="59"/>
    <cfRule type="duplicateValues" dxfId="732" priority="60"/>
    <cfRule type="duplicateValues" dxfId="731" priority="61"/>
    <cfRule type="duplicateValues" dxfId="730" priority="62"/>
  </conditionalFormatting>
  <conditionalFormatting sqref="E3">
    <cfRule type="duplicateValues" dxfId="729" priority="57"/>
  </conditionalFormatting>
  <conditionalFormatting sqref="E3">
    <cfRule type="duplicateValues" dxfId="728" priority="56"/>
  </conditionalFormatting>
  <conditionalFormatting sqref="E3">
    <cfRule type="duplicateValues" dxfId="727" priority="54"/>
    <cfRule type="duplicateValues" dxfId="726" priority="55"/>
  </conditionalFormatting>
  <conditionalFormatting sqref="E3">
    <cfRule type="duplicateValues" dxfId="725" priority="49"/>
    <cfRule type="duplicateValues" dxfId="724" priority="50"/>
    <cfRule type="duplicateValues" dxfId="723" priority="51"/>
    <cfRule type="duplicateValues" dxfId="722" priority="52"/>
    <cfRule type="duplicateValues" dxfId="721" priority="53"/>
  </conditionalFormatting>
  <conditionalFormatting sqref="E3">
    <cfRule type="duplicateValues" dxfId="720" priority="48"/>
  </conditionalFormatting>
  <conditionalFormatting sqref="E3">
    <cfRule type="duplicateValues" dxfId="719" priority="47"/>
  </conditionalFormatting>
  <conditionalFormatting sqref="E3">
    <cfRule type="duplicateValues" dxfId="718" priority="45"/>
    <cfRule type="duplicateValues" dxfId="717" priority="46"/>
  </conditionalFormatting>
  <conditionalFormatting sqref="E3">
    <cfRule type="duplicateValues" dxfId="716" priority="41"/>
    <cfRule type="duplicateValues" dxfId="715" priority="42"/>
    <cfRule type="duplicateValues" dxfId="714" priority="43"/>
    <cfRule type="duplicateValues" dxfId="713" priority="44"/>
  </conditionalFormatting>
  <conditionalFormatting sqref="E3">
    <cfRule type="duplicateValues" dxfId="712" priority="40"/>
  </conditionalFormatting>
  <conditionalFormatting sqref="E3">
    <cfRule type="duplicateValues" dxfId="711" priority="35"/>
    <cfRule type="duplicateValues" dxfId="710" priority="36"/>
    <cfRule type="duplicateValues" dxfId="709" priority="37"/>
    <cfRule type="duplicateValues" dxfId="708" priority="38"/>
    <cfRule type="duplicateValues" dxfId="707" priority="39"/>
  </conditionalFormatting>
  <conditionalFormatting sqref="E3">
    <cfRule type="duplicateValues" dxfId="706" priority="34"/>
  </conditionalFormatting>
  <conditionalFormatting sqref="E3">
    <cfRule type="duplicateValues" dxfId="705" priority="33"/>
  </conditionalFormatting>
  <conditionalFormatting sqref="E3">
    <cfRule type="duplicateValues" dxfId="704" priority="32"/>
  </conditionalFormatting>
  <conditionalFormatting sqref="E3">
    <cfRule type="duplicateValues" dxfId="703" priority="30"/>
    <cfRule type="duplicateValues" dxfId="702" priority="31"/>
  </conditionalFormatting>
  <conditionalFormatting sqref="E3">
    <cfRule type="duplicateValues" dxfId="701" priority="29"/>
  </conditionalFormatting>
  <conditionalFormatting sqref="AJ1:AJ3 B3">
    <cfRule type="duplicateValues" dxfId="700" priority="28"/>
  </conditionalFormatting>
  <conditionalFormatting sqref="B7:B9">
    <cfRule type="duplicateValues" dxfId="699" priority="17"/>
  </conditionalFormatting>
  <conditionalFormatting sqref="B7:B9">
    <cfRule type="duplicateValues" dxfId="698" priority="10"/>
  </conditionalFormatting>
  <conditionalFormatting sqref="B20:B25">
    <cfRule type="duplicateValues" dxfId="697" priority="9"/>
  </conditionalFormatting>
  <conditionalFormatting sqref="B20:B25">
    <cfRule type="duplicateValues" dxfId="696" priority="8"/>
  </conditionalFormatting>
  <conditionalFormatting sqref="B20:B25">
    <cfRule type="duplicateValues" dxfId="695" priority="7"/>
  </conditionalFormatting>
  <conditionalFormatting sqref="B20:B25">
    <cfRule type="duplicateValues" dxfId="694" priority="6" stopIfTrue="1"/>
  </conditionalFormatting>
  <conditionalFormatting sqref="B20:B25">
    <cfRule type="duplicateValues" dxfId="693" priority="5"/>
  </conditionalFormatting>
  <conditionalFormatting sqref="B20:B25">
    <cfRule type="duplicateValues" dxfId="692" priority="4"/>
  </conditionalFormatting>
  <conditionalFormatting sqref="B12:B13 B3:B10 B15:B1048576">
    <cfRule type="duplicateValues" dxfId="691" priority="3"/>
  </conditionalFormatting>
  <conditionalFormatting sqref="B14">
    <cfRule type="duplicateValues" dxfId="690" priority="1"/>
  </conditionalFormatting>
  <conditionalFormatting sqref="B4:B9">
    <cfRule type="duplicateValues" dxfId="689" priority="14029"/>
  </conditionalFormatting>
  <pageMargins left="0.2" right="0.2" top="0.5" bottom="0.25" header="0.3" footer="0.3"/>
  <pageSetup scale="41" orientation="landscape" r:id="rId1"/>
  <colBreaks count="1" manualBreakCount="1">
    <brk id="3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P97"/>
  <sheetViews>
    <sheetView showGridLines="0" zoomScale="90" zoomScaleNormal="90" workbookViewId="0">
      <pane xSplit="12" ySplit="4" topLeftCell="Q53" activePane="bottomRight" state="frozen"/>
      <selection pane="topRight" activeCell="M1" sqref="M1"/>
      <selection pane="bottomLeft" activeCell="A5" sqref="A5"/>
      <selection pane="bottomRight" activeCell="W59" sqref="W59"/>
    </sheetView>
  </sheetViews>
  <sheetFormatPr defaultRowHeight="18.75" customHeight="1"/>
  <cols>
    <col min="1" max="1" width="9.5703125" style="4" customWidth="1"/>
    <col min="2" max="2" width="7.85546875" style="6" customWidth="1"/>
    <col min="3" max="3" width="8" style="6" hidden="1" customWidth="1"/>
    <col min="4" max="4" width="11.5703125" style="7" hidden="1" customWidth="1"/>
    <col min="5" max="5" width="9.140625" style="10" customWidth="1"/>
    <col min="6" max="6" width="14.5703125" style="10" customWidth="1"/>
    <col min="7" max="7" width="4.5703125" style="4" customWidth="1"/>
    <col min="8" max="8" width="9.28515625" style="2" customWidth="1"/>
    <col min="9" max="9" width="9.85546875" style="513" customWidth="1"/>
    <col min="10" max="10" width="11.42578125" style="2" hidden="1" customWidth="1"/>
    <col min="11" max="11" width="10.28515625" style="632" customWidth="1"/>
    <col min="12" max="12" width="7.28515625" style="632" customWidth="1"/>
    <col min="13" max="13" width="9.140625" style="506" customWidth="1"/>
    <col min="14" max="15" width="8.7109375" customWidth="1"/>
    <col min="16" max="16" width="9.5703125" style="4" customWidth="1"/>
    <col min="17" max="17" width="9.140625" style="512" customWidth="1"/>
    <col min="18" max="18" width="9.140625" style="4" customWidth="1"/>
    <col min="19" max="19" width="8.85546875" style="338" customWidth="1"/>
    <col min="20" max="20" width="12.42578125" customWidth="1"/>
    <col min="21" max="21" width="9.7109375" style="2" bestFit="1" customWidth="1"/>
    <col min="22" max="22" width="9.42578125" style="2" customWidth="1"/>
    <col min="23" max="23" width="7.28515625" style="2" customWidth="1"/>
    <col min="24" max="24" width="8.5703125" style="2" customWidth="1"/>
    <col min="25" max="25" width="9.5703125" style="2" bestFit="1" customWidth="1"/>
    <col min="26" max="26" width="9.28515625" style="506" customWidth="1"/>
    <col min="27" max="28" width="7.7109375" bestFit="1" customWidth="1"/>
    <col min="29" max="29" width="8.5703125" style="506" bestFit="1" customWidth="1"/>
    <col min="30" max="30" width="9.28515625" style="506" customWidth="1"/>
    <col min="32" max="32" width="8.7109375" bestFit="1" customWidth="1"/>
    <col min="33" max="33" width="12.5703125" customWidth="1"/>
    <col min="34" max="34" width="12" hidden="1" customWidth="1"/>
    <col min="35" max="35" width="0" hidden="1" customWidth="1"/>
    <col min="36" max="36" width="13" hidden="1" customWidth="1"/>
    <col min="37" max="37" width="10.5703125" hidden="1" customWidth="1"/>
    <col min="38" max="41" width="0" hidden="1" customWidth="1"/>
  </cols>
  <sheetData>
    <row r="1" spans="1:41" ht="18.75" customHeight="1" thickBot="1">
      <c r="A1" s="491" t="s">
        <v>6565</v>
      </c>
    </row>
    <row r="2" spans="1:41" ht="36.75" customHeight="1">
      <c r="A2" s="541" t="s">
        <v>60</v>
      </c>
      <c r="B2" s="542" t="s">
        <v>68</v>
      </c>
      <c r="C2" s="573" t="s">
        <v>128</v>
      </c>
      <c r="D2" s="546" t="s">
        <v>129</v>
      </c>
      <c r="E2" s="648" t="s">
        <v>61</v>
      </c>
      <c r="F2" s="546" t="s">
        <v>62</v>
      </c>
      <c r="G2" s="544" t="s">
        <v>130</v>
      </c>
      <c r="H2" s="545" t="s">
        <v>63</v>
      </c>
      <c r="I2" s="649" t="s">
        <v>64</v>
      </c>
      <c r="J2" s="546" t="s">
        <v>6160</v>
      </c>
      <c r="K2" s="546" t="s">
        <v>65</v>
      </c>
      <c r="L2" s="574" t="s">
        <v>66</v>
      </c>
      <c r="M2" s="724" t="s">
        <v>6022</v>
      </c>
      <c r="N2" s="725"/>
      <c r="O2" s="725"/>
      <c r="P2" s="725"/>
      <c r="Q2" s="725"/>
      <c r="R2" s="725"/>
      <c r="S2" s="725"/>
      <c r="T2" s="726"/>
      <c r="U2" s="339" t="s">
        <v>6552</v>
      </c>
      <c r="V2" s="340" t="s">
        <v>6553</v>
      </c>
      <c r="W2" s="340" t="s">
        <v>6465</v>
      </c>
      <c r="X2" s="341" t="s">
        <v>6321</v>
      </c>
      <c r="Y2" s="470" t="s">
        <v>6554</v>
      </c>
      <c r="Z2" s="718" t="s">
        <v>6322</v>
      </c>
      <c r="AA2" s="719"/>
      <c r="AB2" s="719"/>
      <c r="AC2" s="719"/>
      <c r="AD2" s="719"/>
      <c r="AE2" s="719"/>
      <c r="AF2" s="719"/>
      <c r="AG2" s="720"/>
    </row>
    <row r="3" spans="1:41" ht="26.25" customHeight="1">
      <c r="A3" s="547" t="s">
        <v>67</v>
      </c>
      <c r="B3" s="483" t="s">
        <v>68</v>
      </c>
      <c r="C3" s="351" t="s">
        <v>150</v>
      </c>
      <c r="D3" s="352" t="s">
        <v>69</v>
      </c>
      <c r="E3" s="351" t="s">
        <v>70</v>
      </c>
      <c r="F3" s="352" t="s">
        <v>69</v>
      </c>
      <c r="G3" s="53" t="s">
        <v>151</v>
      </c>
      <c r="H3" s="33" t="s">
        <v>71</v>
      </c>
      <c r="I3" s="365" t="s">
        <v>1</v>
      </c>
      <c r="J3" s="352" t="s">
        <v>72</v>
      </c>
      <c r="K3" s="352" t="s">
        <v>6315</v>
      </c>
      <c r="L3" s="575" t="s">
        <v>0</v>
      </c>
      <c r="M3" s="646" t="s">
        <v>73</v>
      </c>
      <c r="N3" s="59" t="s">
        <v>2</v>
      </c>
      <c r="O3" s="59" t="s">
        <v>3</v>
      </c>
      <c r="P3" s="59" t="s">
        <v>0</v>
      </c>
      <c r="Q3" s="507" t="s">
        <v>4</v>
      </c>
      <c r="R3" s="298" t="s">
        <v>74</v>
      </c>
      <c r="S3" s="59" t="s">
        <v>75</v>
      </c>
      <c r="T3" s="548" t="s">
        <v>76</v>
      </c>
      <c r="U3" s="359" t="s">
        <v>6323</v>
      </c>
      <c r="V3" s="360" t="s">
        <v>6150</v>
      </c>
      <c r="W3" s="360" t="s">
        <v>6555</v>
      </c>
      <c r="X3" s="361" t="s">
        <v>6563</v>
      </c>
      <c r="Y3" s="561" t="s">
        <v>6556</v>
      </c>
      <c r="Z3" s="665" t="s">
        <v>73</v>
      </c>
      <c r="AA3" s="363" t="s">
        <v>2</v>
      </c>
      <c r="AB3" s="363" t="s">
        <v>3</v>
      </c>
      <c r="AC3" s="510" t="s">
        <v>0</v>
      </c>
      <c r="AD3" s="510" t="s">
        <v>4</v>
      </c>
      <c r="AE3" s="364" t="s">
        <v>74</v>
      </c>
      <c r="AF3" s="363" t="s">
        <v>75</v>
      </c>
      <c r="AG3" s="564" t="s">
        <v>76</v>
      </c>
    </row>
    <row r="4" spans="1:41" ht="18.75" customHeight="1" thickBot="1">
      <c r="A4" s="576" t="s">
        <v>6584</v>
      </c>
      <c r="B4" s="35" t="s">
        <v>6580</v>
      </c>
      <c r="C4" s="577"/>
      <c r="D4" s="578"/>
      <c r="E4" s="721" t="s">
        <v>117</v>
      </c>
      <c r="F4" s="722"/>
      <c r="G4" s="579" t="s">
        <v>6581</v>
      </c>
      <c r="H4" s="580" t="s">
        <v>6582</v>
      </c>
      <c r="I4" s="36" t="s">
        <v>123</v>
      </c>
      <c r="J4" s="581" t="s">
        <v>6109</v>
      </c>
      <c r="K4" s="582" t="s">
        <v>6583</v>
      </c>
      <c r="L4" s="345" t="s">
        <v>124</v>
      </c>
      <c r="M4" s="508" t="s">
        <v>6468</v>
      </c>
      <c r="N4" s="38" t="s">
        <v>6469</v>
      </c>
      <c r="O4" s="38" t="s">
        <v>120</v>
      </c>
      <c r="P4" s="38" t="s">
        <v>121</v>
      </c>
      <c r="Q4" s="511" t="s">
        <v>6557</v>
      </c>
      <c r="R4" s="39" t="s">
        <v>6156</v>
      </c>
      <c r="S4" s="38" t="s">
        <v>6558</v>
      </c>
      <c r="T4" s="41" t="s">
        <v>6157</v>
      </c>
      <c r="U4" s="343" t="s">
        <v>6323</v>
      </c>
      <c r="V4" s="36" t="s">
        <v>6150</v>
      </c>
      <c r="W4" s="36" t="s">
        <v>6555</v>
      </c>
      <c r="X4" s="344" t="s">
        <v>6563</v>
      </c>
      <c r="Y4" s="40" t="s">
        <v>6556</v>
      </c>
      <c r="Z4" s="508" t="s">
        <v>6468</v>
      </c>
      <c r="AA4" s="38" t="s">
        <v>6469</v>
      </c>
      <c r="AB4" s="38" t="s">
        <v>120</v>
      </c>
      <c r="AC4" s="511" t="s">
        <v>121</v>
      </c>
      <c r="AD4" s="511" t="s">
        <v>6557</v>
      </c>
      <c r="AE4" s="39" t="s">
        <v>6156</v>
      </c>
      <c r="AF4" s="38" t="s">
        <v>6558</v>
      </c>
      <c r="AG4" s="41" t="s">
        <v>6462</v>
      </c>
    </row>
    <row r="5" spans="1:41" s="7" customFormat="1" ht="33" customHeight="1">
      <c r="A5" s="606">
        <f>1</f>
        <v>1</v>
      </c>
      <c r="B5" s="515">
        <v>10</v>
      </c>
      <c r="C5" s="484" t="str">
        <f>VLOOKUP(B5,All!$B$4:$S$8977,2,FALSE)</f>
        <v>ញ៉ិល</v>
      </c>
      <c r="D5" s="482" t="str">
        <f>VLOOKUP(B5,All!$B$4:$S$89977,3,FALSE)</f>
        <v>ចន័្នធា</v>
      </c>
      <c r="E5" s="484" t="str">
        <f>VLOOKUP(B5,All!$B$4:$S$8977,4,FALSE)</f>
        <v>NHEL</v>
      </c>
      <c r="F5" s="482" t="str">
        <f>VLOOKUP(B5,All!$B$4:$S$8977,5,FALSE)</f>
        <v>CHANTHEA</v>
      </c>
      <c r="G5" s="479" t="str">
        <f>VLOOKUP(B5,All!$B$4:$S$8977,6,FALSE)</f>
        <v>F</v>
      </c>
      <c r="H5" s="486">
        <f>VLOOKUP(B5,All!$B$4:$S$8977,7,FALSE)</f>
        <v>30135</v>
      </c>
      <c r="I5" s="494">
        <f>VLOOKUP(B5,All!$B$4:$S$8977,8,FALSE)</f>
        <v>41575</v>
      </c>
      <c r="J5" s="430" t="s">
        <v>6293</v>
      </c>
      <c r="K5" s="653" t="s">
        <v>6585</v>
      </c>
      <c r="L5" s="654" t="s">
        <v>6294</v>
      </c>
      <c r="M5" s="647">
        <f>VLOOKUP(B5,All!$B$4:$S$8977,12,FALSE)</f>
        <v>192</v>
      </c>
      <c r="N5" s="18">
        <f>VLOOKUP(B5,All!$B$4:$S$8977,13,FALSE)</f>
        <v>9</v>
      </c>
      <c r="O5" s="18">
        <f>VLOOKUP(B5,All!$B$4:$S$8977,14,FALSE)</f>
        <v>20</v>
      </c>
      <c r="P5" s="18">
        <f>VLOOKUP(B5,All!$B$4:$S$8977,15,FALSE)</f>
        <v>195</v>
      </c>
      <c r="Q5" s="509">
        <f>VLOOKUP(B5,All!$B$4:$S$8977,16,FALSE)</f>
        <v>75</v>
      </c>
      <c r="R5" s="18">
        <v>7</v>
      </c>
      <c r="S5" s="18">
        <v>10</v>
      </c>
      <c r="T5" s="550">
        <f t="shared" ref="T5:T20" si="0">SUM(M5:S5)</f>
        <v>508</v>
      </c>
      <c r="U5" s="540">
        <v>30</v>
      </c>
      <c r="V5" s="472">
        <v>44562</v>
      </c>
      <c r="W5" s="493" t="s">
        <v>6566</v>
      </c>
      <c r="X5" s="347"/>
      <c r="Y5" s="664" t="s">
        <v>6587</v>
      </c>
      <c r="Z5" s="647">
        <f t="shared" ref="Z5:Z7" si="1">M5+2</f>
        <v>194</v>
      </c>
      <c r="AA5" s="18">
        <f t="shared" ref="AA5:AF8" si="2">N5</f>
        <v>9</v>
      </c>
      <c r="AB5" s="476">
        <f>O5</f>
        <v>20</v>
      </c>
      <c r="AC5" s="703">
        <f>P5+U5</f>
        <v>225</v>
      </c>
      <c r="AD5" s="509">
        <f t="shared" si="2"/>
        <v>75</v>
      </c>
      <c r="AE5" s="18">
        <f t="shared" si="2"/>
        <v>7</v>
      </c>
      <c r="AF5" s="18">
        <f t="shared" si="2"/>
        <v>10</v>
      </c>
      <c r="AG5" s="634">
        <f t="shared" ref="AG5:AG8" si="3">SUM(Z5:AF5)</f>
        <v>540</v>
      </c>
      <c r="AH5" s="409">
        <f>Z5-M5</f>
        <v>2</v>
      </c>
      <c r="AI5" s="409">
        <f t="shared" ref="AH5:AO8" si="4">AA5-N5</f>
        <v>0</v>
      </c>
      <c r="AJ5" s="409">
        <f t="shared" si="4"/>
        <v>0</v>
      </c>
      <c r="AK5" s="409">
        <f t="shared" si="4"/>
        <v>30</v>
      </c>
      <c r="AL5" s="409">
        <f t="shared" si="4"/>
        <v>0</v>
      </c>
      <c r="AM5" s="409">
        <f t="shared" si="4"/>
        <v>0</v>
      </c>
      <c r="AN5" s="409">
        <f t="shared" si="4"/>
        <v>0</v>
      </c>
      <c r="AO5" s="409">
        <f t="shared" si="4"/>
        <v>32</v>
      </c>
    </row>
    <row r="6" spans="1:41" s="7" customFormat="1" ht="33" customHeight="1">
      <c r="A6" s="606">
        <f>1+A5</f>
        <v>2</v>
      </c>
      <c r="B6" s="516">
        <v>30</v>
      </c>
      <c r="C6" s="484" t="str">
        <f>VLOOKUP(B6,All!$B$4:$S$8977,2,FALSE)</f>
        <v>ភោក</v>
      </c>
      <c r="D6" s="482" t="str">
        <f>VLOOKUP(B6,All!$B$4:$S$89977,3,FALSE)</f>
        <v>ស៊ីណា</v>
      </c>
      <c r="E6" s="484" t="str">
        <f>VLOOKUP(B6,All!$B$4:$S$8977,4,FALSE)</f>
        <v>Phouk</v>
      </c>
      <c r="F6" s="482" t="str">
        <f>VLOOKUP(B6,All!$B$4:$S$8977,5,FALSE)</f>
        <v>Sina</v>
      </c>
      <c r="G6" s="479" t="str">
        <f>VLOOKUP(B6,All!$B$4:$S$8977,6,FALSE)</f>
        <v>F</v>
      </c>
      <c r="H6" s="486">
        <f>VLOOKUP(B6,All!$B$4:$S$8977,7,FALSE)</f>
        <v>29927</v>
      </c>
      <c r="I6" s="494">
        <f>VLOOKUP(B6,All!$B$4:$S$8977,8,FALSE)</f>
        <v>41579</v>
      </c>
      <c r="J6" s="430" t="s">
        <v>6293</v>
      </c>
      <c r="K6" s="653" t="s">
        <v>6585</v>
      </c>
      <c r="L6" s="654" t="s">
        <v>6294</v>
      </c>
      <c r="M6" s="647">
        <f>VLOOKUP(B6,All!$B$4:$S$8977,12,FALSE)</f>
        <v>192</v>
      </c>
      <c r="N6" s="18">
        <f>VLOOKUP(B6,All!$B$4:$S$8977,13,FALSE)</f>
        <v>9</v>
      </c>
      <c r="O6" s="18">
        <f>VLOOKUP(B6,All!$B$4:$S$8977,14,FALSE)</f>
        <v>20</v>
      </c>
      <c r="P6" s="18">
        <f>VLOOKUP(B6,All!$B$4:$S$8977,15,FALSE)</f>
        <v>175</v>
      </c>
      <c r="Q6" s="509">
        <f>VLOOKUP(B6,All!$B$4:$S$8977,16,FALSE)</f>
        <v>75</v>
      </c>
      <c r="R6" s="18">
        <v>7</v>
      </c>
      <c r="S6" s="18">
        <v>10</v>
      </c>
      <c r="T6" s="550">
        <f t="shared" si="0"/>
        <v>488</v>
      </c>
      <c r="U6" s="540">
        <v>30</v>
      </c>
      <c r="V6" s="472">
        <v>44562</v>
      </c>
      <c r="W6" s="492" t="s">
        <v>6566</v>
      </c>
      <c r="X6" s="347"/>
      <c r="Y6" s="484" t="s">
        <v>6587</v>
      </c>
      <c r="Z6" s="647">
        <f t="shared" si="1"/>
        <v>194</v>
      </c>
      <c r="AA6" s="18">
        <f t="shared" ref="AA6:AA7" si="5">N6</f>
        <v>9</v>
      </c>
      <c r="AB6" s="476">
        <f t="shared" ref="AB6:AB57" si="6">O6</f>
        <v>20</v>
      </c>
      <c r="AC6" s="703">
        <f t="shared" ref="AC6:AC57" si="7">P6+U6</f>
        <v>205</v>
      </c>
      <c r="AD6" s="509">
        <f t="shared" ref="AD6:AD7" si="8">Q6</f>
        <v>75</v>
      </c>
      <c r="AE6" s="18">
        <f t="shared" ref="AE6:AE7" si="9">R6</f>
        <v>7</v>
      </c>
      <c r="AF6" s="18">
        <f t="shared" ref="AF6:AF7" si="10">S6</f>
        <v>10</v>
      </c>
      <c r="AG6" s="634">
        <f t="shared" ref="AG6:AG7" si="11">SUM(Z6:AF6)</f>
        <v>520</v>
      </c>
      <c r="AH6" s="409">
        <f t="shared" ref="AH6:AH7" si="12">Z6-M6</f>
        <v>2</v>
      </c>
      <c r="AI6" s="409">
        <f t="shared" ref="AI6:AI7" si="13">AA6-N6</f>
        <v>0</v>
      </c>
      <c r="AJ6" s="409">
        <f t="shared" ref="AJ6:AJ7" si="14">AB6-O6</f>
        <v>0</v>
      </c>
      <c r="AK6" s="409">
        <f t="shared" ref="AK6:AK7" si="15">AC6-P6</f>
        <v>30</v>
      </c>
      <c r="AL6" s="409">
        <f t="shared" ref="AL6:AL7" si="16">AD6-Q6</f>
        <v>0</v>
      </c>
      <c r="AM6" s="409">
        <f t="shared" ref="AM6:AM7" si="17">AE6-R6</f>
        <v>0</v>
      </c>
      <c r="AN6" s="409">
        <f t="shared" ref="AN6:AN7" si="18">AF6-S6</f>
        <v>0</v>
      </c>
      <c r="AO6" s="409">
        <f t="shared" ref="AO6:AO8" si="19">AG6-T6</f>
        <v>32</v>
      </c>
    </row>
    <row r="7" spans="1:41" s="7" customFormat="1" ht="33" customHeight="1">
      <c r="A7" s="606">
        <f t="shared" ref="A7:A57" si="20">1+A6</f>
        <v>3</v>
      </c>
      <c r="B7" s="516">
        <v>32</v>
      </c>
      <c r="C7" s="484" t="str">
        <f>VLOOKUP(B7,All!$B$4:$S$8977,2,FALSE)</f>
        <v>ហៀ</v>
      </c>
      <c r="D7" s="482" t="str">
        <f>VLOOKUP(B7,All!$B$4:$S$89977,3,FALSE)</f>
        <v>ហឿង</v>
      </c>
      <c r="E7" s="484" t="str">
        <f>VLOOKUP(B7,All!$B$4:$S$8977,4,FALSE)</f>
        <v>Hear</v>
      </c>
      <c r="F7" s="482" t="str">
        <f>VLOOKUP(B7,All!$B$4:$S$8977,5,FALSE)</f>
        <v>Hoeung</v>
      </c>
      <c r="G7" s="479" t="str">
        <f>VLOOKUP(B7,All!$B$4:$S$8977,6,FALSE)</f>
        <v>F</v>
      </c>
      <c r="H7" s="486">
        <f>VLOOKUP(B7,All!$B$4:$S$8977,7,FALSE)</f>
        <v>27885</v>
      </c>
      <c r="I7" s="494">
        <f>VLOOKUP(B7,All!$B$4:$S$8977,8,FALSE)</f>
        <v>41579</v>
      </c>
      <c r="J7" s="430" t="s">
        <v>6293</v>
      </c>
      <c r="K7" s="295" t="s">
        <v>6585</v>
      </c>
      <c r="L7" s="657" t="s">
        <v>6294</v>
      </c>
      <c r="M7" s="658">
        <f>VLOOKUP(B7,All!$B$4:$S$8977,12,FALSE)</f>
        <v>192</v>
      </c>
      <c r="N7" s="20">
        <f>VLOOKUP(B7,All!$B$4:$S$8977,13,FALSE)</f>
        <v>9</v>
      </c>
      <c r="O7" s="20">
        <f>VLOOKUP(B7,All!$B$4:$S$8977,14,FALSE)</f>
        <v>0</v>
      </c>
      <c r="P7" s="20">
        <f>VLOOKUP(B7,All!$B$4:$S$8977,15,FALSE)</f>
        <v>260</v>
      </c>
      <c r="Q7" s="659">
        <f>VLOOKUP(B7,All!$B$4:$S$8977,16,FALSE)</f>
        <v>50</v>
      </c>
      <c r="R7" s="20">
        <v>7</v>
      </c>
      <c r="S7" s="20">
        <v>10</v>
      </c>
      <c r="T7" s="550">
        <f t="shared" si="0"/>
        <v>528</v>
      </c>
      <c r="U7" s="540">
        <v>30</v>
      </c>
      <c r="V7" s="472">
        <v>44562</v>
      </c>
      <c r="W7" s="492" t="s">
        <v>6566</v>
      </c>
      <c r="X7" s="347"/>
      <c r="Y7" s="484" t="s">
        <v>6587</v>
      </c>
      <c r="Z7" s="647">
        <f t="shared" si="1"/>
        <v>194</v>
      </c>
      <c r="AA7" s="18">
        <f t="shared" si="5"/>
        <v>9</v>
      </c>
      <c r="AB7" s="476">
        <f t="shared" si="6"/>
        <v>0</v>
      </c>
      <c r="AC7" s="703">
        <f t="shared" si="7"/>
        <v>290</v>
      </c>
      <c r="AD7" s="509">
        <f t="shared" si="8"/>
        <v>50</v>
      </c>
      <c r="AE7" s="18">
        <f t="shared" si="9"/>
        <v>7</v>
      </c>
      <c r="AF7" s="18">
        <f t="shared" si="10"/>
        <v>10</v>
      </c>
      <c r="AG7" s="634">
        <f t="shared" si="11"/>
        <v>560</v>
      </c>
      <c r="AH7" s="409">
        <f t="shared" si="12"/>
        <v>2</v>
      </c>
      <c r="AI7" s="409">
        <f t="shared" si="13"/>
        <v>0</v>
      </c>
      <c r="AJ7" s="409">
        <f t="shared" si="14"/>
        <v>0</v>
      </c>
      <c r="AK7" s="409">
        <f t="shared" si="15"/>
        <v>30</v>
      </c>
      <c r="AL7" s="409">
        <f t="shared" si="16"/>
        <v>0</v>
      </c>
      <c r="AM7" s="409">
        <f t="shared" si="17"/>
        <v>0</v>
      </c>
      <c r="AN7" s="409">
        <f t="shared" si="18"/>
        <v>0</v>
      </c>
      <c r="AO7" s="409">
        <f t="shared" si="19"/>
        <v>32</v>
      </c>
    </row>
    <row r="8" spans="1:41" s="7" customFormat="1" ht="33" customHeight="1">
      <c r="A8" s="606">
        <f t="shared" si="20"/>
        <v>4</v>
      </c>
      <c r="B8" s="8">
        <v>39</v>
      </c>
      <c r="C8" s="484" t="str">
        <f>VLOOKUP(B8,All!$B$4:$S$8977,2,FALSE)</f>
        <v>អ៊ឹម</v>
      </c>
      <c r="D8" s="482" t="str">
        <f>VLOOKUP(B8,All!$B$4:$S$89977,3,FALSE)</f>
        <v>ស្រីល័ក្ខ</v>
      </c>
      <c r="E8" s="484" t="str">
        <f>VLOOKUP(B8,All!$B$4:$S$8977,4,FALSE)</f>
        <v>Oem</v>
      </c>
      <c r="F8" s="482" t="str">
        <f>VLOOKUP(B8,All!$B$4:$S$8977,5,FALSE)</f>
        <v>Srey Leak</v>
      </c>
      <c r="G8" s="479" t="str">
        <f>VLOOKUP(B8,All!$B$4:$S$8977,6,FALSE)</f>
        <v>F</v>
      </c>
      <c r="H8" s="486">
        <f>VLOOKUP(B8,All!$B$4:$S$8977,7,FALSE)</f>
        <v>32600</v>
      </c>
      <c r="I8" s="494">
        <f>VLOOKUP(B8,All!$B$4:$S$8977,8,FALSE)</f>
        <v>41579</v>
      </c>
      <c r="J8" s="430" t="s">
        <v>6293</v>
      </c>
      <c r="K8" s="295" t="s">
        <v>6586</v>
      </c>
      <c r="L8" s="657" t="s">
        <v>6294</v>
      </c>
      <c r="M8" s="658"/>
      <c r="N8" s="20"/>
      <c r="O8" s="20"/>
      <c r="P8" s="20"/>
      <c r="Q8" s="659"/>
      <c r="R8" s="20"/>
      <c r="S8" s="20"/>
      <c r="T8" s="550">
        <f t="shared" si="0"/>
        <v>0</v>
      </c>
      <c r="U8" s="660"/>
      <c r="V8" s="19"/>
      <c r="W8" s="19"/>
      <c r="X8" s="661"/>
      <c r="Y8" s="662" t="s">
        <v>6587</v>
      </c>
      <c r="Z8" s="658">
        <f t="shared" ref="Z8" si="21">M8</f>
        <v>0</v>
      </c>
      <c r="AA8" s="20">
        <f t="shared" si="2"/>
        <v>0</v>
      </c>
      <c r="AB8" s="476">
        <f t="shared" si="6"/>
        <v>0</v>
      </c>
      <c r="AC8" s="703">
        <f t="shared" si="7"/>
        <v>0</v>
      </c>
      <c r="AD8" s="659">
        <f t="shared" si="2"/>
        <v>0</v>
      </c>
      <c r="AE8" s="20">
        <f t="shared" si="2"/>
        <v>0</v>
      </c>
      <c r="AF8" s="20">
        <f t="shared" si="2"/>
        <v>0</v>
      </c>
      <c r="AG8" s="666">
        <f t="shared" si="3"/>
        <v>0</v>
      </c>
      <c r="AH8" s="409">
        <f t="shared" si="4"/>
        <v>0</v>
      </c>
      <c r="AI8" s="409">
        <f t="shared" si="4"/>
        <v>0</v>
      </c>
      <c r="AJ8" s="409">
        <f t="shared" si="4"/>
        <v>0</v>
      </c>
      <c r="AK8" s="409">
        <f t="shared" si="4"/>
        <v>0</v>
      </c>
      <c r="AL8" s="409">
        <f t="shared" si="4"/>
        <v>0</v>
      </c>
      <c r="AM8" s="409">
        <f t="shared" si="4"/>
        <v>0</v>
      </c>
      <c r="AN8" s="409">
        <f t="shared" si="4"/>
        <v>0</v>
      </c>
      <c r="AO8" s="409">
        <f t="shared" si="19"/>
        <v>0</v>
      </c>
    </row>
    <row r="9" spans="1:41" s="7" customFormat="1" ht="33" customHeight="1">
      <c r="A9" s="606">
        <f t="shared" si="20"/>
        <v>5</v>
      </c>
      <c r="B9" s="517">
        <v>3233</v>
      </c>
      <c r="C9" s="484" t="str">
        <f>VLOOKUP(B9,All!$B$4:$S$8977,2,FALSE)</f>
        <v>ហង្ស</v>
      </c>
      <c r="D9" s="482" t="str">
        <f>VLOOKUP(B9,All!$B$4:$S$89977,3,FALSE)</f>
        <v>ចិន</v>
      </c>
      <c r="E9" s="484" t="str">
        <f>VLOOKUP(B9,All!$B$4:$S$8977,4,FALSE)</f>
        <v>HANG</v>
      </c>
      <c r="F9" s="482" t="str">
        <f>VLOOKUP(B9,All!$B$4:$S$8977,5,FALSE)</f>
        <v>CHIN</v>
      </c>
      <c r="G9" s="479" t="str">
        <f>VLOOKUP(B9,All!$B$4:$S$8977,6,FALSE)</f>
        <v>F</v>
      </c>
      <c r="H9" s="486">
        <f>VLOOKUP(B9,All!$B$4:$S$8977,7,FALSE)</f>
        <v>30075</v>
      </c>
      <c r="I9" s="494">
        <f>VLOOKUP(B9,All!$B$4:$S$8977,8,FALSE)</f>
        <v>43745</v>
      </c>
      <c r="J9" s="430" t="s">
        <v>6293</v>
      </c>
      <c r="K9" s="653" t="s">
        <v>6294</v>
      </c>
      <c r="L9" s="654" t="s">
        <v>6294</v>
      </c>
      <c r="M9" s="647">
        <f>VLOOKUP(B9,All!$B$4:$S$8977,12,FALSE)</f>
        <v>192</v>
      </c>
      <c r="N9" s="18">
        <f>VLOOKUP(B9,All!$B$4:$S$8977,13,FALSE)</f>
        <v>3</v>
      </c>
      <c r="O9" s="18">
        <f>VLOOKUP(B9,All!$B$4:$S$8977,14,FALSE)</f>
        <v>0</v>
      </c>
      <c r="P9" s="18">
        <f>VLOOKUP(B9,All!$B$4:$S$8977,15,FALSE)</f>
        <v>85</v>
      </c>
      <c r="Q9" s="509">
        <f>VLOOKUP(B9,All!$B$4:$S$8977,16,FALSE)</f>
        <v>150</v>
      </c>
      <c r="R9" s="18">
        <v>7</v>
      </c>
      <c r="S9" s="18">
        <v>10</v>
      </c>
      <c r="T9" s="550">
        <f t="shared" si="0"/>
        <v>447</v>
      </c>
      <c r="U9" s="684">
        <v>30</v>
      </c>
      <c r="V9" s="472">
        <v>44562</v>
      </c>
      <c r="W9" s="492" t="s">
        <v>6566</v>
      </c>
      <c r="X9" s="347"/>
      <c r="Y9" s="484" t="s">
        <v>6587</v>
      </c>
      <c r="Z9" s="647">
        <f t="shared" ref="Z9:Z57" si="22">M9+2</f>
        <v>194</v>
      </c>
      <c r="AA9" s="18">
        <f t="shared" ref="AA9:AF40" si="23">N9</f>
        <v>3</v>
      </c>
      <c r="AB9" s="476">
        <f t="shared" si="6"/>
        <v>0</v>
      </c>
      <c r="AC9" s="703">
        <f t="shared" si="7"/>
        <v>115</v>
      </c>
      <c r="AD9" s="509">
        <f t="shared" ref="AD9:AD39" si="24">Q9</f>
        <v>150</v>
      </c>
      <c r="AE9" s="18">
        <f t="shared" ref="AE9:AE39" si="25">R9</f>
        <v>7</v>
      </c>
      <c r="AF9" s="18">
        <f t="shared" ref="AF9:AF39" si="26">S9</f>
        <v>10</v>
      </c>
      <c r="AG9" s="634">
        <f t="shared" ref="AG9:AG57" si="27">SUM(Z9:AF9)</f>
        <v>479</v>
      </c>
      <c r="AH9" s="409">
        <f t="shared" ref="AH9:AO40" si="28">Z9-M9</f>
        <v>2</v>
      </c>
      <c r="AI9" s="409">
        <f t="shared" ref="AI9:AI39" si="29">AA9-N9</f>
        <v>0</v>
      </c>
      <c r="AJ9" s="409">
        <f t="shared" ref="AJ9:AJ39" si="30">AB9-O9</f>
        <v>0</v>
      </c>
      <c r="AK9" s="409">
        <f t="shared" ref="AK9:AK39" si="31">AC9-P9</f>
        <v>30</v>
      </c>
      <c r="AL9" s="409">
        <f t="shared" ref="AL9:AL39" si="32">AD9-Q9</f>
        <v>0</v>
      </c>
      <c r="AM9" s="409">
        <f t="shared" ref="AM9:AM39" si="33">AE9-R9</f>
        <v>0</v>
      </c>
      <c r="AN9" s="409">
        <f t="shared" ref="AN9:AN39" si="34">AF9-S9</f>
        <v>0</v>
      </c>
      <c r="AO9" s="409">
        <f t="shared" ref="AO9:AO39" si="35">AG9-T9</f>
        <v>32</v>
      </c>
    </row>
    <row r="10" spans="1:41" s="7" customFormat="1" ht="33" customHeight="1">
      <c r="A10" s="606">
        <f t="shared" si="20"/>
        <v>6</v>
      </c>
      <c r="B10" s="516">
        <v>161</v>
      </c>
      <c r="C10" s="484" t="str">
        <f>VLOOKUP(B10,All!$B$4:$S$8977,2,FALSE)</f>
        <v>សែត</v>
      </c>
      <c r="D10" s="482" t="str">
        <f>VLOOKUP(B10,All!$B$4:$S$89977,3,FALSE)</f>
        <v>មឿន</v>
      </c>
      <c r="E10" s="484" t="str">
        <f>VLOOKUP(B10,All!$B$4:$S$8977,4,FALSE)</f>
        <v>Set</v>
      </c>
      <c r="F10" s="482" t="str">
        <f>VLOOKUP(B10,All!$B$4:$S$8977,5,FALSE)</f>
        <v>moeun</v>
      </c>
      <c r="G10" s="479" t="str">
        <f>VLOOKUP(B10,All!$B$4:$S$8977,6,FALSE)</f>
        <v>F</v>
      </c>
      <c r="H10" s="486">
        <f>VLOOKUP(B10,All!$B$4:$S$8977,7,FALSE)</f>
        <v>34710</v>
      </c>
      <c r="I10" s="494">
        <f>VLOOKUP(B10,All!$B$4:$S$8977,8,FALSE)</f>
        <v>41674</v>
      </c>
      <c r="J10" s="430" t="s">
        <v>6293</v>
      </c>
      <c r="K10" s="653" t="s">
        <v>6443</v>
      </c>
      <c r="L10" s="654" t="s">
        <v>6087</v>
      </c>
      <c r="M10" s="647">
        <f>VLOOKUP(B10,All!$B$4:$S$8977,12,FALSE)</f>
        <v>192</v>
      </c>
      <c r="N10" s="18">
        <f>VLOOKUP(B10,All!$B$4:$S$8977,13,FALSE)</f>
        <v>8</v>
      </c>
      <c r="O10" s="18">
        <f>VLOOKUP(B10,All!$B$4:$S$8977,14,FALSE)</f>
        <v>20</v>
      </c>
      <c r="P10" s="18">
        <f>VLOOKUP(B10,All!$B$4:$S$8977,15,FALSE)</f>
        <v>45</v>
      </c>
      <c r="Q10" s="509">
        <f>VLOOKUP(B10,All!$B$4:$S$8977,16,FALSE)</f>
        <v>0</v>
      </c>
      <c r="R10" s="18">
        <v>7</v>
      </c>
      <c r="S10" s="18">
        <v>10</v>
      </c>
      <c r="T10" s="550">
        <f t="shared" si="0"/>
        <v>282</v>
      </c>
      <c r="U10" s="683">
        <v>15</v>
      </c>
      <c r="V10" s="472">
        <v>44562</v>
      </c>
      <c r="W10" s="492" t="s">
        <v>6566</v>
      </c>
      <c r="X10" s="347"/>
      <c r="Y10" s="484" t="s">
        <v>6588</v>
      </c>
      <c r="Z10" s="647">
        <f t="shared" si="22"/>
        <v>194</v>
      </c>
      <c r="AA10" s="18">
        <f t="shared" si="23"/>
        <v>8</v>
      </c>
      <c r="AB10" s="476">
        <f t="shared" si="6"/>
        <v>20</v>
      </c>
      <c r="AC10" s="703">
        <f t="shared" si="7"/>
        <v>60</v>
      </c>
      <c r="AD10" s="509">
        <f t="shared" si="24"/>
        <v>0</v>
      </c>
      <c r="AE10" s="18">
        <f t="shared" si="25"/>
        <v>7</v>
      </c>
      <c r="AF10" s="18">
        <f t="shared" si="26"/>
        <v>10</v>
      </c>
      <c r="AG10" s="634">
        <f t="shared" si="27"/>
        <v>299</v>
      </c>
      <c r="AH10" s="409">
        <f t="shared" si="28"/>
        <v>2</v>
      </c>
      <c r="AI10" s="409">
        <f t="shared" si="29"/>
        <v>0</v>
      </c>
      <c r="AJ10" s="409">
        <f t="shared" si="30"/>
        <v>0</v>
      </c>
      <c r="AK10" s="409">
        <f t="shared" si="31"/>
        <v>15</v>
      </c>
      <c r="AL10" s="409">
        <f t="shared" si="32"/>
        <v>0</v>
      </c>
      <c r="AM10" s="409">
        <f t="shared" si="33"/>
        <v>0</v>
      </c>
      <c r="AN10" s="409">
        <f t="shared" si="34"/>
        <v>0</v>
      </c>
      <c r="AO10" s="409">
        <f t="shared" si="35"/>
        <v>17</v>
      </c>
    </row>
    <row r="11" spans="1:41" s="7" customFormat="1" ht="33" customHeight="1">
      <c r="A11" s="606">
        <f t="shared" si="20"/>
        <v>7</v>
      </c>
      <c r="B11" s="516">
        <v>521</v>
      </c>
      <c r="C11" s="484" t="str">
        <f>VLOOKUP(B11,All!$B$4:$S$8977,2,FALSE)</f>
        <v>ភា</v>
      </c>
      <c r="D11" s="482" t="str">
        <f>VLOOKUP(B11,All!$B$4:$S$89977,3,FALSE)</f>
        <v>ទន</v>
      </c>
      <c r="E11" s="484" t="str">
        <f>VLOOKUP(B11,All!$B$4:$S$8977,4,FALSE)</f>
        <v>PHEA</v>
      </c>
      <c r="F11" s="482" t="str">
        <f>VLOOKUP(B11,All!$B$4:$S$8977,5,FALSE)</f>
        <v>THHON</v>
      </c>
      <c r="G11" s="479" t="str">
        <f>VLOOKUP(B11,All!$B$4:$S$8977,6,FALSE)</f>
        <v>F</v>
      </c>
      <c r="H11" s="486">
        <f>VLOOKUP(B11,All!$B$4:$S$8977,7,FALSE)</f>
        <v>33817</v>
      </c>
      <c r="I11" s="494">
        <f>VLOOKUP(B11,All!$B$4:$S$8977,8,FALSE)</f>
        <v>41825</v>
      </c>
      <c r="J11" s="430" t="s">
        <v>6293</v>
      </c>
      <c r="K11" s="653" t="s">
        <v>6302</v>
      </c>
      <c r="L11" s="654" t="s">
        <v>6094</v>
      </c>
      <c r="M11" s="647">
        <f>VLOOKUP(B11,All!$B$4:$S$8977,12,FALSE)</f>
        <v>192</v>
      </c>
      <c r="N11" s="18">
        <f>VLOOKUP(B11,All!$B$4:$S$8977,13,FALSE)</f>
        <v>8</v>
      </c>
      <c r="O11" s="18">
        <f>VLOOKUP(B11,All!$B$4:$S$8977,14,FALSE)</f>
        <v>20</v>
      </c>
      <c r="P11" s="18">
        <f>VLOOKUP(B11,All!$B$4:$S$8977,15,FALSE)</f>
        <v>45</v>
      </c>
      <c r="Q11" s="509">
        <f>VLOOKUP(B11,All!$B$4:$S$8977,16,FALSE)</f>
        <v>0</v>
      </c>
      <c r="R11" s="18">
        <v>7</v>
      </c>
      <c r="S11" s="18">
        <v>10</v>
      </c>
      <c r="T11" s="550">
        <f t="shared" si="0"/>
        <v>282</v>
      </c>
      <c r="U11" s="683">
        <v>15</v>
      </c>
      <c r="V11" s="472">
        <v>44562</v>
      </c>
      <c r="W11" s="492" t="s">
        <v>6566</v>
      </c>
      <c r="X11" s="347"/>
      <c r="Y11" s="484" t="s">
        <v>6588</v>
      </c>
      <c r="Z11" s="647">
        <f t="shared" si="22"/>
        <v>194</v>
      </c>
      <c r="AA11" s="18">
        <f t="shared" si="23"/>
        <v>8</v>
      </c>
      <c r="AB11" s="476">
        <f t="shared" si="6"/>
        <v>20</v>
      </c>
      <c r="AC11" s="703">
        <f t="shared" si="7"/>
        <v>60</v>
      </c>
      <c r="AD11" s="509">
        <f t="shared" si="24"/>
        <v>0</v>
      </c>
      <c r="AE11" s="18">
        <f t="shared" si="25"/>
        <v>7</v>
      </c>
      <c r="AF11" s="18">
        <f t="shared" si="26"/>
        <v>10</v>
      </c>
      <c r="AG11" s="634">
        <f t="shared" si="27"/>
        <v>299</v>
      </c>
      <c r="AH11" s="409">
        <f t="shared" si="28"/>
        <v>2</v>
      </c>
      <c r="AI11" s="409">
        <f t="shared" si="29"/>
        <v>0</v>
      </c>
      <c r="AJ11" s="409">
        <f t="shared" si="30"/>
        <v>0</v>
      </c>
      <c r="AK11" s="409">
        <f t="shared" si="31"/>
        <v>15</v>
      </c>
      <c r="AL11" s="409">
        <f t="shared" si="32"/>
        <v>0</v>
      </c>
      <c r="AM11" s="409">
        <f t="shared" si="33"/>
        <v>0</v>
      </c>
      <c r="AN11" s="409">
        <f t="shared" si="34"/>
        <v>0</v>
      </c>
      <c r="AO11" s="409">
        <f t="shared" si="35"/>
        <v>17</v>
      </c>
    </row>
    <row r="12" spans="1:41" s="7" customFormat="1" ht="33" customHeight="1">
      <c r="A12" s="606">
        <f t="shared" si="20"/>
        <v>8</v>
      </c>
      <c r="B12" s="517">
        <v>3227</v>
      </c>
      <c r="C12" s="484" t="str">
        <f>VLOOKUP(B12,All!$B$4:$S$8977,2,FALSE)</f>
        <v>សឺន</v>
      </c>
      <c r="D12" s="482" t="str">
        <f>VLOOKUP(B12,All!$B$4:$S$89977,3,FALSE)</f>
        <v>សំណា</v>
      </c>
      <c r="E12" s="484" t="str">
        <f>VLOOKUP(B12,All!$B$4:$S$8977,4,FALSE)</f>
        <v>SEUN</v>
      </c>
      <c r="F12" s="482" t="str">
        <f>VLOOKUP(B12,All!$B$4:$S$8977,5,FALSE)</f>
        <v>SAMNA</v>
      </c>
      <c r="G12" s="479" t="str">
        <f>VLOOKUP(B12,All!$B$4:$S$8977,6,FALSE)</f>
        <v>M</v>
      </c>
      <c r="H12" s="486">
        <f>VLOOKUP(B12,All!$B$4:$S$8977,7,FALSE)</f>
        <v>34552</v>
      </c>
      <c r="I12" s="494">
        <f>VLOOKUP(B12,All!$B$4:$S$8977,8,FALSE)</f>
        <v>43742</v>
      </c>
      <c r="J12" s="430" t="s">
        <v>6293</v>
      </c>
      <c r="K12" s="653" t="s">
        <v>6455</v>
      </c>
      <c r="L12" s="654" t="s">
        <v>6135</v>
      </c>
      <c r="M12" s="647">
        <f>VLOOKUP(B12,All!$B$4:$S$8977,12,FALSE)</f>
        <v>192</v>
      </c>
      <c r="N12" s="18">
        <f>VLOOKUP(B12,All!$B$4:$S$8977,13,FALSE)</f>
        <v>3</v>
      </c>
      <c r="O12" s="18">
        <f>VLOOKUP(B12,All!$B$4:$S$8977,14,FALSE)</f>
        <v>0</v>
      </c>
      <c r="P12" s="18">
        <f>VLOOKUP(B12,All!$B$4:$S$8977,15,FALSE)</f>
        <v>45</v>
      </c>
      <c r="Q12" s="509">
        <f>VLOOKUP(B12,All!$B$4:$S$8977,16,FALSE)</f>
        <v>0</v>
      </c>
      <c r="R12" s="18">
        <v>7</v>
      </c>
      <c r="S12" s="18">
        <v>10</v>
      </c>
      <c r="T12" s="550">
        <f t="shared" si="0"/>
        <v>257</v>
      </c>
      <c r="U12" s="683">
        <v>15</v>
      </c>
      <c r="V12" s="472">
        <v>44562</v>
      </c>
      <c r="W12" s="492" t="s">
        <v>6566</v>
      </c>
      <c r="X12" s="410"/>
      <c r="Y12" s="664" t="s">
        <v>6588</v>
      </c>
      <c r="Z12" s="647">
        <f t="shared" si="22"/>
        <v>194</v>
      </c>
      <c r="AA12" s="18">
        <f t="shared" si="23"/>
        <v>3</v>
      </c>
      <c r="AB12" s="476">
        <f t="shared" si="6"/>
        <v>0</v>
      </c>
      <c r="AC12" s="703">
        <f t="shared" si="7"/>
        <v>60</v>
      </c>
      <c r="AD12" s="509">
        <f t="shared" si="24"/>
        <v>0</v>
      </c>
      <c r="AE12" s="18">
        <f t="shared" si="25"/>
        <v>7</v>
      </c>
      <c r="AF12" s="18">
        <f t="shared" si="26"/>
        <v>10</v>
      </c>
      <c r="AG12" s="634">
        <f t="shared" si="27"/>
        <v>274</v>
      </c>
      <c r="AH12" s="409">
        <f t="shared" si="28"/>
        <v>2</v>
      </c>
      <c r="AI12" s="409">
        <f t="shared" si="29"/>
        <v>0</v>
      </c>
      <c r="AJ12" s="409">
        <f t="shared" si="30"/>
        <v>0</v>
      </c>
      <c r="AK12" s="409">
        <f t="shared" si="31"/>
        <v>15</v>
      </c>
      <c r="AL12" s="409">
        <f t="shared" si="32"/>
        <v>0</v>
      </c>
      <c r="AM12" s="409">
        <f t="shared" si="33"/>
        <v>0</v>
      </c>
      <c r="AN12" s="409">
        <f t="shared" si="34"/>
        <v>0</v>
      </c>
      <c r="AO12" s="409">
        <f t="shared" si="35"/>
        <v>17</v>
      </c>
    </row>
    <row r="13" spans="1:41" s="7" customFormat="1" ht="33" customHeight="1">
      <c r="A13" s="606">
        <f t="shared" si="20"/>
        <v>9</v>
      </c>
      <c r="B13" s="516">
        <v>3960</v>
      </c>
      <c r="C13" s="484" t="str">
        <f>VLOOKUP(B13,All!$B$4:$S$8977,2,FALSE)</f>
        <v>ហង់</v>
      </c>
      <c r="D13" s="482" t="str">
        <f>VLOOKUP(B13,All!$B$4:$S$89977,3,FALSE)</f>
        <v>ចាន់នី</v>
      </c>
      <c r="E13" s="484" t="str">
        <f>VLOOKUP(B13,All!$B$4:$S$8977,4,FALSE)</f>
        <v>HANG</v>
      </c>
      <c r="F13" s="482" t="str">
        <f>VLOOKUP(B13,All!$B$4:$S$8977,5,FALSE)</f>
        <v>CHANNY</v>
      </c>
      <c r="G13" s="479" t="str">
        <f>VLOOKUP(B13,All!$B$4:$S$8977,6,FALSE)</f>
        <v>F</v>
      </c>
      <c r="H13" s="486">
        <f>VLOOKUP(B13,All!$B$4:$S$8977,7,FALSE)</f>
        <v>31483</v>
      </c>
      <c r="I13" s="494">
        <f>VLOOKUP(B13,All!$B$4:$S$8977,8,FALSE)</f>
        <v>43820</v>
      </c>
      <c r="J13" s="430" t="s">
        <v>6293</v>
      </c>
      <c r="K13" s="653" t="s">
        <v>6456</v>
      </c>
      <c r="L13" s="654" t="s">
        <v>6131</v>
      </c>
      <c r="M13" s="647">
        <f>VLOOKUP(B13,All!$B$4:$S$8977,12,FALSE)</f>
        <v>192</v>
      </c>
      <c r="N13" s="18">
        <f>VLOOKUP(B13,All!$B$4:$S$8977,13,FALSE)</f>
        <v>3</v>
      </c>
      <c r="O13" s="18">
        <f>VLOOKUP(B13,All!$B$4:$S$8977,14,FALSE)</f>
        <v>0</v>
      </c>
      <c r="P13" s="18">
        <f>VLOOKUP(B13,All!$B$4:$S$8977,15,FALSE)</f>
        <v>45</v>
      </c>
      <c r="Q13" s="509">
        <f>VLOOKUP(B13,All!$B$4:$S$8977,16,FALSE)</f>
        <v>0</v>
      </c>
      <c r="R13" s="18">
        <v>7</v>
      </c>
      <c r="S13" s="18">
        <v>10</v>
      </c>
      <c r="T13" s="550">
        <f t="shared" si="0"/>
        <v>257</v>
      </c>
      <c r="U13" s="683">
        <v>15</v>
      </c>
      <c r="V13" s="472">
        <v>44562</v>
      </c>
      <c r="W13" s="492" t="s">
        <v>6566</v>
      </c>
      <c r="X13" s="347"/>
      <c r="Y13" s="484" t="s">
        <v>6588</v>
      </c>
      <c r="Z13" s="647">
        <f t="shared" si="22"/>
        <v>194</v>
      </c>
      <c r="AA13" s="18">
        <f t="shared" si="23"/>
        <v>3</v>
      </c>
      <c r="AB13" s="476">
        <f t="shared" si="6"/>
        <v>0</v>
      </c>
      <c r="AC13" s="703">
        <f t="shared" si="7"/>
        <v>60</v>
      </c>
      <c r="AD13" s="509">
        <f t="shared" si="24"/>
        <v>0</v>
      </c>
      <c r="AE13" s="18">
        <f t="shared" si="25"/>
        <v>7</v>
      </c>
      <c r="AF13" s="18">
        <f t="shared" si="26"/>
        <v>10</v>
      </c>
      <c r="AG13" s="634">
        <f t="shared" si="27"/>
        <v>274</v>
      </c>
      <c r="AH13" s="409">
        <f t="shared" si="28"/>
        <v>2</v>
      </c>
      <c r="AI13" s="409">
        <f t="shared" si="29"/>
        <v>0</v>
      </c>
      <c r="AJ13" s="409">
        <f t="shared" si="30"/>
        <v>0</v>
      </c>
      <c r="AK13" s="409">
        <f t="shared" si="31"/>
        <v>15</v>
      </c>
      <c r="AL13" s="409">
        <f t="shared" si="32"/>
        <v>0</v>
      </c>
      <c r="AM13" s="409">
        <f t="shared" si="33"/>
        <v>0</v>
      </c>
      <c r="AN13" s="409">
        <f t="shared" si="34"/>
        <v>0</v>
      </c>
      <c r="AO13" s="409">
        <f t="shared" si="35"/>
        <v>17</v>
      </c>
    </row>
    <row r="14" spans="1:41" s="7" customFormat="1" ht="33" customHeight="1">
      <c r="A14" s="606">
        <f t="shared" si="20"/>
        <v>10</v>
      </c>
      <c r="B14" s="516">
        <v>3047</v>
      </c>
      <c r="C14" s="484" t="str">
        <f>VLOOKUP(B14,All!$B$4:$S$8977,2,FALSE)</f>
        <v>ឯម</v>
      </c>
      <c r="D14" s="482" t="str">
        <f>VLOOKUP(B14,All!$B$4:$S$89977,3,FALSE)</f>
        <v>ម៉ាច</v>
      </c>
      <c r="E14" s="484" t="str">
        <f>VLOOKUP(B14,All!$B$4:$S$8977,4,FALSE)</f>
        <v>Em</v>
      </c>
      <c r="F14" s="482" t="str">
        <f>VLOOKUP(B14,All!$B$4:$S$8977,5,FALSE)</f>
        <v>Mach</v>
      </c>
      <c r="G14" s="479" t="str">
        <f>VLOOKUP(B14,All!$B$4:$S$8977,6,FALSE)</f>
        <v>F</v>
      </c>
      <c r="H14" s="486">
        <f>VLOOKUP(B14,All!$B$4:$S$8977,7,FALSE)</f>
        <v>33765</v>
      </c>
      <c r="I14" s="494">
        <f>VLOOKUP(B14,All!$B$4:$S$8977,8,FALSE)</f>
        <v>43648</v>
      </c>
      <c r="J14" s="430" t="s">
        <v>6293</v>
      </c>
      <c r="K14" s="653" t="s">
        <v>6453</v>
      </c>
      <c r="L14" s="654" t="s">
        <v>6102</v>
      </c>
      <c r="M14" s="647">
        <f>VLOOKUP(B14,All!$B$4:$S$8977,12,FALSE)</f>
        <v>192</v>
      </c>
      <c r="N14" s="18">
        <f>VLOOKUP(B14,All!$B$4:$S$8977,13,FALSE)</f>
        <v>3</v>
      </c>
      <c r="O14" s="18">
        <f>VLOOKUP(B14,All!$B$4:$S$8977,14,FALSE)</f>
        <v>0</v>
      </c>
      <c r="P14" s="18">
        <f>VLOOKUP(B14,All!$B$4:$S$8977,15,FALSE)</f>
        <v>45</v>
      </c>
      <c r="Q14" s="509">
        <f>VLOOKUP(B14,All!$B$4:$S$8977,16,FALSE)</f>
        <v>0</v>
      </c>
      <c r="R14" s="18">
        <v>7</v>
      </c>
      <c r="S14" s="18">
        <v>10</v>
      </c>
      <c r="T14" s="550">
        <f t="shared" si="0"/>
        <v>257</v>
      </c>
      <c r="U14" s="683">
        <v>15</v>
      </c>
      <c r="V14" s="472">
        <v>44562</v>
      </c>
      <c r="W14" s="492" t="s">
        <v>6566</v>
      </c>
      <c r="X14" s="347"/>
      <c r="Y14" s="484" t="s">
        <v>6588</v>
      </c>
      <c r="Z14" s="647">
        <f t="shared" si="22"/>
        <v>194</v>
      </c>
      <c r="AA14" s="18">
        <f t="shared" si="23"/>
        <v>3</v>
      </c>
      <c r="AB14" s="476">
        <f t="shared" si="6"/>
        <v>0</v>
      </c>
      <c r="AC14" s="703">
        <f t="shared" si="7"/>
        <v>60</v>
      </c>
      <c r="AD14" s="509">
        <f t="shared" si="24"/>
        <v>0</v>
      </c>
      <c r="AE14" s="18">
        <f t="shared" si="25"/>
        <v>7</v>
      </c>
      <c r="AF14" s="18">
        <f t="shared" si="26"/>
        <v>10</v>
      </c>
      <c r="AG14" s="634">
        <f t="shared" si="27"/>
        <v>274</v>
      </c>
      <c r="AH14" s="409">
        <f t="shared" si="28"/>
        <v>2</v>
      </c>
      <c r="AI14" s="409">
        <f t="shared" si="29"/>
        <v>0</v>
      </c>
      <c r="AJ14" s="409">
        <f t="shared" si="30"/>
        <v>0</v>
      </c>
      <c r="AK14" s="409">
        <f t="shared" si="31"/>
        <v>15</v>
      </c>
      <c r="AL14" s="409">
        <f t="shared" si="32"/>
        <v>0</v>
      </c>
      <c r="AM14" s="409">
        <f t="shared" si="33"/>
        <v>0</v>
      </c>
      <c r="AN14" s="409">
        <f t="shared" si="34"/>
        <v>0</v>
      </c>
      <c r="AO14" s="409">
        <f t="shared" si="35"/>
        <v>17</v>
      </c>
    </row>
    <row r="15" spans="1:41" s="7" customFormat="1" ht="33" customHeight="1">
      <c r="A15" s="606">
        <f t="shared" si="20"/>
        <v>11</v>
      </c>
      <c r="B15" s="516">
        <v>1569</v>
      </c>
      <c r="C15" s="484" t="str">
        <f>VLOOKUP(B15,All!$B$4:$S$8977,2,FALSE)</f>
        <v>សន</v>
      </c>
      <c r="D15" s="482" t="str">
        <f>VLOOKUP(B15,All!$B$4:$S$89977,3,FALSE)</f>
        <v>ស៊ីណាត</v>
      </c>
      <c r="E15" s="484" t="str">
        <f>VLOOKUP(B15,All!$B$4:$S$8977,4,FALSE)</f>
        <v>SORN</v>
      </c>
      <c r="F15" s="482" t="str">
        <f>VLOOKUP(B15,All!$B$4:$S$8977,5,FALSE)</f>
        <v>SINAT</v>
      </c>
      <c r="G15" s="479" t="str">
        <f>VLOOKUP(B15,All!$B$4:$S$8977,6,FALSE)</f>
        <v>F</v>
      </c>
      <c r="H15" s="486">
        <f>VLOOKUP(B15,All!$B$4:$S$8977,7,FALSE)</f>
        <v>31659</v>
      </c>
      <c r="I15" s="494">
        <f>VLOOKUP(B15,All!$B$4:$S$8977,8,FALSE)</f>
        <v>42565</v>
      </c>
      <c r="J15" s="430" t="s">
        <v>6293</v>
      </c>
      <c r="K15" s="653" t="s">
        <v>6446</v>
      </c>
      <c r="L15" s="654" t="s">
        <v>6098</v>
      </c>
      <c r="M15" s="647">
        <f>VLOOKUP(B15,All!$B$4:$S$8977,12,FALSE)</f>
        <v>192</v>
      </c>
      <c r="N15" s="18">
        <f>VLOOKUP(B15,All!$B$4:$S$8977,13,FALSE)</f>
        <v>6</v>
      </c>
      <c r="O15" s="18">
        <f>VLOOKUP(B15,All!$B$4:$S$8977,14,FALSE)</f>
        <v>20</v>
      </c>
      <c r="P15" s="18">
        <f>VLOOKUP(B15,All!$B$4:$S$8977,15,FALSE)</f>
        <v>45</v>
      </c>
      <c r="Q15" s="509">
        <f>VLOOKUP(B15,All!$B$4:$S$8977,16,FALSE)</f>
        <v>0</v>
      </c>
      <c r="R15" s="18">
        <v>7</v>
      </c>
      <c r="S15" s="18">
        <v>10</v>
      </c>
      <c r="T15" s="550">
        <f t="shared" si="0"/>
        <v>280</v>
      </c>
      <c r="U15" s="683">
        <v>15</v>
      </c>
      <c r="V15" s="472">
        <v>44562</v>
      </c>
      <c r="W15" s="492" t="s">
        <v>6566</v>
      </c>
      <c r="X15" s="347"/>
      <c r="Y15" s="484" t="s">
        <v>6588</v>
      </c>
      <c r="Z15" s="647">
        <f t="shared" si="22"/>
        <v>194</v>
      </c>
      <c r="AA15" s="18">
        <f t="shared" si="23"/>
        <v>6</v>
      </c>
      <c r="AB15" s="476">
        <f t="shared" si="6"/>
        <v>20</v>
      </c>
      <c r="AC15" s="703">
        <f t="shared" si="7"/>
        <v>60</v>
      </c>
      <c r="AD15" s="509">
        <f t="shared" si="24"/>
        <v>0</v>
      </c>
      <c r="AE15" s="18">
        <f t="shared" si="25"/>
        <v>7</v>
      </c>
      <c r="AF15" s="18">
        <f t="shared" si="26"/>
        <v>10</v>
      </c>
      <c r="AG15" s="634">
        <f t="shared" si="27"/>
        <v>297</v>
      </c>
      <c r="AH15" s="409">
        <f t="shared" si="28"/>
        <v>2</v>
      </c>
      <c r="AI15" s="409">
        <f t="shared" si="29"/>
        <v>0</v>
      </c>
      <c r="AJ15" s="409">
        <f t="shared" si="30"/>
        <v>0</v>
      </c>
      <c r="AK15" s="409">
        <f t="shared" si="31"/>
        <v>15</v>
      </c>
      <c r="AL15" s="409">
        <f t="shared" si="32"/>
        <v>0</v>
      </c>
      <c r="AM15" s="409">
        <f t="shared" si="33"/>
        <v>0</v>
      </c>
      <c r="AN15" s="409">
        <f t="shared" si="34"/>
        <v>0</v>
      </c>
      <c r="AO15" s="409">
        <f t="shared" si="35"/>
        <v>17</v>
      </c>
    </row>
    <row r="16" spans="1:41" s="7" customFormat="1" ht="33" customHeight="1">
      <c r="A16" s="606">
        <f t="shared" si="20"/>
        <v>12</v>
      </c>
      <c r="B16" s="516">
        <v>909</v>
      </c>
      <c r="C16" s="484" t="str">
        <f>VLOOKUP(B16,All!$B$4:$S$8977,2,FALSE)</f>
        <v>ភឹម</v>
      </c>
      <c r="D16" s="482" t="str">
        <f>VLOOKUP(B16,All!$B$4:$S$89977,3,FALSE)</f>
        <v>ឡាន</v>
      </c>
      <c r="E16" s="484" t="str">
        <f>VLOOKUP(B16,All!$B$4:$S$8977,4,FALSE)</f>
        <v>PHOEM</v>
      </c>
      <c r="F16" s="482" t="str">
        <f>VLOOKUP(B16,All!$B$4:$S$8977,5,FALSE)</f>
        <v>LAN</v>
      </c>
      <c r="G16" s="479" t="str">
        <f>VLOOKUP(B16,All!$B$4:$S$8977,6,FALSE)</f>
        <v>F</v>
      </c>
      <c r="H16" s="486">
        <f>VLOOKUP(B16,All!$B$4:$S$8977,7,FALSE)</f>
        <v>31851</v>
      </c>
      <c r="I16" s="494">
        <f>VLOOKUP(B16,All!$B$4:$S$8977,8,FALSE)</f>
        <v>42122</v>
      </c>
      <c r="J16" s="430" t="s">
        <v>6293</v>
      </c>
      <c r="K16" s="653" t="s">
        <v>6444</v>
      </c>
      <c r="L16" s="654" t="s">
        <v>6142</v>
      </c>
      <c r="M16" s="647">
        <f>VLOOKUP(B16,All!$B$4:$S$8977,12,FALSE)</f>
        <v>192</v>
      </c>
      <c r="N16" s="18">
        <f>VLOOKUP(B16,All!$B$4:$S$8977,13,FALSE)</f>
        <v>7</v>
      </c>
      <c r="O16" s="18">
        <f>VLOOKUP(B16,All!$B$4:$S$8977,14,FALSE)</f>
        <v>20</v>
      </c>
      <c r="P16" s="18">
        <f>VLOOKUP(B16,All!$B$4:$S$8977,15,FALSE)</f>
        <v>30</v>
      </c>
      <c r="Q16" s="509">
        <f>VLOOKUP(B16,All!$B$4:$S$8977,16,FALSE)</f>
        <v>0</v>
      </c>
      <c r="R16" s="18">
        <v>7</v>
      </c>
      <c r="S16" s="18">
        <v>10</v>
      </c>
      <c r="T16" s="550">
        <f t="shared" si="0"/>
        <v>266</v>
      </c>
      <c r="U16" s="683">
        <v>15</v>
      </c>
      <c r="V16" s="472">
        <v>44562</v>
      </c>
      <c r="W16" s="492" t="s">
        <v>6566</v>
      </c>
      <c r="X16" s="347"/>
      <c r="Y16" s="484" t="s">
        <v>6588</v>
      </c>
      <c r="Z16" s="647">
        <f t="shared" si="22"/>
        <v>194</v>
      </c>
      <c r="AA16" s="18">
        <f t="shared" si="23"/>
        <v>7</v>
      </c>
      <c r="AB16" s="476">
        <f t="shared" si="6"/>
        <v>20</v>
      </c>
      <c r="AC16" s="703">
        <f t="shared" si="7"/>
        <v>45</v>
      </c>
      <c r="AD16" s="509">
        <f t="shared" si="24"/>
        <v>0</v>
      </c>
      <c r="AE16" s="18">
        <f t="shared" si="25"/>
        <v>7</v>
      </c>
      <c r="AF16" s="18">
        <f t="shared" si="26"/>
        <v>10</v>
      </c>
      <c r="AG16" s="634">
        <f t="shared" si="27"/>
        <v>283</v>
      </c>
      <c r="AH16" s="409">
        <f t="shared" si="28"/>
        <v>2</v>
      </c>
      <c r="AI16" s="409">
        <f t="shared" si="29"/>
        <v>0</v>
      </c>
      <c r="AJ16" s="409">
        <f t="shared" si="30"/>
        <v>0</v>
      </c>
      <c r="AK16" s="409">
        <f t="shared" si="31"/>
        <v>15</v>
      </c>
      <c r="AL16" s="409">
        <f t="shared" si="32"/>
        <v>0</v>
      </c>
      <c r="AM16" s="409">
        <f t="shared" si="33"/>
        <v>0</v>
      </c>
      <c r="AN16" s="409">
        <f t="shared" si="34"/>
        <v>0</v>
      </c>
      <c r="AO16" s="409">
        <f t="shared" si="35"/>
        <v>17</v>
      </c>
    </row>
    <row r="17" spans="1:41" s="7" customFormat="1" ht="33" customHeight="1">
      <c r="A17" s="606">
        <f t="shared" si="20"/>
        <v>13</v>
      </c>
      <c r="B17" s="516">
        <v>762</v>
      </c>
      <c r="C17" s="484" t="str">
        <f>VLOOKUP(B17,All!$B$4:$S$8977,2,FALSE)</f>
        <v>ម៉ី</v>
      </c>
      <c r="D17" s="482" t="str">
        <f>VLOOKUP(B17,All!$B$4:$S$89977,3,FALSE)</f>
        <v>លក្ខិណា</v>
      </c>
      <c r="E17" s="484" t="str">
        <f>VLOOKUP(B17,All!$B$4:$S$8977,4,FALSE)</f>
        <v>MEY</v>
      </c>
      <c r="F17" s="482" t="str">
        <f>VLOOKUP(B17,All!$B$4:$S$8977,5,FALSE)</f>
        <v>LEAKHENA</v>
      </c>
      <c r="G17" s="479" t="str">
        <f>VLOOKUP(B17,All!$B$4:$S$8977,6,FALSE)</f>
        <v>F</v>
      </c>
      <c r="H17" s="486">
        <f>VLOOKUP(B17,All!$B$4:$S$8977,7,FALSE)</f>
        <v>30440</v>
      </c>
      <c r="I17" s="494">
        <f>VLOOKUP(B17,All!$B$4:$S$8977,8,FALSE)</f>
        <v>41981</v>
      </c>
      <c r="J17" s="430" t="s">
        <v>6293</v>
      </c>
      <c r="K17" s="653" t="s">
        <v>6083</v>
      </c>
      <c r="L17" s="654" t="s">
        <v>6143</v>
      </c>
      <c r="M17" s="647">
        <f>VLOOKUP(B17,All!$B$4:$S$8977,12,FALSE)</f>
        <v>192</v>
      </c>
      <c r="N17" s="18">
        <f>VLOOKUP(B17,All!$B$4:$S$8977,13,FALSE)</f>
        <v>8</v>
      </c>
      <c r="O17" s="18">
        <f>VLOOKUP(B17,All!$B$4:$S$8977,14,FALSE)</f>
        <v>20</v>
      </c>
      <c r="P17" s="18">
        <f>VLOOKUP(B17,All!$B$4:$S$8977,15,FALSE)</f>
        <v>35</v>
      </c>
      <c r="Q17" s="509">
        <f>VLOOKUP(B17,All!$B$4:$S$8977,16,FALSE)</f>
        <v>0</v>
      </c>
      <c r="R17" s="18">
        <v>7</v>
      </c>
      <c r="S17" s="18">
        <v>10</v>
      </c>
      <c r="T17" s="550">
        <f t="shared" si="0"/>
        <v>272</v>
      </c>
      <c r="U17" s="683">
        <v>15</v>
      </c>
      <c r="V17" s="472">
        <v>44562</v>
      </c>
      <c r="W17" s="492" t="s">
        <v>6566</v>
      </c>
      <c r="X17" s="347"/>
      <c r="Y17" s="484" t="s">
        <v>6588</v>
      </c>
      <c r="Z17" s="647">
        <f t="shared" si="22"/>
        <v>194</v>
      </c>
      <c r="AA17" s="18">
        <f t="shared" si="23"/>
        <v>8</v>
      </c>
      <c r="AB17" s="476">
        <f t="shared" si="6"/>
        <v>20</v>
      </c>
      <c r="AC17" s="703">
        <f t="shared" si="7"/>
        <v>50</v>
      </c>
      <c r="AD17" s="509">
        <f t="shared" si="24"/>
        <v>0</v>
      </c>
      <c r="AE17" s="18">
        <f t="shared" si="25"/>
        <v>7</v>
      </c>
      <c r="AF17" s="18">
        <f t="shared" si="26"/>
        <v>10</v>
      </c>
      <c r="AG17" s="634">
        <f t="shared" si="27"/>
        <v>289</v>
      </c>
      <c r="AH17" s="409">
        <f t="shared" si="28"/>
        <v>2</v>
      </c>
      <c r="AI17" s="409">
        <f t="shared" si="29"/>
        <v>0</v>
      </c>
      <c r="AJ17" s="409">
        <f t="shared" si="30"/>
        <v>0</v>
      </c>
      <c r="AK17" s="409">
        <f t="shared" si="31"/>
        <v>15</v>
      </c>
      <c r="AL17" s="409">
        <f t="shared" si="32"/>
        <v>0</v>
      </c>
      <c r="AM17" s="409">
        <f t="shared" si="33"/>
        <v>0</v>
      </c>
      <c r="AN17" s="409">
        <f t="shared" si="34"/>
        <v>0</v>
      </c>
      <c r="AO17" s="409">
        <f t="shared" si="35"/>
        <v>17</v>
      </c>
    </row>
    <row r="18" spans="1:41" s="7" customFormat="1" ht="33" customHeight="1">
      <c r="A18" s="606">
        <f t="shared" si="20"/>
        <v>14</v>
      </c>
      <c r="B18" s="516">
        <v>3359</v>
      </c>
      <c r="C18" s="484" t="str">
        <f>VLOOKUP(B18,All!$B$4:$S$8977,2,FALSE)</f>
        <v>ឈឹម</v>
      </c>
      <c r="D18" s="482" t="str">
        <f>VLOOKUP(B18,All!$B$4:$S$89977,3,FALSE)</f>
        <v>ដានី</v>
      </c>
      <c r="E18" s="484" t="str">
        <f>VLOOKUP(B18,All!$B$4:$S$8977,4,FALSE)</f>
        <v>CHHOEM</v>
      </c>
      <c r="F18" s="482" t="str">
        <f>VLOOKUP(B18,All!$B$4:$S$8977,5,FALSE)</f>
        <v>DANY</v>
      </c>
      <c r="G18" s="479" t="str">
        <f>VLOOKUP(B18,All!$B$4:$S$8977,6,FALSE)</f>
        <v>F</v>
      </c>
      <c r="H18" s="486">
        <f>VLOOKUP(B18,All!$B$4:$S$8977,7,FALSE)</f>
        <v>34182</v>
      </c>
      <c r="I18" s="494">
        <f>VLOOKUP(B18,All!$B$4:$S$8977,8,FALSE)</f>
        <v>43755</v>
      </c>
      <c r="J18" s="430" t="s">
        <v>6293</v>
      </c>
      <c r="K18" s="653" t="s">
        <v>6454</v>
      </c>
      <c r="L18" s="654" t="s">
        <v>6084</v>
      </c>
      <c r="M18" s="647">
        <f>VLOOKUP(B18,All!$B$4:$S$8977,12,FALSE)</f>
        <v>192</v>
      </c>
      <c r="N18" s="18">
        <f>VLOOKUP(B18,All!$B$4:$S$8977,13,FALSE)</f>
        <v>3</v>
      </c>
      <c r="O18" s="18">
        <f>VLOOKUP(B18,All!$B$4:$S$8977,14,FALSE)</f>
        <v>0</v>
      </c>
      <c r="P18" s="18">
        <f>VLOOKUP(B18,All!$B$4:$S$8977,15,FALSE)</f>
        <v>30</v>
      </c>
      <c r="Q18" s="509">
        <f>VLOOKUP(B18,All!$B$4:$S$8977,16,FALSE)</f>
        <v>0</v>
      </c>
      <c r="R18" s="18">
        <v>7</v>
      </c>
      <c r="S18" s="18">
        <v>10</v>
      </c>
      <c r="T18" s="550">
        <f t="shared" si="0"/>
        <v>242</v>
      </c>
      <c r="U18" s="683">
        <v>15</v>
      </c>
      <c r="V18" s="472">
        <v>44562</v>
      </c>
      <c r="W18" s="492" t="s">
        <v>6566</v>
      </c>
      <c r="X18" s="347"/>
      <c r="Y18" s="484" t="s">
        <v>6588</v>
      </c>
      <c r="Z18" s="647">
        <f t="shared" si="22"/>
        <v>194</v>
      </c>
      <c r="AA18" s="18">
        <f t="shared" si="23"/>
        <v>3</v>
      </c>
      <c r="AB18" s="476">
        <f t="shared" si="6"/>
        <v>0</v>
      </c>
      <c r="AC18" s="703">
        <f t="shared" si="7"/>
        <v>45</v>
      </c>
      <c r="AD18" s="509">
        <f t="shared" si="24"/>
        <v>0</v>
      </c>
      <c r="AE18" s="18">
        <f t="shared" si="25"/>
        <v>7</v>
      </c>
      <c r="AF18" s="18">
        <f t="shared" si="26"/>
        <v>10</v>
      </c>
      <c r="AG18" s="634">
        <f t="shared" si="27"/>
        <v>259</v>
      </c>
      <c r="AH18" s="409">
        <f t="shared" si="28"/>
        <v>2</v>
      </c>
      <c r="AI18" s="409">
        <f t="shared" si="29"/>
        <v>0</v>
      </c>
      <c r="AJ18" s="409">
        <f t="shared" si="30"/>
        <v>0</v>
      </c>
      <c r="AK18" s="409">
        <f t="shared" si="31"/>
        <v>15</v>
      </c>
      <c r="AL18" s="409">
        <f t="shared" si="32"/>
        <v>0</v>
      </c>
      <c r="AM18" s="409">
        <f t="shared" si="33"/>
        <v>0</v>
      </c>
      <c r="AN18" s="409">
        <f t="shared" si="34"/>
        <v>0</v>
      </c>
      <c r="AO18" s="409">
        <f t="shared" si="35"/>
        <v>17</v>
      </c>
    </row>
    <row r="19" spans="1:41" s="7" customFormat="1" ht="33" customHeight="1">
      <c r="A19" s="606">
        <f t="shared" si="20"/>
        <v>15</v>
      </c>
      <c r="B19" s="516">
        <v>5013</v>
      </c>
      <c r="C19" s="484" t="str">
        <f>VLOOKUP(B19,All!$B$4:$S$8977,2,FALSE)</f>
        <v>អោក</v>
      </c>
      <c r="D19" s="482" t="str">
        <f>VLOOKUP(B19,All!$B$4:$S$89977,3,FALSE)</f>
        <v>ឈុនអេង</v>
      </c>
      <c r="E19" s="484" t="str">
        <f>VLOOKUP(B19,All!$B$4:$S$8977,4,FALSE)</f>
        <v>OAK</v>
      </c>
      <c r="F19" s="482" t="str">
        <f>VLOOKUP(B19,All!$B$4:$S$8977,5,FALSE)</f>
        <v>CHHUN ENG</v>
      </c>
      <c r="G19" s="479" t="str">
        <f>VLOOKUP(B19,All!$B$4:$S$8977,6,FALSE)</f>
        <v>F</v>
      </c>
      <c r="H19" s="486">
        <f>VLOOKUP(B19,All!$B$4:$S$8977,7,FALSE)</f>
        <v>30212</v>
      </c>
      <c r="I19" s="494">
        <f>VLOOKUP(B19,All!$B$4:$S$8977,8,FALSE)</f>
        <v>44140</v>
      </c>
      <c r="J19" s="430" t="s">
        <v>6293</v>
      </c>
      <c r="K19" s="653" t="s">
        <v>6559</v>
      </c>
      <c r="L19" s="654" t="s">
        <v>6560</v>
      </c>
      <c r="M19" s="647">
        <f>VLOOKUP(B19,All!$B$4:$S$8977,12,FALSE)</f>
        <v>192</v>
      </c>
      <c r="N19" s="18">
        <f>VLOOKUP(B19,All!$B$4:$S$8977,13,FALSE)</f>
        <v>2</v>
      </c>
      <c r="O19" s="18">
        <f>VLOOKUP(B19,All!$B$4:$S$8977,14,FALSE)</f>
        <v>0</v>
      </c>
      <c r="P19" s="18">
        <f>VLOOKUP(B19,All!$B$4:$S$8977,15,FALSE)</f>
        <v>30</v>
      </c>
      <c r="Q19" s="509">
        <f>VLOOKUP(B19,All!$B$4:$S$8977,16,FALSE)</f>
        <v>0</v>
      </c>
      <c r="R19" s="18">
        <v>7</v>
      </c>
      <c r="S19" s="18">
        <v>10</v>
      </c>
      <c r="T19" s="550">
        <f t="shared" si="0"/>
        <v>241</v>
      </c>
      <c r="U19" s="683">
        <v>15</v>
      </c>
      <c r="V19" s="472">
        <v>44562</v>
      </c>
      <c r="W19" s="492" t="s">
        <v>6566</v>
      </c>
      <c r="X19" s="347"/>
      <c r="Y19" s="484" t="s">
        <v>6588</v>
      </c>
      <c r="Z19" s="647">
        <f t="shared" si="22"/>
        <v>194</v>
      </c>
      <c r="AA19" s="18">
        <f t="shared" si="23"/>
        <v>2</v>
      </c>
      <c r="AB19" s="476">
        <f t="shared" si="6"/>
        <v>0</v>
      </c>
      <c r="AC19" s="703">
        <f t="shared" si="7"/>
        <v>45</v>
      </c>
      <c r="AD19" s="509">
        <f t="shared" si="24"/>
        <v>0</v>
      </c>
      <c r="AE19" s="18">
        <f t="shared" si="25"/>
        <v>7</v>
      </c>
      <c r="AF19" s="18">
        <f t="shared" si="26"/>
        <v>10</v>
      </c>
      <c r="AG19" s="634">
        <f t="shared" si="27"/>
        <v>258</v>
      </c>
      <c r="AH19" s="409">
        <f t="shared" si="28"/>
        <v>2</v>
      </c>
      <c r="AI19" s="409">
        <f t="shared" si="29"/>
        <v>0</v>
      </c>
      <c r="AJ19" s="409">
        <f t="shared" si="30"/>
        <v>0</v>
      </c>
      <c r="AK19" s="409">
        <f t="shared" si="31"/>
        <v>15</v>
      </c>
      <c r="AL19" s="409">
        <f t="shared" si="32"/>
        <v>0</v>
      </c>
      <c r="AM19" s="409">
        <f t="shared" si="33"/>
        <v>0</v>
      </c>
      <c r="AN19" s="409">
        <f t="shared" si="34"/>
        <v>0</v>
      </c>
      <c r="AO19" s="409">
        <f t="shared" si="35"/>
        <v>17</v>
      </c>
    </row>
    <row r="20" spans="1:41" s="7" customFormat="1" ht="33" customHeight="1">
      <c r="A20" s="606">
        <f t="shared" si="20"/>
        <v>16</v>
      </c>
      <c r="B20" s="516">
        <v>74</v>
      </c>
      <c r="C20" s="484" t="str">
        <f>VLOOKUP(B20,All!$B$4:$S$8977,2,FALSE)</f>
        <v>ពេជ</v>
      </c>
      <c r="D20" s="482" t="str">
        <f>VLOOKUP(B20,All!$B$4:$S$89977,3,FALSE)</f>
        <v>សោភា</v>
      </c>
      <c r="E20" s="484" t="str">
        <f>VLOOKUP(B20,All!$B$4:$S$8977,4,FALSE)</f>
        <v>Pich</v>
      </c>
      <c r="F20" s="482" t="str">
        <f>VLOOKUP(B20,All!$B$4:$S$8977,5,FALSE)</f>
        <v>Sophea</v>
      </c>
      <c r="G20" s="479" t="str">
        <f>VLOOKUP(B20,All!$B$4:$S$8977,6,FALSE)</f>
        <v>F</v>
      </c>
      <c r="H20" s="486">
        <f>VLOOKUP(B20,All!$B$4:$S$8977,7,FALSE)</f>
        <v>29108</v>
      </c>
      <c r="I20" s="494">
        <f>VLOOKUP(B20,All!$B$4:$S$8977,8,FALSE)</f>
        <v>41598</v>
      </c>
      <c r="J20" s="430" t="s">
        <v>6293</v>
      </c>
      <c r="K20" s="653" t="s">
        <v>6442</v>
      </c>
      <c r="L20" s="654" t="s">
        <v>6090</v>
      </c>
      <c r="M20" s="647">
        <f>VLOOKUP(B20,All!$B$4:$S$8977,12,FALSE)</f>
        <v>192</v>
      </c>
      <c r="N20" s="18">
        <f>VLOOKUP(B20,All!$B$4:$S$8977,13,FALSE)</f>
        <v>9</v>
      </c>
      <c r="O20" s="18">
        <f>VLOOKUP(B20,All!$B$4:$S$8977,14,FALSE)</f>
        <v>20</v>
      </c>
      <c r="P20" s="18">
        <f>VLOOKUP(B20,All!$B$4:$S$8977,15,FALSE)</f>
        <v>47</v>
      </c>
      <c r="Q20" s="509">
        <f>VLOOKUP(B20,All!$B$4:$S$8977,16,FALSE)</f>
        <v>15</v>
      </c>
      <c r="R20" s="18">
        <v>7</v>
      </c>
      <c r="S20" s="18">
        <v>10</v>
      </c>
      <c r="T20" s="550">
        <f t="shared" si="0"/>
        <v>300</v>
      </c>
      <c r="U20" s="683">
        <v>15</v>
      </c>
      <c r="V20" s="472">
        <v>44562</v>
      </c>
      <c r="W20" s="492" t="s">
        <v>6566</v>
      </c>
      <c r="X20" s="347"/>
      <c r="Y20" s="484" t="s">
        <v>6588</v>
      </c>
      <c r="Z20" s="647">
        <f t="shared" si="22"/>
        <v>194</v>
      </c>
      <c r="AA20" s="18">
        <f t="shared" si="23"/>
        <v>9</v>
      </c>
      <c r="AB20" s="476">
        <f t="shared" si="6"/>
        <v>20</v>
      </c>
      <c r="AC20" s="703">
        <f t="shared" si="7"/>
        <v>62</v>
      </c>
      <c r="AD20" s="509">
        <f t="shared" si="24"/>
        <v>15</v>
      </c>
      <c r="AE20" s="18">
        <f t="shared" si="25"/>
        <v>7</v>
      </c>
      <c r="AF20" s="18">
        <f t="shared" si="26"/>
        <v>10</v>
      </c>
      <c r="AG20" s="634">
        <f t="shared" si="27"/>
        <v>317</v>
      </c>
      <c r="AH20" s="409">
        <f t="shared" si="28"/>
        <v>2</v>
      </c>
      <c r="AI20" s="409">
        <f t="shared" si="29"/>
        <v>0</v>
      </c>
      <c r="AJ20" s="409">
        <f t="shared" si="30"/>
        <v>0</v>
      </c>
      <c r="AK20" s="409">
        <f t="shared" si="31"/>
        <v>15</v>
      </c>
      <c r="AL20" s="409">
        <f t="shared" si="32"/>
        <v>0</v>
      </c>
      <c r="AM20" s="409">
        <f t="shared" si="33"/>
        <v>0</v>
      </c>
      <c r="AN20" s="409">
        <f t="shared" si="34"/>
        <v>0</v>
      </c>
      <c r="AO20" s="409">
        <f t="shared" si="35"/>
        <v>17</v>
      </c>
    </row>
    <row r="21" spans="1:41" s="7" customFormat="1" ht="33" customHeight="1">
      <c r="A21" s="606">
        <f t="shared" si="20"/>
        <v>17</v>
      </c>
      <c r="B21" s="516">
        <v>1153</v>
      </c>
      <c r="C21" s="484" t="str">
        <f>VLOOKUP(B21,All!$B$4:$S$8977,2,FALSE)</f>
        <v>សុត</v>
      </c>
      <c r="D21" s="482" t="str">
        <f>VLOOKUP(B21,All!$B$4:$S$89977,3,FALSE)</f>
        <v>ស៊ាងហាក់</v>
      </c>
      <c r="E21" s="484" t="str">
        <f>VLOOKUP(B21,All!$B$4:$S$8977,4,FALSE)</f>
        <v>SOTH</v>
      </c>
      <c r="F21" s="482" t="str">
        <f>VLOOKUP(B21,All!$B$4:$S$8977,5,FALSE)</f>
        <v>SEANGHAK</v>
      </c>
      <c r="G21" s="479" t="str">
        <f>VLOOKUP(B21,All!$B$4:$S$8977,6,FALSE)</f>
        <v>F</v>
      </c>
      <c r="H21" s="486">
        <f>VLOOKUP(B21,All!$B$4:$S$8977,7,FALSE)</f>
        <v>30029</v>
      </c>
      <c r="I21" s="494">
        <f>VLOOKUP(B21,All!$B$4:$S$8977,8,FALSE)</f>
        <v>42271</v>
      </c>
      <c r="J21" s="430" t="s">
        <v>6293</v>
      </c>
      <c r="K21" s="653" t="s">
        <v>6379</v>
      </c>
      <c r="L21" s="654" t="s">
        <v>6095</v>
      </c>
      <c r="M21" s="647">
        <f>VLOOKUP(B21,All!$B$4:$S$8977,12,FALSE)</f>
        <v>192</v>
      </c>
      <c r="N21" s="18">
        <f>VLOOKUP(B21,All!$B$4:$S$8977,13,FALSE)</f>
        <v>7</v>
      </c>
      <c r="O21" s="18">
        <f>VLOOKUP(B21,All!$B$4:$S$8977,14,FALSE)</f>
        <v>20</v>
      </c>
      <c r="P21" s="18">
        <f>VLOOKUP(B21,All!$B$4:$S$8977,15,FALSE)</f>
        <v>45</v>
      </c>
      <c r="Q21" s="509">
        <f>VLOOKUP(B21,All!$B$4:$S$8977,16,FALSE)</f>
        <v>0</v>
      </c>
      <c r="R21" s="18">
        <v>7</v>
      </c>
      <c r="S21" s="18">
        <v>10</v>
      </c>
      <c r="T21" s="550">
        <f>SUM(M21:S21)</f>
        <v>281</v>
      </c>
      <c r="U21" s="683">
        <v>15</v>
      </c>
      <c r="V21" s="472">
        <v>44562</v>
      </c>
      <c r="W21" s="492" t="s">
        <v>6566</v>
      </c>
      <c r="X21" s="347"/>
      <c r="Y21" s="484" t="s">
        <v>6588</v>
      </c>
      <c r="Z21" s="647">
        <f t="shared" si="22"/>
        <v>194</v>
      </c>
      <c r="AA21" s="18">
        <f t="shared" si="23"/>
        <v>7</v>
      </c>
      <c r="AB21" s="476">
        <f t="shared" si="6"/>
        <v>20</v>
      </c>
      <c r="AC21" s="703">
        <f t="shared" si="7"/>
        <v>60</v>
      </c>
      <c r="AD21" s="509">
        <f t="shared" si="24"/>
        <v>0</v>
      </c>
      <c r="AE21" s="18">
        <f t="shared" si="25"/>
        <v>7</v>
      </c>
      <c r="AF21" s="18">
        <f t="shared" si="26"/>
        <v>10</v>
      </c>
      <c r="AG21" s="634">
        <f t="shared" si="27"/>
        <v>298</v>
      </c>
      <c r="AH21" s="409">
        <f t="shared" si="28"/>
        <v>2</v>
      </c>
      <c r="AI21" s="409">
        <f t="shared" si="29"/>
        <v>0</v>
      </c>
      <c r="AJ21" s="409">
        <f t="shared" si="30"/>
        <v>0</v>
      </c>
      <c r="AK21" s="409">
        <f t="shared" si="31"/>
        <v>15</v>
      </c>
      <c r="AL21" s="409">
        <f t="shared" si="32"/>
        <v>0</v>
      </c>
      <c r="AM21" s="409">
        <f t="shared" si="33"/>
        <v>0</v>
      </c>
      <c r="AN21" s="409">
        <f t="shared" si="34"/>
        <v>0</v>
      </c>
      <c r="AO21" s="409">
        <f t="shared" si="35"/>
        <v>17</v>
      </c>
    </row>
    <row r="22" spans="1:41" s="7" customFormat="1" ht="33" customHeight="1">
      <c r="A22" s="606">
        <f t="shared" si="20"/>
        <v>18</v>
      </c>
      <c r="B22" s="516">
        <v>1166</v>
      </c>
      <c r="C22" s="484" t="str">
        <f>VLOOKUP(B22,All!$B$4:$S$8977,2,FALSE)</f>
        <v>អូម</v>
      </c>
      <c r="D22" s="482" t="str">
        <f>VLOOKUP(B22,All!$B$4:$S$89977,3,FALSE)</f>
        <v>ចាន់ធូ</v>
      </c>
      <c r="E22" s="484" t="str">
        <f>VLOOKUP(B22,All!$B$4:$S$8977,4,FALSE)</f>
        <v>AUM</v>
      </c>
      <c r="F22" s="482" t="str">
        <f>VLOOKUP(B22,All!$B$4:$S$8977,5,FALSE)</f>
        <v>CHANTHOU</v>
      </c>
      <c r="G22" s="479" t="str">
        <f>VLOOKUP(B22,All!$B$4:$S$8977,6,FALSE)</f>
        <v>F</v>
      </c>
      <c r="H22" s="486">
        <f>VLOOKUP(B22,All!$B$4:$S$8977,7,FALSE)</f>
        <v>29830</v>
      </c>
      <c r="I22" s="494">
        <f>VLOOKUP(B22,All!$B$4:$S$8977,8,FALSE)</f>
        <v>42280</v>
      </c>
      <c r="J22" s="430" t="s">
        <v>6293</v>
      </c>
      <c r="K22" s="653" t="s">
        <v>6392</v>
      </c>
      <c r="L22" s="654" t="s">
        <v>6091</v>
      </c>
      <c r="M22" s="647">
        <f>VLOOKUP(B22,All!$B$4:$S$8977,12,FALSE)</f>
        <v>192</v>
      </c>
      <c r="N22" s="18">
        <f>VLOOKUP(B22,All!$B$4:$S$8977,13,FALSE)</f>
        <v>7</v>
      </c>
      <c r="O22" s="18">
        <f>VLOOKUP(B22,All!$B$4:$S$8977,14,FALSE)</f>
        <v>20</v>
      </c>
      <c r="P22" s="18">
        <f>VLOOKUP(B22,All!$B$4:$S$8977,15,FALSE)</f>
        <v>47</v>
      </c>
      <c r="Q22" s="509">
        <f>VLOOKUP(B22,All!$B$4:$S$8977,16,FALSE)</f>
        <v>0</v>
      </c>
      <c r="R22" s="18">
        <v>7</v>
      </c>
      <c r="S22" s="18">
        <v>10</v>
      </c>
      <c r="T22" s="550">
        <f>SUM(M22:S22)</f>
        <v>283</v>
      </c>
      <c r="U22" s="683">
        <v>15</v>
      </c>
      <c r="V22" s="472">
        <v>44562</v>
      </c>
      <c r="W22" s="492" t="s">
        <v>6566</v>
      </c>
      <c r="X22" s="347"/>
      <c r="Y22" s="484" t="s">
        <v>6588</v>
      </c>
      <c r="Z22" s="647">
        <f t="shared" si="22"/>
        <v>194</v>
      </c>
      <c r="AA22" s="18">
        <f t="shared" si="23"/>
        <v>7</v>
      </c>
      <c r="AB22" s="476">
        <f t="shared" si="6"/>
        <v>20</v>
      </c>
      <c r="AC22" s="703">
        <f t="shared" si="7"/>
        <v>62</v>
      </c>
      <c r="AD22" s="509">
        <f t="shared" si="24"/>
        <v>0</v>
      </c>
      <c r="AE22" s="18">
        <f t="shared" si="25"/>
        <v>7</v>
      </c>
      <c r="AF22" s="18">
        <f t="shared" si="26"/>
        <v>10</v>
      </c>
      <c r="AG22" s="634">
        <f t="shared" si="27"/>
        <v>300</v>
      </c>
      <c r="AH22" s="409">
        <f t="shared" si="28"/>
        <v>2</v>
      </c>
      <c r="AI22" s="409">
        <f t="shared" si="29"/>
        <v>0</v>
      </c>
      <c r="AJ22" s="409">
        <f t="shared" si="30"/>
        <v>0</v>
      </c>
      <c r="AK22" s="409">
        <f t="shared" si="31"/>
        <v>15</v>
      </c>
      <c r="AL22" s="409">
        <f t="shared" si="32"/>
        <v>0</v>
      </c>
      <c r="AM22" s="409">
        <f t="shared" si="33"/>
        <v>0</v>
      </c>
      <c r="AN22" s="409">
        <f t="shared" si="34"/>
        <v>0</v>
      </c>
      <c r="AO22" s="409">
        <f t="shared" si="35"/>
        <v>17</v>
      </c>
    </row>
    <row r="23" spans="1:41" s="7" customFormat="1" ht="33" customHeight="1">
      <c r="A23" s="606">
        <f t="shared" si="20"/>
        <v>19</v>
      </c>
      <c r="B23" s="517">
        <v>3147</v>
      </c>
      <c r="C23" s="484" t="str">
        <f>VLOOKUP(B23,All!$B$4:$S$8977,2,FALSE)</f>
        <v>វ៉ន</v>
      </c>
      <c r="D23" s="482" t="str">
        <f>VLOOKUP(B23,All!$B$4:$S$89977,3,FALSE)</f>
        <v>ស្រីម៉ុច</v>
      </c>
      <c r="E23" s="484" t="str">
        <f>VLOOKUP(B23,All!$B$4:$S$8977,4,FALSE)</f>
        <v>VORN</v>
      </c>
      <c r="F23" s="482" t="str">
        <f>VLOOKUP(B23,All!$B$4:$S$8977,5,FALSE)</f>
        <v>SREYMOCH</v>
      </c>
      <c r="G23" s="479" t="str">
        <f>VLOOKUP(B23,All!$B$4:$S$8977,6,FALSE)</f>
        <v>F</v>
      </c>
      <c r="H23" s="486">
        <f>VLOOKUP(B23,All!$B$4:$S$8977,7,FALSE)</f>
        <v>31879</v>
      </c>
      <c r="I23" s="494">
        <f>VLOOKUP(B23,All!$B$4:$S$8977,8,FALSE)</f>
        <v>43740</v>
      </c>
      <c r="J23" s="430" t="s">
        <v>6293</v>
      </c>
      <c r="K23" s="653" t="s">
        <v>6449</v>
      </c>
      <c r="L23" s="654" t="s">
        <v>6561</v>
      </c>
      <c r="M23" s="647">
        <f>VLOOKUP(B23,All!$B$4:$S$8977,12,FALSE)</f>
        <v>192</v>
      </c>
      <c r="N23" s="18">
        <f>VLOOKUP(B23,All!$B$4:$S$8977,13,FALSE)</f>
        <v>3</v>
      </c>
      <c r="O23" s="18">
        <f>VLOOKUP(B23,All!$B$4:$S$8977,14,FALSE)</f>
        <v>0</v>
      </c>
      <c r="P23" s="18">
        <f>VLOOKUP(B23,All!$B$4:$S$8977,15,FALSE)</f>
        <v>45</v>
      </c>
      <c r="Q23" s="509">
        <f>VLOOKUP(B23,All!$B$4:$S$8977,16,FALSE)</f>
        <v>0</v>
      </c>
      <c r="R23" s="18">
        <v>7</v>
      </c>
      <c r="S23" s="18">
        <v>10</v>
      </c>
      <c r="T23" s="550">
        <f>SUM(M23:S23)</f>
        <v>257</v>
      </c>
      <c r="U23" s="683">
        <v>15</v>
      </c>
      <c r="V23" s="472">
        <v>44562</v>
      </c>
      <c r="W23" s="492" t="s">
        <v>6566</v>
      </c>
      <c r="X23" s="347"/>
      <c r="Y23" s="484" t="s">
        <v>6588</v>
      </c>
      <c r="Z23" s="647">
        <f t="shared" si="22"/>
        <v>194</v>
      </c>
      <c r="AA23" s="18">
        <f t="shared" si="23"/>
        <v>3</v>
      </c>
      <c r="AB23" s="476">
        <f t="shared" si="6"/>
        <v>0</v>
      </c>
      <c r="AC23" s="703">
        <f t="shared" si="7"/>
        <v>60</v>
      </c>
      <c r="AD23" s="509">
        <f t="shared" si="24"/>
        <v>0</v>
      </c>
      <c r="AE23" s="18">
        <f t="shared" si="25"/>
        <v>7</v>
      </c>
      <c r="AF23" s="18">
        <f t="shared" si="26"/>
        <v>10</v>
      </c>
      <c r="AG23" s="634">
        <f t="shared" si="27"/>
        <v>274</v>
      </c>
      <c r="AH23" s="409">
        <f t="shared" si="28"/>
        <v>2</v>
      </c>
      <c r="AI23" s="409">
        <f t="shared" si="29"/>
        <v>0</v>
      </c>
      <c r="AJ23" s="409">
        <f t="shared" si="30"/>
        <v>0</v>
      </c>
      <c r="AK23" s="409">
        <f t="shared" si="31"/>
        <v>15</v>
      </c>
      <c r="AL23" s="409">
        <f t="shared" si="32"/>
        <v>0</v>
      </c>
      <c r="AM23" s="409">
        <f t="shared" si="33"/>
        <v>0</v>
      </c>
      <c r="AN23" s="409">
        <f t="shared" si="34"/>
        <v>0</v>
      </c>
      <c r="AO23" s="409">
        <f t="shared" si="35"/>
        <v>17</v>
      </c>
    </row>
    <row r="24" spans="1:41" s="7" customFormat="1" ht="33" customHeight="1">
      <c r="A24" s="606">
        <f t="shared" si="20"/>
        <v>20</v>
      </c>
      <c r="B24" s="516">
        <v>1689</v>
      </c>
      <c r="C24" s="484" t="str">
        <f>VLOOKUP(B24,All!$B$4:$S$8977,2,FALSE)</f>
        <v>យ៉ែម</v>
      </c>
      <c r="D24" s="482" t="str">
        <f>VLOOKUP(B24,All!$B$4:$S$89977,3,FALSE)</f>
        <v>ចាន់វាសនា</v>
      </c>
      <c r="E24" s="484" t="str">
        <f>VLOOKUP(B24,All!$B$4:$S$8977,4,FALSE)</f>
        <v>YEM</v>
      </c>
      <c r="F24" s="482" t="str">
        <f>VLOOKUP(B24,All!$B$4:$S$8977,5,FALSE)</f>
        <v>CHAN VEASNA</v>
      </c>
      <c r="G24" s="479" t="str">
        <f>VLOOKUP(B24,All!$B$4:$S$8977,6,FALSE)</f>
        <v>F</v>
      </c>
      <c r="H24" s="486">
        <f>VLOOKUP(B24,All!$B$4:$S$8977,7,FALSE)</f>
        <v>31417</v>
      </c>
      <c r="I24" s="494">
        <f>VLOOKUP(B24,All!$B$4:$S$8977,8,FALSE)</f>
        <v>42657</v>
      </c>
      <c r="J24" s="430" t="s">
        <v>6293</v>
      </c>
      <c r="K24" s="653" t="s">
        <v>6447</v>
      </c>
      <c r="L24" s="654" t="s">
        <v>6088</v>
      </c>
      <c r="M24" s="647">
        <f>VLOOKUP(B24,All!$B$4:$S$8977,12,FALSE)</f>
        <v>192</v>
      </c>
      <c r="N24" s="18">
        <f>VLOOKUP(B24,All!$B$4:$S$8977,13,FALSE)</f>
        <v>6</v>
      </c>
      <c r="O24" s="18">
        <f>VLOOKUP(B24,All!$B$4:$S$8977,14,FALSE)</f>
        <v>20</v>
      </c>
      <c r="P24" s="18">
        <f>VLOOKUP(B24,All!$B$4:$S$8977,15,FALSE)</f>
        <v>45</v>
      </c>
      <c r="Q24" s="509">
        <f>VLOOKUP(B24,All!$B$4:$S$8977,16,FALSE)</f>
        <v>0</v>
      </c>
      <c r="R24" s="18">
        <v>7</v>
      </c>
      <c r="S24" s="18">
        <v>10</v>
      </c>
      <c r="T24" s="550">
        <f>SUM(M24:S24)</f>
        <v>280</v>
      </c>
      <c r="U24" s="683">
        <v>15</v>
      </c>
      <c r="V24" s="472">
        <v>44562</v>
      </c>
      <c r="W24" s="492" t="s">
        <v>6566</v>
      </c>
      <c r="X24" s="347"/>
      <c r="Y24" s="484" t="s">
        <v>6588</v>
      </c>
      <c r="Z24" s="647">
        <f t="shared" si="22"/>
        <v>194</v>
      </c>
      <c r="AA24" s="18">
        <f t="shared" si="23"/>
        <v>6</v>
      </c>
      <c r="AB24" s="476">
        <f t="shared" si="6"/>
        <v>20</v>
      </c>
      <c r="AC24" s="703">
        <f t="shared" si="7"/>
        <v>60</v>
      </c>
      <c r="AD24" s="509">
        <f t="shared" si="24"/>
        <v>0</v>
      </c>
      <c r="AE24" s="18">
        <f t="shared" si="25"/>
        <v>7</v>
      </c>
      <c r="AF24" s="18">
        <f t="shared" si="26"/>
        <v>10</v>
      </c>
      <c r="AG24" s="634">
        <f t="shared" si="27"/>
        <v>297</v>
      </c>
      <c r="AH24" s="409">
        <f t="shared" si="28"/>
        <v>2</v>
      </c>
      <c r="AI24" s="409">
        <f t="shared" si="29"/>
        <v>0</v>
      </c>
      <c r="AJ24" s="409">
        <f t="shared" si="30"/>
        <v>0</v>
      </c>
      <c r="AK24" s="409">
        <f t="shared" si="31"/>
        <v>15</v>
      </c>
      <c r="AL24" s="409">
        <f t="shared" si="32"/>
        <v>0</v>
      </c>
      <c r="AM24" s="409">
        <f t="shared" si="33"/>
        <v>0</v>
      </c>
      <c r="AN24" s="409">
        <f t="shared" si="34"/>
        <v>0</v>
      </c>
      <c r="AO24" s="409">
        <f t="shared" si="35"/>
        <v>17</v>
      </c>
    </row>
    <row r="25" spans="1:41" s="7" customFormat="1" ht="33" customHeight="1">
      <c r="A25" s="606">
        <f t="shared" si="20"/>
        <v>21</v>
      </c>
      <c r="B25" s="516">
        <v>163</v>
      </c>
      <c r="C25" s="484" t="str">
        <f>VLOOKUP(B25,All!$B$4:$S$8977,2,FALSE)</f>
        <v>ខៀវ</v>
      </c>
      <c r="D25" s="482" t="str">
        <f>VLOOKUP(B25,All!$B$4:$S$89977,3,FALSE)</f>
        <v>ចាន់នួន</v>
      </c>
      <c r="E25" s="484" t="str">
        <f>VLOOKUP(B25,All!$B$4:$S$8977,4,FALSE)</f>
        <v>keav</v>
      </c>
      <c r="F25" s="482" t="str">
        <f>VLOOKUP(B25,All!$B$4:$S$8977,5,FALSE)</f>
        <v>channoun</v>
      </c>
      <c r="G25" s="479" t="str">
        <f>VLOOKUP(B25,All!$B$4:$S$8977,6,FALSE)</f>
        <v>F</v>
      </c>
      <c r="H25" s="486">
        <f>VLOOKUP(B25,All!$B$4:$S$8977,7,FALSE)</f>
        <v>30297</v>
      </c>
      <c r="I25" s="494">
        <f>VLOOKUP(B25,All!$B$4:$S$8977,8,FALSE)</f>
        <v>41676</v>
      </c>
      <c r="J25" s="430" t="s">
        <v>6293</v>
      </c>
      <c r="K25" s="653" t="s">
        <v>397</v>
      </c>
      <c r="L25" s="654" t="s">
        <v>7</v>
      </c>
      <c r="M25" s="647">
        <f>VLOOKUP(B25,All!$B$4:$S$8977,12,FALSE)</f>
        <v>192</v>
      </c>
      <c r="N25" s="18">
        <f>VLOOKUP(B25,All!$B$4:$S$8977,13,FALSE)</f>
        <v>8</v>
      </c>
      <c r="O25" s="18">
        <f>VLOOKUP(B25,All!$B$4:$S$8977,14,FALSE)</f>
        <v>20</v>
      </c>
      <c r="P25" s="18">
        <f>VLOOKUP(B25,All!$B$4:$S$8977,15,FALSE)</f>
        <v>45</v>
      </c>
      <c r="Q25" s="509">
        <f>VLOOKUP(B25,All!$B$4:$S$8977,16,FALSE)</f>
        <v>0</v>
      </c>
      <c r="R25" s="18">
        <v>7</v>
      </c>
      <c r="S25" s="18">
        <v>10</v>
      </c>
      <c r="T25" s="550">
        <f t="shared" ref="T25:T57" si="36">SUM(M25:S25)</f>
        <v>282</v>
      </c>
      <c r="U25" s="683">
        <v>15</v>
      </c>
      <c r="V25" s="472">
        <v>44562</v>
      </c>
      <c r="W25" s="492" t="s">
        <v>6566</v>
      </c>
      <c r="X25" s="347"/>
      <c r="Y25" s="484" t="s">
        <v>6589</v>
      </c>
      <c r="Z25" s="647">
        <f t="shared" si="22"/>
        <v>194</v>
      </c>
      <c r="AA25" s="18">
        <f t="shared" si="23"/>
        <v>8</v>
      </c>
      <c r="AB25" s="476">
        <f t="shared" si="6"/>
        <v>20</v>
      </c>
      <c r="AC25" s="703">
        <f t="shared" si="7"/>
        <v>60</v>
      </c>
      <c r="AD25" s="509">
        <f t="shared" si="24"/>
        <v>0</v>
      </c>
      <c r="AE25" s="18">
        <f t="shared" si="25"/>
        <v>7</v>
      </c>
      <c r="AF25" s="18">
        <f t="shared" si="26"/>
        <v>10</v>
      </c>
      <c r="AG25" s="634">
        <f t="shared" si="27"/>
        <v>299</v>
      </c>
      <c r="AH25" s="409">
        <f t="shared" si="28"/>
        <v>2</v>
      </c>
      <c r="AI25" s="409">
        <f t="shared" si="29"/>
        <v>0</v>
      </c>
      <c r="AJ25" s="409">
        <f t="shared" si="30"/>
        <v>0</v>
      </c>
      <c r="AK25" s="409">
        <f t="shared" si="31"/>
        <v>15</v>
      </c>
      <c r="AL25" s="409">
        <f t="shared" si="32"/>
        <v>0</v>
      </c>
      <c r="AM25" s="409">
        <f t="shared" si="33"/>
        <v>0</v>
      </c>
      <c r="AN25" s="409">
        <f t="shared" si="34"/>
        <v>0</v>
      </c>
      <c r="AO25" s="409">
        <f t="shared" si="35"/>
        <v>17</v>
      </c>
    </row>
    <row r="26" spans="1:41" s="7" customFormat="1" ht="33" customHeight="1">
      <c r="A26" s="606">
        <f t="shared" si="20"/>
        <v>22</v>
      </c>
      <c r="B26" s="516">
        <v>1795</v>
      </c>
      <c r="C26" s="484" t="str">
        <f>VLOOKUP(B26,All!$B$4:$S$8977,2,FALSE)</f>
        <v>យ៉ុង</v>
      </c>
      <c r="D26" s="482" t="str">
        <f>VLOOKUP(B26,All!$B$4:$S$89977,3,FALSE)</f>
        <v>ស៊ីថាន</v>
      </c>
      <c r="E26" s="484" t="str">
        <f>VLOOKUP(B26,All!$B$4:$S$8977,4,FALSE)</f>
        <v xml:space="preserve">YOUNG </v>
      </c>
      <c r="F26" s="482" t="str">
        <f>VLOOKUP(B26,All!$B$4:$S$8977,5,FALSE)</f>
        <v>SITHAN</v>
      </c>
      <c r="G26" s="479" t="str">
        <f>VLOOKUP(B26,All!$B$4:$S$8977,6,FALSE)</f>
        <v>M</v>
      </c>
      <c r="H26" s="486">
        <f>VLOOKUP(B26,All!$B$4:$S$8977,7,FALSE)</f>
        <v>29426</v>
      </c>
      <c r="I26" s="494">
        <f>VLOOKUP(B26,All!$B$4:$S$8977,8,FALSE)</f>
        <v>42745</v>
      </c>
      <c r="J26" s="430" t="s">
        <v>6293</v>
      </c>
      <c r="K26" s="653" t="s">
        <v>6450</v>
      </c>
      <c r="L26" s="654" t="s">
        <v>6439</v>
      </c>
      <c r="M26" s="647">
        <f>VLOOKUP(B26,All!$B$4:$S$8977,12,FALSE)</f>
        <v>192</v>
      </c>
      <c r="N26" s="18">
        <f>VLOOKUP(B26,All!$B$4:$S$8977,13,FALSE)</f>
        <v>6</v>
      </c>
      <c r="O26" s="18">
        <f>VLOOKUP(B26,All!$B$4:$S$8977,14,FALSE)</f>
        <v>20</v>
      </c>
      <c r="P26" s="18">
        <f>VLOOKUP(B26,All!$B$4:$S$8977,15,FALSE)</f>
        <v>10</v>
      </c>
      <c r="Q26" s="509">
        <f>VLOOKUP(B26,All!$B$4:$S$8977,16,FALSE)</f>
        <v>0</v>
      </c>
      <c r="R26" s="18">
        <v>7</v>
      </c>
      <c r="S26" s="18">
        <v>10</v>
      </c>
      <c r="T26" s="550">
        <f>SUM(M26:S26)</f>
        <v>245</v>
      </c>
      <c r="U26" s="683">
        <v>15</v>
      </c>
      <c r="V26" s="472">
        <v>44562</v>
      </c>
      <c r="W26" s="492" t="s">
        <v>6566</v>
      </c>
      <c r="X26" s="347"/>
      <c r="Y26" s="484" t="s">
        <v>6590</v>
      </c>
      <c r="Z26" s="647">
        <f t="shared" si="22"/>
        <v>194</v>
      </c>
      <c r="AA26" s="18">
        <f t="shared" si="23"/>
        <v>6</v>
      </c>
      <c r="AB26" s="476">
        <f t="shared" si="6"/>
        <v>20</v>
      </c>
      <c r="AC26" s="703">
        <f t="shared" si="7"/>
        <v>25</v>
      </c>
      <c r="AD26" s="509">
        <f t="shared" si="24"/>
        <v>0</v>
      </c>
      <c r="AE26" s="18">
        <f t="shared" si="25"/>
        <v>7</v>
      </c>
      <c r="AF26" s="18">
        <f t="shared" si="26"/>
        <v>10</v>
      </c>
      <c r="AG26" s="634">
        <f t="shared" si="27"/>
        <v>262</v>
      </c>
      <c r="AH26" s="409">
        <f t="shared" si="28"/>
        <v>2</v>
      </c>
      <c r="AI26" s="409">
        <f t="shared" si="29"/>
        <v>0</v>
      </c>
      <c r="AJ26" s="409">
        <f t="shared" si="30"/>
        <v>0</v>
      </c>
      <c r="AK26" s="409">
        <f t="shared" si="31"/>
        <v>15</v>
      </c>
      <c r="AL26" s="409">
        <f t="shared" si="32"/>
        <v>0</v>
      </c>
      <c r="AM26" s="409">
        <f t="shared" si="33"/>
        <v>0</v>
      </c>
      <c r="AN26" s="409">
        <f t="shared" si="34"/>
        <v>0</v>
      </c>
      <c r="AO26" s="409">
        <f t="shared" si="35"/>
        <v>17</v>
      </c>
    </row>
    <row r="27" spans="1:41" s="7" customFormat="1" ht="33" customHeight="1">
      <c r="A27" s="606">
        <f t="shared" si="20"/>
        <v>23</v>
      </c>
      <c r="B27" s="516">
        <v>200</v>
      </c>
      <c r="C27" s="495" t="str">
        <f>VLOOKUP(B27,All!$B$4:$S$8977,2,FALSE)</f>
        <v>អ៊ុំ</v>
      </c>
      <c r="D27" s="496" t="str">
        <f>VLOOKUP(B27,All!$B$4:$S$89977,3,FALSE)</f>
        <v>ចន្ថា</v>
      </c>
      <c r="E27" s="662" t="str">
        <f>VLOOKUP(B27,All!$B$4:$S$8977,4,FALSE)</f>
        <v>OUM</v>
      </c>
      <c r="F27" s="663" t="str">
        <f>VLOOKUP(B27,All!$B$4:$S$8977,5,FALSE)</f>
        <v>CHANTHA</v>
      </c>
      <c r="G27" s="479" t="str">
        <f>VLOOKUP(B27,All!$B$4:$S$8977,6,FALSE)</f>
        <v>M</v>
      </c>
      <c r="H27" s="486">
        <f>VLOOKUP(B27,All!$B$4:$S$8977,7,FALSE)</f>
        <v>29800</v>
      </c>
      <c r="I27" s="494">
        <f>VLOOKUP(B27,All!$B$4:$S$8977,8,FALSE)</f>
        <v>41694</v>
      </c>
      <c r="J27" s="430" t="s">
        <v>6293</v>
      </c>
      <c r="K27" s="653" t="s">
        <v>6458</v>
      </c>
      <c r="L27" s="654" t="s">
        <v>6430</v>
      </c>
      <c r="M27" s="647">
        <f>VLOOKUP(B27,All!$B$4:$S$8977,12,FALSE)</f>
        <v>192</v>
      </c>
      <c r="N27" s="18">
        <f>VLOOKUP(B27,All!$B$4:$S$8977,13,FALSE)</f>
        <v>8</v>
      </c>
      <c r="O27" s="18">
        <f>VLOOKUP(B27,All!$B$4:$S$8977,14,FALSE)</f>
        <v>20</v>
      </c>
      <c r="P27" s="18">
        <f>VLOOKUP(B27,All!$B$4:$S$8977,15,FALSE)</f>
        <v>295</v>
      </c>
      <c r="Q27" s="509">
        <f>VLOOKUP(B27,All!$B$4:$S$8977,16,FALSE)</f>
        <v>0</v>
      </c>
      <c r="R27" s="18">
        <v>7</v>
      </c>
      <c r="S27" s="18">
        <v>10</v>
      </c>
      <c r="T27" s="550">
        <f t="shared" si="36"/>
        <v>532</v>
      </c>
      <c r="U27" s="683">
        <v>15</v>
      </c>
      <c r="V27" s="472">
        <v>44562</v>
      </c>
      <c r="W27" s="492" t="s">
        <v>6566</v>
      </c>
      <c r="X27" s="347"/>
      <c r="Y27" s="484" t="s">
        <v>6591</v>
      </c>
      <c r="Z27" s="647">
        <f t="shared" si="22"/>
        <v>194</v>
      </c>
      <c r="AA27" s="18">
        <f t="shared" si="23"/>
        <v>8</v>
      </c>
      <c r="AB27" s="476">
        <f t="shared" si="6"/>
        <v>20</v>
      </c>
      <c r="AC27" s="703">
        <f t="shared" si="7"/>
        <v>310</v>
      </c>
      <c r="AD27" s="509">
        <f t="shared" si="24"/>
        <v>0</v>
      </c>
      <c r="AE27" s="18">
        <f t="shared" si="25"/>
        <v>7</v>
      </c>
      <c r="AF27" s="18">
        <f t="shared" si="26"/>
        <v>10</v>
      </c>
      <c r="AG27" s="634">
        <f t="shared" si="27"/>
        <v>549</v>
      </c>
      <c r="AH27" s="409">
        <f t="shared" si="28"/>
        <v>2</v>
      </c>
      <c r="AI27" s="409">
        <f t="shared" si="29"/>
        <v>0</v>
      </c>
      <c r="AJ27" s="409">
        <f t="shared" si="30"/>
        <v>0</v>
      </c>
      <c r="AK27" s="409">
        <f t="shared" si="31"/>
        <v>15</v>
      </c>
      <c r="AL27" s="409">
        <f t="shared" si="32"/>
        <v>0</v>
      </c>
      <c r="AM27" s="409">
        <f t="shared" si="33"/>
        <v>0</v>
      </c>
      <c r="AN27" s="409">
        <f t="shared" si="34"/>
        <v>0</v>
      </c>
      <c r="AO27" s="409">
        <f t="shared" si="35"/>
        <v>17</v>
      </c>
    </row>
    <row r="28" spans="1:41" s="7" customFormat="1" ht="33" customHeight="1">
      <c r="A28" s="606">
        <f t="shared" si="20"/>
        <v>24</v>
      </c>
      <c r="B28" s="516">
        <v>620</v>
      </c>
      <c r="C28" s="484" t="str">
        <f>VLOOKUP(B28,All!$B$4:$S$8977,2,FALSE)</f>
        <v>សោម</v>
      </c>
      <c r="D28" s="482" t="str">
        <f>VLOOKUP(B28,All!$B$4:$S$89977,3,FALSE)</f>
        <v>ធីណាច</v>
      </c>
      <c r="E28" s="484" t="str">
        <f>VLOOKUP(B28,All!$B$4:$S$8977,4,FALSE)</f>
        <v>SORM</v>
      </c>
      <c r="F28" s="482" t="str">
        <f>VLOOKUP(B28,All!$B$4:$S$8977,5,FALSE)</f>
        <v>THYNACH</v>
      </c>
      <c r="G28" s="479" t="str">
        <f>VLOOKUP(B28,All!$B$4:$S$8977,6,FALSE)</f>
        <v>F</v>
      </c>
      <c r="H28" s="486">
        <f>VLOOKUP(B28,All!$B$4:$S$8977,7,FALSE)</f>
        <v>35498</v>
      </c>
      <c r="I28" s="494">
        <f>VLOOKUP(B28,All!$B$4:$S$8977,8,FALSE)</f>
        <v>41839</v>
      </c>
      <c r="J28" s="430" t="s">
        <v>6293</v>
      </c>
      <c r="K28" s="653" t="s">
        <v>286</v>
      </c>
      <c r="L28" s="654" t="s">
        <v>6434</v>
      </c>
      <c r="M28" s="647">
        <f>VLOOKUP(B28,All!$B$4:$S$8977,12,FALSE)</f>
        <v>192</v>
      </c>
      <c r="N28" s="18">
        <f>VLOOKUP(B28,All!$B$4:$S$8977,13,FALSE)</f>
        <v>8</v>
      </c>
      <c r="O28" s="18">
        <f>VLOOKUP(B28,All!$B$4:$S$8977,14,FALSE)</f>
        <v>20</v>
      </c>
      <c r="P28" s="18">
        <f>VLOOKUP(B28,All!$B$4:$S$8977,15,FALSE)</f>
        <v>45</v>
      </c>
      <c r="Q28" s="509">
        <f>VLOOKUP(B28,All!$B$4:$S$8977,16,FALSE)</f>
        <v>0</v>
      </c>
      <c r="R28" s="18">
        <v>7</v>
      </c>
      <c r="S28" s="18">
        <v>10</v>
      </c>
      <c r="T28" s="550">
        <f>SUM(M28:S28)</f>
        <v>282</v>
      </c>
      <c r="U28" s="683">
        <v>15</v>
      </c>
      <c r="V28" s="472">
        <v>44562</v>
      </c>
      <c r="W28" s="492" t="s">
        <v>6566</v>
      </c>
      <c r="X28" s="347"/>
      <c r="Y28" s="484" t="s">
        <v>6592</v>
      </c>
      <c r="Z28" s="647">
        <f t="shared" si="22"/>
        <v>194</v>
      </c>
      <c r="AA28" s="18">
        <f t="shared" si="23"/>
        <v>8</v>
      </c>
      <c r="AB28" s="476">
        <f t="shared" si="6"/>
        <v>20</v>
      </c>
      <c r="AC28" s="703">
        <f t="shared" si="7"/>
        <v>60</v>
      </c>
      <c r="AD28" s="509">
        <f t="shared" si="24"/>
        <v>0</v>
      </c>
      <c r="AE28" s="18">
        <f t="shared" si="25"/>
        <v>7</v>
      </c>
      <c r="AF28" s="18">
        <f t="shared" si="26"/>
        <v>10</v>
      </c>
      <c r="AG28" s="634">
        <f t="shared" si="27"/>
        <v>299</v>
      </c>
      <c r="AH28" s="409">
        <f t="shared" si="28"/>
        <v>2</v>
      </c>
      <c r="AI28" s="409">
        <f t="shared" si="29"/>
        <v>0</v>
      </c>
      <c r="AJ28" s="409">
        <f t="shared" si="30"/>
        <v>0</v>
      </c>
      <c r="AK28" s="409">
        <f t="shared" si="31"/>
        <v>15</v>
      </c>
      <c r="AL28" s="409">
        <f t="shared" si="32"/>
        <v>0</v>
      </c>
      <c r="AM28" s="409">
        <f t="shared" si="33"/>
        <v>0</v>
      </c>
      <c r="AN28" s="409">
        <f t="shared" si="34"/>
        <v>0</v>
      </c>
      <c r="AO28" s="409">
        <f t="shared" si="35"/>
        <v>17</v>
      </c>
    </row>
    <row r="29" spans="1:41" s="7" customFormat="1" ht="33" customHeight="1">
      <c r="A29" s="606">
        <f t="shared" si="20"/>
        <v>25</v>
      </c>
      <c r="B29" s="516">
        <v>385</v>
      </c>
      <c r="C29" s="484" t="str">
        <f>VLOOKUP(B29,All!$B$4:$S$8977,2,FALSE)</f>
        <v>ដេង</v>
      </c>
      <c r="D29" s="482" t="str">
        <f>VLOOKUP(B29,All!$B$4:$S$89977,3,FALSE)</f>
        <v>តេង</v>
      </c>
      <c r="E29" s="484" t="str">
        <f>VLOOKUP(B29,All!$B$4:$S$8977,4,FALSE)</f>
        <v>DANG</v>
      </c>
      <c r="F29" s="482" t="str">
        <f>VLOOKUP(B29,All!$B$4:$S$8977,5,FALSE)</f>
        <v>TANG</v>
      </c>
      <c r="G29" s="479" t="str">
        <f>VLOOKUP(B29,All!$B$4:$S$8977,6,FALSE)</f>
        <v>M</v>
      </c>
      <c r="H29" s="486">
        <f>VLOOKUP(B29,All!$B$4:$S$8977,7,FALSE)</f>
        <v>33217</v>
      </c>
      <c r="I29" s="494">
        <f>VLOOKUP(B29,All!$B$4:$S$8977,8,FALSE)</f>
        <v>41782</v>
      </c>
      <c r="J29" s="430" t="s">
        <v>6293</v>
      </c>
      <c r="K29" s="653" t="s">
        <v>286</v>
      </c>
      <c r="L29" s="654" t="s">
        <v>6431</v>
      </c>
      <c r="M29" s="647">
        <f>VLOOKUP(B29,All!$B$4:$S$8977,12,FALSE)</f>
        <v>192</v>
      </c>
      <c r="N29" s="18">
        <f>VLOOKUP(B29,All!$B$4:$S$8977,13,FALSE)</f>
        <v>8</v>
      </c>
      <c r="O29" s="18">
        <f>VLOOKUP(B29,All!$B$4:$S$8977,14,FALSE)</f>
        <v>20</v>
      </c>
      <c r="P29" s="18">
        <f>VLOOKUP(B29,All!$B$4:$S$8977,15,FALSE)</f>
        <v>45</v>
      </c>
      <c r="Q29" s="509">
        <f>VLOOKUP(B29,All!$B$4:$S$8977,16,FALSE)</f>
        <v>0</v>
      </c>
      <c r="R29" s="18">
        <v>7</v>
      </c>
      <c r="S29" s="18">
        <v>10</v>
      </c>
      <c r="T29" s="550">
        <f t="shared" si="36"/>
        <v>282</v>
      </c>
      <c r="U29" s="683">
        <v>15</v>
      </c>
      <c r="V29" s="472">
        <v>44562</v>
      </c>
      <c r="W29" s="492" t="s">
        <v>6566</v>
      </c>
      <c r="X29" s="347"/>
      <c r="Y29" s="484" t="s">
        <v>6592</v>
      </c>
      <c r="Z29" s="647">
        <f t="shared" si="22"/>
        <v>194</v>
      </c>
      <c r="AA29" s="18">
        <f t="shared" si="23"/>
        <v>8</v>
      </c>
      <c r="AB29" s="476">
        <f t="shared" si="6"/>
        <v>20</v>
      </c>
      <c r="AC29" s="703">
        <f t="shared" si="7"/>
        <v>60</v>
      </c>
      <c r="AD29" s="509">
        <f t="shared" si="24"/>
        <v>0</v>
      </c>
      <c r="AE29" s="18">
        <f t="shared" si="25"/>
        <v>7</v>
      </c>
      <c r="AF29" s="18">
        <f t="shared" si="26"/>
        <v>10</v>
      </c>
      <c r="AG29" s="634">
        <f t="shared" si="27"/>
        <v>299</v>
      </c>
      <c r="AH29" s="409">
        <f t="shared" si="28"/>
        <v>2</v>
      </c>
      <c r="AI29" s="409">
        <f t="shared" si="29"/>
        <v>0</v>
      </c>
      <c r="AJ29" s="409">
        <f t="shared" si="30"/>
        <v>0</v>
      </c>
      <c r="AK29" s="409">
        <f t="shared" si="31"/>
        <v>15</v>
      </c>
      <c r="AL29" s="409">
        <f t="shared" si="32"/>
        <v>0</v>
      </c>
      <c r="AM29" s="409">
        <f t="shared" si="33"/>
        <v>0</v>
      </c>
      <c r="AN29" s="409">
        <f t="shared" si="34"/>
        <v>0</v>
      </c>
      <c r="AO29" s="409">
        <f t="shared" si="35"/>
        <v>17</v>
      </c>
    </row>
    <row r="30" spans="1:41" s="7" customFormat="1" ht="33" customHeight="1">
      <c r="A30" s="606">
        <f t="shared" si="20"/>
        <v>26</v>
      </c>
      <c r="B30" s="516">
        <v>546</v>
      </c>
      <c r="C30" s="484" t="str">
        <f>VLOOKUP(B30,All!$B$4:$S$8977,2,FALSE)</f>
        <v>សោម</v>
      </c>
      <c r="D30" s="482" t="str">
        <f>VLOOKUP(B30,All!$B$4:$S$89977,3,FALSE)</f>
        <v>ធិនា</v>
      </c>
      <c r="E30" s="484" t="str">
        <f>VLOOKUP(B30,All!$B$4:$S$8977,4,FALSE)</f>
        <v>SORM</v>
      </c>
      <c r="F30" s="482" t="str">
        <f>VLOOKUP(B30,All!$B$4:$S$8977,5,FALSE)</f>
        <v>THINEA</v>
      </c>
      <c r="G30" s="479" t="str">
        <f>VLOOKUP(B30,All!$B$4:$S$8977,6,FALSE)</f>
        <v>F</v>
      </c>
      <c r="H30" s="486">
        <f>VLOOKUP(B30,All!$B$4:$S$8977,7,FALSE)</f>
        <v>34274</v>
      </c>
      <c r="I30" s="494">
        <f>VLOOKUP(B30,All!$B$4:$S$8977,8,FALSE)</f>
        <v>41828</v>
      </c>
      <c r="J30" s="430" t="s">
        <v>6293</v>
      </c>
      <c r="K30" s="653" t="s">
        <v>24</v>
      </c>
      <c r="L30" s="654" t="s">
        <v>6433</v>
      </c>
      <c r="M30" s="647">
        <f>VLOOKUP(B30,All!$B$4:$S$8977,12,FALSE)</f>
        <v>192</v>
      </c>
      <c r="N30" s="18">
        <f>VLOOKUP(B30,All!$B$4:$S$8977,13,FALSE)</f>
        <v>8</v>
      </c>
      <c r="O30" s="18">
        <f>VLOOKUP(B30,All!$B$4:$S$8977,14,FALSE)</f>
        <v>20</v>
      </c>
      <c r="P30" s="18">
        <f>VLOOKUP(B30,All!$B$4:$S$8977,15,FALSE)</f>
        <v>55</v>
      </c>
      <c r="Q30" s="509">
        <f>VLOOKUP(B30,All!$B$4:$S$8977,16,FALSE)</f>
        <v>0</v>
      </c>
      <c r="R30" s="18">
        <v>7</v>
      </c>
      <c r="S30" s="18">
        <v>10</v>
      </c>
      <c r="T30" s="550">
        <f t="shared" si="36"/>
        <v>292</v>
      </c>
      <c r="U30" s="683">
        <v>15</v>
      </c>
      <c r="V30" s="472">
        <v>44562</v>
      </c>
      <c r="W30" s="492" t="s">
        <v>6566</v>
      </c>
      <c r="X30" s="347"/>
      <c r="Y30" s="484" t="s">
        <v>6593</v>
      </c>
      <c r="Z30" s="647">
        <f t="shared" si="22"/>
        <v>194</v>
      </c>
      <c r="AA30" s="18">
        <f t="shared" si="23"/>
        <v>8</v>
      </c>
      <c r="AB30" s="476">
        <f t="shared" si="6"/>
        <v>20</v>
      </c>
      <c r="AC30" s="703">
        <f t="shared" si="7"/>
        <v>70</v>
      </c>
      <c r="AD30" s="509">
        <f t="shared" si="24"/>
        <v>0</v>
      </c>
      <c r="AE30" s="18">
        <f t="shared" si="25"/>
        <v>7</v>
      </c>
      <c r="AF30" s="18">
        <f t="shared" si="26"/>
        <v>10</v>
      </c>
      <c r="AG30" s="634">
        <f t="shared" si="27"/>
        <v>309</v>
      </c>
      <c r="AH30" s="409">
        <f t="shared" si="28"/>
        <v>2</v>
      </c>
      <c r="AI30" s="409">
        <f t="shared" si="29"/>
        <v>0</v>
      </c>
      <c r="AJ30" s="409">
        <f t="shared" si="30"/>
        <v>0</v>
      </c>
      <c r="AK30" s="409">
        <f t="shared" si="31"/>
        <v>15</v>
      </c>
      <c r="AL30" s="409">
        <f t="shared" si="32"/>
        <v>0</v>
      </c>
      <c r="AM30" s="409">
        <f t="shared" si="33"/>
        <v>0</v>
      </c>
      <c r="AN30" s="409">
        <f t="shared" si="34"/>
        <v>0</v>
      </c>
      <c r="AO30" s="409">
        <f t="shared" si="35"/>
        <v>17</v>
      </c>
    </row>
    <row r="31" spans="1:41" s="7" customFormat="1" ht="33" customHeight="1">
      <c r="A31" s="606">
        <f t="shared" si="20"/>
        <v>27</v>
      </c>
      <c r="B31" s="516">
        <v>1653</v>
      </c>
      <c r="C31" s="484" t="str">
        <f>VLOOKUP(B31,All!$B$4:$S$8977,2,FALSE)</f>
        <v>គ្រី</v>
      </c>
      <c r="D31" s="482" t="str">
        <f>VLOOKUP(B31,All!$B$4:$S$89977,3,FALSE)</f>
        <v>ណៃវី</v>
      </c>
      <c r="E31" s="484" t="str">
        <f>VLOOKUP(B31,All!$B$4:$S$8977,4,FALSE)</f>
        <v>KRY</v>
      </c>
      <c r="F31" s="482" t="str">
        <f>VLOOKUP(B31,All!$B$4:$S$8977,5,FALSE)</f>
        <v>NAI VY</v>
      </c>
      <c r="G31" s="479" t="str">
        <f>VLOOKUP(B31,All!$B$4:$S$8977,6,FALSE)</f>
        <v>F</v>
      </c>
      <c r="H31" s="486">
        <f>VLOOKUP(B31,All!$B$4:$S$8977,7,FALSE)</f>
        <v>34588</v>
      </c>
      <c r="I31" s="494">
        <f>VLOOKUP(B31,All!$B$4:$S$8977,8,FALSE)</f>
        <v>42656</v>
      </c>
      <c r="J31" s="430" t="s">
        <v>6293</v>
      </c>
      <c r="K31" s="653" t="s">
        <v>24</v>
      </c>
      <c r="L31" s="654" t="s">
        <v>6433</v>
      </c>
      <c r="M31" s="647">
        <f>VLOOKUP(B31,All!$B$4:$S$8977,12,FALSE)</f>
        <v>192</v>
      </c>
      <c r="N31" s="18">
        <f>VLOOKUP(B31,All!$B$4:$S$8977,13,FALSE)</f>
        <v>6</v>
      </c>
      <c r="O31" s="18">
        <f>VLOOKUP(B31,All!$B$4:$S$8977,14,FALSE)</f>
        <v>20</v>
      </c>
      <c r="P31" s="18">
        <f>VLOOKUP(B31,All!$B$4:$S$8977,15,FALSE)</f>
        <v>35</v>
      </c>
      <c r="Q31" s="509">
        <f>VLOOKUP(B31,All!$B$4:$S$8977,16,FALSE)</f>
        <v>0</v>
      </c>
      <c r="R31" s="18">
        <v>7</v>
      </c>
      <c r="S31" s="18">
        <v>10</v>
      </c>
      <c r="T31" s="550">
        <f>SUM(M31:S31)</f>
        <v>270</v>
      </c>
      <c r="U31" s="683">
        <v>15</v>
      </c>
      <c r="V31" s="472">
        <v>44562</v>
      </c>
      <c r="W31" s="492" t="s">
        <v>6566</v>
      </c>
      <c r="X31" s="347"/>
      <c r="Y31" s="484" t="s">
        <v>6593</v>
      </c>
      <c r="Z31" s="647">
        <f t="shared" si="22"/>
        <v>194</v>
      </c>
      <c r="AA31" s="18">
        <f t="shared" si="23"/>
        <v>6</v>
      </c>
      <c r="AB31" s="476">
        <f t="shared" si="6"/>
        <v>20</v>
      </c>
      <c r="AC31" s="703">
        <f t="shared" si="7"/>
        <v>50</v>
      </c>
      <c r="AD31" s="509">
        <f t="shared" si="24"/>
        <v>0</v>
      </c>
      <c r="AE31" s="18">
        <f t="shared" si="25"/>
        <v>7</v>
      </c>
      <c r="AF31" s="18">
        <f t="shared" si="26"/>
        <v>10</v>
      </c>
      <c r="AG31" s="634">
        <f t="shared" si="27"/>
        <v>287</v>
      </c>
      <c r="AH31" s="409">
        <f t="shared" si="28"/>
        <v>2</v>
      </c>
      <c r="AI31" s="409">
        <f t="shared" si="29"/>
        <v>0</v>
      </c>
      <c r="AJ31" s="409">
        <f t="shared" si="30"/>
        <v>0</v>
      </c>
      <c r="AK31" s="409">
        <f t="shared" si="31"/>
        <v>15</v>
      </c>
      <c r="AL31" s="409">
        <f t="shared" si="32"/>
        <v>0</v>
      </c>
      <c r="AM31" s="409">
        <f t="shared" si="33"/>
        <v>0</v>
      </c>
      <c r="AN31" s="409">
        <f t="shared" si="34"/>
        <v>0</v>
      </c>
      <c r="AO31" s="409">
        <f t="shared" si="35"/>
        <v>17</v>
      </c>
    </row>
    <row r="32" spans="1:41" s="7" customFormat="1" ht="33" customHeight="1">
      <c r="A32" s="606">
        <f t="shared" si="20"/>
        <v>28</v>
      </c>
      <c r="B32" s="516">
        <v>1793</v>
      </c>
      <c r="C32" s="484" t="str">
        <f>VLOOKUP(B32,All!$B$4:$S$8977,2,FALSE)</f>
        <v>អ៊ីង</v>
      </c>
      <c r="D32" s="482" t="str">
        <f>VLOOKUP(B32,All!$B$4:$S$89977,3,FALSE)</f>
        <v>ណែត</v>
      </c>
      <c r="E32" s="484" t="str">
        <f>VLOOKUP(B32,All!$B$4:$S$8977,4,FALSE)</f>
        <v>ING</v>
      </c>
      <c r="F32" s="482" t="str">
        <f>VLOOKUP(B32,All!$B$4:$S$8977,5,FALSE)</f>
        <v>NET</v>
      </c>
      <c r="G32" s="479" t="str">
        <f>VLOOKUP(B32,All!$B$4:$S$8977,6,FALSE)</f>
        <v>F</v>
      </c>
      <c r="H32" s="486">
        <f>VLOOKUP(B32,All!$B$4:$S$8977,7,FALSE)</f>
        <v>32725</v>
      </c>
      <c r="I32" s="494">
        <f>VLOOKUP(B32,All!$B$4:$S$8977,8,FALSE)</f>
        <v>42744</v>
      </c>
      <c r="J32" s="430" t="s">
        <v>6293</v>
      </c>
      <c r="K32" s="653" t="s">
        <v>24</v>
      </c>
      <c r="L32" s="654" t="s">
        <v>6433</v>
      </c>
      <c r="M32" s="647">
        <f>VLOOKUP(B32,All!$B$4:$S$8977,12,FALSE)</f>
        <v>192</v>
      </c>
      <c r="N32" s="18">
        <f>VLOOKUP(B32,All!$B$4:$S$8977,13,FALSE)</f>
        <v>6</v>
      </c>
      <c r="O32" s="18">
        <f>VLOOKUP(B32,All!$B$4:$S$8977,14,FALSE)</f>
        <v>20</v>
      </c>
      <c r="P32" s="18">
        <f>VLOOKUP(B32,All!$B$4:$S$8977,15,FALSE)</f>
        <v>35</v>
      </c>
      <c r="Q32" s="509">
        <f>VLOOKUP(B32,All!$B$4:$S$8977,16,FALSE)</f>
        <v>0</v>
      </c>
      <c r="R32" s="18">
        <v>7</v>
      </c>
      <c r="S32" s="18">
        <v>10</v>
      </c>
      <c r="T32" s="550">
        <f>SUM(M32:S32)</f>
        <v>270</v>
      </c>
      <c r="U32" s="683">
        <v>15</v>
      </c>
      <c r="V32" s="472">
        <v>44562</v>
      </c>
      <c r="W32" s="492" t="s">
        <v>6566</v>
      </c>
      <c r="X32" s="347"/>
      <c r="Y32" s="484" t="s">
        <v>6593</v>
      </c>
      <c r="Z32" s="647">
        <f t="shared" si="22"/>
        <v>194</v>
      </c>
      <c r="AA32" s="18">
        <f t="shared" si="23"/>
        <v>6</v>
      </c>
      <c r="AB32" s="476">
        <f t="shared" si="6"/>
        <v>20</v>
      </c>
      <c r="AC32" s="703">
        <f t="shared" si="7"/>
        <v>50</v>
      </c>
      <c r="AD32" s="509">
        <f t="shared" si="24"/>
        <v>0</v>
      </c>
      <c r="AE32" s="18">
        <f t="shared" si="25"/>
        <v>7</v>
      </c>
      <c r="AF32" s="18">
        <f t="shared" si="26"/>
        <v>10</v>
      </c>
      <c r="AG32" s="634">
        <f t="shared" si="27"/>
        <v>287</v>
      </c>
      <c r="AH32" s="409">
        <f t="shared" si="28"/>
        <v>2</v>
      </c>
      <c r="AI32" s="409">
        <f t="shared" si="29"/>
        <v>0</v>
      </c>
      <c r="AJ32" s="409">
        <f t="shared" si="30"/>
        <v>0</v>
      </c>
      <c r="AK32" s="409">
        <f t="shared" si="31"/>
        <v>15</v>
      </c>
      <c r="AL32" s="409">
        <f t="shared" si="32"/>
        <v>0</v>
      </c>
      <c r="AM32" s="409">
        <f t="shared" si="33"/>
        <v>0</v>
      </c>
      <c r="AN32" s="409">
        <f t="shared" si="34"/>
        <v>0</v>
      </c>
      <c r="AO32" s="409">
        <f t="shared" si="35"/>
        <v>17</v>
      </c>
    </row>
    <row r="33" spans="1:41" s="7" customFormat="1" ht="33" customHeight="1">
      <c r="A33" s="606">
        <f t="shared" si="20"/>
        <v>29</v>
      </c>
      <c r="B33" s="516">
        <v>1747</v>
      </c>
      <c r="C33" s="484" t="str">
        <f>VLOOKUP(B33,All!$B$4:$S$8977,2,FALSE)</f>
        <v>អ៊ួង</v>
      </c>
      <c r="D33" s="482" t="str">
        <f>VLOOKUP(B33,All!$B$4:$S$89977,3,FALSE)</f>
        <v>សារ៉ា</v>
      </c>
      <c r="E33" s="484" t="str">
        <f>VLOOKUP(B33,All!$B$4:$S$8977,4,FALSE)</f>
        <v>OUNG</v>
      </c>
      <c r="F33" s="482" t="str">
        <f>VLOOKUP(B33,All!$B$4:$S$8977,5,FALSE)</f>
        <v>SARA</v>
      </c>
      <c r="G33" s="479" t="str">
        <f>VLOOKUP(B33,All!$B$4:$S$8977,6,FALSE)</f>
        <v>F</v>
      </c>
      <c r="H33" s="486">
        <f>VLOOKUP(B33,All!$B$4:$S$8977,7,FALSE)</f>
        <v>30688</v>
      </c>
      <c r="I33" s="494">
        <f>VLOOKUP(B33,All!$B$4:$S$8977,8,FALSE)</f>
        <v>42685</v>
      </c>
      <c r="J33" s="430" t="s">
        <v>6293</v>
      </c>
      <c r="K33" s="653" t="s">
        <v>24</v>
      </c>
      <c r="L33" s="654" t="s">
        <v>6438</v>
      </c>
      <c r="M33" s="647">
        <f>VLOOKUP(B33,All!$B$4:$S$8977,12,FALSE)</f>
        <v>192</v>
      </c>
      <c r="N33" s="18">
        <f>VLOOKUP(B33,All!$B$4:$S$8977,13,FALSE)</f>
        <v>6</v>
      </c>
      <c r="O33" s="18">
        <f>VLOOKUP(B33,All!$B$4:$S$8977,14,FALSE)</f>
        <v>20</v>
      </c>
      <c r="P33" s="18">
        <f>VLOOKUP(B33,All!$B$4:$S$8977,15,FALSE)</f>
        <v>35</v>
      </c>
      <c r="Q33" s="509">
        <f>VLOOKUP(B33,All!$B$4:$S$8977,16,FALSE)</f>
        <v>0</v>
      </c>
      <c r="R33" s="18">
        <v>7</v>
      </c>
      <c r="S33" s="18">
        <v>10</v>
      </c>
      <c r="T33" s="550">
        <f>SUM(M33:S33)</f>
        <v>270</v>
      </c>
      <c r="U33" s="683">
        <v>15</v>
      </c>
      <c r="V33" s="472">
        <v>44562</v>
      </c>
      <c r="W33" s="492" t="s">
        <v>6566</v>
      </c>
      <c r="X33" s="347"/>
      <c r="Y33" s="484" t="s">
        <v>6593</v>
      </c>
      <c r="Z33" s="647">
        <f t="shared" si="22"/>
        <v>194</v>
      </c>
      <c r="AA33" s="18">
        <f t="shared" si="23"/>
        <v>6</v>
      </c>
      <c r="AB33" s="476">
        <f t="shared" si="6"/>
        <v>20</v>
      </c>
      <c r="AC33" s="703">
        <f t="shared" si="7"/>
        <v>50</v>
      </c>
      <c r="AD33" s="509">
        <f t="shared" si="24"/>
        <v>0</v>
      </c>
      <c r="AE33" s="18">
        <f t="shared" si="25"/>
        <v>7</v>
      </c>
      <c r="AF33" s="18">
        <f t="shared" si="26"/>
        <v>10</v>
      </c>
      <c r="AG33" s="634">
        <f t="shared" si="27"/>
        <v>287</v>
      </c>
      <c r="AH33" s="409">
        <f t="shared" si="28"/>
        <v>2</v>
      </c>
      <c r="AI33" s="409">
        <f t="shared" si="29"/>
        <v>0</v>
      </c>
      <c r="AJ33" s="409">
        <f t="shared" si="30"/>
        <v>0</v>
      </c>
      <c r="AK33" s="409">
        <f t="shared" si="31"/>
        <v>15</v>
      </c>
      <c r="AL33" s="409">
        <f t="shared" si="32"/>
        <v>0</v>
      </c>
      <c r="AM33" s="409">
        <f t="shared" si="33"/>
        <v>0</v>
      </c>
      <c r="AN33" s="409">
        <f t="shared" si="34"/>
        <v>0</v>
      </c>
      <c r="AO33" s="409">
        <f t="shared" si="35"/>
        <v>17</v>
      </c>
    </row>
    <row r="34" spans="1:41" s="7" customFormat="1" ht="33" customHeight="1">
      <c r="A34" s="606">
        <f t="shared" si="20"/>
        <v>30</v>
      </c>
      <c r="B34" s="516">
        <v>1353</v>
      </c>
      <c r="C34" s="484" t="str">
        <f>VLOOKUP(B34,All!$B$4:$S$8977,2,FALSE)</f>
        <v>ភូ</v>
      </c>
      <c r="D34" s="482" t="str">
        <f>VLOOKUP(B34,All!$B$4:$S$89977,3,FALSE)</f>
        <v>ពុទ្រា</v>
      </c>
      <c r="E34" s="484" t="str">
        <f>VLOOKUP(B34,All!$B$4:$S$8977,4,FALSE)</f>
        <v>PHOU</v>
      </c>
      <c r="F34" s="482" t="str">
        <f>VLOOKUP(B34,All!$B$4:$S$8977,5,FALSE)</f>
        <v>PUTREA</v>
      </c>
      <c r="G34" s="479" t="str">
        <f>VLOOKUP(B34,All!$B$4:$S$8977,6,FALSE)</f>
        <v>M</v>
      </c>
      <c r="H34" s="486">
        <f>VLOOKUP(B34,All!$B$4:$S$8977,7,FALSE)</f>
        <v>32515</v>
      </c>
      <c r="I34" s="494">
        <f>VLOOKUP(B34,All!$B$4:$S$8977,8,FALSE)</f>
        <v>42321</v>
      </c>
      <c r="J34" s="430" t="s">
        <v>6293</v>
      </c>
      <c r="K34" s="653" t="s">
        <v>45</v>
      </c>
      <c r="L34" s="654" t="s">
        <v>6436</v>
      </c>
      <c r="M34" s="647">
        <f>VLOOKUP(B34,All!$B$4:$S$8977,12,FALSE)</f>
        <v>192</v>
      </c>
      <c r="N34" s="18">
        <f>VLOOKUP(B34,All!$B$4:$S$8977,13,FALSE)</f>
        <v>7</v>
      </c>
      <c r="O34" s="18">
        <f>VLOOKUP(B34,All!$B$4:$S$8977,14,FALSE)</f>
        <v>20</v>
      </c>
      <c r="P34" s="18">
        <f>VLOOKUP(B34,All!$B$4:$S$8977,15,FALSE)</f>
        <v>148</v>
      </c>
      <c r="Q34" s="509">
        <f>VLOOKUP(B34,All!$B$4:$S$8977,16,FALSE)</f>
        <v>20</v>
      </c>
      <c r="R34" s="18">
        <v>7</v>
      </c>
      <c r="S34" s="18">
        <v>10</v>
      </c>
      <c r="T34" s="550">
        <f t="shared" si="36"/>
        <v>404</v>
      </c>
      <c r="U34" s="683">
        <v>15</v>
      </c>
      <c r="V34" s="472">
        <v>44562</v>
      </c>
      <c r="W34" s="492" t="s">
        <v>6566</v>
      </c>
      <c r="X34" s="347"/>
      <c r="Y34" s="484" t="s">
        <v>6594</v>
      </c>
      <c r="Z34" s="647">
        <f t="shared" si="22"/>
        <v>194</v>
      </c>
      <c r="AA34" s="18">
        <f t="shared" si="23"/>
        <v>7</v>
      </c>
      <c r="AB34" s="476">
        <f t="shared" si="6"/>
        <v>20</v>
      </c>
      <c r="AC34" s="703">
        <f t="shared" si="7"/>
        <v>163</v>
      </c>
      <c r="AD34" s="509">
        <f t="shared" si="24"/>
        <v>20</v>
      </c>
      <c r="AE34" s="18">
        <f t="shared" si="25"/>
        <v>7</v>
      </c>
      <c r="AF34" s="18">
        <f t="shared" si="26"/>
        <v>10</v>
      </c>
      <c r="AG34" s="634">
        <f t="shared" si="27"/>
        <v>421</v>
      </c>
      <c r="AH34" s="409">
        <f t="shared" si="28"/>
        <v>2</v>
      </c>
      <c r="AI34" s="409">
        <f t="shared" si="29"/>
        <v>0</v>
      </c>
      <c r="AJ34" s="409">
        <f t="shared" si="30"/>
        <v>0</v>
      </c>
      <c r="AK34" s="409">
        <f t="shared" si="31"/>
        <v>15</v>
      </c>
      <c r="AL34" s="409">
        <f t="shared" si="32"/>
        <v>0</v>
      </c>
      <c r="AM34" s="409">
        <f t="shared" si="33"/>
        <v>0</v>
      </c>
      <c r="AN34" s="409">
        <f t="shared" si="34"/>
        <v>0</v>
      </c>
      <c r="AO34" s="409">
        <f t="shared" si="35"/>
        <v>17</v>
      </c>
    </row>
    <row r="35" spans="1:41" s="7" customFormat="1" ht="33" customHeight="1">
      <c r="A35" s="606">
        <f t="shared" si="20"/>
        <v>31</v>
      </c>
      <c r="B35" s="516">
        <v>2573</v>
      </c>
      <c r="C35" s="484" t="str">
        <f>VLOOKUP(B35,All!$B$4:$S$8977,2,FALSE)</f>
        <v>ជី</v>
      </c>
      <c r="D35" s="482" t="str">
        <f>VLOOKUP(B35,All!$B$4:$S$89977,3,FALSE)</f>
        <v>សុភ័ក្ត</v>
      </c>
      <c r="E35" s="484" t="str">
        <f>VLOOKUP(B35,All!$B$4:$S$8977,4,FALSE)</f>
        <v>Chi</v>
      </c>
      <c r="F35" s="482" t="str">
        <f>VLOOKUP(B35,All!$B$4:$S$8977,5,FALSE)</f>
        <v>Sopheak</v>
      </c>
      <c r="G35" s="479" t="str">
        <f>VLOOKUP(B35,All!$B$4:$S$8977,6,FALSE)</f>
        <v>M</v>
      </c>
      <c r="H35" s="486">
        <f>VLOOKUP(B35,All!$B$4:$S$8977,7,FALSE)</f>
        <v>30560</v>
      </c>
      <c r="I35" s="494">
        <f>VLOOKUP(B35,All!$B$4:$S$8977,8,FALSE)</f>
        <v>43421</v>
      </c>
      <c r="J35" s="430" t="s">
        <v>6293</v>
      </c>
      <c r="K35" s="653" t="s">
        <v>45</v>
      </c>
      <c r="L35" s="654" t="s">
        <v>6436</v>
      </c>
      <c r="M35" s="647">
        <f>VLOOKUP(B35,All!$B$4:$S$8977,12,FALSE)</f>
        <v>192</v>
      </c>
      <c r="N35" s="18">
        <f>VLOOKUP(B35,All!$B$4:$S$8977,13,FALSE)</f>
        <v>4</v>
      </c>
      <c r="O35" s="18">
        <f>VLOOKUP(B35,All!$B$4:$S$8977,14,FALSE)</f>
        <v>0</v>
      </c>
      <c r="P35" s="18">
        <f>VLOOKUP(B35,All!$B$4:$S$8977,15,FALSE)</f>
        <v>158</v>
      </c>
      <c r="Q35" s="509">
        <f>VLOOKUP(B35,All!$B$4:$S$8977,16,FALSE)</f>
        <v>30</v>
      </c>
      <c r="R35" s="18">
        <v>7</v>
      </c>
      <c r="S35" s="18">
        <v>10</v>
      </c>
      <c r="T35" s="550">
        <f t="shared" si="36"/>
        <v>401</v>
      </c>
      <c r="U35" s="683">
        <v>15</v>
      </c>
      <c r="V35" s="472">
        <v>44562</v>
      </c>
      <c r="W35" s="492" t="s">
        <v>6566</v>
      </c>
      <c r="X35" s="347"/>
      <c r="Y35" s="484" t="s">
        <v>6594</v>
      </c>
      <c r="Z35" s="647">
        <f t="shared" si="22"/>
        <v>194</v>
      </c>
      <c r="AA35" s="18">
        <f t="shared" si="23"/>
        <v>4</v>
      </c>
      <c r="AB35" s="476">
        <f t="shared" si="6"/>
        <v>0</v>
      </c>
      <c r="AC35" s="703">
        <f t="shared" si="7"/>
        <v>173</v>
      </c>
      <c r="AD35" s="509">
        <f t="shared" si="24"/>
        <v>30</v>
      </c>
      <c r="AE35" s="18">
        <f t="shared" si="25"/>
        <v>7</v>
      </c>
      <c r="AF35" s="18">
        <f t="shared" si="26"/>
        <v>10</v>
      </c>
      <c r="AG35" s="634">
        <f t="shared" si="27"/>
        <v>418</v>
      </c>
      <c r="AH35" s="409">
        <f t="shared" si="28"/>
        <v>2</v>
      </c>
      <c r="AI35" s="409">
        <f t="shared" si="29"/>
        <v>0</v>
      </c>
      <c r="AJ35" s="409">
        <f t="shared" si="30"/>
        <v>0</v>
      </c>
      <c r="AK35" s="409">
        <f t="shared" si="31"/>
        <v>15</v>
      </c>
      <c r="AL35" s="409">
        <f t="shared" si="32"/>
        <v>0</v>
      </c>
      <c r="AM35" s="409">
        <f t="shared" si="33"/>
        <v>0</v>
      </c>
      <c r="AN35" s="409">
        <f t="shared" si="34"/>
        <v>0</v>
      </c>
      <c r="AO35" s="409">
        <f t="shared" si="35"/>
        <v>17</v>
      </c>
    </row>
    <row r="36" spans="1:41" s="7" customFormat="1" ht="33" customHeight="1">
      <c r="A36" s="606">
        <f t="shared" si="20"/>
        <v>32</v>
      </c>
      <c r="B36" s="516">
        <v>4139</v>
      </c>
      <c r="C36" s="484" t="str">
        <f>VLOOKUP(B36,All!$B$4:$S$8977,2,FALSE)</f>
        <v>ម៉ៅ</v>
      </c>
      <c r="D36" s="482" t="str">
        <f>VLOOKUP(B36,All!$B$4:$S$89977,3,FALSE)</f>
        <v>សុខុម</v>
      </c>
      <c r="E36" s="484" t="str">
        <f>VLOOKUP(B36,All!$B$4:$S$8977,4,FALSE)</f>
        <v>MAO</v>
      </c>
      <c r="F36" s="482" t="str">
        <f>VLOOKUP(B36,All!$B$4:$S$8977,5,FALSE)</f>
        <v>SOKHOM</v>
      </c>
      <c r="G36" s="479" t="str">
        <f>VLOOKUP(B36,All!$B$4:$S$8977,6,FALSE)</f>
        <v>M</v>
      </c>
      <c r="H36" s="486">
        <f>VLOOKUP(B36,All!$B$4:$S$8977,7,FALSE)</f>
        <v>30747</v>
      </c>
      <c r="I36" s="494">
        <f>VLOOKUP(B36,All!$B$4:$S$8977,8,FALSE)</f>
        <v>43833</v>
      </c>
      <c r="J36" s="430" t="s">
        <v>6293</v>
      </c>
      <c r="K36" s="653" t="s">
        <v>6457</v>
      </c>
      <c r="L36" s="654" t="s">
        <v>6314</v>
      </c>
      <c r="M36" s="647">
        <f>VLOOKUP(B36,All!$B$4:$S$8977,12,FALSE)</f>
        <v>192</v>
      </c>
      <c r="N36" s="18">
        <f>VLOOKUP(B36,All!$B$4:$S$8977,13,FALSE)</f>
        <v>3</v>
      </c>
      <c r="O36" s="18">
        <f>VLOOKUP(B36,All!$B$4:$S$8977,14,FALSE)</f>
        <v>0</v>
      </c>
      <c r="P36" s="18">
        <f>VLOOKUP(B36,All!$B$4:$S$8977,15,FALSE)</f>
        <v>200</v>
      </c>
      <c r="Q36" s="509">
        <f>VLOOKUP(B36,All!$B$4:$S$8977,16,FALSE)</f>
        <v>263</v>
      </c>
      <c r="R36" s="18">
        <v>7</v>
      </c>
      <c r="S36" s="18">
        <v>10</v>
      </c>
      <c r="T36" s="550">
        <f>SUM(M36:S36)</f>
        <v>675</v>
      </c>
      <c r="U36" s="683">
        <v>15</v>
      </c>
      <c r="V36" s="472">
        <v>44562</v>
      </c>
      <c r="W36" s="492" t="s">
        <v>6566</v>
      </c>
      <c r="X36" s="347"/>
      <c r="Y36" s="484" t="s">
        <v>6595</v>
      </c>
      <c r="Z36" s="647">
        <f t="shared" si="22"/>
        <v>194</v>
      </c>
      <c r="AA36" s="18">
        <f t="shared" si="23"/>
        <v>3</v>
      </c>
      <c r="AB36" s="476">
        <f t="shared" si="6"/>
        <v>0</v>
      </c>
      <c r="AC36" s="703">
        <f t="shared" si="7"/>
        <v>215</v>
      </c>
      <c r="AD36" s="509">
        <f t="shared" si="24"/>
        <v>263</v>
      </c>
      <c r="AE36" s="18">
        <f t="shared" si="25"/>
        <v>7</v>
      </c>
      <c r="AF36" s="18">
        <f t="shared" si="26"/>
        <v>10</v>
      </c>
      <c r="AG36" s="634">
        <f t="shared" si="27"/>
        <v>692</v>
      </c>
      <c r="AH36" s="409">
        <f t="shared" si="28"/>
        <v>2</v>
      </c>
      <c r="AI36" s="409">
        <f t="shared" si="29"/>
        <v>0</v>
      </c>
      <c r="AJ36" s="409">
        <f t="shared" si="30"/>
        <v>0</v>
      </c>
      <c r="AK36" s="409">
        <f t="shared" si="31"/>
        <v>15</v>
      </c>
      <c r="AL36" s="409">
        <f t="shared" si="32"/>
        <v>0</v>
      </c>
      <c r="AM36" s="409">
        <f t="shared" si="33"/>
        <v>0</v>
      </c>
      <c r="AN36" s="409">
        <f t="shared" si="34"/>
        <v>0</v>
      </c>
      <c r="AO36" s="409">
        <f t="shared" si="35"/>
        <v>17</v>
      </c>
    </row>
    <row r="37" spans="1:41" s="7" customFormat="1" ht="33" customHeight="1">
      <c r="A37" s="606">
        <f t="shared" si="20"/>
        <v>33</v>
      </c>
      <c r="B37" s="516">
        <v>942</v>
      </c>
      <c r="C37" s="484" t="str">
        <f>VLOOKUP(B37,All!$B$4:$S$8977,2,FALSE)</f>
        <v>ណុល</v>
      </c>
      <c r="D37" s="482" t="str">
        <f>VLOOKUP(B37,All!$B$4:$S$89977,3,FALSE)</f>
        <v>ម៉េងហួយ</v>
      </c>
      <c r="E37" s="484" t="str">
        <f>VLOOKUP(B37,All!$B$4:$S$8977,4,FALSE)</f>
        <v>NOL</v>
      </c>
      <c r="F37" s="482" t="str">
        <f>VLOOKUP(B37,All!$B$4:$S$8977,5,FALSE)</f>
        <v>MEGNHOUY</v>
      </c>
      <c r="G37" s="479" t="str">
        <f>VLOOKUP(B37,All!$B$4:$S$8977,6,FALSE)</f>
        <v>M</v>
      </c>
      <c r="H37" s="486">
        <f>VLOOKUP(B37,All!$B$4:$S$8977,7,FALSE)</f>
        <v>35385</v>
      </c>
      <c r="I37" s="494">
        <f>VLOOKUP(B37,All!$B$4:$S$8977,8,FALSE)</f>
        <v>42132</v>
      </c>
      <c r="J37" s="430" t="s">
        <v>6293</v>
      </c>
      <c r="K37" s="653" t="s">
        <v>6445</v>
      </c>
      <c r="L37" s="654" t="s">
        <v>6435</v>
      </c>
      <c r="M37" s="647">
        <f>VLOOKUP(B37,All!$B$4:$S$8977,12,FALSE)</f>
        <v>192</v>
      </c>
      <c r="N37" s="18">
        <f>VLOOKUP(B37,All!$B$4:$S$8977,13,FALSE)</f>
        <v>7</v>
      </c>
      <c r="O37" s="18">
        <f>VLOOKUP(B37,All!$B$4:$S$8977,14,FALSE)</f>
        <v>20</v>
      </c>
      <c r="P37" s="18">
        <f>VLOOKUP(B37,All!$B$4:$S$8977,15,FALSE)</f>
        <v>80</v>
      </c>
      <c r="Q37" s="509">
        <f>VLOOKUP(B37,All!$B$4:$S$8977,16,FALSE)</f>
        <v>50</v>
      </c>
      <c r="R37" s="18">
        <v>7</v>
      </c>
      <c r="S37" s="18">
        <v>10</v>
      </c>
      <c r="T37" s="550">
        <f>SUM(M37:S37)</f>
        <v>366</v>
      </c>
      <c r="U37" s="683">
        <v>15</v>
      </c>
      <c r="V37" s="472">
        <v>44562</v>
      </c>
      <c r="W37" s="492" t="s">
        <v>6566</v>
      </c>
      <c r="X37" s="347"/>
      <c r="Y37" s="484" t="s">
        <v>6595</v>
      </c>
      <c r="Z37" s="647">
        <f t="shared" si="22"/>
        <v>194</v>
      </c>
      <c r="AA37" s="18">
        <f t="shared" si="23"/>
        <v>7</v>
      </c>
      <c r="AB37" s="476">
        <f t="shared" si="6"/>
        <v>20</v>
      </c>
      <c r="AC37" s="703">
        <f t="shared" si="7"/>
        <v>95</v>
      </c>
      <c r="AD37" s="509">
        <f t="shared" si="24"/>
        <v>50</v>
      </c>
      <c r="AE37" s="18">
        <f t="shared" si="25"/>
        <v>7</v>
      </c>
      <c r="AF37" s="18">
        <f t="shared" si="26"/>
        <v>10</v>
      </c>
      <c r="AG37" s="634">
        <f t="shared" si="27"/>
        <v>383</v>
      </c>
      <c r="AH37" s="409">
        <f t="shared" si="28"/>
        <v>2</v>
      </c>
      <c r="AI37" s="409">
        <f t="shared" si="29"/>
        <v>0</v>
      </c>
      <c r="AJ37" s="409">
        <f t="shared" si="30"/>
        <v>0</v>
      </c>
      <c r="AK37" s="409">
        <f t="shared" si="31"/>
        <v>15</v>
      </c>
      <c r="AL37" s="409">
        <f t="shared" si="32"/>
        <v>0</v>
      </c>
      <c r="AM37" s="409">
        <f t="shared" si="33"/>
        <v>0</v>
      </c>
      <c r="AN37" s="409">
        <f t="shared" si="34"/>
        <v>0</v>
      </c>
      <c r="AO37" s="409">
        <f t="shared" si="35"/>
        <v>17</v>
      </c>
    </row>
    <row r="38" spans="1:41" s="7" customFormat="1" ht="33" customHeight="1">
      <c r="A38" s="606">
        <f t="shared" si="20"/>
        <v>34</v>
      </c>
      <c r="B38" s="516">
        <v>4084</v>
      </c>
      <c r="C38" s="484" t="str">
        <f>VLOOKUP(B38,All!$B$4:$S$8977,2,FALSE)</f>
        <v>ប៊ិន</v>
      </c>
      <c r="D38" s="482" t="str">
        <f>VLOOKUP(B38,All!$B$4:$S$89977,3,FALSE)</f>
        <v>ប៊ុនណាត</v>
      </c>
      <c r="E38" s="484" t="str">
        <f>VLOOKUP(B38,All!$B$4:$S$8977,4,FALSE)</f>
        <v>BIN</v>
      </c>
      <c r="F38" s="482" t="str">
        <f>VLOOKUP(B38,All!$B$4:$S$8977,5,FALSE)</f>
        <v>BUNNAT</v>
      </c>
      <c r="G38" s="479" t="str">
        <f>VLOOKUP(B38,All!$B$4:$S$8977,6,FALSE)</f>
        <v>M</v>
      </c>
      <c r="H38" s="486">
        <f>VLOOKUP(B38,All!$B$4:$S$8977,7,FALSE)</f>
        <v>29307</v>
      </c>
      <c r="I38" s="494">
        <f>VLOOKUP(B38,All!$B$4:$S$8977,8,FALSE)</f>
        <v>43966</v>
      </c>
      <c r="J38" s="430" t="s">
        <v>6293</v>
      </c>
      <c r="K38" s="653" t="s">
        <v>6457</v>
      </c>
      <c r="L38" s="654" t="s">
        <v>6441</v>
      </c>
      <c r="M38" s="647">
        <f>VLOOKUP(B38,All!$B$4:$S$8977,12,FALSE)</f>
        <v>192</v>
      </c>
      <c r="N38" s="18">
        <f>VLOOKUP(B38,All!$B$4:$S$8977,13,FALSE)</f>
        <v>2</v>
      </c>
      <c r="O38" s="18">
        <f>VLOOKUP(B38,All!$B$4:$S$8977,14,FALSE)</f>
        <v>20</v>
      </c>
      <c r="P38" s="18">
        <f>VLOOKUP(B38,All!$B$4:$S$8977,15,FALSE)</f>
        <v>50</v>
      </c>
      <c r="Q38" s="509">
        <f>VLOOKUP(B38,All!$B$4:$S$8977,16,FALSE)</f>
        <v>50</v>
      </c>
      <c r="R38" s="18">
        <v>7</v>
      </c>
      <c r="S38" s="18">
        <v>10</v>
      </c>
      <c r="T38" s="550">
        <f t="shared" si="36"/>
        <v>331</v>
      </c>
      <c r="U38" s="683">
        <v>15</v>
      </c>
      <c r="V38" s="472">
        <v>44562</v>
      </c>
      <c r="W38" s="492" t="s">
        <v>6566</v>
      </c>
      <c r="X38" s="347"/>
      <c r="Y38" s="484" t="s">
        <v>6596</v>
      </c>
      <c r="Z38" s="647">
        <f t="shared" si="22"/>
        <v>194</v>
      </c>
      <c r="AA38" s="18">
        <f t="shared" si="23"/>
        <v>2</v>
      </c>
      <c r="AB38" s="476">
        <f t="shared" si="6"/>
        <v>20</v>
      </c>
      <c r="AC38" s="703">
        <f t="shared" si="7"/>
        <v>65</v>
      </c>
      <c r="AD38" s="509">
        <f t="shared" si="24"/>
        <v>50</v>
      </c>
      <c r="AE38" s="18">
        <f t="shared" si="25"/>
        <v>7</v>
      </c>
      <c r="AF38" s="18">
        <f t="shared" si="26"/>
        <v>10</v>
      </c>
      <c r="AG38" s="634">
        <f t="shared" si="27"/>
        <v>348</v>
      </c>
      <c r="AH38" s="409">
        <f t="shared" si="28"/>
        <v>2</v>
      </c>
      <c r="AI38" s="409">
        <f t="shared" si="29"/>
        <v>0</v>
      </c>
      <c r="AJ38" s="409">
        <f t="shared" si="30"/>
        <v>0</v>
      </c>
      <c r="AK38" s="409">
        <f t="shared" si="31"/>
        <v>15</v>
      </c>
      <c r="AL38" s="409">
        <f t="shared" si="32"/>
        <v>0</v>
      </c>
      <c r="AM38" s="409">
        <f t="shared" si="33"/>
        <v>0</v>
      </c>
      <c r="AN38" s="409">
        <f t="shared" si="34"/>
        <v>0</v>
      </c>
      <c r="AO38" s="409">
        <f t="shared" si="35"/>
        <v>17</v>
      </c>
    </row>
    <row r="39" spans="1:41" s="7" customFormat="1" ht="33" customHeight="1">
      <c r="A39" s="606">
        <f t="shared" si="20"/>
        <v>35</v>
      </c>
      <c r="B39" s="516">
        <v>3472</v>
      </c>
      <c r="C39" s="484" t="str">
        <f>VLOOKUP(B39,All!$B$4:$S$8977,2,FALSE)</f>
        <v>យ៉ន</v>
      </c>
      <c r="D39" s="482" t="str">
        <f>VLOOKUP(B39,All!$B$4:$S$89977,3,FALSE)</f>
        <v>ចាន់ធឿន</v>
      </c>
      <c r="E39" s="484" t="str">
        <f>VLOOKUP(B39,All!$B$4:$S$8977,4,FALSE)</f>
        <v>YORN</v>
      </c>
      <c r="F39" s="482" t="str">
        <f>VLOOKUP(B39,All!$B$4:$S$8977,5,FALSE)</f>
        <v>CHANTHOEURN</v>
      </c>
      <c r="G39" s="479" t="str">
        <f>VLOOKUP(B39,All!$B$4:$S$8977,6,FALSE)</f>
        <v>F</v>
      </c>
      <c r="H39" s="486">
        <f>VLOOKUP(B39,All!$B$4:$S$8977,7,FALSE)</f>
        <v>36923</v>
      </c>
      <c r="I39" s="494">
        <f>VLOOKUP(B39,All!$B$4:$S$8977,8,FALSE)</f>
        <v>43810</v>
      </c>
      <c r="J39" s="430" t="s">
        <v>6293</v>
      </c>
      <c r="K39" s="653" t="s">
        <v>6443</v>
      </c>
      <c r="L39" s="654" t="s">
        <v>6567</v>
      </c>
      <c r="M39" s="647">
        <f>VLOOKUP(B39,All!$B$4:$S$8977,12,FALSE)</f>
        <v>192</v>
      </c>
      <c r="N39" s="18">
        <f>VLOOKUP(B39,All!$B$4:$S$8977,13,FALSE)</f>
        <v>3</v>
      </c>
      <c r="O39" s="18">
        <f>VLOOKUP(B39,All!$B$4:$S$8977,14,FALSE)</f>
        <v>0</v>
      </c>
      <c r="P39" s="18">
        <f>VLOOKUP(B39,All!$B$4:$S$8977,15,FALSE)</f>
        <v>10</v>
      </c>
      <c r="Q39" s="509">
        <f>VLOOKUP(B39,All!$B$4:$S$8977,16,FALSE)</f>
        <v>0</v>
      </c>
      <c r="R39" s="18">
        <v>7</v>
      </c>
      <c r="S39" s="18">
        <v>10</v>
      </c>
      <c r="T39" s="550">
        <f t="shared" ref="T39" si="37">SUM(M39:S39)</f>
        <v>222</v>
      </c>
      <c r="U39" s="685">
        <v>5</v>
      </c>
      <c r="V39" s="472">
        <v>44562</v>
      </c>
      <c r="W39" s="492" t="s">
        <v>6566</v>
      </c>
      <c r="X39" s="347"/>
      <c r="Y39" s="484" t="s">
        <v>6597</v>
      </c>
      <c r="Z39" s="647">
        <f t="shared" ref="Z39" si="38">M39+2</f>
        <v>194</v>
      </c>
      <c r="AA39" s="18">
        <f t="shared" ref="AA39" si="39">N39</f>
        <v>3</v>
      </c>
      <c r="AB39" s="476">
        <f t="shared" si="6"/>
        <v>0</v>
      </c>
      <c r="AC39" s="703">
        <f t="shared" si="7"/>
        <v>15</v>
      </c>
      <c r="AD39" s="509">
        <f t="shared" si="24"/>
        <v>0</v>
      </c>
      <c r="AE39" s="18">
        <f t="shared" si="25"/>
        <v>7</v>
      </c>
      <c r="AF39" s="18">
        <f t="shared" si="26"/>
        <v>10</v>
      </c>
      <c r="AG39" s="634">
        <f t="shared" ref="AG39" si="40">SUM(Z39:AF39)</f>
        <v>229</v>
      </c>
      <c r="AH39" s="409">
        <f t="shared" ref="AH39" si="41">Z39-M39</f>
        <v>2</v>
      </c>
      <c r="AI39" s="409">
        <f t="shared" si="29"/>
        <v>0</v>
      </c>
      <c r="AJ39" s="409">
        <f t="shared" si="30"/>
        <v>0</v>
      </c>
      <c r="AK39" s="409">
        <f t="shared" si="31"/>
        <v>5</v>
      </c>
      <c r="AL39" s="409">
        <f t="shared" si="32"/>
        <v>0</v>
      </c>
      <c r="AM39" s="409">
        <f t="shared" si="33"/>
        <v>0</v>
      </c>
      <c r="AN39" s="409">
        <f t="shared" si="34"/>
        <v>0</v>
      </c>
      <c r="AO39" s="409">
        <f t="shared" si="35"/>
        <v>7</v>
      </c>
    </row>
    <row r="40" spans="1:41" s="7" customFormat="1" ht="33" customHeight="1">
      <c r="A40" s="606">
        <f t="shared" si="20"/>
        <v>36</v>
      </c>
      <c r="B40" s="518">
        <v>3076</v>
      </c>
      <c r="C40" s="484" t="str">
        <f>VLOOKUP(B40,All!$B$4:$S$8977,2,FALSE)</f>
        <v>យឹម</v>
      </c>
      <c r="D40" s="482" t="str">
        <f>VLOOKUP(B40,All!$B$4:$S$89977,3,FALSE)</f>
        <v>សារ៉ាត់</v>
      </c>
      <c r="E40" s="484" t="str">
        <f>VLOOKUP(B40,All!$B$4:$S$8977,4,FALSE)</f>
        <v>Yoem</v>
      </c>
      <c r="F40" s="482" t="str">
        <f>VLOOKUP(B40,All!$B$4:$S$8977,5,FALSE)</f>
        <v>Sarath</v>
      </c>
      <c r="G40" s="479" t="str">
        <f>VLOOKUP(B40,All!$B$4:$S$8977,6,FALSE)</f>
        <v>M</v>
      </c>
      <c r="H40" s="486">
        <f>VLOOKUP(B40,All!$B$4:$S$8977,7,FALSE)</f>
        <v>31856</v>
      </c>
      <c r="I40" s="494">
        <f>VLOOKUP(B40,All!$B$4:$S$8977,8,FALSE)</f>
        <v>43680</v>
      </c>
      <c r="J40" s="430" t="s">
        <v>6293</v>
      </c>
      <c r="K40" s="653" t="s">
        <v>6564</v>
      </c>
      <c r="L40" s="654" t="s">
        <v>6096</v>
      </c>
      <c r="M40" s="647">
        <f>VLOOKUP(B40,All!$B$4:$S$8977,12,FALSE)</f>
        <v>192</v>
      </c>
      <c r="N40" s="18">
        <f>VLOOKUP(B40,All!$B$4:$S$8977,13,FALSE)</f>
        <v>3</v>
      </c>
      <c r="O40" s="18">
        <f>VLOOKUP(B40,All!$B$4:$S$8977,14,FALSE)</f>
        <v>0</v>
      </c>
      <c r="P40" s="18">
        <f>VLOOKUP(B40,All!$B$4:$S$8977,15,FALSE)</f>
        <v>10</v>
      </c>
      <c r="Q40" s="509">
        <f>VLOOKUP(B40,All!$B$4:$S$8977,16,FALSE)</f>
        <v>0</v>
      </c>
      <c r="R40" s="18">
        <v>7</v>
      </c>
      <c r="S40" s="18">
        <v>10</v>
      </c>
      <c r="T40" s="550">
        <f t="shared" si="36"/>
        <v>222</v>
      </c>
      <c r="U40" s="685">
        <v>5</v>
      </c>
      <c r="V40" s="472">
        <v>44562</v>
      </c>
      <c r="W40" s="492" t="s">
        <v>6566</v>
      </c>
      <c r="X40" s="347"/>
      <c r="Y40" s="484" t="s">
        <v>6597</v>
      </c>
      <c r="Z40" s="647">
        <f t="shared" si="22"/>
        <v>194</v>
      </c>
      <c r="AA40" s="18">
        <f t="shared" si="23"/>
        <v>3</v>
      </c>
      <c r="AB40" s="476">
        <f t="shared" si="6"/>
        <v>0</v>
      </c>
      <c r="AC40" s="703">
        <f t="shared" si="7"/>
        <v>15</v>
      </c>
      <c r="AD40" s="509">
        <f t="shared" si="23"/>
        <v>0</v>
      </c>
      <c r="AE40" s="18">
        <f t="shared" si="23"/>
        <v>7</v>
      </c>
      <c r="AF40" s="18">
        <f t="shared" si="23"/>
        <v>10</v>
      </c>
      <c r="AG40" s="634">
        <f t="shared" si="27"/>
        <v>229</v>
      </c>
      <c r="AH40" s="409">
        <f t="shared" si="28"/>
        <v>2</v>
      </c>
      <c r="AI40" s="409">
        <f t="shared" si="28"/>
        <v>0</v>
      </c>
      <c r="AJ40" s="409">
        <f t="shared" si="28"/>
        <v>0</v>
      </c>
      <c r="AK40" s="409">
        <f t="shared" si="28"/>
        <v>5</v>
      </c>
      <c r="AL40" s="409">
        <f t="shared" si="28"/>
        <v>0</v>
      </c>
      <c r="AM40" s="409">
        <f t="shared" si="28"/>
        <v>0</v>
      </c>
      <c r="AN40" s="409">
        <f t="shared" si="28"/>
        <v>0</v>
      </c>
      <c r="AO40" s="409">
        <f t="shared" si="28"/>
        <v>7</v>
      </c>
    </row>
    <row r="41" spans="1:41" s="7" customFormat="1" ht="33" customHeight="1">
      <c r="A41" s="606">
        <f t="shared" si="20"/>
        <v>37</v>
      </c>
      <c r="B41" s="516">
        <v>603</v>
      </c>
      <c r="C41" s="484" t="str">
        <f>VLOOKUP(B41,All!$B$4:$S$8977,2,FALSE)</f>
        <v xml:space="preserve">ខេង </v>
      </c>
      <c r="D41" s="482" t="str">
        <f>VLOOKUP(B41,All!$B$4:$S$89977,3,FALSE)</f>
        <v>មួយគៀង</v>
      </c>
      <c r="E41" s="484" t="str">
        <f>VLOOKUP(B41,All!$B$4:$S$8977,4,FALSE)</f>
        <v>KHENG</v>
      </c>
      <c r="F41" s="482" t="str">
        <f>VLOOKUP(B41,All!$B$4:$S$8977,5,FALSE)</f>
        <v>MOUY KEAN</v>
      </c>
      <c r="G41" s="479" t="str">
        <f>VLOOKUP(B41,All!$B$4:$S$8977,6,FALSE)</f>
        <v>F</v>
      </c>
      <c r="H41" s="486">
        <f>VLOOKUP(B41,All!$B$4:$S$8977,7,FALSE)</f>
        <v>35349</v>
      </c>
      <c r="I41" s="494">
        <f>VLOOKUP(B41,All!$B$4:$S$8977,8,FALSE)</f>
        <v>41837</v>
      </c>
      <c r="J41" s="430" t="s">
        <v>6293</v>
      </c>
      <c r="K41" s="653" t="s">
        <v>6295</v>
      </c>
      <c r="L41" s="654" t="s">
        <v>6130</v>
      </c>
      <c r="M41" s="647">
        <f>VLOOKUP(B41,All!$B$4:$S$8977,12,FALSE)</f>
        <v>192</v>
      </c>
      <c r="N41" s="18">
        <f>VLOOKUP(B41,All!$B$4:$S$8977,13,FALSE)</f>
        <v>8</v>
      </c>
      <c r="O41" s="18">
        <f>VLOOKUP(B41,All!$B$4:$S$8977,14,FALSE)</f>
        <v>20</v>
      </c>
      <c r="P41" s="18">
        <f>VLOOKUP(B41,All!$B$4:$S$8977,15,FALSE)</f>
        <v>10</v>
      </c>
      <c r="Q41" s="509">
        <f>VLOOKUP(B41,All!$B$4:$S$8977,16,FALSE)</f>
        <v>0</v>
      </c>
      <c r="R41" s="18">
        <v>7</v>
      </c>
      <c r="S41" s="18">
        <v>10</v>
      </c>
      <c r="T41" s="550">
        <f t="shared" si="36"/>
        <v>247</v>
      </c>
      <c r="U41" s="685">
        <v>5</v>
      </c>
      <c r="V41" s="472">
        <v>44562</v>
      </c>
      <c r="W41" s="492" t="s">
        <v>6566</v>
      </c>
      <c r="X41" s="347"/>
      <c r="Y41" s="484" t="s">
        <v>6597</v>
      </c>
      <c r="Z41" s="647">
        <f t="shared" si="22"/>
        <v>194</v>
      </c>
      <c r="AA41" s="18">
        <f t="shared" ref="AA41:AF56" si="42">N41</f>
        <v>8</v>
      </c>
      <c r="AB41" s="476">
        <f t="shared" si="6"/>
        <v>20</v>
      </c>
      <c r="AC41" s="703">
        <f t="shared" si="7"/>
        <v>15</v>
      </c>
      <c r="AD41" s="509">
        <f t="shared" si="42"/>
        <v>0</v>
      </c>
      <c r="AE41" s="18">
        <f t="shared" si="42"/>
        <v>7</v>
      </c>
      <c r="AF41" s="18">
        <f t="shared" si="42"/>
        <v>10</v>
      </c>
      <c r="AG41" s="634">
        <f t="shared" si="27"/>
        <v>254</v>
      </c>
      <c r="AH41" s="409">
        <f t="shared" ref="AH41:AO56" si="43">Z41-M41</f>
        <v>2</v>
      </c>
      <c r="AI41" s="409">
        <f t="shared" si="43"/>
        <v>0</v>
      </c>
      <c r="AJ41" s="409">
        <f t="shared" si="43"/>
        <v>0</v>
      </c>
      <c r="AK41" s="409">
        <f t="shared" si="43"/>
        <v>5</v>
      </c>
      <c r="AL41" s="409">
        <f t="shared" si="43"/>
        <v>0</v>
      </c>
      <c r="AM41" s="409">
        <f t="shared" si="43"/>
        <v>0</v>
      </c>
      <c r="AN41" s="409">
        <f t="shared" si="43"/>
        <v>0</v>
      </c>
      <c r="AO41" s="409">
        <f t="shared" si="43"/>
        <v>7</v>
      </c>
    </row>
    <row r="42" spans="1:41" s="7" customFormat="1" ht="33" customHeight="1">
      <c r="A42" s="606">
        <f t="shared" si="20"/>
        <v>38</v>
      </c>
      <c r="B42" s="516">
        <v>5008</v>
      </c>
      <c r="C42" s="484" t="str">
        <f>VLOOKUP(B42,All!$B$4:$S$8977,2,FALSE)</f>
        <v>រាំង</v>
      </c>
      <c r="D42" s="482" t="str">
        <f>VLOOKUP(B42,All!$B$4:$S$89977,3,FALSE)</f>
        <v>ទៀន</v>
      </c>
      <c r="E42" s="484" t="str">
        <f>VLOOKUP(B42,All!$B$4:$S$8977,4,FALSE)</f>
        <v>RANG</v>
      </c>
      <c r="F42" s="482" t="str">
        <f>VLOOKUP(B42,All!$B$4:$S$8977,5,FALSE)</f>
        <v>TIEN</v>
      </c>
      <c r="G42" s="479" t="str">
        <f>VLOOKUP(B42,All!$B$4:$S$8977,6,FALSE)</f>
        <v>F</v>
      </c>
      <c r="H42" s="486">
        <f>VLOOKUP(B42,All!$B$4:$S$8977,7,FALSE)</f>
        <v>34852</v>
      </c>
      <c r="I42" s="494">
        <f>VLOOKUP(B42,All!$B$4:$S$8977,8,FALSE)</f>
        <v>44139</v>
      </c>
      <c r="J42" s="430" t="s">
        <v>6293</v>
      </c>
      <c r="K42" s="653" t="s">
        <v>6455</v>
      </c>
      <c r="L42" s="654" t="s">
        <v>6136</v>
      </c>
      <c r="M42" s="647">
        <f>VLOOKUP(B42,All!$B$4:$S$8977,12,FALSE)</f>
        <v>192</v>
      </c>
      <c r="N42" s="18">
        <v>0</v>
      </c>
      <c r="O42" s="18">
        <f>VLOOKUP(B42,All!$B$4:$S$8977,14,FALSE)</f>
        <v>0</v>
      </c>
      <c r="P42" s="18">
        <f>VLOOKUP(B42,All!$B$4:$S$8977,15,FALSE)</f>
        <v>10</v>
      </c>
      <c r="Q42" s="509">
        <f>VLOOKUP(B42,All!$B$4:$S$8977,16,FALSE)</f>
        <v>0</v>
      </c>
      <c r="R42" s="18">
        <v>7</v>
      </c>
      <c r="S42" s="18">
        <v>10</v>
      </c>
      <c r="T42" s="550">
        <f t="shared" si="36"/>
        <v>219</v>
      </c>
      <c r="U42" s="685">
        <v>5</v>
      </c>
      <c r="V42" s="472">
        <v>44562</v>
      </c>
      <c r="W42" s="492" t="s">
        <v>6566</v>
      </c>
      <c r="X42" s="347"/>
      <c r="Y42" s="484" t="s">
        <v>6597</v>
      </c>
      <c r="Z42" s="647">
        <f t="shared" si="22"/>
        <v>194</v>
      </c>
      <c r="AA42" s="18">
        <f t="shared" si="42"/>
        <v>0</v>
      </c>
      <c r="AB42" s="476">
        <f t="shared" si="6"/>
        <v>0</v>
      </c>
      <c r="AC42" s="703">
        <f t="shared" si="7"/>
        <v>15</v>
      </c>
      <c r="AD42" s="509">
        <f t="shared" si="42"/>
        <v>0</v>
      </c>
      <c r="AE42" s="18">
        <f t="shared" si="42"/>
        <v>7</v>
      </c>
      <c r="AF42" s="18">
        <f t="shared" si="42"/>
        <v>10</v>
      </c>
      <c r="AG42" s="634">
        <f t="shared" si="27"/>
        <v>226</v>
      </c>
      <c r="AH42" s="409">
        <f t="shared" si="43"/>
        <v>2</v>
      </c>
      <c r="AI42" s="409">
        <f t="shared" si="43"/>
        <v>0</v>
      </c>
      <c r="AJ42" s="409">
        <f t="shared" si="43"/>
        <v>0</v>
      </c>
      <c r="AK42" s="409">
        <f t="shared" si="43"/>
        <v>5</v>
      </c>
      <c r="AL42" s="409">
        <f t="shared" si="43"/>
        <v>0</v>
      </c>
      <c r="AM42" s="409">
        <f t="shared" si="43"/>
        <v>0</v>
      </c>
      <c r="AN42" s="409">
        <f t="shared" si="43"/>
        <v>0</v>
      </c>
      <c r="AO42" s="409">
        <f t="shared" si="43"/>
        <v>7</v>
      </c>
    </row>
    <row r="43" spans="1:41" s="7" customFormat="1" ht="33" customHeight="1">
      <c r="A43" s="606">
        <f t="shared" si="20"/>
        <v>39</v>
      </c>
      <c r="B43" s="516">
        <v>3964</v>
      </c>
      <c r="C43" s="484" t="str">
        <f>VLOOKUP(B43,All!$B$4:$S$8977,2,FALSE)</f>
        <v>ហ៊ិន</v>
      </c>
      <c r="D43" s="482" t="str">
        <f>VLOOKUP(B43,All!$B$4:$S$89977,3,FALSE)</f>
        <v>រិទ្ធ</v>
      </c>
      <c r="E43" s="484" t="str">
        <f>VLOOKUP(B43,All!$B$4:$S$8977,4,FALSE)</f>
        <v>HIN</v>
      </c>
      <c r="F43" s="482" t="str">
        <f>VLOOKUP(B43,All!$B$4:$S$8977,5,FALSE)</f>
        <v>RITH</v>
      </c>
      <c r="G43" s="479" t="str">
        <f>VLOOKUP(B43,All!$B$4:$S$8977,6,FALSE)</f>
        <v>F</v>
      </c>
      <c r="H43" s="486">
        <f>VLOOKUP(B43,All!$B$4:$S$8977,7,FALSE)</f>
        <v>34091</v>
      </c>
      <c r="I43" s="494">
        <f>VLOOKUP(B43,All!$B$4:$S$8977,8,FALSE)</f>
        <v>43821</v>
      </c>
      <c r="J43" s="430" t="s">
        <v>6293</v>
      </c>
      <c r="K43" s="653" t="s">
        <v>6456</v>
      </c>
      <c r="L43" s="654" t="s">
        <v>6132</v>
      </c>
      <c r="M43" s="647">
        <f>VLOOKUP(B43,All!$B$4:$S$8977,12,FALSE)</f>
        <v>192</v>
      </c>
      <c r="N43" s="18">
        <f>VLOOKUP(B43,All!$B$4:$S$8977,13,FALSE)</f>
        <v>3</v>
      </c>
      <c r="O43" s="18">
        <f>VLOOKUP(B43,All!$B$4:$S$8977,14,FALSE)</f>
        <v>0</v>
      </c>
      <c r="P43" s="18">
        <f>VLOOKUP(B43,All!$B$4:$S$8977,15,FALSE)</f>
        <v>10</v>
      </c>
      <c r="Q43" s="509">
        <f>VLOOKUP(B43,All!$B$4:$S$8977,16,FALSE)</f>
        <v>0</v>
      </c>
      <c r="R43" s="18">
        <v>7</v>
      </c>
      <c r="S43" s="18">
        <v>10</v>
      </c>
      <c r="T43" s="550">
        <f t="shared" si="36"/>
        <v>222</v>
      </c>
      <c r="U43" s="685">
        <v>5</v>
      </c>
      <c r="V43" s="472">
        <v>44562</v>
      </c>
      <c r="W43" s="492" t="s">
        <v>6566</v>
      </c>
      <c r="X43" s="347"/>
      <c r="Y43" s="484" t="s">
        <v>6597</v>
      </c>
      <c r="Z43" s="647">
        <f t="shared" si="22"/>
        <v>194</v>
      </c>
      <c r="AA43" s="18">
        <f t="shared" si="42"/>
        <v>3</v>
      </c>
      <c r="AB43" s="476">
        <f t="shared" si="6"/>
        <v>0</v>
      </c>
      <c r="AC43" s="703">
        <f t="shared" si="7"/>
        <v>15</v>
      </c>
      <c r="AD43" s="509">
        <f t="shared" si="42"/>
        <v>0</v>
      </c>
      <c r="AE43" s="18">
        <f t="shared" si="42"/>
        <v>7</v>
      </c>
      <c r="AF43" s="18">
        <f t="shared" si="42"/>
        <v>10</v>
      </c>
      <c r="AG43" s="634">
        <f t="shared" si="27"/>
        <v>229</v>
      </c>
      <c r="AH43" s="409">
        <f t="shared" si="43"/>
        <v>2</v>
      </c>
      <c r="AI43" s="409">
        <f t="shared" si="43"/>
        <v>0</v>
      </c>
      <c r="AJ43" s="409">
        <f t="shared" si="43"/>
        <v>0</v>
      </c>
      <c r="AK43" s="409">
        <f t="shared" si="43"/>
        <v>5</v>
      </c>
      <c r="AL43" s="409">
        <f t="shared" si="43"/>
        <v>0</v>
      </c>
      <c r="AM43" s="409">
        <f t="shared" si="43"/>
        <v>0</v>
      </c>
      <c r="AN43" s="409">
        <f t="shared" si="43"/>
        <v>0</v>
      </c>
      <c r="AO43" s="409">
        <f t="shared" si="43"/>
        <v>7</v>
      </c>
    </row>
    <row r="44" spans="1:41" s="7" customFormat="1" ht="33" customHeight="1">
      <c r="A44" s="606">
        <f t="shared" si="20"/>
        <v>40</v>
      </c>
      <c r="B44" s="516">
        <v>2940</v>
      </c>
      <c r="C44" s="484" t="str">
        <f>VLOOKUP(B44,All!$B$4:$S$8977,2,FALSE)</f>
        <v>ទ្រី</v>
      </c>
      <c r="D44" s="482" t="str">
        <f>VLOOKUP(B44,All!$B$4:$S$89977,3,FALSE)</f>
        <v>ស៊ាកម៉េង</v>
      </c>
      <c r="E44" s="484" t="str">
        <f>VLOOKUP(B44,All!$B$4:$S$8977,4,FALSE)</f>
        <v>Try</v>
      </c>
      <c r="F44" s="482" t="str">
        <f>VLOOKUP(B44,All!$B$4:$S$8977,5,FALSE)</f>
        <v>SeakMeng</v>
      </c>
      <c r="G44" s="479" t="str">
        <f>VLOOKUP(B44,All!$B$4:$S$8977,6,FALSE)</f>
        <v>F</v>
      </c>
      <c r="H44" s="486">
        <f>VLOOKUP(B44,All!$B$4:$S$8977,7,FALSE)</f>
        <v>35251</v>
      </c>
      <c r="I44" s="494">
        <f>VLOOKUP(B44,All!$B$4:$S$8977,8,FALSE)</f>
        <v>43596</v>
      </c>
      <c r="J44" s="430" t="s">
        <v>6293</v>
      </c>
      <c r="K44" s="653" t="s">
        <v>6453</v>
      </c>
      <c r="L44" s="654" t="s">
        <v>6103</v>
      </c>
      <c r="M44" s="647">
        <f>VLOOKUP(B44,All!$B$4:$S$8977,12,FALSE)</f>
        <v>192</v>
      </c>
      <c r="N44" s="18">
        <f>VLOOKUP(B44,All!$B$4:$S$8977,13,FALSE)</f>
        <v>3</v>
      </c>
      <c r="O44" s="18">
        <f>VLOOKUP(B44,All!$B$4:$S$8977,14,FALSE)</f>
        <v>0</v>
      </c>
      <c r="P44" s="18">
        <f>VLOOKUP(B44,All!$B$4:$S$8977,15,FALSE)</f>
        <v>10</v>
      </c>
      <c r="Q44" s="509">
        <f>VLOOKUP(B44,All!$B$4:$S$8977,16,FALSE)</f>
        <v>0</v>
      </c>
      <c r="R44" s="18">
        <v>7</v>
      </c>
      <c r="S44" s="18">
        <v>10</v>
      </c>
      <c r="T44" s="550">
        <f t="shared" si="36"/>
        <v>222</v>
      </c>
      <c r="U44" s="685">
        <v>5</v>
      </c>
      <c r="V44" s="472">
        <v>44562</v>
      </c>
      <c r="W44" s="492" t="s">
        <v>6566</v>
      </c>
      <c r="X44" s="347"/>
      <c r="Y44" s="484" t="s">
        <v>6597</v>
      </c>
      <c r="Z44" s="647">
        <f t="shared" si="22"/>
        <v>194</v>
      </c>
      <c r="AA44" s="18">
        <f t="shared" si="42"/>
        <v>3</v>
      </c>
      <c r="AB44" s="476">
        <f t="shared" si="6"/>
        <v>0</v>
      </c>
      <c r="AC44" s="703">
        <f t="shared" si="7"/>
        <v>15</v>
      </c>
      <c r="AD44" s="509">
        <f t="shared" si="42"/>
        <v>0</v>
      </c>
      <c r="AE44" s="18">
        <f t="shared" si="42"/>
        <v>7</v>
      </c>
      <c r="AF44" s="18">
        <f t="shared" si="42"/>
        <v>10</v>
      </c>
      <c r="AG44" s="634">
        <f t="shared" si="27"/>
        <v>229</v>
      </c>
      <c r="AH44" s="409">
        <f t="shared" si="43"/>
        <v>2</v>
      </c>
      <c r="AI44" s="409">
        <f t="shared" si="43"/>
        <v>0</v>
      </c>
      <c r="AJ44" s="409">
        <f t="shared" si="43"/>
        <v>0</v>
      </c>
      <c r="AK44" s="409">
        <f t="shared" si="43"/>
        <v>5</v>
      </c>
      <c r="AL44" s="409">
        <f t="shared" si="43"/>
        <v>0</v>
      </c>
      <c r="AM44" s="409">
        <f t="shared" si="43"/>
        <v>0</v>
      </c>
      <c r="AN44" s="409">
        <f t="shared" si="43"/>
        <v>0</v>
      </c>
      <c r="AO44" s="409">
        <f t="shared" si="43"/>
        <v>7</v>
      </c>
    </row>
    <row r="45" spans="1:41" s="7" customFormat="1" ht="33" customHeight="1">
      <c r="A45" s="606">
        <f t="shared" si="20"/>
        <v>41</v>
      </c>
      <c r="B45" s="516">
        <v>2043</v>
      </c>
      <c r="C45" s="484" t="str">
        <f>VLOOKUP(B45,All!$B$4:$S$8977,2,FALSE)</f>
        <v>ចុង</v>
      </c>
      <c r="D45" s="482" t="str">
        <f>VLOOKUP(B45,All!$B$4:$S$89977,3,FALSE)</f>
        <v>សុខជា</v>
      </c>
      <c r="E45" s="484" t="str">
        <f>VLOOKUP(B45,All!$B$4:$S$8977,4,FALSE)</f>
        <v>CHONG</v>
      </c>
      <c r="F45" s="482" t="str">
        <f>VLOOKUP(B45,All!$B$4:$S$8977,5,FALSE)</f>
        <v>SOCHEA</v>
      </c>
      <c r="G45" s="479" t="str">
        <f>VLOOKUP(B45,All!$B$4:$S$8977,6,FALSE)</f>
        <v>F</v>
      </c>
      <c r="H45" s="486">
        <f>VLOOKUP(B45,All!$B$4:$S$8977,7,FALSE)</f>
        <v>34037</v>
      </c>
      <c r="I45" s="494">
        <f>VLOOKUP(B45,All!$B$4:$S$8977,8,FALSE)</f>
        <v>42920</v>
      </c>
      <c r="J45" s="430" t="s">
        <v>6293</v>
      </c>
      <c r="K45" s="653" t="s">
        <v>6451</v>
      </c>
      <c r="L45" s="654" t="s">
        <v>6100</v>
      </c>
      <c r="M45" s="647">
        <f>VLOOKUP(B45,All!$B$4:$S$8977,12,FALSE)</f>
        <v>192</v>
      </c>
      <c r="N45" s="18">
        <f>VLOOKUP(B45,All!$B$4:$S$8977,13,FALSE)</f>
        <v>5</v>
      </c>
      <c r="O45" s="18">
        <f>VLOOKUP(B45,All!$B$4:$S$8977,14,FALSE)</f>
        <v>20</v>
      </c>
      <c r="P45" s="18">
        <f>VLOOKUP(B45,All!$B$4:$S$8977,15,FALSE)</f>
        <v>10</v>
      </c>
      <c r="Q45" s="509">
        <f>VLOOKUP(B45,All!$B$4:$S$8977,16,FALSE)</f>
        <v>0</v>
      </c>
      <c r="R45" s="18">
        <v>7</v>
      </c>
      <c r="S45" s="18">
        <v>10</v>
      </c>
      <c r="T45" s="550">
        <f t="shared" si="36"/>
        <v>244</v>
      </c>
      <c r="U45" s="685">
        <v>5</v>
      </c>
      <c r="V45" s="472">
        <v>44562</v>
      </c>
      <c r="W45" s="492" t="s">
        <v>6566</v>
      </c>
      <c r="X45" s="347"/>
      <c r="Y45" s="484" t="s">
        <v>6597</v>
      </c>
      <c r="Z45" s="647">
        <f t="shared" si="22"/>
        <v>194</v>
      </c>
      <c r="AA45" s="18">
        <f t="shared" si="42"/>
        <v>5</v>
      </c>
      <c r="AB45" s="476">
        <f t="shared" si="6"/>
        <v>20</v>
      </c>
      <c r="AC45" s="703">
        <f t="shared" si="7"/>
        <v>15</v>
      </c>
      <c r="AD45" s="509">
        <f t="shared" si="42"/>
        <v>0</v>
      </c>
      <c r="AE45" s="18">
        <f t="shared" si="42"/>
        <v>7</v>
      </c>
      <c r="AF45" s="18">
        <f t="shared" si="42"/>
        <v>10</v>
      </c>
      <c r="AG45" s="634">
        <f t="shared" si="27"/>
        <v>251</v>
      </c>
      <c r="AH45" s="409">
        <f t="shared" si="43"/>
        <v>2</v>
      </c>
      <c r="AI45" s="409">
        <f t="shared" si="43"/>
        <v>0</v>
      </c>
      <c r="AJ45" s="409">
        <f t="shared" si="43"/>
        <v>0</v>
      </c>
      <c r="AK45" s="409">
        <f t="shared" si="43"/>
        <v>5</v>
      </c>
      <c r="AL45" s="409">
        <f t="shared" si="43"/>
        <v>0</v>
      </c>
      <c r="AM45" s="409">
        <f t="shared" si="43"/>
        <v>0</v>
      </c>
      <c r="AN45" s="409">
        <f t="shared" si="43"/>
        <v>0</v>
      </c>
      <c r="AO45" s="409">
        <f t="shared" si="43"/>
        <v>7</v>
      </c>
    </row>
    <row r="46" spans="1:41" s="7" customFormat="1" ht="33" customHeight="1">
      <c r="A46" s="606">
        <f t="shared" si="20"/>
        <v>42</v>
      </c>
      <c r="B46" s="517">
        <v>3263</v>
      </c>
      <c r="C46" s="484" t="str">
        <f>VLOOKUP(B46,All!$B$4:$S$8977,2,FALSE)</f>
        <v>ឃូ</v>
      </c>
      <c r="D46" s="482" t="str">
        <f>VLOOKUP(B46,All!$B$4:$S$89977,3,FALSE)</f>
        <v>ចន្ទ័តុលា</v>
      </c>
      <c r="E46" s="484" t="str">
        <f>VLOOKUP(B46,All!$B$4:$S$8977,4,FALSE)</f>
        <v>KHOU</v>
      </c>
      <c r="F46" s="482" t="str">
        <f>VLOOKUP(B46,All!$B$4:$S$8977,5,FALSE)</f>
        <v>CHANTOLA</v>
      </c>
      <c r="G46" s="479" t="str">
        <f>VLOOKUP(B46,All!$B$4:$S$8977,6,FALSE)</f>
        <v>F</v>
      </c>
      <c r="H46" s="486">
        <f>VLOOKUP(B46,All!$B$4:$S$8977,7,FALSE)</f>
        <v>32800</v>
      </c>
      <c r="I46" s="494">
        <f>VLOOKUP(B46,All!$B$4:$S$8977,8,FALSE)</f>
        <v>43746</v>
      </c>
      <c r="J46" s="430" t="s">
        <v>6293</v>
      </c>
      <c r="K46" s="653" t="s">
        <v>6083</v>
      </c>
      <c r="L46" s="654" t="s">
        <v>6144</v>
      </c>
      <c r="M46" s="647">
        <f>VLOOKUP(B46,All!$B$4:$S$8977,12,FALSE)</f>
        <v>192</v>
      </c>
      <c r="N46" s="18">
        <f>VLOOKUP(B46,All!$B$4:$S$8977,13,FALSE)</f>
        <v>3</v>
      </c>
      <c r="O46" s="18">
        <f>VLOOKUP(B46,All!$B$4:$S$8977,14,FALSE)</f>
        <v>0</v>
      </c>
      <c r="P46" s="18">
        <f>VLOOKUP(B46,All!$B$4:$S$8977,15,FALSE)</f>
        <v>10</v>
      </c>
      <c r="Q46" s="509">
        <f>VLOOKUP(B46,All!$B$4:$S$8977,16,FALSE)</f>
        <v>0</v>
      </c>
      <c r="R46" s="18">
        <v>7</v>
      </c>
      <c r="S46" s="18">
        <v>10</v>
      </c>
      <c r="T46" s="550">
        <f t="shared" si="36"/>
        <v>222</v>
      </c>
      <c r="U46" s="685">
        <v>5</v>
      </c>
      <c r="V46" s="472">
        <v>44562</v>
      </c>
      <c r="W46" s="492" t="s">
        <v>6566</v>
      </c>
      <c r="X46" s="347"/>
      <c r="Y46" s="484" t="s">
        <v>6597</v>
      </c>
      <c r="Z46" s="647">
        <f t="shared" si="22"/>
        <v>194</v>
      </c>
      <c r="AA46" s="18">
        <f t="shared" si="42"/>
        <v>3</v>
      </c>
      <c r="AB46" s="476">
        <f t="shared" si="6"/>
        <v>0</v>
      </c>
      <c r="AC46" s="703">
        <f t="shared" si="7"/>
        <v>15</v>
      </c>
      <c r="AD46" s="509">
        <f t="shared" si="42"/>
        <v>0</v>
      </c>
      <c r="AE46" s="18">
        <f t="shared" si="42"/>
        <v>7</v>
      </c>
      <c r="AF46" s="18">
        <f t="shared" si="42"/>
        <v>10</v>
      </c>
      <c r="AG46" s="634">
        <f t="shared" si="27"/>
        <v>229</v>
      </c>
      <c r="AH46" s="409">
        <f t="shared" si="43"/>
        <v>2</v>
      </c>
      <c r="AI46" s="409">
        <f t="shared" si="43"/>
        <v>0</v>
      </c>
      <c r="AJ46" s="409">
        <f t="shared" si="43"/>
        <v>0</v>
      </c>
      <c r="AK46" s="409">
        <f t="shared" si="43"/>
        <v>5</v>
      </c>
      <c r="AL46" s="409">
        <f t="shared" si="43"/>
        <v>0</v>
      </c>
      <c r="AM46" s="409">
        <f t="shared" si="43"/>
        <v>0</v>
      </c>
      <c r="AN46" s="409">
        <f t="shared" si="43"/>
        <v>0</v>
      </c>
      <c r="AO46" s="409">
        <f t="shared" si="43"/>
        <v>7</v>
      </c>
    </row>
    <row r="47" spans="1:41" s="7" customFormat="1" ht="33" customHeight="1">
      <c r="A47" s="606">
        <f t="shared" si="20"/>
        <v>43</v>
      </c>
      <c r="B47" s="516">
        <v>3486</v>
      </c>
      <c r="C47" s="484" t="str">
        <f>VLOOKUP(B47,All!$B$4:$S$8977,2,FALSE)</f>
        <v>សេក</v>
      </c>
      <c r="D47" s="482" t="str">
        <f>VLOOKUP(B47,All!$B$4:$S$89977,3,FALSE)</f>
        <v>សំភ័ស្ស</v>
      </c>
      <c r="E47" s="484" t="str">
        <f>VLOOKUP(B47,All!$B$4:$S$8977,4,FALSE)</f>
        <v>SEK</v>
      </c>
      <c r="F47" s="482" t="str">
        <f>VLOOKUP(B47,All!$B$4:$S$8977,5,FALSE)</f>
        <v>SAMPHOIS</v>
      </c>
      <c r="G47" s="479" t="str">
        <f>VLOOKUP(B47,All!$B$4:$S$8977,6,FALSE)</f>
        <v>F</v>
      </c>
      <c r="H47" s="486">
        <f>VLOOKUP(B47,All!$B$4:$S$8977,7,FALSE)</f>
        <v>35662</v>
      </c>
      <c r="I47" s="494">
        <f>VLOOKUP(B47,All!$B$4:$S$8977,8,FALSE)</f>
        <v>43786</v>
      </c>
      <c r="J47" s="430" t="s">
        <v>6293</v>
      </c>
      <c r="K47" s="653" t="s">
        <v>6442</v>
      </c>
      <c r="L47" s="654" t="s">
        <v>6086</v>
      </c>
      <c r="M47" s="647">
        <f>VLOOKUP(B47,All!$B$4:$S$8977,12,FALSE)</f>
        <v>192</v>
      </c>
      <c r="N47" s="18">
        <f>VLOOKUP(B47,All!$B$4:$S$8977,13,FALSE)</f>
        <v>3</v>
      </c>
      <c r="O47" s="18">
        <f>VLOOKUP(B47,All!$B$4:$S$8977,14,FALSE)</f>
        <v>0</v>
      </c>
      <c r="P47" s="18">
        <f>VLOOKUP(B47,All!$B$4:$S$8977,15,FALSE)</f>
        <v>10</v>
      </c>
      <c r="Q47" s="509">
        <f>VLOOKUP(B47,All!$B$4:$S$8977,16,FALSE)</f>
        <v>0</v>
      </c>
      <c r="R47" s="18">
        <v>7</v>
      </c>
      <c r="S47" s="18">
        <v>10</v>
      </c>
      <c r="T47" s="550">
        <f t="shared" si="36"/>
        <v>222</v>
      </c>
      <c r="U47" s="685">
        <v>5</v>
      </c>
      <c r="V47" s="472">
        <v>44562</v>
      </c>
      <c r="W47" s="492" t="s">
        <v>6566</v>
      </c>
      <c r="X47" s="410"/>
      <c r="Y47" s="664" t="s">
        <v>6597</v>
      </c>
      <c r="Z47" s="647">
        <f t="shared" si="22"/>
        <v>194</v>
      </c>
      <c r="AA47" s="18">
        <f t="shared" si="42"/>
        <v>3</v>
      </c>
      <c r="AB47" s="476">
        <f t="shared" si="6"/>
        <v>0</v>
      </c>
      <c r="AC47" s="703">
        <f t="shared" si="7"/>
        <v>15</v>
      </c>
      <c r="AD47" s="509">
        <f t="shared" si="42"/>
        <v>0</v>
      </c>
      <c r="AE47" s="18">
        <f t="shared" si="42"/>
        <v>7</v>
      </c>
      <c r="AF47" s="18">
        <f t="shared" si="42"/>
        <v>10</v>
      </c>
      <c r="AG47" s="634">
        <f t="shared" si="27"/>
        <v>229</v>
      </c>
      <c r="AH47" s="409">
        <f t="shared" si="43"/>
        <v>2</v>
      </c>
      <c r="AI47" s="409">
        <f t="shared" si="43"/>
        <v>0</v>
      </c>
      <c r="AJ47" s="409">
        <f t="shared" si="43"/>
        <v>0</v>
      </c>
      <c r="AK47" s="409">
        <f t="shared" si="43"/>
        <v>5</v>
      </c>
      <c r="AL47" s="409">
        <f t="shared" si="43"/>
        <v>0</v>
      </c>
      <c r="AM47" s="409">
        <f t="shared" si="43"/>
        <v>0</v>
      </c>
      <c r="AN47" s="409">
        <f t="shared" si="43"/>
        <v>0</v>
      </c>
      <c r="AO47" s="409">
        <f t="shared" si="43"/>
        <v>7</v>
      </c>
    </row>
    <row r="48" spans="1:41" s="7" customFormat="1" ht="33" customHeight="1">
      <c r="A48" s="606">
        <f t="shared" si="20"/>
        <v>44</v>
      </c>
      <c r="B48" s="516">
        <v>1711</v>
      </c>
      <c r="C48" s="484" t="str">
        <f>VLOOKUP(B48,All!$B$4:$S$8977,2,FALSE)</f>
        <v>អ៊ុង</v>
      </c>
      <c r="D48" s="482" t="str">
        <f>VLOOKUP(B48,All!$B$4:$S$89977,3,FALSE)</f>
        <v>ភេទ</v>
      </c>
      <c r="E48" s="484" t="str">
        <f>VLOOKUP(B48,All!$B$4:$S$8977,4,FALSE)</f>
        <v>UNG</v>
      </c>
      <c r="F48" s="482" t="str">
        <f>VLOOKUP(B48,All!$B$4:$S$8977,5,FALSE)</f>
        <v>PHET</v>
      </c>
      <c r="G48" s="479" t="str">
        <f>VLOOKUP(B48,All!$B$4:$S$8977,6,FALSE)</f>
        <v>F</v>
      </c>
      <c r="H48" s="486">
        <f>VLOOKUP(B48,All!$B$4:$S$8977,7,FALSE)</f>
        <v>31446</v>
      </c>
      <c r="I48" s="494">
        <f>VLOOKUP(B48,All!$B$4:$S$8977,8,FALSE)</f>
        <v>42665</v>
      </c>
      <c r="J48" s="430" t="s">
        <v>6293</v>
      </c>
      <c r="K48" s="653" t="s">
        <v>6448</v>
      </c>
      <c r="L48" s="654" t="s">
        <v>6092</v>
      </c>
      <c r="M48" s="647">
        <f>VLOOKUP(B48,All!$B$4:$S$8977,12,FALSE)</f>
        <v>192</v>
      </c>
      <c r="N48" s="18">
        <f>VLOOKUP(B48,All!$B$4:$S$8977,13,FALSE)</f>
        <v>6</v>
      </c>
      <c r="O48" s="18">
        <f>VLOOKUP(B48,All!$B$4:$S$8977,14,FALSE)</f>
        <v>20</v>
      </c>
      <c r="P48" s="18">
        <f>VLOOKUP(B48,All!$B$4:$S$8977,15,FALSE)</f>
        <v>15</v>
      </c>
      <c r="Q48" s="509">
        <f>VLOOKUP(B48,All!$B$4:$S$8977,16,FALSE)</f>
        <v>0</v>
      </c>
      <c r="R48" s="18">
        <v>7</v>
      </c>
      <c r="S48" s="18">
        <v>10</v>
      </c>
      <c r="T48" s="550">
        <f t="shared" si="36"/>
        <v>250</v>
      </c>
      <c r="U48" s="685">
        <v>5</v>
      </c>
      <c r="V48" s="472">
        <v>44562</v>
      </c>
      <c r="W48" s="492" t="s">
        <v>6566</v>
      </c>
      <c r="X48" s="347"/>
      <c r="Y48" s="484" t="s">
        <v>6597</v>
      </c>
      <c r="Z48" s="647">
        <f t="shared" si="22"/>
        <v>194</v>
      </c>
      <c r="AA48" s="18">
        <f t="shared" si="42"/>
        <v>6</v>
      </c>
      <c r="AB48" s="476">
        <f t="shared" si="6"/>
        <v>20</v>
      </c>
      <c r="AC48" s="703">
        <f t="shared" si="7"/>
        <v>20</v>
      </c>
      <c r="AD48" s="509">
        <f t="shared" si="42"/>
        <v>0</v>
      </c>
      <c r="AE48" s="18">
        <f t="shared" si="42"/>
        <v>7</v>
      </c>
      <c r="AF48" s="18">
        <f t="shared" si="42"/>
        <v>10</v>
      </c>
      <c r="AG48" s="634">
        <f t="shared" si="27"/>
        <v>257</v>
      </c>
      <c r="AH48" s="409">
        <f t="shared" si="43"/>
        <v>2</v>
      </c>
      <c r="AI48" s="409">
        <f t="shared" si="43"/>
        <v>0</v>
      </c>
      <c r="AJ48" s="409">
        <f t="shared" si="43"/>
        <v>0</v>
      </c>
      <c r="AK48" s="409">
        <f t="shared" si="43"/>
        <v>5</v>
      </c>
      <c r="AL48" s="409">
        <f t="shared" si="43"/>
        <v>0</v>
      </c>
      <c r="AM48" s="409">
        <f t="shared" si="43"/>
        <v>0</v>
      </c>
      <c r="AN48" s="409">
        <f t="shared" si="43"/>
        <v>0</v>
      </c>
      <c r="AO48" s="409">
        <f t="shared" si="43"/>
        <v>7</v>
      </c>
    </row>
    <row r="49" spans="1:42" s="7" customFormat="1" ht="33" customHeight="1">
      <c r="A49" s="606">
        <f t="shared" si="20"/>
        <v>45</v>
      </c>
      <c r="B49" s="516">
        <v>44</v>
      </c>
      <c r="C49" s="484" t="str">
        <f>VLOOKUP(B49,All!$B$4:$S$8977,2,FALSE)</f>
        <v>ប៊ុន</v>
      </c>
      <c r="D49" s="482" t="str">
        <f>VLOOKUP(B49,All!$B$4:$S$89977,3,FALSE)</f>
        <v>គឹមសែ</v>
      </c>
      <c r="E49" s="484" t="str">
        <f>VLOOKUP(B49,All!$B$4:$S$8977,4,FALSE)</f>
        <v>Bun</v>
      </c>
      <c r="F49" s="482" t="str">
        <f>VLOOKUP(B49,All!$B$4:$S$8977,5,FALSE)</f>
        <v>Kimse</v>
      </c>
      <c r="G49" s="479" t="str">
        <f>VLOOKUP(B49,All!$B$4:$S$8977,6,FALSE)</f>
        <v>F</v>
      </c>
      <c r="H49" s="486">
        <f>VLOOKUP(B49,All!$B$4:$S$8977,7,FALSE)</f>
        <v>31836</v>
      </c>
      <c r="I49" s="494">
        <f>VLOOKUP(B49,All!$B$4:$S$8977,8,FALSE)</f>
        <v>41579</v>
      </c>
      <c r="J49" s="430" t="s">
        <v>6293</v>
      </c>
      <c r="K49" s="653" t="s">
        <v>6296</v>
      </c>
      <c r="L49" s="654" t="s">
        <v>6093</v>
      </c>
      <c r="M49" s="647">
        <f>VLOOKUP(B49,All!$B$4:$S$8977,12,FALSE)</f>
        <v>192</v>
      </c>
      <c r="N49" s="18">
        <f>VLOOKUP(B49,All!$B$4:$S$8977,13,FALSE)</f>
        <v>9</v>
      </c>
      <c r="O49" s="18">
        <f>VLOOKUP(B49,All!$B$4:$S$8977,14,FALSE)</f>
        <v>20</v>
      </c>
      <c r="P49" s="18">
        <f>VLOOKUP(B49,All!$B$4:$S$8977,15,FALSE)</f>
        <v>30</v>
      </c>
      <c r="Q49" s="509">
        <f>VLOOKUP(B49,All!$B$4:$S$8977,16,FALSE)</f>
        <v>10</v>
      </c>
      <c r="R49" s="18">
        <v>7</v>
      </c>
      <c r="S49" s="18">
        <v>10</v>
      </c>
      <c r="T49" s="550">
        <f t="shared" si="36"/>
        <v>278</v>
      </c>
      <c r="U49" s="685">
        <v>5</v>
      </c>
      <c r="V49" s="472">
        <v>44562</v>
      </c>
      <c r="W49" s="492" t="s">
        <v>6566</v>
      </c>
      <c r="X49" s="347"/>
      <c r="Y49" s="484" t="s">
        <v>6597</v>
      </c>
      <c r="Z49" s="647">
        <f t="shared" si="22"/>
        <v>194</v>
      </c>
      <c r="AA49" s="18">
        <f t="shared" si="42"/>
        <v>9</v>
      </c>
      <c r="AB49" s="476">
        <f t="shared" si="6"/>
        <v>20</v>
      </c>
      <c r="AC49" s="703">
        <f t="shared" si="7"/>
        <v>35</v>
      </c>
      <c r="AD49" s="509">
        <f t="shared" si="42"/>
        <v>10</v>
      </c>
      <c r="AE49" s="18">
        <f t="shared" si="42"/>
        <v>7</v>
      </c>
      <c r="AF49" s="18">
        <f t="shared" si="42"/>
        <v>10</v>
      </c>
      <c r="AG49" s="634">
        <f t="shared" si="27"/>
        <v>285</v>
      </c>
      <c r="AH49" s="409">
        <f t="shared" si="43"/>
        <v>2</v>
      </c>
      <c r="AI49" s="409">
        <f t="shared" si="43"/>
        <v>0</v>
      </c>
      <c r="AJ49" s="409">
        <f t="shared" si="43"/>
        <v>0</v>
      </c>
      <c r="AK49" s="409">
        <f t="shared" si="43"/>
        <v>5</v>
      </c>
      <c r="AL49" s="409">
        <f t="shared" si="43"/>
        <v>0</v>
      </c>
      <c r="AM49" s="409">
        <f t="shared" si="43"/>
        <v>0</v>
      </c>
      <c r="AN49" s="409">
        <f t="shared" si="43"/>
        <v>0</v>
      </c>
      <c r="AO49" s="409">
        <f t="shared" si="43"/>
        <v>7</v>
      </c>
    </row>
    <row r="50" spans="1:42" s="7" customFormat="1" ht="33" customHeight="1">
      <c r="A50" s="606">
        <f t="shared" si="20"/>
        <v>46</v>
      </c>
      <c r="B50" s="516">
        <v>1727</v>
      </c>
      <c r="C50" s="484" t="str">
        <f>VLOOKUP(B50,All!$B$4:$S$8977,2,FALSE)</f>
        <v>សុន</v>
      </c>
      <c r="D50" s="482" t="str">
        <f>VLOOKUP(B50,All!$B$4:$S$89977,3,FALSE)</f>
        <v>រដ្ឋា</v>
      </c>
      <c r="E50" s="484" t="str">
        <f>VLOOKUP(B50,All!$B$4:$S$8977,4,FALSE)</f>
        <v>SUN</v>
      </c>
      <c r="F50" s="482" t="str">
        <f>VLOOKUP(B50,All!$B$4:$S$8977,5,FALSE)</f>
        <v>RATHA</v>
      </c>
      <c r="G50" s="479" t="str">
        <f>VLOOKUP(B50,All!$B$4:$S$8977,6,FALSE)</f>
        <v>F</v>
      </c>
      <c r="H50" s="486">
        <f>VLOOKUP(B50,All!$B$4:$S$8977,7,FALSE)</f>
        <v>32694</v>
      </c>
      <c r="I50" s="494">
        <f>VLOOKUP(B50,All!$B$4:$S$8977,8,FALSE)</f>
        <v>42676</v>
      </c>
      <c r="J50" s="430" t="s">
        <v>6293</v>
      </c>
      <c r="K50" s="653" t="s">
        <v>6449</v>
      </c>
      <c r="L50" s="654" t="s">
        <v>6133</v>
      </c>
      <c r="M50" s="647">
        <f>VLOOKUP(B50,All!$B$4:$S$8977,12,FALSE)</f>
        <v>192</v>
      </c>
      <c r="N50" s="18">
        <f>VLOOKUP(B50,All!$B$4:$S$8977,13,FALSE)</f>
        <v>6</v>
      </c>
      <c r="O50" s="18">
        <f>VLOOKUP(B50,All!$B$4:$S$8977,14,FALSE)</f>
        <v>20</v>
      </c>
      <c r="P50" s="18">
        <f>VLOOKUP(B50,All!$B$4:$S$8977,15,FALSE)</f>
        <v>10</v>
      </c>
      <c r="Q50" s="509">
        <f>VLOOKUP(B50,All!$B$4:$S$8977,16,FALSE)</f>
        <v>0</v>
      </c>
      <c r="R50" s="18">
        <v>7</v>
      </c>
      <c r="S50" s="18">
        <v>10</v>
      </c>
      <c r="T50" s="550">
        <f t="shared" si="36"/>
        <v>245</v>
      </c>
      <c r="U50" s="685">
        <v>5</v>
      </c>
      <c r="V50" s="472">
        <v>44562</v>
      </c>
      <c r="W50" s="492" t="s">
        <v>6566</v>
      </c>
      <c r="X50" s="347"/>
      <c r="Y50" s="484" t="s">
        <v>6597</v>
      </c>
      <c r="Z50" s="647">
        <f t="shared" si="22"/>
        <v>194</v>
      </c>
      <c r="AA50" s="18">
        <f t="shared" si="42"/>
        <v>6</v>
      </c>
      <c r="AB50" s="476">
        <f t="shared" si="6"/>
        <v>20</v>
      </c>
      <c r="AC50" s="703">
        <f t="shared" si="7"/>
        <v>15</v>
      </c>
      <c r="AD50" s="509">
        <f t="shared" si="42"/>
        <v>0</v>
      </c>
      <c r="AE50" s="18">
        <f t="shared" si="42"/>
        <v>7</v>
      </c>
      <c r="AF50" s="18">
        <f t="shared" si="42"/>
        <v>10</v>
      </c>
      <c r="AG50" s="634">
        <f t="shared" si="27"/>
        <v>252</v>
      </c>
      <c r="AH50" s="409">
        <f t="shared" si="43"/>
        <v>2</v>
      </c>
      <c r="AI50" s="409">
        <f t="shared" si="43"/>
        <v>0</v>
      </c>
      <c r="AJ50" s="409">
        <f t="shared" si="43"/>
        <v>0</v>
      </c>
      <c r="AK50" s="409">
        <f t="shared" si="43"/>
        <v>5</v>
      </c>
      <c r="AL50" s="409">
        <f t="shared" si="43"/>
        <v>0</v>
      </c>
      <c r="AM50" s="409">
        <f t="shared" si="43"/>
        <v>0</v>
      </c>
      <c r="AN50" s="409">
        <f t="shared" si="43"/>
        <v>0</v>
      </c>
      <c r="AO50" s="409">
        <f t="shared" si="43"/>
        <v>7</v>
      </c>
    </row>
    <row r="51" spans="1:42" s="7" customFormat="1" ht="33" customHeight="1">
      <c r="A51" s="606">
        <f t="shared" si="20"/>
        <v>47</v>
      </c>
      <c r="B51" s="516">
        <v>2403</v>
      </c>
      <c r="C51" s="484" t="str">
        <f>VLOOKUP(B51,All!$B$4:$S$8977,2,FALSE)</f>
        <v>ផាន</v>
      </c>
      <c r="D51" s="482" t="str">
        <f>VLOOKUP(B51,All!$B$4:$S$89977,3,FALSE)</f>
        <v>សុខឡាយ</v>
      </c>
      <c r="E51" s="484" t="str">
        <f>VLOOKUP(B51,All!$B$4:$S$8977,4,FALSE)</f>
        <v>PHAN</v>
      </c>
      <c r="F51" s="482" t="str">
        <f>VLOOKUP(B51,All!$B$4:$S$8977,5,FALSE)</f>
        <v>SOKLAIY</v>
      </c>
      <c r="G51" s="479" t="str">
        <f>VLOOKUP(B51,All!$B$4:$S$8977,6,FALSE)</f>
        <v>F</v>
      </c>
      <c r="H51" s="486">
        <f>VLOOKUP(B51,All!$B$4:$S$8977,7,FALSE)</f>
        <v>35098</v>
      </c>
      <c r="I51" s="494">
        <f>VLOOKUP(B51,All!$B$4:$S$8977,8,FALSE)</f>
        <v>43166</v>
      </c>
      <c r="J51" s="430" t="s">
        <v>6293</v>
      </c>
      <c r="K51" s="653" t="s">
        <v>6452</v>
      </c>
      <c r="L51" s="654" t="s">
        <v>6099</v>
      </c>
      <c r="M51" s="647">
        <f>VLOOKUP(B51,All!$B$4:$S$8977,12,FALSE)</f>
        <v>192</v>
      </c>
      <c r="N51" s="18">
        <f>VLOOKUP(B51,All!$B$4:$S$8977,13,FALSE)</f>
        <v>4</v>
      </c>
      <c r="O51" s="18">
        <f>VLOOKUP(B51,All!$B$4:$S$8977,14,FALSE)</f>
        <v>20</v>
      </c>
      <c r="P51" s="18">
        <f>VLOOKUP(B51,All!$B$4:$S$8977,15,FALSE)</f>
        <v>10</v>
      </c>
      <c r="Q51" s="509">
        <f>VLOOKUP(B51,All!$B$4:$S$8977,16,FALSE)</f>
        <v>0</v>
      </c>
      <c r="R51" s="18">
        <v>7</v>
      </c>
      <c r="S51" s="18">
        <v>10</v>
      </c>
      <c r="T51" s="550">
        <f t="shared" si="36"/>
        <v>243</v>
      </c>
      <c r="U51" s="685">
        <v>5</v>
      </c>
      <c r="V51" s="472">
        <v>44562</v>
      </c>
      <c r="W51" s="492" t="s">
        <v>6566</v>
      </c>
      <c r="X51" s="347"/>
      <c r="Y51" s="484" t="s">
        <v>6597</v>
      </c>
      <c r="Z51" s="647">
        <f t="shared" si="22"/>
        <v>194</v>
      </c>
      <c r="AA51" s="18">
        <f t="shared" si="42"/>
        <v>4</v>
      </c>
      <c r="AB51" s="476">
        <f t="shared" si="6"/>
        <v>20</v>
      </c>
      <c r="AC51" s="703">
        <f t="shared" si="7"/>
        <v>15</v>
      </c>
      <c r="AD51" s="509">
        <f t="shared" si="42"/>
        <v>0</v>
      </c>
      <c r="AE51" s="18">
        <f t="shared" si="42"/>
        <v>7</v>
      </c>
      <c r="AF51" s="18">
        <f t="shared" si="42"/>
        <v>10</v>
      </c>
      <c r="AG51" s="634">
        <f t="shared" si="27"/>
        <v>250</v>
      </c>
      <c r="AH51" s="409">
        <f t="shared" si="43"/>
        <v>2</v>
      </c>
      <c r="AI51" s="409">
        <f t="shared" si="43"/>
        <v>0</v>
      </c>
      <c r="AJ51" s="409">
        <f t="shared" si="43"/>
        <v>0</v>
      </c>
      <c r="AK51" s="409">
        <f t="shared" si="43"/>
        <v>5</v>
      </c>
      <c r="AL51" s="409">
        <f t="shared" si="43"/>
        <v>0</v>
      </c>
      <c r="AM51" s="409">
        <f t="shared" si="43"/>
        <v>0</v>
      </c>
      <c r="AN51" s="409">
        <f t="shared" si="43"/>
        <v>0</v>
      </c>
      <c r="AO51" s="409">
        <f t="shared" si="43"/>
        <v>7</v>
      </c>
    </row>
    <row r="52" spans="1:42" s="7" customFormat="1" ht="33" customHeight="1">
      <c r="A52" s="606">
        <f t="shared" si="20"/>
        <v>48</v>
      </c>
      <c r="B52" s="516">
        <v>4117</v>
      </c>
      <c r="C52" s="484" t="str">
        <f>VLOOKUP(B52,All!$B$4:$S$8977,2,FALSE)</f>
        <v>អ៊ាប</v>
      </c>
      <c r="D52" s="482" t="str">
        <f>VLOOKUP(B52,All!$B$4:$S$89977,3,FALSE)</f>
        <v>សុភ័ស</v>
      </c>
      <c r="E52" s="484" t="str">
        <f>VLOOKUP(B52,All!$B$4:$S$8977,4,FALSE)</f>
        <v>EAP</v>
      </c>
      <c r="F52" s="482" t="str">
        <f>VLOOKUP(B52,All!$B$4:$S$8977,5,FALSE)</f>
        <v>SOPHAS</v>
      </c>
      <c r="G52" s="479" t="str">
        <f>VLOOKUP(B52,All!$B$4:$S$8977,6,FALSE)</f>
        <v>F</v>
      </c>
      <c r="H52" s="486">
        <f>VLOOKUP(B52,All!$B$4:$S$8977,7,FALSE)</f>
        <v>36649</v>
      </c>
      <c r="I52" s="494">
        <f>VLOOKUP(B52,All!$B$4:$S$8977,8,FALSE)</f>
        <v>43802</v>
      </c>
      <c r="J52" s="430" t="s">
        <v>6293</v>
      </c>
      <c r="K52" s="653" t="s">
        <v>397</v>
      </c>
      <c r="L52" s="654" t="s">
        <v>6440</v>
      </c>
      <c r="M52" s="647">
        <f>VLOOKUP(B52,All!$B$4:$S$8977,12,FALSE)</f>
        <v>192</v>
      </c>
      <c r="N52" s="18">
        <f>VLOOKUP(B52,All!$B$4:$S$8977,13,FALSE)</f>
        <v>3</v>
      </c>
      <c r="O52" s="18">
        <f>VLOOKUP(B52,All!$B$4:$S$8977,14,FALSE)</f>
        <v>0</v>
      </c>
      <c r="P52" s="18">
        <f>VLOOKUP(B52,All!$B$4:$S$8977,15,FALSE)</f>
        <v>10</v>
      </c>
      <c r="Q52" s="509">
        <f>VLOOKUP(B52,All!$B$4:$S$8977,16,FALSE)</f>
        <v>0</v>
      </c>
      <c r="R52" s="18">
        <v>7</v>
      </c>
      <c r="S52" s="18">
        <v>10</v>
      </c>
      <c r="T52" s="550">
        <f t="shared" si="36"/>
        <v>222</v>
      </c>
      <c r="U52" s="685">
        <v>5</v>
      </c>
      <c r="V52" s="472">
        <v>44562</v>
      </c>
      <c r="W52" s="492" t="s">
        <v>6566</v>
      </c>
      <c r="X52" s="347"/>
      <c r="Y52" s="484" t="s">
        <v>6598</v>
      </c>
      <c r="Z52" s="647">
        <f t="shared" si="22"/>
        <v>194</v>
      </c>
      <c r="AA52" s="18">
        <f t="shared" si="42"/>
        <v>3</v>
      </c>
      <c r="AB52" s="476">
        <f t="shared" si="6"/>
        <v>0</v>
      </c>
      <c r="AC52" s="703">
        <f t="shared" si="7"/>
        <v>15</v>
      </c>
      <c r="AD52" s="509">
        <f t="shared" si="42"/>
        <v>0</v>
      </c>
      <c r="AE52" s="18">
        <f t="shared" si="42"/>
        <v>7</v>
      </c>
      <c r="AF52" s="18">
        <f t="shared" si="42"/>
        <v>10</v>
      </c>
      <c r="AG52" s="634">
        <f t="shared" si="27"/>
        <v>229</v>
      </c>
      <c r="AH52" s="409">
        <f t="shared" si="43"/>
        <v>2</v>
      </c>
      <c r="AI52" s="409">
        <f t="shared" si="43"/>
        <v>0</v>
      </c>
      <c r="AJ52" s="409">
        <f t="shared" si="43"/>
        <v>0</v>
      </c>
      <c r="AK52" s="409">
        <f t="shared" si="43"/>
        <v>5</v>
      </c>
      <c r="AL52" s="409">
        <f t="shared" si="43"/>
        <v>0</v>
      </c>
      <c r="AM52" s="409">
        <f t="shared" si="43"/>
        <v>0</v>
      </c>
      <c r="AN52" s="409">
        <f t="shared" si="43"/>
        <v>0</v>
      </c>
      <c r="AO52" s="409">
        <f t="shared" si="43"/>
        <v>7</v>
      </c>
    </row>
    <row r="53" spans="1:42" s="7" customFormat="1" ht="33" customHeight="1">
      <c r="A53" s="606">
        <f t="shared" si="20"/>
        <v>49</v>
      </c>
      <c r="B53" s="516">
        <v>404</v>
      </c>
      <c r="C53" s="484" t="str">
        <f>VLOOKUP(B53,All!$B$4:$S$8977,2,FALSE)</f>
        <v>គង់</v>
      </c>
      <c r="D53" s="482" t="str">
        <f>VLOOKUP(B53,All!$B$4:$S$89977,3,FALSE)</f>
        <v>ស្រស់</v>
      </c>
      <c r="E53" s="484" t="str">
        <f>VLOOKUP(B53,All!$B$4:$S$8977,4,FALSE)</f>
        <v>KONG</v>
      </c>
      <c r="F53" s="482" t="str">
        <f>VLOOKUP(B53,All!$B$4:$S$8977,5,FALSE)</f>
        <v>SROS</v>
      </c>
      <c r="G53" s="479" t="str">
        <f>VLOOKUP(B53,All!$B$4:$S$8977,6,FALSE)</f>
        <v>F</v>
      </c>
      <c r="H53" s="486">
        <f>VLOOKUP(B53,All!$B$4:$S$8977,7,FALSE)</f>
        <v>34116</v>
      </c>
      <c r="I53" s="494">
        <f>VLOOKUP(B53,All!$B$4:$S$8977,8,FALSE)</f>
        <v>41793</v>
      </c>
      <c r="J53" s="430" t="s">
        <v>6293</v>
      </c>
      <c r="K53" s="653" t="s">
        <v>286</v>
      </c>
      <c r="L53" s="654" t="s">
        <v>6432</v>
      </c>
      <c r="M53" s="647">
        <f>VLOOKUP(B53,All!$B$4:$S$8977,12,FALSE)</f>
        <v>192</v>
      </c>
      <c r="N53" s="18">
        <f>VLOOKUP(B53,All!$B$4:$S$8977,13,FALSE)</f>
        <v>8</v>
      </c>
      <c r="O53" s="18">
        <f>VLOOKUP(B53,All!$B$4:$S$8977,14,FALSE)</f>
        <v>20</v>
      </c>
      <c r="P53" s="18">
        <f>VLOOKUP(B53,All!$B$4:$S$8977,15,FALSE)</f>
        <v>10</v>
      </c>
      <c r="Q53" s="509">
        <f>VLOOKUP(B53,All!$B$4:$S$8977,16,FALSE)</f>
        <v>0</v>
      </c>
      <c r="R53" s="18">
        <v>7</v>
      </c>
      <c r="S53" s="18">
        <v>10</v>
      </c>
      <c r="T53" s="550">
        <f t="shared" si="36"/>
        <v>247</v>
      </c>
      <c r="U53" s="685">
        <v>5</v>
      </c>
      <c r="V53" s="472">
        <v>44562</v>
      </c>
      <c r="W53" s="492" t="s">
        <v>6566</v>
      </c>
      <c r="X53" s="347"/>
      <c r="Y53" s="484" t="s">
        <v>6599</v>
      </c>
      <c r="Z53" s="647">
        <f t="shared" si="22"/>
        <v>194</v>
      </c>
      <c r="AA53" s="18">
        <f t="shared" si="42"/>
        <v>8</v>
      </c>
      <c r="AB53" s="476">
        <f t="shared" si="6"/>
        <v>20</v>
      </c>
      <c r="AC53" s="703">
        <f t="shared" si="7"/>
        <v>15</v>
      </c>
      <c r="AD53" s="509">
        <f t="shared" si="42"/>
        <v>0</v>
      </c>
      <c r="AE53" s="18">
        <f t="shared" si="42"/>
        <v>7</v>
      </c>
      <c r="AF53" s="18">
        <f t="shared" si="42"/>
        <v>10</v>
      </c>
      <c r="AG53" s="634">
        <f t="shared" si="27"/>
        <v>254</v>
      </c>
      <c r="AH53" s="409">
        <f t="shared" si="43"/>
        <v>2</v>
      </c>
      <c r="AI53" s="409">
        <f t="shared" si="43"/>
        <v>0</v>
      </c>
      <c r="AJ53" s="409">
        <f t="shared" si="43"/>
        <v>0</v>
      </c>
      <c r="AK53" s="409">
        <f t="shared" si="43"/>
        <v>5</v>
      </c>
      <c r="AL53" s="409">
        <f t="shared" si="43"/>
        <v>0</v>
      </c>
      <c r="AM53" s="409">
        <f t="shared" si="43"/>
        <v>0</v>
      </c>
      <c r="AN53" s="409">
        <f t="shared" si="43"/>
        <v>0</v>
      </c>
      <c r="AO53" s="409">
        <f t="shared" si="43"/>
        <v>7</v>
      </c>
    </row>
    <row r="54" spans="1:42" s="7" customFormat="1" ht="33" customHeight="1">
      <c r="A54" s="606">
        <f t="shared" si="20"/>
        <v>50</v>
      </c>
      <c r="B54" s="516">
        <v>1497</v>
      </c>
      <c r="C54" s="484" t="str">
        <f>VLOOKUP(B54,All!$B$4:$S$8977,2,FALSE)</f>
        <v>គង់</v>
      </c>
      <c r="D54" s="482" t="str">
        <f>VLOOKUP(B54,All!$B$4:$S$89977,3,FALSE)</f>
        <v>គា</v>
      </c>
      <c r="E54" s="484" t="str">
        <f>VLOOKUP(B54,All!$B$4:$S$8977,4,FALSE)</f>
        <v>KONG</v>
      </c>
      <c r="F54" s="482" t="str">
        <f>VLOOKUP(B54,All!$B$4:$S$8977,5,FALSE)</f>
        <v>KEA</v>
      </c>
      <c r="G54" s="479" t="str">
        <f>VLOOKUP(B54,All!$B$4:$S$8977,6,FALSE)</f>
        <v>F</v>
      </c>
      <c r="H54" s="486">
        <f>VLOOKUP(B54,All!$B$4:$S$8977,7,FALSE)</f>
        <v>34920</v>
      </c>
      <c r="I54" s="494">
        <f>VLOOKUP(B54,All!$B$4:$S$8977,8,FALSE)</f>
        <v>42445</v>
      </c>
      <c r="J54" s="430" t="s">
        <v>6293</v>
      </c>
      <c r="K54" s="653" t="s">
        <v>24</v>
      </c>
      <c r="L54" s="654" t="s">
        <v>6437</v>
      </c>
      <c r="M54" s="647">
        <f>VLOOKUP(B54,All!$B$4:$S$8977,12,FALSE)</f>
        <v>192</v>
      </c>
      <c r="N54" s="18">
        <f>VLOOKUP(B54,All!$B$4:$S$8977,13,FALSE)</f>
        <v>6</v>
      </c>
      <c r="O54" s="18">
        <f>VLOOKUP(B54,All!$B$4:$S$8977,14,FALSE)</f>
        <v>20</v>
      </c>
      <c r="P54" s="18">
        <f>VLOOKUP(B54,All!$B$4:$S$8977,15,FALSE)</f>
        <v>20</v>
      </c>
      <c r="Q54" s="509">
        <f>VLOOKUP(B54,All!$B$4:$S$8977,16,FALSE)</f>
        <v>0</v>
      </c>
      <c r="R54" s="18">
        <v>7</v>
      </c>
      <c r="S54" s="18">
        <v>10</v>
      </c>
      <c r="T54" s="550">
        <f t="shared" si="36"/>
        <v>255</v>
      </c>
      <c r="U54" s="685">
        <v>5</v>
      </c>
      <c r="V54" s="472">
        <v>44562</v>
      </c>
      <c r="W54" s="492" t="s">
        <v>6566</v>
      </c>
      <c r="X54" s="347"/>
      <c r="Y54" s="484" t="s">
        <v>6600</v>
      </c>
      <c r="Z54" s="647">
        <f t="shared" si="22"/>
        <v>194</v>
      </c>
      <c r="AA54" s="18">
        <f t="shared" si="42"/>
        <v>6</v>
      </c>
      <c r="AB54" s="476">
        <f t="shared" si="6"/>
        <v>20</v>
      </c>
      <c r="AC54" s="703">
        <f t="shared" si="7"/>
        <v>25</v>
      </c>
      <c r="AD54" s="509">
        <f t="shared" si="42"/>
        <v>0</v>
      </c>
      <c r="AE54" s="18">
        <f t="shared" si="42"/>
        <v>7</v>
      </c>
      <c r="AF54" s="18">
        <f t="shared" si="42"/>
        <v>10</v>
      </c>
      <c r="AG54" s="634">
        <f t="shared" si="27"/>
        <v>262</v>
      </c>
      <c r="AH54" s="409">
        <f t="shared" si="43"/>
        <v>2</v>
      </c>
      <c r="AI54" s="409">
        <f t="shared" si="43"/>
        <v>0</v>
      </c>
      <c r="AJ54" s="409">
        <f t="shared" si="43"/>
        <v>0</v>
      </c>
      <c r="AK54" s="409">
        <f t="shared" si="43"/>
        <v>5</v>
      </c>
      <c r="AL54" s="409">
        <f t="shared" si="43"/>
        <v>0</v>
      </c>
      <c r="AM54" s="409">
        <f t="shared" si="43"/>
        <v>0</v>
      </c>
      <c r="AN54" s="409">
        <f t="shared" si="43"/>
        <v>0</v>
      </c>
      <c r="AO54" s="409">
        <f t="shared" si="43"/>
        <v>7</v>
      </c>
    </row>
    <row r="55" spans="1:42" s="7" customFormat="1" ht="33" customHeight="1">
      <c r="A55" s="606">
        <f t="shared" si="20"/>
        <v>51</v>
      </c>
      <c r="B55" s="709">
        <v>3205</v>
      </c>
      <c r="C55" s="710"/>
      <c r="D55" s="711"/>
      <c r="E55" s="710" t="str">
        <f>VLOOKUP(B55,All!$B$4:$S$8977,4,FALSE)</f>
        <v>SAN</v>
      </c>
      <c r="F55" s="711" t="str">
        <f>VLOOKUP(B55,All!$B$4:$S$8977,5,FALSE)</f>
        <v>VEASNA</v>
      </c>
      <c r="G55" s="479" t="str">
        <f>VLOOKUP(B55,All!$B$4:$S$8977,6,FALSE)</f>
        <v>M</v>
      </c>
      <c r="H55" s="486">
        <f>VLOOKUP(B55,All!$B$4:$S$8977,7,FALSE)</f>
        <v>33340</v>
      </c>
      <c r="I55" s="494">
        <f>VLOOKUP(B55,All!$B$4:$S$8977,8,FALSE)</f>
        <v>43740</v>
      </c>
      <c r="J55" s="430" t="s">
        <v>6293</v>
      </c>
      <c r="K55" s="653" t="s">
        <v>6128</v>
      </c>
      <c r="L55" s="654" t="s">
        <v>6346</v>
      </c>
      <c r="M55" s="647">
        <f>VLOOKUP(B55,All!$B$4:$S$8977,12,FALSE)</f>
        <v>192</v>
      </c>
      <c r="N55" s="18">
        <v>0</v>
      </c>
      <c r="O55" s="18">
        <f>VLOOKUP(B55,All!$B$4:$S$8977,14,FALSE)</f>
        <v>0</v>
      </c>
      <c r="P55" s="18">
        <f>VLOOKUP(B55,All!$B$4:$S$8977,15,FALSE)</f>
        <v>0</v>
      </c>
      <c r="Q55" s="509">
        <f>VLOOKUP(B55,All!$B$4:$S$8977,16,FALSE)</f>
        <v>0</v>
      </c>
      <c r="R55" s="18">
        <v>7</v>
      </c>
      <c r="S55" s="18">
        <v>10</v>
      </c>
      <c r="T55" s="550">
        <f t="shared" ref="T55" si="44">SUM(M55:S55)</f>
        <v>209</v>
      </c>
      <c r="U55" s="685">
        <v>5</v>
      </c>
      <c r="V55" s="472">
        <v>44562</v>
      </c>
      <c r="W55" s="492" t="s">
        <v>6566</v>
      </c>
      <c r="X55" s="347"/>
      <c r="Y55" s="484" t="s">
        <v>6599</v>
      </c>
      <c r="Z55" s="647">
        <f t="shared" ref="Z55" si="45">M55+2</f>
        <v>194</v>
      </c>
      <c r="AA55" s="18">
        <f t="shared" ref="AA55" si="46">N55</f>
        <v>0</v>
      </c>
      <c r="AB55" s="476">
        <f t="shared" ref="AB55" si="47">O55</f>
        <v>0</v>
      </c>
      <c r="AC55" s="703">
        <f t="shared" ref="AC55" si="48">P55+U55</f>
        <v>5</v>
      </c>
      <c r="AD55" s="509">
        <f t="shared" ref="AD55" si="49">Q55</f>
        <v>0</v>
      </c>
      <c r="AE55" s="18">
        <f t="shared" ref="AE55" si="50">R55</f>
        <v>7</v>
      </c>
      <c r="AF55" s="18">
        <f t="shared" ref="AF55" si="51">S55</f>
        <v>10</v>
      </c>
      <c r="AG55" s="634">
        <f t="shared" ref="AG55" si="52">SUM(Z55:AF55)</f>
        <v>216</v>
      </c>
      <c r="AH55" s="409"/>
      <c r="AI55" s="409"/>
      <c r="AJ55" s="409"/>
      <c r="AK55" s="409"/>
      <c r="AL55" s="409"/>
      <c r="AM55" s="409"/>
      <c r="AN55" s="409"/>
      <c r="AO55" s="409"/>
      <c r="AP55" s="712" t="s">
        <v>6617</v>
      </c>
    </row>
    <row r="56" spans="1:42" s="7" customFormat="1" ht="33" customHeight="1">
      <c r="A56" s="606">
        <f t="shared" si="20"/>
        <v>52</v>
      </c>
      <c r="B56" s="516">
        <v>1831</v>
      </c>
      <c r="C56" s="484" t="str">
        <f>VLOOKUP(B56,All!$B$4:$S$8977,2,FALSE)</f>
        <v>គឹម</v>
      </c>
      <c r="D56" s="482" t="str">
        <f>VLOOKUP(B56,All!$B$4:$S$89977,3,FALSE)</f>
        <v>យឿង</v>
      </c>
      <c r="E56" s="484" t="str">
        <f>VLOOKUP(B56,All!$B$4:$S$8977,4,FALSE)</f>
        <v>KIM</v>
      </c>
      <c r="F56" s="482" t="str">
        <f>VLOOKUP(B56,All!$B$4:$S$8977,5,FALSE)</f>
        <v>YOEUNG</v>
      </c>
      <c r="G56" s="479" t="str">
        <f>VLOOKUP(B56,All!$B$4:$S$8977,6,FALSE)</f>
        <v>F</v>
      </c>
      <c r="H56" s="486">
        <f>VLOOKUP(B56,All!$B$4:$S$8977,7,FALSE)</f>
        <v>29637</v>
      </c>
      <c r="I56" s="494">
        <f>VLOOKUP(B56,All!$B$4:$S$8977,8,FALSE)</f>
        <v>42768</v>
      </c>
      <c r="J56" s="430" t="s">
        <v>6293</v>
      </c>
      <c r="K56" s="653" t="s">
        <v>45</v>
      </c>
      <c r="L56" s="654" t="s">
        <v>6</v>
      </c>
      <c r="M56" s="647">
        <f>VLOOKUP(B56,All!$B$4:$S$8977,12,FALSE)</f>
        <v>192</v>
      </c>
      <c r="N56" s="18">
        <f>VLOOKUP(B56,All!$B$4:$S$8977,13,FALSE)</f>
        <v>5</v>
      </c>
      <c r="O56" s="18">
        <f>VLOOKUP(B56,All!$B$4:$S$8977,14,FALSE)</f>
        <v>20</v>
      </c>
      <c r="P56" s="18">
        <f>VLOOKUP(B56,All!$B$4:$S$8977,15,FALSE)</f>
        <v>10</v>
      </c>
      <c r="Q56" s="509">
        <f>VLOOKUP(B56,All!$B$4:$S$8977,16,FALSE)</f>
        <v>0</v>
      </c>
      <c r="R56" s="18">
        <v>7</v>
      </c>
      <c r="S56" s="18">
        <v>10</v>
      </c>
      <c r="T56" s="550">
        <f>SUM(M56:S56)</f>
        <v>244</v>
      </c>
      <c r="U56" s="685">
        <v>5</v>
      </c>
      <c r="V56" s="472">
        <v>44562</v>
      </c>
      <c r="W56" s="492" t="s">
        <v>6566</v>
      </c>
      <c r="X56" s="347"/>
      <c r="Y56" s="484" t="s">
        <v>6601</v>
      </c>
      <c r="Z56" s="647">
        <f t="shared" si="22"/>
        <v>194</v>
      </c>
      <c r="AA56" s="18">
        <f t="shared" si="42"/>
        <v>5</v>
      </c>
      <c r="AB56" s="476">
        <f t="shared" si="6"/>
        <v>20</v>
      </c>
      <c r="AC56" s="703">
        <f t="shared" si="7"/>
        <v>15</v>
      </c>
      <c r="AD56" s="509">
        <f t="shared" si="42"/>
        <v>0</v>
      </c>
      <c r="AE56" s="18">
        <f t="shared" si="42"/>
        <v>7</v>
      </c>
      <c r="AF56" s="18">
        <f t="shared" si="42"/>
        <v>10</v>
      </c>
      <c r="AG56" s="634">
        <f t="shared" si="27"/>
        <v>251</v>
      </c>
      <c r="AH56" s="409">
        <f t="shared" si="43"/>
        <v>2</v>
      </c>
      <c r="AI56" s="409">
        <f t="shared" si="43"/>
        <v>0</v>
      </c>
      <c r="AJ56" s="514">
        <f>AB56-O56</f>
        <v>0</v>
      </c>
      <c r="AK56" s="409">
        <f t="shared" si="43"/>
        <v>5</v>
      </c>
      <c r="AL56" s="409">
        <f t="shared" si="43"/>
        <v>0</v>
      </c>
      <c r="AM56" s="409">
        <f t="shared" si="43"/>
        <v>0</v>
      </c>
      <c r="AN56" s="409">
        <f t="shared" si="43"/>
        <v>0</v>
      </c>
      <c r="AO56" s="409">
        <f t="shared" si="43"/>
        <v>7</v>
      </c>
    </row>
    <row r="57" spans="1:42" s="7" customFormat="1" ht="33" customHeight="1" thickBot="1">
      <c r="A57" s="606">
        <f t="shared" si="20"/>
        <v>53</v>
      </c>
      <c r="B57" s="650">
        <v>4092</v>
      </c>
      <c r="C57" s="553" t="str">
        <f>VLOOKUP(B57,All!$B$4:$S$8977,2,FALSE)</f>
        <v>សុខ</v>
      </c>
      <c r="D57" s="554" t="str">
        <f>VLOOKUP(B57,All!$B$4:$S$89977,3,FALSE)</f>
        <v>សិលា</v>
      </c>
      <c r="E57" s="553" t="str">
        <f>VLOOKUP(B57,All!$B$4:$S$8977,4,FALSE)</f>
        <v>SOK</v>
      </c>
      <c r="F57" s="554" t="str">
        <f>VLOOKUP(B57,All!$B$4:$S$8977,5,FALSE)</f>
        <v>SELA</v>
      </c>
      <c r="G57" s="555" t="str">
        <f>VLOOKUP(B57,All!$B$4:$S$8977,6,FALSE)</f>
        <v>F</v>
      </c>
      <c r="H57" s="611">
        <f>VLOOKUP(B57,All!$B$4:$S$8977,7,FALSE)</f>
        <v>37479</v>
      </c>
      <c r="I57" s="651">
        <f>VLOOKUP(B57,All!$B$4:$S$8977,8,FALSE)</f>
        <v>44035</v>
      </c>
      <c r="J57" s="652" t="s">
        <v>6293</v>
      </c>
      <c r="K57" s="655" t="s">
        <v>6445</v>
      </c>
      <c r="L57" s="656" t="s">
        <v>6354</v>
      </c>
      <c r="M57" s="588">
        <f>VLOOKUP(B57,All!$B$4:$S$8977,12,FALSE)</f>
        <v>192</v>
      </c>
      <c r="N57" s="559">
        <f>VLOOKUP(B57,All!$B$4:$S$8977,13,FALSE)</f>
        <v>2</v>
      </c>
      <c r="O57" s="559">
        <f>VLOOKUP(B57,All!$B$4:$S$8977,14,FALSE)</f>
        <v>0</v>
      </c>
      <c r="P57" s="559">
        <f>VLOOKUP(B57,All!$B$4:$S$8977,15,FALSE)</f>
        <v>30</v>
      </c>
      <c r="Q57" s="589">
        <f>VLOOKUP(B57,All!$B$4:$S$8977,16,FALSE)</f>
        <v>0</v>
      </c>
      <c r="R57" s="559">
        <v>7</v>
      </c>
      <c r="S57" s="559">
        <v>10</v>
      </c>
      <c r="T57" s="560">
        <f t="shared" si="36"/>
        <v>241</v>
      </c>
      <c r="U57" s="704">
        <v>5</v>
      </c>
      <c r="V57" s="705">
        <v>44562</v>
      </c>
      <c r="W57" s="628" t="s">
        <v>6566</v>
      </c>
      <c r="X57" s="706"/>
      <c r="Y57" s="553" t="s">
        <v>6602</v>
      </c>
      <c r="Z57" s="588">
        <f t="shared" si="22"/>
        <v>194</v>
      </c>
      <c r="AA57" s="559">
        <f t="shared" ref="AA57" si="53">N57</f>
        <v>2</v>
      </c>
      <c r="AB57" s="667">
        <f t="shared" si="6"/>
        <v>0</v>
      </c>
      <c r="AC57" s="707">
        <f t="shared" si="7"/>
        <v>35</v>
      </c>
      <c r="AD57" s="589">
        <f t="shared" ref="AD57:AF57" si="54">Q57</f>
        <v>0</v>
      </c>
      <c r="AE57" s="559">
        <f t="shared" si="54"/>
        <v>7</v>
      </c>
      <c r="AF57" s="559">
        <f t="shared" si="54"/>
        <v>10</v>
      </c>
      <c r="AG57" s="590">
        <f t="shared" si="27"/>
        <v>248</v>
      </c>
      <c r="AH57" s="409">
        <f t="shared" ref="AH57:AO57" si="55">Z57-M57</f>
        <v>2</v>
      </c>
      <c r="AI57" s="409">
        <f t="shared" si="55"/>
        <v>0</v>
      </c>
      <c r="AJ57" s="409">
        <f t="shared" si="55"/>
        <v>0</v>
      </c>
      <c r="AK57" s="409">
        <f t="shared" si="55"/>
        <v>5</v>
      </c>
      <c r="AL57" s="409">
        <f t="shared" si="55"/>
        <v>0</v>
      </c>
      <c r="AM57" s="409">
        <f t="shared" si="55"/>
        <v>0</v>
      </c>
      <c r="AN57" s="409">
        <f t="shared" si="55"/>
        <v>0</v>
      </c>
      <c r="AO57" s="409">
        <f t="shared" si="55"/>
        <v>7</v>
      </c>
    </row>
    <row r="58" spans="1:42" ht="45.75" customHeight="1">
      <c r="T58" s="42">
        <f>SUM(T5:T57)</f>
        <v>15386</v>
      </c>
      <c r="U58" s="523">
        <f>SUM(U5:U57)</f>
        <v>650</v>
      </c>
      <c r="AG58" s="42">
        <f>SUM(AG5:AG57)</f>
        <v>16140</v>
      </c>
      <c r="AH58" s="42">
        <f>SUM(AH5:AH57)</f>
        <v>102</v>
      </c>
      <c r="AI58" s="42">
        <f>SUM(AI5:AI57)</f>
        <v>0</v>
      </c>
      <c r="AJ58" s="42">
        <f>SUM(AJ5:AJ57)</f>
        <v>0</v>
      </c>
      <c r="AK58" s="42">
        <f>SUM(AK5:AK57)</f>
        <v>645</v>
      </c>
    </row>
    <row r="59" spans="1:42" ht="45.75" customHeight="1"/>
    <row r="60" spans="1:42" ht="45.75" customHeight="1"/>
    <row r="63" spans="1:42" ht="23.25" customHeight="1">
      <c r="B63" s="2"/>
    </row>
    <row r="64" spans="1:42" ht="23.25" customHeight="1">
      <c r="B64" s="2"/>
    </row>
    <row r="65" spans="2:2" ht="23.25" customHeight="1">
      <c r="B65" s="2"/>
    </row>
    <row r="66" spans="2:2" ht="23.25" customHeight="1">
      <c r="B66" s="2"/>
    </row>
    <row r="67" spans="2:2" ht="23.25" customHeight="1">
      <c r="B67" s="2"/>
    </row>
    <row r="68" spans="2:2" ht="23.25" customHeight="1">
      <c r="B68" s="2"/>
    </row>
    <row r="69" spans="2:2" ht="23.25" customHeight="1">
      <c r="B69" s="2"/>
    </row>
    <row r="70" spans="2:2" ht="23.25" customHeight="1">
      <c r="B70" s="2"/>
    </row>
    <row r="71" spans="2:2" ht="23.25" customHeight="1">
      <c r="B71" s="2"/>
    </row>
    <row r="72" spans="2:2" ht="23.25" customHeight="1">
      <c r="B72" s="2"/>
    </row>
    <row r="73" spans="2:2" ht="23.25" customHeight="1">
      <c r="B73" s="2"/>
    </row>
    <row r="74" spans="2:2" ht="23.25" customHeight="1">
      <c r="B74" s="2"/>
    </row>
    <row r="75" spans="2:2" ht="23.25" customHeight="1">
      <c r="B75" s="2"/>
    </row>
    <row r="76" spans="2:2" ht="23.25" customHeight="1">
      <c r="B76" s="2"/>
    </row>
    <row r="77" spans="2:2" ht="23.25" customHeight="1">
      <c r="B77" s="2"/>
    </row>
    <row r="78" spans="2:2" ht="23.25" customHeight="1">
      <c r="B78" s="2"/>
    </row>
    <row r="79" spans="2:2" ht="23.25" customHeight="1">
      <c r="B79" s="2"/>
    </row>
    <row r="80" spans="2:2" ht="23.25" customHeight="1">
      <c r="B80" s="2"/>
    </row>
    <row r="81" spans="2:2" ht="23.25" customHeight="1">
      <c r="B81"/>
    </row>
    <row r="82" spans="2:2" ht="23.25" customHeight="1">
      <c r="B82"/>
    </row>
    <row r="83" spans="2:2" ht="23.25" customHeight="1">
      <c r="B83"/>
    </row>
    <row r="84" spans="2:2" ht="23.25" customHeight="1">
      <c r="B84"/>
    </row>
    <row r="85" spans="2:2" ht="23.25" customHeight="1">
      <c r="B85"/>
    </row>
    <row r="86" spans="2:2" ht="23.25" customHeight="1">
      <c r="B86"/>
    </row>
    <row r="87" spans="2:2" ht="23.25" customHeight="1">
      <c r="B87"/>
    </row>
    <row r="88" spans="2:2" ht="23.25" customHeight="1">
      <c r="B88"/>
    </row>
    <row r="89" spans="2:2" ht="23.25" customHeight="1">
      <c r="B89"/>
    </row>
    <row r="90" spans="2:2" ht="23.25" customHeight="1">
      <c r="B90"/>
    </row>
    <row r="91" spans="2:2" ht="23.25" customHeight="1">
      <c r="B91"/>
    </row>
    <row r="92" spans="2:2" ht="23.25" customHeight="1">
      <c r="B92"/>
    </row>
    <row r="93" spans="2:2" ht="23.25" customHeight="1">
      <c r="B93"/>
    </row>
    <row r="94" spans="2:2" ht="23.25" customHeight="1">
      <c r="B94"/>
    </row>
    <row r="95" spans="2:2" ht="23.25" customHeight="1">
      <c r="B95"/>
    </row>
    <row r="96" spans="2:2" ht="23.25" customHeight="1">
      <c r="B96"/>
    </row>
    <row r="97" spans="2:2" ht="23.25" customHeight="1">
      <c r="B97"/>
    </row>
  </sheetData>
  <mergeCells count="3">
    <mergeCell ref="M2:T2"/>
    <mergeCell ref="Z2:AG2"/>
    <mergeCell ref="E4:F4"/>
  </mergeCells>
  <phoneticPr fontId="8" type="noConversion"/>
  <conditionalFormatting sqref="AJ2:AJ4">
    <cfRule type="duplicateValues" dxfId="688" priority="361"/>
  </conditionalFormatting>
  <conditionalFormatting sqref="B98:C1048576 C63:C97 B58:C62">
    <cfRule type="duplicateValues" dxfId="687" priority="459"/>
  </conditionalFormatting>
  <conditionalFormatting sqref="B98:B1048576 B58:B62">
    <cfRule type="duplicateValues" dxfId="686" priority="460"/>
  </conditionalFormatting>
  <conditionalFormatting sqref="B38:B39 B19">
    <cfRule type="duplicateValues" dxfId="685" priority="353"/>
  </conditionalFormatting>
  <conditionalFormatting sqref="B98:B1048576">
    <cfRule type="duplicateValues" dxfId="684" priority="461"/>
  </conditionalFormatting>
  <conditionalFormatting sqref="B38:B39 B19 B36 B13 B27">
    <cfRule type="duplicateValues" dxfId="683" priority="462"/>
  </conditionalFormatting>
  <conditionalFormatting sqref="B81:B1048576 B1 B58:B62 B5:B39">
    <cfRule type="duplicateValues" dxfId="682" priority="13973"/>
  </conditionalFormatting>
  <conditionalFormatting sqref="B62 B81:B1048576">
    <cfRule type="duplicateValues" dxfId="681" priority="14239"/>
  </conditionalFormatting>
  <conditionalFormatting sqref="B42">
    <cfRule type="duplicateValues" dxfId="680" priority="101"/>
  </conditionalFormatting>
  <conditionalFormatting sqref="B52 B42:B43">
    <cfRule type="duplicateValues" dxfId="679" priority="102"/>
  </conditionalFormatting>
  <conditionalFormatting sqref="B81:B1048576 B1 B5:B62">
    <cfRule type="duplicateValues" dxfId="678" priority="96"/>
  </conditionalFormatting>
  <conditionalFormatting sqref="U5:U8">
    <cfRule type="cellIs" dxfId="677" priority="95" operator="greaterThan">
      <formula>0</formula>
    </cfRule>
  </conditionalFormatting>
  <conditionalFormatting sqref="B5:B39">
    <cfRule type="duplicateValues" dxfId="676" priority="14348"/>
  </conditionalFormatting>
  <conditionalFormatting sqref="B40:B57">
    <cfRule type="duplicateValues" dxfId="675" priority="15397"/>
  </conditionalFormatting>
  <conditionalFormatting sqref="B4">
    <cfRule type="duplicateValues" dxfId="674" priority="92"/>
  </conditionalFormatting>
  <conditionalFormatting sqref="B4">
    <cfRule type="duplicateValues" dxfId="673" priority="91"/>
  </conditionalFormatting>
  <conditionalFormatting sqref="B4">
    <cfRule type="duplicateValues" dxfId="672" priority="90"/>
  </conditionalFormatting>
  <conditionalFormatting sqref="B4">
    <cfRule type="duplicateValues" dxfId="671" priority="88"/>
    <cfRule type="duplicateValues" dxfId="670" priority="89"/>
  </conditionalFormatting>
  <conditionalFormatting sqref="B4">
    <cfRule type="duplicateValues" dxfId="669" priority="87"/>
  </conditionalFormatting>
  <conditionalFormatting sqref="B4">
    <cfRule type="duplicateValues" dxfId="668" priority="83"/>
    <cfRule type="duplicateValues" dxfId="667" priority="84"/>
    <cfRule type="duplicateValues" dxfId="666" priority="85"/>
    <cfRule type="duplicateValues" dxfId="665" priority="86"/>
  </conditionalFormatting>
  <conditionalFormatting sqref="B4">
    <cfRule type="duplicateValues" dxfId="664" priority="82"/>
  </conditionalFormatting>
  <conditionalFormatting sqref="B4">
    <cfRule type="duplicateValues" dxfId="663" priority="77"/>
    <cfRule type="duplicateValues" dxfId="662" priority="78"/>
    <cfRule type="duplicateValues" dxfId="661" priority="79"/>
    <cfRule type="duplicateValues" dxfId="660" priority="80"/>
    <cfRule type="duplicateValues" dxfId="659" priority="81"/>
  </conditionalFormatting>
  <conditionalFormatting sqref="B4">
    <cfRule type="duplicateValues" dxfId="658" priority="76"/>
  </conditionalFormatting>
  <conditionalFormatting sqref="B4">
    <cfRule type="duplicateValues" dxfId="657" priority="75"/>
  </conditionalFormatting>
  <conditionalFormatting sqref="B4">
    <cfRule type="duplicateValues" dxfId="656" priority="73"/>
    <cfRule type="duplicateValues" dxfId="655" priority="74"/>
  </conditionalFormatting>
  <conditionalFormatting sqref="B4">
    <cfRule type="duplicateValues" dxfId="654" priority="68"/>
    <cfRule type="duplicateValues" dxfId="653" priority="69"/>
    <cfRule type="duplicateValues" dxfId="652" priority="70"/>
    <cfRule type="duplicateValues" dxfId="651" priority="71"/>
    <cfRule type="duplicateValues" dxfId="650" priority="72"/>
  </conditionalFormatting>
  <conditionalFormatting sqref="B4">
    <cfRule type="duplicateValues" dxfId="649" priority="67"/>
  </conditionalFormatting>
  <conditionalFormatting sqref="B4">
    <cfRule type="duplicateValues" dxfId="648" priority="66"/>
  </conditionalFormatting>
  <conditionalFormatting sqref="B4">
    <cfRule type="duplicateValues" dxfId="647" priority="64"/>
    <cfRule type="duplicateValues" dxfId="646" priority="65"/>
  </conditionalFormatting>
  <conditionalFormatting sqref="B4">
    <cfRule type="duplicateValues" dxfId="645" priority="60"/>
    <cfRule type="duplicateValues" dxfId="644" priority="61"/>
    <cfRule type="duplicateValues" dxfId="643" priority="62"/>
    <cfRule type="duplicateValues" dxfId="642" priority="63"/>
  </conditionalFormatting>
  <conditionalFormatting sqref="B4">
    <cfRule type="duplicateValues" dxfId="641" priority="59"/>
  </conditionalFormatting>
  <conditionalFormatting sqref="B4">
    <cfRule type="duplicateValues" dxfId="640" priority="54"/>
    <cfRule type="duplicateValues" dxfId="639" priority="55"/>
    <cfRule type="duplicateValues" dxfId="638" priority="56"/>
    <cfRule type="duplicateValues" dxfId="637" priority="57"/>
    <cfRule type="duplicateValues" dxfId="636" priority="58"/>
  </conditionalFormatting>
  <conditionalFormatting sqref="B4">
    <cfRule type="duplicateValues" dxfId="635" priority="53"/>
  </conditionalFormatting>
  <conditionalFormatting sqref="B4">
    <cfRule type="duplicateValues" dxfId="634" priority="52"/>
  </conditionalFormatting>
  <conditionalFormatting sqref="B4">
    <cfRule type="duplicateValues" dxfId="633" priority="51"/>
  </conditionalFormatting>
  <conditionalFormatting sqref="B4">
    <cfRule type="duplicateValues" dxfId="632" priority="49"/>
    <cfRule type="duplicateValues" dxfId="631" priority="50"/>
  </conditionalFormatting>
  <conditionalFormatting sqref="B4">
    <cfRule type="duplicateValues" dxfId="630" priority="48"/>
  </conditionalFormatting>
  <conditionalFormatting sqref="B4">
    <cfRule type="duplicateValues" dxfId="629" priority="93"/>
  </conditionalFormatting>
  <conditionalFormatting sqref="E4">
    <cfRule type="duplicateValues" dxfId="628" priority="47"/>
  </conditionalFormatting>
  <conditionalFormatting sqref="E4">
    <cfRule type="duplicateValues" dxfId="627" priority="46"/>
  </conditionalFormatting>
  <conditionalFormatting sqref="E4">
    <cfRule type="duplicateValues" dxfId="626" priority="45"/>
  </conditionalFormatting>
  <conditionalFormatting sqref="E4">
    <cfRule type="duplicateValues" dxfId="625" priority="43"/>
    <cfRule type="duplicateValues" dxfId="624" priority="44"/>
  </conditionalFormatting>
  <conditionalFormatting sqref="E4">
    <cfRule type="duplicateValues" dxfId="623" priority="42"/>
  </conditionalFormatting>
  <conditionalFormatting sqref="E4">
    <cfRule type="duplicateValues" dxfId="622" priority="38"/>
    <cfRule type="duplicateValues" dxfId="621" priority="39"/>
    <cfRule type="duplicateValues" dxfId="620" priority="40"/>
    <cfRule type="duplicateValues" dxfId="619" priority="41"/>
  </conditionalFormatting>
  <conditionalFormatting sqref="E4">
    <cfRule type="duplicateValues" dxfId="618" priority="37"/>
  </conditionalFormatting>
  <conditionalFormatting sqref="E4">
    <cfRule type="duplicateValues" dxfId="617" priority="32"/>
    <cfRule type="duplicateValues" dxfId="616" priority="33"/>
    <cfRule type="duplicateValues" dxfId="615" priority="34"/>
    <cfRule type="duplicateValues" dxfId="614" priority="35"/>
    <cfRule type="duplicateValues" dxfId="613" priority="36"/>
  </conditionalFormatting>
  <conditionalFormatting sqref="E4">
    <cfRule type="duplicateValues" dxfId="612" priority="31"/>
  </conditionalFormatting>
  <conditionalFormatting sqref="E4">
    <cfRule type="duplicateValues" dxfId="611" priority="30"/>
  </conditionalFormatting>
  <conditionalFormatting sqref="E4">
    <cfRule type="duplicateValues" dxfId="610" priority="28"/>
    <cfRule type="duplicateValues" dxfId="609" priority="29"/>
  </conditionalFormatting>
  <conditionalFormatting sqref="E4">
    <cfRule type="duplicateValues" dxfId="608" priority="23"/>
    <cfRule type="duplicateValues" dxfId="607" priority="24"/>
    <cfRule type="duplicateValues" dxfId="606" priority="25"/>
    <cfRule type="duplicateValues" dxfId="605" priority="26"/>
    <cfRule type="duplicateValues" dxfId="604" priority="27"/>
  </conditionalFormatting>
  <conditionalFormatting sqref="E4">
    <cfRule type="duplicateValues" dxfId="603" priority="22"/>
  </conditionalFormatting>
  <conditionalFormatting sqref="E4">
    <cfRule type="duplicateValues" dxfId="602" priority="21"/>
  </conditionalFormatting>
  <conditionalFormatting sqref="E4">
    <cfRule type="duplicateValues" dxfId="601" priority="19"/>
    <cfRule type="duplicateValues" dxfId="600" priority="20"/>
  </conditionalFormatting>
  <conditionalFormatting sqref="E4">
    <cfRule type="duplicateValues" dxfId="599" priority="15"/>
    <cfRule type="duplicateValues" dxfId="598" priority="16"/>
    <cfRule type="duplicateValues" dxfId="597" priority="17"/>
    <cfRule type="duplicateValues" dxfId="596" priority="18"/>
  </conditionalFormatting>
  <conditionalFormatting sqref="E4">
    <cfRule type="duplicateValues" dxfId="595" priority="14"/>
  </conditionalFormatting>
  <conditionalFormatting sqref="E4">
    <cfRule type="duplicateValues" dxfId="594" priority="9"/>
    <cfRule type="duplicateValues" dxfId="593" priority="10"/>
    <cfRule type="duplicateValues" dxfId="592" priority="11"/>
    <cfRule type="duplicateValues" dxfId="591" priority="12"/>
    <cfRule type="duplicateValues" dxfId="590" priority="13"/>
  </conditionalFormatting>
  <conditionalFormatting sqref="E4">
    <cfRule type="duplicateValues" dxfId="589" priority="8"/>
  </conditionalFormatting>
  <conditionalFormatting sqref="E4">
    <cfRule type="duplicateValues" dxfId="588" priority="7"/>
  </conditionalFormatting>
  <conditionalFormatting sqref="E4">
    <cfRule type="duplicateValues" dxfId="587" priority="6"/>
  </conditionalFormatting>
  <conditionalFormatting sqref="E4">
    <cfRule type="duplicateValues" dxfId="586" priority="4"/>
    <cfRule type="duplicateValues" dxfId="585" priority="5"/>
  </conditionalFormatting>
  <conditionalFormatting sqref="E4">
    <cfRule type="duplicateValues" dxfId="584" priority="3"/>
  </conditionalFormatting>
  <conditionalFormatting sqref="B4">
    <cfRule type="duplicateValues" dxfId="583" priority="2"/>
  </conditionalFormatting>
  <conditionalFormatting sqref="B4">
    <cfRule type="duplicateValues" dxfId="582" priority="1"/>
  </conditionalFormatting>
  <pageMargins left="0.25" right="0" top="0.5" bottom="0.5" header="0.3" footer="0.3"/>
  <pageSetup scale="40" orientation="landscape" r:id="rId1"/>
  <headerFooter>
    <oddHeader>&amp;C&amp;14VANTAGE RIVER TEXTILES CO.,LTD.</oddHeader>
  </headerFooter>
  <colBreaks count="1" manualBreakCount="1">
    <brk id="33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P471"/>
  <sheetViews>
    <sheetView showGridLines="0" workbookViewId="0">
      <pane xSplit="12" ySplit="3" topLeftCell="S13" activePane="bottomRight" state="frozen"/>
      <selection pane="topRight" activeCell="M1" sqref="M1"/>
      <selection pane="bottomLeft" activeCell="A4" sqref="A4"/>
      <selection pane="bottomRight" activeCell="M4" sqref="M4"/>
    </sheetView>
  </sheetViews>
  <sheetFormatPr defaultRowHeight="24" customHeight="1"/>
  <cols>
    <col min="1" max="1" width="4.7109375" bestFit="1" customWidth="1"/>
    <col min="2" max="2" width="9.140625" customWidth="1"/>
    <col min="3" max="4" width="9.140625" hidden="1" customWidth="1"/>
    <col min="5" max="5" width="9.140625" customWidth="1"/>
    <col min="7" max="7" width="6" customWidth="1"/>
    <col min="8" max="8" width="12.5703125" customWidth="1"/>
    <col min="9" max="9" width="12" customWidth="1"/>
    <col min="10" max="10" width="12" hidden="1" customWidth="1"/>
    <col min="11" max="11" width="12" customWidth="1"/>
    <col min="12" max="12" width="10.42578125" style="467" customWidth="1"/>
    <col min="13" max="13" width="10.85546875" style="336" customWidth="1"/>
    <col min="14" max="14" width="7.42578125" style="336" customWidth="1"/>
    <col min="15" max="19" width="9.140625" customWidth="1"/>
    <col min="20" max="20" width="12.5703125" bestFit="1" customWidth="1"/>
    <col min="21" max="25" width="9.140625" hidden="1" customWidth="1"/>
    <col min="26" max="32" width="9.140625" customWidth="1"/>
    <col min="33" max="33" width="13.42578125" customWidth="1"/>
    <col min="34" max="34" width="12" hidden="1" customWidth="1"/>
    <col min="35" max="41" width="9.140625" hidden="1" customWidth="1"/>
    <col min="42" max="42" width="13.7109375" style="584" hidden="1" customWidth="1"/>
    <col min="47" max="47" width="10.7109375" customWidth="1"/>
  </cols>
  <sheetData>
    <row r="1" spans="1:41" ht="24" customHeight="1">
      <c r="A1" s="27" t="s">
        <v>60</v>
      </c>
      <c r="B1" s="542" t="s">
        <v>68</v>
      </c>
      <c r="C1" s="29" t="s">
        <v>128</v>
      </c>
      <c r="D1" s="353" t="s">
        <v>129</v>
      </c>
      <c r="E1" s="29" t="s">
        <v>61</v>
      </c>
      <c r="F1" s="353" t="s">
        <v>62</v>
      </c>
      <c r="G1" s="48" t="s">
        <v>130</v>
      </c>
      <c r="H1" s="30" t="s">
        <v>63</v>
      </c>
      <c r="I1" s="353" t="s">
        <v>64</v>
      </c>
      <c r="J1" s="353" t="s">
        <v>6160</v>
      </c>
      <c r="K1" s="353" t="s">
        <v>65</v>
      </c>
      <c r="L1" s="353" t="s">
        <v>66</v>
      </c>
      <c r="M1" s="713" t="s">
        <v>6022</v>
      </c>
      <c r="N1" s="713"/>
      <c r="O1" s="713"/>
      <c r="P1" s="713"/>
      <c r="Q1" s="713"/>
      <c r="R1" s="713"/>
      <c r="S1" s="713"/>
      <c r="T1" s="713"/>
      <c r="U1" s="339" t="s">
        <v>6463</v>
      </c>
      <c r="V1" s="340" t="s">
        <v>6464</v>
      </c>
      <c r="W1" s="340" t="s">
        <v>6465</v>
      </c>
      <c r="X1" s="341" t="s">
        <v>6321</v>
      </c>
      <c r="Y1" s="342" t="s">
        <v>6466</v>
      </c>
      <c r="Z1" s="714" t="s">
        <v>6322</v>
      </c>
      <c r="AA1" s="714"/>
      <c r="AB1" s="714"/>
      <c r="AC1" s="714"/>
      <c r="AD1" s="714"/>
      <c r="AE1" s="714"/>
      <c r="AF1" s="714"/>
      <c r="AG1" s="714"/>
    </row>
    <row r="2" spans="1:41" ht="24" customHeight="1">
      <c r="A2" s="31" t="s">
        <v>67</v>
      </c>
      <c r="B2" s="483" t="s">
        <v>68</v>
      </c>
      <c r="C2" s="351" t="s">
        <v>150</v>
      </c>
      <c r="D2" s="352" t="s">
        <v>69</v>
      </c>
      <c r="E2" s="351" t="s">
        <v>70</v>
      </c>
      <c r="F2" s="352" t="s">
        <v>69</v>
      </c>
      <c r="G2" s="53" t="s">
        <v>151</v>
      </c>
      <c r="H2" s="33" t="s">
        <v>71</v>
      </c>
      <c r="I2" s="352" t="s">
        <v>1</v>
      </c>
      <c r="J2" s="352" t="s">
        <v>72</v>
      </c>
      <c r="K2" s="352" t="s">
        <v>6315</v>
      </c>
      <c r="L2" s="352" t="s">
        <v>0</v>
      </c>
      <c r="M2" s="59" t="s">
        <v>73</v>
      </c>
      <c r="N2" s="59" t="s">
        <v>2</v>
      </c>
      <c r="O2" s="59" t="s">
        <v>3</v>
      </c>
      <c r="P2" s="59" t="s">
        <v>0</v>
      </c>
      <c r="Q2" s="59" t="s">
        <v>4</v>
      </c>
      <c r="R2" s="298" t="s">
        <v>74</v>
      </c>
      <c r="S2" s="59" t="s">
        <v>75</v>
      </c>
      <c r="T2" s="358" t="s">
        <v>76</v>
      </c>
      <c r="U2" s="359" t="s">
        <v>6467</v>
      </c>
      <c r="V2" s="360" t="s">
        <v>6459</v>
      </c>
      <c r="W2" s="360" t="s">
        <v>6151</v>
      </c>
      <c r="X2" s="361" t="s">
        <v>6563</v>
      </c>
      <c r="Y2" s="362" t="s">
        <v>6153</v>
      </c>
      <c r="Z2" s="363" t="s">
        <v>73</v>
      </c>
      <c r="AA2" s="363" t="s">
        <v>2</v>
      </c>
      <c r="AB2" s="363" t="s">
        <v>3</v>
      </c>
      <c r="AC2" s="363" t="s">
        <v>0</v>
      </c>
      <c r="AD2" s="363" t="s">
        <v>4</v>
      </c>
      <c r="AE2" s="364" t="s">
        <v>74</v>
      </c>
      <c r="AF2" s="363" t="s">
        <v>75</v>
      </c>
      <c r="AG2" s="363" t="s">
        <v>76</v>
      </c>
    </row>
    <row r="3" spans="1:41" ht="24" customHeight="1" thickBot="1">
      <c r="A3" s="576" t="s">
        <v>6584</v>
      </c>
      <c r="B3" s="35" t="s">
        <v>6580</v>
      </c>
      <c r="C3" s="577"/>
      <c r="D3" s="578"/>
      <c r="E3" s="721" t="s">
        <v>117</v>
      </c>
      <c r="F3" s="722"/>
      <c r="G3" s="579" t="s">
        <v>6581</v>
      </c>
      <c r="H3" s="580" t="s">
        <v>6582</v>
      </c>
      <c r="I3" s="36" t="s">
        <v>123</v>
      </c>
      <c r="J3" s="581" t="s">
        <v>6109</v>
      </c>
      <c r="K3" s="582" t="s">
        <v>6583</v>
      </c>
      <c r="L3" s="345" t="s">
        <v>124</v>
      </c>
      <c r="M3" s="37" t="s">
        <v>6468</v>
      </c>
      <c r="N3" s="38" t="s">
        <v>6469</v>
      </c>
      <c r="O3" s="38" t="s">
        <v>6470</v>
      </c>
      <c r="P3" s="38" t="s">
        <v>6471</v>
      </c>
      <c r="Q3" s="38" t="s">
        <v>6155</v>
      </c>
      <c r="R3" s="39" t="s">
        <v>6156</v>
      </c>
      <c r="S3" s="38" t="s">
        <v>6472</v>
      </c>
      <c r="T3" s="41" t="s">
        <v>6157</v>
      </c>
      <c r="U3" s="343" t="s">
        <v>6467</v>
      </c>
      <c r="V3" s="36" t="s">
        <v>6459</v>
      </c>
      <c r="W3" s="36" t="s">
        <v>6151</v>
      </c>
      <c r="X3" s="344" t="s">
        <v>6563</v>
      </c>
      <c r="Y3" s="345" t="s">
        <v>6153</v>
      </c>
      <c r="Z3" s="37" t="s">
        <v>6468</v>
      </c>
      <c r="AA3" s="38" t="s">
        <v>6469</v>
      </c>
      <c r="AB3" s="38" t="s">
        <v>6470</v>
      </c>
      <c r="AC3" s="38" t="s">
        <v>6471</v>
      </c>
      <c r="AD3" s="38" t="s">
        <v>6155</v>
      </c>
      <c r="AE3" s="39" t="s">
        <v>6156</v>
      </c>
      <c r="AF3" s="38" t="s">
        <v>6472</v>
      </c>
      <c r="AG3" s="41" t="s">
        <v>6462</v>
      </c>
    </row>
    <row r="4" spans="1:41" ht="24" customHeight="1">
      <c r="A4" s="11">
        <f>1</f>
        <v>1</v>
      </c>
      <c r="B4" s="8">
        <v>47</v>
      </c>
      <c r="C4" s="478" t="str">
        <f>VLOOKUP(B4,All!$B$4:$S$8977,2,FALSE)</f>
        <v>ឃុន</v>
      </c>
      <c r="D4" s="479" t="str">
        <f>VLOOKUP(B4,All!$B$4:$S$89977,3,FALSE)</f>
        <v>សាខន</v>
      </c>
      <c r="E4" s="478" t="str">
        <f>VLOOKUP(B4,All!$B$4:$S$8977,4,FALSE)</f>
        <v>Khun</v>
      </c>
      <c r="F4" s="479" t="str">
        <f>VLOOKUP(B4,All!$B$4:$S$8977,5,FALSE)</f>
        <v>Sakhân</v>
      </c>
      <c r="G4" s="479" t="str">
        <f>VLOOKUP(B4,All!$B$4:$S$8977,6,FALSE)</f>
        <v>F</v>
      </c>
      <c r="H4" s="385">
        <f>VLOOKUP(B4,All!$B$4:$S$8977,7,FALSE)</f>
        <v>24152</v>
      </c>
      <c r="I4" s="154">
        <f>VLOOKUP(B4,All!$B$4:$S$8977,8,FALSE)</f>
        <v>41583</v>
      </c>
      <c r="J4" s="154" t="str">
        <f>VLOOKUP(B4,All!$B$4:$S$8977,9,FALSE)</f>
        <v>Production</v>
      </c>
      <c r="K4" s="154" t="str">
        <f>VLOOKUP(B4,All!$B$4:$S$8977,10,FALSE)</f>
        <v xml:space="preserve"> Line8</v>
      </c>
      <c r="L4" s="698" t="str">
        <f>VLOOKUP(B4,All!$B$4:$S$8977,11,FALSE)</f>
        <v>Sewing operator</v>
      </c>
      <c r="M4" s="585">
        <f>VLOOKUP(B4,All!$B$4:$S$8977,12,FALSE)</f>
        <v>199</v>
      </c>
      <c r="N4" s="586">
        <f>VLOOKUP(B4,All!$B$4:$S$8977,13,FALSE)</f>
        <v>9</v>
      </c>
      <c r="O4" s="586">
        <f>VLOOKUP(B4,All!$B$4:$S$8977,14,FALSE)</f>
        <v>20</v>
      </c>
      <c r="P4" s="586">
        <f>VLOOKUP(B4,All!$B$4:$S$8977,15,FALSE)</f>
        <v>0</v>
      </c>
      <c r="Q4" s="586">
        <f>VLOOKUP(B4,All!$B$4:$S$8977,16,FALSE)</f>
        <v>0</v>
      </c>
      <c r="R4" s="586">
        <v>7</v>
      </c>
      <c r="S4" s="586">
        <v>10</v>
      </c>
      <c r="T4" s="587">
        <f t="shared" ref="T4:T23" si="0">SUM(M4:S4)</f>
        <v>245</v>
      </c>
      <c r="U4" s="568"/>
      <c r="V4" s="3"/>
      <c r="W4" s="3"/>
      <c r="X4" s="3"/>
      <c r="Y4" s="562"/>
      <c r="Z4" s="585">
        <f>M4+AH4</f>
        <v>201</v>
      </c>
      <c r="AA4" s="586">
        <f t="shared" ref="AA4:AA51" si="1">N4</f>
        <v>9</v>
      </c>
      <c r="AB4" s="586">
        <f t="shared" ref="AB4:AB51" si="2">O4</f>
        <v>20</v>
      </c>
      <c r="AC4" s="586">
        <f t="shared" ref="AC4:AC51" si="3">P4</f>
        <v>0</v>
      </c>
      <c r="AD4" s="586">
        <f t="shared" ref="AD4:AD51" si="4">Q4</f>
        <v>0</v>
      </c>
      <c r="AE4" s="586">
        <f t="shared" ref="AE4:AF21" si="5">R4</f>
        <v>7</v>
      </c>
      <c r="AF4" s="586">
        <f t="shared" si="5"/>
        <v>10</v>
      </c>
      <c r="AG4" s="587">
        <f t="shared" ref="AG4:AG42" si="6">SUM(Z4:AF4)</f>
        <v>247</v>
      </c>
      <c r="AH4" s="42">
        <v>2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2</v>
      </c>
    </row>
    <row r="5" spans="1:41" ht="24" customHeight="1">
      <c r="A5" s="11">
        <f>1+A4</f>
        <v>2</v>
      </c>
      <c r="B5" s="8">
        <v>67</v>
      </c>
      <c r="C5" s="478" t="str">
        <f>VLOOKUP(B5,All!$B$4:$S$8977,2,FALSE)</f>
        <v>ហុង</v>
      </c>
      <c r="D5" s="479" t="str">
        <f>VLOOKUP(B5,All!$B$4:$S$89977,3,FALSE)</f>
        <v>សេងចន្នី</v>
      </c>
      <c r="E5" s="478" t="str">
        <f>VLOOKUP(B5,All!$B$4:$S$8977,4,FALSE)</f>
        <v>HONG</v>
      </c>
      <c r="F5" s="479" t="str">
        <f>VLOOKUP(B5,All!$B$4:$S$8977,5,FALSE)</f>
        <v>SENG CHANNY</v>
      </c>
      <c r="G5" s="479" t="str">
        <f>VLOOKUP(B5,All!$B$4:$S$8977,6,FALSE)</f>
        <v>F</v>
      </c>
      <c r="H5" s="385">
        <f>VLOOKUP(B5,All!$B$4:$S$8977,7,FALSE)</f>
        <v>30439</v>
      </c>
      <c r="I5" s="154">
        <f>VLOOKUP(B5,All!$B$4:$S$8977,8,FALSE)</f>
        <v>41591</v>
      </c>
      <c r="J5" s="154" t="str">
        <f>VLOOKUP(B5,All!$B$4:$S$8977,9,FALSE)</f>
        <v>Production</v>
      </c>
      <c r="K5" s="154" t="str">
        <f>VLOOKUP(B5,All!$B$4:$S$8977,10,FALSE)</f>
        <v>Line9</v>
      </c>
      <c r="L5" s="698" t="str">
        <f>VLOOKUP(B5,All!$B$4:$S$8977,11,FALSE)</f>
        <v>Sewing operator</v>
      </c>
      <c r="M5" s="570">
        <f>VLOOKUP(B5,All!$B$4:$S$8977,12,FALSE)</f>
        <v>192</v>
      </c>
      <c r="N5" s="18">
        <f>VLOOKUP(B5,All!$B$4:$S$8977,13,FALSE)</f>
        <v>9</v>
      </c>
      <c r="O5" s="18">
        <f>VLOOKUP(B5,All!$B$4:$S$8977,14,FALSE)</f>
        <v>20</v>
      </c>
      <c r="P5" s="18">
        <f>VLOOKUP(B5,All!$B$4:$S$8977,15,FALSE)</f>
        <v>0</v>
      </c>
      <c r="Q5" s="18">
        <f>VLOOKUP(B5,All!$B$4:$S$8977,16,FALSE)</f>
        <v>0</v>
      </c>
      <c r="R5" s="18">
        <v>7</v>
      </c>
      <c r="S5" s="18">
        <v>10</v>
      </c>
      <c r="T5" s="550">
        <f t="shared" si="0"/>
        <v>238</v>
      </c>
      <c r="U5" s="568"/>
      <c r="V5" s="3"/>
      <c r="W5" s="3"/>
      <c r="X5" s="3"/>
      <c r="Y5" s="562"/>
      <c r="Z5" s="570">
        <f t="shared" ref="Z5:Z51" si="7">M5+AH5</f>
        <v>194</v>
      </c>
      <c r="AA5" s="18">
        <f t="shared" si="1"/>
        <v>9</v>
      </c>
      <c r="AB5" s="18">
        <f t="shared" si="2"/>
        <v>20</v>
      </c>
      <c r="AC5" s="18">
        <f t="shared" si="3"/>
        <v>0</v>
      </c>
      <c r="AD5" s="18">
        <f t="shared" si="4"/>
        <v>0</v>
      </c>
      <c r="AE5" s="18">
        <f t="shared" si="5"/>
        <v>7</v>
      </c>
      <c r="AF5" s="18">
        <f t="shared" si="5"/>
        <v>10</v>
      </c>
      <c r="AG5" s="550">
        <f t="shared" si="6"/>
        <v>240</v>
      </c>
      <c r="AH5" s="42">
        <v>2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2</v>
      </c>
    </row>
    <row r="6" spans="1:41" ht="24" customHeight="1">
      <c r="A6" s="11">
        <f t="shared" ref="A6:A69" si="8">1+A5</f>
        <v>3</v>
      </c>
      <c r="B6" s="8">
        <v>69</v>
      </c>
      <c r="C6" s="478" t="str">
        <f>VLOOKUP(B6,All!$B$4:$S$8977,2,FALSE)</f>
        <v>ធង</v>
      </c>
      <c r="D6" s="479" t="str">
        <f>VLOOKUP(B6,All!$B$4:$S$89977,3,FALSE)</f>
        <v>អួន</v>
      </c>
      <c r="E6" s="478" t="str">
        <f>VLOOKUP(B6,All!$B$4:$S$8977,4,FALSE)</f>
        <v>THORNG</v>
      </c>
      <c r="F6" s="479" t="str">
        <f>VLOOKUP(B6,All!$B$4:$S$8977,5,FALSE)</f>
        <v>UON</v>
      </c>
      <c r="G6" s="479" t="str">
        <f>VLOOKUP(B6,All!$B$4:$S$8977,6,FALSE)</f>
        <v>F</v>
      </c>
      <c r="H6" s="385">
        <f>VLOOKUP(B6,All!$B$4:$S$8977,7,FALSE)</f>
        <v>29285</v>
      </c>
      <c r="I6" s="154">
        <f>VLOOKUP(B6,All!$B$4:$S$8977,8,FALSE)</f>
        <v>41591</v>
      </c>
      <c r="J6" s="154" t="str">
        <f>VLOOKUP(B6,All!$B$4:$S$8977,9,FALSE)</f>
        <v>Production</v>
      </c>
      <c r="K6" s="154" t="str">
        <f>VLOOKUP(B6,All!$B$4:$S$8977,10,FALSE)</f>
        <v>Line21</v>
      </c>
      <c r="L6" s="698" t="str">
        <f>VLOOKUP(B6,All!$B$4:$S$8977,11,FALSE)</f>
        <v>Sewing operator</v>
      </c>
      <c r="M6" s="570">
        <f>VLOOKUP(B6,All!$B$4:$S$8977,12,FALSE)</f>
        <v>192</v>
      </c>
      <c r="N6" s="18">
        <f>VLOOKUP(B6,All!$B$4:$S$8977,13,FALSE)</f>
        <v>9</v>
      </c>
      <c r="O6" s="18">
        <f>VLOOKUP(B6,All!$B$4:$S$8977,14,FALSE)</f>
        <v>20</v>
      </c>
      <c r="P6" s="18">
        <f>VLOOKUP(B6,All!$B$4:$S$8977,15,FALSE)</f>
        <v>0</v>
      </c>
      <c r="Q6" s="18">
        <f>VLOOKUP(B6,All!$B$4:$S$8977,16,FALSE)</f>
        <v>0</v>
      </c>
      <c r="R6" s="18">
        <v>7</v>
      </c>
      <c r="S6" s="18">
        <v>10</v>
      </c>
      <c r="T6" s="550">
        <f t="shared" si="0"/>
        <v>238</v>
      </c>
      <c r="U6" s="568"/>
      <c r="V6" s="3"/>
      <c r="W6" s="3"/>
      <c r="X6" s="3"/>
      <c r="Y6" s="562"/>
      <c r="Z6" s="570">
        <f t="shared" si="7"/>
        <v>194</v>
      </c>
      <c r="AA6" s="18">
        <f t="shared" si="1"/>
        <v>9</v>
      </c>
      <c r="AB6" s="18">
        <f t="shared" si="2"/>
        <v>20</v>
      </c>
      <c r="AC6" s="18">
        <f t="shared" si="3"/>
        <v>0</v>
      </c>
      <c r="AD6" s="18">
        <f t="shared" si="4"/>
        <v>0</v>
      </c>
      <c r="AE6" s="18">
        <f t="shared" si="5"/>
        <v>7</v>
      </c>
      <c r="AF6" s="18">
        <f t="shared" si="5"/>
        <v>10</v>
      </c>
      <c r="AG6" s="550">
        <f t="shared" si="6"/>
        <v>240</v>
      </c>
      <c r="AH6" s="42">
        <v>2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2</v>
      </c>
    </row>
    <row r="7" spans="1:41" ht="24" customHeight="1">
      <c r="A7" s="11">
        <f t="shared" si="8"/>
        <v>4</v>
      </c>
      <c r="B7" s="93">
        <v>78</v>
      </c>
      <c r="C7" s="478" t="str">
        <f>VLOOKUP(B7,All!$B$4:$S$8977,2,FALSE)</f>
        <v>ម៉ូវ</v>
      </c>
      <c r="D7" s="479" t="str">
        <f>VLOOKUP(B7,All!$B$4:$S$89977,3,FALSE)</f>
        <v>សុធឿន</v>
      </c>
      <c r="E7" s="478" t="str">
        <f>VLOOKUP(B7,All!$B$4:$S$8977,4,FALSE)</f>
        <v>MOUV</v>
      </c>
      <c r="F7" s="479" t="str">
        <f>VLOOKUP(B7,All!$B$4:$S$8977,5,FALSE)</f>
        <v>SOTHOEUNRN</v>
      </c>
      <c r="G7" s="479" t="str">
        <f>VLOOKUP(B7,All!$B$4:$S$8977,6,FALSE)</f>
        <v>F</v>
      </c>
      <c r="H7" s="385">
        <f>VLOOKUP(B7,All!$B$4:$S$8977,7,FALSE)</f>
        <v>31630</v>
      </c>
      <c r="I7" s="154">
        <f>VLOOKUP(B7,All!$B$4:$S$8977,8,FALSE)</f>
        <v>41598</v>
      </c>
      <c r="J7" s="154" t="str">
        <f>VLOOKUP(B7,All!$B$4:$S$8977,9,FALSE)</f>
        <v>Production</v>
      </c>
      <c r="K7" s="154" t="str">
        <f>VLOOKUP(B7,All!$B$4:$S$8977,10,FALSE)</f>
        <v>Line10</v>
      </c>
      <c r="L7" s="698" t="str">
        <f>VLOOKUP(B7,All!$B$4:$S$8977,11,FALSE)</f>
        <v>Sewing operator</v>
      </c>
      <c r="M7" s="570">
        <f>VLOOKUP(B7,All!$B$4:$S$8977,12,FALSE)</f>
        <v>192</v>
      </c>
      <c r="N7" s="18">
        <f>VLOOKUP(B7,All!$B$4:$S$8977,13,FALSE)</f>
        <v>9</v>
      </c>
      <c r="O7" s="18">
        <f>VLOOKUP(B7,All!$B$4:$S$8977,14,FALSE)</f>
        <v>20</v>
      </c>
      <c r="P7" s="18">
        <f>VLOOKUP(B7,All!$B$4:$S$8977,15,FALSE)</f>
        <v>0</v>
      </c>
      <c r="Q7" s="18">
        <f>VLOOKUP(B7,All!$B$4:$S$8977,16,FALSE)</f>
        <v>0</v>
      </c>
      <c r="R7" s="18">
        <v>7</v>
      </c>
      <c r="S7" s="18">
        <v>10</v>
      </c>
      <c r="T7" s="550">
        <f t="shared" si="0"/>
        <v>238</v>
      </c>
      <c r="U7" s="568"/>
      <c r="V7" s="3"/>
      <c r="W7" s="3"/>
      <c r="X7" s="3"/>
      <c r="Y7" s="562"/>
      <c r="Z7" s="570">
        <f t="shared" si="7"/>
        <v>194</v>
      </c>
      <c r="AA7" s="18">
        <f t="shared" si="1"/>
        <v>9</v>
      </c>
      <c r="AB7" s="18">
        <f t="shared" si="2"/>
        <v>20</v>
      </c>
      <c r="AC7" s="18">
        <f t="shared" si="3"/>
        <v>0</v>
      </c>
      <c r="AD7" s="18">
        <f t="shared" si="4"/>
        <v>0</v>
      </c>
      <c r="AE7" s="18">
        <f t="shared" si="5"/>
        <v>7</v>
      </c>
      <c r="AF7" s="18">
        <f t="shared" si="5"/>
        <v>10</v>
      </c>
      <c r="AG7" s="550">
        <f t="shared" si="6"/>
        <v>240</v>
      </c>
      <c r="AH7" s="42">
        <v>2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2</v>
      </c>
    </row>
    <row r="8" spans="1:41" ht="24" customHeight="1">
      <c r="A8" s="11">
        <f t="shared" si="8"/>
        <v>5</v>
      </c>
      <c r="B8" s="93">
        <v>81</v>
      </c>
      <c r="C8" s="478" t="str">
        <f>VLOOKUP(B8,All!$B$4:$S$8977,2,FALSE)</f>
        <v>វ៉ន</v>
      </c>
      <c r="D8" s="479" t="str">
        <f>VLOOKUP(B8,All!$B$4:$S$89977,3,FALSE)</f>
        <v>ភា</v>
      </c>
      <c r="E8" s="478" t="str">
        <f>VLOOKUP(B8,All!$B$4:$S$8977,4,FALSE)</f>
        <v>Vorn</v>
      </c>
      <c r="F8" s="479" t="str">
        <f>VLOOKUP(B8,All!$B$4:$S$8977,5,FALSE)</f>
        <v>Phea</v>
      </c>
      <c r="G8" s="479" t="str">
        <f>VLOOKUP(B8,All!$B$4:$S$8977,6,FALSE)</f>
        <v>F</v>
      </c>
      <c r="H8" s="385">
        <f>VLOOKUP(B8,All!$B$4:$S$8977,7,FALSE)</f>
        <v>28299</v>
      </c>
      <c r="I8" s="154">
        <f>VLOOKUP(B8,All!$B$4:$S$8977,8,FALSE)</f>
        <v>41599</v>
      </c>
      <c r="J8" s="154" t="str">
        <f>VLOOKUP(B8,All!$B$4:$S$8977,9,FALSE)</f>
        <v>Production</v>
      </c>
      <c r="K8" s="154" t="str">
        <f>VLOOKUP(B8,All!$B$4:$S$8977,10,FALSE)</f>
        <v>Line10</v>
      </c>
      <c r="L8" s="698" t="str">
        <f>VLOOKUP(B8,All!$B$4:$S$8977,11,FALSE)</f>
        <v>Sewing operator</v>
      </c>
      <c r="M8" s="570">
        <f>VLOOKUP(B8,All!$B$4:$S$8977,12,FALSE)</f>
        <v>192</v>
      </c>
      <c r="N8" s="18">
        <f>VLOOKUP(B8,All!$B$4:$S$8977,13,FALSE)</f>
        <v>9</v>
      </c>
      <c r="O8" s="18">
        <f>VLOOKUP(B8,All!$B$4:$S$8977,14,FALSE)</f>
        <v>20</v>
      </c>
      <c r="P8" s="18">
        <f>VLOOKUP(B8,All!$B$4:$S$8977,15,FALSE)</f>
        <v>0</v>
      </c>
      <c r="Q8" s="18">
        <f>VLOOKUP(B8,All!$B$4:$S$8977,16,FALSE)</f>
        <v>0</v>
      </c>
      <c r="R8" s="18">
        <v>7</v>
      </c>
      <c r="S8" s="18">
        <v>10</v>
      </c>
      <c r="T8" s="550">
        <f t="shared" si="0"/>
        <v>238</v>
      </c>
      <c r="U8" s="568"/>
      <c r="V8" s="3"/>
      <c r="W8" s="3"/>
      <c r="X8" s="3"/>
      <c r="Y8" s="562"/>
      <c r="Z8" s="570">
        <f t="shared" si="7"/>
        <v>194</v>
      </c>
      <c r="AA8" s="18">
        <f t="shared" si="1"/>
        <v>9</v>
      </c>
      <c r="AB8" s="18">
        <f t="shared" si="2"/>
        <v>20</v>
      </c>
      <c r="AC8" s="18">
        <f t="shared" si="3"/>
        <v>0</v>
      </c>
      <c r="AD8" s="18">
        <f t="shared" si="4"/>
        <v>0</v>
      </c>
      <c r="AE8" s="18">
        <f t="shared" si="5"/>
        <v>7</v>
      </c>
      <c r="AF8" s="18">
        <f t="shared" si="5"/>
        <v>10</v>
      </c>
      <c r="AG8" s="550">
        <f t="shared" si="6"/>
        <v>240</v>
      </c>
      <c r="AH8" s="42">
        <v>2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2</v>
      </c>
    </row>
    <row r="9" spans="1:41" ht="24" customHeight="1">
      <c r="A9" s="11">
        <f t="shared" si="8"/>
        <v>6</v>
      </c>
      <c r="B9" s="93">
        <v>90</v>
      </c>
      <c r="C9" s="478" t="str">
        <f>VLOOKUP(B9,All!$B$4:$S$8977,2,FALSE)</f>
        <v>ហឿង</v>
      </c>
      <c r="D9" s="479" t="str">
        <f>VLOOKUP(B9,All!$B$4:$S$89977,3,FALSE)</f>
        <v>សុខឡាង</v>
      </c>
      <c r="E9" s="478" t="str">
        <f>VLOOKUP(B9,All!$B$4:$S$8977,4,FALSE)</f>
        <v>HOEUNG</v>
      </c>
      <c r="F9" s="479" t="str">
        <f>VLOOKUP(B9,All!$B$4:$S$8977,5,FALSE)</f>
        <v>SOK LANG</v>
      </c>
      <c r="G9" s="479" t="str">
        <f>VLOOKUP(B9,All!$B$4:$S$8977,6,FALSE)</f>
        <v>F</v>
      </c>
      <c r="H9" s="385">
        <f>VLOOKUP(B9,All!$B$4:$S$8977,7,FALSE)</f>
        <v>33244</v>
      </c>
      <c r="I9" s="154">
        <f>VLOOKUP(B9,All!$B$4:$S$8977,8,FALSE)</f>
        <v>41598</v>
      </c>
      <c r="J9" s="154" t="str">
        <f>VLOOKUP(B9,All!$B$4:$S$8977,9,FALSE)</f>
        <v>Production</v>
      </c>
      <c r="K9" s="154" t="str">
        <f>VLOOKUP(B9,All!$B$4:$S$8977,10,FALSE)</f>
        <v>Line10</v>
      </c>
      <c r="L9" s="698" t="str">
        <f>VLOOKUP(B9,All!$B$4:$S$8977,11,FALSE)</f>
        <v>Sewing operator</v>
      </c>
      <c r="M9" s="570">
        <f>VLOOKUP(B9,All!$B$4:$S$8977,12,FALSE)</f>
        <v>192</v>
      </c>
      <c r="N9" s="18">
        <f>VLOOKUP(B9,All!$B$4:$S$8977,13,FALSE)</f>
        <v>9</v>
      </c>
      <c r="O9" s="18">
        <f>VLOOKUP(B9,All!$B$4:$S$8977,14,FALSE)</f>
        <v>20</v>
      </c>
      <c r="P9" s="18">
        <f>VLOOKUP(B9,All!$B$4:$S$8977,15,FALSE)</f>
        <v>0</v>
      </c>
      <c r="Q9" s="18">
        <f>VLOOKUP(B9,All!$B$4:$S$8977,16,FALSE)</f>
        <v>0</v>
      </c>
      <c r="R9" s="18">
        <v>7</v>
      </c>
      <c r="S9" s="18">
        <v>10</v>
      </c>
      <c r="T9" s="550">
        <f t="shared" si="0"/>
        <v>238</v>
      </c>
      <c r="U9" s="568"/>
      <c r="V9" s="3"/>
      <c r="W9" s="3"/>
      <c r="X9" s="3"/>
      <c r="Y9" s="562"/>
      <c r="Z9" s="570">
        <f t="shared" si="7"/>
        <v>194</v>
      </c>
      <c r="AA9" s="18">
        <f t="shared" si="1"/>
        <v>9</v>
      </c>
      <c r="AB9" s="18">
        <f t="shared" si="2"/>
        <v>20</v>
      </c>
      <c r="AC9" s="18">
        <f t="shared" si="3"/>
        <v>0</v>
      </c>
      <c r="AD9" s="18">
        <f t="shared" si="4"/>
        <v>0</v>
      </c>
      <c r="AE9" s="18">
        <f t="shared" si="5"/>
        <v>7</v>
      </c>
      <c r="AF9" s="18">
        <f t="shared" si="5"/>
        <v>10</v>
      </c>
      <c r="AG9" s="550">
        <f t="shared" si="6"/>
        <v>240</v>
      </c>
      <c r="AH9" s="42">
        <v>2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2</v>
      </c>
    </row>
    <row r="10" spans="1:41" ht="24" customHeight="1">
      <c r="A10" s="11">
        <f t="shared" si="8"/>
        <v>7</v>
      </c>
      <c r="B10" s="8">
        <v>113</v>
      </c>
      <c r="C10" s="478" t="str">
        <f>VLOOKUP(B10,All!$B$4:$S$8977,2,FALSE)</f>
        <v>អៀម</v>
      </c>
      <c r="D10" s="479" t="str">
        <f>VLOOKUP(B10,All!$B$4:$S$89977,3,FALSE)</f>
        <v>សារីម</v>
      </c>
      <c r="E10" s="478" t="str">
        <f>VLOOKUP(B10,All!$B$4:$S$8977,4,FALSE)</f>
        <v>IEM</v>
      </c>
      <c r="F10" s="479" t="str">
        <f>VLOOKUP(B10,All!$B$4:$S$8977,5,FALSE)</f>
        <v>SARIM</v>
      </c>
      <c r="G10" s="479" t="str">
        <f>VLOOKUP(B10,All!$B$4:$S$8977,6,FALSE)</f>
        <v>F</v>
      </c>
      <c r="H10" s="385">
        <f>VLOOKUP(B10,All!$B$4:$S$8977,7,FALSE)</f>
        <v>29385</v>
      </c>
      <c r="I10" s="154">
        <f>VLOOKUP(B10,All!$B$4:$S$8977,8,FALSE)</f>
        <v>41612</v>
      </c>
      <c r="J10" s="154" t="str">
        <f>VLOOKUP(B10,All!$B$4:$S$8977,9,FALSE)</f>
        <v>Production</v>
      </c>
      <c r="K10" s="154" t="str">
        <f>VLOOKUP(B10,All!$B$4:$S$8977,10,FALSE)</f>
        <v xml:space="preserve"> Line1</v>
      </c>
      <c r="L10" s="698" t="str">
        <f>VLOOKUP(B10,All!$B$4:$S$8977,11,FALSE)</f>
        <v>Sewing operator</v>
      </c>
      <c r="M10" s="570">
        <f>VLOOKUP(B10,All!$B$4:$S$8977,12,FALSE)</f>
        <v>192</v>
      </c>
      <c r="N10" s="18">
        <f>VLOOKUP(B10,All!$B$4:$S$8977,13,FALSE)</f>
        <v>9</v>
      </c>
      <c r="O10" s="18">
        <f>VLOOKUP(B10,All!$B$4:$S$8977,14,FALSE)</f>
        <v>20</v>
      </c>
      <c r="P10" s="18">
        <f>VLOOKUP(B10,All!$B$4:$S$8977,15,FALSE)</f>
        <v>0</v>
      </c>
      <c r="Q10" s="18">
        <f>VLOOKUP(B10,All!$B$4:$S$8977,16,FALSE)</f>
        <v>0</v>
      </c>
      <c r="R10" s="18">
        <v>7</v>
      </c>
      <c r="S10" s="18">
        <v>10</v>
      </c>
      <c r="T10" s="550">
        <f t="shared" si="0"/>
        <v>238</v>
      </c>
      <c r="U10" s="568"/>
      <c r="V10" s="3"/>
      <c r="W10" s="3"/>
      <c r="X10" s="3"/>
      <c r="Y10" s="562"/>
      <c r="Z10" s="570">
        <f t="shared" si="7"/>
        <v>194</v>
      </c>
      <c r="AA10" s="18">
        <f t="shared" si="1"/>
        <v>9</v>
      </c>
      <c r="AB10" s="18">
        <f t="shared" si="2"/>
        <v>20</v>
      </c>
      <c r="AC10" s="18">
        <f t="shared" si="3"/>
        <v>0</v>
      </c>
      <c r="AD10" s="18">
        <f t="shared" si="4"/>
        <v>0</v>
      </c>
      <c r="AE10" s="18">
        <f t="shared" si="5"/>
        <v>7</v>
      </c>
      <c r="AF10" s="18">
        <f t="shared" si="5"/>
        <v>10</v>
      </c>
      <c r="AG10" s="550">
        <f t="shared" si="6"/>
        <v>240</v>
      </c>
      <c r="AH10" s="42">
        <v>2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2</v>
      </c>
    </row>
    <row r="11" spans="1:41" ht="24" customHeight="1">
      <c r="A11" s="11">
        <f t="shared" si="8"/>
        <v>8</v>
      </c>
      <c r="B11" s="8">
        <v>146</v>
      </c>
      <c r="C11" s="478" t="str">
        <f>VLOOKUP(B11,All!$B$4:$S$8977,2,FALSE)</f>
        <v>ទៀប</v>
      </c>
      <c r="D11" s="479" t="str">
        <f>VLOOKUP(B11,All!$B$4:$S$89977,3,FALSE)</f>
        <v>សូនី</v>
      </c>
      <c r="E11" s="478" t="str">
        <f>VLOOKUP(B11,All!$B$4:$S$8977,4,FALSE)</f>
        <v>Teab</v>
      </c>
      <c r="F11" s="479" t="str">
        <f>VLOOKUP(B11,All!$B$4:$S$8977,5,FALSE)</f>
        <v>sony</v>
      </c>
      <c r="G11" s="479" t="str">
        <f>VLOOKUP(B11,All!$B$4:$S$8977,6,FALSE)</f>
        <v>F</v>
      </c>
      <c r="H11" s="385">
        <f>VLOOKUP(B11,All!$B$4:$S$8977,7,FALSE)</f>
        <v>25950</v>
      </c>
      <c r="I11" s="154">
        <f>VLOOKUP(B11,All!$B$4:$S$8977,8,FALSE)</f>
        <v>41619</v>
      </c>
      <c r="J11" s="154" t="str">
        <f>VLOOKUP(B11,All!$B$4:$S$8977,9,FALSE)</f>
        <v>Production</v>
      </c>
      <c r="K11" s="154" t="str">
        <f>VLOOKUP(B11,All!$B$4:$S$8977,10,FALSE)</f>
        <v xml:space="preserve"> Line2</v>
      </c>
      <c r="L11" s="698" t="str">
        <f>VLOOKUP(B11,All!$B$4:$S$8977,11,FALSE)</f>
        <v>Sewing operator</v>
      </c>
      <c r="M11" s="570">
        <f>VLOOKUP(B11,All!$B$4:$S$8977,12,FALSE)</f>
        <v>192</v>
      </c>
      <c r="N11" s="18">
        <f>VLOOKUP(B11,All!$B$4:$S$8977,13,FALSE)</f>
        <v>9</v>
      </c>
      <c r="O11" s="18">
        <f>VLOOKUP(B11,All!$B$4:$S$8977,14,FALSE)</f>
        <v>20</v>
      </c>
      <c r="P11" s="18">
        <f>VLOOKUP(B11,All!$B$4:$S$8977,15,FALSE)</f>
        <v>0</v>
      </c>
      <c r="Q11" s="18">
        <f>VLOOKUP(B11,All!$B$4:$S$8977,16,FALSE)</f>
        <v>0</v>
      </c>
      <c r="R11" s="18">
        <v>7</v>
      </c>
      <c r="S11" s="18">
        <v>10</v>
      </c>
      <c r="T11" s="550">
        <f t="shared" si="0"/>
        <v>238</v>
      </c>
      <c r="U11" s="568"/>
      <c r="V11" s="3"/>
      <c r="W11" s="3"/>
      <c r="X11" s="3"/>
      <c r="Y11" s="562"/>
      <c r="Z11" s="570">
        <f t="shared" si="7"/>
        <v>194</v>
      </c>
      <c r="AA11" s="18">
        <f t="shared" si="1"/>
        <v>9</v>
      </c>
      <c r="AB11" s="18">
        <f t="shared" si="2"/>
        <v>20</v>
      </c>
      <c r="AC11" s="18">
        <f t="shared" si="3"/>
        <v>0</v>
      </c>
      <c r="AD11" s="18">
        <f t="shared" si="4"/>
        <v>0</v>
      </c>
      <c r="AE11" s="18">
        <f t="shared" si="5"/>
        <v>7</v>
      </c>
      <c r="AF11" s="18">
        <f t="shared" si="5"/>
        <v>10</v>
      </c>
      <c r="AG11" s="550">
        <f t="shared" si="6"/>
        <v>240</v>
      </c>
      <c r="AH11" s="42">
        <v>2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2</v>
      </c>
    </row>
    <row r="12" spans="1:41" ht="24" customHeight="1">
      <c r="A12" s="11">
        <f t="shared" si="8"/>
        <v>9</v>
      </c>
      <c r="B12" s="8">
        <v>176</v>
      </c>
      <c r="C12" s="478" t="str">
        <f>VLOOKUP(B12,All!$B$4:$S$8977,2,FALSE)</f>
        <v>ឃុំ</v>
      </c>
      <c r="D12" s="479" t="str">
        <f>VLOOKUP(B12,All!$B$4:$S$89977,3,FALSE)</f>
        <v>ផល្លី</v>
      </c>
      <c r="E12" s="478" t="str">
        <f>VLOOKUP(B12,All!$B$4:$S$8977,4,FALSE)</f>
        <v>khom</v>
      </c>
      <c r="F12" s="479" t="str">
        <f>VLOOKUP(B12,All!$B$4:$S$8977,5,FALSE)</f>
        <v>pholy</v>
      </c>
      <c r="G12" s="479" t="str">
        <f>VLOOKUP(B12,All!$B$4:$S$8977,6,FALSE)</f>
        <v>F</v>
      </c>
      <c r="H12" s="385">
        <f>VLOOKUP(B12,All!$B$4:$S$8977,7,FALSE)</f>
        <v>29575</v>
      </c>
      <c r="I12" s="154">
        <f>VLOOKUP(B12,All!$B$4:$S$8977,8,FALSE)</f>
        <v>41683</v>
      </c>
      <c r="J12" s="154" t="str">
        <f>VLOOKUP(B12,All!$B$4:$S$8977,9,FALSE)</f>
        <v>Production</v>
      </c>
      <c r="K12" s="154" t="str">
        <f>VLOOKUP(B12,All!$B$4:$S$8977,10,FALSE)</f>
        <v xml:space="preserve"> Line15</v>
      </c>
      <c r="L12" s="698" t="str">
        <f>VLOOKUP(B12,All!$B$4:$S$8977,11,FALSE)</f>
        <v>Sewing operator</v>
      </c>
      <c r="M12" s="570">
        <f>VLOOKUP(B12,All!$B$4:$S$8977,12,FALSE)</f>
        <v>192</v>
      </c>
      <c r="N12" s="18">
        <f>VLOOKUP(B12,All!$B$4:$S$8977,13,FALSE)</f>
        <v>8</v>
      </c>
      <c r="O12" s="18">
        <f>VLOOKUP(B12,All!$B$4:$S$8977,14,FALSE)</f>
        <v>25</v>
      </c>
      <c r="P12" s="18">
        <f>VLOOKUP(B12,All!$B$4:$S$8977,15,FALSE)</f>
        <v>0</v>
      </c>
      <c r="Q12" s="18">
        <f>VLOOKUP(B12,All!$B$4:$S$8977,16,FALSE)</f>
        <v>0</v>
      </c>
      <c r="R12" s="18">
        <v>7</v>
      </c>
      <c r="S12" s="18">
        <v>10</v>
      </c>
      <c r="T12" s="550">
        <f t="shared" si="0"/>
        <v>242</v>
      </c>
      <c r="U12" s="568"/>
      <c r="V12" s="3"/>
      <c r="W12" s="3"/>
      <c r="X12" s="3"/>
      <c r="Y12" s="562"/>
      <c r="Z12" s="570">
        <f t="shared" si="7"/>
        <v>194</v>
      </c>
      <c r="AA12" s="18">
        <f t="shared" si="1"/>
        <v>8</v>
      </c>
      <c r="AB12" s="18">
        <f t="shared" si="2"/>
        <v>25</v>
      </c>
      <c r="AC12" s="18">
        <f t="shared" si="3"/>
        <v>0</v>
      </c>
      <c r="AD12" s="18">
        <f t="shared" si="4"/>
        <v>0</v>
      </c>
      <c r="AE12" s="18">
        <f t="shared" si="5"/>
        <v>7</v>
      </c>
      <c r="AF12" s="18">
        <f t="shared" si="5"/>
        <v>10</v>
      </c>
      <c r="AG12" s="550">
        <f t="shared" si="6"/>
        <v>244</v>
      </c>
      <c r="AH12" s="42">
        <v>2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2</v>
      </c>
    </row>
    <row r="13" spans="1:41" ht="24" customHeight="1">
      <c r="A13" s="11">
        <f t="shared" si="8"/>
        <v>10</v>
      </c>
      <c r="B13" s="8">
        <v>224</v>
      </c>
      <c r="C13" s="478" t="str">
        <f>VLOOKUP(B13,All!$B$4:$S$8977,2,FALSE)</f>
        <v>ជឿន</v>
      </c>
      <c r="D13" s="479" t="str">
        <f>VLOOKUP(B13,All!$B$4:$S$89977,3,FALSE)</f>
        <v>រឿម</v>
      </c>
      <c r="E13" s="478" t="str">
        <f>VLOOKUP(B13,All!$B$4:$S$8977,4,FALSE)</f>
        <v>Choeun</v>
      </c>
      <c r="F13" s="479" t="str">
        <f>VLOOKUP(B13,All!$B$4:$S$8977,5,FALSE)</f>
        <v>Roeum</v>
      </c>
      <c r="G13" s="479" t="str">
        <f>VLOOKUP(B13,All!$B$4:$S$8977,6,FALSE)</f>
        <v>F</v>
      </c>
      <c r="H13" s="385">
        <f>VLOOKUP(B13,All!$B$4:$S$8977,7,FALSE)</f>
        <v>28491</v>
      </c>
      <c r="I13" s="154">
        <f>VLOOKUP(B13,All!$B$4:$S$8977,8,FALSE)</f>
        <v>41702</v>
      </c>
      <c r="J13" s="154" t="str">
        <f>VLOOKUP(B13,All!$B$4:$S$8977,9,FALSE)</f>
        <v>Production</v>
      </c>
      <c r="K13" s="154" t="str">
        <f>VLOOKUP(B13,All!$B$4:$S$8977,10,FALSE)</f>
        <v xml:space="preserve"> Line2</v>
      </c>
      <c r="L13" s="698" t="str">
        <f>VLOOKUP(B13,All!$B$4:$S$8977,11,FALSE)</f>
        <v>Sewing operator</v>
      </c>
      <c r="M13" s="570">
        <f>VLOOKUP(B13,All!$B$4:$S$8977,12,FALSE)</f>
        <v>192</v>
      </c>
      <c r="N13" s="18">
        <f>VLOOKUP(B13,All!$B$4:$S$8977,13,FALSE)</f>
        <v>8</v>
      </c>
      <c r="O13" s="18">
        <f>VLOOKUP(B13,All!$B$4:$S$8977,14,FALSE)</f>
        <v>20</v>
      </c>
      <c r="P13" s="18">
        <f>VLOOKUP(B13,All!$B$4:$S$8977,15,FALSE)</f>
        <v>0</v>
      </c>
      <c r="Q13" s="18">
        <f>VLOOKUP(B13,All!$B$4:$S$8977,16,FALSE)</f>
        <v>0</v>
      </c>
      <c r="R13" s="18">
        <v>7</v>
      </c>
      <c r="S13" s="18">
        <v>10</v>
      </c>
      <c r="T13" s="550">
        <f t="shared" si="0"/>
        <v>237</v>
      </c>
      <c r="U13" s="568"/>
      <c r="V13" s="3"/>
      <c r="W13" s="3"/>
      <c r="X13" s="3"/>
      <c r="Y13" s="562"/>
      <c r="Z13" s="570">
        <f t="shared" si="7"/>
        <v>194</v>
      </c>
      <c r="AA13" s="18">
        <f t="shared" si="1"/>
        <v>8</v>
      </c>
      <c r="AB13" s="18">
        <f t="shared" si="2"/>
        <v>20</v>
      </c>
      <c r="AC13" s="18">
        <f t="shared" si="3"/>
        <v>0</v>
      </c>
      <c r="AD13" s="18">
        <f t="shared" si="4"/>
        <v>0</v>
      </c>
      <c r="AE13" s="18">
        <f t="shared" si="5"/>
        <v>7</v>
      </c>
      <c r="AF13" s="18">
        <f t="shared" si="5"/>
        <v>10</v>
      </c>
      <c r="AG13" s="550">
        <f t="shared" si="6"/>
        <v>239</v>
      </c>
      <c r="AH13" s="42">
        <v>2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2</v>
      </c>
    </row>
    <row r="14" spans="1:41" ht="24" customHeight="1">
      <c r="A14" s="11">
        <f t="shared" si="8"/>
        <v>11</v>
      </c>
      <c r="B14" s="8">
        <v>226</v>
      </c>
      <c r="C14" s="478" t="str">
        <f>VLOOKUP(B14,All!$B$4:$S$8977,2,FALSE)</f>
        <v>រស់</v>
      </c>
      <c r="D14" s="479" t="str">
        <f>VLOOKUP(B14,All!$B$4:$S$89977,3,FALSE)</f>
        <v>ផល្លី</v>
      </c>
      <c r="E14" s="478" t="str">
        <f>VLOOKUP(B14,All!$B$4:$S$8977,4,FALSE)</f>
        <v>Ros</v>
      </c>
      <c r="F14" s="479" t="str">
        <f>VLOOKUP(B14,All!$B$4:$S$8977,5,FALSE)</f>
        <v>Poly</v>
      </c>
      <c r="G14" s="479" t="str">
        <f>VLOOKUP(B14,All!$B$4:$S$8977,6,FALSE)</f>
        <v>F</v>
      </c>
      <c r="H14" s="385">
        <f>VLOOKUP(B14,All!$B$4:$S$8977,7,FALSE)</f>
        <v>30275</v>
      </c>
      <c r="I14" s="154">
        <f>VLOOKUP(B14,All!$B$4:$S$8977,8,FALSE)</f>
        <v>41702</v>
      </c>
      <c r="J14" s="154" t="str">
        <f>VLOOKUP(B14,All!$B$4:$S$8977,9,FALSE)</f>
        <v>Production</v>
      </c>
      <c r="K14" s="154" t="str">
        <f>VLOOKUP(B14,All!$B$4:$S$8977,10,FALSE)</f>
        <v xml:space="preserve"> Line2</v>
      </c>
      <c r="L14" s="698" t="str">
        <f>VLOOKUP(B14,All!$B$4:$S$8977,11,FALSE)</f>
        <v>Sewing operator</v>
      </c>
      <c r="M14" s="570">
        <f>VLOOKUP(B14,All!$B$4:$S$8977,12,FALSE)</f>
        <v>192</v>
      </c>
      <c r="N14" s="18">
        <f>VLOOKUP(B14,All!$B$4:$S$8977,13,FALSE)</f>
        <v>8</v>
      </c>
      <c r="O14" s="18">
        <f>VLOOKUP(B14,All!$B$4:$S$8977,14,FALSE)</f>
        <v>20</v>
      </c>
      <c r="P14" s="18">
        <f>VLOOKUP(B14,All!$B$4:$S$8977,15,FALSE)</f>
        <v>0</v>
      </c>
      <c r="Q14" s="18">
        <f>VLOOKUP(B14,All!$B$4:$S$8977,16,FALSE)</f>
        <v>0</v>
      </c>
      <c r="R14" s="18">
        <v>7</v>
      </c>
      <c r="S14" s="18">
        <v>10</v>
      </c>
      <c r="T14" s="550">
        <f t="shared" si="0"/>
        <v>237</v>
      </c>
      <c r="U14" s="568"/>
      <c r="V14" s="3"/>
      <c r="W14" s="3"/>
      <c r="X14" s="3"/>
      <c r="Y14" s="562"/>
      <c r="Z14" s="570">
        <f t="shared" si="7"/>
        <v>194</v>
      </c>
      <c r="AA14" s="18">
        <f t="shared" si="1"/>
        <v>8</v>
      </c>
      <c r="AB14" s="18">
        <f t="shared" si="2"/>
        <v>20</v>
      </c>
      <c r="AC14" s="18">
        <f t="shared" si="3"/>
        <v>0</v>
      </c>
      <c r="AD14" s="18">
        <f t="shared" si="4"/>
        <v>0</v>
      </c>
      <c r="AE14" s="18">
        <f t="shared" si="5"/>
        <v>7</v>
      </c>
      <c r="AF14" s="18">
        <f t="shared" si="5"/>
        <v>10</v>
      </c>
      <c r="AG14" s="550">
        <f t="shared" si="6"/>
        <v>239</v>
      </c>
      <c r="AH14" s="42">
        <v>2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2</v>
      </c>
    </row>
    <row r="15" spans="1:41" ht="24" customHeight="1">
      <c r="A15" s="11">
        <f t="shared" si="8"/>
        <v>12</v>
      </c>
      <c r="B15" s="8">
        <v>271</v>
      </c>
      <c r="C15" s="478" t="str">
        <f>VLOOKUP(B15,All!$B$4:$S$8977,2,FALSE)</f>
        <v>វុន</v>
      </c>
      <c r="D15" s="479" t="str">
        <f>VLOOKUP(B15,All!$B$4:$S$89977,3,FALSE)</f>
        <v>តាំង</v>
      </c>
      <c r="E15" s="478" t="str">
        <f>VLOOKUP(B15,All!$B$4:$S$8977,4,FALSE)</f>
        <v>VUN</v>
      </c>
      <c r="F15" s="479" t="str">
        <f>VLOOKUP(B15,All!$B$4:$S$8977,5,FALSE)</f>
        <v>TAING</v>
      </c>
      <c r="G15" s="479" t="str">
        <f>VLOOKUP(B15,All!$B$4:$S$8977,6,FALSE)</f>
        <v>F</v>
      </c>
      <c r="H15" s="385">
        <f>VLOOKUP(B15,All!$B$4:$S$8977,7,FALSE)</f>
        <v>29064</v>
      </c>
      <c r="I15" s="154">
        <f>VLOOKUP(B15,All!$B$4:$S$8977,8,FALSE)</f>
        <v>41730</v>
      </c>
      <c r="J15" s="154" t="str">
        <f>VLOOKUP(B15,All!$B$4:$S$8977,9,FALSE)</f>
        <v>Production</v>
      </c>
      <c r="K15" s="154" t="str">
        <f>VLOOKUP(B15,All!$B$4:$S$8977,10,FALSE)</f>
        <v>Line17</v>
      </c>
      <c r="L15" s="698" t="str">
        <f>VLOOKUP(B15,All!$B$4:$S$8977,11,FALSE)</f>
        <v>Sewing operator</v>
      </c>
      <c r="M15" s="570">
        <f>VLOOKUP(B15,All!$B$4:$S$8977,12,FALSE)</f>
        <v>192</v>
      </c>
      <c r="N15" s="18">
        <f>VLOOKUP(B15,All!$B$4:$S$8977,13,FALSE)</f>
        <v>8</v>
      </c>
      <c r="O15" s="18">
        <f>VLOOKUP(B15,All!$B$4:$S$8977,14,FALSE)</f>
        <v>20</v>
      </c>
      <c r="P15" s="18">
        <f>VLOOKUP(B15,All!$B$4:$S$8977,15,FALSE)</f>
        <v>0</v>
      </c>
      <c r="Q15" s="18">
        <f>VLOOKUP(B15,All!$B$4:$S$8977,16,FALSE)</f>
        <v>0</v>
      </c>
      <c r="R15" s="18">
        <v>7</v>
      </c>
      <c r="S15" s="18">
        <v>10</v>
      </c>
      <c r="T15" s="550">
        <f t="shared" si="0"/>
        <v>237</v>
      </c>
      <c r="U15" s="568"/>
      <c r="V15" s="3"/>
      <c r="W15" s="3"/>
      <c r="X15" s="3"/>
      <c r="Y15" s="562"/>
      <c r="Z15" s="570">
        <f t="shared" si="7"/>
        <v>194</v>
      </c>
      <c r="AA15" s="18">
        <f t="shared" si="1"/>
        <v>8</v>
      </c>
      <c r="AB15" s="18">
        <f t="shared" si="2"/>
        <v>20</v>
      </c>
      <c r="AC15" s="18">
        <f t="shared" si="3"/>
        <v>0</v>
      </c>
      <c r="AD15" s="18">
        <f t="shared" si="4"/>
        <v>0</v>
      </c>
      <c r="AE15" s="18">
        <f t="shared" si="5"/>
        <v>7</v>
      </c>
      <c r="AF15" s="18">
        <f t="shared" si="5"/>
        <v>10</v>
      </c>
      <c r="AG15" s="550">
        <f t="shared" si="6"/>
        <v>239</v>
      </c>
      <c r="AH15" s="42">
        <v>2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2</v>
      </c>
    </row>
    <row r="16" spans="1:41" ht="24" customHeight="1">
      <c r="A16" s="11">
        <f t="shared" si="8"/>
        <v>13</v>
      </c>
      <c r="B16" s="8">
        <v>283</v>
      </c>
      <c r="C16" s="478" t="str">
        <f>VLOOKUP(B16,All!$B$4:$S$8977,2,FALSE)</f>
        <v>កែវ</v>
      </c>
      <c r="D16" s="479" t="str">
        <f>VLOOKUP(B16,All!$B$4:$S$89977,3,FALSE)</f>
        <v>ពុទ្ធា</v>
      </c>
      <c r="E16" s="478" t="str">
        <f>VLOOKUP(B16,All!$B$4:$S$8977,4,FALSE)</f>
        <v>KEO</v>
      </c>
      <c r="F16" s="479" t="str">
        <f>VLOOKUP(B16,All!$B$4:$S$8977,5,FALSE)</f>
        <v>PUTHEA</v>
      </c>
      <c r="G16" s="479" t="str">
        <f>VLOOKUP(B16,All!$B$4:$S$8977,6,FALSE)</f>
        <v>F</v>
      </c>
      <c r="H16" s="385">
        <f>VLOOKUP(B16,All!$B$4:$S$8977,7,FALSE)</f>
        <v>34151</v>
      </c>
      <c r="I16" s="154">
        <f>VLOOKUP(B16,All!$B$4:$S$8977,8,FALSE)</f>
        <v>41750</v>
      </c>
      <c r="J16" s="154" t="str">
        <f>VLOOKUP(B16,All!$B$4:$S$8977,9,FALSE)</f>
        <v>Production</v>
      </c>
      <c r="K16" s="154" t="str">
        <f>VLOOKUP(B16,All!$B$4:$S$8977,10,FALSE)</f>
        <v>Line21</v>
      </c>
      <c r="L16" s="698" t="str">
        <f>VLOOKUP(B16,All!$B$4:$S$8977,11,FALSE)</f>
        <v>Sewing operator</v>
      </c>
      <c r="M16" s="570">
        <f>VLOOKUP(B16,All!$B$4:$S$8977,12,FALSE)</f>
        <v>192</v>
      </c>
      <c r="N16" s="18">
        <f>VLOOKUP(B16,All!$B$4:$S$8977,13,FALSE)</f>
        <v>8</v>
      </c>
      <c r="O16" s="18">
        <f>VLOOKUP(B16,All!$B$4:$S$8977,14,FALSE)</f>
        <v>20</v>
      </c>
      <c r="P16" s="18">
        <f>VLOOKUP(B16,All!$B$4:$S$8977,15,FALSE)</f>
        <v>0</v>
      </c>
      <c r="Q16" s="18">
        <f>VLOOKUP(B16,All!$B$4:$S$8977,16,FALSE)</f>
        <v>0</v>
      </c>
      <c r="R16" s="18">
        <v>7</v>
      </c>
      <c r="S16" s="18">
        <v>10</v>
      </c>
      <c r="T16" s="550">
        <f t="shared" si="0"/>
        <v>237</v>
      </c>
      <c r="U16" s="568"/>
      <c r="V16" s="3"/>
      <c r="W16" s="3"/>
      <c r="X16" s="3"/>
      <c r="Y16" s="562"/>
      <c r="Z16" s="570">
        <f t="shared" si="7"/>
        <v>194</v>
      </c>
      <c r="AA16" s="18">
        <f t="shared" si="1"/>
        <v>8</v>
      </c>
      <c r="AB16" s="18">
        <f t="shared" si="2"/>
        <v>20</v>
      </c>
      <c r="AC16" s="18">
        <f t="shared" si="3"/>
        <v>0</v>
      </c>
      <c r="AD16" s="18">
        <f t="shared" si="4"/>
        <v>0</v>
      </c>
      <c r="AE16" s="18">
        <f t="shared" si="5"/>
        <v>7</v>
      </c>
      <c r="AF16" s="18">
        <f t="shared" si="5"/>
        <v>10</v>
      </c>
      <c r="AG16" s="550">
        <f t="shared" si="6"/>
        <v>239</v>
      </c>
      <c r="AH16" s="42">
        <v>2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2</v>
      </c>
    </row>
    <row r="17" spans="1:41" ht="24" customHeight="1">
      <c r="A17" s="11">
        <f t="shared" si="8"/>
        <v>14</v>
      </c>
      <c r="B17" s="8">
        <v>286</v>
      </c>
      <c r="C17" s="478" t="str">
        <f>VLOOKUP(B17,All!$B$4:$S$8977,2,FALSE)</f>
        <v>ម៉ិល</v>
      </c>
      <c r="D17" s="479" t="str">
        <f>VLOOKUP(B17,All!$B$4:$S$89977,3,FALSE)</f>
        <v>វី</v>
      </c>
      <c r="E17" s="478" t="str">
        <f>VLOOKUP(B17,All!$B$4:$S$8977,4,FALSE)</f>
        <v>MIL</v>
      </c>
      <c r="F17" s="479" t="str">
        <f>VLOOKUP(B17,All!$B$4:$S$8977,5,FALSE)</f>
        <v>VY</v>
      </c>
      <c r="G17" s="479" t="str">
        <f>VLOOKUP(B17,All!$B$4:$S$8977,6,FALSE)</f>
        <v>F</v>
      </c>
      <c r="H17" s="385">
        <f>VLOOKUP(B17,All!$B$4:$S$8977,7,FALSE)</f>
        <v>26674</v>
      </c>
      <c r="I17" s="154">
        <f>VLOOKUP(B17,All!$B$4:$S$8977,8,FALSE)</f>
        <v>41751</v>
      </c>
      <c r="J17" s="154" t="str">
        <f>VLOOKUP(B17,All!$B$4:$S$8977,9,FALSE)</f>
        <v>Production</v>
      </c>
      <c r="K17" s="154" t="str">
        <f>VLOOKUP(B17,All!$B$4:$S$8977,10,FALSE)</f>
        <v>Line21</v>
      </c>
      <c r="L17" s="698" t="str">
        <f>VLOOKUP(B17,All!$B$4:$S$8977,11,FALSE)</f>
        <v>Sewing operator</v>
      </c>
      <c r="M17" s="570">
        <f>VLOOKUP(B17,All!$B$4:$S$8977,12,FALSE)</f>
        <v>192</v>
      </c>
      <c r="N17" s="18">
        <f>VLOOKUP(B17,All!$B$4:$S$8977,13,FALSE)</f>
        <v>8</v>
      </c>
      <c r="O17" s="18">
        <f>VLOOKUP(B17,All!$B$4:$S$8977,14,FALSE)</f>
        <v>20</v>
      </c>
      <c r="P17" s="18">
        <f>VLOOKUP(B17,All!$B$4:$S$8977,15,FALSE)</f>
        <v>0</v>
      </c>
      <c r="Q17" s="18">
        <f>VLOOKUP(B17,All!$B$4:$S$8977,16,FALSE)</f>
        <v>0</v>
      </c>
      <c r="R17" s="18">
        <v>7</v>
      </c>
      <c r="S17" s="18">
        <v>10</v>
      </c>
      <c r="T17" s="550">
        <f t="shared" si="0"/>
        <v>237</v>
      </c>
      <c r="U17" s="568"/>
      <c r="V17" s="3"/>
      <c r="W17" s="3"/>
      <c r="X17" s="3"/>
      <c r="Y17" s="562"/>
      <c r="Z17" s="570">
        <f t="shared" si="7"/>
        <v>194</v>
      </c>
      <c r="AA17" s="18">
        <f t="shared" si="1"/>
        <v>8</v>
      </c>
      <c r="AB17" s="18">
        <f t="shared" si="2"/>
        <v>20</v>
      </c>
      <c r="AC17" s="18">
        <f t="shared" si="3"/>
        <v>0</v>
      </c>
      <c r="AD17" s="18">
        <f t="shared" si="4"/>
        <v>0</v>
      </c>
      <c r="AE17" s="18">
        <f t="shared" si="5"/>
        <v>7</v>
      </c>
      <c r="AF17" s="18">
        <f t="shared" si="5"/>
        <v>10</v>
      </c>
      <c r="AG17" s="550">
        <f t="shared" si="6"/>
        <v>239</v>
      </c>
      <c r="AH17" s="42">
        <v>2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2</v>
      </c>
    </row>
    <row r="18" spans="1:41" ht="24" customHeight="1">
      <c r="A18" s="11">
        <f t="shared" si="8"/>
        <v>15</v>
      </c>
      <c r="B18" s="8">
        <v>312</v>
      </c>
      <c r="C18" s="478" t="str">
        <f>VLOOKUP(B18,All!$B$4:$S$8977,2,FALSE)</f>
        <v>នាក់</v>
      </c>
      <c r="D18" s="479" t="str">
        <f>VLOOKUP(B18,All!$B$4:$S$89977,3,FALSE)</f>
        <v>នួន</v>
      </c>
      <c r="E18" s="478" t="str">
        <f>VLOOKUP(B18,All!$B$4:$S$8977,4,FALSE)</f>
        <v>NAK</v>
      </c>
      <c r="F18" s="479" t="str">
        <f>VLOOKUP(B18,All!$B$4:$S$8977,5,FALSE)</f>
        <v>NGUON</v>
      </c>
      <c r="G18" s="479" t="str">
        <f>VLOOKUP(B18,All!$B$4:$S$8977,6,FALSE)</f>
        <v>F</v>
      </c>
      <c r="H18" s="385">
        <f>VLOOKUP(B18,All!$B$4:$S$8977,7,FALSE)</f>
        <v>30906</v>
      </c>
      <c r="I18" s="154">
        <f>VLOOKUP(B18,All!$B$4:$S$8977,8,FALSE)</f>
        <v>41754</v>
      </c>
      <c r="J18" s="154" t="str">
        <f>VLOOKUP(B18,All!$B$4:$S$8977,9,FALSE)</f>
        <v>Production</v>
      </c>
      <c r="K18" s="154" t="str">
        <f>VLOOKUP(B18,All!$B$4:$S$8977,10,FALSE)</f>
        <v>Line21</v>
      </c>
      <c r="L18" s="698" t="str">
        <f>VLOOKUP(B18,All!$B$4:$S$8977,11,FALSE)</f>
        <v>Sewing operator</v>
      </c>
      <c r="M18" s="570">
        <f>VLOOKUP(B18,All!$B$4:$S$8977,12,FALSE)</f>
        <v>192</v>
      </c>
      <c r="N18" s="18">
        <f>VLOOKUP(B18,All!$B$4:$S$8977,13,FALSE)</f>
        <v>8</v>
      </c>
      <c r="O18" s="18">
        <f>VLOOKUP(B18,All!$B$4:$S$8977,14,FALSE)</f>
        <v>20</v>
      </c>
      <c r="P18" s="18">
        <f>VLOOKUP(B18,All!$B$4:$S$8977,15,FALSE)</f>
        <v>0</v>
      </c>
      <c r="Q18" s="18">
        <f>VLOOKUP(B18,All!$B$4:$S$8977,16,FALSE)</f>
        <v>0</v>
      </c>
      <c r="R18" s="18">
        <v>7</v>
      </c>
      <c r="S18" s="18">
        <v>10</v>
      </c>
      <c r="T18" s="550">
        <f t="shared" si="0"/>
        <v>237</v>
      </c>
      <c r="U18" s="568"/>
      <c r="V18" s="3"/>
      <c r="W18" s="3"/>
      <c r="X18" s="3"/>
      <c r="Y18" s="562"/>
      <c r="Z18" s="570">
        <f t="shared" si="7"/>
        <v>194</v>
      </c>
      <c r="AA18" s="18">
        <f t="shared" si="1"/>
        <v>8</v>
      </c>
      <c r="AB18" s="18">
        <f t="shared" si="2"/>
        <v>20</v>
      </c>
      <c r="AC18" s="18">
        <f t="shared" si="3"/>
        <v>0</v>
      </c>
      <c r="AD18" s="18">
        <f t="shared" si="4"/>
        <v>0</v>
      </c>
      <c r="AE18" s="18">
        <f t="shared" si="5"/>
        <v>7</v>
      </c>
      <c r="AF18" s="18">
        <f t="shared" si="5"/>
        <v>10</v>
      </c>
      <c r="AG18" s="550">
        <f t="shared" si="6"/>
        <v>239</v>
      </c>
      <c r="AH18" s="42">
        <v>2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2</v>
      </c>
    </row>
    <row r="19" spans="1:41" ht="24" customHeight="1">
      <c r="A19" s="11">
        <f t="shared" si="8"/>
        <v>16</v>
      </c>
      <c r="B19" s="8">
        <v>326</v>
      </c>
      <c r="C19" s="478" t="str">
        <f>VLOOKUP(B19,All!$B$4:$S$8977,2,FALSE)</f>
        <v>ផង់</v>
      </c>
      <c r="D19" s="479" t="str">
        <f>VLOOKUP(B19,All!$B$4:$S$89977,3,FALSE)</f>
        <v>ហៃ</v>
      </c>
      <c r="E19" s="478" t="str">
        <f>VLOOKUP(B19,All!$B$4:$S$8977,4,FALSE)</f>
        <v>PHANG</v>
      </c>
      <c r="F19" s="479" t="str">
        <f>VLOOKUP(B19,All!$B$4:$S$8977,5,FALSE)</f>
        <v>HEY</v>
      </c>
      <c r="G19" s="479" t="str">
        <f>VLOOKUP(B19,All!$B$4:$S$8977,6,FALSE)</f>
        <v>F</v>
      </c>
      <c r="H19" s="385">
        <f>VLOOKUP(B19,All!$B$4:$S$8977,7,FALSE)</f>
        <v>30929</v>
      </c>
      <c r="I19" s="154">
        <f>VLOOKUP(B19,All!$B$4:$S$8977,8,FALSE)</f>
        <v>41762</v>
      </c>
      <c r="J19" s="154" t="str">
        <f>VLOOKUP(B19,All!$B$4:$S$8977,9,FALSE)</f>
        <v>Production</v>
      </c>
      <c r="K19" s="154" t="str">
        <f>VLOOKUP(B19,All!$B$4:$S$8977,10,FALSE)</f>
        <v xml:space="preserve"> Line1</v>
      </c>
      <c r="L19" s="698" t="str">
        <f>VLOOKUP(B19,All!$B$4:$S$8977,11,FALSE)</f>
        <v>Sewing operator</v>
      </c>
      <c r="M19" s="570">
        <f>VLOOKUP(B19,All!$B$4:$S$8977,12,FALSE)</f>
        <v>192</v>
      </c>
      <c r="N19" s="18">
        <f>VLOOKUP(B19,All!$B$4:$S$8977,13,FALSE)</f>
        <v>8</v>
      </c>
      <c r="O19" s="18">
        <f>VLOOKUP(B19,All!$B$4:$S$8977,14,FALSE)</f>
        <v>20</v>
      </c>
      <c r="P19" s="18">
        <f>VLOOKUP(B19,All!$B$4:$S$8977,15,FALSE)</f>
        <v>0</v>
      </c>
      <c r="Q19" s="18">
        <f>VLOOKUP(B19,All!$B$4:$S$8977,16,FALSE)</f>
        <v>0</v>
      </c>
      <c r="R19" s="18">
        <v>7</v>
      </c>
      <c r="S19" s="18">
        <v>10</v>
      </c>
      <c r="T19" s="550">
        <f t="shared" si="0"/>
        <v>237</v>
      </c>
      <c r="U19" s="568"/>
      <c r="V19" s="3"/>
      <c r="W19" s="3"/>
      <c r="X19" s="3"/>
      <c r="Y19" s="562"/>
      <c r="Z19" s="570">
        <f t="shared" si="7"/>
        <v>194</v>
      </c>
      <c r="AA19" s="18">
        <f t="shared" si="1"/>
        <v>8</v>
      </c>
      <c r="AB19" s="18">
        <f t="shared" si="2"/>
        <v>20</v>
      </c>
      <c r="AC19" s="18">
        <f t="shared" si="3"/>
        <v>0</v>
      </c>
      <c r="AD19" s="18">
        <f t="shared" si="4"/>
        <v>0</v>
      </c>
      <c r="AE19" s="18">
        <f t="shared" si="5"/>
        <v>7</v>
      </c>
      <c r="AF19" s="18">
        <f t="shared" si="5"/>
        <v>10</v>
      </c>
      <c r="AG19" s="550">
        <f t="shared" si="6"/>
        <v>239</v>
      </c>
      <c r="AH19" s="42">
        <v>2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2</v>
      </c>
    </row>
    <row r="20" spans="1:41" ht="24" customHeight="1">
      <c r="A20" s="11">
        <f t="shared" si="8"/>
        <v>17</v>
      </c>
      <c r="B20" s="8">
        <v>351</v>
      </c>
      <c r="C20" s="478" t="str">
        <f>VLOOKUP(B20,All!$B$4:$S$8977,2,FALSE)</f>
        <v>និត</v>
      </c>
      <c r="D20" s="479" t="str">
        <f>VLOOKUP(B20,All!$B$4:$S$89977,3,FALSE)</f>
        <v>ស្រីនាង</v>
      </c>
      <c r="E20" s="478" t="str">
        <f>VLOOKUP(B20,All!$B$4:$S$8977,4,FALSE)</f>
        <v>NIT</v>
      </c>
      <c r="F20" s="479" t="str">
        <f>VLOOKUP(B20,All!$B$4:$S$8977,5,FALSE)</f>
        <v>SREYNEANG</v>
      </c>
      <c r="G20" s="479" t="str">
        <f>VLOOKUP(B20,All!$B$4:$S$8977,6,FALSE)</f>
        <v>F</v>
      </c>
      <c r="H20" s="385">
        <f>VLOOKUP(B20,All!$B$4:$S$8977,7,FALSE)</f>
        <v>32567</v>
      </c>
      <c r="I20" s="154">
        <f>VLOOKUP(B20,All!$B$4:$S$8977,8,FALSE)</f>
        <v>41766</v>
      </c>
      <c r="J20" s="154" t="str">
        <f>VLOOKUP(B20,All!$B$4:$S$8977,9,FALSE)</f>
        <v>Production</v>
      </c>
      <c r="K20" s="154" t="str">
        <f>VLOOKUP(B20,All!$B$4:$S$8977,10,FALSE)</f>
        <v>Line20</v>
      </c>
      <c r="L20" s="698" t="str">
        <f>VLOOKUP(B20,All!$B$4:$S$8977,11,FALSE)</f>
        <v>Sewing operator</v>
      </c>
      <c r="M20" s="570">
        <f>VLOOKUP(B20,All!$B$4:$S$8977,12,FALSE)</f>
        <v>192</v>
      </c>
      <c r="N20" s="18">
        <f>VLOOKUP(B20,All!$B$4:$S$8977,13,FALSE)</f>
        <v>8</v>
      </c>
      <c r="O20" s="18">
        <f>VLOOKUP(B20,All!$B$4:$S$8977,14,FALSE)</f>
        <v>20</v>
      </c>
      <c r="P20" s="18">
        <f>VLOOKUP(B20,All!$B$4:$S$8977,15,FALSE)</f>
        <v>5</v>
      </c>
      <c r="Q20" s="18">
        <f>VLOOKUP(B20,All!$B$4:$S$8977,16,FALSE)</f>
        <v>0</v>
      </c>
      <c r="R20" s="18">
        <v>7</v>
      </c>
      <c r="S20" s="18">
        <v>10</v>
      </c>
      <c r="T20" s="550">
        <f t="shared" si="0"/>
        <v>242</v>
      </c>
      <c r="U20" s="568"/>
      <c r="V20" s="3"/>
      <c r="W20" s="3"/>
      <c r="X20" s="3"/>
      <c r="Y20" s="562"/>
      <c r="Z20" s="570">
        <f t="shared" si="7"/>
        <v>194</v>
      </c>
      <c r="AA20" s="18">
        <f t="shared" si="1"/>
        <v>8</v>
      </c>
      <c r="AB20" s="18">
        <f t="shared" si="2"/>
        <v>20</v>
      </c>
      <c r="AC20" s="18">
        <f t="shared" si="3"/>
        <v>5</v>
      </c>
      <c r="AD20" s="18">
        <f t="shared" si="4"/>
        <v>0</v>
      </c>
      <c r="AE20" s="18">
        <f t="shared" si="5"/>
        <v>7</v>
      </c>
      <c r="AF20" s="18">
        <f t="shared" si="5"/>
        <v>10</v>
      </c>
      <c r="AG20" s="550">
        <f t="shared" si="6"/>
        <v>244</v>
      </c>
      <c r="AH20" s="42">
        <v>2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2</v>
      </c>
    </row>
    <row r="21" spans="1:41" ht="24" customHeight="1">
      <c r="A21" s="11">
        <f t="shared" si="8"/>
        <v>18</v>
      </c>
      <c r="B21" s="8">
        <v>333</v>
      </c>
      <c r="C21" s="478" t="str">
        <f>VLOOKUP(B21,All!$B$4:$S$8977,2,FALSE)</f>
        <v>ផាន់</v>
      </c>
      <c r="D21" s="479" t="str">
        <f>VLOOKUP(B21,All!$B$4:$S$89977,3,FALSE)</f>
        <v>ផេន</v>
      </c>
      <c r="E21" s="478" t="str">
        <f>VLOOKUP(B21,All!$B$4:$S$8977,4,FALSE)</f>
        <v>PHAN</v>
      </c>
      <c r="F21" s="479" t="str">
        <f>VLOOKUP(B21,All!$B$4:$S$8977,5,FALSE)</f>
        <v>PHEN</v>
      </c>
      <c r="G21" s="479" t="str">
        <f>VLOOKUP(B21,All!$B$4:$S$8977,6,FALSE)</f>
        <v>F</v>
      </c>
      <c r="H21" s="385">
        <f>VLOOKUP(B21,All!$B$4:$S$8977,7,FALSE)</f>
        <v>28524</v>
      </c>
      <c r="I21" s="154">
        <f>VLOOKUP(B21,All!$B$4:$S$8977,8,FALSE)</f>
        <v>41765</v>
      </c>
      <c r="J21" s="154" t="str">
        <f>VLOOKUP(B21,All!$B$4:$S$8977,9,FALSE)</f>
        <v>Production</v>
      </c>
      <c r="K21" s="154" t="str">
        <f>VLOOKUP(B21,All!$B$4:$S$8977,10,FALSE)</f>
        <v xml:space="preserve"> Line15</v>
      </c>
      <c r="L21" s="698" t="str">
        <f>VLOOKUP(B21,All!$B$4:$S$8977,11,FALSE)</f>
        <v>Sewing operator</v>
      </c>
      <c r="M21" s="570">
        <f>VLOOKUP(B21,All!$B$4:$S$8977,12,FALSE)</f>
        <v>192</v>
      </c>
      <c r="N21" s="18">
        <f>VLOOKUP(B21,All!$B$4:$S$8977,13,FALSE)</f>
        <v>8</v>
      </c>
      <c r="O21" s="18">
        <f>VLOOKUP(B21,All!$B$4:$S$8977,14,FALSE)</f>
        <v>20</v>
      </c>
      <c r="P21" s="18">
        <f>VLOOKUP(B21,All!$B$4:$S$8977,15,FALSE)</f>
        <v>0</v>
      </c>
      <c r="Q21" s="18">
        <f>VLOOKUP(B21,All!$B$4:$S$8977,16,FALSE)</f>
        <v>0</v>
      </c>
      <c r="R21" s="18">
        <v>7</v>
      </c>
      <c r="S21" s="18">
        <v>10</v>
      </c>
      <c r="T21" s="550">
        <f t="shared" si="0"/>
        <v>237</v>
      </c>
      <c r="U21" s="568"/>
      <c r="V21" s="3"/>
      <c r="W21" s="3"/>
      <c r="X21" s="3"/>
      <c r="Y21" s="562"/>
      <c r="Z21" s="570">
        <f t="shared" si="7"/>
        <v>194</v>
      </c>
      <c r="AA21" s="18">
        <f t="shared" si="1"/>
        <v>8</v>
      </c>
      <c r="AB21" s="18">
        <f t="shared" si="2"/>
        <v>20</v>
      </c>
      <c r="AC21" s="18">
        <f t="shared" si="3"/>
        <v>0</v>
      </c>
      <c r="AD21" s="18">
        <f t="shared" si="4"/>
        <v>0</v>
      </c>
      <c r="AE21" s="18">
        <f t="shared" si="5"/>
        <v>7</v>
      </c>
      <c r="AF21" s="18">
        <f t="shared" si="5"/>
        <v>10</v>
      </c>
      <c r="AG21" s="550">
        <f t="shared" si="6"/>
        <v>239</v>
      </c>
      <c r="AH21" s="42">
        <v>2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2</v>
      </c>
    </row>
    <row r="22" spans="1:41" ht="24" customHeight="1">
      <c r="A22" s="11">
        <f t="shared" si="8"/>
        <v>19</v>
      </c>
      <c r="B22" s="8">
        <v>405</v>
      </c>
      <c r="C22" s="478" t="str">
        <f>VLOOKUP(B22,All!$B$4:$S$8977,2,FALSE)</f>
        <v>គង់</v>
      </c>
      <c r="D22" s="479" t="str">
        <f>VLOOKUP(B22,All!$B$4:$S$89977,3,FALSE)</f>
        <v>ស្រីនី</v>
      </c>
      <c r="E22" s="478" t="str">
        <f>VLOOKUP(B22,All!$B$4:$S$8977,4,FALSE)</f>
        <v>KONG</v>
      </c>
      <c r="F22" s="479" t="str">
        <f>VLOOKUP(B22,All!$B$4:$S$8977,5,FALSE)</f>
        <v>SREYNY</v>
      </c>
      <c r="G22" s="479" t="str">
        <f>VLOOKUP(B22,All!$B$4:$S$8977,6,FALSE)</f>
        <v>F</v>
      </c>
      <c r="H22" s="385">
        <f>VLOOKUP(B22,All!$B$4:$S$8977,7,FALSE)</f>
        <v>33258</v>
      </c>
      <c r="I22" s="154">
        <f>VLOOKUP(B22,All!$B$4:$S$8977,8,FALSE)</f>
        <v>41793</v>
      </c>
      <c r="J22" s="154" t="str">
        <f>VLOOKUP(B22,All!$B$4:$S$8977,9,FALSE)</f>
        <v>Production</v>
      </c>
      <c r="K22" s="154" t="str">
        <f>VLOOKUP(B22,All!$B$4:$S$8977,10,FALSE)</f>
        <v>Line17</v>
      </c>
      <c r="L22" s="698" t="str">
        <f>VLOOKUP(B22,All!$B$4:$S$8977,11,FALSE)</f>
        <v>Sewing operator</v>
      </c>
      <c r="M22" s="570">
        <f>VLOOKUP(B22,All!$B$4:$S$8977,12,FALSE)</f>
        <v>192</v>
      </c>
      <c r="N22" s="18">
        <f>VLOOKUP(B22,All!$B$4:$S$8977,13,FALSE)</f>
        <v>8</v>
      </c>
      <c r="O22" s="18">
        <f>VLOOKUP(B22,All!$B$4:$S$8977,14,FALSE)</f>
        <v>20</v>
      </c>
      <c r="P22" s="18">
        <f>VLOOKUP(B22,All!$B$4:$S$8977,15,FALSE)</f>
        <v>0</v>
      </c>
      <c r="Q22" s="18">
        <f>VLOOKUP(B22,All!$B$4:$S$8977,16,FALSE)</f>
        <v>0</v>
      </c>
      <c r="R22" s="18">
        <v>7</v>
      </c>
      <c r="S22" s="18">
        <v>10</v>
      </c>
      <c r="T22" s="550">
        <f t="shared" si="0"/>
        <v>237</v>
      </c>
      <c r="U22" s="568"/>
      <c r="V22" s="3"/>
      <c r="W22" s="3"/>
      <c r="X22" s="3"/>
      <c r="Y22" s="562"/>
      <c r="Z22" s="570">
        <f t="shared" si="7"/>
        <v>194</v>
      </c>
      <c r="AA22" s="18">
        <f t="shared" si="1"/>
        <v>8</v>
      </c>
      <c r="AB22" s="18">
        <f t="shared" si="2"/>
        <v>20</v>
      </c>
      <c r="AC22" s="18">
        <f t="shared" si="3"/>
        <v>0</v>
      </c>
      <c r="AD22" s="18">
        <f t="shared" si="4"/>
        <v>0</v>
      </c>
      <c r="AE22" s="18">
        <f t="shared" ref="AE22:AF56" si="9">R22</f>
        <v>7</v>
      </c>
      <c r="AF22" s="18">
        <f t="shared" si="9"/>
        <v>10</v>
      </c>
      <c r="AG22" s="550">
        <f t="shared" si="6"/>
        <v>239</v>
      </c>
      <c r="AH22" s="42">
        <v>2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2</v>
      </c>
    </row>
    <row r="23" spans="1:41" ht="24" customHeight="1">
      <c r="A23" s="11">
        <f t="shared" si="8"/>
        <v>20</v>
      </c>
      <c r="B23" s="8">
        <v>468</v>
      </c>
      <c r="C23" s="478" t="str">
        <f>VLOOKUP(B23,All!$B$4:$S$8977,2,FALSE)</f>
        <v>វ៉ែន</v>
      </c>
      <c r="D23" s="479" t="str">
        <f>VLOOKUP(B23,All!$B$4:$S$89977,3,FALSE)</f>
        <v>ផាន</v>
      </c>
      <c r="E23" s="478" t="str">
        <f>VLOOKUP(B23,All!$B$4:$S$8977,4,FALSE)</f>
        <v>VEN</v>
      </c>
      <c r="F23" s="479" t="str">
        <f>VLOOKUP(B23,All!$B$4:$S$8977,5,FALSE)</f>
        <v>PHAN</v>
      </c>
      <c r="G23" s="479" t="str">
        <f>VLOOKUP(B23,All!$B$4:$S$8977,6,FALSE)</f>
        <v>F</v>
      </c>
      <c r="H23" s="385">
        <f>VLOOKUP(B23,All!$B$4:$S$8977,7,FALSE)</f>
        <v>30138</v>
      </c>
      <c r="I23" s="154">
        <f>VLOOKUP(B23,All!$B$4:$S$8977,8,FALSE)</f>
        <v>41817</v>
      </c>
      <c r="J23" s="154" t="str">
        <f>VLOOKUP(B23,All!$B$4:$S$8977,9,FALSE)</f>
        <v>Production</v>
      </c>
      <c r="K23" s="154" t="str">
        <f>VLOOKUP(B23,All!$B$4:$S$8977,10,FALSE)</f>
        <v>Line10</v>
      </c>
      <c r="L23" s="698" t="str">
        <f>VLOOKUP(B23,All!$B$4:$S$8977,11,FALSE)</f>
        <v>Sewing operator</v>
      </c>
      <c r="M23" s="570">
        <f>VLOOKUP(B23,All!$B$4:$S$8977,12,FALSE)</f>
        <v>192</v>
      </c>
      <c r="N23" s="18">
        <f>VLOOKUP(B23,All!$B$4:$S$8977,13,FALSE)</f>
        <v>8</v>
      </c>
      <c r="O23" s="18">
        <f>VLOOKUP(B23,All!$B$4:$S$8977,14,FALSE)</f>
        <v>20</v>
      </c>
      <c r="P23" s="18">
        <f>VLOOKUP(B23,All!$B$4:$S$8977,15,FALSE)</f>
        <v>0</v>
      </c>
      <c r="Q23" s="18">
        <f>VLOOKUP(B23,All!$B$4:$S$8977,16,FALSE)</f>
        <v>0</v>
      </c>
      <c r="R23" s="18">
        <v>7</v>
      </c>
      <c r="S23" s="18">
        <v>10</v>
      </c>
      <c r="T23" s="550">
        <f t="shared" si="0"/>
        <v>237</v>
      </c>
      <c r="U23" s="568"/>
      <c r="V23" s="3"/>
      <c r="W23" s="3"/>
      <c r="X23" s="3"/>
      <c r="Y23" s="562"/>
      <c r="Z23" s="570">
        <f t="shared" si="7"/>
        <v>194</v>
      </c>
      <c r="AA23" s="18">
        <f t="shared" si="1"/>
        <v>8</v>
      </c>
      <c r="AB23" s="18">
        <f t="shared" si="2"/>
        <v>20</v>
      </c>
      <c r="AC23" s="18">
        <f t="shared" si="3"/>
        <v>0</v>
      </c>
      <c r="AD23" s="18">
        <f t="shared" si="4"/>
        <v>0</v>
      </c>
      <c r="AE23" s="18">
        <f t="shared" si="9"/>
        <v>7</v>
      </c>
      <c r="AF23" s="18">
        <f t="shared" si="9"/>
        <v>10</v>
      </c>
      <c r="AG23" s="550">
        <f t="shared" si="6"/>
        <v>239</v>
      </c>
      <c r="AH23" s="42">
        <v>2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2</v>
      </c>
    </row>
    <row r="24" spans="1:41" ht="24" customHeight="1">
      <c r="A24" s="11">
        <f t="shared" si="8"/>
        <v>21</v>
      </c>
      <c r="B24" s="8">
        <v>609</v>
      </c>
      <c r="C24" s="478" t="str">
        <f>VLOOKUP(B24,All!$B$4:$S$8977,2,FALSE)</f>
        <v>ខែក</v>
      </c>
      <c r="D24" s="479" t="str">
        <f>VLOOKUP(B24,All!$B$4:$S$89977,3,FALSE)</f>
        <v>ក្អួក</v>
      </c>
      <c r="E24" s="478" t="str">
        <f>VLOOKUP(B24,All!$B$4:$S$8977,4,FALSE)</f>
        <v xml:space="preserve">KHEK </v>
      </c>
      <c r="F24" s="479" t="str">
        <f>VLOOKUP(B24,All!$B$4:$S$8977,5,FALSE)</f>
        <v>KA UOK</v>
      </c>
      <c r="G24" s="479" t="str">
        <f>VLOOKUP(B24,All!$B$4:$S$8977,6,FALSE)</f>
        <v>F</v>
      </c>
      <c r="H24" s="385">
        <f>VLOOKUP(B24,All!$B$4:$S$8977,7,FALSE)</f>
        <v>31416</v>
      </c>
      <c r="I24" s="154">
        <f>VLOOKUP(B24,All!$B$4:$S$8977,8,FALSE)</f>
        <v>41838</v>
      </c>
      <c r="J24" s="154" t="str">
        <f>VLOOKUP(B24,All!$B$4:$S$8977,9,FALSE)</f>
        <v>Production</v>
      </c>
      <c r="K24" s="154" t="str">
        <f>VLOOKUP(B24,All!$B$4:$S$8977,10,FALSE)</f>
        <v xml:space="preserve"> Line3</v>
      </c>
      <c r="L24" s="698" t="str">
        <f>VLOOKUP(B24,All!$B$4:$S$8977,11,FALSE)</f>
        <v>Sewing operator</v>
      </c>
      <c r="M24" s="570">
        <f>VLOOKUP(B24,All!$B$4:$S$8977,12,FALSE)</f>
        <v>192</v>
      </c>
      <c r="N24" s="18">
        <f>VLOOKUP(B24,All!$B$4:$S$8977,13,FALSE)</f>
        <v>8</v>
      </c>
      <c r="O24" s="18">
        <f>VLOOKUP(B24,All!$B$4:$S$8977,14,FALSE)</f>
        <v>20</v>
      </c>
      <c r="P24" s="18">
        <f>VLOOKUP(B24,All!$B$4:$S$8977,15,FALSE)</f>
        <v>0</v>
      </c>
      <c r="Q24" s="18">
        <f>VLOOKUP(B24,All!$B$4:$S$8977,16,FALSE)</f>
        <v>0</v>
      </c>
      <c r="R24" s="18">
        <v>7</v>
      </c>
      <c r="S24" s="18">
        <v>10</v>
      </c>
      <c r="T24" s="550">
        <f t="shared" ref="T24:T77" si="10">SUM(M24:S24)</f>
        <v>237</v>
      </c>
      <c r="U24" s="568"/>
      <c r="V24" s="3"/>
      <c r="W24" s="3"/>
      <c r="X24" s="3"/>
      <c r="Y24" s="562"/>
      <c r="Z24" s="570">
        <f t="shared" si="7"/>
        <v>194</v>
      </c>
      <c r="AA24" s="18">
        <f t="shared" si="1"/>
        <v>8</v>
      </c>
      <c r="AB24" s="18">
        <f t="shared" si="2"/>
        <v>20</v>
      </c>
      <c r="AC24" s="18">
        <f t="shared" si="3"/>
        <v>0</v>
      </c>
      <c r="AD24" s="18">
        <f t="shared" si="4"/>
        <v>0</v>
      </c>
      <c r="AE24" s="18">
        <f t="shared" si="9"/>
        <v>7</v>
      </c>
      <c r="AF24" s="18">
        <f t="shared" si="9"/>
        <v>10</v>
      </c>
      <c r="AG24" s="550">
        <f t="shared" si="6"/>
        <v>239</v>
      </c>
      <c r="AH24" s="42">
        <v>2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2</v>
      </c>
    </row>
    <row r="25" spans="1:41" ht="24" customHeight="1">
      <c r="A25" s="11">
        <f t="shared" si="8"/>
        <v>22</v>
      </c>
      <c r="B25" s="8">
        <v>588</v>
      </c>
      <c r="C25" s="478" t="str">
        <f>VLOOKUP(B25,All!$B$4:$S$8977,2,FALSE)</f>
        <v>ហេង</v>
      </c>
      <c r="D25" s="479" t="str">
        <f>VLOOKUP(B25,All!$B$4:$S$89977,3,FALSE)</f>
        <v>ឡៃស៊ា</v>
      </c>
      <c r="E25" s="478" t="str">
        <f>VLOOKUP(B25,All!$B$4:$S$8977,4,FALSE)</f>
        <v>HANG</v>
      </c>
      <c r="F25" s="479" t="str">
        <f>VLOOKUP(B25,All!$B$4:$S$8977,5,FALSE)</f>
        <v>LEASEANG</v>
      </c>
      <c r="G25" s="479" t="str">
        <f>VLOOKUP(B25,All!$B$4:$S$8977,6,FALSE)</f>
        <v>F</v>
      </c>
      <c r="H25" s="385">
        <f>VLOOKUP(B25,All!$B$4:$S$8977,7,FALSE)</f>
        <v>32453</v>
      </c>
      <c r="I25" s="154">
        <f>VLOOKUP(B25,All!$B$4:$S$8977,8,FALSE)</f>
        <v>41836</v>
      </c>
      <c r="J25" s="154" t="str">
        <f>VLOOKUP(B25,All!$B$4:$S$8977,9,FALSE)</f>
        <v>Production</v>
      </c>
      <c r="K25" s="154" t="str">
        <f>VLOOKUP(B25,All!$B$4:$S$8977,10,FALSE)</f>
        <v xml:space="preserve"> Line1</v>
      </c>
      <c r="L25" s="698" t="str">
        <f>VLOOKUP(B25,All!$B$4:$S$8977,11,FALSE)</f>
        <v>Sewing operator</v>
      </c>
      <c r="M25" s="570">
        <f>VLOOKUP(B25,All!$B$4:$S$8977,12,FALSE)</f>
        <v>192</v>
      </c>
      <c r="N25" s="18">
        <f>VLOOKUP(B25,All!$B$4:$S$8977,13,FALSE)</f>
        <v>8</v>
      </c>
      <c r="O25" s="18">
        <f>VLOOKUP(B25,All!$B$4:$S$8977,14,FALSE)</f>
        <v>20</v>
      </c>
      <c r="P25" s="18">
        <f>VLOOKUP(B25,All!$B$4:$S$8977,15,FALSE)</f>
        <v>0</v>
      </c>
      <c r="Q25" s="18">
        <f>VLOOKUP(B25,All!$B$4:$S$8977,16,FALSE)</f>
        <v>0</v>
      </c>
      <c r="R25" s="18">
        <v>7</v>
      </c>
      <c r="S25" s="18">
        <v>10</v>
      </c>
      <c r="T25" s="550">
        <f t="shared" si="10"/>
        <v>237</v>
      </c>
      <c r="U25" s="568"/>
      <c r="V25" s="3"/>
      <c r="W25" s="3"/>
      <c r="X25" s="3"/>
      <c r="Y25" s="562"/>
      <c r="Z25" s="570">
        <f t="shared" si="7"/>
        <v>194</v>
      </c>
      <c r="AA25" s="18">
        <f t="shared" si="1"/>
        <v>8</v>
      </c>
      <c r="AB25" s="18">
        <f t="shared" si="2"/>
        <v>20</v>
      </c>
      <c r="AC25" s="18">
        <f t="shared" si="3"/>
        <v>0</v>
      </c>
      <c r="AD25" s="18">
        <f t="shared" si="4"/>
        <v>0</v>
      </c>
      <c r="AE25" s="18">
        <f t="shared" si="9"/>
        <v>7</v>
      </c>
      <c r="AF25" s="18">
        <f t="shared" si="9"/>
        <v>10</v>
      </c>
      <c r="AG25" s="550">
        <f t="shared" si="6"/>
        <v>239</v>
      </c>
      <c r="AH25" s="42">
        <v>2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2</v>
      </c>
    </row>
    <row r="26" spans="1:41" ht="24" customHeight="1">
      <c r="A26" s="11">
        <f t="shared" si="8"/>
        <v>23</v>
      </c>
      <c r="B26" s="8">
        <v>634</v>
      </c>
      <c r="C26" s="478" t="str">
        <f>VLOOKUP(B26,All!$B$4:$S$8977,2,FALSE)</f>
        <v>ភោគ</v>
      </c>
      <c r="D26" s="479" t="str">
        <f>VLOOKUP(B26,All!$B$4:$S$89977,3,FALSE)</f>
        <v>ចាន់រដ្ឋធានី</v>
      </c>
      <c r="E26" s="478" t="str">
        <f>VLOOKUP(B26,All!$B$4:$S$8977,4,FALSE)</f>
        <v>PHOUK</v>
      </c>
      <c r="F26" s="479" t="str">
        <f>VLOOKUP(B26,All!$B$4:$S$8977,5,FALSE)</f>
        <v>CHANROTHEANY</v>
      </c>
      <c r="G26" s="479" t="str">
        <f>VLOOKUP(B26,All!$B$4:$S$8977,6,FALSE)</f>
        <v>F</v>
      </c>
      <c r="H26" s="385">
        <f>VLOOKUP(B26,All!$B$4:$S$8977,7,FALSE)</f>
        <v>29833</v>
      </c>
      <c r="I26" s="154">
        <f>VLOOKUP(B26,All!$B$4:$S$8977,8,FALSE)</f>
        <v>41862</v>
      </c>
      <c r="J26" s="154" t="str">
        <f>VLOOKUP(B26,All!$B$4:$S$8977,9,FALSE)</f>
        <v>Production</v>
      </c>
      <c r="K26" s="154" t="str">
        <f>VLOOKUP(B26,All!$B$4:$S$8977,10,FALSE)</f>
        <v xml:space="preserve"> Line3</v>
      </c>
      <c r="L26" s="698" t="str">
        <f>VLOOKUP(B26,All!$B$4:$S$8977,11,FALSE)</f>
        <v>Sewing operator</v>
      </c>
      <c r="M26" s="570">
        <f>VLOOKUP(B26,All!$B$4:$S$8977,12,FALSE)</f>
        <v>192</v>
      </c>
      <c r="N26" s="18">
        <f>VLOOKUP(B26,All!$B$4:$S$8977,13,FALSE)</f>
        <v>8</v>
      </c>
      <c r="O26" s="18">
        <f>VLOOKUP(B26,All!$B$4:$S$8977,14,FALSE)</f>
        <v>20</v>
      </c>
      <c r="P26" s="18">
        <f>VLOOKUP(B26,All!$B$4:$S$8977,15,FALSE)</f>
        <v>0</v>
      </c>
      <c r="Q26" s="18">
        <f>VLOOKUP(B26,All!$B$4:$S$8977,16,FALSE)</f>
        <v>0</v>
      </c>
      <c r="R26" s="18">
        <v>7</v>
      </c>
      <c r="S26" s="18">
        <v>10</v>
      </c>
      <c r="T26" s="550">
        <f t="shared" si="10"/>
        <v>237</v>
      </c>
      <c r="U26" s="568"/>
      <c r="V26" s="3"/>
      <c r="W26" s="3"/>
      <c r="X26" s="3"/>
      <c r="Y26" s="562"/>
      <c r="Z26" s="570">
        <f t="shared" si="7"/>
        <v>194</v>
      </c>
      <c r="AA26" s="18">
        <f t="shared" si="1"/>
        <v>8</v>
      </c>
      <c r="AB26" s="18">
        <f t="shared" si="2"/>
        <v>20</v>
      </c>
      <c r="AC26" s="18">
        <f t="shared" si="3"/>
        <v>0</v>
      </c>
      <c r="AD26" s="18">
        <f t="shared" si="4"/>
        <v>0</v>
      </c>
      <c r="AE26" s="18">
        <f t="shared" si="9"/>
        <v>7</v>
      </c>
      <c r="AF26" s="18">
        <f t="shared" si="9"/>
        <v>10</v>
      </c>
      <c r="AG26" s="550">
        <f t="shared" si="6"/>
        <v>239</v>
      </c>
      <c r="AH26" s="42">
        <v>2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2</v>
      </c>
    </row>
    <row r="27" spans="1:41" ht="24" customHeight="1">
      <c r="A27" s="11">
        <f t="shared" si="8"/>
        <v>24</v>
      </c>
      <c r="B27" s="8">
        <v>658</v>
      </c>
      <c r="C27" s="478" t="str">
        <f>VLOOKUP(B27,All!$B$4:$S$8977,2,FALSE)</f>
        <v>ទុយ</v>
      </c>
      <c r="D27" s="479" t="str">
        <f>VLOOKUP(B27,All!$B$4:$S$89977,3,FALSE)</f>
        <v>ស្រីម៉ៅ</v>
      </c>
      <c r="E27" s="478" t="str">
        <f>VLOOKUP(B27,All!$B$4:$S$8977,4,FALSE)</f>
        <v>TUY</v>
      </c>
      <c r="F27" s="479" t="str">
        <f>VLOOKUP(B27,All!$B$4:$S$8977,5,FALSE)</f>
        <v>SREYMAO</v>
      </c>
      <c r="G27" s="479" t="str">
        <f>VLOOKUP(B27,All!$B$4:$S$8977,6,FALSE)</f>
        <v>F</v>
      </c>
      <c r="H27" s="385">
        <f>VLOOKUP(B27,All!$B$4:$S$8977,7,FALSE)</f>
        <v>30713</v>
      </c>
      <c r="I27" s="154">
        <f>VLOOKUP(B27,All!$B$4:$S$8977,8,FALSE)</f>
        <v>41873</v>
      </c>
      <c r="J27" s="154" t="str">
        <f>VLOOKUP(B27,All!$B$4:$S$8977,9,FALSE)</f>
        <v>Production</v>
      </c>
      <c r="K27" s="154" t="str">
        <f>VLOOKUP(B27,All!$B$4:$S$8977,10,FALSE)</f>
        <v xml:space="preserve"> Line1</v>
      </c>
      <c r="L27" s="698" t="str">
        <f>VLOOKUP(B27,All!$B$4:$S$8977,11,FALSE)</f>
        <v>Sewing operator</v>
      </c>
      <c r="M27" s="570">
        <f>VLOOKUP(B27,All!$B$4:$S$8977,12,FALSE)</f>
        <v>192</v>
      </c>
      <c r="N27" s="18">
        <f>VLOOKUP(B27,All!$B$4:$S$8977,13,FALSE)</f>
        <v>8</v>
      </c>
      <c r="O27" s="18">
        <f>VLOOKUP(B27,All!$B$4:$S$8977,14,FALSE)</f>
        <v>20</v>
      </c>
      <c r="P27" s="18">
        <f>VLOOKUP(B27,All!$B$4:$S$8977,15,FALSE)</f>
        <v>0</v>
      </c>
      <c r="Q27" s="18">
        <f>VLOOKUP(B27,All!$B$4:$S$8977,16,FALSE)</f>
        <v>0</v>
      </c>
      <c r="R27" s="18">
        <v>7</v>
      </c>
      <c r="S27" s="18">
        <v>10</v>
      </c>
      <c r="T27" s="550">
        <f t="shared" si="10"/>
        <v>237</v>
      </c>
      <c r="U27" s="568"/>
      <c r="V27" s="3"/>
      <c r="W27" s="3"/>
      <c r="X27" s="3"/>
      <c r="Y27" s="562"/>
      <c r="Z27" s="570">
        <f t="shared" si="7"/>
        <v>194</v>
      </c>
      <c r="AA27" s="18">
        <f t="shared" si="1"/>
        <v>8</v>
      </c>
      <c r="AB27" s="18">
        <f t="shared" si="2"/>
        <v>20</v>
      </c>
      <c r="AC27" s="18">
        <f t="shared" si="3"/>
        <v>0</v>
      </c>
      <c r="AD27" s="18">
        <f t="shared" si="4"/>
        <v>0</v>
      </c>
      <c r="AE27" s="18">
        <f t="shared" si="9"/>
        <v>7</v>
      </c>
      <c r="AF27" s="18">
        <f t="shared" si="9"/>
        <v>10</v>
      </c>
      <c r="AG27" s="550">
        <f t="shared" si="6"/>
        <v>239</v>
      </c>
      <c r="AH27" s="42">
        <v>2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2</v>
      </c>
    </row>
    <row r="28" spans="1:41" ht="24" customHeight="1">
      <c r="A28" s="11">
        <f t="shared" si="8"/>
        <v>25</v>
      </c>
      <c r="B28" s="8">
        <v>649</v>
      </c>
      <c r="C28" s="478" t="str">
        <f>VLOOKUP(B28,All!$B$4:$S$8977,2,FALSE)</f>
        <v>គឹម</v>
      </c>
      <c r="D28" s="479" t="str">
        <f>VLOOKUP(B28,All!$B$4:$S$89977,3,FALSE)</f>
        <v>ចាន់ដា</v>
      </c>
      <c r="E28" s="478" t="str">
        <f>VLOOKUP(B28,All!$B$4:$S$8977,4,FALSE)</f>
        <v>KIM</v>
      </c>
      <c r="F28" s="479" t="str">
        <f>VLOOKUP(B28,All!$B$4:$S$8977,5,FALSE)</f>
        <v>CHANDA</v>
      </c>
      <c r="G28" s="479" t="str">
        <f>VLOOKUP(B28,All!$B$4:$S$8977,6,FALSE)</f>
        <v>F</v>
      </c>
      <c r="H28" s="385">
        <f>VLOOKUP(B28,All!$B$4:$S$8977,7,FALSE)</f>
        <v>31022</v>
      </c>
      <c r="I28" s="154">
        <f>VLOOKUP(B28,All!$B$4:$S$8977,8,FALSE)</f>
        <v>41870</v>
      </c>
      <c r="J28" s="154" t="str">
        <f>VLOOKUP(B28,All!$B$4:$S$8977,9,FALSE)</f>
        <v>Production</v>
      </c>
      <c r="K28" s="154" t="str">
        <f>VLOOKUP(B28,All!$B$4:$S$8977,10,FALSE)</f>
        <v>Line 11</v>
      </c>
      <c r="L28" s="698" t="str">
        <f>VLOOKUP(B28,All!$B$4:$S$8977,11,FALSE)</f>
        <v>Sewing operator</v>
      </c>
      <c r="M28" s="570">
        <f>VLOOKUP(B28,All!$B$4:$S$8977,12,FALSE)</f>
        <v>192</v>
      </c>
      <c r="N28" s="18">
        <f>VLOOKUP(B28,All!$B$4:$S$8977,13,FALSE)</f>
        <v>8</v>
      </c>
      <c r="O28" s="18">
        <f>VLOOKUP(B28,All!$B$4:$S$8977,14,FALSE)</f>
        <v>20</v>
      </c>
      <c r="P28" s="18">
        <f>VLOOKUP(B28,All!$B$4:$S$8977,15,FALSE)</f>
        <v>0</v>
      </c>
      <c r="Q28" s="18">
        <f>VLOOKUP(B28,All!$B$4:$S$8977,16,FALSE)</f>
        <v>0</v>
      </c>
      <c r="R28" s="18">
        <v>7</v>
      </c>
      <c r="S28" s="18">
        <v>10</v>
      </c>
      <c r="T28" s="550">
        <f t="shared" si="10"/>
        <v>237</v>
      </c>
      <c r="U28" s="568"/>
      <c r="V28" s="3"/>
      <c r="W28" s="3"/>
      <c r="X28" s="3"/>
      <c r="Y28" s="562"/>
      <c r="Z28" s="570">
        <f t="shared" si="7"/>
        <v>194</v>
      </c>
      <c r="AA28" s="18">
        <f t="shared" si="1"/>
        <v>8</v>
      </c>
      <c r="AB28" s="18">
        <f t="shared" si="2"/>
        <v>20</v>
      </c>
      <c r="AC28" s="18">
        <f t="shared" si="3"/>
        <v>0</v>
      </c>
      <c r="AD28" s="18">
        <f t="shared" si="4"/>
        <v>0</v>
      </c>
      <c r="AE28" s="18">
        <f t="shared" si="9"/>
        <v>7</v>
      </c>
      <c r="AF28" s="18">
        <f t="shared" si="9"/>
        <v>10</v>
      </c>
      <c r="AG28" s="550">
        <f t="shared" si="6"/>
        <v>239</v>
      </c>
      <c r="AH28" s="42">
        <v>2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2</v>
      </c>
    </row>
    <row r="29" spans="1:41" ht="24" customHeight="1">
      <c r="A29" s="11">
        <f t="shared" si="8"/>
        <v>26</v>
      </c>
      <c r="B29" s="8">
        <v>657</v>
      </c>
      <c r="C29" s="478" t="str">
        <f>VLOOKUP(B29,All!$B$4:$S$8977,2,FALSE)</f>
        <v>លន</v>
      </c>
      <c r="D29" s="479" t="str">
        <f>VLOOKUP(B29,All!$B$4:$S$89977,3,FALSE)</f>
        <v>ស្រីលីន</v>
      </c>
      <c r="E29" s="478" t="str">
        <f>VLOOKUP(B29,All!$B$4:$S$8977,4,FALSE)</f>
        <v>LOAN</v>
      </c>
      <c r="F29" s="479" t="str">
        <f>VLOOKUP(B29,All!$B$4:$S$8977,5,FALSE)</f>
        <v>SREYLIN</v>
      </c>
      <c r="G29" s="479" t="str">
        <f>VLOOKUP(B29,All!$B$4:$S$8977,6,FALSE)</f>
        <v>F</v>
      </c>
      <c r="H29" s="385">
        <f>VLOOKUP(B29,All!$B$4:$S$8977,7,FALSE)</f>
        <v>35139</v>
      </c>
      <c r="I29" s="154">
        <f>VLOOKUP(B29,All!$B$4:$S$8977,8,FALSE)</f>
        <v>41872</v>
      </c>
      <c r="J29" s="154" t="str">
        <f>VLOOKUP(B29,All!$B$4:$S$8977,9,FALSE)</f>
        <v>Production</v>
      </c>
      <c r="K29" s="154" t="str">
        <f>VLOOKUP(B29,All!$B$4:$S$8977,10,FALSE)</f>
        <v>QC  A</v>
      </c>
      <c r="L29" s="698" t="str">
        <f>VLOOKUP(B29,All!$B$4:$S$8977,11,FALSE)</f>
        <v>Inspector</v>
      </c>
      <c r="M29" s="570">
        <f>VLOOKUP(B29,All!$B$4:$S$8977,12,FALSE)</f>
        <v>192</v>
      </c>
      <c r="N29" s="18">
        <f>VLOOKUP(B29,All!$B$4:$S$8977,13,FALSE)</f>
        <v>8</v>
      </c>
      <c r="O29" s="18">
        <f>VLOOKUP(B29,All!$B$4:$S$8977,14,FALSE)</f>
        <v>20</v>
      </c>
      <c r="P29" s="18">
        <f>VLOOKUP(B29,All!$B$4:$S$8977,15,FALSE)</f>
        <v>0</v>
      </c>
      <c r="Q29" s="18">
        <f>VLOOKUP(B29,All!$B$4:$S$8977,16,FALSE)</f>
        <v>0</v>
      </c>
      <c r="R29" s="18">
        <v>7</v>
      </c>
      <c r="S29" s="18">
        <v>10</v>
      </c>
      <c r="T29" s="550">
        <f t="shared" si="10"/>
        <v>237</v>
      </c>
      <c r="U29" s="568"/>
      <c r="V29" s="3"/>
      <c r="W29" s="3"/>
      <c r="X29" s="3"/>
      <c r="Y29" s="562"/>
      <c r="Z29" s="570">
        <f t="shared" si="7"/>
        <v>194</v>
      </c>
      <c r="AA29" s="18">
        <f t="shared" si="1"/>
        <v>8</v>
      </c>
      <c r="AB29" s="18">
        <f t="shared" si="2"/>
        <v>20</v>
      </c>
      <c r="AC29" s="18">
        <f t="shared" si="3"/>
        <v>0</v>
      </c>
      <c r="AD29" s="18">
        <f t="shared" si="4"/>
        <v>0</v>
      </c>
      <c r="AE29" s="18">
        <f t="shared" si="9"/>
        <v>7</v>
      </c>
      <c r="AF29" s="18">
        <f t="shared" si="9"/>
        <v>10</v>
      </c>
      <c r="AG29" s="550">
        <f t="shared" si="6"/>
        <v>239</v>
      </c>
      <c r="AH29" s="42">
        <v>2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2</v>
      </c>
    </row>
    <row r="30" spans="1:41" ht="24" customHeight="1">
      <c r="A30" s="11">
        <f t="shared" si="8"/>
        <v>27</v>
      </c>
      <c r="B30" s="8">
        <v>663</v>
      </c>
      <c r="C30" s="478" t="str">
        <f>VLOOKUP(B30,All!$B$4:$S$8977,2,FALSE)</f>
        <v>ឈិន</v>
      </c>
      <c r="D30" s="479" t="str">
        <f>VLOOKUP(B30,All!$B$4:$S$89977,3,FALSE)</f>
        <v>ដាវី</v>
      </c>
      <c r="E30" s="478" t="str">
        <f>VLOOKUP(B30,All!$B$4:$S$8977,4,FALSE)</f>
        <v>CHIN</v>
      </c>
      <c r="F30" s="479" t="str">
        <f>VLOOKUP(B30,All!$B$4:$S$8977,5,FALSE)</f>
        <v>DAVY</v>
      </c>
      <c r="G30" s="479" t="str">
        <f>VLOOKUP(B30,All!$B$4:$S$8977,6,FALSE)</f>
        <v>F</v>
      </c>
      <c r="H30" s="385">
        <f>VLOOKUP(B30,All!$B$4:$S$8977,7,FALSE)</f>
        <v>30601</v>
      </c>
      <c r="I30" s="154">
        <f>VLOOKUP(B30,All!$B$4:$S$8977,8,FALSE)</f>
        <v>41884</v>
      </c>
      <c r="J30" s="154" t="str">
        <f>VLOOKUP(B30,All!$B$4:$S$8977,9,FALSE)</f>
        <v>Production</v>
      </c>
      <c r="K30" s="154" t="str">
        <f>VLOOKUP(B30,All!$B$4:$S$8977,10,FALSE)</f>
        <v>Line20</v>
      </c>
      <c r="L30" s="698" t="str">
        <f>VLOOKUP(B30,All!$B$4:$S$8977,11,FALSE)</f>
        <v>Sewing operator</v>
      </c>
      <c r="M30" s="570">
        <f>VLOOKUP(B30,All!$B$4:$S$8977,12,FALSE)</f>
        <v>192</v>
      </c>
      <c r="N30" s="18">
        <f>VLOOKUP(B30,All!$B$4:$S$8977,13,FALSE)</f>
        <v>8</v>
      </c>
      <c r="O30" s="18">
        <f>VLOOKUP(B30,All!$B$4:$S$8977,14,FALSE)</f>
        <v>20</v>
      </c>
      <c r="P30" s="18">
        <f>VLOOKUP(B30,All!$B$4:$S$8977,15,FALSE)</f>
        <v>0</v>
      </c>
      <c r="Q30" s="18">
        <f>VLOOKUP(B30,All!$B$4:$S$8977,16,FALSE)</f>
        <v>0</v>
      </c>
      <c r="R30" s="18">
        <v>7</v>
      </c>
      <c r="S30" s="18">
        <v>10</v>
      </c>
      <c r="T30" s="550">
        <f t="shared" si="10"/>
        <v>237</v>
      </c>
      <c r="U30" s="568"/>
      <c r="V30" s="3"/>
      <c r="W30" s="3"/>
      <c r="X30" s="3"/>
      <c r="Y30" s="562"/>
      <c r="Z30" s="570">
        <f t="shared" si="7"/>
        <v>194</v>
      </c>
      <c r="AA30" s="18">
        <f t="shared" si="1"/>
        <v>8</v>
      </c>
      <c r="AB30" s="18">
        <f t="shared" si="2"/>
        <v>20</v>
      </c>
      <c r="AC30" s="18">
        <f t="shared" si="3"/>
        <v>0</v>
      </c>
      <c r="AD30" s="18">
        <f t="shared" si="4"/>
        <v>0</v>
      </c>
      <c r="AE30" s="18">
        <f t="shared" si="9"/>
        <v>7</v>
      </c>
      <c r="AF30" s="18">
        <f t="shared" si="9"/>
        <v>10</v>
      </c>
      <c r="AG30" s="550">
        <f t="shared" si="6"/>
        <v>239</v>
      </c>
      <c r="AH30" s="42">
        <v>2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2</v>
      </c>
    </row>
    <row r="31" spans="1:41" ht="24" customHeight="1">
      <c r="A31" s="11">
        <f t="shared" si="8"/>
        <v>28</v>
      </c>
      <c r="B31" s="8">
        <v>674</v>
      </c>
      <c r="C31" s="478" t="str">
        <f>VLOOKUP(B31,All!$B$4:$S$8977,2,FALSE)</f>
        <v>សឿន</v>
      </c>
      <c r="D31" s="479" t="str">
        <f>VLOOKUP(B31,All!$B$4:$S$89977,3,FALSE)</f>
        <v>សុខនី</v>
      </c>
      <c r="E31" s="478" t="str">
        <f>VLOOKUP(B31,All!$B$4:$S$8977,4,FALSE)</f>
        <v>SOEUN</v>
      </c>
      <c r="F31" s="479" t="str">
        <f>VLOOKUP(B31,All!$B$4:$S$8977,5,FALSE)</f>
        <v>SOKNY</v>
      </c>
      <c r="G31" s="479" t="str">
        <f>VLOOKUP(B31,All!$B$4:$S$8977,6,FALSE)</f>
        <v>F</v>
      </c>
      <c r="H31" s="385">
        <f>VLOOKUP(B31,All!$B$4:$S$8977,7,FALSE)</f>
        <v>30691</v>
      </c>
      <c r="I31" s="154">
        <f>VLOOKUP(B31,All!$B$4:$S$8977,8,FALSE)</f>
        <v>41887</v>
      </c>
      <c r="J31" s="154" t="str">
        <f>VLOOKUP(B31,All!$B$4:$S$8977,9,FALSE)</f>
        <v>Production</v>
      </c>
      <c r="K31" s="154" t="str">
        <f>VLOOKUP(B31,All!$B$4:$S$8977,10,FALSE)</f>
        <v xml:space="preserve"> Line3</v>
      </c>
      <c r="L31" s="698" t="str">
        <f>VLOOKUP(B31,All!$B$4:$S$8977,11,FALSE)</f>
        <v>Sewing operator</v>
      </c>
      <c r="M31" s="570">
        <f>VLOOKUP(B31,All!$B$4:$S$8977,12,FALSE)</f>
        <v>192</v>
      </c>
      <c r="N31" s="18">
        <f>VLOOKUP(B31,All!$B$4:$S$8977,13,FALSE)</f>
        <v>8</v>
      </c>
      <c r="O31" s="18">
        <f>VLOOKUP(B31,All!$B$4:$S$8977,14,FALSE)</f>
        <v>20</v>
      </c>
      <c r="P31" s="18">
        <f>VLOOKUP(B31,All!$B$4:$S$8977,15,FALSE)</f>
        <v>0</v>
      </c>
      <c r="Q31" s="18">
        <f>VLOOKUP(B31,All!$B$4:$S$8977,16,FALSE)</f>
        <v>0</v>
      </c>
      <c r="R31" s="18">
        <v>7</v>
      </c>
      <c r="S31" s="18">
        <v>10</v>
      </c>
      <c r="T31" s="550">
        <f t="shared" si="10"/>
        <v>237</v>
      </c>
      <c r="U31" s="568"/>
      <c r="V31" s="3"/>
      <c r="W31" s="3"/>
      <c r="X31" s="3"/>
      <c r="Y31" s="562"/>
      <c r="Z31" s="570">
        <f t="shared" si="7"/>
        <v>194</v>
      </c>
      <c r="AA31" s="18">
        <f t="shared" si="1"/>
        <v>8</v>
      </c>
      <c r="AB31" s="18">
        <f t="shared" si="2"/>
        <v>20</v>
      </c>
      <c r="AC31" s="18">
        <f t="shared" si="3"/>
        <v>0</v>
      </c>
      <c r="AD31" s="18">
        <f t="shared" si="4"/>
        <v>0</v>
      </c>
      <c r="AE31" s="18">
        <f t="shared" si="9"/>
        <v>7</v>
      </c>
      <c r="AF31" s="18">
        <f t="shared" si="9"/>
        <v>10</v>
      </c>
      <c r="AG31" s="550">
        <f t="shared" si="6"/>
        <v>239</v>
      </c>
      <c r="AH31" s="42">
        <v>2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2</v>
      </c>
    </row>
    <row r="32" spans="1:41" ht="24" customHeight="1">
      <c r="A32" s="11">
        <f t="shared" si="8"/>
        <v>29</v>
      </c>
      <c r="B32" s="8">
        <v>677</v>
      </c>
      <c r="C32" s="478" t="str">
        <f>VLOOKUP(B32,All!$B$4:$S$8977,2,FALSE)</f>
        <v>សើន</v>
      </c>
      <c r="D32" s="479" t="str">
        <f>VLOOKUP(B32,All!$B$4:$S$89977,3,FALSE)</f>
        <v>នាង</v>
      </c>
      <c r="E32" s="478" t="str">
        <f>VLOOKUP(B32,All!$B$4:$S$8977,4,FALSE)</f>
        <v>SEUN</v>
      </c>
      <c r="F32" s="479" t="str">
        <f>VLOOKUP(B32,All!$B$4:$S$8977,5,FALSE)</f>
        <v>NEANG</v>
      </c>
      <c r="G32" s="479" t="str">
        <f>VLOOKUP(B32,All!$B$4:$S$8977,6,FALSE)</f>
        <v>F</v>
      </c>
      <c r="H32" s="385">
        <f>VLOOKUP(B32,All!$B$4:$S$8977,7,FALSE)</f>
        <v>30252</v>
      </c>
      <c r="I32" s="154">
        <f>VLOOKUP(B32,All!$B$4:$S$8977,8,FALSE)</f>
        <v>41890</v>
      </c>
      <c r="J32" s="154" t="str">
        <f>VLOOKUP(B32,All!$B$4:$S$8977,9,FALSE)</f>
        <v>Production</v>
      </c>
      <c r="K32" s="154" t="str">
        <f>VLOOKUP(B32,All!$B$4:$S$8977,10,FALSE)</f>
        <v xml:space="preserve"> Line3</v>
      </c>
      <c r="L32" s="698" t="str">
        <f>VLOOKUP(B32,All!$B$4:$S$8977,11,FALSE)</f>
        <v>Sewing operator</v>
      </c>
      <c r="M32" s="570">
        <f>VLOOKUP(B32,All!$B$4:$S$8977,12,FALSE)</f>
        <v>192</v>
      </c>
      <c r="N32" s="18">
        <f>VLOOKUP(B32,All!$B$4:$S$8977,13,FALSE)</f>
        <v>8</v>
      </c>
      <c r="O32" s="18">
        <f>VLOOKUP(B32,All!$B$4:$S$8977,14,FALSE)</f>
        <v>20</v>
      </c>
      <c r="P32" s="18">
        <f>VLOOKUP(B32,All!$B$4:$S$8977,15,FALSE)</f>
        <v>0</v>
      </c>
      <c r="Q32" s="18">
        <f>VLOOKUP(B32,All!$B$4:$S$8977,16,FALSE)</f>
        <v>0</v>
      </c>
      <c r="R32" s="18">
        <v>7</v>
      </c>
      <c r="S32" s="18">
        <v>10</v>
      </c>
      <c r="T32" s="550">
        <f t="shared" si="10"/>
        <v>237</v>
      </c>
      <c r="U32" s="568"/>
      <c r="V32" s="3"/>
      <c r="W32" s="3"/>
      <c r="X32" s="3"/>
      <c r="Y32" s="562"/>
      <c r="Z32" s="570">
        <f t="shared" si="7"/>
        <v>194</v>
      </c>
      <c r="AA32" s="18">
        <f t="shared" si="1"/>
        <v>8</v>
      </c>
      <c r="AB32" s="18">
        <f t="shared" si="2"/>
        <v>20</v>
      </c>
      <c r="AC32" s="18">
        <f t="shared" si="3"/>
        <v>0</v>
      </c>
      <c r="AD32" s="18">
        <f t="shared" si="4"/>
        <v>0</v>
      </c>
      <c r="AE32" s="18">
        <f t="shared" si="9"/>
        <v>7</v>
      </c>
      <c r="AF32" s="18">
        <f t="shared" si="9"/>
        <v>10</v>
      </c>
      <c r="AG32" s="550">
        <f t="shared" si="6"/>
        <v>239</v>
      </c>
      <c r="AH32" s="42">
        <v>2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2</v>
      </c>
    </row>
    <row r="33" spans="1:41" ht="24" customHeight="1">
      <c r="A33" s="11">
        <f t="shared" si="8"/>
        <v>30</v>
      </c>
      <c r="B33" s="8">
        <v>697</v>
      </c>
      <c r="C33" s="478" t="str">
        <f>VLOOKUP(B33,All!$B$4:$S$8977,2,FALSE)</f>
        <v>ខេន</v>
      </c>
      <c r="D33" s="479" t="str">
        <f>VLOOKUP(B33,All!$B$4:$S$89977,3,FALSE)</f>
        <v>ភា</v>
      </c>
      <c r="E33" s="478" t="str">
        <f>VLOOKUP(B33,All!$B$4:$S$8977,4,FALSE)</f>
        <v>KHEN</v>
      </c>
      <c r="F33" s="479" t="str">
        <f>VLOOKUP(B33,All!$B$4:$S$8977,5,FALSE)</f>
        <v>PHEA</v>
      </c>
      <c r="G33" s="479" t="str">
        <f>VLOOKUP(B33,All!$B$4:$S$8977,6,FALSE)</f>
        <v>F</v>
      </c>
      <c r="H33" s="385">
        <f>VLOOKUP(B33,All!$B$4:$S$8977,7,FALSE)</f>
        <v>29228</v>
      </c>
      <c r="I33" s="154">
        <f>VLOOKUP(B33,All!$B$4:$S$8977,8,FALSE)</f>
        <v>41920</v>
      </c>
      <c r="J33" s="154" t="str">
        <f>VLOOKUP(B33,All!$B$4:$S$8977,9,FALSE)</f>
        <v>Production</v>
      </c>
      <c r="K33" s="154" t="str">
        <f>VLOOKUP(B33,All!$B$4:$S$8977,10,FALSE)</f>
        <v xml:space="preserve"> Line15</v>
      </c>
      <c r="L33" s="698" t="str">
        <f>VLOOKUP(B33,All!$B$4:$S$8977,11,FALSE)</f>
        <v>Sewing operator</v>
      </c>
      <c r="M33" s="570">
        <f>VLOOKUP(B33,All!$B$4:$S$8977,12,FALSE)</f>
        <v>192</v>
      </c>
      <c r="N33" s="18">
        <f>VLOOKUP(B33,All!$B$4:$S$8977,13,FALSE)</f>
        <v>8</v>
      </c>
      <c r="O33" s="18">
        <f>VLOOKUP(B33,All!$B$4:$S$8977,14,FALSE)</f>
        <v>20</v>
      </c>
      <c r="P33" s="18">
        <f>VLOOKUP(B33,All!$B$4:$S$8977,15,FALSE)</f>
        <v>0</v>
      </c>
      <c r="Q33" s="18">
        <f>VLOOKUP(B33,All!$B$4:$S$8977,16,FALSE)</f>
        <v>0</v>
      </c>
      <c r="R33" s="18">
        <v>7</v>
      </c>
      <c r="S33" s="18">
        <v>10</v>
      </c>
      <c r="T33" s="550">
        <f t="shared" si="10"/>
        <v>237</v>
      </c>
      <c r="U33" s="568"/>
      <c r="V33" s="3"/>
      <c r="W33" s="3"/>
      <c r="X33" s="3"/>
      <c r="Y33" s="562"/>
      <c r="Z33" s="570">
        <f t="shared" si="7"/>
        <v>194</v>
      </c>
      <c r="AA33" s="18">
        <f t="shared" si="1"/>
        <v>8</v>
      </c>
      <c r="AB33" s="18">
        <f t="shared" si="2"/>
        <v>20</v>
      </c>
      <c r="AC33" s="18">
        <f t="shared" si="3"/>
        <v>0</v>
      </c>
      <c r="AD33" s="18">
        <f t="shared" si="4"/>
        <v>0</v>
      </c>
      <c r="AE33" s="18">
        <f t="shared" si="9"/>
        <v>7</v>
      </c>
      <c r="AF33" s="18">
        <f t="shared" si="9"/>
        <v>10</v>
      </c>
      <c r="AG33" s="550">
        <f t="shared" si="6"/>
        <v>239</v>
      </c>
      <c r="AH33" s="42">
        <v>2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2</v>
      </c>
    </row>
    <row r="34" spans="1:41" ht="24" customHeight="1">
      <c r="A34" s="11">
        <f t="shared" si="8"/>
        <v>31</v>
      </c>
      <c r="B34" s="8">
        <v>742</v>
      </c>
      <c r="C34" s="478" t="str">
        <f>VLOOKUP(B34,All!$B$4:$S$8977,2,FALSE)</f>
        <v>ភោគ</v>
      </c>
      <c r="D34" s="479" t="str">
        <f>VLOOKUP(B34,All!$B$4:$S$89977,3,FALSE)</f>
        <v>អ៊ុយ</v>
      </c>
      <c r="E34" s="478" t="str">
        <f>VLOOKUP(B34,All!$B$4:$S$8977,4,FALSE)</f>
        <v>PHUK</v>
      </c>
      <c r="F34" s="479" t="str">
        <f>VLOOKUP(B34,All!$B$4:$S$8977,5,FALSE)</f>
        <v>UY</v>
      </c>
      <c r="G34" s="479" t="str">
        <f>VLOOKUP(B34,All!$B$4:$S$8977,6,FALSE)</f>
        <v>F</v>
      </c>
      <c r="H34" s="385">
        <f>VLOOKUP(B34,All!$B$4:$S$8977,7,FALSE)</f>
        <v>28331</v>
      </c>
      <c r="I34" s="154">
        <f>VLOOKUP(B34,All!$B$4:$S$8977,8,FALSE)</f>
        <v>41964</v>
      </c>
      <c r="J34" s="154" t="str">
        <f>VLOOKUP(B34,All!$B$4:$S$8977,9,FALSE)</f>
        <v>Production</v>
      </c>
      <c r="K34" s="154" t="str">
        <f>VLOOKUP(B34,All!$B$4:$S$8977,10,FALSE)</f>
        <v>Line21</v>
      </c>
      <c r="L34" s="698" t="str">
        <f>VLOOKUP(B34,All!$B$4:$S$8977,11,FALSE)</f>
        <v>Sewing operator</v>
      </c>
      <c r="M34" s="570">
        <f>VLOOKUP(B34,All!$B$4:$S$8977,12,FALSE)</f>
        <v>192</v>
      </c>
      <c r="N34" s="18">
        <f>VLOOKUP(B34,All!$B$4:$S$8977,13,FALSE)</f>
        <v>8</v>
      </c>
      <c r="O34" s="18">
        <f>VLOOKUP(B34,All!$B$4:$S$8977,14,FALSE)</f>
        <v>20</v>
      </c>
      <c r="P34" s="18">
        <f>VLOOKUP(B34,All!$B$4:$S$8977,15,FALSE)</f>
        <v>0</v>
      </c>
      <c r="Q34" s="18">
        <f>VLOOKUP(B34,All!$B$4:$S$8977,16,FALSE)</f>
        <v>0</v>
      </c>
      <c r="R34" s="18">
        <v>7</v>
      </c>
      <c r="S34" s="18">
        <v>10</v>
      </c>
      <c r="T34" s="550">
        <f t="shared" si="10"/>
        <v>237</v>
      </c>
      <c r="U34" s="568"/>
      <c r="V34" s="3"/>
      <c r="W34" s="3"/>
      <c r="X34" s="3"/>
      <c r="Y34" s="562"/>
      <c r="Z34" s="570">
        <f t="shared" si="7"/>
        <v>194</v>
      </c>
      <c r="AA34" s="18">
        <f t="shared" si="1"/>
        <v>8</v>
      </c>
      <c r="AB34" s="18">
        <f t="shared" si="2"/>
        <v>20</v>
      </c>
      <c r="AC34" s="18">
        <f t="shared" si="3"/>
        <v>0</v>
      </c>
      <c r="AD34" s="18">
        <f t="shared" si="4"/>
        <v>0</v>
      </c>
      <c r="AE34" s="18">
        <f t="shared" si="9"/>
        <v>7</v>
      </c>
      <c r="AF34" s="18">
        <f t="shared" si="9"/>
        <v>10</v>
      </c>
      <c r="AG34" s="550">
        <f t="shared" si="6"/>
        <v>239</v>
      </c>
      <c r="AH34" s="42">
        <v>2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2</v>
      </c>
    </row>
    <row r="35" spans="1:41" ht="24" customHeight="1">
      <c r="A35" s="11">
        <f t="shared" si="8"/>
        <v>32</v>
      </c>
      <c r="B35" s="8">
        <v>747</v>
      </c>
      <c r="C35" s="478" t="str">
        <f>VLOOKUP(B35,All!$B$4:$S$8977,2,FALSE)</f>
        <v>ឆង</v>
      </c>
      <c r="D35" s="479" t="str">
        <f>VLOOKUP(B35,All!$B$4:$S$89977,3,FALSE)</f>
        <v>តយ</v>
      </c>
      <c r="E35" s="478" t="str">
        <f>VLOOKUP(B35,All!$B$4:$S$8977,4,FALSE)</f>
        <v>THORNG</v>
      </c>
      <c r="F35" s="479" t="str">
        <f>VLOOKUP(B35,All!$B$4:$S$8977,5,FALSE)</f>
        <v>TAY</v>
      </c>
      <c r="G35" s="479" t="str">
        <f>VLOOKUP(B35,All!$B$4:$S$8977,6,FALSE)</f>
        <v>F</v>
      </c>
      <c r="H35" s="385">
        <f>VLOOKUP(B35,All!$B$4:$S$8977,7,FALSE)</f>
        <v>30656</v>
      </c>
      <c r="I35" s="154">
        <f>VLOOKUP(B35,All!$B$4:$S$8977,8,FALSE)</f>
        <v>41970</v>
      </c>
      <c r="J35" s="154" t="str">
        <f>VLOOKUP(B35,All!$B$4:$S$8977,9,FALSE)</f>
        <v>Production</v>
      </c>
      <c r="K35" s="154" t="str">
        <f>VLOOKUP(B35,All!$B$4:$S$8977,10,FALSE)</f>
        <v>Line 11</v>
      </c>
      <c r="L35" s="698" t="str">
        <f>VLOOKUP(B35,All!$B$4:$S$8977,11,FALSE)</f>
        <v>Sewing operator</v>
      </c>
      <c r="M35" s="570">
        <f>VLOOKUP(B35,All!$B$4:$S$8977,12,FALSE)</f>
        <v>192</v>
      </c>
      <c r="N35" s="18">
        <f>VLOOKUP(B35,All!$B$4:$S$8977,13,FALSE)</f>
        <v>8</v>
      </c>
      <c r="O35" s="18">
        <f>VLOOKUP(B35,All!$B$4:$S$8977,14,FALSE)</f>
        <v>20</v>
      </c>
      <c r="P35" s="18">
        <f>VLOOKUP(B35,All!$B$4:$S$8977,15,FALSE)</f>
        <v>0</v>
      </c>
      <c r="Q35" s="18">
        <f>VLOOKUP(B35,All!$B$4:$S$8977,16,FALSE)</f>
        <v>0</v>
      </c>
      <c r="R35" s="18">
        <v>7</v>
      </c>
      <c r="S35" s="18">
        <v>10</v>
      </c>
      <c r="T35" s="550">
        <f t="shared" si="10"/>
        <v>237</v>
      </c>
      <c r="U35" s="568"/>
      <c r="V35" s="3"/>
      <c r="W35" s="3"/>
      <c r="X35" s="3"/>
      <c r="Y35" s="562"/>
      <c r="Z35" s="570">
        <f t="shared" si="7"/>
        <v>194</v>
      </c>
      <c r="AA35" s="18">
        <f t="shared" si="1"/>
        <v>8</v>
      </c>
      <c r="AB35" s="18">
        <f t="shared" si="2"/>
        <v>20</v>
      </c>
      <c r="AC35" s="18">
        <f t="shared" si="3"/>
        <v>0</v>
      </c>
      <c r="AD35" s="18">
        <f t="shared" si="4"/>
        <v>0</v>
      </c>
      <c r="AE35" s="18">
        <f t="shared" si="9"/>
        <v>7</v>
      </c>
      <c r="AF35" s="18">
        <f t="shared" si="9"/>
        <v>10</v>
      </c>
      <c r="AG35" s="550">
        <f t="shared" si="6"/>
        <v>239</v>
      </c>
      <c r="AH35" s="42">
        <v>2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2</v>
      </c>
    </row>
    <row r="36" spans="1:41" ht="24" customHeight="1">
      <c r="A36" s="11">
        <f t="shared" si="8"/>
        <v>33</v>
      </c>
      <c r="B36" s="8">
        <v>748</v>
      </c>
      <c r="C36" s="478" t="str">
        <f>VLOOKUP(B36,All!$B$4:$S$8977,2,FALSE)</f>
        <v>ហៃ</v>
      </c>
      <c r="D36" s="479" t="str">
        <f>VLOOKUP(B36,All!$B$4:$S$89977,3,FALSE)</f>
        <v>ម៉ាលី</v>
      </c>
      <c r="E36" s="478" t="str">
        <f>VLOOKUP(B36,All!$B$4:$S$8977,4,FALSE)</f>
        <v>HEY</v>
      </c>
      <c r="F36" s="479" t="str">
        <f>VLOOKUP(B36,All!$B$4:$S$8977,5,FALSE)</f>
        <v>MALY</v>
      </c>
      <c r="G36" s="479" t="str">
        <f>VLOOKUP(B36,All!$B$4:$S$8977,6,FALSE)</f>
        <v>F</v>
      </c>
      <c r="H36" s="385">
        <f>VLOOKUP(B36,All!$B$4:$S$8977,7,FALSE)</f>
        <v>29710</v>
      </c>
      <c r="I36" s="154">
        <f>VLOOKUP(B36,All!$B$4:$S$8977,8,FALSE)</f>
        <v>41970</v>
      </c>
      <c r="J36" s="154" t="str">
        <f>VLOOKUP(B36,All!$B$4:$S$8977,9,FALSE)</f>
        <v>Production</v>
      </c>
      <c r="K36" s="154" t="str">
        <f>VLOOKUP(B36,All!$B$4:$S$8977,10,FALSE)</f>
        <v>Line10</v>
      </c>
      <c r="L36" s="698" t="str">
        <f>VLOOKUP(B36,All!$B$4:$S$8977,11,FALSE)</f>
        <v>Sewing operator</v>
      </c>
      <c r="M36" s="570">
        <f>VLOOKUP(B36,All!$B$4:$S$8977,12,FALSE)</f>
        <v>192</v>
      </c>
      <c r="N36" s="18">
        <f>VLOOKUP(B36,All!$B$4:$S$8977,13,FALSE)</f>
        <v>8</v>
      </c>
      <c r="O36" s="18">
        <f>VLOOKUP(B36,All!$B$4:$S$8977,14,FALSE)</f>
        <v>20</v>
      </c>
      <c r="P36" s="18">
        <f>VLOOKUP(B36,All!$B$4:$S$8977,15,FALSE)</f>
        <v>0</v>
      </c>
      <c r="Q36" s="18">
        <f>VLOOKUP(B36,All!$B$4:$S$8977,16,FALSE)</f>
        <v>0</v>
      </c>
      <c r="R36" s="18">
        <v>7</v>
      </c>
      <c r="S36" s="18">
        <v>10</v>
      </c>
      <c r="T36" s="550">
        <f t="shared" si="10"/>
        <v>237</v>
      </c>
      <c r="U36" s="568"/>
      <c r="V36" s="3"/>
      <c r="W36" s="3"/>
      <c r="X36" s="3"/>
      <c r="Y36" s="562"/>
      <c r="Z36" s="570">
        <f t="shared" si="7"/>
        <v>194</v>
      </c>
      <c r="AA36" s="18">
        <f t="shared" si="1"/>
        <v>8</v>
      </c>
      <c r="AB36" s="18">
        <f t="shared" si="2"/>
        <v>20</v>
      </c>
      <c r="AC36" s="18">
        <f t="shared" si="3"/>
        <v>0</v>
      </c>
      <c r="AD36" s="18">
        <f t="shared" si="4"/>
        <v>0</v>
      </c>
      <c r="AE36" s="18">
        <f t="shared" si="9"/>
        <v>7</v>
      </c>
      <c r="AF36" s="18">
        <f t="shared" si="9"/>
        <v>10</v>
      </c>
      <c r="AG36" s="550">
        <f t="shared" si="6"/>
        <v>239</v>
      </c>
      <c r="AH36" s="42">
        <v>2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2</v>
      </c>
    </row>
    <row r="37" spans="1:41" ht="24" customHeight="1">
      <c r="A37" s="11">
        <f t="shared" si="8"/>
        <v>34</v>
      </c>
      <c r="B37" s="8">
        <v>755</v>
      </c>
      <c r="C37" s="478" t="str">
        <f>VLOOKUP(B37,All!$B$4:$S$8977,2,FALSE)</f>
        <v>បន</v>
      </c>
      <c r="D37" s="479" t="str">
        <f>VLOOKUP(B37,All!$B$4:$S$89977,3,FALSE)</f>
        <v>ស្រីម៉ៅ</v>
      </c>
      <c r="E37" s="478" t="str">
        <f>VLOOKUP(B37,All!$B$4:$S$8977,4,FALSE)</f>
        <v>BORN</v>
      </c>
      <c r="F37" s="479" t="str">
        <f>VLOOKUP(B37,All!$B$4:$S$8977,5,FALSE)</f>
        <v>SREY MAO</v>
      </c>
      <c r="G37" s="479" t="str">
        <f>VLOOKUP(B37,All!$B$4:$S$8977,6,FALSE)</f>
        <v>F</v>
      </c>
      <c r="H37" s="385">
        <f>VLOOKUP(B37,All!$B$4:$S$8977,7,FALSE)</f>
        <v>30942</v>
      </c>
      <c r="I37" s="154">
        <f>VLOOKUP(B37,All!$B$4:$S$8977,8,FALSE)</f>
        <v>41970</v>
      </c>
      <c r="J37" s="154" t="str">
        <f>VLOOKUP(B37,All!$B$4:$S$8977,9,FALSE)</f>
        <v>Production</v>
      </c>
      <c r="K37" s="154" t="str">
        <f>VLOOKUP(B37,All!$B$4:$S$8977,10,FALSE)</f>
        <v>Line 11</v>
      </c>
      <c r="L37" s="698" t="str">
        <f>VLOOKUP(B37,All!$B$4:$S$8977,11,FALSE)</f>
        <v>Sewing operator</v>
      </c>
      <c r="M37" s="570">
        <f>VLOOKUP(B37,All!$B$4:$S$8977,12,FALSE)</f>
        <v>192</v>
      </c>
      <c r="N37" s="18">
        <f>VLOOKUP(B37,All!$B$4:$S$8977,13,FALSE)</f>
        <v>8</v>
      </c>
      <c r="O37" s="18">
        <f>VLOOKUP(B37,All!$B$4:$S$8977,14,FALSE)</f>
        <v>20</v>
      </c>
      <c r="P37" s="18">
        <f>VLOOKUP(B37,All!$B$4:$S$8977,15,FALSE)</f>
        <v>0</v>
      </c>
      <c r="Q37" s="18">
        <f>VLOOKUP(B37,All!$B$4:$S$8977,16,FALSE)</f>
        <v>0</v>
      </c>
      <c r="R37" s="18">
        <v>7</v>
      </c>
      <c r="S37" s="18">
        <v>10</v>
      </c>
      <c r="T37" s="550">
        <f t="shared" si="10"/>
        <v>237</v>
      </c>
      <c r="U37" s="568"/>
      <c r="V37" s="3"/>
      <c r="W37" s="3"/>
      <c r="X37" s="3"/>
      <c r="Y37" s="562"/>
      <c r="Z37" s="570">
        <f t="shared" si="7"/>
        <v>194</v>
      </c>
      <c r="AA37" s="18">
        <f t="shared" si="1"/>
        <v>8</v>
      </c>
      <c r="AB37" s="18">
        <f t="shared" si="2"/>
        <v>20</v>
      </c>
      <c r="AC37" s="18">
        <f t="shared" si="3"/>
        <v>0</v>
      </c>
      <c r="AD37" s="18">
        <f t="shared" si="4"/>
        <v>0</v>
      </c>
      <c r="AE37" s="18">
        <f t="shared" si="9"/>
        <v>7</v>
      </c>
      <c r="AF37" s="18">
        <f t="shared" si="9"/>
        <v>10</v>
      </c>
      <c r="AG37" s="550">
        <f t="shared" si="6"/>
        <v>239</v>
      </c>
      <c r="AH37" s="42">
        <v>2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2</v>
      </c>
    </row>
    <row r="38" spans="1:41" ht="24" customHeight="1">
      <c r="A38" s="11">
        <f t="shared" si="8"/>
        <v>35</v>
      </c>
      <c r="B38" s="8">
        <v>485</v>
      </c>
      <c r="C38" s="478" t="str">
        <f>VLOOKUP(B38,All!$B$4:$S$8977,2,FALSE)</f>
        <v>ឈិន</v>
      </c>
      <c r="D38" s="479" t="str">
        <f>VLOOKUP(B38,All!$B$4:$S$89977,3,FALSE)</f>
        <v>ស្រីធី</v>
      </c>
      <c r="E38" s="478" t="str">
        <f>VLOOKUP(B38,All!$B$4:$S$8977,4,FALSE)</f>
        <v>CHIN</v>
      </c>
      <c r="F38" s="479" t="str">
        <f>VLOOKUP(B38,All!$B$4:$S$8977,5,FALSE)</f>
        <v>SREYTHY</v>
      </c>
      <c r="G38" s="479" t="str">
        <f>VLOOKUP(B38,All!$B$4:$S$8977,6,FALSE)</f>
        <v>F</v>
      </c>
      <c r="H38" s="385">
        <f>VLOOKUP(B38,All!$B$4:$S$8977,7,FALSE)</f>
        <v>32876</v>
      </c>
      <c r="I38" s="154">
        <f>VLOOKUP(B38,All!$B$4:$S$8977,8,FALSE)</f>
        <v>41822</v>
      </c>
      <c r="J38" s="154" t="str">
        <f>VLOOKUP(B38,All!$B$4:$S$8977,9,FALSE)</f>
        <v>Production</v>
      </c>
      <c r="K38" s="154" t="str">
        <f>VLOOKUP(B38,All!$B$4:$S$8977,10,FALSE)</f>
        <v xml:space="preserve"> Line3</v>
      </c>
      <c r="L38" s="698" t="str">
        <f>VLOOKUP(B38,All!$B$4:$S$8977,11,FALSE)</f>
        <v>Sewing operator</v>
      </c>
      <c r="M38" s="570">
        <f>VLOOKUP(B38,All!$B$4:$S$8977,12,FALSE)</f>
        <v>192</v>
      </c>
      <c r="N38" s="18">
        <f>VLOOKUP(B38,All!$B$4:$S$8977,13,FALSE)</f>
        <v>8</v>
      </c>
      <c r="O38" s="18">
        <f>VLOOKUP(B38,All!$B$4:$S$8977,14,FALSE)</f>
        <v>20</v>
      </c>
      <c r="P38" s="18">
        <f>VLOOKUP(B38,All!$B$4:$S$8977,15,FALSE)</f>
        <v>0</v>
      </c>
      <c r="Q38" s="18">
        <f>VLOOKUP(B38,All!$B$4:$S$8977,16,FALSE)</f>
        <v>0</v>
      </c>
      <c r="R38" s="18">
        <v>7</v>
      </c>
      <c r="S38" s="18">
        <v>10</v>
      </c>
      <c r="T38" s="550">
        <f t="shared" si="10"/>
        <v>237</v>
      </c>
      <c r="U38" s="568"/>
      <c r="V38" s="3"/>
      <c r="W38" s="3"/>
      <c r="X38" s="3"/>
      <c r="Y38" s="562"/>
      <c r="Z38" s="570">
        <f t="shared" si="7"/>
        <v>194</v>
      </c>
      <c r="AA38" s="18">
        <f t="shared" si="1"/>
        <v>8</v>
      </c>
      <c r="AB38" s="18">
        <f t="shared" si="2"/>
        <v>20</v>
      </c>
      <c r="AC38" s="18">
        <f t="shared" si="3"/>
        <v>0</v>
      </c>
      <c r="AD38" s="18">
        <f t="shared" si="4"/>
        <v>0</v>
      </c>
      <c r="AE38" s="18">
        <f t="shared" si="9"/>
        <v>7</v>
      </c>
      <c r="AF38" s="18">
        <f t="shared" si="9"/>
        <v>10</v>
      </c>
      <c r="AG38" s="550">
        <f t="shared" si="6"/>
        <v>239</v>
      </c>
      <c r="AH38" s="42">
        <v>2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2</v>
      </c>
    </row>
    <row r="39" spans="1:41" ht="24" customHeight="1">
      <c r="A39" s="11">
        <f t="shared" si="8"/>
        <v>36</v>
      </c>
      <c r="B39" s="8">
        <v>835</v>
      </c>
      <c r="C39" s="478" t="str">
        <f>VLOOKUP(B39,All!$B$4:$S$8977,2,FALSE)</f>
        <v>គៀន</v>
      </c>
      <c r="D39" s="479" t="str">
        <f>VLOOKUP(B39,All!$B$4:$S$89977,3,FALSE)</f>
        <v>យូរី</v>
      </c>
      <c r="E39" s="478" t="str">
        <f>VLOOKUP(B39,All!$B$4:$S$8977,4,FALSE)</f>
        <v>KIEN</v>
      </c>
      <c r="F39" s="479" t="str">
        <f>VLOOKUP(B39,All!$B$4:$S$8977,5,FALSE)</f>
        <v>YORI</v>
      </c>
      <c r="G39" s="479" t="str">
        <f>VLOOKUP(B39,All!$B$4:$S$8977,6,FALSE)</f>
        <v>F</v>
      </c>
      <c r="H39" s="385">
        <f>VLOOKUP(B39,All!$B$4:$S$8977,7,FALSE)</f>
        <v>35014</v>
      </c>
      <c r="I39" s="154">
        <f>VLOOKUP(B39,All!$B$4:$S$8977,8,FALSE)</f>
        <v>42047</v>
      </c>
      <c r="J39" s="154" t="str">
        <f>VLOOKUP(B39,All!$B$4:$S$8977,9,FALSE)</f>
        <v>Production</v>
      </c>
      <c r="K39" s="154" t="str">
        <f>VLOOKUP(B39,All!$B$4:$S$8977,10,FALSE)</f>
        <v>QC  A</v>
      </c>
      <c r="L39" s="698" t="str">
        <f>VLOOKUP(B39,All!$B$4:$S$8977,11,FALSE)</f>
        <v>Inspector</v>
      </c>
      <c r="M39" s="570">
        <f>VLOOKUP(B39,All!$B$4:$S$8977,12,FALSE)</f>
        <v>192</v>
      </c>
      <c r="N39" s="18">
        <f>VLOOKUP(B39,All!$B$4:$S$8977,13,FALSE)</f>
        <v>7</v>
      </c>
      <c r="O39" s="18">
        <f>VLOOKUP(B39,All!$B$4:$S$8977,14,FALSE)</f>
        <v>20</v>
      </c>
      <c r="P39" s="18">
        <f>VLOOKUP(B39,All!$B$4:$S$8977,15,FALSE)</f>
        <v>0</v>
      </c>
      <c r="Q39" s="18">
        <f>VLOOKUP(B39,All!$B$4:$S$8977,16,FALSE)</f>
        <v>0</v>
      </c>
      <c r="R39" s="18">
        <v>7</v>
      </c>
      <c r="S39" s="18">
        <v>10</v>
      </c>
      <c r="T39" s="550">
        <f t="shared" si="10"/>
        <v>236</v>
      </c>
      <c r="U39" s="568"/>
      <c r="V39" s="3"/>
      <c r="W39" s="3"/>
      <c r="X39" s="3"/>
      <c r="Y39" s="562"/>
      <c r="Z39" s="570">
        <f t="shared" si="7"/>
        <v>194</v>
      </c>
      <c r="AA39" s="18">
        <f t="shared" si="1"/>
        <v>7</v>
      </c>
      <c r="AB39" s="18">
        <f t="shared" si="2"/>
        <v>20</v>
      </c>
      <c r="AC39" s="18">
        <f t="shared" si="3"/>
        <v>0</v>
      </c>
      <c r="AD39" s="18">
        <f t="shared" si="4"/>
        <v>0</v>
      </c>
      <c r="AE39" s="18">
        <f t="shared" si="9"/>
        <v>7</v>
      </c>
      <c r="AF39" s="18">
        <f t="shared" si="9"/>
        <v>10</v>
      </c>
      <c r="AG39" s="550">
        <f t="shared" si="6"/>
        <v>238</v>
      </c>
      <c r="AH39" s="42">
        <v>2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2</v>
      </c>
    </row>
    <row r="40" spans="1:41" ht="24" customHeight="1">
      <c r="A40" s="11">
        <f t="shared" si="8"/>
        <v>37</v>
      </c>
      <c r="B40" s="8">
        <v>826</v>
      </c>
      <c r="C40" s="478" t="str">
        <f>VLOOKUP(B40,All!$B$4:$S$8977,2,FALSE)</f>
        <v>យុន</v>
      </c>
      <c r="D40" s="479" t="str">
        <f>VLOOKUP(B40,All!$B$4:$S$89977,3,FALSE)</f>
        <v>ម៉េងជូ</v>
      </c>
      <c r="E40" s="478" t="str">
        <f>VLOOKUP(B40,All!$B$4:$S$8977,4,FALSE)</f>
        <v>YUN</v>
      </c>
      <c r="F40" s="479" t="str">
        <f>VLOOKUP(B40,All!$B$4:$S$8977,5,FALSE)</f>
        <v>MENG CHOU</v>
      </c>
      <c r="G40" s="479" t="str">
        <f>VLOOKUP(B40,All!$B$4:$S$8977,6,FALSE)</f>
        <v>F</v>
      </c>
      <c r="H40" s="385">
        <f>VLOOKUP(B40,All!$B$4:$S$8977,7,FALSE)</f>
        <v>32982</v>
      </c>
      <c r="I40" s="154">
        <f>VLOOKUP(B40,All!$B$4:$S$8977,8,FALSE)</f>
        <v>42045</v>
      </c>
      <c r="J40" s="154" t="str">
        <f>VLOOKUP(B40,All!$B$4:$S$8977,9,FALSE)</f>
        <v>Production</v>
      </c>
      <c r="K40" s="154" t="str">
        <f>VLOOKUP(B40,All!$B$4:$S$8977,10,FALSE)</f>
        <v>Line21</v>
      </c>
      <c r="L40" s="698" t="str">
        <f>VLOOKUP(B40,All!$B$4:$S$8977,11,FALSE)</f>
        <v>Sewing operator</v>
      </c>
      <c r="M40" s="570">
        <f>VLOOKUP(B40,All!$B$4:$S$8977,12,FALSE)</f>
        <v>192</v>
      </c>
      <c r="N40" s="18">
        <f>VLOOKUP(B40,All!$B$4:$S$8977,13,FALSE)</f>
        <v>7</v>
      </c>
      <c r="O40" s="18">
        <f>VLOOKUP(B40,All!$B$4:$S$8977,14,FALSE)</f>
        <v>20</v>
      </c>
      <c r="P40" s="18">
        <f>VLOOKUP(B40,All!$B$4:$S$8977,15,FALSE)</f>
        <v>0</v>
      </c>
      <c r="Q40" s="18">
        <f>VLOOKUP(B40,All!$B$4:$S$8977,16,FALSE)</f>
        <v>0</v>
      </c>
      <c r="R40" s="18">
        <v>7</v>
      </c>
      <c r="S40" s="18">
        <v>10</v>
      </c>
      <c r="T40" s="550">
        <f t="shared" si="10"/>
        <v>236</v>
      </c>
      <c r="U40" s="568"/>
      <c r="V40" s="3"/>
      <c r="W40" s="3"/>
      <c r="X40" s="3"/>
      <c r="Y40" s="562"/>
      <c r="Z40" s="570">
        <f t="shared" si="7"/>
        <v>194</v>
      </c>
      <c r="AA40" s="18">
        <f t="shared" si="1"/>
        <v>7</v>
      </c>
      <c r="AB40" s="18">
        <f t="shared" si="2"/>
        <v>20</v>
      </c>
      <c r="AC40" s="18">
        <f t="shared" si="3"/>
        <v>0</v>
      </c>
      <c r="AD40" s="18">
        <f t="shared" si="4"/>
        <v>0</v>
      </c>
      <c r="AE40" s="18">
        <f t="shared" si="9"/>
        <v>7</v>
      </c>
      <c r="AF40" s="18">
        <f t="shared" si="9"/>
        <v>10</v>
      </c>
      <c r="AG40" s="550">
        <f t="shared" si="6"/>
        <v>238</v>
      </c>
      <c r="AH40" s="42">
        <v>2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2</v>
      </c>
    </row>
    <row r="41" spans="1:41" ht="24" customHeight="1">
      <c r="A41" s="11">
        <f t="shared" si="8"/>
        <v>38</v>
      </c>
      <c r="B41" s="8">
        <v>825</v>
      </c>
      <c r="C41" s="478" t="str">
        <f>VLOOKUP(B41,All!$B$4:$S$8977,2,FALSE)</f>
        <v>ម៉េ</v>
      </c>
      <c r="D41" s="479" t="str">
        <f>VLOOKUP(B41,All!$B$4:$S$89977,3,FALSE)</f>
        <v>សុគា</v>
      </c>
      <c r="E41" s="478" t="str">
        <f>VLOOKUP(B41,All!$B$4:$S$8977,4,FALSE)</f>
        <v>MA</v>
      </c>
      <c r="F41" s="479" t="str">
        <f>VLOOKUP(B41,All!$B$4:$S$8977,5,FALSE)</f>
        <v>SOKEA</v>
      </c>
      <c r="G41" s="479" t="str">
        <f>VLOOKUP(B41,All!$B$4:$S$8977,6,FALSE)</f>
        <v>F</v>
      </c>
      <c r="H41" s="385">
        <f>VLOOKUP(B41,All!$B$4:$S$8977,7,FALSE)</f>
        <v>34227</v>
      </c>
      <c r="I41" s="154">
        <f>VLOOKUP(B41,All!$B$4:$S$8977,8,FALSE)</f>
        <v>42044</v>
      </c>
      <c r="J41" s="154" t="str">
        <f>VLOOKUP(B41,All!$B$4:$S$8977,9,FALSE)</f>
        <v>Production</v>
      </c>
      <c r="K41" s="154" t="str">
        <f>VLOOKUP(B41,All!$B$4:$S$8977,10,FALSE)</f>
        <v xml:space="preserve"> Line15</v>
      </c>
      <c r="L41" s="698" t="str">
        <f>VLOOKUP(B41,All!$B$4:$S$8977,11,FALSE)</f>
        <v>Sewing operator</v>
      </c>
      <c r="M41" s="570">
        <f>VLOOKUP(B41,All!$B$4:$S$8977,12,FALSE)</f>
        <v>192</v>
      </c>
      <c r="N41" s="18">
        <f>VLOOKUP(B41,All!$B$4:$S$8977,13,FALSE)</f>
        <v>7</v>
      </c>
      <c r="O41" s="18">
        <f>VLOOKUP(B41,All!$B$4:$S$8977,14,FALSE)</f>
        <v>20</v>
      </c>
      <c r="P41" s="18">
        <f>VLOOKUP(B41,All!$B$4:$S$8977,15,FALSE)</f>
        <v>0</v>
      </c>
      <c r="Q41" s="18">
        <f>VLOOKUP(B41,All!$B$4:$S$8977,16,FALSE)</f>
        <v>0</v>
      </c>
      <c r="R41" s="18">
        <v>7</v>
      </c>
      <c r="S41" s="18">
        <v>10</v>
      </c>
      <c r="T41" s="550">
        <f t="shared" si="10"/>
        <v>236</v>
      </c>
      <c r="U41" s="568"/>
      <c r="V41" s="3"/>
      <c r="W41" s="3"/>
      <c r="X41" s="3"/>
      <c r="Y41" s="562"/>
      <c r="Z41" s="570">
        <f t="shared" si="7"/>
        <v>194</v>
      </c>
      <c r="AA41" s="18">
        <f t="shared" si="1"/>
        <v>7</v>
      </c>
      <c r="AB41" s="18">
        <f t="shared" si="2"/>
        <v>20</v>
      </c>
      <c r="AC41" s="18">
        <f t="shared" si="3"/>
        <v>0</v>
      </c>
      <c r="AD41" s="18">
        <f t="shared" si="4"/>
        <v>0</v>
      </c>
      <c r="AE41" s="18">
        <f t="shared" si="9"/>
        <v>7</v>
      </c>
      <c r="AF41" s="18">
        <f t="shared" si="9"/>
        <v>10</v>
      </c>
      <c r="AG41" s="550">
        <f t="shared" si="6"/>
        <v>238</v>
      </c>
      <c r="AH41" s="42">
        <v>2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2</v>
      </c>
    </row>
    <row r="42" spans="1:41" ht="24" customHeight="1">
      <c r="A42" s="11">
        <f t="shared" si="8"/>
        <v>39</v>
      </c>
      <c r="B42" s="8">
        <v>854</v>
      </c>
      <c r="C42" s="478" t="str">
        <f>VLOOKUP(B42,All!$B$4:$S$8977,2,FALSE)</f>
        <v>ជៃ</v>
      </c>
      <c r="D42" s="479" t="str">
        <f>VLOOKUP(B42,All!$B$4:$S$89977,3,FALSE)</f>
        <v>នីម</v>
      </c>
      <c r="E42" s="478" t="str">
        <f>VLOOKUP(B42,All!$B$4:$S$8977,4,FALSE)</f>
        <v>CHAI</v>
      </c>
      <c r="F42" s="479" t="str">
        <f>VLOOKUP(B42,All!$B$4:$S$8977,5,FALSE)</f>
        <v>NIM</v>
      </c>
      <c r="G42" s="479" t="str">
        <f>VLOOKUP(B42,All!$B$4:$S$8977,6,FALSE)</f>
        <v>F</v>
      </c>
      <c r="H42" s="385">
        <f>VLOOKUP(B42,All!$B$4:$S$8977,7,FALSE)</f>
        <v>31663</v>
      </c>
      <c r="I42" s="154">
        <f>VLOOKUP(B42,All!$B$4:$S$8977,8,FALSE)</f>
        <v>42074</v>
      </c>
      <c r="J42" s="154" t="str">
        <f>VLOOKUP(B42,All!$B$4:$S$8977,9,FALSE)</f>
        <v>Production</v>
      </c>
      <c r="K42" s="154" t="str">
        <f>VLOOKUP(B42,All!$B$4:$S$8977,10,FALSE)</f>
        <v xml:space="preserve"> Line3</v>
      </c>
      <c r="L42" s="698" t="str">
        <f>VLOOKUP(B42,All!$B$4:$S$8977,11,FALSE)</f>
        <v>Sewing operator</v>
      </c>
      <c r="M42" s="570">
        <f>VLOOKUP(B42,All!$B$4:$S$8977,12,FALSE)</f>
        <v>192</v>
      </c>
      <c r="N42" s="18">
        <f>VLOOKUP(B42,All!$B$4:$S$8977,13,FALSE)</f>
        <v>7</v>
      </c>
      <c r="O42" s="18">
        <f>VLOOKUP(B42,All!$B$4:$S$8977,14,FALSE)</f>
        <v>20</v>
      </c>
      <c r="P42" s="18">
        <f>VLOOKUP(B42,All!$B$4:$S$8977,15,FALSE)</f>
        <v>0</v>
      </c>
      <c r="Q42" s="18">
        <f>VLOOKUP(B42,All!$B$4:$S$8977,16,FALSE)</f>
        <v>0</v>
      </c>
      <c r="R42" s="18">
        <v>7</v>
      </c>
      <c r="S42" s="18">
        <v>10</v>
      </c>
      <c r="T42" s="550">
        <f t="shared" si="10"/>
        <v>236</v>
      </c>
      <c r="U42" s="568"/>
      <c r="V42" s="3"/>
      <c r="W42" s="3"/>
      <c r="X42" s="3"/>
      <c r="Y42" s="562"/>
      <c r="Z42" s="570">
        <f t="shared" si="7"/>
        <v>194</v>
      </c>
      <c r="AA42" s="18">
        <f t="shared" si="1"/>
        <v>7</v>
      </c>
      <c r="AB42" s="18">
        <f t="shared" si="2"/>
        <v>20</v>
      </c>
      <c r="AC42" s="18">
        <f t="shared" si="3"/>
        <v>0</v>
      </c>
      <c r="AD42" s="18">
        <f t="shared" si="4"/>
        <v>0</v>
      </c>
      <c r="AE42" s="18">
        <f t="shared" si="9"/>
        <v>7</v>
      </c>
      <c r="AF42" s="18">
        <f t="shared" si="9"/>
        <v>10</v>
      </c>
      <c r="AG42" s="550">
        <f t="shared" si="6"/>
        <v>238</v>
      </c>
      <c r="AH42" s="42">
        <v>2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2</v>
      </c>
    </row>
    <row r="43" spans="1:41" ht="24" customHeight="1">
      <c r="A43" s="11">
        <f t="shared" si="8"/>
        <v>40</v>
      </c>
      <c r="B43" s="8">
        <v>839</v>
      </c>
      <c r="C43" s="478" t="str">
        <f>VLOOKUP(B43,All!$B$4:$S$8977,2,FALSE)</f>
        <v>រុន</v>
      </c>
      <c r="D43" s="479" t="str">
        <f>VLOOKUP(B43,All!$B$4:$S$89977,3,FALSE)</f>
        <v>រ៉េត</v>
      </c>
      <c r="E43" s="478" t="str">
        <f>VLOOKUP(B43,All!$B$4:$S$8977,4,FALSE)</f>
        <v>RUN</v>
      </c>
      <c r="F43" s="479" t="str">
        <f>VLOOKUP(B43,All!$B$4:$S$8977,5,FALSE)</f>
        <v>RETH</v>
      </c>
      <c r="G43" s="479" t="str">
        <f>VLOOKUP(B43,All!$B$4:$S$8977,6,FALSE)</f>
        <v>F</v>
      </c>
      <c r="H43" s="385">
        <f>VLOOKUP(B43,All!$B$4:$S$8977,7,FALSE)</f>
        <v>31455</v>
      </c>
      <c r="I43" s="154">
        <f>VLOOKUP(B43,All!$B$4:$S$8977,8,FALSE)</f>
        <v>42066</v>
      </c>
      <c r="J43" s="154" t="str">
        <f>VLOOKUP(B43,All!$B$4:$S$8977,9,FALSE)</f>
        <v>Production</v>
      </c>
      <c r="K43" s="154" t="str">
        <f>VLOOKUP(B43,All!$B$4:$S$8977,10,FALSE)</f>
        <v>Line 11</v>
      </c>
      <c r="L43" s="698" t="str">
        <f>VLOOKUP(B43,All!$B$4:$S$8977,11,FALSE)</f>
        <v>Sewing operator</v>
      </c>
      <c r="M43" s="570">
        <f>VLOOKUP(B43,All!$B$4:$S$8977,12,FALSE)</f>
        <v>192</v>
      </c>
      <c r="N43" s="18">
        <f>VLOOKUP(B43,All!$B$4:$S$8977,13,FALSE)</f>
        <v>7</v>
      </c>
      <c r="O43" s="18">
        <f>VLOOKUP(B43,All!$B$4:$S$8977,14,FALSE)</f>
        <v>20</v>
      </c>
      <c r="P43" s="18">
        <f>VLOOKUP(B43,All!$B$4:$S$8977,15,FALSE)</f>
        <v>0</v>
      </c>
      <c r="Q43" s="18">
        <f>VLOOKUP(B43,All!$B$4:$S$8977,16,FALSE)</f>
        <v>0</v>
      </c>
      <c r="R43" s="18">
        <v>7</v>
      </c>
      <c r="S43" s="18">
        <v>10</v>
      </c>
      <c r="T43" s="550">
        <f t="shared" si="10"/>
        <v>236</v>
      </c>
      <c r="U43" s="568"/>
      <c r="V43" s="3"/>
      <c r="W43" s="3"/>
      <c r="X43" s="3"/>
      <c r="Y43" s="562"/>
      <c r="Z43" s="570">
        <f t="shared" si="7"/>
        <v>194</v>
      </c>
      <c r="AA43" s="18">
        <f t="shared" si="1"/>
        <v>7</v>
      </c>
      <c r="AB43" s="18">
        <f t="shared" si="2"/>
        <v>20</v>
      </c>
      <c r="AC43" s="18">
        <f t="shared" si="3"/>
        <v>0</v>
      </c>
      <c r="AD43" s="18">
        <f t="shared" si="4"/>
        <v>0</v>
      </c>
      <c r="AE43" s="18">
        <f t="shared" si="9"/>
        <v>7</v>
      </c>
      <c r="AF43" s="18">
        <f t="shared" si="9"/>
        <v>10</v>
      </c>
      <c r="AG43" s="550">
        <f t="shared" ref="AG43:AG95" si="11">SUM(Z43:AF43)</f>
        <v>238</v>
      </c>
      <c r="AH43" s="42">
        <v>2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2</v>
      </c>
    </row>
    <row r="44" spans="1:41" ht="24" customHeight="1">
      <c r="A44" s="11">
        <f t="shared" si="8"/>
        <v>41</v>
      </c>
      <c r="B44" s="8">
        <v>840</v>
      </c>
      <c r="C44" s="478" t="str">
        <f>VLOOKUP(B44,All!$B$4:$S$8977,2,FALSE)</f>
        <v>ហេង</v>
      </c>
      <c r="D44" s="479" t="str">
        <f>VLOOKUP(B44,All!$B$4:$S$89977,3,FALSE)</f>
        <v>រ៉ាត</v>
      </c>
      <c r="E44" s="478" t="str">
        <f>VLOOKUP(B44,All!$B$4:$S$8977,4,FALSE)</f>
        <v>HANG</v>
      </c>
      <c r="F44" s="479" t="str">
        <f>VLOOKUP(B44,All!$B$4:$S$8977,5,FALSE)</f>
        <v>RAT</v>
      </c>
      <c r="G44" s="479" t="str">
        <f>VLOOKUP(B44,All!$B$4:$S$8977,6,FALSE)</f>
        <v>F</v>
      </c>
      <c r="H44" s="385">
        <f>VLOOKUP(B44,All!$B$4:$S$8977,7,FALSE)</f>
        <v>29222</v>
      </c>
      <c r="I44" s="154">
        <f>VLOOKUP(B44,All!$B$4:$S$8977,8,FALSE)</f>
        <v>42066</v>
      </c>
      <c r="J44" s="154" t="str">
        <f>VLOOKUP(B44,All!$B$4:$S$8977,9,FALSE)</f>
        <v>Production</v>
      </c>
      <c r="K44" s="154" t="str">
        <f>VLOOKUP(B44,All!$B$4:$S$8977,10,FALSE)</f>
        <v>Line17</v>
      </c>
      <c r="L44" s="698" t="str">
        <f>VLOOKUP(B44,All!$B$4:$S$8977,11,FALSE)</f>
        <v>Sewing operator</v>
      </c>
      <c r="M44" s="570">
        <f>VLOOKUP(B44,All!$B$4:$S$8977,12,FALSE)</f>
        <v>192</v>
      </c>
      <c r="N44" s="18">
        <f>VLOOKUP(B44,All!$B$4:$S$8977,13,FALSE)</f>
        <v>7</v>
      </c>
      <c r="O44" s="18">
        <f>VLOOKUP(B44,All!$B$4:$S$8977,14,FALSE)</f>
        <v>20</v>
      </c>
      <c r="P44" s="18">
        <f>VLOOKUP(B44,All!$B$4:$S$8977,15,FALSE)</f>
        <v>0</v>
      </c>
      <c r="Q44" s="18">
        <f>VLOOKUP(B44,All!$B$4:$S$8977,16,FALSE)</f>
        <v>0</v>
      </c>
      <c r="R44" s="18">
        <v>7</v>
      </c>
      <c r="S44" s="18">
        <v>10</v>
      </c>
      <c r="T44" s="550">
        <f t="shared" si="10"/>
        <v>236</v>
      </c>
      <c r="U44" s="568"/>
      <c r="V44" s="3"/>
      <c r="W44" s="3"/>
      <c r="X44" s="3"/>
      <c r="Y44" s="562"/>
      <c r="Z44" s="570">
        <f t="shared" si="7"/>
        <v>194</v>
      </c>
      <c r="AA44" s="18">
        <f t="shared" si="1"/>
        <v>7</v>
      </c>
      <c r="AB44" s="18">
        <f t="shared" si="2"/>
        <v>20</v>
      </c>
      <c r="AC44" s="18">
        <f t="shared" si="3"/>
        <v>0</v>
      </c>
      <c r="AD44" s="18">
        <f t="shared" si="4"/>
        <v>0</v>
      </c>
      <c r="AE44" s="18">
        <f t="shared" si="9"/>
        <v>7</v>
      </c>
      <c r="AF44" s="18">
        <f t="shared" si="9"/>
        <v>10</v>
      </c>
      <c r="AG44" s="550">
        <f t="shared" si="11"/>
        <v>238</v>
      </c>
      <c r="AH44" s="42">
        <v>2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2</v>
      </c>
    </row>
    <row r="45" spans="1:41" ht="24" customHeight="1">
      <c r="A45" s="11">
        <f t="shared" si="8"/>
        <v>42</v>
      </c>
      <c r="B45" s="8">
        <v>843</v>
      </c>
      <c r="C45" s="478" t="str">
        <f>VLOOKUP(B45,All!$B$4:$S$8977,2,FALSE)</f>
        <v>យុង</v>
      </c>
      <c r="D45" s="479" t="str">
        <f>VLOOKUP(B45,All!$B$4:$S$89977,3,FALSE)</f>
        <v>ចិន</v>
      </c>
      <c r="E45" s="478" t="str">
        <f>VLOOKUP(B45,All!$B$4:$S$8977,4,FALSE)</f>
        <v>YONG</v>
      </c>
      <c r="F45" s="479" t="str">
        <f>VLOOKUP(B45,All!$B$4:$S$8977,5,FALSE)</f>
        <v xml:space="preserve">CHIN </v>
      </c>
      <c r="G45" s="479" t="str">
        <f>VLOOKUP(B45,All!$B$4:$S$8977,6,FALSE)</f>
        <v>F</v>
      </c>
      <c r="H45" s="385">
        <f>VLOOKUP(B45,All!$B$4:$S$8977,7,FALSE)</f>
        <v>34586</v>
      </c>
      <c r="I45" s="154">
        <f>VLOOKUP(B45,All!$B$4:$S$8977,8,FALSE)</f>
        <v>42066</v>
      </c>
      <c r="J45" s="154" t="str">
        <f>VLOOKUP(B45,All!$B$4:$S$8977,9,FALSE)</f>
        <v>Production</v>
      </c>
      <c r="K45" s="154" t="str">
        <f>VLOOKUP(B45,All!$B$4:$S$8977,10,FALSE)</f>
        <v>Line21</v>
      </c>
      <c r="L45" s="698" t="str">
        <f>VLOOKUP(B45,All!$B$4:$S$8977,11,FALSE)</f>
        <v>Sewing operator</v>
      </c>
      <c r="M45" s="570">
        <f>VLOOKUP(B45,All!$B$4:$S$8977,12,FALSE)</f>
        <v>192</v>
      </c>
      <c r="N45" s="18">
        <f>VLOOKUP(B45,All!$B$4:$S$8977,13,FALSE)</f>
        <v>7</v>
      </c>
      <c r="O45" s="18">
        <f>VLOOKUP(B45,All!$B$4:$S$8977,14,FALSE)</f>
        <v>20</v>
      </c>
      <c r="P45" s="18">
        <f>VLOOKUP(B45,All!$B$4:$S$8977,15,FALSE)</f>
        <v>0</v>
      </c>
      <c r="Q45" s="18">
        <f>VLOOKUP(B45,All!$B$4:$S$8977,16,FALSE)</f>
        <v>0</v>
      </c>
      <c r="R45" s="18">
        <v>7</v>
      </c>
      <c r="S45" s="18">
        <v>10</v>
      </c>
      <c r="T45" s="550">
        <f t="shared" si="10"/>
        <v>236</v>
      </c>
      <c r="U45" s="568"/>
      <c r="V45" s="3"/>
      <c r="W45" s="3"/>
      <c r="X45" s="3"/>
      <c r="Y45" s="562"/>
      <c r="Z45" s="570">
        <f t="shared" si="7"/>
        <v>194</v>
      </c>
      <c r="AA45" s="18">
        <f t="shared" si="1"/>
        <v>7</v>
      </c>
      <c r="AB45" s="18">
        <f t="shared" si="2"/>
        <v>20</v>
      </c>
      <c r="AC45" s="18">
        <f t="shared" si="3"/>
        <v>0</v>
      </c>
      <c r="AD45" s="18">
        <f t="shared" si="4"/>
        <v>0</v>
      </c>
      <c r="AE45" s="18">
        <f t="shared" si="9"/>
        <v>7</v>
      </c>
      <c r="AF45" s="18">
        <f t="shared" si="9"/>
        <v>10</v>
      </c>
      <c r="AG45" s="550">
        <f t="shared" si="11"/>
        <v>238</v>
      </c>
      <c r="AH45" s="42">
        <v>2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2</v>
      </c>
    </row>
    <row r="46" spans="1:41" ht="24" customHeight="1">
      <c r="A46" s="11">
        <f t="shared" si="8"/>
        <v>43</v>
      </c>
      <c r="B46" s="8">
        <v>844</v>
      </c>
      <c r="C46" s="478" t="str">
        <f>VLOOKUP(B46,All!$B$4:$S$8977,2,FALSE)</f>
        <v>ទូច</v>
      </c>
      <c r="D46" s="479" t="str">
        <f>VLOOKUP(B46,All!$B$4:$S$89977,3,FALSE)</f>
        <v>នាង</v>
      </c>
      <c r="E46" s="478" t="str">
        <f>VLOOKUP(B46,All!$B$4:$S$8977,4,FALSE)</f>
        <v>TOUCH</v>
      </c>
      <c r="F46" s="479" t="str">
        <f>VLOOKUP(B46,All!$B$4:$S$8977,5,FALSE)</f>
        <v xml:space="preserve">NEANG </v>
      </c>
      <c r="G46" s="479" t="str">
        <f>VLOOKUP(B46,All!$B$4:$S$8977,6,FALSE)</f>
        <v>F</v>
      </c>
      <c r="H46" s="385">
        <f>VLOOKUP(B46,All!$B$4:$S$8977,7,FALSE)</f>
        <v>29292</v>
      </c>
      <c r="I46" s="154">
        <f>VLOOKUP(B46,All!$B$4:$S$8977,8,FALSE)</f>
        <v>42067</v>
      </c>
      <c r="J46" s="154" t="str">
        <f>VLOOKUP(B46,All!$B$4:$S$8977,9,FALSE)</f>
        <v>Production</v>
      </c>
      <c r="K46" s="154" t="str">
        <f>VLOOKUP(B46,All!$B$4:$S$8977,10,FALSE)</f>
        <v xml:space="preserve"> Line2</v>
      </c>
      <c r="L46" s="698" t="str">
        <f>VLOOKUP(B46,All!$B$4:$S$8977,11,FALSE)</f>
        <v>Sewing operator</v>
      </c>
      <c r="M46" s="570">
        <f>VLOOKUP(B46,All!$B$4:$S$8977,12,FALSE)</f>
        <v>192</v>
      </c>
      <c r="N46" s="18">
        <f>VLOOKUP(B46,All!$B$4:$S$8977,13,FALSE)</f>
        <v>7</v>
      </c>
      <c r="O46" s="18">
        <f>VLOOKUP(B46,All!$B$4:$S$8977,14,FALSE)</f>
        <v>20</v>
      </c>
      <c r="P46" s="18">
        <f>VLOOKUP(B46,All!$B$4:$S$8977,15,FALSE)</f>
        <v>0</v>
      </c>
      <c r="Q46" s="18">
        <f>VLOOKUP(B46,All!$B$4:$S$8977,16,FALSE)</f>
        <v>0</v>
      </c>
      <c r="R46" s="18">
        <v>7</v>
      </c>
      <c r="S46" s="18">
        <v>10</v>
      </c>
      <c r="T46" s="550">
        <f t="shared" si="10"/>
        <v>236</v>
      </c>
      <c r="U46" s="568"/>
      <c r="V46" s="3"/>
      <c r="W46" s="3"/>
      <c r="X46" s="3"/>
      <c r="Y46" s="562"/>
      <c r="Z46" s="570">
        <f t="shared" si="7"/>
        <v>194</v>
      </c>
      <c r="AA46" s="18">
        <f t="shared" si="1"/>
        <v>7</v>
      </c>
      <c r="AB46" s="18">
        <f t="shared" si="2"/>
        <v>20</v>
      </c>
      <c r="AC46" s="18">
        <f t="shared" si="3"/>
        <v>0</v>
      </c>
      <c r="AD46" s="18">
        <f t="shared" si="4"/>
        <v>0</v>
      </c>
      <c r="AE46" s="18">
        <f t="shared" si="9"/>
        <v>7</v>
      </c>
      <c r="AF46" s="18">
        <f t="shared" si="9"/>
        <v>10</v>
      </c>
      <c r="AG46" s="550">
        <f t="shared" si="11"/>
        <v>238</v>
      </c>
      <c r="AH46" s="42">
        <v>2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2</v>
      </c>
    </row>
    <row r="47" spans="1:41" ht="24" customHeight="1">
      <c r="A47" s="11">
        <f t="shared" si="8"/>
        <v>44</v>
      </c>
      <c r="B47" s="8">
        <v>855</v>
      </c>
      <c r="C47" s="478" t="str">
        <f>VLOOKUP(B47,All!$B$4:$S$8977,2,FALSE)</f>
        <v>លាក់</v>
      </c>
      <c r="D47" s="479" t="str">
        <f>VLOOKUP(B47,All!$B$4:$S$89977,3,FALSE)</f>
        <v>ឌីន</v>
      </c>
      <c r="E47" s="478" t="str">
        <f>VLOOKUP(B47,All!$B$4:$S$8977,4,FALSE)</f>
        <v>LEAK</v>
      </c>
      <c r="F47" s="479" t="str">
        <f>VLOOKUP(B47,All!$B$4:$S$8977,5,FALSE)</f>
        <v>DIN</v>
      </c>
      <c r="G47" s="479" t="str">
        <f>VLOOKUP(B47,All!$B$4:$S$8977,6,FALSE)</f>
        <v>F</v>
      </c>
      <c r="H47" s="385">
        <f>VLOOKUP(B47,All!$B$4:$S$8977,7,FALSE)</f>
        <v>30777</v>
      </c>
      <c r="I47" s="154">
        <f>VLOOKUP(B47,All!$B$4:$S$8977,8,FALSE)</f>
        <v>42074</v>
      </c>
      <c r="J47" s="154" t="str">
        <f>VLOOKUP(B47,All!$B$4:$S$8977,9,FALSE)</f>
        <v>Production</v>
      </c>
      <c r="K47" s="154" t="str">
        <f>VLOOKUP(B47,All!$B$4:$S$8977,10,FALSE)</f>
        <v xml:space="preserve"> Line15</v>
      </c>
      <c r="L47" s="698" t="str">
        <f>VLOOKUP(B47,All!$B$4:$S$8977,11,FALSE)</f>
        <v>Sewing operator</v>
      </c>
      <c r="M47" s="570">
        <f>VLOOKUP(B47,All!$B$4:$S$8977,12,FALSE)</f>
        <v>192</v>
      </c>
      <c r="N47" s="18">
        <f>VLOOKUP(B47,All!$B$4:$S$8977,13,FALSE)</f>
        <v>7</v>
      </c>
      <c r="O47" s="18">
        <f>VLOOKUP(B47,All!$B$4:$S$8977,14,FALSE)</f>
        <v>20</v>
      </c>
      <c r="P47" s="18">
        <f>VLOOKUP(B47,All!$B$4:$S$8977,15,FALSE)</f>
        <v>0</v>
      </c>
      <c r="Q47" s="18">
        <f>VLOOKUP(B47,All!$B$4:$S$8977,16,FALSE)</f>
        <v>0</v>
      </c>
      <c r="R47" s="18">
        <v>7</v>
      </c>
      <c r="S47" s="18">
        <v>10</v>
      </c>
      <c r="T47" s="550">
        <f t="shared" si="10"/>
        <v>236</v>
      </c>
      <c r="U47" s="568"/>
      <c r="V47" s="3"/>
      <c r="W47" s="3"/>
      <c r="X47" s="3"/>
      <c r="Y47" s="562"/>
      <c r="Z47" s="570">
        <f t="shared" si="7"/>
        <v>194</v>
      </c>
      <c r="AA47" s="18">
        <f t="shared" si="1"/>
        <v>7</v>
      </c>
      <c r="AB47" s="18">
        <f t="shared" si="2"/>
        <v>20</v>
      </c>
      <c r="AC47" s="18">
        <f t="shared" si="3"/>
        <v>0</v>
      </c>
      <c r="AD47" s="18">
        <f t="shared" si="4"/>
        <v>0</v>
      </c>
      <c r="AE47" s="18">
        <f t="shared" si="9"/>
        <v>7</v>
      </c>
      <c r="AF47" s="18">
        <f t="shared" si="9"/>
        <v>10</v>
      </c>
      <c r="AG47" s="550">
        <f t="shared" si="11"/>
        <v>238</v>
      </c>
      <c r="AH47" s="42">
        <v>2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2</v>
      </c>
    </row>
    <row r="48" spans="1:41" ht="24" customHeight="1">
      <c r="A48" s="11">
        <f t="shared" si="8"/>
        <v>45</v>
      </c>
      <c r="B48" s="8">
        <v>873</v>
      </c>
      <c r="C48" s="478" t="str">
        <f>VLOOKUP(B48,All!$B$4:$S$8977,2,FALSE)</f>
        <v>សូ</v>
      </c>
      <c r="D48" s="479" t="str">
        <f>VLOOKUP(B48,All!$B$4:$S$89977,3,FALSE)</f>
        <v>ភាព</v>
      </c>
      <c r="E48" s="478" t="str">
        <f>VLOOKUP(B48,All!$B$4:$S$8977,4,FALSE)</f>
        <v>SO</v>
      </c>
      <c r="F48" s="479" t="str">
        <f>VLOOKUP(B48,All!$B$4:$S$8977,5,FALSE)</f>
        <v>PHEAP</v>
      </c>
      <c r="G48" s="479" t="str">
        <f>VLOOKUP(B48,All!$B$4:$S$8977,6,FALSE)</f>
        <v>F</v>
      </c>
      <c r="H48" s="385">
        <f>VLOOKUP(B48,All!$B$4:$S$8977,7,FALSE)</f>
        <v>27580</v>
      </c>
      <c r="I48" s="154">
        <f>VLOOKUP(B48,All!$B$4:$S$8977,8,FALSE)</f>
        <v>42086</v>
      </c>
      <c r="J48" s="154" t="str">
        <f>VLOOKUP(B48,All!$B$4:$S$8977,9,FALSE)</f>
        <v>Production</v>
      </c>
      <c r="K48" s="154" t="str">
        <f>VLOOKUP(B48,All!$B$4:$S$8977,10,FALSE)</f>
        <v>Line21</v>
      </c>
      <c r="L48" s="698" t="str">
        <f>VLOOKUP(B48,All!$B$4:$S$8977,11,FALSE)</f>
        <v>Sewing operator</v>
      </c>
      <c r="M48" s="570">
        <f>VLOOKUP(B48,All!$B$4:$S$8977,12,FALSE)</f>
        <v>192</v>
      </c>
      <c r="N48" s="18">
        <f>VLOOKUP(B48,All!$B$4:$S$8977,13,FALSE)</f>
        <v>7</v>
      </c>
      <c r="O48" s="18">
        <f>VLOOKUP(B48,All!$B$4:$S$8977,14,FALSE)</f>
        <v>20</v>
      </c>
      <c r="P48" s="18">
        <f>VLOOKUP(B48,All!$B$4:$S$8977,15,FALSE)</f>
        <v>0</v>
      </c>
      <c r="Q48" s="18">
        <f>VLOOKUP(B48,All!$B$4:$S$8977,16,FALSE)</f>
        <v>0</v>
      </c>
      <c r="R48" s="18">
        <v>7</v>
      </c>
      <c r="S48" s="18">
        <v>10</v>
      </c>
      <c r="T48" s="550">
        <f t="shared" si="10"/>
        <v>236</v>
      </c>
      <c r="U48" s="568"/>
      <c r="V48" s="3"/>
      <c r="W48" s="3"/>
      <c r="X48" s="3"/>
      <c r="Y48" s="562"/>
      <c r="Z48" s="570">
        <f t="shared" si="7"/>
        <v>194</v>
      </c>
      <c r="AA48" s="18">
        <f t="shared" si="1"/>
        <v>7</v>
      </c>
      <c r="AB48" s="18">
        <f t="shared" si="2"/>
        <v>20</v>
      </c>
      <c r="AC48" s="18">
        <f t="shared" si="3"/>
        <v>0</v>
      </c>
      <c r="AD48" s="18">
        <f t="shared" si="4"/>
        <v>0</v>
      </c>
      <c r="AE48" s="18">
        <f t="shared" si="9"/>
        <v>7</v>
      </c>
      <c r="AF48" s="18">
        <f t="shared" si="9"/>
        <v>10</v>
      </c>
      <c r="AG48" s="550">
        <f t="shared" si="11"/>
        <v>238</v>
      </c>
      <c r="AH48" s="42">
        <v>2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2</v>
      </c>
    </row>
    <row r="49" spans="1:41" ht="24" customHeight="1">
      <c r="A49" s="11">
        <f t="shared" si="8"/>
        <v>46</v>
      </c>
      <c r="B49" s="8">
        <v>884</v>
      </c>
      <c r="C49" s="478" t="str">
        <f>VLOOKUP(B49,All!$B$4:$S$8977,2,FALSE)</f>
        <v>ង៉ែត</v>
      </c>
      <c r="D49" s="479" t="str">
        <f>VLOOKUP(B49,All!$B$4:$S$89977,3,FALSE)</f>
        <v>សូភា</v>
      </c>
      <c r="E49" s="478" t="str">
        <f>VLOOKUP(B49,All!$B$4:$S$8977,4,FALSE)</f>
        <v>NGET</v>
      </c>
      <c r="F49" s="479" t="str">
        <f>VLOOKUP(B49,All!$B$4:$S$8977,5,FALSE)</f>
        <v>SOPHEA</v>
      </c>
      <c r="G49" s="479" t="str">
        <f>VLOOKUP(B49,All!$B$4:$S$8977,6,FALSE)</f>
        <v>F</v>
      </c>
      <c r="H49" s="385">
        <f>VLOOKUP(B49,All!$B$4:$S$8977,7,FALSE)</f>
        <v>29714</v>
      </c>
      <c r="I49" s="154">
        <f>VLOOKUP(B49,All!$B$4:$S$8977,8,FALSE)</f>
        <v>42103</v>
      </c>
      <c r="J49" s="154" t="str">
        <f>VLOOKUP(B49,All!$B$4:$S$8977,9,FALSE)</f>
        <v>Production</v>
      </c>
      <c r="K49" s="154" t="str">
        <f>VLOOKUP(B49,All!$B$4:$S$8977,10,FALSE)</f>
        <v xml:space="preserve"> Line2</v>
      </c>
      <c r="L49" s="698" t="str">
        <f>VLOOKUP(B49,All!$B$4:$S$8977,11,FALSE)</f>
        <v>Sewing operator</v>
      </c>
      <c r="M49" s="570">
        <f>VLOOKUP(B49,All!$B$4:$S$8977,12,FALSE)</f>
        <v>192</v>
      </c>
      <c r="N49" s="18">
        <f>VLOOKUP(B49,All!$B$4:$S$8977,13,FALSE)</f>
        <v>7</v>
      </c>
      <c r="O49" s="18">
        <f>VLOOKUP(B49,All!$B$4:$S$8977,14,FALSE)</f>
        <v>20</v>
      </c>
      <c r="P49" s="18">
        <f>VLOOKUP(B49,All!$B$4:$S$8977,15,FALSE)</f>
        <v>0</v>
      </c>
      <c r="Q49" s="18">
        <f>VLOOKUP(B49,All!$B$4:$S$8977,16,FALSE)</f>
        <v>0</v>
      </c>
      <c r="R49" s="18">
        <v>7</v>
      </c>
      <c r="S49" s="18">
        <v>10</v>
      </c>
      <c r="T49" s="550">
        <f t="shared" si="10"/>
        <v>236</v>
      </c>
      <c r="U49" s="568"/>
      <c r="V49" s="3"/>
      <c r="W49" s="3"/>
      <c r="X49" s="3"/>
      <c r="Y49" s="562"/>
      <c r="Z49" s="570">
        <f t="shared" si="7"/>
        <v>194</v>
      </c>
      <c r="AA49" s="18">
        <f t="shared" si="1"/>
        <v>7</v>
      </c>
      <c r="AB49" s="18">
        <f t="shared" si="2"/>
        <v>20</v>
      </c>
      <c r="AC49" s="18">
        <f t="shared" si="3"/>
        <v>0</v>
      </c>
      <c r="AD49" s="18">
        <f t="shared" si="4"/>
        <v>0</v>
      </c>
      <c r="AE49" s="18">
        <f t="shared" si="9"/>
        <v>7</v>
      </c>
      <c r="AF49" s="18">
        <f t="shared" si="9"/>
        <v>10</v>
      </c>
      <c r="AG49" s="550">
        <f t="shared" si="11"/>
        <v>238</v>
      </c>
      <c r="AH49" s="42">
        <v>2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2</v>
      </c>
    </row>
    <row r="50" spans="1:41" ht="24" customHeight="1">
      <c r="A50" s="11">
        <f t="shared" si="8"/>
        <v>47</v>
      </c>
      <c r="B50" s="8">
        <v>892</v>
      </c>
      <c r="C50" s="478" t="str">
        <f>VLOOKUP(B50,All!$B$4:$S$8977,2,FALSE)</f>
        <v>នាង</v>
      </c>
      <c r="D50" s="479" t="str">
        <f>VLOOKUP(B50,All!$B$4:$S$89977,3,FALSE)</f>
        <v>រ៉ាន់</v>
      </c>
      <c r="E50" s="478" t="str">
        <f>VLOOKUP(B50,All!$B$4:$S$8977,4,FALSE)</f>
        <v>NEANG</v>
      </c>
      <c r="F50" s="479" t="str">
        <f>VLOOKUP(B50,All!$B$4:$S$8977,5,FALSE)</f>
        <v>RAN</v>
      </c>
      <c r="G50" s="479" t="str">
        <f>VLOOKUP(B50,All!$B$4:$S$8977,6,FALSE)</f>
        <v>F</v>
      </c>
      <c r="H50" s="385">
        <f>VLOOKUP(B50,All!$B$4:$S$8977,7,FALSE)</f>
        <v>34578</v>
      </c>
      <c r="I50" s="154">
        <f>VLOOKUP(B50,All!$B$4:$S$8977,8,FALSE)</f>
        <v>42116</v>
      </c>
      <c r="J50" s="154" t="str">
        <f>VLOOKUP(B50,All!$B$4:$S$8977,9,FALSE)</f>
        <v>Production</v>
      </c>
      <c r="K50" s="154" t="str">
        <f>VLOOKUP(B50,All!$B$4:$S$8977,10,FALSE)</f>
        <v xml:space="preserve"> Line3</v>
      </c>
      <c r="L50" s="698" t="str">
        <f>VLOOKUP(B50,All!$B$4:$S$8977,11,FALSE)</f>
        <v>Sewing operator</v>
      </c>
      <c r="M50" s="570">
        <f>VLOOKUP(B50,All!$B$4:$S$8977,12,FALSE)</f>
        <v>192</v>
      </c>
      <c r="N50" s="18">
        <f>VLOOKUP(B50,All!$B$4:$S$8977,13,FALSE)</f>
        <v>7</v>
      </c>
      <c r="O50" s="18">
        <f>VLOOKUP(B50,All!$B$4:$S$8977,14,FALSE)</f>
        <v>20</v>
      </c>
      <c r="P50" s="18">
        <f>VLOOKUP(B50,All!$B$4:$S$8977,15,FALSE)</f>
        <v>0</v>
      </c>
      <c r="Q50" s="18">
        <f>VLOOKUP(B50,All!$B$4:$S$8977,16,FALSE)</f>
        <v>0</v>
      </c>
      <c r="R50" s="18">
        <v>7</v>
      </c>
      <c r="S50" s="18">
        <v>10</v>
      </c>
      <c r="T50" s="550">
        <f t="shared" si="10"/>
        <v>236</v>
      </c>
      <c r="U50" s="568"/>
      <c r="V50" s="3"/>
      <c r="W50" s="3"/>
      <c r="X50" s="3"/>
      <c r="Y50" s="562"/>
      <c r="Z50" s="570">
        <f t="shared" si="7"/>
        <v>194</v>
      </c>
      <c r="AA50" s="18">
        <f t="shared" si="1"/>
        <v>7</v>
      </c>
      <c r="AB50" s="18">
        <f t="shared" si="2"/>
        <v>20</v>
      </c>
      <c r="AC50" s="18">
        <f t="shared" si="3"/>
        <v>0</v>
      </c>
      <c r="AD50" s="18">
        <f t="shared" si="4"/>
        <v>0</v>
      </c>
      <c r="AE50" s="18">
        <f t="shared" si="9"/>
        <v>7</v>
      </c>
      <c r="AF50" s="18">
        <f t="shared" si="9"/>
        <v>10</v>
      </c>
      <c r="AG50" s="550">
        <f t="shared" si="11"/>
        <v>238</v>
      </c>
      <c r="AH50" s="42">
        <v>2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2</v>
      </c>
    </row>
    <row r="51" spans="1:41" ht="24" customHeight="1">
      <c r="A51" s="11">
        <f t="shared" si="8"/>
        <v>48</v>
      </c>
      <c r="B51" s="8">
        <v>899</v>
      </c>
      <c r="C51" s="478" t="str">
        <f>VLOOKUP(B51,All!$B$4:$S$8977,2,FALSE)</f>
        <v>នួន</v>
      </c>
      <c r="D51" s="479" t="str">
        <f>VLOOKUP(B51,All!$B$4:$S$89977,3,FALSE)</f>
        <v>ចេក</v>
      </c>
      <c r="E51" s="478" t="str">
        <f>VLOOKUP(B51,All!$B$4:$S$8977,4,FALSE)</f>
        <v>NUON</v>
      </c>
      <c r="F51" s="479" t="str">
        <f>VLOOKUP(B51,All!$B$4:$S$8977,5,FALSE)</f>
        <v>CHEK</v>
      </c>
      <c r="G51" s="479" t="str">
        <f>VLOOKUP(B51,All!$B$4:$S$8977,6,FALSE)</f>
        <v>F</v>
      </c>
      <c r="H51" s="385">
        <f>VLOOKUP(B51,All!$B$4:$S$8977,7,FALSE)</f>
        <v>31570</v>
      </c>
      <c r="I51" s="154">
        <f>VLOOKUP(B51,All!$B$4:$S$8977,8,FALSE)</f>
        <v>42118</v>
      </c>
      <c r="J51" s="154" t="str">
        <f>VLOOKUP(B51,All!$B$4:$S$8977,9,FALSE)</f>
        <v>Production</v>
      </c>
      <c r="K51" s="154" t="str">
        <f>VLOOKUP(B51,All!$B$4:$S$8977,10,FALSE)</f>
        <v xml:space="preserve"> Line1</v>
      </c>
      <c r="L51" s="698" t="str">
        <f>VLOOKUP(B51,All!$B$4:$S$8977,11,FALSE)</f>
        <v>Sewing operator</v>
      </c>
      <c r="M51" s="570">
        <f>VLOOKUP(B51,All!$B$4:$S$8977,12,FALSE)</f>
        <v>192</v>
      </c>
      <c r="N51" s="18">
        <f>VLOOKUP(B51,All!$B$4:$S$8977,13,FALSE)</f>
        <v>7</v>
      </c>
      <c r="O51" s="18">
        <f>VLOOKUP(B51,All!$B$4:$S$8977,14,FALSE)</f>
        <v>20</v>
      </c>
      <c r="P51" s="18">
        <f>VLOOKUP(B51,All!$B$4:$S$8977,15,FALSE)</f>
        <v>0</v>
      </c>
      <c r="Q51" s="18">
        <f>VLOOKUP(B51,All!$B$4:$S$8977,16,FALSE)</f>
        <v>0</v>
      </c>
      <c r="R51" s="18">
        <v>7</v>
      </c>
      <c r="S51" s="18">
        <v>10</v>
      </c>
      <c r="T51" s="550">
        <f t="shared" si="10"/>
        <v>236</v>
      </c>
      <c r="U51" s="568"/>
      <c r="V51" s="3"/>
      <c r="W51" s="3"/>
      <c r="X51" s="3"/>
      <c r="Y51" s="562"/>
      <c r="Z51" s="570">
        <f t="shared" si="7"/>
        <v>194</v>
      </c>
      <c r="AA51" s="18">
        <f t="shared" si="1"/>
        <v>7</v>
      </c>
      <c r="AB51" s="18">
        <f t="shared" si="2"/>
        <v>20</v>
      </c>
      <c r="AC51" s="18">
        <f t="shared" si="3"/>
        <v>0</v>
      </c>
      <c r="AD51" s="18">
        <f t="shared" si="4"/>
        <v>0</v>
      </c>
      <c r="AE51" s="18">
        <f t="shared" si="9"/>
        <v>7</v>
      </c>
      <c r="AF51" s="18">
        <f t="shared" si="9"/>
        <v>10</v>
      </c>
      <c r="AG51" s="550">
        <f t="shared" si="11"/>
        <v>238</v>
      </c>
      <c r="AH51" s="42">
        <v>2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2</v>
      </c>
    </row>
    <row r="52" spans="1:41" ht="24" customHeight="1">
      <c r="A52" s="11">
        <f t="shared" si="8"/>
        <v>49</v>
      </c>
      <c r="B52" s="8">
        <v>906</v>
      </c>
      <c r="C52" s="478" t="str">
        <f>VLOOKUP(B52,All!$B$4:$S$8977,2,FALSE)</f>
        <v>អ៊ុត</v>
      </c>
      <c r="D52" s="479" t="str">
        <f>VLOOKUP(B52,All!$B$4:$S$89977,3,FALSE)</f>
        <v>រតនា</v>
      </c>
      <c r="E52" s="478" t="str">
        <f>VLOOKUP(B52,All!$B$4:$S$8977,4,FALSE)</f>
        <v>UT</v>
      </c>
      <c r="F52" s="479" t="str">
        <f>VLOOKUP(B52,All!$B$4:$S$8977,5,FALSE)</f>
        <v>ROTHANA</v>
      </c>
      <c r="G52" s="479" t="str">
        <f>VLOOKUP(B52,All!$B$4:$S$8977,6,FALSE)</f>
        <v>F</v>
      </c>
      <c r="H52" s="385">
        <f>VLOOKUP(B52,All!$B$4:$S$8977,7,FALSE)</f>
        <v>33857</v>
      </c>
      <c r="I52" s="154">
        <f>VLOOKUP(B52,All!$B$4:$S$8977,8,FALSE)</f>
        <v>42119</v>
      </c>
      <c r="J52" s="154" t="str">
        <f>VLOOKUP(B52,All!$B$4:$S$8977,9,FALSE)</f>
        <v>Production</v>
      </c>
      <c r="K52" s="154" t="str">
        <f>VLOOKUP(B52,All!$B$4:$S$8977,10,FALSE)</f>
        <v>QC  A</v>
      </c>
      <c r="L52" s="698" t="str">
        <f>VLOOKUP(B52,All!$B$4:$S$8977,11,FALSE)</f>
        <v>Inspector</v>
      </c>
      <c r="M52" s="570">
        <f>VLOOKUP(B52,All!$B$4:$S$8977,12,FALSE)</f>
        <v>192</v>
      </c>
      <c r="N52" s="18">
        <f>VLOOKUP(B52,All!$B$4:$S$8977,13,FALSE)</f>
        <v>7</v>
      </c>
      <c r="O52" s="18">
        <f>VLOOKUP(B52,All!$B$4:$S$8977,14,FALSE)</f>
        <v>20</v>
      </c>
      <c r="P52" s="18">
        <f>VLOOKUP(B52,All!$B$4:$S$8977,15,FALSE)</f>
        <v>0</v>
      </c>
      <c r="Q52" s="18">
        <f>VLOOKUP(B52,All!$B$4:$S$8977,16,FALSE)</f>
        <v>0</v>
      </c>
      <c r="R52" s="18">
        <v>7</v>
      </c>
      <c r="S52" s="18">
        <v>10</v>
      </c>
      <c r="T52" s="550">
        <f t="shared" si="10"/>
        <v>236</v>
      </c>
      <c r="U52" s="568"/>
      <c r="V52" s="3"/>
      <c r="W52" s="3"/>
      <c r="X52" s="3"/>
      <c r="Y52" s="562"/>
      <c r="Z52" s="570">
        <f t="shared" ref="Z52:Z107" si="12">M52+AH52</f>
        <v>194</v>
      </c>
      <c r="AA52" s="18">
        <f t="shared" ref="AA52:AA107" si="13">N52</f>
        <v>7</v>
      </c>
      <c r="AB52" s="18">
        <f t="shared" ref="AB52:AB107" si="14">O52</f>
        <v>20</v>
      </c>
      <c r="AC52" s="18">
        <f t="shared" ref="AC52:AC107" si="15">P52</f>
        <v>0</v>
      </c>
      <c r="AD52" s="18">
        <f t="shared" ref="AD52:AD107" si="16">Q52</f>
        <v>0</v>
      </c>
      <c r="AE52" s="18">
        <f t="shared" si="9"/>
        <v>7</v>
      </c>
      <c r="AF52" s="18">
        <f t="shared" si="9"/>
        <v>10</v>
      </c>
      <c r="AG52" s="550">
        <f t="shared" si="11"/>
        <v>238</v>
      </c>
      <c r="AH52" s="42">
        <v>2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2</v>
      </c>
    </row>
    <row r="53" spans="1:41" ht="24" customHeight="1">
      <c r="A53" s="11">
        <f t="shared" si="8"/>
        <v>50</v>
      </c>
      <c r="B53" s="8">
        <v>946</v>
      </c>
      <c r="C53" s="478" t="str">
        <f>VLOOKUP(B53,All!$B$4:$S$8977,2,FALSE)</f>
        <v>វង់</v>
      </c>
      <c r="D53" s="479" t="str">
        <f>VLOOKUP(B53,All!$B$4:$S$89977,3,FALSE)</f>
        <v>សុខចាន់</v>
      </c>
      <c r="E53" s="478" t="str">
        <f>VLOOKUP(B53,All!$B$4:$S$8977,4,FALSE)</f>
        <v>VONG</v>
      </c>
      <c r="F53" s="479" t="str">
        <f>VLOOKUP(B53,All!$B$4:$S$8977,5,FALSE)</f>
        <v>SOKCHAN</v>
      </c>
      <c r="G53" s="479" t="str">
        <f>VLOOKUP(B53,All!$B$4:$S$8977,6,FALSE)</f>
        <v>F</v>
      </c>
      <c r="H53" s="385">
        <f>VLOOKUP(B53,All!$B$4:$S$8977,7,FALSE)</f>
        <v>29322</v>
      </c>
      <c r="I53" s="154">
        <f>VLOOKUP(B53,All!$B$4:$S$8977,8,FALSE)</f>
        <v>42136</v>
      </c>
      <c r="J53" s="154" t="str">
        <f>VLOOKUP(B53,All!$B$4:$S$8977,9,FALSE)</f>
        <v>Production</v>
      </c>
      <c r="K53" s="154" t="str">
        <f>VLOOKUP(B53,All!$B$4:$S$8977,10,FALSE)</f>
        <v xml:space="preserve"> Line1</v>
      </c>
      <c r="L53" s="698" t="str">
        <f>VLOOKUP(B53,All!$B$4:$S$8977,11,FALSE)</f>
        <v>Sewing operator</v>
      </c>
      <c r="M53" s="570">
        <f>VLOOKUP(B53,All!$B$4:$S$8977,12,FALSE)</f>
        <v>192</v>
      </c>
      <c r="N53" s="18">
        <f>VLOOKUP(B53,All!$B$4:$S$8977,13,FALSE)</f>
        <v>7</v>
      </c>
      <c r="O53" s="18">
        <f>VLOOKUP(B53,All!$B$4:$S$8977,14,FALSE)</f>
        <v>20</v>
      </c>
      <c r="P53" s="18">
        <f>VLOOKUP(B53,All!$B$4:$S$8977,15,FALSE)</f>
        <v>0</v>
      </c>
      <c r="Q53" s="18">
        <f>VLOOKUP(B53,All!$B$4:$S$8977,16,FALSE)</f>
        <v>0</v>
      </c>
      <c r="R53" s="18">
        <v>7</v>
      </c>
      <c r="S53" s="18">
        <v>10</v>
      </c>
      <c r="T53" s="550">
        <f t="shared" si="10"/>
        <v>236</v>
      </c>
      <c r="U53" s="568"/>
      <c r="V53" s="3"/>
      <c r="W53" s="3"/>
      <c r="X53" s="3"/>
      <c r="Y53" s="562"/>
      <c r="Z53" s="570">
        <f t="shared" si="12"/>
        <v>194</v>
      </c>
      <c r="AA53" s="18">
        <f t="shared" si="13"/>
        <v>7</v>
      </c>
      <c r="AB53" s="18">
        <f t="shared" si="14"/>
        <v>20</v>
      </c>
      <c r="AC53" s="18">
        <f t="shared" si="15"/>
        <v>0</v>
      </c>
      <c r="AD53" s="18">
        <f t="shared" si="16"/>
        <v>0</v>
      </c>
      <c r="AE53" s="18">
        <f t="shared" si="9"/>
        <v>7</v>
      </c>
      <c r="AF53" s="18">
        <f t="shared" si="9"/>
        <v>10</v>
      </c>
      <c r="AG53" s="550">
        <f t="shared" si="11"/>
        <v>238</v>
      </c>
      <c r="AH53" s="42">
        <v>2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2</v>
      </c>
    </row>
    <row r="54" spans="1:41" ht="24" customHeight="1">
      <c r="A54" s="11">
        <f t="shared" si="8"/>
        <v>51</v>
      </c>
      <c r="B54" s="8">
        <v>947</v>
      </c>
      <c r="C54" s="478" t="str">
        <f>VLOOKUP(B54,All!$B$4:$S$8977,2,FALSE)</f>
        <v>សិន</v>
      </c>
      <c r="D54" s="479" t="str">
        <f>VLOOKUP(B54,All!$B$4:$S$89977,3,FALSE)</f>
        <v>ស៊ីថាត</v>
      </c>
      <c r="E54" s="478" t="str">
        <f>VLOOKUP(B54,All!$B$4:$S$8977,4,FALSE)</f>
        <v>SIN</v>
      </c>
      <c r="F54" s="479" t="str">
        <f>VLOOKUP(B54,All!$B$4:$S$8977,5,FALSE)</f>
        <v>SITHAT</v>
      </c>
      <c r="G54" s="479" t="str">
        <f>VLOOKUP(B54,All!$B$4:$S$8977,6,FALSE)</f>
        <v>F</v>
      </c>
      <c r="H54" s="385">
        <f>VLOOKUP(B54,All!$B$4:$S$8977,7,FALSE)</f>
        <v>31827</v>
      </c>
      <c r="I54" s="154">
        <f>VLOOKUP(B54,All!$B$4:$S$8977,8,FALSE)</f>
        <v>42136</v>
      </c>
      <c r="J54" s="154" t="str">
        <f>VLOOKUP(B54,All!$B$4:$S$8977,9,FALSE)</f>
        <v>Production</v>
      </c>
      <c r="K54" s="154" t="str">
        <f>VLOOKUP(B54,All!$B$4:$S$8977,10,FALSE)</f>
        <v xml:space="preserve"> Line1</v>
      </c>
      <c r="L54" s="698" t="str">
        <f>VLOOKUP(B54,All!$B$4:$S$8977,11,FALSE)</f>
        <v>Sewing operator</v>
      </c>
      <c r="M54" s="570">
        <f>VLOOKUP(B54,All!$B$4:$S$8977,12,FALSE)</f>
        <v>192</v>
      </c>
      <c r="N54" s="18">
        <f>VLOOKUP(B54,All!$B$4:$S$8977,13,FALSE)</f>
        <v>7</v>
      </c>
      <c r="O54" s="18">
        <f>VLOOKUP(B54,All!$B$4:$S$8977,14,FALSE)</f>
        <v>20</v>
      </c>
      <c r="P54" s="18">
        <f>VLOOKUP(B54,All!$B$4:$S$8977,15,FALSE)</f>
        <v>0</v>
      </c>
      <c r="Q54" s="18">
        <f>VLOOKUP(B54,All!$B$4:$S$8977,16,FALSE)</f>
        <v>0</v>
      </c>
      <c r="R54" s="18">
        <v>7</v>
      </c>
      <c r="S54" s="18">
        <v>10</v>
      </c>
      <c r="T54" s="550">
        <f t="shared" si="10"/>
        <v>236</v>
      </c>
      <c r="U54" s="568"/>
      <c r="V54" s="3"/>
      <c r="W54" s="3"/>
      <c r="X54" s="3"/>
      <c r="Y54" s="562"/>
      <c r="Z54" s="570">
        <f t="shared" si="12"/>
        <v>194</v>
      </c>
      <c r="AA54" s="18">
        <f t="shared" si="13"/>
        <v>7</v>
      </c>
      <c r="AB54" s="18">
        <f t="shared" si="14"/>
        <v>20</v>
      </c>
      <c r="AC54" s="18">
        <f t="shared" si="15"/>
        <v>0</v>
      </c>
      <c r="AD54" s="18">
        <f t="shared" si="16"/>
        <v>0</v>
      </c>
      <c r="AE54" s="18">
        <f t="shared" si="9"/>
        <v>7</v>
      </c>
      <c r="AF54" s="18">
        <f t="shared" si="9"/>
        <v>10</v>
      </c>
      <c r="AG54" s="550">
        <f t="shared" si="11"/>
        <v>238</v>
      </c>
      <c r="AH54" s="42">
        <v>2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2</v>
      </c>
    </row>
    <row r="55" spans="1:41" ht="24" customHeight="1">
      <c r="A55" s="11">
        <f t="shared" si="8"/>
        <v>52</v>
      </c>
      <c r="B55" s="8">
        <v>929</v>
      </c>
      <c r="C55" s="478" t="str">
        <f>VLOOKUP(B55,All!$B$4:$S$8977,2,FALSE)</f>
        <v>សុខ</v>
      </c>
      <c r="D55" s="479" t="str">
        <f>VLOOKUP(B55,All!$B$4:$S$89977,3,FALSE)</f>
        <v>ដាវី</v>
      </c>
      <c r="E55" s="478" t="str">
        <f>VLOOKUP(B55,All!$B$4:$S$8977,4,FALSE)</f>
        <v>SOK</v>
      </c>
      <c r="F55" s="479" t="str">
        <f>VLOOKUP(B55,All!$B$4:$S$8977,5,FALSE)</f>
        <v>DAVY</v>
      </c>
      <c r="G55" s="479" t="str">
        <f>VLOOKUP(B55,All!$B$4:$S$8977,6,FALSE)</f>
        <v>F</v>
      </c>
      <c r="H55" s="385">
        <f>VLOOKUP(B55,All!$B$4:$S$8977,7,FALSE)</f>
        <v>31396</v>
      </c>
      <c r="I55" s="154">
        <f>VLOOKUP(B55,All!$B$4:$S$8977,8,FALSE)</f>
        <v>42130</v>
      </c>
      <c r="J55" s="154" t="str">
        <f>VLOOKUP(B55,All!$B$4:$S$8977,9,FALSE)</f>
        <v>Production</v>
      </c>
      <c r="K55" s="154" t="str">
        <f>VLOOKUP(B55,All!$B$4:$S$8977,10,FALSE)</f>
        <v xml:space="preserve"> Line8</v>
      </c>
      <c r="L55" s="698" t="str">
        <f>VLOOKUP(B55,All!$B$4:$S$8977,11,FALSE)</f>
        <v>Sewing operator</v>
      </c>
      <c r="M55" s="570">
        <f>VLOOKUP(B55,All!$B$4:$S$8977,12,FALSE)</f>
        <v>192</v>
      </c>
      <c r="N55" s="18">
        <f>VLOOKUP(B55,All!$B$4:$S$8977,13,FALSE)</f>
        <v>7</v>
      </c>
      <c r="O55" s="18">
        <f>VLOOKUP(B55,All!$B$4:$S$8977,14,FALSE)</f>
        <v>20</v>
      </c>
      <c r="P55" s="18">
        <f>VLOOKUP(B55,All!$B$4:$S$8977,15,FALSE)</f>
        <v>0</v>
      </c>
      <c r="Q55" s="18">
        <f>VLOOKUP(B55,All!$B$4:$S$8977,16,FALSE)</f>
        <v>0</v>
      </c>
      <c r="R55" s="18">
        <v>7</v>
      </c>
      <c r="S55" s="18">
        <v>10</v>
      </c>
      <c r="T55" s="550">
        <f t="shared" si="10"/>
        <v>236</v>
      </c>
      <c r="U55" s="568"/>
      <c r="V55" s="3"/>
      <c r="W55" s="3"/>
      <c r="X55" s="3"/>
      <c r="Y55" s="562"/>
      <c r="Z55" s="570">
        <f t="shared" si="12"/>
        <v>194</v>
      </c>
      <c r="AA55" s="18">
        <f t="shared" si="13"/>
        <v>7</v>
      </c>
      <c r="AB55" s="18">
        <f t="shared" si="14"/>
        <v>20</v>
      </c>
      <c r="AC55" s="18">
        <f t="shared" si="15"/>
        <v>0</v>
      </c>
      <c r="AD55" s="18">
        <f t="shared" si="16"/>
        <v>0</v>
      </c>
      <c r="AE55" s="18">
        <f t="shared" si="9"/>
        <v>7</v>
      </c>
      <c r="AF55" s="18">
        <f t="shared" si="9"/>
        <v>10</v>
      </c>
      <c r="AG55" s="550">
        <f t="shared" si="11"/>
        <v>238</v>
      </c>
      <c r="AH55" s="42">
        <v>2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2</v>
      </c>
    </row>
    <row r="56" spans="1:41" ht="24" customHeight="1">
      <c r="A56" s="11">
        <f t="shared" si="8"/>
        <v>53</v>
      </c>
      <c r="B56" s="8">
        <v>933</v>
      </c>
      <c r="C56" s="478" t="str">
        <f>VLOOKUP(B56,All!$B$4:$S$8977,2,FALSE)</f>
        <v>នាង</v>
      </c>
      <c r="D56" s="479" t="str">
        <f>VLOOKUP(B56,All!$B$4:$S$89977,3,FALSE)</f>
        <v>ពៅ</v>
      </c>
      <c r="E56" s="478" t="str">
        <f>VLOOKUP(B56,All!$B$4:$S$8977,4,FALSE)</f>
        <v>NEANG</v>
      </c>
      <c r="F56" s="479" t="str">
        <f>VLOOKUP(B56,All!$B$4:$S$8977,5,FALSE)</f>
        <v>POV</v>
      </c>
      <c r="G56" s="479" t="str">
        <f>VLOOKUP(B56,All!$B$4:$S$8977,6,FALSE)</f>
        <v>F</v>
      </c>
      <c r="H56" s="385">
        <f>VLOOKUP(B56,All!$B$4:$S$8977,7,FALSE)</f>
        <v>29692</v>
      </c>
      <c r="I56" s="154">
        <f>VLOOKUP(B56,All!$B$4:$S$8977,8,FALSE)</f>
        <v>42130</v>
      </c>
      <c r="J56" s="154" t="str">
        <f>VLOOKUP(B56,All!$B$4:$S$8977,9,FALSE)</f>
        <v>Production</v>
      </c>
      <c r="K56" s="154" t="str">
        <f>VLOOKUP(B56,All!$B$4:$S$8977,10,FALSE)</f>
        <v>Line 11</v>
      </c>
      <c r="L56" s="698" t="str">
        <f>VLOOKUP(B56,All!$B$4:$S$8977,11,FALSE)</f>
        <v>Sewing operator</v>
      </c>
      <c r="M56" s="570">
        <f>VLOOKUP(B56,All!$B$4:$S$8977,12,FALSE)</f>
        <v>192</v>
      </c>
      <c r="N56" s="18">
        <f>VLOOKUP(B56,All!$B$4:$S$8977,13,FALSE)</f>
        <v>7</v>
      </c>
      <c r="O56" s="18">
        <f>VLOOKUP(B56,All!$B$4:$S$8977,14,FALSE)</f>
        <v>20</v>
      </c>
      <c r="P56" s="18">
        <f>VLOOKUP(B56,All!$B$4:$S$8977,15,FALSE)</f>
        <v>0</v>
      </c>
      <c r="Q56" s="18">
        <f>VLOOKUP(B56,All!$B$4:$S$8977,16,FALSE)</f>
        <v>0</v>
      </c>
      <c r="R56" s="18">
        <v>7</v>
      </c>
      <c r="S56" s="18">
        <v>10</v>
      </c>
      <c r="T56" s="550">
        <f t="shared" si="10"/>
        <v>236</v>
      </c>
      <c r="U56" s="568"/>
      <c r="V56" s="3"/>
      <c r="W56" s="3"/>
      <c r="X56" s="3"/>
      <c r="Y56" s="562"/>
      <c r="Z56" s="570">
        <f t="shared" si="12"/>
        <v>194</v>
      </c>
      <c r="AA56" s="18">
        <f t="shared" si="13"/>
        <v>7</v>
      </c>
      <c r="AB56" s="18">
        <f t="shared" si="14"/>
        <v>20</v>
      </c>
      <c r="AC56" s="18">
        <f t="shared" si="15"/>
        <v>0</v>
      </c>
      <c r="AD56" s="18">
        <f t="shared" si="16"/>
        <v>0</v>
      </c>
      <c r="AE56" s="18">
        <f t="shared" si="9"/>
        <v>7</v>
      </c>
      <c r="AF56" s="18">
        <f t="shared" si="9"/>
        <v>10</v>
      </c>
      <c r="AG56" s="550">
        <f t="shared" si="11"/>
        <v>238</v>
      </c>
      <c r="AH56" s="42">
        <v>2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2</v>
      </c>
    </row>
    <row r="57" spans="1:41" ht="24" customHeight="1">
      <c r="A57" s="11">
        <f t="shared" si="8"/>
        <v>54</v>
      </c>
      <c r="B57" s="8">
        <v>956</v>
      </c>
      <c r="C57" s="478" t="str">
        <f>VLOOKUP(B57,All!$B$4:$S$8977,2,FALSE)</f>
        <v>សេន</v>
      </c>
      <c r="D57" s="479" t="str">
        <f>VLOOKUP(B57,All!$B$4:$S$89977,3,FALSE)</f>
        <v>ធាវី</v>
      </c>
      <c r="E57" s="478" t="str">
        <f>VLOOKUP(B57,All!$B$4:$S$8977,4,FALSE)</f>
        <v>SEN</v>
      </c>
      <c r="F57" s="479" t="str">
        <f>VLOOKUP(B57,All!$B$4:$S$8977,5,FALSE)</f>
        <v>THEAVY</v>
      </c>
      <c r="G57" s="479" t="str">
        <f>VLOOKUP(B57,All!$B$4:$S$8977,6,FALSE)</f>
        <v>F</v>
      </c>
      <c r="H57" s="385">
        <f>VLOOKUP(B57,All!$B$4:$S$8977,7,FALSE)</f>
        <v>30116</v>
      </c>
      <c r="I57" s="154">
        <f>VLOOKUP(B57,All!$B$4:$S$8977,8,FALSE)</f>
        <v>42143</v>
      </c>
      <c r="J57" s="154" t="str">
        <f>VLOOKUP(B57,All!$B$4:$S$8977,9,FALSE)</f>
        <v>Production</v>
      </c>
      <c r="K57" s="154" t="str">
        <f>VLOOKUP(B57,All!$B$4:$S$8977,10,FALSE)</f>
        <v xml:space="preserve"> Line1</v>
      </c>
      <c r="L57" s="698" t="str">
        <f>VLOOKUP(B57,All!$B$4:$S$8977,11,FALSE)</f>
        <v>Sewing operator</v>
      </c>
      <c r="M57" s="570">
        <f>VLOOKUP(B57,All!$B$4:$S$8977,12,FALSE)</f>
        <v>192</v>
      </c>
      <c r="N57" s="18">
        <f>VLOOKUP(B57,All!$B$4:$S$8977,13,FALSE)</f>
        <v>7</v>
      </c>
      <c r="O57" s="18">
        <f>VLOOKUP(B57,All!$B$4:$S$8977,14,FALSE)</f>
        <v>20</v>
      </c>
      <c r="P57" s="18">
        <f>VLOOKUP(B57,All!$B$4:$S$8977,15,FALSE)</f>
        <v>0</v>
      </c>
      <c r="Q57" s="18">
        <f>VLOOKUP(B57,All!$B$4:$S$8977,16,FALSE)</f>
        <v>0</v>
      </c>
      <c r="R57" s="18">
        <v>7</v>
      </c>
      <c r="S57" s="18">
        <v>10</v>
      </c>
      <c r="T57" s="550">
        <f t="shared" si="10"/>
        <v>236</v>
      </c>
      <c r="U57" s="568"/>
      <c r="V57" s="3"/>
      <c r="W57" s="3"/>
      <c r="X57" s="3"/>
      <c r="Y57" s="562"/>
      <c r="Z57" s="570">
        <f t="shared" si="12"/>
        <v>194</v>
      </c>
      <c r="AA57" s="18">
        <f t="shared" si="13"/>
        <v>7</v>
      </c>
      <c r="AB57" s="18">
        <f t="shared" si="14"/>
        <v>20</v>
      </c>
      <c r="AC57" s="18">
        <f t="shared" si="15"/>
        <v>0</v>
      </c>
      <c r="AD57" s="18">
        <f t="shared" si="16"/>
        <v>0</v>
      </c>
      <c r="AE57" s="18">
        <f t="shared" ref="AE57:AF86" si="17">R57</f>
        <v>7</v>
      </c>
      <c r="AF57" s="18">
        <f t="shared" si="17"/>
        <v>10</v>
      </c>
      <c r="AG57" s="550">
        <f t="shared" si="11"/>
        <v>238</v>
      </c>
      <c r="AH57" s="42">
        <v>2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2</v>
      </c>
    </row>
    <row r="58" spans="1:41" ht="24" customHeight="1">
      <c r="A58" s="11">
        <f t="shared" si="8"/>
        <v>55</v>
      </c>
      <c r="B58" s="8">
        <v>967</v>
      </c>
      <c r="C58" s="478" t="str">
        <f>VLOOKUP(B58,All!$B$4:$S$8977,2,FALSE)</f>
        <v>អា</v>
      </c>
      <c r="D58" s="479" t="str">
        <f>VLOOKUP(B58,All!$B$4:$S$89977,3,FALSE)</f>
        <v>លាប</v>
      </c>
      <c r="E58" s="478" t="str">
        <f>VLOOKUP(B58,All!$B$4:$S$8977,4,FALSE)</f>
        <v>A</v>
      </c>
      <c r="F58" s="479" t="str">
        <f>VLOOKUP(B58,All!$B$4:$S$8977,5,FALSE)</f>
        <v>KEAP</v>
      </c>
      <c r="G58" s="479" t="str">
        <f>VLOOKUP(B58,All!$B$4:$S$8977,6,FALSE)</f>
        <v>F</v>
      </c>
      <c r="H58" s="385">
        <f>VLOOKUP(B58,All!$B$4:$S$8977,7,FALSE)</f>
        <v>26757</v>
      </c>
      <c r="I58" s="154">
        <f>VLOOKUP(B58,All!$B$4:$S$8977,8,FALSE)</f>
        <v>42149</v>
      </c>
      <c r="J58" s="154" t="str">
        <f>VLOOKUP(B58,All!$B$4:$S$8977,9,FALSE)</f>
        <v>Production</v>
      </c>
      <c r="K58" s="154" t="str">
        <f>VLOOKUP(B58,All!$B$4:$S$8977,10,FALSE)</f>
        <v>Line21</v>
      </c>
      <c r="L58" s="698" t="str">
        <f>VLOOKUP(B58,All!$B$4:$S$8977,11,FALSE)</f>
        <v>Sewing operator</v>
      </c>
      <c r="M58" s="570">
        <f>VLOOKUP(B58,All!$B$4:$S$8977,12,FALSE)</f>
        <v>192</v>
      </c>
      <c r="N58" s="18">
        <f>VLOOKUP(B58,All!$B$4:$S$8977,13,FALSE)</f>
        <v>7</v>
      </c>
      <c r="O58" s="18">
        <f>VLOOKUP(B58,All!$B$4:$S$8977,14,FALSE)</f>
        <v>20</v>
      </c>
      <c r="P58" s="18">
        <f>VLOOKUP(B58,All!$B$4:$S$8977,15,FALSE)</f>
        <v>0</v>
      </c>
      <c r="Q58" s="18">
        <f>VLOOKUP(B58,All!$B$4:$S$8977,16,FALSE)</f>
        <v>0</v>
      </c>
      <c r="R58" s="18">
        <v>7</v>
      </c>
      <c r="S58" s="18">
        <v>10</v>
      </c>
      <c r="T58" s="550">
        <f t="shared" si="10"/>
        <v>236</v>
      </c>
      <c r="U58" s="568"/>
      <c r="V58" s="3"/>
      <c r="W58" s="3"/>
      <c r="X58" s="3"/>
      <c r="Y58" s="562"/>
      <c r="Z58" s="570">
        <f t="shared" si="12"/>
        <v>194</v>
      </c>
      <c r="AA58" s="18">
        <f t="shared" si="13"/>
        <v>7</v>
      </c>
      <c r="AB58" s="18">
        <f t="shared" si="14"/>
        <v>20</v>
      </c>
      <c r="AC58" s="18">
        <f t="shared" si="15"/>
        <v>0</v>
      </c>
      <c r="AD58" s="18">
        <f t="shared" si="16"/>
        <v>0</v>
      </c>
      <c r="AE58" s="18">
        <f t="shared" si="17"/>
        <v>7</v>
      </c>
      <c r="AF58" s="18">
        <f t="shared" si="17"/>
        <v>10</v>
      </c>
      <c r="AG58" s="550">
        <f t="shared" si="11"/>
        <v>238</v>
      </c>
      <c r="AH58" s="42">
        <v>2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2</v>
      </c>
    </row>
    <row r="59" spans="1:41" ht="24" customHeight="1">
      <c r="A59" s="11">
        <f t="shared" si="8"/>
        <v>56</v>
      </c>
      <c r="B59" s="8">
        <v>1019</v>
      </c>
      <c r="C59" s="478" t="str">
        <f>VLOOKUP(B59,All!$B$4:$S$8977,2,FALSE)</f>
        <v>ប៉ុន</v>
      </c>
      <c r="D59" s="479" t="str">
        <f>VLOOKUP(B59,All!$B$4:$S$89977,3,FALSE)</f>
        <v>សូណា</v>
      </c>
      <c r="E59" s="478" t="str">
        <f>VLOOKUP(B59,All!$B$4:$S$8977,4,FALSE)</f>
        <v>BUN</v>
      </c>
      <c r="F59" s="479" t="str">
        <f>VLOOKUP(B59,All!$B$4:$S$8977,5,FALSE)</f>
        <v>SONA</v>
      </c>
      <c r="G59" s="479" t="str">
        <f>VLOOKUP(B59,All!$B$4:$S$8977,6,FALSE)</f>
        <v>F</v>
      </c>
      <c r="H59" s="385">
        <f>VLOOKUP(B59,All!$B$4:$S$8977,7,FALSE)</f>
        <v>29258</v>
      </c>
      <c r="I59" s="154">
        <f>VLOOKUP(B59,All!$B$4:$S$8977,8,FALSE)</f>
        <v>42178</v>
      </c>
      <c r="J59" s="154" t="str">
        <f>VLOOKUP(B59,All!$B$4:$S$8977,9,FALSE)</f>
        <v>Production</v>
      </c>
      <c r="K59" s="154" t="str">
        <f>VLOOKUP(B59,All!$B$4:$S$8977,10,FALSE)</f>
        <v xml:space="preserve"> Line3</v>
      </c>
      <c r="L59" s="698" t="str">
        <f>VLOOKUP(B59,All!$B$4:$S$8977,11,FALSE)</f>
        <v>Sewing operator</v>
      </c>
      <c r="M59" s="570">
        <f>VLOOKUP(B59,All!$B$4:$S$8977,12,FALSE)</f>
        <v>192</v>
      </c>
      <c r="N59" s="18">
        <f>VLOOKUP(B59,All!$B$4:$S$8977,13,FALSE)</f>
        <v>7</v>
      </c>
      <c r="O59" s="18">
        <f>VLOOKUP(B59,All!$B$4:$S$8977,14,FALSE)</f>
        <v>20</v>
      </c>
      <c r="P59" s="18">
        <f>VLOOKUP(B59,All!$B$4:$S$8977,15,FALSE)</f>
        <v>0</v>
      </c>
      <c r="Q59" s="18">
        <f>VLOOKUP(B59,All!$B$4:$S$8977,16,FALSE)</f>
        <v>0</v>
      </c>
      <c r="R59" s="18">
        <v>7</v>
      </c>
      <c r="S59" s="18">
        <v>10</v>
      </c>
      <c r="T59" s="550">
        <f t="shared" si="10"/>
        <v>236</v>
      </c>
      <c r="U59" s="568"/>
      <c r="V59" s="3"/>
      <c r="W59" s="3"/>
      <c r="X59" s="3"/>
      <c r="Y59" s="562"/>
      <c r="Z59" s="570">
        <f t="shared" si="12"/>
        <v>194</v>
      </c>
      <c r="AA59" s="18">
        <f t="shared" si="13"/>
        <v>7</v>
      </c>
      <c r="AB59" s="18">
        <f t="shared" si="14"/>
        <v>20</v>
      </c>
      <c r="AC59" s="18">
        <f t="shared" si="15"/>
        <v>0</v>
      </c>
      <c r="AD59" s="18">
        <f t="shared" si="16"/>
        <v>0</v>
      </c>
      <c r="AE59" s="18">
        <f t="shared" si="17"/>
        <v>7</v>
      </c>
      <c r="AF59" s="18">
        <f t="shared" si="17"/>
        <v>10</v>
      </c>
      <c r="AG59" s="550">
        <f t="shared" si="11"/>
        <v>238</v>
      </c>
      <c r="AH59" s="42">
        <v>2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2</v>
      </c>
    </row>
    <row r="60" spans="1:41" ht="24" customHeight="1">
      <c r="A60" s="11">
        <f t="shared" si="8"/>
        <v>57</v>
      </c>
      <c r="B60" s="8">
        <v>1031</v>
      </c>
      <c r="C60" s="478" t="str">
        <f>VLOOKUP(B60,All!$B$4:$S$8977,2,FALSE)</f>
        <v>ជា</v>
      </c>
      <c r="D60" s="479" t="str">
        <f>VLOOKUP(B60,All!$B$4:$S$89977,3,FALSE)</f>
        <v>សារ៉ុន</v>
      </c>
      <c r="E60" s="478" t="str">
        <f>VLOOKUP(B60,All!$B$4:$S$8977,4,FALSE)</f>
        <v>CHEA</v>
      </c>
      <c r="F60" s="479" t="str">
        <f>VLOOKUP(B60,All!$B$4:$S$8977,5,FALSE)</f>
        <v>SARON</v>
      </c>
      <c r="G60" s="479" t="str">
        <f>VLOOKUP(B60,All!$B$4:$S$8977,6,FALSE)</f>
        <v>F</v>
      </c>
      <c r="H60" s="385">
        <f>VLOOKUP(B60,All!$B$4:$S$8977,7,FALSE)</f>
        <v>29361</v>
      </c>
      <c r="I60" s="154">
        <f>VLOOKUP(B60,All!$B$4:$S$8977,8,FALSE)</f>
        <v>42187</v>
      </c>
      <c r="J60" s="154" t="str">
        <f>VLOOKUP(B60,All!$B$4:$S$8977,9,FALSE)</f>
        <v>Production</v>
      </c>
      <c r="K60" s="154" t="str">
        <f>VLOOKUP(B60,All!$B$4:$S$8977,10,FALSE)</f>
        <v>Line 11</v>
      </c>
      <c r="L60" s="698" t="str">
        <f>VLOOKUP(B60,All!$B$4:$S$8977,11,FALSE)</f>
        <v>Sewing operator</v>
      </c>
      <c r="M60" s="570">
        <f>VLOOKUP(B60,All!$B$4:$S$8977,12,FALSE)</f>
        <v>192</v>
      </c>
      <c r="N60" s="18">
        <f>VLOOKUP(B60,All!$B$4:$S$8977,13,FALSE)</f>
        <v>7</v>
      </c>
      <c r="O60" s="18">
        <f>VLOOKUP(B60,All!$B$4:$S$8977,14,FALSE)</f>
        <v>20</v>
      </c>
      <c r="P60" s="18">
        <f>VLOOKUP(B60,All!$B$4:$S$8977,15,FALSE)</f>
        <v>0</v>
      </c>
      <c r="Q60" s="18">
        <f>VLOOKUP(B60,All!$B$4:$S$8977,16,FALSE)</f>
        <v>0</v>
      </c>
      <c r="R60" s="18">
        <v>7</v>
      </c>
      <c r="S60" s="18">
        <v>10</v>
      </c>
      <c r="T60" s="550">
        <f t="shared" si="10"/>
        <v>236</v>
      </c>
      <c r="U60" s="568"/>
      <c r="V60" s="3"/>
      <c r="W60" s="3"/>
      <c r="X60" s="3"/>
      <c r="Y60" s="562"/>
      <c r="Z60" s="570">
        <f t="shared" si="12"/>
        <v>194</v>
      </c>
      <c r="AA60" s="18">
        <f t="shared" si="13"/>
        <v>7</v>
      </c>
      <c r="AB60" s="18">
        <f t="shared" si="14"/>
        <v>20</v>
      </c>
      <c r="AC60" s="18">
        <f t="shared" si="15"/>
        <v>0</v>
      </c>
      <c r="AD60" s="18">
        <f t="shared" si="16"/>
        <v>0</v>
      </c>
      <c r="AE60" s="18">
        <f t="shared" si="17"/>
        <v>7</v>
      </c>
      <c r="AF60" s="18">
        <f t="shared" si="17"/>
        <v>10</v>
      </c>
      <c r="AG60" s="550">
        <f t="shared" si="11"/>
        <v>238</v>
      </c>
      <c r="AH60" s="42">
        <v>2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2</v>
      </c>
    </row>
    <row r="61" spans="1:41" ht="24" customHeight="1">
      <c r="A61" s="11">
        <f t="shared" si="8"/>
        <v>58</v>
      </c>
      <c r="B61" s="8">
        <v>1036</v>
      </c>
      <c r="C61" s="478" t="str">
        <f>VLOOKUP(B61,All!$B$4:$S$8977,2,FALSE)</f>
        <v>ម៉េន</v>
      </c>
      <c r="D61" s="479" t="str">
        <f>VLOOKUP(B61,All!$B$4:$S$89977,3,FALSE)</f>
        <v>ចាន់មេសា</v>
      </c>
      <c r="E61" s="478" t="str">
        <f>VLOOKUP(B61,All!$B$4:$S$8977,4,FALSE)</f>
        <v>MAN</v>
      </c>
      <c r="F61" s="479" t="str">
        <f>VLOOKUP(B61,All!$B$4:$S$8977,5,FALSE)</f>
        <v>CHANMASA</v>
      </c>
      <c r="G61" s="479" t="str">
        <f>VLOOKUP(B61,All!$B$4:$S$8977,6,FALSE)</f>
        <v>F</v>
      </c>
      <c r="H61" s="385">
        <f>VLOOKUP(B61,All!$B$4:$S$8977,7,FALSE)</f>
        <v>31144</v>
      </c>
      <c r="I61" s="154">
        <f>VLOOKUP(B61,All!$B$4:$S$8977,8,FALSE)</f>
        <v>42192</v>
      </c>
      <c r="J61" s="154" t="str">
        <f>VLOOKUP(B61,All!$B$4:$S$8977,9,FALSE)</f>
        <v>Production</v>
      </c>
      <c r="K61" s="154" t="str">
        <f>VLOOKUP(B61,All!$B$4:$S$8977,10,FALSE)</f>
        <v xml:space="preserve"> Line2</v>
      </c>
      <c r="L61" s="698" t="str">
        <f>VLOOKUP(B61,All!$B$4:$S$8977,11,FALSE)</f>
        <v>Sewing operator</v>
      </c>
      <c r="M61" s="570">
        <f>VLOOKUP(B61,All!$B$4:$S$8977,12,FALSE)</f>
        <v>192</v>
      </c>
      <c r="N61" s="18">
        <f>VLOOKUP(B61,All!$B$4:$S$8977,13,FALSE)</f>
        <v>7</v>
      </c>
      <c r="O61" s="18">
        <f>VLOOKUP(B61,All!$B$4:$S$8977,14,FALSE)</f>
        <v>20</v>
      </c>
      <c r="P61" s="18">
        <f>VLOOKUP(B61,All!$B$4:$S$8977,15,FALSE)</f>
        <v>0</v>
      </c>
      <c r="Q61" s="18">
        <f>VLOOKUP(B61,All!$B$4:$S$8977,16,FALSE)</f>
        <v>0</v>
      </c>
      <c r="R61" s="18">
        <v>7</v>
      </c>
      <c r="S61" s="18">
        <v>10</v>
      </c>
      <c r="T61" s="550">
        <f t="shared" si="10"/>
        <v>236</v>
      </c>
      <c r="U61" s="568"/>
      <c r="V61" s="3"/>
      <c r="W61" s="3"/>
      <c r="X61" s="3"/>
      <c r="Y61" s="562"/>
      <c r="Z61" s="570">
        <f t="shared" si="12"/>
        <v>194</v>
      </c>
      <c r="AA61" s="18">
        <f t="shared" si="13"/>
        <v>7</v>
      </c>
      <c r="AB61" s="18">
        <f t="shared" si="14"/>
        <v>20</v>
      </c>
      <c r="AC61" s="18">
        <f t="shared" si="15"/>
        <v>0</v>
      </c>
      <c r="AD61" s="18">
        <f t="shared" si="16"/>
        <v>0</v>
      </c>
      <c r="AE61" s="18">
        <f t="shared" si="17"/>
        <v>7</v>
      </c>
      <c r="AF61" s="18">
        <f t="shared" si="17"/>
        <v>10</v>
      </c>
      <c r="AG61" s="550">
        <f t="shared" si="11"/>
        <v>238</v>
      </c>
      <c r="AH61" s="42">
        <v>2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2</v>
      </c>
    </row>
    <row r="62" spans="1:41" ht="24" customHeight="1">
      <c r="A62" s="11">
        <f t="shared" si="8"/>
        <v>59</v>
      </c>
      <c r="B62" s="8">
        <v>1038</v>
      </c>
      <c r="C62" s="478" t="str">
        <f>VLOOKUP(B62,All!$B$4:$S$8977,2,FALSE)</f>
        <v>ញ៉ែម</v>
      </c>
      <c r="D62" s="479" t="str">
        <f>VLOOKUP(B62,All!$B$4:$S$89977,3,FALSE)</f>
        <v>សុវណ្ណឧស្សាហ៍</v>
      </c>
      <c r="E62" s="478" t="str">
        <f>VLOOKUP(B62,All!$B$4:$S$8977,4,FALSE)</f>
        <v>NHEM</v>
      </c>
      <c r="F62" s="479" t="str">
        <f>VLOOKUP(B62,All!$B$4:$S$8977,5,FALSE)</f>
        <v>SOVANUKSA</v>
      </c>
      <c r="G62" s="479" t="str">
        <f>VLOOKUP(B62,All!$B$4:$S$8977,6,FALSE)</f>
        <v>F</v>
      </c>
      <c r="H62" s="385">
        <f>VLOOKUP(B62,All!$B$4:$S$8977,7,FALSE)</f>
        <v>32212</v>
      </c>
      <c r="I62" s="154">
        <f>VLOOKUP(B62,All!$B$4:$S$8977,8,FALSE)</f>
        <v>42192</v>
      </c>
      <c r="J62" s="154" t="str">
        <f>VLOOKUP(B62,All!$B$4:$S$8977,9,FALSE)</f>
        <v>Production</v>
      </c>
      <c r="K62" s="154" t="str">
        <f>VLOOKUP(B62,All!$B$4:$S$8977,10,FALSE)</f>
        <v xml:space="preserve"> Line18</v>
      </c>
      <c r="L62" s="698" t="str">
        <f>VLOOKUP(B62,All!$B$4:$S$8977,11,FALSE)</f>
        <v>Sewing operator</v>
      </c>
      <c r="M62" s="570">
        <f>VLOOKUP(B62,All!$B$4:$S$8977,12,FALSE)</f>
        <v>192</v>
      </c>
      <c r="N62" s="18">
        <f>VLOOKUP(B62,All!$B$4:$S$8977,13,FALSE)</f>
        <v>7</v>
      </c>
      <c r="O62" s="18">
        <f>VLOOKUP(B62,All!$B$4:$S$8977,14,FALSE)</f>
        <v>20</v>
      </c>
      <c r="P62" s="18">
        <f>VLOOKUP(B62,All!$B$4:$S$8977,15,FALSE)</f>
        <v>0</v>
      </c>
      <c r="Q62" s="18">
        <f>VLOOKUP(B62,All!$B$4:$S$8977,16,FALSE)</f>
        <v>0</v>
      </c>
      <c r="R62" s="18">
        <v>7</v>
      </c>
      <c r="S62" s="18">
        <v>10</v>
      </c>
      <c r="T62" s="550">
        <f t="shared" si="10"/>
        <v>236</v>
      </c>
      <c r="U62" s="568"/>
      <c r="V62" s="3"/>
      <c r="W62" s="3"/>
      <c r="X62" s="3"/>
      <c r="Y62" s="562"/>
      <c r="Z62" s="570">
        <f t="shared" si="12"/>
        <v>194</v>
      </c>
      <c r="AA62" s="18">
        <f t="shared" si="13"/>
        <v>7</v>
      </c>
      <c r="AB62" s="18">
        <f t="shared" si="14"/>
        <v>20</v>
      </c>
      <c r="AC62" s="18">
        <f t="shared" si="15"/>
        <v>0</v>
      </c>
      <c r="AD62" s="18">
        <f t="shared" si="16"/>
        <v>0</v>
      </c>
      <c r="AE62" s="18">
        <f t="shared" si="17"/>
        <v>7</v>
      </c>
      <c r="AF62" s="18">
        <f t="shared" si="17"/>
        <v>10</v>
      </c>
      <c r="AG62" s="550">
        <f t="shared" si="11"/>
        <v>238</v>
      </c>
      <c r="AH62" s="42">
        <v>2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2</v>
      </c>
    </row>
    <row r="63" spans="1:41" ht="24" customHeight="1">
      <c r="A63" s="11">
        <f t="shared" si="8"/>
        <v>60</v>
      </c>
      <c r="B63" s="8">
        <v>1057</v>
      </c>
      <c r="C63" s="478" t="str">
        <f>VLOOKUP(B63,All!$B$4:$S$8977,2,FALSE)</f>
        <v>អ៊ុន</v>
      </c>
      <c r="D63" s="479" t="str">
        <f>VLOOKUP(B63,All!$B$4:$S$89977,3,FALSE)</f>
        <v>តី</v>
      </c>
      <c r="E63" s="478" t="str">
        <f>VLOOKUP(B63,All!$B$4:$S$8977,4,FALSE)</f>
        <v>UN</v>
      </c>
      <c r="F63" s="479" t="str">
        <f>VLOOKUP(B63,All!$B$4:$S$8977,5,FALSE)</f>
        <v>TEY</v>
      </c>
      <c r="G63" s="479" t="str">
        <f>VLOOKUP(B63,All!$B$4:$S$8977,6,FALSE)</f>
        <v>F</v>
      </c>
      <c r="H63" s="385">
        <f>VLOOKUP(B63,All!$B$4:$S$8977,7,FALSE)</f>
        <v>32393</v>
      </c>
      <c r="I63" s="154">
        <f>VLOOKUP(B63,All!$B$4:$S$8977,8,FALSE)</f>
        <v>42209</v>
      </c>
      <c r="J63" s="154" t="str">
        <f>VLOOKUP(B63,All!$B$4:$S$8977,9,FALSE)</f>
        <v>Production</v>
      </c>
      <c r="K63" s="154" t="str">
        <f>VLOOKUP(B63,All!$B$4:$S$8977,10,FALSE)</f>
        <v>Line17</v>
      </c>
      <c r="L63" s="698" t="str">
        <f>VLOOKUP(B63,All!$B$4:$S$8977,11,FALSE)</f>
        <v>Sewing operator</v>
      </c>
      <c r="M63" s="570">
        <f>VLOOKUP(B63,All!$B$4:$S$8977,12,FALSE)</f>
        <v>192</v>
      </c>
      <c r="N63" s="18">
        <f>VLOOKUP(B63,All!$B$4:$S$8977,13,FALSE)</f>
        <v>7</v>
      </c>
      <c r="O63" s="18">
        <f>VLOOKUP(B63,All!$B$4:$S$8977,14,FALSE)</f>
        <v>20</v>
      </c>
      <c r="P63" s="18">
        <f>VLOOKUP(B63,All!$B$4:$S$8977,15,FALSE)</f>
        <v>0</v>
      </c>
      <c r="Q63" s="18">
        <f>VLOOKUP(B63,All!$B$4:$S$8977,16,FALSE)</f>
        <v>0</v>
      </c>
      <c r="R63" s="18">
        <v>7</v>
      </c>
      <c r="S63" s="18">
        <v>10</v>
      </c>
      <c r="T63" s="550">
        <f t="shared" si="10"/>
        <v>236</v>
      </c>
      <c r="U63" s="568"/>
      <c r="V63" s="3"/>
      <c r="W63" s="3"/>
      <c r="X63" s="3"/>
      <c r="Y63" s="562"/>
      <c r="Z63" s="570">
        <f t="shared" si="12"/>
        <v>194</v>
      </c>
      <c r="AA63" s="18">
        <f t="shared" si="13"/>
        <v>7</v>
      </c>
      <c r="AB63" s="18">
        <f t="shared" si="14"/>
        <v>20</v>
      </c>
      <c r="AC63" s="18">
        <f t="shared" si="15"/>
        <v>0</v>
      </c>
      <c r="AD63" s="18">
        <f t="shared" si="16"/>
        <v>0</v>
      </c>
      <c r="AE63" s="18">
        <f t="shared" si="17"/>
        <v>7</v>
      </c>
      <c r="AF63" s="18">
        <f t="shared" si="17"/>
        <v>10</v>
      </c>
      <c r="AG63" s="550">
        <f t="shared" si="11"/>
        <v>238</v>
      </c>
      <c r="AH63" s="42">
        <v>2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2</v>
      </c>
    </row>
    <row r="64" spans="1:41" ht="24" customHeight="1">
      <c r="A64" s="11">
        <f t="shared" si="8"/>
        <v>61</v>
      </c>
      <c r="B64" s="8">
        <v>1122</v>
      </c>
      <c r="C64" s="478" t="str">
        <f>VLOOKUP(B64,All!$B$4:$S$8977,2,FALSE)</f>
        <v>សយ</v>
      </c>
      <c r="D64" s="479" t="str">
        <f>VLOOKUP(B64,All!$B$4:$S$89977,3,FALSE)</f>
        <v>ស្រីឌី</v>
      </c>
      <c r="E64" s="478" t="str">
        <f>VLOOKUP(B64,All!$B$4:$S$8977,4,FALSE)</f>
        <v>SOY</v>
      </c>
      <c r="F64" s="479" t="str">
        <f>VLOOKUP(B64,All!$B$4:$S$8977,5,FALSE)</f>
        <v>SREYDY</v>
      </c>
      <c r="G64" s="479" t="str">
        <f>VLOOKUP(B64,All!$B$4:$S$8977,6,FALSE)</f>
        <v>F</v>
      </c>
      <c r="H64" s="385">
        <f>VLOOKUP(B64,All!$B$4:$S$8977,7,FALSE)</f>
        <v>27900</v>
      </c>
      <c r="I64" s="154">
        <f>VLOOKUP(B64,All!$B$4:$S$8977,8,FALSE)</f>
        <v>42257</v>
      </c>
      <c r="J64" s="154" t="str">
        <f>VLOOKUP(B64,All!$B$4:$S$8977,9,FALSE)</f>
        <v>Production</v>
      </c>
      <c r="K64" s="154" t="str">
        <f>VLOOKUP(B64,All!$B$4:$S$8977,10,FALSE)</f>
        <v>QC  A</v>
      </c>
      <c r="L64" s="698" t="str">
        <f>VLOOKUP(B64,All!$B$4:$S$8977,11,FALSE)</f>
        <v>Inspector</v>
      </c>
      <c r="M64" s="570">
        <f>VLOOKUP(B64,All!$B$4:$S$8977,12,FALSE)</f>
        <v>192</v>
      </c>
      <c r="N64" s="18">
        <f>VLOOKUP(B64,All!$B$4:$S$8977,13,FALSE)</f>
        <v>7</v>
      </c>
      <c r="O64" s="18">
        <f>VLOOKUP(B64,All!$B$4:$S$8977,14,FALSE)</f>
        <v>20</v>
      </c>
      <c r="P64" s="18">
        <f>VLOOKUP(B64,All!$B$4:$S$8977,15,FALSE)</f>
        <v>0</v>
      </c>
      <c r="Q64" s="18">
        <f>VLOOKUP(B64,All!$B$4:$S$8977,16,FALSE)</f>
        <v>0</v>
      </c>
      <c r="R64" s="18">
        <v>7</v>
      </c>
      <c r="S64" s="18">
        <v>10</v>
      </c>
      <c r="T64" s="550">
        <f t="shared" si="10"/>
        <v>236</v>
      </c>
      <c r="U64" s="568"/>
      <c r="V64" s="3"/>
      <c r="W64" s="3"/>
      <c r="X64" s="3"/>
      <c r="Y64" s="562"/>
      <c r="Z64" s="570">
        <f t="shared" si="12"/>
        <v>194</v>
      </c>
      <c r="AA64" s="18">
        <f t="shared" si="13"/>
        <v>7</v>
      </c>
      <c r="AB64" s="18">
        <f t="shared" si="14"/>
        <v>20</v>
      </c>
      <c r="AC64" s="18">
        <f t="shared" si="15"/>
        <v>0</v>
      </c>
      <c r="AD64" s="18">
        <f t="shared" si="16"/>
        <v>0</v>
      </c>
      <c r="AE64" s="18">
        <f t="shared" si="17"/>
        <v>7</v>
      </c>
      <c r="AF64" s="18">
        <f t="shared" si="17"/>
        <v>10</v>
      </c>
      <c r="AG64" s="550">
        <f t="shared" si="11"/>
        <v>238</v>
      </c>
      <c r="AH64" s="42">
        <v>2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2</v>
      </c>
    </row>
    <row r="65" spans="1:41" ht="24" customHeight="1">
      <c r="A65" s="11">
        <f t="shared" si="8"/>
        <v>62</v>
      </c>
      <c r="B65" s="8">
        <v>1128</v>
      </c>
      <c r="C65" s="478" t="str">
        <f>VLOOKUP(B65,All!$B$4:$S$8977,2,FALSE)</f>
        <v>ហ៊ន</v>
      </c>
      <c r="D65" s="479" t="str">
        <f>VLOOKUP(B65,All!$B$4:$S$89977,3,FALSE)</f>
        <v>ផារ៉េម</v>
      </c>
      <c r="E65" s="478" t="str">
        <f>VLOOKUP(B65,All!$B$4:$S$8977,4,FALSE)</f>
        <v>HORN</v>
      </c>
      <c r="F65" s="479" t="str">
        <f>VLOOKUP(B65,All!$B$4:$S$8977,5,FALSE)</f>
        <v>PHAREM</v>
      </c>
      <c r="G65" s="479" t="str">
        <f>VLOOKUP(B65,All!$B$4:$S$8977,6,FALSE)</f>
        <v>F</v>
      </c>
      <c r="H65" s="385">
        <f>VLOOKUP(B65,All!$B$4:$S$8977,7,FALSE)</f>
        <v>31755</v>
      </c>
      <c r="I65" s="154">
        <f>VLOOKUP(B65,All!$B$4:$S$8977,8,FALSE)</f>
        <v>42262</v>
      </c>
      <c r="J65" s="154" t="str">
        <f>VLOOKUP(B65,All!$B$4:$S$8977,9,FALSE)</f>
        <v>Production</v>
      </c>
      <c r="K65" s="154" t="str">
        <f>VLOOKUP(B65,All!$B$4:$S$8977,10,FALSE)</f>
        <v>Sample</v>
      </c>
      <c r="L65" s="698" t="str">
        <f>VLOOKUP(B65,All!$B$4:$S$8977,11,FALSE)</f>
        <v>SL sewer</v>
      </c>
      <c r="M65" s="570">
        <f>VLOOKUP(B65,All!$B$4:$S$8977,12,FALSE)</f>
        <v>192</v>
      </c>
      <c r="N65" s="18">
        <f>VLOOKUP(B65,All!$B$4:$S$8977,13,FALSE)</f>
        <v>7</v>
      </c>
      <c r="O65" s="18">
        <f>VLOOKUP(B65,All!$B$4:$S$8977,14,FALSE)</f>
        <v>20</v>
      </c>
      <c r="P65" s="18">
        <f>VLOOKUP(B65,All!$B$4:$S$8977,15,FALSE)</f>
        <v>10</v>
      </c>
      <c r="Q65" s="18">
        <f>VLOOKUP(B65,All!$B$4:$S$8977,16,FALSE)</f>
        <v>0</v>
      </c>
      <c r="R65" s="18">
        <v>7</v>
      </c>
      <c r="S65" s="18">
        <v>10</v>
      </c>
      <c r="T65" s="550">
        <f t="shared" si="10"/>
        <v>246</v>
      </c>
      <c r="U65" s="568"/>
      <c r="V65" s="3"/>
      <c r="W65" s="3"/>
      <c r="X65" s="3"/>
      <c r="Y65" s="562"/>
      <c r="Z65" s="570">
        <f t="shared" si="12"/>
        <v>194</v>
      </c>
      <c r="AA65" s="18">
        <f t="shared" si="13"/>
        <v>7</v>
      </c>
      <c r="AB65" s="18">
        <f t="shared" si="14"/>
        <v>20</v>
      </c>
      <c r="AC65" s="18">
        <f t="shared" si="15"/>
        <v>10</v>
      </c>
      <c r="AD65" s="18">
        <f t="shared" si="16"/>
        <v>0</v>
      </c>
      <c r="AE65" s="18">
        <f t="shared" si="17"/>
        <v>7</v>
      </c>
      <c r="AF65" s="18">
        <f t="shared" si="17"/>
        <v>10</v>
      </c>
      <c r="AG65" s="550">
        <f t="shared" si="11"/>
        <v>248</v>
      </c>
      <c r="AH65" s="42">
        <v>2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2</v>
      </c>
    </row>
    <row r="66" spans="1:41" ht="24" customHeight="1">
      <c r="A66" s="11">
        <f t="shared" si="8"/>
        <v>63</v>
      </c>
      <c r="B66" s="8">
        <v>1152</v>
      </c>
      <c r="C66" s="478" t="str">
        <f>VLOOKUP(B66,All!$B$4:$S$8977,2,FALSE)</f>
        <v>អោម​</v>
      </c>
      <c r="D66" s="479" t="str">
        <f>VLOOKUP(B66,All!$B$4:$S$89977,3,FALSE)</f>
        <v>ស៊ីដា</v>
      </c>
      <c r="E66" s="478" t="str">
        <f>VLOOKUP(B66,All!$B$4:$S$8977,4,FALSE)</f>
        <v>ORM</v>
      </c>
      <c r="F66" s="479" t="str">
        <f>VLOOKUP(B66,All!$B$4:$S$8977,5,FALSE)</f>
        <v>SIDA</v>
      </c>
      <c r="G66" s="479" t="str">
        <f>VLOOKUP(B66,All!$B$4:$S$8977,6,FALSE)</f>
        <v>F</v>
      </c>
      <c r="H66" s="385">
        <f>VLOOKUP(B66,All!$B$4:$S$8977,7,FALSE)</f>
        <v>29978</v>
      </c>
      <c r="I66" s="154">
        <f>VLOOKUP(B66,All!$B$4:$S$8977,8,FALSE)</f>
        <v>42272</v>
      </c>
      <c r="J66" s="154" t="str">
        <f>VLOOKUP(B66,All!$B$4:$S$8977,9,FALSE)</f>
        <v>Production</v>
      </c>
      <c r="K66" s="154" t="str">
        <f>VLOOKUP(B66,All!$B$4:$S$8977,10,FALSE)</f>
        <v xml:space="preserve"> Line18</v>
      </c>
      <c r="L66" s="698" t="str">
        <f>VLOOKUP(B66,All!$B$4:$S$8977,11,FALSE)</f>
        <v>Sewing operator</v>
      </c>
      <c r="M66" s="570">
        <f>VLOOKUP(B66,All!$B$4:$S$8977,12,FALSE)</f>
        <v>192</v>
      </c>
      <c r="N66" s="18">
        <f>VLOOKUP(B66,All!$B$4:$S$8977,13,FALSE)</f>
        <v>7</v>
      </c>
      <c r="O66" s="18">
        <f>VLOOKUP(B66,All!$B$4:$S$8977,14,FALSE)</f>
        <v>20</v>
      </c>
      <c r="P66" s="18">
        <f>VLOOKUP(B66,All!$B$4:$S$8977,15,FALSE)</f>
        <v>0</v>
      </c>
      <c r="Q66" s="18">
        <f>VLOOKUP(B66,All!$B$4:$S$8977,16,FALSE)</f>
        <v>0</v>
      </c>
      <c r="R66" s="18">
        <v>7</v>
      </c>
      <c r="S66" s="18">
        <v>10</v>
      </c>
      <c r="T66" s="550">
        <f t="shared" si="10"/>
        <v>236</v>
      </c>
      <c r="U66" s="568"/>
      <c r="V66" s="3"/>
      <c r="W66" s="3"/>
      <c r="X66" s="3"/>
      <c r="Y66" s="562"/>
      <c r="Z66" s="570">
        <f t="shared" si="12"/>
        <v>194</v>
      </c>
      <c r="AA66" s="18">
        <f t="shared" si="13"/>
        <v>7</v>
      </c>
      <c r="AB66" s="18">
        <f t="shared" si="14"/>
        <v>20</v>
      </c>
      <c r="AC66" s="18">
        <f t="shared" si="15"/>
        <v>0</v>
      </c>
      <c r="AD66" s="18">
        <f t="shared" si="16"/>
        <v>0</v>
      </c>
      <c r="AE66" s="18">
        <f t="shared" si="17"/>
        <v>7</v>
      </c>
      <c r="AF66" s="18">
        <f t="shared" si="17"/>
        <v>10</v>
      </c>
      <c r="AG66" s="550">
        <f t="shared" si="11"/>
        <v>238</v>
      </c>
      <c r="AH66" s="42">
        <v>2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2</v>
      </c>
    </row>
    <row r="67" spans="1:41" ht="24" customHeight="1">
      <c r="A67" s="11">
        <f t="shared" si="8"/>
        <v>64</v>
      </c>
      <c r="B67" s="8">
        <v>1182</v>
      </c>
      <c r="C67" s="478" t="str">
        <f>VLOOKUP(B67,All!$B$4:$S$8977,2,FALSE)</f>
        <v>វ៉ាន់</v>
      </c>
      <c r="D67" s="479" t="str">
        <f>VLOOKUP(B67,All!$B$4:$S$89977,3,FALSE)</f>
        <v>សុធា</v>
      </c>
      <c r="E67" s="478" t="str">
        <f>VLOOKUP(B67,All!$B$4:$S$8977,4,FALSE)</f>
        <v>VAN</v>
      </c>
      <c r="F67" s="479" t="str">
        <f>VLOOKUP(B67,All!$B$4:$S$8977,5,FALSE)</f>
        <v>SOTHEA</v>
      </c>
      <c r="G67" s="479" t="str">
        <f>VLOOKUP(B67,All!$B$4:$S$8977,6,FALSE)</f>
        <v>F</v>
      </c>
      <c r="H67" s="385">
        <f>VLOOKUP(B67,All!$B$4:$S$8977,7,FALSE)</f>
        <v>29620</v>
      </c>
      <c r="I67" s="154">
        <f>VLOOKUP(B67,All!$B$4:$S$8977,8,FALSE)</f>
        <v>42294</v>
      </c>
      <c r="J67" s="154" t="str">
        <f>VLOOKUP(B67,All!$B$4:$S$8977,9,FALSE)</f>
        <v>Production</v>
      </c>
      <c r="K67" s="154" t="str">
        <f>VLOOKUP(B67,All!$B$4:$S$8977,10,FALSE)</f>
        <v xml:space="preserve"> Line18</v>
      </c>
      <c r="L67" s="698" t="str">
        <f>VLOOKUP(B67,All!$B$4:$S$8977,11,FALSE)</f>
        <v>Sewing operator</v>
      </c>
      <c r="M67" s="570">
        <f>VLOOKUP(B67,All!$B$4:$S$8977,12,FALSE)</f>
        <v>192</v>
      </c>
      <c r="N67" s="18">
        <f>VLOOKUP(B67,All!$B$4:$S$8977,13,FALSE)</f>
        <v>7</v>
      </c>
      <c r="O67" s="18">
        <f>VLOOKUP(B67,All!$B$4:$S$8977,14,FALSE)</f>
        <v>20</v>
      </c>
      <c r="P67" s="18">
        <f>VLOOKUP(B67,All!$B$4:$S$8977,15,FALSE)</f>
        <v>0</v>
      </c>
      <c r="Q67" s="18">
        <f>VLOOKUP(B67,All!$B$4:$S$8977,16,FALSE)</f>
        <v>0</v>
      </c>
      <c r="R67" s="18">
        <v>7</v>
      </c>
      <c r="S67" s="18">
        <v>10</v>
      </c>
      <c r="T67" s="550">
        <f t="shared" si="10"/>
        <v>236</v>
      </c>
      <c r="U67" s="568"/>
      <c r="V67" s="3"/>
      <c r="W67" s="3"/>
      <c r="X67" s="3"/>
      <c r="Y67" s="562"/>
      <c r="Z67" s="570">
        <f t="shared" si="12"/>
        <v>194</v>
      </c>
      <c r="AA67" s="18">
        <f t="shared" si="13"/>
        <v>7</v>
      </c>
      <c r="AB67" s="18">
        <f t="shared" si="14"/>
        <v>20</v>
      </c>
      <c r="AC67" s="18">
        <f t="shared" si="15"/>
        <v>0</v>
      </c>
      <c r="AD67" s="18">
        <f t="shared" si="16"/>
        <v>0</v>
      </c>
      <c r="AE67" s="18">
        <f t="shared" si="17"/>
        <v>7</v>
      </c>
      <c r="AF67" s="18">
        <f t="shared" si="17"/>
        <v>10</v>
      </c>
      <c r="AG67" s="550">
        <f t="shared" si="11"/>
        <v>238</v>
      </c>
      <c r="AH67" s="42">
        <v>2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2</v>
      </c>
    </row>
    <row r="68" spans="1:41" ht="24" customHeight="1">
      <c r="A68" s="11">
        <f t="shared" si="8"/>
        <v>65</v>
      </c>
      <c r="B68" s="8">
        <v>1187</v>
      </c>
      <c r="C68" s="478" t="str">
        <f>VLOOKUP(B68,All!$B$4:$S$8977,2,FALSE)</f>
        <v>ឡាច</v>
      </c>
      <c r="D68" s="479" t="str">
        <f>VLOOKUP(B68,All!$B$4:$S$89977,3,FALSE)</f>
        <v>ឈុន</v>
      </c>
      <c r="E68" s="478" t="str">
        <f>VLOOKUP(B68,All!$B$4:$S$8977,4,FALSE)</f>
        <v>LACH</v>
      </c>
      <c r="F68" s="479" t="str">
        <f>VLOOKUP(B68,All!$B$4:$S$8977,5,FALSE)</f>
        <v>CHHUN</v>
      </c>
      <c r="G68" s="479" t="str">
        <f>VLOOKUP(B68,All!$B$4:$S$8977,6,FALSE)</f>
        <v>F</v>
      </c>
      <c r="H68" s="385">
        <f>VLOOKUP(B68,All!$B$4:$S$8977,7,FALSE)</f>
        <v>30408</v>
      </c>
      <c r="I68" s="154">
        <f>VLOOKUP(B68,All!$B$4:$S$8977,8,FALSE)</f>
        <v>42297</v>
      </c>
      <c r="J68" s="154" t="str">
        <f>VLOOKUP(B68,All!$B$4:$S$8977,9,FALSE)</f>
        <v>Production</v>
      </c>
      <c r="K68" s="154" t="str">
        <f>VLOOKUP(B68,All!$B$4:$S$8977,10,FALSE)</f>
        <v xml:space="preserve"> Line18</v>
      </c>
      <c r="L68" s="698" t="str">
        <f>VLOOKUP(B68,All!$B$4:$S$8977,11,FALSE)</f>
        <v>Sewing operator</v>
      </c>
      <c r="M68" s="570">
        <f>VLOOKUP(B68,All!$B$4:$S$8977,12,FALSE)</f>
        <v>192</v>
      </c>
      <c r="N68" s="18">
        <f>VLOOKUP(B68,All!$B$4:$S$8977,13,FALSE)</f>
        <v>7</v>
      </c>
      <c r="O68" s="18">
        <f>VLOOKUP(B68,All!$B$4:$S$8977,14,FALSE)</f>
        <v>20</v>
      </c>
      <c r="P68" s="18">
        <f>VLOOKUP(B68,All!$B$4:$S$8977,15,FALSE)</f>
        <v>0</v>
      </c>
      <c r="Q68" s="18">
        <f>VLOOKUP(B68,All!$B$4:$S$8977,16,FALSE)</f>
        <v>0</v>
      </c>
      <c r="R68" s="18">
        <v>7</v>
      </c>
      <c r="S68" s="18">
        <v>10</v>
      </c>
      <c r="T68" s="550">
        <f t="shared" si="10"/>
        <v>236</v>
      </c>
      <c r="U68" s="568"/>
      <c r="V68" s="3"/>
      <c r="W68" s="3"/>
      <c r="X68" s="3"/>
      <c r="Y68" s="562"/>
      <c r="Z68" s="570">
        <f t="shared" si="12"/>
        <v>194</v>
      </c>
      <c r="AA68" s="18">
        <f t="shared" si="13"/>
        <v>7</v>
      </c>
      <c r="AB68" s="18">
        <f t="shared" si="14"/>
        <v>20</v>
      </c>
      <c r="AC68" s="18">
        <f t="shared" si="15"/>
        <v>0</v>
      </c>
      <c r="AD68" s="18">
        <f t="shared" si="16"/>
        <v>0</v>
      </c>
      <c r="AE68" s="18">
        <f t="shared" si="17"/>
        <v>7</v>
      </c>
      <c r="AF68" s="18">
        <f t="shared" si="17"/>
        <v>10</v>
      </c>
      <c r="AG68" s="550">
        <f t="shared" si="11"/>
        <v>238</v>
      </c>
      <c r="AH68" s="42">
        <v>2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2</v>
      </c>
    </row>
    <row r="69" spans="1:41" ht="24" customHeight="1">
      <c r="A69" s="11">
        <f t="shared" si="8"/>
        <v>66</v>
      </c>
      <c r="B69" s="8">
        <v>1218</v>
      </c>
      <c r="C69" s="478" t="str">
        <f>VLOOKUP(B69,All!$B$4:$S$8977,2,FALSE)</f>
        <v>អ៊ុក</v>
      </c>
      <c r="D69" s="479" t="str">
        <f>VLOOKUP(B69,All!$B$4:$S$89977,3,FALSE)</f>
        <v>ចាន់ធឿន</v>
      </c>
      <c r="E69" s="478" t="str">
        <f>VLOOKUP(B69,All!$B$4:$S$8977,4,FALSE)</f>
        <v>UK</v>
      </c>
      <c r="F69" s="479" t="str">
        <f>VLOOKUP(B69,All!$B$4:$S$8977,5,FALSE)</f>
        <v>CHANTHOEUN</v>
      </c>
      <c r="G69" s="479" t="str">
        <f>VLOOKUP(B69,All!$B$4:$S$8977,6,FALSE)</f>
        <v>F</v>
      </c>
      <c r="H69" s="385">
        <f>VLOOKUP(B69,All!$B$4:$S$8977,7,FALSE)</f>
        <v>27427</v>
      </c>
      <c r="I69" s="154">
        <f>VLOOKUP(B69,All!$B$4:$S$8977,8,FALSE)</f>
        <v>42298</v>
      </c>
      <c r="J69" s="154" t="str">
        <f>VLOOKUP(B69,All!$B$4:$S$8977,9,FALSE)</f>
        <v>Production</v>
      </c>
      <c r="K69" s="154" t="str">
        <f>VLOOKUP(B69,All!$B$4:$S$8977,10,FALSE)</f>
        <v xml:space="preserve"> Line18</v>
      </c>
      <c r="L69" s="698" t="str">
        <f>VLOOKUP(B69,All!$B$4:$S$8977,11,FALSE)</f>
        <v>Sewing operator</v>
      </c>
      <c r="M69" s="570">
        <f>VLOOKUP(B69,All!$B$4:$S$8977,12,FALSE)</f>
        <v>192</v>
      </c>
      <c r="N69" s="18">
        <f>VLOOKUP(B69,All!$B$4:$S$8977,13,FALSE)</f>
        <v>7</v>
      </c>
      <c r="O69" s="18">
        <f>VLOOKUP(B69,All!$B$4:$S$8977,14,FALSE)</f>
        <v>20</v>
      </c>
      <c r="P69" s="18">
        <f>VLOOKUP(B69,All!$B$4:$S$8977,15,FALSE)</f>
        <v>0</v>
      </c>
      <c r="Q69" s="18">
        <f>VLOOKUP(B69,All!$B$4:$S$8977,16,FALSE)</f>
        <v>0</v>
      </c>
      <c r="R69" s="18">
        <v>7</v>
      </c>
      <c r="S69" s="18">
        <v>10</v>
      </c>
      <c r="T69" s="550">
        <f t="shared" si="10"/>
        <v>236</v>
      </c>
      <c r="U69" s="568"/>
      <c r="V69" s="3"/>
      <c r="W69" s="3"/>
      <c r="X69" s="3"/>
      <c r="Y69" s="562"/>
      <c r="Z69" s="570">
        <f t="shared" si="12"/>
        <v>194</v>
      </c>
      <c r="AA69" s="18">
        <f t="shared" si="13"/>
        <v>7</v>
      </c>
      <c r="AB69" s="18">
        <f t="shared" si="14"/>
        <v>20</v>
      </c>
      <c r="AC69" s="18">
        <f t="shared" si="15"/>
        <v>0</v>
      </c>
      <c r="AD69" s="18">
        <f t="shared" si="16"/>
        <v>0</v>
      </c>
      <c r="AE69" s="18">
        <f t="shared" si="17"/>
        <v>7</v>
      </c>
      <c r="AF69" s="18">
        <f t="shared" si="17"/>
        <v>10</v>
      </c>
      <c r="AG69" s="550">
        <f t="shared" si="11"/>
        <v>238</v>
      </c>
      <c r="AH69" s="42">
        <v>2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2</v>
      </c>
    </row>
    <row r="70" spans="1:41" ht="24" customHeight="1">
      <c r="A70" s="11">
        <f t="shared" ref="A70:A133" si="18">1+A69</f>
        <v>67</v>
      </c>
      <c r="B70" s="8">
        <v>1238</v>
      </c>
      <c r="C70" s="478" t="str">
        <f>VLOOKUP(B70,All!$B$4:$S$8977,2,FALSE)</f>
        <v>រស់</v>
      </c>
      <c r="D70" s="479" t="str">
        <f>VLOOKUP(B70,All!$B$4:$S$89977,3,FALSE)</f>
        <v>ណាត</v>
      </c>
      <c r="E70" s="478" t="str">
        <f>VLOOKUP(B70,All!$B$4:$S$8977,4,FALSE)</f>
        <v>ROS</v>
      </c>
      <c r="F70" s="479" t="str">
        <f>VLOOKUP(B70,All!$B$4:$S$8977,5,FALSE)</f>
        <v>NATH</v>
      </c>
      <c r="G70" s="479" t="str">
        <f>VLOOKUP(B70,All!$B$4:$S$8977,6,FALSE)</f>
        <v>F</v>
      </c>
      <c r="H70" s="385">
        <f>VLOOKUP(B70,All!$B$4:$S$8977,7,FALSE)</f>
        <v>30334</v>
      </c>
      <c r="I70" s="154">
        <f>VLOOKUP(B70,All!$B$4:$S$8977,8,FALSE)</f>
        <v>42299</v>
      </c>
      <c r="J70" s="154" t="str">
        <f>VLOOKUP(B70,All!$B$4:$S$8977,9,FALSE)</f>
        <v>Production</v>
      </c>
      <c r="K70" s="154" t="str">
        <f>VLOOKUP(B70,All!$B$4:$S$8977,10,FALSE)</f>
        <v>Line20</v>
      </c>
      <c r="L70" s="698" t="str">
        <f>VLOOKUP(B70,All!$B$4:$S$8977,11,FALSE)</f>
        <v>Sewing operator</v>
      </c>
      <c r="M70" s="570">
        <f>VLOOKUP(B70,All!$B$4:$S$8977,12,FALSE)</f>
        <v>192</v>
      </c>
      <c r="N70" s="18">
        <f>VLOOKUP(B70,All!$B$4:$S$8977,13,FALSE)</f>
        <v>7</v>
      </c>
      <c r="O70" s="18">
        <f>VLOOKUP(B70,All!$B$4:$S$8977,14,FALSE)</f>
        <v>20</v>
      </c>
      <c r="P70" s="18">
        <f>VLOOKUP(B70,All!$B$4:$S$8977,15,FALSE)</f>
        <v>0</v>
      </c>
      <c r="Q70" s="18">
        <f>VLOOKUP(B70,All!$B$4:$S$8977,16,FALSE)</f>
        <v>0</v>
      </c>
      <c r="R70" s="18">
        <v>7</v>
      </c>
      <c r="S70" s="18">
        <v>10</v>
      </c>
      <c r="T70" s="550">
        <f t="shared" si="10"/>
        <v>236</v>
      </c>
      <c r="U70" s="568"/>
      <c r="V70" s="3"/>
      <c r="W70" s="3"/>
      <c r="X70" s="3"/>
      <c r="Y70" s="562"/>
      <c r="Z70" s="570">
        <f t="shared" si="12"/>
        <v>194</v>
      </c>
      <c r="AA70" s="18">
        <f t="shared" si="13"/>
        <v>7</v>
      </c>
      <c r="AB70" s="18">
        <f t="shared" si="14"/>
        <v>20</v>
      </c>
      <c r="AC70" s="18">
        <f t="shared" si="15"/>
        <v>0</v>
      </c>
      <c r="AD70" s="18">
        <f t="shared" si="16"/>
        <v>0</v>
      </c>
      <c r="AE70" s="18">
        <f t="shared" si="17"/>
        <v>7</v>
      </c>
      <c r="AF70" s="18">
        <f t="shared" si="17"/>
        <v>10</v>
      </c>
      <c r="AG70" s="550">
        <f t="shared" si="11"/>
        <v>238</v>
      </c>
      <c r="AH70" s="42">
        <v>2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2</v>
      </c>
    </row>
    <row r="71" spans="1:41" ht="24" customHeight="1">
      <c r="A71" s="11">
        <f t="shared" si="18"/>
        <v>68</v>
      </c>
      <c r="B71" s="8">
        <v>1239</v>
      </c>
      <c r="C71" s="478" t="str">
        <f>VLOOKUP(B71,All!$B$4:$S$8977,2,FALSE)</f>
        <v>ឆាយ</v>
      </c>
      <c r="D71" s="479" t="str">
        <f>VLOOKUP(B71,All!$B$4:$S$89977,3,FALSE)</f>
        <v>ឆៃលាង</v>
      </c>
      <c r="E71" s="478" t="str">
        <f>VLOOKUP(B71,All!$B$4:$S$8977,4,FALSE)</f>
        <v>CHHAY</v>
      </c>
      <c r="F71" s="479" t="str">
        <f>VLOOKUP(B71,All!$B$4:$S$8977,5,FALSE)</f>
        <v>CHHAILEANG</v>
      </c>
      <c r="G71" s="479" t="str">
        <f>VLOOKUP(B71,All!$B$4:$S$8977,6,FALSE)</f>
        <v>F</v>
      </c>
      <c r="H71" s="385">
        <f>VLOOKUP(B71,All!$B$4:$S$8977,7,FALSE)</f>
        <v>30688</v>
      </c>
      <c r="I71" s="154">
        <f>VLOOKUP(B71,All!$B$4:$S$8977,8,FALSE)</f>
        <v>42299</v>
      </c>
      <c r="J71" s="154" t="str">
        <f>VLOOKUP(B71,All!$B$4:$S$8977,9,FALSE)</f>
        <v>Production</v>
      </c>
      <c r="K71" s="154" t="str">
        <f>VLOOKUP(B71,All!$B$4:$S$8977,10,FALSE)</f>
        <v xml:space="preserve"> Line19</v>
      </c>
      <c r="L71" s="698" t="str">
        <f>VLOOKUP(B71,All!$B$4:$S$8977,11,FALSE)</f>
        <v>Sewing operator</v>
      </c>
      <c r="M71" s="570">
        <f>VLOOKUP(B71,All!$B$4:$S$8977,12,FALSE)</f>
        <v>192</v>
      </c>
      <c r="N71" s="18">
        <f>VLOOKUP(B71,All!$B$4:$S$8977,13,FALSE)</f>
        <v>7</v>
      </c>
      <c r="O71" s="18">
        <f>VLOOKUP(B71,All!$B$4:$S$8977,14,FALSE)</f>
        <v>20</v>
      </c>
      <c r="P71" s="18">
        <f>VLOOKUP(B71,All!$B$4:$S$8977,15,FALSE)</f>
        <v>0</v>
      </c>
      <c r="Q71" s="18">
        <f>VLOOKUP(B71,All!$B$4:$S$8977,16,FALSE)</f>
        <v>0</v>
      </c>
      <c r="R71" s="18">
        <v>7</v>
      </c>
      <c r="S71" s="18">
        <v>10</v>
      </c>
      <c r="T71" s="550">
        <f t="shared" si="10"/>
        <v>236</v>
      </c>
      <c r="U71" s="568"/>
      <c r="V71" s="3"/>
      <c r="W71" s="3"/>
      <c r="X71" s="3"/>
      <c r="Y71" s="562"/>
      <c r="Z71" s="570">
        <f t="shared" si="12"/>
        <v>194</v>
      </c>
      <c r="AA71" s="18">
        <f t="shared" si="13"/>
        <v>7</v>
      </c>
      <c r="AB71" s="18">
        <f t="shared" si="14"/>
        <v>20</v>
      </c>
      <c r="AC71" s="18">
        <f t="shared" si="15"/>
        <v>0</v>
      </c>
      <c r="AD71" s="18">
        <f t="shared" si="16"/>
        <v>0</v>
      </c>
      <c r="AE71" s="18">
        <f t="shared" si="17"/>
        <v>7</v>
      </c>
      <c r="AF71" s="18">
        <f t="shared" si="17"/>
        <v>10</v>
      </c>
      <c r="AG71" s="550">
        <f t="shared" si="11"/>
        <v>238</v>
      </c>
      <c r="AH71" s="42">
        <v>2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2</v>
      </c>
    </row>
    <row r="72" spans="1:41" ht="24" customHeight="1">
      <c r="A72" s="11">
        <f t="shared" si="18"/>
        <v>69</v>
      </c>
      <c r="B72" s="8">
        <v>1240</v>
      </c>
      <c r="C72" s="478" t="str">
        <f>VLOOKUP(B72,All!$B$4:$S$8977,2,FALSE)</f>
        <v>កៃ</v>
      </c>
      <c r="D72" s="479" t="str">
        <f>VLOOKUP(B72,All!$B$4:$S$89977,3,FALSE)</f>
        <v>គឹមលី</v>
      </c>
      <c r="E72" s="478" t="str">
        <f>VLOOKUP(B72,All!$B$4:$S$8977,4,FALSE)</f>
        <v>KAI</v>
      </c>
      <c r="F72" s="479" t="str">
        <f>VLOOKUP(B72,All!$B$4:$S$8977,5,FALSE)</f>
        <v>KIMLY</v>
      </c>
      <c r="G72" s="479" t="str">
        <f>VLOOKUP(B72,All!$B$4:$S$8977,6,FALSE)</f>
        <v>F</v>
      </c>
      <c r="H72" s="385">
        <f>VLOOKUP(B72,All!$B$4:$S$8977,7,FALSE)</f>
        <v>33423</v>
      </c>
      <c r="I72" s="154">
        <f>VLOOKUP(B72,All!$B$4:$S$8977,8,FALSE)</f>
        <v>42299</v>
      </c>
      <c r="J72" s="154" t="str">
        <f>VLOOKUP(B72,All!$B$4:$S$8977,9,FALSE)</f>
        <v>Production</v>
      </c>
      <c r="K72" s="154" t="str">
        <f>VLOOKUP(B72,All!$B$4:$S$8977,10,FALSE)</f>
        <v xml:space="preserve"> Line6</v>
      </c>
      <c r="L72" s="698" t="str">
        <f>VLOOKUP(B72,All!$B$4:$S$8977,11,FALSE)</f>
        <v>Sewing operator</v>
      </c>
      <c r="M72" s="570">
        <f>VLOOKUP(B72,All!$B$4:$S$8977,12,FALSE)</f>
        <v>192</v>
      </c>
      <c r="N72" s="18">
        <f>VLOOKUP(B72,All!$B$4:$S$8977,13,FALSE)</f>
        <v>7</v>
      </c>
      <c r="O72" s="18">
        <f>VLOOKUP(B72,All!$B$4:$S$8977,14,FALSE)</f>
        <v>20</v>
      </c>
      <c r="P72" s="18">
        <f>VLOOKUP(B72,All!$B$4:$S$8977,15,FALSE)</f>
        <v>30</v>
      </c>
      <c r="Q72" s="18">
        <f>VLOOKUP(B72,All!$B$4:$S$8977,16,FALSE)</f>
        <v>0</v>
      </c>
      <c r="R72" s="18">
        <v>7</v>
      </c>
      <c r="S72" s="18">
        <v>10</v>
      </c>
      <c r="T72" s="550">
        <f t="shared" si="10"/>
        <v>266</v>
      </c>
      <c r="U72" s="568"/>
      <c r="V72" s="3"/>
      <c r="W72" s="3"/>
      <c r="X72" s="3"/>
      <c r="Y72" s="562"/>
      <c r="Z72" s="570">
        <f t="shared" si="12"/>
        <v>194</v>
      </c>
      <c r="AA72" s="18">
        <f t="shared" si="13"/>
        <v>7</v>
      </c>
      <c r="AB72" s="18">
        <f t="shared" si="14"/>
        <v>20</v>
      </c>
      <c r="AC72" s="18">
        <f t="shared" si="15"/>
        <v>30</v>
      </c>
      <c r="AD72" s="18">
        <f t="shared" si="16"/>
        <v>0</v>
      </c>
      <c r="AE72" s="18">
        <f t="shared" si="17"/>
        <v>7</v>
      </c>
      <c r="AF72" s="18">
        <f t="shared" si="17"/>
        <v>10</v>
      </c>
      <c r="AG72" s="550">
        <f t="shared" si="11"/>
        <v>268</v>
      </c>
      <c r="AH72" s="42">
        <v>2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2</v>
      </c>
    </row>
    <row r="73" spans="1:41" ht="24" customHeight="1">
      <c r="A73" s="11">
        <f t="shared" si="18"/>
        <v>70</v>
      </c>
      <c r="B73" s="8">
        <v>1251</v>
      </c>
      <c r="C73" s="478" t="str">
        <f>VLOOKUP(B73,All!$B$4:$S$8977,2,FALSE)</f>
        <v>ឃួន</v>
      </c>
      <c r="D73" s="479" t="str">
        <f>VLOOKUP(B73,All!$B$4:$S$89977,3,FALSE)</f>
        <v>សុភាស់</v>
      </c>
      <c r="E73" s="478" t="str">
        <f>VLOOKUP(B73,All!$B$4:$S$8977,4,FALSE)</f>
        <v>KHUON</v>
      </c>
      <c r="F73" s="479" t="str">
        <f>VLOOKUP(B73,All!$B$4:$S$8977,5,FALSE)</f>
        <v>SOPHOIS</v>
      </c>
      <c r="G73" s="479" t="str">
        <f>VLOOKUP(B73,All!$B$4:$S$8977,6,FALSE)</f>
        <v>F</v>
      </c>
      <c r="H73" s="385">
        <f>VLOOKUP(B73,All!$B$4:$S$8977,7,FALSE)</f>
        <v>34552</v>
      </c>
      <c r="I73" s="154">
        <f>VLOOKUP(B73,All!$B$4:$S$8977,8,FALSE)</f>
        <v>42301</v>
      </c>
      <c r="J73" s="154" t="str">
        <f>VLOOKUP(B73,All!$B$4:$S$8977,9,FALSE)</f>
        <v>Production</v>
      </c>
      <c r="K73" s="154" t="str">
        <f>VLOOKUP(B73,All!$B$4:$S$8977,10,FALSE)</f>
        <v xml:space="preserve"> Line2</v>
      </c>
      <c r="L73" s="698" t="str">
        <f>VLOOKUP(B73,All!$B$4:$S$8977,11,FALSE)</f>
        <v>Sewing operator</v>
      </c>
      <c r="M73" s="570">
        <f>VLOOKUP(B73,All!$B$4:$S$8977,12,FALSE)</f>
        <v>192</v>
      </c>
      <c r="N73" s="18">
        <f>VLOOKUP(B73,All!$B$4:$S$8977,13,FALSE)</f>
        <v>7</v>
      </c>
      <c r="O73" s="18">
        <f>VLOOKUP(B73,All!$B$4:$S$8977,14,FALSE)</f>
        <v>20</v>
      </c>
      <c r="P73" s="18">
        <f>VLOOKUP(B73,All!$B$4:$S$8977,15,FALSE)</f>
        <v>0</v>
      </c>
      <c r="Q73" s="18">
        <f>VLOOKUP(B73,All!$B$4:$S$8977,16,FALSE)</f>
        <v>0</v>
      </c>
      <c r="R73" s="18">
        <v>7</v>
      </c>
      <c r="S73" s="18">
        <v>10</v>
      </c>
      <c r="T73" s="550">
        <f t="shared" si="10"/>
        <v>236</v>
      </c>
      <c r="U73" s="568"/>
      <c r="V73" s="3"/>
      <c r="W73" s="3"/>
      <c r="X73" s="3"/>
      <c r="Y73" s="562"/>
      <c r="Z73" s="570">
        <f t="shared" si="12"/>
        <v>194</v>
      </c>
      <c r="AA73" s="18">
        <f t="shared" si="13"/>
        <v>7</v>
      </c>
      <c r="AB73" s="18">
        <f t="shared" si="14"/>
        <v>20</v>
      </c>
      <c r="AC73" s="18">
        <f t="shared" si="15"/>
        <v>0</v>
      </c>
      <c r="AD73" s="18">
        <f t="shared" si="16"/>
        <v>0</v>
      </c>
      <c r="AE73" s="18">
        <f t="shared" si="17"/>
        <v>7</v>
      </c>
      <c r="AF73" s="18">
        <f t="shared" si="17"/>
        <v>10</v>
      </c>
      <c r="AG73" s="550">
        <f t="shared" si="11"/>
        <v>238</v>
      </c>
      <c r="AH73" s="42">
        <v>2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2</v>
      </c>
    </row>
    <row r="74" spans="1:41" ht="24" customHeight="1">
      <c r="A74" s="11">
        <f t="shared" si="18"/>
        <v>71</v>
      </c>
      <c r="B74" s="8">
        <v>1255</v>
      </c>
      <c r="C74" s="478" t="str">
        <f>VLOOKUP(B74,All!$B$4:$S$8977,2,FALSE)</f>
        <v>នាង</v>
      </c>
      <c r="D74" s="479" t="str">
        <f>VLOOKUP(B74,All!$B$4:$S$89977,3,FALSE)</f>
        <v>ណុច</v>
      </c>
      <c r="E74" s="478" t="str">
        <f>VLOOKUP(B74,All!$B$4:$S$8977,4,FALSE)</f>
        <v>NEANG</v>
      </c>
      <c r="F74" s="479" t="str">
        <f>VLOOKUP(B74,All!$B$4:$S$8977,5,FALSE)</f>
        <v>NOCH</v>
      </c>
      <c r="G74" s="479" t="str">
        <f>VLOOKUP(B74,All!$B$4:$S$8977,6,FALSE)</f>
        <v>F</v>
      </c>
      <c r="H74" s="385">
        <f>VLOOKUP(B74,All!$B$4:$S$8977,7,FALSE)</f>
        <v>31086</v>
      </c>
      <c r="I74" s="154">
        <f>VLOOKUP(B74,All!$B$4:$S$8977,8,FALSE)</f>
        <v>42303</v>
      </c>
      <c r="J74" s="154" t="str">
        <f>VLOOKUP(B74,All!$B$4:$S$8977,9,FALSE)</f>
        <v>Production</v>
      </c>
      <c r="K74" s="154" t="str">
        <f>VLOOKUP(B74,All!$B$4:$S$8977,10,FALSE)</f>
        <v xml:space="preserve"> Line19</v>
      </c>
      <c r="L74" s="698" t="str">
        <f>VLOOKUP(B74,All!$B$4:$S$8977,11,FALSE)</f>
        <v>Sewing operator</v>
      </c>
      <c r="M74" s="570">
        <f>VLOOKUP(B74,All!$B$4:$S$8977,12,FALSE)</f>
        <v>192</v>
      </c>
      <c r="N74" s="18">
        <f>VLOOKUP(B74,All!$B$4:$S$8977,13,FALSE)</f>
        <v>7</v>
      </c>
      <c r="O74" s="18">
        <f>VLOOKUP(B74,All!$B$4:$S$8977,14,FALSE)</f>
        <v>20</v>
      </c>
      <c r="P74" s="18">
        <f>VLOOKUP(B74,All!$B$4:$S$8977,15,FALSE)</f>
        <v>0</v>
      </c>
      <c r="Q74" s="18">
        <f>VLOOKUP(B74,All!$B$4:$S$8977,16,FALSE)</f>
        <v>0</v>
      </c>
      <c r="R74" s="18">
        <v>7</v>
      </c>
      <c r="S74" s="18">
        <v>10</v>
      </c>
      <c r="T74" s="550">
        <f t="shared" si="10"/>
        <v>236</v>
      </c>
      <c r="U74" s="568"/>
      <c r="V74" s="3"/>
      <c r="W74" s="3"/>
      <c r="X74" s="3"/>
      <c r="Y74" s="562"/>
      <c r="Z74" s="570">
        <f t="shared" si="12"/>
        <v>194</v>
      </c>
      <c r="AA74" s="18">
        <f t="shared" si="13"/>
        <v>7</v>
      </c>
      <c r="AB74" s="18">
        <f t="shared" si="14"/>
        <v>20</v>
      </c>
      <c r="AC74" s="18">
        <f t="shared" si="15"/>
        <v>0</v>
      </c>
      <c r="AD74" s="18">
        <f t="shared" si="16"/>
        <v>0</v>
      </c>
      <c r="AE74" s="18">
        <f t="shared" si="17"/>
        <v>7</v>
      </c>
      <c r="AF74" s="18">
        <f t="shared" si="17"/>
        <v>10</v>
      </c>
      <c r="AG74" s="550">
        <f t="shared" si="11"/>
        <v>238</v>
      </c>
      <c r="AH74" s="42">
        <v>2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2</v>
      </c>
    </row>
    <row r="75" spans="1:41" ht="24" customHeight="1">
      <c r="A75" s="11">
        <f t="shared" si="18"/>
        <v>72</v>
      </c>
      <c r="B75" s="8">
        <v>1266</v>
      </c>
      <c r="C75" s="478" t="str">
        <f>VLOOKUP(B75,All!$B$4:$S$8977,2,FALSE)</f>
        <v>ហាក់</v>
      </c>
      <c r="D75" s="479" t="str">
        <f>VLOOKUP(B75,All!$B$4:$S$89977,3,FALSE)</f>
        <v>សាលឹម</v>
      </c>
      <c r="E75" s="478" t="str">
        <f>VLOOKUP(B75,All!$B$4:$S$8977,4,FALSE)</f>
        <v>HAK</v>
      </c>
      <c r="F75" s="479" t="str">
        <f>VLOOKUP(B75,All!$B$4:$S$8977,5,FALSE)</f>
        <v>SALIM</v>
      </c>
      <c r="G75" s="479" t="str">
        <f>VLOOKUP(B75,All!$B$4:$S$8977,6,FALSE)</f>
        <v>F</v>
      </c>
      <c r="H75" s="385">
        <f>VLOOKUP(B75,All!$B$4:$S$8977,7,FALSE)</f>
        <v>32614</v>
      </c>
      <c r="I75" s="154">
        <f>VLOOKUP(B75,All!$B$4:$S$8977,8,FALSE)</f>
        <v>42300</v>
      </c>
      <c r="J75" s="154" t="str">
        <f>VLOOKUP(B75,All!$B$4:$S$8977,9,FALSE)</f>
        <v>Production</v>
      </c>
      <c r="K75" s="154" t="str">
        <f>VLOOKUP(B75,All!$B$4:$S$8977,10,FALSE)</f>
        <v xml:space="preserve"> Line8</v>
      </c>
      <c r="L75" s="698" t="str">
        <f>VLOOKUP(B75,All!$B$4:$S$8977,11,FALSE)</f>
        <v>Sewing operator</v>
      </c>
      <c r="M75" s="570">
        <f>VLOOKUP(B75,All!$B$4:$S$8977,12,FALSE)</f>
        <v>192</v>
      </c>
      <c r="N75" s="18">
        <f>VLOOKUP(B75,All!$B$4:$S$8977,13,FALSE)</f>
        <v>7</v>
      </c>
      <c r="O75" s="18">
        <f>VLOOKUP(B75,All!$B$4:$S$8977,14,FALSE)</f>
        <v>20</v>
      </c>
      <c r="P75" s="18">
        <f>VLOOKUP(B75,All!$B$4:$S$8977,15,FALSE)</f>
        <v>0</v>
      </c>
      <c r="Q75" s="18">
        <f>VLOOKUP(B75,All!$B$4:$S$8977,16,FALSE)</f>
        <v>0</v>
      </c>
      <c r="R75" s="18">
        <v>7</v>
      </c>
      <c r="S75" s="18">
        <v>10</v>
      </c>
      <c r="T75" s="550">
        <f t="shared" si="10"/>
        <v>236</v>
      </c>
      <c r="U75" s="568"/>
      <c r="V75" s="3"/>
      <c r="W75" s="3"/>
      <c r="X75" s="3"/>
      <c r="Y75" s="562"/>
      <c r="Z75" s="570">
        <f t="shared" si="12"/>
        <v>194</v>
      </c>
      <c r="AA75" s="18">
        <f t="shared" si="13"/>
        <v>7</v>
      </c>
      <c r="AB75" s="18">
        <f t="shared" si="14"/>
        <v>20</v>
      </c>
      <c r="AC75" s="18">
        <f t="shared" si="15"/>
        <v>0</v>
      </c>
      <c r="AD75" s="18">
        <f t="shared" si="16"/>
        <v>0</v>
      </c>
      <c r="AE75" s="18">
        <f t="shared" si="17"/>
        <v>7</v>
      </c>
      <c r="AF75" s="18">
        <f t="shared" si="17"/>
        <v>10</v>
      </c>
      <c r="AG75" s="550">
        <f t="shared" si="11"/>
        <v>238</v>
      </c>
      <c r="AH75" s="42">
        <v>2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0</v>
      </c>
      <c r="AO75" s="42">
        <v>2</v>
      </c>
    </row>
    <row r="76" spans="1:41" ht="24" customHeight="1">
      <c r="A76" s="11">
        <f t="shared" si="18"/>
        <v>73</v>
      </c>
      <c r="B76" s="8">
        <v>1268</v>
      </c>
      <c r="C76" s="478" t="str">
        <f>VLOOKUP(B76,All!$B$4:$S$8977,2,FALSE)</f>
        <v>ផន</v>
      </c>
      <c r="D76" s="479" t="str">
        <f>VLOOKUP(B76,All!$B$4:$S$89977,3,FALSE)</f>
        <v>សារុំ</v>
      </c>
      <c r="E76" s="478" t="str">
        <f>VLOOKUP(B76,All!$B$4:$S$8977,4,FALSE)</f>
        <v>PHAN</v>
      </c>
      <c r="F76" s="479" t="str">
        <f>VLOOKUP(B76,All!$B$4:$S$8977,5,FALSE)</f>
        <v>SAROM</v>
      </c>
      <c r="G76" s="479" t="str">
        <f>VLOOKUP(B76,All!$B$4:$S$8977,6,FALSE)</f>
        <v>F</v>
      </c>
      <c r="H76" s="385">
        <f>VLOOKUP(B76,All!$B$4:$S$8977,7,FALSE)</f>
        <v>33728</v>
      </c>
      <c r="I76" s="154">
        <f>VLOOKUP(B76,All!$B$4:$S$8977,8,FALSE)</f>
        <v>42304</v>
      </c>
      <c r="J76" s="154" t="str">
        <f>VLOOKUP(B76,All!$B$4:$S$8977,9,FALSE)</f>
        <v>Production</v>
      </c>
      <c r="K76" s="154" t="str">
        <f>VLOOKUP(B76,All!$B$4:$S$8977,10,FALSE)</f>
        <v>QC  A</v>
      </c>
      <c r="L76" s="698" t="str">
        <f>VLOOKUP(B76,All!$B$4:$S$8977,11,FALSE)</f>
        <v>Inspector</v>
      </c>
      <c r="M76" s="570">
        <f>VLOOKUP(B76,All!$B$4:$S$8977,12,FALSE)</f>
        <v>192</v>
      </c>
      <c r="N76" s="18">
        <f>VLOOKUP(B76,All!$B$4:$S$8977,13,FALSE)</f>
        <v>7</v>
      </c>
      <c r="O76" s="18">
        <f>VLOOKUP(B76,All!$B$4:$S$8977,14,FALSE)</f>
        <v>20</v>
      </c>
      <c r="P76" s="18">
        <f>VLOOKUP(B76,All!$B$4:$S$8977,15,FALSE)</f>
        <v>0</v>
      </c>
      <c r="Q76" s="18">
        <f>VLOOKUP(B76,All!$B$4:$S$8977,16,FALSE)</f>
        <v>0</v>
      </c>
      <c r="R76" s="18">
        <v>7</v>
      </c>
      <c r="S76" s="18">
        <v>10</v>
      </c>
      <c r="T76" s="550">
        <f t="shared" si="10"/>
        <v>236</v>
      </c>
      <c r="U76" s="568"/>
      <c r="V76" s="3"/>
      <c r="W76" s="3"/>
      <c r="X76" s="3"/>
      <c r="Y76" s="562"/>
      <c r="Z76" s="570">
        <f t="shared" si="12"/>
        <v>194</v>
      </c>
      <c r="AA76" s="18">
        <f t="shared" si="13"/>
        <v>7</v>
      </c>
      <c r="AB76" s="18">
        <f t="shared" si="14"/>
        <v>20</v>
      </c>
      <c r="AC76" s="18">
        <f t="shared" si="15"/>
        <v>0</v>
      </c>
      <c r="AD76" s="18">
        <f t="shared" si="16"/>
        <v>0</v>
      </c>
      <c r="AE76" s="18">
        <f t="shared" si="17"/>
        <v>7</v>
      </c>
      <c r="AF76" s="18">
        <f t="shared" si="17"/>
        <v>10</v>
      </c>
      <c r="AG76" s="550">
        <f t="shared" si="11"/>
        <v>238</v>
      </c>
      <c r="AH76" s="42">
        <v>2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2</v>
      </c>
    </row>
    <row r="77" spans="1:41" ht="24" customHeight="1">
      <c r="A77" s="11">
        <f t="shared" si="18"/>
        <v>74</v>
      </c>
      <c r="B77" s="8">
        <v>1300</v>
      </c>
      <c r="C77" s="478" t="str">
        <f>VLOOKUP(B77,All!$B$4:$S$8977,2,FALSE)</f>
        <v>ងីម</v>
      </c>
      <c r="D77" s="479" t="str">
        <f>VLOOKUP(B77,All!$B$4:$S$89977,3,FALSE)</f>
        <v>ស្រ៊ីម</v>
      </c>
      <c r="E77" s="478" t="str">
        <f>VLOOKUP(B77,All!$B$4:$S$8977,4,FALSE)</f>
        <v>NGIM</v>
      </c>
      <c r="F77" s="479" t="str">
        <f>VLOOKUP(B77,All!$B$4:$S$8977,5,FALSE)</f>
        <v>SRIM</v>
      </c>
      <c r="G77" s="479" t="str">
        <f>VLOOKUP(B77,All!$B$4:$S$8977,6,FALSE)</f>
        <v>F</v>
      </c>
      <c r="H77" s="385">
        <f>VLOOKUP(B77,All!$B$4:$S$8977,7,FALSE)</f>
        <v>30043</v>
      </c>
      <c r="I77" s="154">
        <f>VLOOKUP(B77,All!$B$4:$S$8977,8,FALSE)</f>
        <v>42310</v>
      </c>
      <c r="J77" s="154" t="str">
        <f>VLOOKUP(B77,All!$B$4:$S$8977,9,FALSE)</f>
        <v>Production</v>
      </c>
      <c r="K77" s="154" t="str">
        <f>VLOOKUP(B77,All!$B$4:$S$8977,10,FALSE)</f>
        <v>Line9</v>
      </c>
      <c r="L77" s="698" t="str">
        <f>VLOOKUP(B77,All!$B$4:$S$8977,11,FALSE)</f>
        <v>Sewing operator</v>
      </c>
      <c r="M77" s="570">
        <f>VLOOKUP(B77,All!$B$4:$S$8977,12,FALSE)</f>
        <v>192</v>
      </c>
      <c r="N77" s="18">
        <f>VLOOKUP(B77,All!$B$4:$S$8977,13,FALSE)</f>
        <v>7</v>
      </c>
      <c r="O77" s="18">
        <f>VLOOKUP(B77,All!$B$4:$S$8977,14,FALSE)</f>
        <v>20</v>
      </c>
      <c r="P77" s="18">
        <f>VLOOKUP(B77,All!$B$4:$S$8977,15,FALSE)</f>
        <v>0</v>
      </c>
      <c r="Q77" s="18">
        <f>VLOOKUP(B77,All!$B$4:$S$8977,16,FALSE)</f>
        <v>0</v>
      </c>
      <c r="R77" s="18">
        <v>7</v>
      </c>
      <c r="S77" s="18">
        <v>10</v>
      </c>
      <c r="T77" s="550">
        <f t="shared" si="10"/>
        <v>236</v>
      </c>
      <c r="U77" s="568"/>
      <c r="V77" s="3"/>
      <c r="W77" s="3"/>
      <c r="X77" s="3"/>
      <c r="Y77" s="562"/>
      <c r="Z77" s="570">
        <f t="shared" si="12"/>
        <v>194</v>
      </c>
      <c r="AA77" s="18">
        <f t="shared" si="13"/>
        <v>7</v>
      </c>
      <c r="AB77" s="18">
        <f t="shared" si="14"/>
        <v>20</v>
      </c>
      <c r="AC77" s="18">
        <f t="shared" si="15"/>
        <v>0</v>
      </c>
      <c r="AD77" s="18">
        <f t="shared" si="16"/>
        <v>0</v>
      </c>
      <c r="AE77" s="18">
        <f t="shared" si="17"/>
        <v>7</v>
      </c>
      <c r="AF77" s="18">
        <f t="shared" si="17"/>
        <v>10</v>
      </c>
      <c r="AG77" s="550">
        <f t="shared" si="11"/>
        <v>238</v>
      </c>
      <c r="AH77" s="42">
        <v>2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2</v>
      </c>
    </row>
    <row r="78" spans="1:41" ht="24" customHeight="1">
      <c r="A78" s="11">
        <f t="shared" si="18"/>
        <v>75</v>
      </c>
      <c r="B78" s="8">
        <v>1302</v>
      </c>
      <c r="C78" s="478" t="str">
        <f>VLOOKUP(B78,All!$B$4:$S$8977,2,FALSE)</f>
        <v>នី</v>
      </c>
      <c r="D78" s="479" t="str">
        <f>VLOOKUP(B78,All!$B$4:$S$89977,3,FALSE)</f>
        <v>គន្ធា</v>
      </c>
      <c r="E78" s="478" t="str">
        <f>VLOOKUP(B78,All!$B$4:$S$8977,4,FALSE)</f>
        <v>NY</v>
      </c>
      <c r="F78" s="479" t="str">
        <f>VLOOKUP(B78,All!$B$4:$S$8977,5,FALSE)</f>
        <v>KUNTHEA</v>
      </c>
      <c r="G78" s="479" t="str">
        <f>VLOOKUP(B78,All!$B$4:$S$8977,6,FALSE)</f>
        <v>F</v>
      </c>
      <c r="H78" s="385">
        <f>VLOOKUP(B78,All!$B$4:$S$8977,7,FALSE)</f>
        <v>30195</v>
      </c>
      <c r="I78" s="154">
        <f>VLOOKUP(B78,All!$B$4:$S$8977,8,FALSE)</f>
        <v>42311</v>
      </c>
      <c r="J78" s="154" t="str">
        <f>VLOOKUP(B78,All!$B$4:$S$8977,9,FALSE)</f>
        <v>Production</v>
      </c>
      <c r="K78" s="154" t="str">
        <f>VLOOKUP(B78,All!$B$4:$S$8977,10,FALSE)</f>
        <v xml:space="preserve"> Line19</v>
      </c>
      <c r="L78" s="698" t="str">
        <f>VLOOKUP(B78,All!$B$4:$S$8977,11,FALSE)</f>
        <v>Sewing operator</v>
      </c>
      <c r="M78" s="570">
        <f>VLOOKUP(B78,All!$B$4:$S$8977,12,FALSE)</f>
        <v>192</v>
      </c>
      <c r="N78" s="18">
        <f>VLOOKUP(B78,All!$B$4:$S$8977,13,FALSE)</f>
        <v>7</v>
      </c>
      <c r="O78" s="18">
        <f>VLOOKUP(B78,All!$B$4:$S$8977,14,FALSE)</f>
        <v>20</v>
      </c>
      <c r="P78" s="18">
        <f>VLOOKUP(B78,All!$B$4:$S$8977,15,FALSE)</f>
        <v>0</v>
      </c>
      <c r="Q78" s="18">
        <f>VLOOKUP(B78,All!$B$4:$S$8977,16,FALSE)</f>
        <v>0</v>
      </c>
      <c r="R78" s="18">
        <v>7</v>
      </c>
      <c r="S78" s="18">
        <v>10</v>
      </c>
      <c r="T78" s="550">
        <f t="shared" ref="T78:T121" si="19">SUM(M78:S78)</f>
        <v>236</v>
      </c>
      <c r="U78" s="568"/>
      <c r="V78" s="3"/>
      <c r="W78" s="3"/>
      <c r="X78" s="3"/>
      <c r="Y78" s="562"/>
      <c r="Z78" s="570">
        <f t="shared" si="12"/>
        <v>194</v>
      </c>
      <c r="AA78" s="18">
        <f t="shared" si="13"/>
        <v>7</v>
      </c>
      <c r="AB78" s="18">
        <f t="shared" si="14"/>
        <v>20</v>
      </c>
      <c r="AC78" s="18">
        <f t="shared" si="15"/>
        <v>0</v>
      </c>
      <c r="AD78" s="18">
        <f t="shared" si="16"/>
        <v>0</v>
      </c>
      <c r="AE78" s="18">
        <f t="shared" si="17"/>
        <v>7</v>
      </c>
      <c r="AF78" s="18">
        <f t="shared" si="17"/>
        <v>10</v>
      </c>
      <c r="AG78" s="550">
        <f t="shared" si="11"/>
        <v>238</v>
      </c>
      <c r="AH78" s="42">
        <v>2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2</v>
      </c>
    </row>
    <row r="79" spans="1:41" ht="24" customHeight="1">
      <c r="A79" s="11">
        <f t="shared" si="18"/>
        <v>76</v>
      </c>
      <c r="B79" s="8">
        <v>1320</v>
      </c>
      <c r="C79" s="478" t="str">
        <f>VLOOKUP(B79,All!$B$4:$S$8977,2,FALSE)</f>
        <v>ហែម</v>
      </c>
      <c r="D79" s="479" t="str">
        <f>VLOOKUP(B79,All!$B$4:$S$89977,3,FALSE)</f>
        <v>ចាន់បូផា</v>
      </c>
      <c r="E79" s="478" t="str">
        <f>VLOOKUP(B79,All!$B$4:$S$8977,4,FALSE)</f>
        <v>HEM</v>
      </c>
      <c r="F79" s="479" t="str">
        <f>VLOOKUP(B79,All!$B$4:$S$8977,5,FALSE)</f>
        <v>CHAN BOPHA</v>
      </c>
      <c r="G79" s="479" t="str">
        <f>VLOOKUP(B79,All!$B$4:$S$8977,6,FALSE)</f>
        <v>F</v>
      </c>
      <c r="H79" s="385">
        <f>VLOOKUP(B79,All!$B$4:$S$8977,7,FALSE)</f>
        <v>30420</v>
      </c>
      <c r="I79" s="154">
        <f>VLOOKUP(B79,All!$B$4:$S$8977,8,FALSE)</f>
        <v>42312</v>
      </c>
      <c r="J79" s="154" t="str">
        <f>VLOOKUP(B79,All!$B$4:$S$8977,9,FALSE)</f>
        <v>Production</v>
      </c>
      <c r="K79" s="154" t="str">
        <f>VLOOKUP(B79,All!$B$4:$S$8977,10,FALSE)</f>
        <v>Line9</v>
      </c>
      <c r="L79" s="698" t="str">
        <f>VLOOKUP(B79,All!$B$4:$S$8977,11,FALSE)</f>
        <v>Sewing operator</v>
      </c>
      <c r="M79" s="570">
        <f>VLOOKUP(B79,All!$B$4:$S$8977,12,FALSE)</f>
        <v>192</v>
      </c>
      <c r="N79" s="18">
        <f>VLOOKUP(B79,All!$B$4:$S$8977,13,FALSE)</f>
        <v>7</v>
      </c>
      <c r="O79" s="18">
        <f>VLOOKUP(B79,All!$B$4:$S$8977,14,FALSE)</f>
        <v>20</v>
      </c>
      <c r="P79" s="18">
        <f>VLOOKUP(B79,All!$B$4:$S$8977,15,FALSE)</f>
        <v>0</v>
      </c>
      <c r="Q79" s="18">
        <f>VLOOKUP(B79,All!$B$4:$S$8977,16,FALSE)</f>
        <v>0</v>
      </c>
      <c r="R79" s="18">
        <v>7</v>
      </c>
      <c r="S79" s="18">
        <v>10</v>
      </c>
      <c r="T79" s="550">
        <f t="shared" si="19"/>
        <v>236</v>
      </c>
      <c r="U79" s="568"/>
      <c r="V79" s="3"/>
      <c r="W79" s="3"/>
      <c r="X79" s="3"/>
      <c r="Y79" s="562"/>
      <c r="Z79" s="570">
        <f t="shared" si="12"/>
        <v>194</v>
      </c>
      <c r="AA79" s="18">
        <f t="shared" si="13"/>
        <v>7</v>
      </c>
      <c r="AB79" s="18">
        <f t="shared" si="14"/>
        <v>20</v>
      </c>
      <c r="AC79" s="18">
        <f t="shared" si="15"/>
        <v>0</v>
      </c>
      <c r="AD79" s="18">
        <f t="shared" si="16"/>
        <v>0</v>
      </c>
      <c r="AE79" s="18">
        <f t="shared" si="17"/>
        <v>7</v>
      </c>
      <c r="AF79" s="18">
        <f t="shared" si="17"/>
        <v>10</v>
      </c>
      <c r="AG79" s="550">
        <f t="shared" si="11"/>
        <v>238</v>
      </c>
      <c r="AH79" s="42">
        <v>2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2</v>
      </c>
    </row>
    <row r="80" spans="1:41" ht="24" customHeight="1">
      <c r="A80" s="11">
        <f t="shared" si="18"/>
        <v>77</v>
      </c>
      <c r="B80" s="8">
        <v>1349</v>
      </c>
      <c r="C80" s="478" t="str">
        <f>VLOOKUP(B80,All!$B$4:$S$8977,2,FALSE)</f>
        <v>ម៉ី</v>
      </c>
      <c r="D80" s="479" t="str">
        <f>VLOOKUP(B80,All!$B$4:$S$89977,3,FALSE)</f>
        <v>រដ្ឋា</v>
      </c>
      <c r="E80" s="478" t="str">
        <f>VLOOKUP(B80,All!$B$4:$S$8977,4,FALSE)</f>
        <v>MEY</v>
      </c>
      <c r="F80" s="479" t="str">
        <f>VLOOKUP(B80,All!$B$4:$S$8977,5,FALSE)</f>
        <v>RATHA</v>
      </c>
      <c r="G80" s="479" t="str">
        <f>VLOOKUP(B80,All!$B$4:$S$8977,6,FALSE)</f>
        <v>F</v>
      </c>
      <c r="H80" s="385">
        <f>VLOOKUP(B80,All!$B$4:$S$8977,7,FALSE)</f>
        <v>33258</v>
      </c>
      <c r="I80" s="154">
        <f>VLOOKUP(B80,All!$B$4:$S$8977,8,FALSE)</f>
        <v>42320</v>
      </c>
      <c r="J80" s="154" t="str">
        <f>VLOOKUP(B80,All!$B$4:$S$8977,9,FALSE)</f>
        <v>Production</v>
      </c>
      <c r="K80" s="154" t="str">
        <f>VLOOKUP(B80,All!$B$4:$S$8977,10,FALSE)</f>
        <v xml:space="preserve"> Line1</v>
      </c>
      <c r="L80" s="698" t="str">
        <f>VLOOKUP(B80,All!$B$4:$S$8977,11,FALSE)</f>
        <v>Sewing operator</v>
      </c>
      <c r="M80" s="570">
        <f>VLOOKUP(B80,All!$B$4:$S$8977,12,FALSE)</f>
        <v>192</v>
      </c>
      <c r="N80" s="18">
        <f>VLOOKUP(B80,All!$B$4:$S$8977,13,FALSE)</f>
        <v>7</v>
      </c>
      <c r="O80" s="18">
        <f>VLOOKUP(B80,All!$B$4:$S$8977,14,FALSE)</f>
        <v>20</v>
      </c>
      <c r="P80" s="18">
        <f>VLOOKUP(B80,All!$B$4:$S$8977,15,FALSE)</f>
        <v>0</v>
      </c>
      <c r="Q80" s="18">
        <f>VLOOKUP(B80,All!$B$4:$S$8977,16,FALSE)</f>
        <v>0</v>
      </c>
      <c r="R80" s="18">
        <v>7</v>
      </c>
      <c r="S80" s="18">
        <v>10</v>
      </c>
      <c r="T80" s="550">
        <f t="shared" si="19"/>
        <v>236</v>
      </c>
      <c r="U80" s="568"/>
      <c r="V80" s="3"/>
      <c r="W80" s="3"/>
      <c r="X80" s="3"/>
      <c r="Y80" s="562"/>
      <c r="Z80" s="570">
        <f t="shared" si="12"/>
        <v>194</v>
      </c>
      <c r="AA80" s="18">
        <f t="shared" si="13"/>
        <v>7</v>
      </c>
      <c r="AB80" s="18">
        <f t="shared" si="14"/>
        <v>20</v>
      </c>
      <c r="AC80" s="18">
        <f t="shared" si="15"/>
        <v>0</v>
      </c>
      <c r="AD80" s="18">
        <f t="shared" si="16"/>
        <v>0</v>
      </c>
      <c r="AE80" s="18">
        <f t="shared" si="17"/>
        <v>7</v>
      </c>
      <c r="AF80" s="18">
        <f t="shared" si="17"/>
        <v>10</v>
      </c>
      <c r="AG80" s="550">
        <f t="shared" si="11"/>
        <v>238</v>
      </c>
      <c r="AH80" s="42">
        <v>2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2</v>
      </c>
    </row>
    <row r="81" spans="1:41" ht="24" customHeight="1">
      <c r="A81" s="11">
        <f t="shared" si="18"/>
        <v>78</v>
      </c>
      <c r="B81" s="8">
        <v>1350</v>
      </c>
      <c r="C81" s="478" t="str">
        <f>VLOOKUP(B81,All!$B$4:$S$8977,2,FALSE)</f>
        <v>ប្រាក់</v>
      </c>
      <c r="D81" s="479" t="str">
        <f>VLOOKUP(B81,All!$B$4:$S$89977,3,FALSE)</f>
        <v>ភាន</v>
      </c>
      <c r="E81" s="478" t="str">
        <f>VLOOKUP(B81,All!$B$4:$S$8977,4,FALSE)</f>
        <v>PRAK</v>
      </c>
      <c r="F81" s="479" t="str">
        <f>VLOOKUP(B81,All!$B$4:$S$8977,5,FALSE)</f>
        <v>PHEAN</v>
      </c>
      <c r="G81" s="479" t="str">
        <f>VLOOKUP(B81,All!$B$4:$S$8977,6,FALSE)</f>
        <v>F</v>
      </c>
      <c r="H81" s="385">
        <f>VLOOKUP(B81,All!$B$4:$S$8977,7,FALSE)</f>
        <v>27851</v>
      </c>
      <c r="I81" s="154">
        <f>VLOOKUP(B81,All!$B$4:$S$8977,8,FALSE)</f>
        <v>42321</v>
      </c>
      <c r="J81" s="154" t="str">
        <f>VLOOKUP(B81,All!$B$4:$S$8977,9,FALSE)</f>
        <v>Production</v>
      </c>
      <c r="K81" s="154" t="str">
        <f>VLOOKUP(B81,All!$B$4:$S$8977,10,FALSE)</f>
        <v>Line9</v>
      </c>
      <c r="L81" s="698" t="str">
        <f>VLOOKUP(B81,All!$B$4:$S$8977,11,FALSE)</f>
        <v>Sewing operator</v>
      </c>
      <c r="M81" s="570">
        <f>VLOOKUP(B81,All!$B$4:$S$8977,12,FALSE)</f>
        <v>192</v>
      </c>
      <c r="N81" s="18">
        <f>VLOOKUP(B81,All!$B$4:$S$8977,13,FALSE)</f>
        <v>7</v>
      </c>
      <c r="O81" s="18">
        <f>VLOOKUP(B81,All!$B$4:$S$8977,14,FALSE)</f>
        <v>20</v>
      </c>
      <c r="P81" s="18">
        <f>VLOOKUP(B81,All!$B$4:$S$8977,15,FALSE)</f>
        <v>0</v>
      </c>
      <c r="Q81" s="18">
        <f>VLOOKUP(B81,All!$B$4:$S$8977,16,FALSE)</f>
        <v>0</v>
      </c>
      <c r="R81" s="18">
        <v>7</v>
      </c>
      <c r="S81" s="18">
        <v>10</v>
      </c>
      <c r="T81" s="550">
        <f t="shared" si="19"/>
        <v>236</v>
      </c>
      <c r="U81" s="568"/>
      <c r="V81" s="3"/>
      <c r="W81" s="3"/>
      <c r="X81" s="3"/>
      <c r="Y81" s="562"/>
      <c r="Z81" s="570">
        <f t="shared" si="12"/>
        <v>194</v>
      </c>
      <c r="AA81" s="18">
        <f t="shared" si="13"/>
        <v>7</v>
      </c>
      <c r="AB81" s="18">
        <f t="shared" si="14"/>
        <v>20</v>
      </c>
      <c r="AC81" s="18">
        <f t="shared" si="15"/>
        <v>0</v>
      </c>
      <c r="AD81" s="18">
        <f t="shared" si="16"/>
        <v>0</v>
      </c>
      <c r="AE81" s="18">
        <f t="shared" si="17"/>
        <v>7</v>
      </c>
      <c r="AF81" s="18">
        <f t="shared" si="17"/>
        <v>10</v>
      </c>
      <c r="AG81" s="550">
        <f t="shared" si="11"/>
        <v>238</v>
      </c>
      <c r="AH81" s="42">
        <v>2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2</v>
      </c>
    </row>
    <row r="82" spans="1:41" ht="24" customHeight="1">
      <c r="A82" s="11">
        <f t="shared" si="18"/>
        <v>79</v>
      </c>
      <c r="B82" s="8">
        <v>1384</v>
      </c>
      <c r="C82" s="478" t="str">
        <f>VLOOKUP(B82,All!$B$4:$S$8977,2,FALSE)</f>
        <v>ភោគ</v>
      </c>
      <c r="D82" s="479" t="str">
        <f>VLOOKUP(B82,All!$B$4:$S$89977,3,FALSE)</f>
        <v>រ៉ន</v>
      </c>
      <c r="E82" s="478" t="str">
        <f>VLOOKUP(B82,All!$B$4:$S$8977,4,FALSE)</f>
        <v>PHAUK</v>
      </c>
      <c r="F82" s="479" t="str">
        <f>VLOOKUP(B82,All!$B$4:$S$8977,5,FALSE)</f>
        <v>RAN</v>
      </c>
      <c r="G82" s="479" t="str">
        <f>VLOOKUP(B82,All!$B$4:$S$8977,6,FALSE)</f>
        <v>F</v>
      </c>
      <c r="H82" s="385">
        <f>VLOOKUP(B82,All!$B$4:$S$8977,7,FALSE)</f>
        <v>30878</v>
      </c>
      <c r="I82" s="154">
        <f>VLOOKUP(B82,All!$B$4:$S$8977,8,FALSE)</f>
        <v>42332</v>
      </c>
      <c r="J82" s="154" t="str">
        <f>VLOOKUP(B82,All!$B$4:$S$8977,9,FALSE)</f>
        <v>Production</v>
      </c>
      <c r="K82" s="154" t="str">
        <f>VLOOKUP(B82,All!$B$4:$S$8977,10,FALSE)</f>
        <v>Line17</v>
      </c>
      <c r="L82" s="698" t="str">
        <f>VLOOKUP(B82,All!$B$4:$S$8977,11,FALSE)</f>
        <v>Sewing operator</v>
      </c>
      <c r="M82" s="570">
        <f>VLOOKUP(B82,All!$B$4:$S$8977,12,FALSE)</f>
        <v>192</v>
      </c>
      <c r="N82" s="18">
        <f>VLOOKUP(B82,All!$B$4:$S$8977,13,FALSE)</f>
        <v>7</v>
      </c>
      <c r="O82" s="18">
        <f>VLOOKUP(B82,All!$B$4:$S$8977,14,FALSE)</f>
        <v>20</v>
      </c>
      <c r="P82" s="18">
        <f>VLOOKUP(B82,All!$B$4:$S$8977,15,FALSE)</f>
        <v>0</v>
      </c>
      <c r="Q82" s="18">
        <f>VLOOKUP(B82,All!$B$4:$S$8977,16,FALSE)</f>
        <v>0</v>
      </c>
      <c r="R82" s="18">
        <v>7</v>
      </c>
      <c r="S82" s="18">
        <v>10</v>
      </c>
      <c r="T82" s="550">
        <f t="shared" si="19"/>
        <v>236</v>
      </c>
      <c r="U82" s="568"/>
      <c r="V82" s="3"/>
      <c r="W82" s="3"/>
      <c r="X82" s="3"/>
      <c r="Y82" s="562"/>
      <c r="Z82" s="570">
        <f t="shared" si="12"/>
        <v>194</v>
      </c>
      <c r="AA82" s="18">
        <f t="shared" si="13"/>
        <v>7</v>
      </c>
      <c r="AB82" s="18">
        <f t="shared" si="14"/>
        <v>20</v>
      </c>
      <c r="AC82" s="18">
        <f t="shared" si="15"/>
        <v>0</v>
      </c>
      <c r="AD82" s="18">
        <f t="shared" si="16"/>
        <v>0</v>
      </c>
      <c r="AE82" s="18">
        <f t="shared" si="17"/>
        <v>7</v>
      </c>
      <c r="AF82" s="18">
        <f t="shared" si="17"/>
        <v>10</v>
      </c>
      <c r="AG82" s="550">
        <f t="shared" si="11"/>
        <v>238</v>
      </c>
      <c r="AH82" s="42">
        <v>2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2</v>
      </c>
    </row>
    <row r="83" spans="1:41" ht="24" customHeight="1">
      <c r="A83" s="11">
        <f t="shared" si="18"/>
        <v>80</v>
      </c>
      <c r="B83" s="8">
        <v>1396</v>
      </c>
      <c r="C83" s="478" t="str">
        <f>VLOOKUP(B83,All!$B$4:$S$8977,2,FALSE)</f>
        <v>យ៉ុង</v>
      </c>
      <c r="D83" s="479" t="str">
        <f>VLOOKUP(B83,All!$B$4:$S$89977,3,FALSE)</f>
        <v>ថានី</v>
      </c>
      <c r="E83" s="478" t="str">
        <f>VLOOKUP(B83,All!$B$4:$S$8977,4,FALSE)</f>
        <v xml:space="preserve">YONG </v>
      </c>
      <c r="F83" s="479" t="str">
        <f>VLOOKUP(B83,All!$B$4:$S$8977,5,FALSE)</f>
        <v>THANY</v>
      </c>
      <c r="G83" s="479" t="str">
        <f>VLOOKUP(B83,All!$B$4:$S$8977,6,FALSE)</f>
        <v>F</v>
      </c>
      <c r="H83" s="385">
        <f>VLOOKUP(B83,All!$B$4:$S$8977,7,FALSE)</f>
        <v>31757</v>
      </c>
      <c r="I83" s="154">
        <f>VLOOKUP(B83,All!$B$4:$S$8977,8,FALSE)</f>
        <v>42340</v>
      </c>
      <c r="J83" s="154" t="str">
        <f>VLOOKUP(B83,All!$B$4:$S$8977,9,FALSE)</f>
        <v>Production</v>
      </c>
      <c r="K83" s="154" t="str">
        <f>VLOOKUP(B83,All!$B$4:$S$8977,10,FALSE)</f>
        <v>Line9</v>
      </c>
      <c r="L83" s="698" t="str">
        <f>VLOOKUP(B83,All!$B$4:$S$8977,11,FALSE)</f>
        <v>Sewing operator</v>
      </c>
      <c r="M83" s="570">
        <f>VLOOKUP(B83,All!$B$4:$S$8977,12,FALSE)</f>
        <v>192</v>
      </c>
      <c r="N83" s="18">
        <f>VLOOKUP(B83,All!$B$4:$S$8977,13,FALSE)</f>
        <v>7</v>
      </c>
      <c r="O83" s="18">
        <f>VLOOKUP(B83,All!$B$4:$S$8977,14,FALSE)</f>
        <v>20</v>
      </c>
      <c r="P83" s="18">
        <f>VLOOKUP(B83,All!$B$4:$S$8977,15,FALSE)</f>
        <v>0</v>
      </c>
      <c r="Q83" s="18">
        <f>VLOOKUP(B83,All!$B$4:$S$8977,16,FALSE)</f>
        <v>0</v>
      </c>
      <c r="R83" s="18">
        <v>7</v>
      </c>
      <c r="S83" s="18">
        <v>10</v>
      </c>
      <c r="T83" s="550">
        <f t="shared" si="19"/>
        <v>236</v>
      </c>
      <c r="U83" s="568"/>
      <c r="V83" s="3"/>
      <c r="W83" s="3"/>
      <c r="X83" s="3"/>
      <c r="Y83" s="562"/>
      <c r="Z83" s="570">
        <f t="shared" si="12"/>
        <v>194</v>
      </c>
      <c r="AA83" s="18">
        <f t="shared" si="13"/>
        <v>7</v>
      </c>
      <c r="AB83" s="18">
        <f t="shared" si="14"/>
        <v>20</v>
      </c>
      <c r="AC83" s="18">
        <f t="shared" si="15"/>
        <v>0</v>
      </c>
      <c r="AD83" s="18">
        <f t="shared" si="16"/>
        <v>0</v>
      </c>
      <c r="AE83" s="18">
        <f t="shared" si="17"/>
        <v>7</v>
      </c>
      <c r="AF83" s="18">
        <f t="shared" si="17"/>
        <v>10</v>
      </c>
      <c r="AG83" s="550">
        <f t="shared" si="11"/>
        <v>238</v>
      </c>
      <c r="AH83" s="42">
        <v>2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2</v>
      </c>
    </row>
    <row r="84" spans="1:41" ht="24" customHeight="1">
      <c r="A84" s="11">
        <f t="shared" si="18"/>
        <v>81</v>
      </c>
      <c r="B84" s="8">
        <v>1398</v>
      </c>
      <c r="C84" s="478" t="str">
        <f>VLOOKUP(B84,All!$B$4:$S$8977,2,FALSE)</f>
        <v>កន</v>
      </c>
      <c r="D84" s="479" t="str">
        <f>VLOOKUP(B84,All!$B$4:$S$89977,3,FALSE)</f>
        <v>ស្រីអូន</v>
      </c>
      <c r="E84" s="478" t="str">
        <f>VLOOKUP(B84,All!$B$4:$S$8977,4,FALSE)</f>
        <v>KORN</v>
      </c>
      <c r="F84" s="479" t="str">
        <f>VLOOKUP(B84,All!$B$4:$S$8977,5,FALSE)</f>
        <v>SREY OUN</v>
      </c>
      <c r="G84" s="479" t="str">
        <f>VLOOKUP(B84,All!$B$4:$S$8977,6,FALSE)</f>
        <v>F</v>
      </c>
      <c r="H84" s="385">
        <f>VLOOKUP(B84,All!$B$4:$S$8977,7,FALSE)</f>
        <v>36622</v>
      </c>
      <c r="I84" s="154">
        <f>VLOOKUP(B84,All!$B$4:$S$8977,8,FALSE)</f>
        <v>42340</v>
      </c>
      <c r="J84" s="154" t="str">
        <f>VLOOKUP(B84,All!$B$4:$S$8977,9,FALSE)</f>
        <v>Production</v>
      </c>
      <c r="K84" s="154" t="str">
        <f>VLOOKUP(B84,All!$B$4:$S$8977,10,FALSE)</f>
        <v>Line9</v>
      </c>
      <c r="L84" s="698" t="str">
        <f>VLOOKUP(B84,All!$B$4:$S$8977,11,FALSE)</f>
        <v>Sewing operator</v>
      </c>
      <c r="M84" s="570">
        <f>VLOOKUP(B84,All!$B$4:$S$8977,12,FALSE)</f>
        <v>192</v>
      </c>
      <c r="N84" s="18">
        <f>VLOOKUP(B84,All!$B$4:$S$8977,13,FALSE)</f>
        <v>7</v>
      </c>
      <c r="O84" s="18">
        <f>VLOOKUP(B84,All!$B$4:$S$8977,14,FALSE)</f>
        <v>20</v>
      </c>
      <c r="P84" s="18">
        <f>VLOOKUP(B84,All!$B$4:$S$8977,15,FALSE)</f>
        <v>0</v>
      </c>
      <c r="Q84" s="18">
        <f>VLOOKUP(B84,All!$B$4:$S$8977,16,FALSE)</f>
        <v>0</v>
      </c>
      <c r="R84" s="18">
        <v>7</v>
      </c>
      <c r="S84" s="18">
        <v>10</v>
      </c>
      <c r="T84" s="550">
        <f t="shared" si="19"/>
        <v>236</v>
      </c>
      <c r="U84" s="568"/>
      <c r="V84" s="3"/>
      <c r="W84" s="3"/>
      <c r="X84" s="3"/>
      <c r="Y84" s="562"/>
      <c r="Z84" s="570">
        <f t="shared" si="12"/>
        <v>194</v>
      </c>
      <c r="AA84" s="18">
        <f t="shared" si="13"/>
        <v>7</v>
      </c>
      <c r="AB84" s="18">
        <f t="shared" si="14"/>
        <v>20</v>
      </c>
      <c r="AC84" s="18">
        <f t="shared" si="15"/>
        <v>0</v>
      </c>
      <c r="AD84" s="18">
        <f t="shared" si="16"/>
        <v>0</v>
      </c>
      <c r="AE84" s="18">
        <f t="shared" si="17"/>
        <v>7</v>
      </c>
      <c r="AF84" s="18">
        <f t="shared" si="17"/>
        <v>10</v>
      </c>
      <c r="AG84" s="550">
        <f t="shared" si="11"/>
        <v>238</v>
      </c>
      <c r="AH84" s="42">
        <v>2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2</v>
      </c>
    </row>
    <row r="85" spans="1:41" ht="24" customHeight="1">
      <c r="A85" s="11">
        <f t="shared" si="18"/>
        <v>82</v>
      </c>
      <c r="B85" s="8">
        <v>1408</v>
      </c>
      <c r="C85" s="478" t="str">
        <f>VLOOKUP(B85,All!$B$4:$S$8977,2,FALSE)</f>
        <v>សាន់</v>
      </c>
      <c r="D85" s="479" t="str">
        <f>VLOOKUP(B85,All!$B$4:$S$89977,3,FALSE)</f>
        <v>សម្ផស្ស</v>
      </c>
      <c r="E85" s="478" t="str">
        <f>VLOOKUP(B85,All!$B$4:$S$8977,4,FALSE)</f>
        <v>SANN</v>
      </c>
      <c r="F85" s="479" t="str">
        <f>VLOOKUP(B85,All!$B$4:$S$8977,5,FALSE)</f>
        <v>SAMPHORS</v>
      </c>
      <c r="G85" s="479" t="str">
        <f>VLOOKUP(B85,All!$B$4:$S$8977,6,FALSE)</f>
        <v>F</v>
      </c>
      <c r="H85" s="385">
        <f>VLOOKUP(B85,All!$B$4:$S$8977,7,FALSE)</f>
        <v>35621</v>
      </c>
      <c r="I85" s="154">
        <f>VLOOKUP(B85,All!$B$4:$S$8977,8,FALSE)</f>
        <v>42342</v>
      </c>
      <c r="J85" s="154" t="str">
        <f>VLOOKUP(B85,All!$B$4:$S$8977,9,FALSE)</f>
        <v>Production</v>
      </c>
      <c r="K85" s="154" t="str">
        <f>VLOOKUP(B85,All!$B$4:$S$8977,10,FALSE)</f>
        <v>QC  A</v>
      </c>
      <c r="L85" s="698" t="str">
        <f>VLOOKUP(B85,All!$B$4:$S$8977,11,FALSE)</f>
        <v>Inspector</v>
      </c>
      <c r="M85" s="570">
        <f>VLOOKUP(B85,All!$B$4:$S$8977,12,FALSE)</f>
        <v>192</v>
      </c>
      <c r="N85" s="18">
        <f>VLOOKUP(B85,All!$B$4:$S$8977,13,FALSE)</f>
        <v>7</v>
      </c>
      <c r="O85" s="18">
        <f>VLOOKUP(B85,All!$B$4:$S$8977,14,FALSE)</f>
        <v>20</v>
      </c>
      <c r="P85" s="18">
        <f>VLOOKUP(B85,All!$B$4:$S$8977,15,FALSE)</f>
        <v>0</v>
      </c>
      <c r="Q85" s="18">
        <f>VLOOKUP(B85,All!$B$4:$S$8977,16,FALSE)</f>
        <v>0</v>
      </c>
      <c r="R85" s="18">
        <v>7</v>
      </c>
      <c r="S85" s="18">
        <v>10</v>
      </c>
      <c r="T85" s="550">
        <f t="shared" si="19"/>
        <v>236</v>
      </c>
      <c r="U85" s="568"/>
      <c r="V85" s="3"/>
      <c r="W85" s="3"/>
      <c r="X85" s="3"/>
      <c r="Y85" s="562"/>
      <c r="Z85" s="570">
        <f t="shared" si="12"/>
        <v>194</v>
      </c>
      <c r="AA85" s="18">
        <f t="shared" si="13"/>
        <v>7</v>
      </c>
      <c r="AB85" s="18">
        <f t="shared" si="14"/>
        <v>20</v>
      </c>
      <c r="AC85" s="18">
        <f t="shared" si="15"/>
        <v>0</v>
      </c>
      <c r="AD85" s="18">
        <f t="shared" si="16"/>
        <v>0</v>
      </c>
      <c r="AE85" s="18">
        <f t="shared" si="17"/>
        <v>7</v>
      </c>
      <c r="AF85" s="18">
        <f t="shared" si="17"/>
        <v>10</v>
      </c>
      <c r="AG85" s="550">
        <f t="shared" si="11"/>
        <v>238</v>
      </c>
      <c r="AH85" s="42">
        <v>2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2</v>
      </c>
    </row>
    <row r="86" spans="1:41" ht="24" customHeight="1">
      <c r="A86" s="11">
        <f t="shared" si="18"/>
        <v>83</v>
      </c>
      <c r="B86" s="8">
        <v>1427</v>
      </c>
      <c r="C86" s="478" t="str">
        <f>VLOOKUP(B86,All!$B$4:$S$8977,2,FALSE)</f>
        <v>គឹម</v>
      </c>
      <c r="D86" s="479" t="str">
        <f>VLOOKUP(B86,All!$B$4:$S$89977,3,FALSE)</f>
        <v>រតនា</v>
      </c>
      <c r="E86" s="478" t="str">
        <f>VLOOKUP(B86,All!$B$4:$S$8977,4,FALSE)</f>
        <v xml:space="preserve">KIM </v>
      </c>
      <c r="F86" s="479" t="str">
        <f>VLOOKUP(B86,All!$B$4:$S$8977,5,FALSE)</f>
        <v>RATHNA</v>
      </c>
      <c r="G86" s="479" t="str">
        <f>VLOOKUP(B86,All!$B$4:$S$8977,6,FALSE)</f>
        <v>F</v>
      </c>
      <c r="H86" s="385">
        <f>VLOOKUP(B86,All!$B$4:$S$8977,7,FALSE)</f>
        <v>32621</v>
      </c>
      <c r="I86" s="154">
        <f>VLOOKUP(B86,All!$B$4:$S$8977,8,FALSE)</f>
        <v>42353</v>
      </c>
      <c r="J86" s="154" t="str">
        <f>VLOOKUP(B86,All!$B$4:$S$8977,9,FALSE)</f>
        <v>Production</v>
      </c>
      <c r="K86" s="154" t="str">
        <f>VLOOKUP(B86,All!$B$4:$S$8977,10,FALSE)</f>
        <v xml:space="preserve"> Line6</v>
      </c>
      <c r="L86" s="698" t="str">
        <f>VLOOKUP(B86,All!$B$4:$S$8977,11,FALSE)</f>
        <v>Sewing operator</v>
      </c>
      <c r="M86" s="570">
        <f>VLOOKUP(B86,All!$B$4:$S$8977,12,FALSE)</f>
        <v>192</v>
      </c>
      <c r="N86" s="18">
        <f>VLOOKUP(B86,All!$B$4:$S$8977,13,FALSE)</f>
        <v>7</v>
      </c>
      <c r="O86" s="18">
        <f>VLOOKUP(B86,All!$B$4:$S$8977,14,FALSE)</f>
        <v>20</v>
      </c>
      <c r="P86" s="18">
        <f>VLOOKUP(B86,All!$B$4:$S$8977,15,FALSE)</f>
        <v>0</v>
      </c>
      <c r="Q86" s="18">
        <f>VLOOKUP(B86,All!$B$4:$S$8977,16,FALSE)</f>
        <v>0</v>
      </c>
      <c r="R86" s="18">
        <v>7</v>
      </c>
      <c r="S86" s="18">
        <v>10</v>
      </c>
      <c r="T86" s="550">
        <f t="shared" si="19"/>
        <v>236</v>
      </c>
      <c r="U86" s="568"/>
      <c r="V86" s="3"/>
      <c r="W86" s="3"/>
      <c r="X86" s="3"/>
      <c r="Y86" s="562"/>
      <c r="Z86" s="570">
        <f t="shared" si="12"/>
        <v>194</v>
      </c>
      <c r="AA86" s="18">
        <f t="shared" si="13"/>
        <v>7</v>
      </c>
      <c r="AB86" s="18">
        <f t="shared" si="14"/>
        <v>20</v>
      </c>
      <c r="AC86" s="18">
        <f t="shared" si="15"/>
        <v>0</v>
      </c>
      <c r="AD86" s="18">
        <f t="shared" si="16"/>
        <v>0</v>
      </c>
      <c r="AE86" s="18">
        <f t="shared" si="17"/>
        <v>7</v>
      </c>
      <c r="AF86" s="18">
        <f t="shared" si="17"/>
        <v>10</v>
      </c>
      <c r="AG86" s="550">
        <f t="shared" si="11"/>
        <v>238</v>
      </c>
      <c r="AH86" s="42">
        <v>2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2</v>
      </c>
    </row>
    <row r="87" spans="1:41" ht="24" customHeight="1">
      <c r="A87" s="11">
        <f t="shared" si="18"/>
        <v>84</v>
      </c>
      <c r="B87" s="8">
        <v>1445</v>
      </c>
      <c r="C87" s="478" t="str">
        <f>VLOOKUP(B87,All!$B$4:$S$8977,2,FALSE)</f>
        <v>មឿង</v>
      </c>
      <c r="D87" s="479" t="str">
        <f>VLOOKUP(B87,All!$B$4:$S$89977,3,FALSE)</f>
        <v>តារា</v>
      </c>
      <c r="E87" s="478" t="str">
        <f>VLOOKUP(B87,All!$B$4:$S$8977,4,FALSE)</f>
        <v>MOEUNG</v>
      </c>
      <c r="F87" s="479" t="str">
        <f>VLOOKUP(B87,All!$B$4:$S$8977,5,FALSE)</f>
        <v>DARA</v>
      </c>
      <c r="G87" s="479" t="str">
        <f>VLOOKUP(B87,All!$B$4:$S$8977,6,FALSE)</f>
        <v>F</v>
      </c>
      <c r="H87" s="385">
        <f>VLOOKUP(B87,All!$B$4:$S$8977,7,FALSE)</f>
        <v>29024</v>
      </c>
      <c r="I87" s="154">
        <f>VLOOKUP(B87,All!$B$4:$S$8977,8,FALSE)</f>
        <v>42360</v>
      </c>
      <c r="J87" s="154" t="str">
        <f>VLOOKUP(B87,All!$B$4:$S$8977,9,FALSE)</f>
        <v>Production</v>
      </c>
      <c r="K87" s="154" t="str">
        <f>VLOOKUP(B87,All!$B$4:$S$8977,10,FALSE)</f>
        <v xml:space="preserve"> Line18</v>
      </c>
      <c r="L87" s="698" t="str">
        <f>VLOOKUP(B87,All!$B$4:$S$8977,11,FALSE)</f>
        <v>Sewing operator</v>
      </c>
      <c r="M87" s="570">
        <f>VLOOKUP(B87,All!$B$4:$S$8977,12,FALSE)</f>
        <v>192</v>
      </c>
      <c r="N87" s="18">
        <f>VLOOKUP(B87,All!$B$4:$S$8977,13,FALSE)</f>
        <v>7</v>
      </c>
      <c r="O87" s="18">
        <f>VLOOKUP(B87,All!$B$4:$S$8977,14,FALSE)</f>
        <v>20</v>
      </c>
      <c r="P87" s="18">
        <f>VLOOKUP(B87,All!$B$4:$S$8977,15,FALSE)</f>
        <v>0</v>
      </c>
      <c r="Q87" s="18">
        <f>VLOOKUP(B87,All!$B$4:$S$8977,16,FALSE)</f>
        <v>0</v>
      </c>
      <c r="R87" s="18">
        <v>7</v>
      </c>
      <c r="S87" s="18">
        <v>10</v>
      </c>
      <c r="T87" s="550">
        <f t="shared" si="19"/>
        <v>236</v>
      </c>
      <c r="U87" s="568"/>
      <c r="V87" s="3"/>
      <c r="W87" s="3"/>
      <c r="X87" s="3"/>
      <c r="Y87" s="562"/>
      <c r="Z87" s="570">
        <f t="shared" si="12"/>
        <v>194</v>
      </c>
      <c r="AA87" s="18">
        <f t="shared" si="13"/>
        <v>7</v>
      </c>
      <c r="AB87" s="18">
        <f t="shared" si="14"/>
        <v>20</v>
      </c>
      <c r="AC87" s="18">
        <f t="shared" si="15"/>
        <v>0</v>
      </c>
      <c r="AD87" s="18">
        <f t="shared" si="16"/>
        <v>0</v>
      </c>
      <c r="AE87" s="18">
        <f t="shared" ref="AE87:AF118" si="20">R87</f>
        <v>7</v>
      </c>
      <c r="AF87" s="18">
        <f t="shared" si="20"/>
        <v>10</v>
      </c>
      <c r="AG87" s="550">
        <f t="shared" si="11"/>
        <v>238</v>
      </c>
      <c r="AH87" s="42">
        <v>2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2</v>
      </c>
    </row>
    <row r="88" spans="1:41" ht="24" customHeight="1">
      <c r="A88" s="11">
        <f t="shared" si="18"/>
        <v>85</v>
      </c>
      <c r="B88" s="8">
        <v>1466</v>
      </c>
      <c r="C88" s="478" t="str">
        <f>VLOOKUP(B88,All!$B$4:$S$8977,2,FALSE)</f>
        <v>សុខ</v>
      </c>
      <c r="D88" s="479" t="str">
        <f>VLOOKUP(B88,All!$B$4:$S$89977,3,FALSE)</f>
        <v>ផារី</v>
      </c>
      <c r="E88" s="478" t="str">
        <f>VLOOKUP(B88,All!$B$4:$S$8977,4,FALSE)</f>
        <v>SOK</v>
      </c>
      <c r="F88" s="479" t="str">
        <f>VLOOKUP(B88,All!$B$4:$S$8977,5,FALSE)</f>
        <v>PHARY</v>
      </c>
      <c r="G88" s="479" t="str">
        <f>VLOOKUP(B88,All!$B$4:$S$8977,6,FALSE)</f>
        <v>F</v>
      </c>
      <c r="H88" s="385">
        <f>VLOOKUP(B88,All!$B$4:$S$8977,7,FALSE)</f>
        <v>32525</v>
      </c>
      <c r="I88" s="154">
        <f>VLOOKUP(B88,All!$B$4:$S$8977,8,FALSE)</f>
        <v>42388</v>
      </c>
      <c r="J88" s="154" t="str">
        <f>VLOOKUP(B88,All!$B$4:$S$8977,9,FALSE)</f>
        <v>Production</v>
      </c>
      <c r="K88" s="154" t="str">
        <f>VLOOKUP(B88,All!$B$4:$S$8977,10,FALSE)</f>
        <v xml:space="preserve"> Line19</v>
      </c>
      <c r="L88" s="698" t="str">
        <f>VLOOKUP(B88,All!$B$4:$S$8977,11,FALSE)</f>
        <v>Sewing operator</v>
      </c>
      <c r="M88" s="570">
        <f>VLOOKUP(B88,All!$B$4:$S$8977,12,FALSE)</f>
        <v>192</v>
      </c>
      <c r="N88" s="18">
        <f>VLOOKUP(B88,All!$B$4:$S$8977,13,FALSE)</f>
        <v>6</v>
      </c>
      <c r="O88" s="18">
        <f>VLOOKUP(B88,All!$B$4:$S$8977,14,FALSE)</f>
        <v>20</v>
      </c>
      <c r="P88" s="18">
        <f>VLOOKUP(B88,All!$B$4:$S$8977,15,FALSE)</f>
        <v>0</v>
      </c>
      <c r="Q88" s="18">
        <f>VLOOKUP(B88,All!$B$4:$S$8977,16,FALSE)</f>
        <v>0</v>
      </c>
      <c r="R88" s="18">
        <v>7</v>
      </c>
      <c r="S88" s="18">
        <v>10</v>
      </c>
      <c r="T88" s="550">
        <f t="shared" si="19"/>
        <v>235</v>
      </c>
      <c r="U88" s="568"/>
      <c r="V88" s="3"/>
      <c r="W88" s="3"/>
      <c r="X88" s="3"/>
      <c r="Y88" s="562"/>
      <c r="Z88" s="570">
        <f t="shared" si="12"/>
        <v>194</v>
      </c>
      <c r="AA88" s="18">
        <f t="shared" si="13"/>
        <v>6</v>
      </c>
      <c r="AB88" s="18">
        <f t="shared" si="14"/>
        <v>20</v>
      </c>
      <c r="AC88" s="18">
        <f t="shared" si="15"/>
        <v>0</v>
      </c>
      <c r="AD88" s="18">
        <f t="shared" si="16"/>
        <v>0</v>
      </c>
      <c r="AE88" s="18">
        <f t="shared" si="20"/>
        <v>7</v>
      </c>
      <c r="AF88" s="18">
        <f t="shared" si="20"/>
        <v>10</v>
      </c>
      <c r="AG88" s="550">
        <f t="shared" si="11"/>
        <v>237</v>
      </c>
      <c r="AH88" s="42">
        <v>2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2</v>
      </c>
    </row>
    <row r="89" spans="1:41" ht="24" customHeight="1">
      <c r="A89" s="11">
        <f t="shared" si="18"/>
        <v>86</v>
      </c>
      <c r="B89" s="8">
        <v>1481</v>
      </c>
      <c r="C89" s="478" t="str">
        <f>VLOOKUP(B89,All!$B$4:$S$8977,2,FALSE)</f>
        <v>សោម</v>
      </c>
      <c r="D89" s="479" t="str">
        <f>VLOOKUP(B89,All!$B$4:$S$89977,3,FALSE)</f>
        <v>ចន្នា</v>
      </c>
      <c r="E89" s="478" t="str">
        <f>VLOOKUP(B89,All!$B$4:$S$8977,4,FALSE)</f>
        <v>SORM</v>
      </c>
      <c r="F89" s="479" t="str">
        <f>VLOOKUP(B89,All!$B$4:$S$8977,5,FALSE)</f>
        <v>CHANNA</v>
      </c>
      <c r="G89" s="479" t="str">
        <f>VLOOKUP(B89,All!$B$4:$S$8977,6,FALSE)</f>
        <v>F</v>
      </c>
      <c r="H89" s="385">
        <f>VLOOKUP(B89,All!$B$4:$S$8977,7,FALSE)</f>
        <v>31249</v>
      </c>
      <c r="I89" s="154">
        <f>VLOOKUP(B89,All!$B$4:$S$8977,8,FALSE)</f>
        <v>42402</v>
      </c>
      <c r="J89" s="154" t="str">
        <f>VLOOKUP(B89,All!$B$4:$S$8977,9,FALSE)</f>
        <v>Production</v>
      </c>
      <c r="K89" s="154" t="str">
        <f>VLOOKUP(B89,All!$B$4:$S$8977,10,FALSE)</f>
        <v xml:space="preserve"> Line18</v>
      </c>
      <c r="L89" s="698" t="str">
        <f>VLOOKUP(B89,All!$B$4:$S$8977,11,FALSE)</f>
        <v>Sewing operator</v>
      </c>
      <c r="M89" s="570">
        <f>VLOOKUP(B89,All!$B$4:$S$8977,12,FALSE)</f>
        <v>192</v>
      </c>
      <c r="N89" s="18">
        <f>VLOOKUP(B89,All!$B$4:$S$8977,13,FALSE)</f>
        <v>6</v>
      </c>
      <c r="O89" s="18">
        <f>VLOOKUP(B89,All!$B$4:$S$8977,14,FALSE)</f>
        <v>20</v>
      </c>
      <c r="P89" s="18">
        <f>VLOOKUP(B89,All!$B$4:$S$8977,15,FALSE)</f>
        <v>0</v>
      </c>
      <c r="Q89" s="18">
        <f>VLOOKUP(B89,All!$B$4:$S$8977,16,FALSE)</f>
        <v>0</v>
      </c>
      <c r="R89" s="18">
        <v>7</v>
      </c>
      <c r="S89" s="18">
        <v>10</v>
      </c>
      <c r="T89" s="550">
        <f t="shared" si="19"/>
        <v>235</v>
      </c>
      <c r="U89" s="568"/>
      <c r="V89" s="3"/>
      <c r="W89" s="3"/>
      <c r="X89" s="3"/>
      <c r="Y89" s="562"/>
      <c r="Z89" s="570">
        <f t="shared" si="12"/>
        <v>194</v>
      </c>
      <c r="AA89" s="18">
        <f t="shared" si="13"/>
        <v>6</v>
      </c>
      <c r="AB89" s="18">
        <f t="shared" si="14"/>
        <v>20</v>
      </c>
      <c r="AC89" s="18">
        <f t="shared" si="15"/>
        <v>0</v>
      </c>
      <c r="AD89" s="18">
        <f t="shared" si="16"/>
        <v>0</v>
      </c>
      <c r="AE89" s="18">
        <f t="shared" si="20"/>
        <v>7</v>
      </c>
      <c r="AF89" s="18">
        <f t="shared" si="20"/>
        <v>10</v>
      </c>
      <c r="AG89" s="550">
        <f t="shared" si="11"/>
        <v>237</v>
      </c>
      <c r="AH89" s="42">
        <v>2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2</v>
      </c>
    </row>
    <row r="90" spans="1:41" ht="24" customHeight="1">
      <c r="A90" s="11">
        <f t="shared" si="18"/>
        <v>87</v>
      </c>
      <c r="B90" s="8">
        <v>1486</v>
      </c>
      <c r="C90" s="478" t="str">
        <f>VLOOKUP(B90,All!$B$4:$S$8977,2,FALSE)</f>
        <v>សុក</v>
      </c>
      <c r="D90" s="479" t="str">
        <f>VLOOKUP(B90,All!$B$4:$S$89977,3,FALSE)</f>
        <v>រ័ត្ន</v>
      </c>
      <c r="E90" s="478" t="str">
        <f>VLOOKUP(B90,All!$B$4:$S$8977,4,FALSE)</f>
        <v>SOK</v>
      </c>
      <c r="F90" s="479" t="str">
        <f>VLOOKUP(B90,All!$B$4:$S$8977,5,FALSE)</f>
        <v>ROTH</v>
      </c>
      <c r="G90" s="479" t="str">
        <f>VLOOKUP(B90,All!$B$4:$S$8977,6,FALSE)</f>
        <v>F</v>
      </c>
      <c r="H90" s="385">
        <f>VLOOKUP(B90,All!$B$4:$S$8977,7,FALSE)</f>
        <v>33522</v>
      </c>
      <c r="I90" s="154">
        <f>VLOOKUP(B90,All!$B$4:$S$8977,8,FALSE)</f>
        <v>42409</v>
      </c>
      <c r="J90" s="154" t="str">
        <f>VLOOKUP(B90,All!$B$4:$S$8977,9,FALSE)</f>
        <v>Production</v>
      </c>
      <c r="K90" s="154" t="str">
        <f>VLOOKUP(B90,All!$B$4:$S$8977,10,FALSE)</f>
        <v xml:space="preserve"> Line19</v>
      </c>
      <c r="L90" s="698" t="str">
        <f>VLOOKUP(B90,All!$B$4:$S$8977,11,FALSE)</f>
        <v>Sewing operator</v>
      </c>
      <c r="M90" s="570">
        <f>VLOOKUP(B90,All!$B$4:$S$8977,12,FALSE)</f>
        <v>192</v>
      </c>
      <c r="N90" s="18">
        <f>VLOOKUP(B90,All!$B$4:$S$8977,13,FALSE)</f>
        <v>6</v>
      </c>
      <c r="O90" s="18">
        <f>VLOOKUP(B90,All!$B$4:$S$8977,14,FALSE)</f>
        <v>20</v>
      </c>
      <c r="P90" s="18">
        <f>VLOOKUP(B90,All!$B$4:$S$8977,15,FALSE)</f>
        <v>0</v>
      </c>
      <c r="Q90" s="18">
        <f>VLOOKUP(B90,All!$B$4:$S$8977,16,FALSE)</f>
        <v>0</v>
      </c>
      <c r="R90" s="18">
        <v>7</v>
      </c>
      <c r="S90" s="18">
        <v>10</v>
      </c>
      <c r="T90" s="550">
        <f t="shared" si="19"/>
        <v>235</v>
      </c>
      <c r="U90" s="568"/>
      <c r="V90" s="3"/>
      <c r="W90" s="3"/>
      <c r="X90" s="3"/>
      <c r="Y90" s="562"/>
      <c r="Z90" s="570">
        <f t="shared" si="12"/>
        <v>194</v>
      </c>
      <c r="AA90" s="18">
        <f t="shared" si="13"/>
        <v>6</v>
      </c>
      <c r="AB90" s="18">
        <f t="shared" si="14"/>
        <v>20</v>
      </c>
      <c r="AC90" s="18">
        <f t="shared" si="15"/>
        <v>0</v>
      </c>
      <c r="AD90" s="18">
        <f t="shared" si="16"/>
        <v>0</v>
      </c>
      <c r="AE90" s="18">
        <f t="shared" si="20"/>
        <v>7</v>
      </c>
      <c r="AF90" s="18">
        <f t="shared" si="20"/>
        <v>10</v>
      </c>
      <c r="AG90" s="550">
        <f t="shared" si="11"/>
        <v>237</v>
      </c>
      <c r="AH90" s="42">
        <v>2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2</v>
      </c>
    </row>
    <row r="91" spans="1:41" ht="24" customHeight="1">
      <c r="A91" s="11">
        <f t="shared" si="18"/>
        <v>88</v>
      </c>
      <c r="B91" s="8">
        <v>1522</v>
      </c>
      <c r="C91" s="478" t="str">
        <f>VLOOKUP(B91,All!$B$4:$S$8977,2,FALSE)</f>
        <v>ប៉ាន់</v>
      </c>
      <c r="D91" s="479" t="str">
        <f>VLOOKUP(B91,All!$B$4:$S$89977,3,FALSE)</f>
        <v>ស៊ីឌឿន</v>
      </c>
      <c r="E91" s="478" t="str">
        <f>VLOOKUP(B91,All!$B$4:$S$8977,4,FALSE)</f>
        <v>PANN</v>
      </c>
      <c r="F91" s="479" t="str">
        <f>VLOOKUP(B91,All!$B$4:$S$8977,5,FALSE)</f>
        <v>SIDOEUN</v>
      </c>
      <c r="G91" s="479" t="str">
        <f>VLOOKUP(B91,All!$B$4:$S$8977,6,FALSE)</f>
        <v>F</v>
      </c>
      <c r="H91" s="385">
        <f>VLOOKUP(B91,All!$B$4:$S$8977,7,FALSE)</f>
        <v>33351</v>
      </c>
      <c r="I91" s="154">
        <f>VLOOKUP(B91,All!$B$4:$S$8977,8,FALSE)</f>
        <v>42500</v>
      </c>
      <c r="J91" s="154" t="str">
        <f>VLOOKUP(B91,All!$B$4:$S$8977,9,FALSE)</f>
        <v>Production</v>
      </c>
      <c r="K91" s="154" t="str">
        <f>VLOOKUP(B91,All!$B$4:$S$8977,10,FALSE)</f>
        <v>QC B</v>
      </c>
      <c r="L91" s="698" t="str">
        <f>VLOOKUP(B91,All!$B$4:$S$8977,11,FALSE)</f>
        <v>Inspector</v>
      </c>
      <c r="M91" s="570">
        <f>VLOOKUP(B91,All!$B$4:$S$8977,12,FALSE)</f>
        <v>192</v>
      </c>
      <c r="N91" s="18">
        <f>VLOOKUP(B91,All!$B$4:$S$8977,13,FALSE)</f>
        <v>6</v>
      </c>
      <c r="O91" s="18">
        <f>VLOOKUP(B91,All!$B$4:$S$8977,14,FALSE)</f>
        <v>20</v>
      </c>
      <c r="P91" s="18">
        <f>VLOOKUP(B91,All!$B$4:$S$8977,15,FALSE)</f>
        <v>0</v>
      </c>
      <c r="Q91" s="18">
        <f>VLOOKUP(B91,All!$B$4:$S$8977,16,FALSE)</f>
        <v>0</v>
      </c>
      <c r="R91" s="18">
        <v>7</v>
      </c>
      <c r="S91" s="18">
        <v>10</v>
      </c>
      <c r="T91" s="550">
        <f t="shared" si="19"/>
        <v>235</v>
      </c>
      <c r="U91" s="568"/>
      <c r="V91" s="3"/>
      <c r="W91" s="3"/>
      <c r="X91" s="3"/>
      <c r="Y91" s="562"/>
      <c r="Z91" s="570">
        <f t="shared" si="12"/>
        <v>194</v>
      </c>
      <c r="AA91" s="18">
        <f t="shared" si="13"/>
        <v>6</v>
      </c>
      <c r="AB91" s="18">
        <f t="shared" si="14"/>
        <v>20</v>
      </c>
      <c r="AC91" s="18">
        <f t="shared" si="15"/>
        <v>0</v>
      </c>
      <c r="AD91" s="18">
        <f t="shared" si="16"/>
        <v>0</v>
      </c>
      <c r="AE91" s="18">
        <f t="shared" si="20"/>
        <v>7</v>
      </c>
      <c r="AF91" s="18">
        <f t="shared" si="20"/>
        <v>10</v>
      </c>
      <c r="AG91" s="550">
        <f t="shared" si="11"/>
        <v>237</v>
      </c>
      <c r="AH91" s="42">
        <v>2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2</v>
      </c>
    </row>
    <row r="92" spans="1:41" ht="24" customHeight="1">
      <c r="A92" s="11">
        <f t="shared" si="18"/>
        <v>89</v>
      </c>
      <c r="B92" s="8">
        <v>1531</v>
      </c>
      <c r="C92" s="478" t="str">
        <f>VLOOKUP(B92,All!$B$4:$S$8977,2,FALSE)</f>
        <v>ផេង</v>
      </c>
      <c r="D92" s="479" t="str">
        <f>VLOOKUP(B92,All!$B$4:$S$89977,3,FALSE)</f>
        <v>ដានី</v>
      </c>
      <c r="E92" s="478" t="str">
        <f>VLOOKUP(B92,All!$B$4:$S$8977,4,FALSE)</f>
        <v>PHENG</v>
      </c>
      <c r="F92" s="479" t="str">
        <f>VLOOKUP(B92,All!$B$4:$S$8977,5,FALSE)</f>
        <v>DANY</v>
      </c>
      <c r="G92" s="479" t="str">
        <f>VLOOKUP(B92,All!$B$4:$S$8977,6,FALSE)</f>
        <v>F</v>
      </c>
      <c r="H92" s="385">
        <f>VLOOKUP(B92,All!$B$4:$S$8977,7,FALSE)</f>
        <v>34586</v>
      </c>
      <c r="I92" s="154">
        <f>VLOOKUP(B92,All!$B$4:$S$8977,8,FALSE)</f>
        <v>42523</v>
      </c>
      <c r="J92" s="154" t="str">
        <f>VLOOKUP(B92,All!$B$4:$S$8977,9,FALSE)</f>
        <v>Production</v>
      </c>
      <c r="K92" s="154" t="str">
        <f>VLOOKUP(B92,All!$B$4:$S$8977,10,FALSE)</f>
        <v xml:space="preserve"> Line8</v>
      </c>
      <c r="L92" s="698" t="str">
        <f>VLOOKUP(B92,All!$B$4:$S$8977,11,FALSE)</f>
        <v>Sewing operator</v>
      </c>
      <c r="M92" s="570">
        <f>VLOOKUP(B92,All!$B$4:$S$8977,12,FALSE)</f>
        <v>192</v>
      </c>
      <c r="N92" s="18">
        <f>VLOOKUP(B92,All!$B$4:$S$8977,13,FALSE)</f>
        <v>6</v>
      </c>
      <c r="O92" s="18">
        <f>VLOOKUP(B92,All!$B$4:$S$8977,14,FALSE)</f>
        <v>20</v>
      </c>
      <c r="P92" s="18">
        <f>VLOOKUP(B92,All!$B$4:$S$8977,15,FALSE)</f>
        <v>0</v>
      </c>
      <c r="Q92" s="18">
        <f>VLOOKUP(B92,All!$B$4:$S$8977,16,FALSE)</f>
        <v>0</v>
      </c>
      <c r="R92" s="18">
        <v>7</v>
      </c>
      <c r="S92" s="18">
        <v>10</v>
      </c>
      <c r="T92" s="550">
        <f t="shared" si="19"/>
        <v>235</v>
      </c>
      <c r="U92" s="568"/>
      <c r="V92" s="3"/>
      <c r="W92" s="3"/>
      <c r="X92" s="3"/>
      <c r="Y92" s="562"/>
      <c r="Z92" s="570">
        <f t="shared" si="12"/>
        <v>194</v>
      </c>
      <c r="AA92" s="18">
        <f t="shared" si="13"/>
        <v>6</v>
      </c>
      <c r="AB92" s="18">
        <f t="shared" si="14"/>
        <v>20</v>
      </c>
      <c r="AC92" s="18">
        <f t="shared" si="15"/>
        <v>0</v>
      </c>
      <c r="AD92" s="18">
        <f t="shared" si="16"/>
        <v>0</v>
      </c>
      <c r="AE92" s="18">
        <f t="shared" si="20"/>
        <v>7</v>
      </c>
      <c r="AF92" s="18">
        <f t="shared" si="20"/>
        <v>10</v>
      </c>
      <c r="AG92" s="550">
        <f t="shared" si="11"/>
        <v>237</v>
      </c>
      <c r="AH92" s="42">
        <v>2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2</v>
      </c>
    </row>
    <row r="93" spans="1:41" ht="24" customHeight="1">
      <c r="A93" s="11">
        <f t="shared" si="18"/>
        <v>90</v>
      </c>
      <c r="B93" s="8">
        <v>1540</v>
      </c>
      <c r="C93" s="478" t="str">
        <f>VLOOKUP(B93,All!$B$4:$S$8977,2,FALSE)</f>
        <v>នាក់</v>
      </c>
      <c r="D93" s="479" t="str">
        <f>VLOOKUP(B93,All!$B$4:$S$89977,3,FALSE)</f>
        <v>ស្រីនិច្ច</v>
      </c>
      <c r="E93" s="478" t="str">
        <f>VLOOKUP(B93,All!$B$4:$S$8977,4,FALSE)</f>
        <v>NAK</v>
      </c>
      <c r="F93" s="479" t="str">
        <f>VLOOKUP(B93,All!$B$4:$S$8977,5,FALSE)</f>
        <v>SREYNECH</v>
      </c>
      <c r="G93" s="479" t="str">
        <f>VLOOKUP(B93,All!$B$4:$S$8977,6,FALSE)</f>
        <v>F</v>
      </c>
      <c r="H93" s="385">
        <f>VLOOKUP(B93,All!$B$4:$S$8977,7,FALSE)</f>
        <v>34552</v>
      </c>
      <c r="I93" s="154">
        <f>VLOOKUP(B93,All!$B$4:$S$8977,8,FALSE)</f>
        <v>42528</v>
      </c>
      <c r="J93" s="154" t="str">
        <f>VLOOKUP(B93,All!$B$4:$S$8977,9,FALSE)</f>
        <v>Production</v>
      </c>
      <c r="K93" s="154" t="str">
        <f>VLOOKUP(B93,All!$B$4:$S$8977,10,FALSE)</f>
        <v>Line9</v>
      </c>
      <c r="L93" s="698" t="str">
        <f>VLOOKUP(B93,All!$B$4:$S$8977,11,FALSE)</f>
        <v>Sewing operator</v>
      </c>
      <c r="M93" s="570">
        <f>VLOOKUP(B93,All!$B$4:$S$8977,12,FALSE)</f>
        <v>192</v>
      </c>
      <c r="N93" s="18">
        <f>VLOOKUP(B93,All!$B$4:$S$8977,13,FALSE)</f>
        <v>6</v>
      </c>
      <c r="O93" s="18">
        <f>VLOOKUP(B93,All!$B$4:$S$8977,14,FALSE)</f>
        <v>20</v>
      </c>
      <c r="P93" s="18">
        <f>VLOOKUP(B93,All!$B$4:$S$8977,15,FALSE)</f>
        <v>0</v>
      </c>
      <c r="Q93" s="18">
        <f>VLOOKUP(B93,All!$B$4:$S$8977,16,FALSE)</f>
        <v>0</v>
      </c>
      <c r="R93" s="18">
        <v>7</v>
      </c>
      <c r="S93" s="18">
        <v>10</v>
      </c>
      <c r="T93" s="550">
        <f t="shared" si="19"/>
        <v>235</v>
      </c>
      <c r="U93" s="568"/>
      <c r="V93" s="3"/>
      <c r="W93" s="3"/>
      <c r="X93" s="3"/>
      <c r="Y93" s="562"/>
      <c r="Z93" s="570">
        <f t="shared" si="12"/>
        <v>194</v>
      </c>
      <c r="AA93" s="18">
        <f t="shared" si="13"/>
        <v>6</v>
      </c>
      <c r="AB93" s="18">
        <f t="shared" si="14"/>
        <v>20</v>
      </c>
      <c r="AC93" s="18">
        <f t="shared" si="15"/>
        <v>0</v>
      </c>
      <c r="AD93" s="18">
        <f t="shared" si="16"/>
        <v>0</v>
      </c>
      <c r="AE93" s="18">
        <f t="shared" si="20"/>
        <v>7</v>
      </c>
      <c r="AF93" s="18">
        <f t="shared" si="20"/>
        <v>10</v>
      </c>
      <c r="AG93" s="550">
        <f t="shared" si="11"/>
        <v>237</v>
      </c>
      <c r="AH93" s="42">
        <v>2</v>
      </c>
      <c r="AI93" s="42">
        <v>0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2</v>
      </c>
    </row>
    <row r="94" spans="1:41" ht="24" customHeight="1">
      <c r="A94" s="11">
        <f t="shared" si="18"/>
        <v>91</v>
      </c>
      <c r="B94" s="8">
        <v>1553</v>
      </c>
      <c r="C94" s="478" t="str">
        <f>VLOOKUP(B94,All!$B$4:$S$8977,2,FALSE)</f>
        <v>សាក់</v>
      </c>
      <c r="D94" s="479" t="str">
        <f>VLOOKUP(B94,All!$B$4:$S$89977,3,FALSE)</f>
        <v>ចាន់រ៉ា</v>
      </c>
      <c r="E94" s="478" t="str">
        <f>VLOOKUP(B94,All!$B$4:$S$8977,4,FALSE)</f>
        <v>SAK</v>
      </c>
      <c r="F94" s="479" t="str">
        <f>VLOOKUP(B94,All!$B$4:$S$8977,5,FALSE)</f>
        <v>CHANRA</v>
      </c>
      <c r="G94" s="479" t="str">
        <f>VLOOKUP(B94,All!$B$4:$S$8977,6,FALSE)</f>
        <v>F</v>
      </c>
      <c r="H94" s="385">
        <f>VLOOKUP(B94,All!$B$4:$S$8977,7,FALSE)</f>
        <v>31240</v>
      </c>
      <c r="I94" s="154">
        <f>VLOOKUP(B94,All!$B$4:$S$8977,8,FALSE)</f>
        <v>42537</v>
      </c>
      <c r="J94" s="154" t="str">
        <f>VLOOKUP(B94,All!$B$4:$S$8977,9,FALSE)</f>
        <v>Production</v>
      </c>
      <c r="K94" s="154" t="str">
        <f>VLOOKUP(B94,All!$B$4:$S$8977,10,FALSE)</f>
        <v>Line9</v>
      </c>
      <c r="L94" s="698" t="str">
        <f>VLOOKUP(B94,All!$B$4:$S$8977,11,FALSE)</f>
        <v>Sewing operator</v>
      </c>
      <c r="M94" s="570">
        <f>VLOOKUP(B94,All!$B$4:$S$8977,12,FALSE)</f>
        <v>192</v>
      </c>
      <c r="N94" s="18">
        <f>VLOOKUP(B94,All!$B$4:$S$8977,13,FALSE)</f>
        <v>6</v>
      </c>
      <c r="O94" s="18">
        <f>VLOOKUP(B94,All!$B$4:$S$8977,14,FALSE)</f>
        <v>20</v>
      </c>
      <c r="P94" s="18">
        <f>VLOOKUP(B94,All!$B$4:$S$8977,15,FALSE)</f>
        <v>0</v>
      </c>
      <c r="Q94" s="18">
        <f>VLOOKUP(B94,All!$B$4:$S$8977,16,FALSE)</f>
        <v>0</v>
      </c>
      <c r="R94" s="18">
        <v>7</v>
      </c>
      <c r="S94" s="18">
        <v>10</v>
      </c>
      <c r="T94" s="550">
        <f t="shared" si="19"/>
        <v>235</v>
      </c>
      <c r="U94" s="568"/>
      <c r="V94" s="3"/>
      <c r="W94" s="3"/>
      <c r="X94" s="3"/>
      <c r="Y94" s="562"/>
      <c r="Z94" s="570">
        <f t="shared" si="12"/>
        <v>194</v>
      </c>
      <c r="AA94" s="18">
        <f t="shared" si="13"/>
        <v>6</v>
      </c>
      <c r="AB94" s="18">
        <f t="shared" si="14"/>
        <v>20</v>
      </c>
      <c r="AC94" s="18">
        <f t="shared" si="15"/>
        <v>0</v>
      </c>
      <c r="AD94" s="18">
        <f t="shared" si="16"/>
        <v>0</v>
      </c>
      <c r="AE94" s="18">
        <f t="shared" si="20"/>
        <v>7</v>
      </c>
      <c r="AF94" s="18">
        <f t="shared" si="20"/>
        <v>10</v>
      </c>
      <c r="AG94" s="550">
        <f t="shared" si="11"/>
        <v>237</v>
      </c>
      <c r="AH94" s="42">
        <v>2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2</v>
      </c>
    </row>
    <row r="95" spans="1:41" ht="24" customHeight="1">
      <c r="A95" s="11">
        <f t="shared" si="18"/>
        <v>92</v>
      </c>
      <c r="B95" s="8">
        <v>1559</v>
      </c>
      <c r="C95" s="478" t="str">
        <f>VLOOKUP(B95,All!$B$4:$S$8977,2,FALSE)</f>
        <v>ដៀប</v>
      </c>
      <c r="D95" s="479" t="str">
        <f>VLOOKUP(B95,All!$B$4:$S$89977,3,FALSE)</f>
        <v>អន</v>
      </c>
      <c r="E95" s="478" t="str">
        <f>VLOOKUP(B95,All!$B$4:$S$8977,4,FALSE)</f>
        <v>DIEB</v>
      </c>
      <c r="F95" s="479" t="str">
        <f>VLOOKUP(B95,All!$B$4:$S$8977,5,FALSE)</f>
        <v>ON</v>
      </c>
      <c r="G95" s="479" t="str">
        <f>VLOOKUP(B95,All!$B$4:$S$8977,6,FALSE)</f>
        <v>F</v>
      </c>
      <c r="H95" s="385">
        <f>VLOOKUP(B95,All!$B$4:$S$8977,7,FALSE)</f>
        <v>31459</v>
      </c>
      <c r="I95" s="154">
        <f>VLOOKUP(B95,All!$B$4:$S$8977,8,FALSE)</f>
        <v>42545</v>
      </c>
      <c r="J95" s="154" t="str">
        <f>VLOOKUP(B95,All!$B$4:$S$8977,9,FALSE)</f>
        <v>Production</v>
      </c>
      <c r="K95" s="154" t="str">
        <f>VLOOKUP(B95,All!$B$4:$S$8977,10,FALSE)</f>
        <v xml:space="preserve"> Line8</v>
      </c>
      <c r="L95" s="698" t="str">
        <f>VLOOKUP(B95,All!$B$4:$S$8977,11,FALSE)</f>
        <v>Sewing operator</v>
      </c>
      <c r="M95" s="570">
        <f>VLOOKUP(B95,All!$B$4:$S$8977,12,FALSE)</f>
        <v>192</v>
      </c>
      <c r="N95" s="18">
        <f>VLOOKUP(B95,All!$B$4:$S$8977,13,FALSE)</f>
        <v>6</v>
      </c>
      <c r="O95" s="18">
        <f>VLOOKUP(B95,All!$B$4:$S$8977,14,FALSE)</f>
        <v>20</v>
      </c>
      <c r="P95" s="18">
        <f>VLOOKUP(B95,All!$B$4:$S$8977,15,FALSE)</f>
        <v>0</v>
      </c>
      <c r="Q95" s="18">
        <f>VLOOKUP(B95,All!$B$4:$S$8977,16,FALSE)</f>
        <v>0</v>
      </c>
      <c r="R95" s="18">
        <v>7</v>
      </c>
      <c r="S95" s="18">
        <v>10</v>
      </c>
      <c r="T95" s="550">
        <f t="shared" si="19"/>
        <v>235</v>
      </c>
      <c r="U95" s="568"/>
      <c r="V95" s="3"/>
      <c r="W95" s="3"/>
      <c r="X95" s="3"/>
      <c r="Y95" s="562"/>
      <c r="Z95" s="570">
        <f t="shared" si="12"/>
        <v>194</v>
      </c>
      <c r="AA95" s="18">
        <f t="shared" si="13"/>
        <v>6</v>
      </c>
      <c r="AB95" s="18">
        <f t="shared" si="14"/>
        <v>20</v>
      </c>
      <c r="AC95" s="18">
        <f t="shared" si="15"/>
        <v>0</v>
      </c>
      <c r="AD95" s="18">
        <f t="shared" si="16"/>
        <v>0</v>
      </c>
      <c r="AE95" s="18">
        <f t="shared" si="20"/>
        <v>7</v>
      </c>
      <c r="AF95" s="18">
        <f t="shared" si="20"/>
        <v>10</v>
      </c>
      <c r="AG95" s="550">
        <f t="shared" si="11"/>
        <v>237</v>
      </c>
      <c r="AH95" s="42">
        <v>2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2</v>
      </c>
    </row>
    <row r="96" spans="1:41" ht="24" customHeight="1">
      <c r="A96" s="11">
        <f t="shared" si="18"/>
        <v>93</v>
      </c>
      <c r="B96" s="8">
        <v>1608</v>
      </c>
      <c r="C96" s="478" t="str">
        <f>VLOOKUP(B96,All!$B$4:$S$8977,2,FALSE)</f>
        <v>យ៉ាន់</v>
      </c>
      <c r="D96" s="479" t="str">
        <f>VLOOKUP(B96,All!$B$4:$S$89977,3,FALSE)</f>
        <v>ចាន់រី</v>
      </c>
      <c r="E96" s="478" t="str">
        <f>VLOOKUP(B96,All!$B$4:$S$8977,4,FALSE)</f>
        <v>YANN</v>
      </c>
      <c r="F96" s="479" t="str">
        <f>VLOOKUP(B96,All!$B$4:$S$8977,5,FALSE)</f>
        <v>CHANRY</v>
      </c>
      <c r="G96" s="479" t="str">
        <f>VLOOKUP(B96,All!$B$4:$S$8977,6,FALSE)</f>
        <v>F</v>
      </c>
      <c r="H96" s="385">
        <f>VLOOKUP(B96,All!$B$4:$S$8977,7,FALSE)</f>
        <v>31124</v>
      </c>
      <c r="I96" s="154">
        <f>VLOOKUP(B96,All!$B$4:$S$8977,8,FALSE)</f>
        <v>42615</v>
      </c>
      <c r="J96" s="154" t="str">
        <f>VLOOKUP(B96,All!$B$4:$S$8977,9,FALSE)</f>
        <v>Production</v>
      </c>
      <c r="K96" s="154" t="str">
        <f>VLOOKUP(B96,All!$B$4:$S$8977,10,FALSE)</f>
        <v>Line17</v>
      </c>
      <c r="L96" s="698" t="str">
        <f>VLOOKUP(B96,All!$B$4:$S$8977,11,FALSE)</f>
        <v>Sewing operator</v>
      </c>
      <c r="M96" s="570">
        <f>VLOOKUP(B96,All!$B$4:$S$8977,12,FALSE)</f>
        <v>192</v>
      </c>
      <c r="N96" s="18">
        <f>VLOOKUP(B96,All!$B$4:$S$8977,13,FALSE)</f>
        <v>6</v>
      </c>
      <c r="O96" s="18">
        <f>VLOOKUP(B96,All!$B$4:$S$8977,14,FALSE)</f>
        <v>20</v>
      </c>
      <c r="P96" s="18">
        <f>VLOOKUP(B96,All!$B$4:$S$8977,15,FALSE)</f>
        <v>0</v>
      </c>
      <c r="Q96" s="18">
        <f>VLOOKUP(B96,All!$B$4:$S$8977,16,FALSE)</f>
        <v>0</v>
      </c>
      <c r="R96" s="18">
        <v>7</v>
      </c>
      <c r="S96" s="18">
        <v>10</v>
      </c>
      <c r="T96" s="550">
        <f t="shared" si="19"/>
        <v>235</v>
      </c>
      <c r="U96" s="568"/>
      <c r="V96" s="3"/>
      <c r="W96" s="3"/>
      <c r="X96" s="3"/>
      <c r="Y96" s="562"/>
      <c r="Z96" s="570">
        <f t="shared" si="12"/>
        <v>194</v>
      </c>
      <c r="AA96" s="18">
        <f t="shared" si="13"/>
        <v>6</v>
      </c>
      <c r="AB96" s="18">
        <f t="shared" si="14"/>
        <v>20</v>
      </c>
      <c r="AC96" s="18">
        <f t="shared" si="15"/>
        <v>0</v>
      </c>
      <c r="AD96" s="18">
        <f t="shared" si="16"/>
        <v>0</v>
      </c>
      <c r="AE96" s="18">
        <f t="shared" si="20"/>
        <v>7</v>
      </c>
      <c r="AF96" s="18">
        <f t="shared" si="20"/>
        <v>10</v>
      </c>
      <c r="AG96" s="550">
        <f t="shared" ref="AG96:AG141" si="21">SUM(Z96:AF96)</f>
        <v>237</v>
      </c>
      <c r="AH96" s="42">
        <v>2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2</v>
      </c>
    </row>
    <row r="97" spans="1:41" ht="24" customHeight="1">
      <c r="A97" s="11">
        <f t="shared" si="18"/>
        <v>94</v>
      </c>
      <c r="B97" s="8">
        <v>1611</v>
      </c>
      <c r="C97" s="478" t="str">
        <f>VLOOKUP(B97,All!$B$4:$S$8977,2,FALSE)</f>
        <v>ឃុន</v>
      </c>
      <c r="D97" s="479" t="str">
        <f>VLOOKUP(B97,All!$B$4:$S$89977,3,FALSE)</f>
        <v>អ៊ុយ</v>
      </c>
      <c r="E97" s="478" t="str">
        <f>VLOOKUP(B97,All!$B$4:$S$8977,4,FALSE)</f>
        <v>KHUN</v>
      </c>
      <c r="F97" s="479" t="str">
        <f>VLOOKUP(B97,All!$B$4:$S$8977,5,FALSE)</f>
        <v>UY</v>
      </c>
      <c r="G97" s="479" t="str">
        <f>VLOOKUP(B97,All!$B$4:$S$8977,6,FALSE)</f>
        <v>F</v>
      </c>
      <c r="H97" s="385">
        <f>VLOOKUP(B97,All!$B$4:$S$8977,7,FALSE)</f>
        <v>29315</v>
      </c>
      <c r="I97" s="154">
        <f>VLOOKUP(B97,All!$B$4:$S$8977,8,FALSE)</f>
        <v>42615</v>
      </c>
      <c r="J97" s="154" t="str">
        <f>VLOOKUP(B97,All!$B$4:$S$8977,9,FALSE)</f>
        <v>Production</v>
      </c>
      <c r="K97" s="154" t="str">
        <f>VLOOKUP(B97,All!$B$4:$S$8977,10,FALSE)</f>
        <v xml:space="preserve"> Line19</v>
      </c>
      <c r="L97" s="698" t="str">
        <f>VLOOKUP(B97,All!$B$4:$S$8977,11,FALSE)</f>
        <v>Sewing operator</v>
      </c>
      <c r="M97" s="570">
        <f>VLOOKUP(B97,All!$B$4:$S$8977,12,FALSE)</f>
        <v>192</v>
      </c>
      <c r="N97" s="18">
        <f>VLOOKUP(B97,All!$B$4:$S$8977,13,FALSE)</f>
        <v>6</v>
      </c>
      <c r="O97" s="18">
        <f>VLOOKUP(B97,All!$B$4:$S$8977,14,FALSE)</f>
        <v>20</v>
      </c>
      <c r="P97" s="18">
        <f>VLOOKUP(B97,All!$B$4:$S$8977,15,FALSE)</f>
        <v>0</v>
      </c>
      <c r="Q97" s="18">
        <f>VLOOKUP(B97,All!$B$4:$S$8977,16,FALSE)</f>
        <v>0</v>
      </c>
      <c r="R97" s="18">
        <v>7</v>
      </c>
      <c r="S97" s="18">
        <v>10</v>
      </c>
      <c r="T97" s="550">
        <f t="shared" si="19"/>
        <v>235</v>
      </c>
      <c r="U97" s="568"/>
      <c r="V97" s="3"/>
      <c r="W97" s="3"/>
      <c r="X97" s="3"/>
      <c r="Y97" s="562"/>
      <c r="Z97" s="570">
        <f t="shared" si="12"/>
        <v>194</v>
      </c>
      <c r="AA97" s="18">
        <f t="shared" si="13"/>
        <v>6</v>
      </c>
      <c r="AB97" s="18">
        <f t="shared" si="14"/>
        <v>20</v>
      </c>
      <c r="AC97" s="18">
        <f t="shared" si="15"/>
        <v>0</v>
      </c>
      <c r="AD97" s="18">
        <f t="shared" si="16"/>
        <v>0</v>
      </c>
      <c r="AE97" s="18">
        <f t="shared" si="20"/>
        <v>7</v>
      </c>
      <c r="AF97" s="18">
        <f t="shared" si="20"/>
        <v>10</v>
      </c>
      <c r="AG97" s="550">
        <f t="shared" si="21"/>
        <v>237</v>
      </c>
      <c r="AH97" s="42">
        <v>2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2</v>
      </c>
    </row>
    <row r="98" spans="1:41" ht="24" customHeight="1">
      <c r="A98" s="11">
        <f t="shared" si="18"/>
        <v>95</v>
      </c>
      <c r="B98" s="8">
        <v>1627</v>
      </c>
      <c r="C98" s="478" t="str">
        <f>VLOOKUP(B98,All!$B$4:$S$8977,2,FALSE)</f>
        <v>កូវ</v>
      </c>
      <c r="D98" s="479" t="str">
        <f>VLOOKUP(B98,All!$B$4:$S$89977,3,FALSE)</f>
        <v>សាឌី</v>
      </c>
      <c r="E98" s="478" t="str">
        <f>VLOOKUP(B98,All!$B$4:$S$8977,4,FALSE)</f>
        <v>KOV</v>
      </c>
      <c r="F98" s="479" t="str">
        <f>VLOOKUP(B98,All!$B$4:$S$8977,5,FALSE)</f>
        <v>SADY</v>
      </c>
      <c r="G98" s="479" t="str">
        <f>VLOOKUP(B98,All!$B$4:$S$8977,6,FALSE)</f>
        <v>F</v>
      </c>
      <c r="H98" s="385">
        <f>VLOOKUP(B98,All!$B$4:$S$8977,7,FALSE)</f>
        <v>29676</v>
      </c>
      <c r="I98" s="154">
        <f>VLOOKUP(B98,All!$B$4:$S$8977,8,FALSE)</f>
        <v>42656</v>
      </c>
      <c r="J98" s="154" t="str">
        <f>VLOOKUP(B98,All!$B$4:$S$8977,9,FALSE)</f>
        <v>Production</v>
      </c>
      <c r="K98" s="154" t="str">
        <f>VLOOKUP(B98,All!$B$4:$S$8977,10,FALSE)</f>
        <v xml:space="preserve"> Line19</v>
      </c>
      <c r="L98" s="698" t="str">
        <f>VLOOKUP(B98,All!$B$4:$S$8977,11,FALSE)</f>
        <v>Sewing operator</v>
      </c>
      <c r="M98" s="570">
        <f>VLOOKUP(B98,All!$B$4:$S$8977,12,FALSE)</f>
        <v>192</v>
      </c>
      <c r="N98" s="18">
        <f>VLOOKUP(B98,All!$B$4:$S$8977,13,FALSE)</f>
        <v>6</v>
      </c>
      <c r="O98" s="18">
        <f>VLOOKUP(B98,All!$B$4:$S$8977,14,FALSE)</f>
        <v>20</v>
      </c>
      <c r="P98" s="18">
        <f>VLOOKUP(B98,All!$B$4:$S$8977,15,FALSE)</f>
        <v>0</v>
      </c>
      <c r="Q98" s="18">
        <f>VLOOKUP(B98,All!$B$4:$S$8977,16,FALSE)</f>
        <v>0</v>
      </c>
      <c r="R98" s="18">
        <v>7</v>
      </c>
      <c r="S98" s="18">
        <v>10</v>
      </c>
      <c r="T98" s="550">
        <f t="shared" si="19"/>
        <v>235</v>
      </c>
      <c r="U98" s="568"/>
      <c r="V98" s="3"/>
      <c r="W98" s="3"/>
      <c r="X98" s="3"/>
      <c r="Y98" s="562"/>
      <c r="Z98" s="570">
        <f t="shared" si="12"/>
        <v>194</v>
      </c>
      <c r="AA98" s="18">
        <f t="shared" si="13"/>
        <v>6</v>
      </c>
      <c r="AB98" s="18">
        <f t="shared" si="14"/>
        <v>20</v>
      </c>
      <c r="AC98" s="18">
        <f t="shared" si="15"/>
        <v>0</v>
      </c>
      <c r="AD98" s="18">
        <f t="shared" si="16"/>
        <v>0</v>
      </c>
      <c r="AE98" s="18">
        <f t="shared" si="20"/>
        <v>7</v>
      </c>
      <c r="AF98" s="18">
        <f t="shared" si="20"/>
        <v>10</v>
      </c>
      <c r="AG98" s="550">
        <f t="shared" si="21"/>
        <v>237</v>
      </c>
      <c r="AH98" s="42">
        <v>2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2</v>
      </c>
    </row>
    <row r="99" spans="1:41" ht="24" customHeight="1">
      <c r="A99" s="11">
        <f t="shared" si="18"/>
        <v>96</v>
      </c>
      <c r="B99" s="8">
        <v>1637</v>
      </c>
      <c r="C99" s="478" t="str">
        <f>VLOOKUP(B99,All!$B$4:$S$8977,2,FALSE)</f>
        <v>ភូ</v>
      </c>
      <c r="D99" s="479" t="str">
        <f>VLOOKUP(B99,All!$B$4:$S$89977,3,FALSE)</f>
        <v>ដានី</v>
      </c>
      <c r="E99" s="478" t="str">
        <f>VLOOKUP(B99,All!$B$4:$S$8977,4,FALSE)</f>
        <v>PHOU</v>
      </c>
      <c r="F99" s="479" t="str">
        <f>VLOOKUP(B99,All!$B$4:$S$8977,5,FALSE)</f>
        <v>DANY</v>
      </c>
      <c r="G99" s="479" t="str">
        <f>VLOOKUP(B99,All!$B$4:$S$8977,6,FALSE)</f>
        <v>F</v>
      </c>
      <c r="H99" s="385">
        <f>VLOOKUP(B99,All!$B$4:$S$8977,7,FALSE)</f>
        <v>31307</v>
      </c>
      <c r="I99" s="154">
        <f>VLOOKUP(B99,All!$B$4:$S$8977,8,FALSE)</f>
        <v>42656</v>
      </c>
      <c r="J99" s="154" t="str">
        <f>VLOOKUP(B99,All!$B$4:$S$8977,9,FALSE)</f>
        <v>Production</v>
      </c>
      <c r="K99" s="154" t="str">
        <f>VLOOKUP(B99,All!$B$4:$S$8977,10,FALSE)</f>
        <v xml:space="preserve"> Line2</v>
      </c>
      <c r="L99" s="698" t="str">
        <f>VLOOKUP(B99,All!$B$4:$S$8977,11,FALSE)</f>
        <v>Sewing operator</v>
      </c>
      <c r="M99" s="570">
        <f>VLOOKUP(B99,All!$B$4:$S$8977,12,FALSE)</f>
        <v>192</v>
      </c>
      <c r="N99" s="18">
        <f>VLOOKUP(B99,All!$B$4:$S$8977,13,FALSE)</f>
        <v>6</v>
      </c>
      <c r="O99" s="18">
        <f>VLOOKUP(B99,All!$B$4:$S$8977,14,FALSE)</f>
        <v>20</v>
      </c>
      <c r="P99" s="18">
        <f>VLOOKUP(B99,All!$B$4:$S$8977,15,FALSE)</f>
        <v>0</v>
      </c>
      <c r="Q99" s="18">
        <f>VLOOKUP(B99,All!$B$4:$S$8977,16,FALSE)</f>
        <v>0</v>
      </c>
      <c r="R99" s="18">
        <v>7</v>
      </c>
      <c r="S99" s="18">
        <v>10</v>
      </c>
      <c r="T99" s="550">
        <f t="shared" si="19"/>
        <v>235</v>
      </c>
      <c r="U99" s="568"/>
      <c r="V99" s="3"/>
      <c r="W99" s="3"/>
      <c r="X99" s="3"/>
      <c r="Y99" s="562"/>
      <c r="Z99" s="570">
        <f t="shared" si="12"/>
        <v>194</v>
      </c>
      <c r="AA99" s="18">
        <f t="shared" si="13"/>
        <v>6</v>
      </c>
      <c r="AB99" s="18">
        <f t="shared" si="14"/>
        <v>20</v>
      </c>
      <c r="AC99" s="18">
        <f t="shared" si="15"/>
        <v>0</v>
      </c>
      <c r="AD99" s="18">
        <f t="shared" si="16"/>
        <v>0</v>
      </c>
      <c r="AE99" s="18">
        <f t="shared" si="20"/>
        <v>7</v>
      </c>
      <c r="AF99" s="18">
        <f t="shared" si="20"/>
        <v>10</v>
      </c>
      <c r="AG99" s="550">
        <f t="shared" si="21"/>
        <v>237</v>
      </c>
      <c r="AH99" s="42">
        <v>2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2</v>
      </c>
    </row>
    <row r="100" spans="1:41" ht="24" customHeight="1">
      <c r="A100" s="11">
        <f t="shared" si="18"/>
        <v>97</v>
      </c>
      <c r="B100" s="8">
        <v>1644</v>
      </c>
      <c r="C100" s="478" t="str">
        <f>VLOOKUP(B100,All!$B$4:$S$8977,2,FALSE)</f>
        <v>សេង</v>
      </c>
      <c r="D100" s="479" t="str">
        <f>VLOOKUP(B100,All!$B$4:$S$89977,3,FALSE)</f>
        <v>ណាវី</v>
      </c>
      <c r="E100" s="478" t="str">
        <f>VLOOKUP(B100,All!$B$4:$S$8977,4,FALSE)</f>
        <v>SENG</v>
      </c>
      <c r="F100" s="479" t="str">
        <f>VLOOKUP(B100,All!$B$4:$S$8977,5,FALSE)</f>
        <v>NAVY</v>
      </c>
      <c r="G100" s="479" t="str">
        <f>VLOOKUP(B100,All!$B$4:$S$8977,6,FALSE)</f>
        <v>F</v>
      </c>
      <c r="H100" s="385">
        <f>VLOOKUP(B100,All!$B$4:$S$8977,7,FALSE)</f>
        <v>28541</v>
      </c>
      <c r="I100" s="154">
        <f>VLOOKUP(B100,All!$B$4:$S$8977,8,FALSE)</f>
        <v>42657</v>
      </c>
      <c r="J100" s="154" t="str">
        <f>VLOOKUP(B100,All!$B$4:$S$8977,9,FALSE)</f>
        <v>Production</v>
      </c>
      <c r="K100" s="154" t="str">
        <f>VLOOKUP(B100,All!$B$4:$S$8977,10,FALSE)</f>
        <v>Line9</v>
      </c>
      <c r="L100" s="698" t="str">
        <f>VLOOKUP(B100,All!$B$4:$S$8977,11,FALSE)</f>
        <v>Sewing operator</v>
      </c>
      <c r="M100" s="570">
        <f>VLOOKUP(B100,All!$B$4:$S$8977,12,FALSE)</f>
        <v>192</v>
      </c>
      <c r="N100" s="18">
        <f>VLOOKUP(B100,All!$B$4:$S$8977,13,FALSE)</f>
        <v>6</v>
      </c>
      <c r="O100" s="18">
        <f>VLOOKUP(B100,All!$B$4:$S$8977,14,FALSE)</f>
        <v>20</v>
      </c>
      <c r="P100" s="18">
        <f>VLOOKUP(B100,All!$B$4:$S$8977,15,FALSE)</f>
        <v>0</v>
      </c>
      <c r="Q100" s="18">
        <f>VLOOKUP(B100,All!$B$4:$S$8977,16,FALSE)</f>
        <v>0</v>
      </c>
      <c r="R100" s="18">
        <v>7</v>
      </c>
      <c r="S100" s="18">
        <v>10</v>
      </c>
      <c r="T100" s="550">
        <f t="shared" si="19"/>
        <v>235</v>
      </c>
      <c r="U100" s="568"/>
      <c r="V100" s="3"/>
      <c r="W100" s="3"/>
      <c r="X100" s="3"/>
      <c r="Y100" s="562"/>
      <c r="Z100" s="570">
        <f t="shared" si="12"/>
        <v>194</v>
      </c>
      <c r="AA100" s="18">
        <f t="shared" si="13"/>
        <v>6</v>
      </c>
      <c r="AB100" s="18">
        <f t="shared" si="14"/>
        <v>20</v>
      </c>
      <c r="AC100" s="18">
        <f t="shared" si="15"/>
        <v>0</v>
      </c>
      <c r="AD100" s="18">
        <f t="shared" si="16"/>
        <v>0</v>
      </c>
      <c r="AE100" s="18">
        <f t="shared" si="20"/>
        <v>7</v>
      </c>
      <c r="AF100" s="18">
        <f t="shared" si="20"/>
        <v>10</v>
      </c>
      <c r="AG100" s="550">
        <f t="shared" si="21"/>
        <v>237</v>
      </c>
      <c r="AH100" s="42">
        <v>2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2</v>
      </c>
    </row>
    <row r="101" spans="1:41" ht="24" customHeight="1">
      <c r="A101" s="11">
        <f t="shared" si="18"/>
        <v>98</v>
      </c>
      <c r="B101" s="8">
        <v>1648</v>
      </c>
      <c r="C101" s="478" t="str">
        <f>VLOOKUP(B101,All!$B$4:$S$8977,2,FALSE)</f>
        <v>ឈឹម</v>
      </c>
      <c r="D101" s="479" t="str">
        <f>VLOOKUP(B101,All!$B$4:$S$89977,3,FALSE)</f>
        <v>រត្ននា</v>
      </c>
      <c r="E101" s="478" t="str">
        <f>VLOOKUP(B101,All!$B$4:$S$8977,4,FALSE)</f>
        <v>CHHOEM</v>
      </c>
      <c r="F101" s="479" t="str">
        <f>VLOOKUP(B101,All!$B$4:$S$8977,5,FALSE)</f>
        <v>ROTANA</v>
      </c>
      <c r="G101" s="479" t="str">
        <f>VLOOKUP(B101,All!$B$4:$S$8977,6,FALSE)</f>
        <v>F</v>
      </c>
      <c r="H101" s="385">
        <f>VLOOKUP(B101,All!$B$4:$S$8977,7,FALSE)</f>
        <v>29691</v>
      </c>
      <c r="I101" s="154">
        <f>VLOOKUP(B101,All!$B$4:$S$8977,8,FALSE)</f>
        <v>42657</v>
      </c>
      <c r="J101" s="154" t="str">
        <f>VLOOKUP(B101,All!$B$4:$S$8977,9,FALSE)</f>
        <v>Production</v>
      </c>
      <c r="K101" s="154" t="str">
        <f>VLOOKUP(B101,All!$B$4:$S$8977,10,FALSE)</f>
        <v xml:space="preserve"> Line1</v>
      </c>
      <c r="L101" s="698" t="str">
        <f>VLOOKUP(B101,All!$B$4:$S$8977,11,FALSE)</f>
        <v>Sewing operator</v>
      </c>
      <c r="M101" s="570">
        <f>VLOOKUP(B101,All!$B$4:$S$8977,12,FALSE)</f>
        <v>192</v>
      </c>
      <c r="N101" s="18">
        <f>VLOOKUP(B101,All!$B$4:$S$8977,13,FALSE)</f>
        <v>6</v>
      </c>
      <c r="O101" s="18">
        <f>VLOOKUP(B101,All!$B$4:$S$8977,14,FALSE)</f>
        <v>20</v>
      </c>
      <c r="P101" s="18">
        <f>VLOOKUP(B101,All!$B$4:$S$8977,15,FALSE)</f>
        <v>0</v>
      </c>
      <c r="Q101" s="18">
        <f>VLOOKUP(B101,All!$B$4:$S$8977,16,FALSE)</f>
        <v>0</v>
      </c>
      <c r="R101" s="18">
        <v>7</v>
      </c>
      <c r="S101" s="18">
        <v>10</v>
      </c>
      <c r="T101" s="550">
        <f t="shared" si="19"/>
        <v>235</v>
      </c>
      <c r="U101" s="568"/>
      <c r="V101" s="3"/>
      <c r="W101" s="3"/>
      <c r="X101" s="3"/>
      <c r="Y101" s="562"/>
      <c r="Z101" s="570">
        <f t="shared" si="12"/>
        <v>194</v>
      </c>
      <c r="AA101" s="18">
        <f t="shared" si="13"/>
        <v>6</v>
      </c>
      <c r="AB101" s="18">
        <f t="shared" si="14"/>
        <v>20</v>
      </c>
      <c r="AC101" s="18">
        <f t="shared" si="15"/>
        <v>0</v>
      </c>
      <c r="AD101" s="18">
        <f t="shared" si="16"/>
        <v>0</v>
      </c>
      <c r="AE101" s="18">
        <f t="shared" si="20"/>
        <v>7</v>
      </c>
      <c r="AF101" s="18">
        <f t="shared" si="20"/>
        <v>10</v>
      </c>
      <c r="AG101" s="550">
        <f t="shared" si="21"/>
        <v>237</v>
      </c>
      <c r="AH101" s="42">
        <v>2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2</v>
      </c>
    </row>
    <row r="102" spans="1:41" ht="24" customHeight="1">
      <c r="A102" s="11">
        <f t="shared" si="18"/>
        <v>99</v>
      </c>
      <c r="B102" s="8">
        <v>1655</v>
      </c>
      <c r="C102" s="478" t="str">
        <f>VLOOKUP(B102,All!$B$4:$S$8977,2,FALSE)</f>
        <v>កែ</v>
      </c>
      <c r="D102" s="479" t="str">
        <f>VLOOKUP(B102,All!$B$4:$S$89977,3,FALSE)</f>
        <v>គុន្ធា</v>
      </c>
      <c r="E102" s="478" t="str">
        <f>VLOOKUP(B102,All!$B$4:$S$8977,4,FALSE)</f>
        <v>KE</v>
      </c>
      <c r="F102" s="479" t="str">
        <f>VLOOKUP(B102,All!$B$4:$S$8977,5,FALSE)</f>
        <v>KUNTHEA</v>
      </c>
      <c r="G102" s="479" t="str">
        <f>VLOOKUP(B102,All!$B$4:$S$8977,6,FALSE)</f>
        <v>F</v>
      </c>
      <c r="H102" s="385">
        <f>VLOOKUP(B102,All!$B$4:$S$8977,7,FALSE)</f>
        <v>30385</v>
      </c>
      <c r="I102" s="154">
        <f>VLOOKUP(B102,All!$B$4:$S$8977,8,FALSE)</f>
        <v>42656</v>
      </c>
      <c r="J102" s="154" t="str">
        <f>VLOOKUP(B102,All!$B$4:$S$8977,9,FALSE)</f>
        <v>Production</v>
      </c>
      <c r="K102" s="154" t="str">
        <f>VLOOKUP(B102,All!$B$4:$S$8977,10,FALSE)</f>
        <v>Line21</v>
      </c>
      <c r="L102" s="698" t="str">
        <f>VLOOKUP(B102,All!$B$4:$S$8977,11,FALSE)</f>
        <v>Sewing operator</v>
      </c>
      <c r="M102" s="570">
        <f>VLOOKUP(B102,All!$B$4:$S$8977,12,FALSE)</f>
        <v>192</v>
      </c>
      <c r="N102" s="18">
        <f>VLOOKUP(B102,All!$B$4:$S$8977,13,FALSE)</f>
        <v>6</v>
      </c>
      <c r="O102" s="18">
        <f>VLOOKUP(B102,All!$B$4:$S$8977,14,FALSE)</f>
        <v>20</v>
      </c>
      <c r="P102" s="18">
        <f>VLOOKUP(B102,All!$B$4:$S$8977,15,FALSE)</f>
        <v>0</v>
      </c>
      <c r="Q102" s="18">
        <f>VLOOKUP(B102,All!$B$4:$S$8977,16,FALSE)</f>
        <v>0</v>
      </c>
      <c r="R102" s="18">
        <v>7</v>
      </c>
      <c r="S102" s="18">
        <v>10</v>
      </c>
      <c r="T102" s="550">
        <f t="shared" si="19"/>
        <v>235</v>
      </c>
      <c r="U102" s="568"/>
      <c r="V102" s="3"/>
      <c r="W102" s="3"/>
      <c r="X102" s="3"/>
      <c r="Y102" s="562"/>
      <c r="Z102" s="570">
        <f t="shared" si="12"/>
        <v>194</v>
      </c>
      <c r="AA102" s="18">
        <f t="shared" si="13"/>
        <v>6</v>
      </c>
      <c r="AB102" s="18">
        <f t="shared" si="14"/>
        <v>20</v>
      </c>
      <c r="AC102" s="18">
        <f t="shared" si="15"/>
        <v>0</v>
      </c>
      <c r="AD102" s="18">
        <f t="shared" si="16"/>
        <v>0</v>
      </c>
      <c r="AE102" s="18">
        <f t="shared" si="20"/>
        <v>7</v>
      </c>
      <c r="AF102" s="18">
        <f t="shared" si="20"/>
        <v>10</v>
      </c>
      <c r="AG102" s="550">
        <f t="shared" si="21"/>
        <v>237</v>
      </c>
      <c r="AH102" s="42">
        <v>2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2</v>
      </c>
    </row>
    <row r="103" spans="1:41" ht="24" customHeight="1">
      <c r="A103" s="11">
        <f t="shared" si="18"/>
        <v>100</v>
      </c>
      <c r="B103" s="8">
        <v>1657</v>
      </c>
      <c r="C103" s="478" t="str">
        <f>VLOOKUP(B103,All!$B$4:$S$8977,2,FALSE)</f>
        <v>សុខ</v>
      </c>
      <c r="D103" s="479" t="str">
        <f>VLOOKUP(B103,All!$B$4:$S$89977,3,FALSE)</f>
        <v>សីណា</v>
      </c>
      <c r="E103" s="478" t="str">
        <f>VLOOKUP(B103,All!$B$4:$S$8977,4,FALSE)</f>
        <v>SOK</v>
      </c>
      <c r="F103" s="479" t="str">
        <f>VLOOKUP(B103,All!$B$4:$S$8977,5,FALSE)</f>
        <v>SEYNA</v>
      </c>
      <c r="G103" s="479" t="str">
        <f>VLOOKUP(B103,All!$B$4:$S$8977,6,FALSE)</f>
        <v>F</v>
      </c>
      <c r="H103" s="385">
        <f>VLOOKUP(B103,All!$B$4:$S$8977,7,FALSE)</f>
        <v>31058</v>
      </c>
      <c r="I103" s="154">
        <f>VLOOKUP(B103,All!$B$4:$S$8977,8,FALSE)</f>
        <v>42656</v>
      </c>
      <c r="J103" s="154" t="str">
        <f>VLOOKUP(B103,All!$B$4:$S$8977,9,FALSE)</f>
        <v>Production</v>
      </c>
      <c r="K103" s="154" t="str">
        <f>VLOOKUP(B103,All!$B$4:$S$8977,10,FALSE)</f>
        <v>Line9</v>
      </c>
      <c r="L103" s="698" t="str">
        <f>VLOOKUP(B103,All!$B$4:$S$8977,11,FALSE)</f>
        <v>Sewing operator</v>
      </c>
      <c r="M103" s="570">
        <f>VLOOKUP(B103,All!$B$4:$S$8977,12,FALSE)</f>
        <v>192</v>
      </c>
      <c r="N103" s="18">
        <f>VLOOKUP(B103,All!$B$4:$S$8977,13,FALSE)</f>
        <v>6</v>
      </c>
      <c r="O103" s="18">
        <f>VLOOKUP(B103,All!$B$4:$S$8977,14,FALSE)</f>
        <v>20</v>
      </c>
      <c r="P103" s="18">
        <f>VLOOKUP(B103,All!$B$4:$S$8977,15,FALSE)</f>
        <v>0</v>
      </c>
      <c r="Q103" s="18">
        <f>VLOOKUP(B103,All!$B$4:$S$8977,16,FALSE)</f>
        <v>0</v>
      </c>
      <c r="R103" s="18">
        <v>7</v>
      </c>
      <c r="S103" s="18">
        <v>10</v>
      </c>
      <c r="T103" s="550">
        <f t="shared" si="19"/>
        <v>235</v>
      </c>
      <c r="U103" s="568"/>
      <c r="V103" s="3"/>
      <c r="W103" s="3"/>
      <c r="X103" s="3"/>
      <c r="Y103" s="562"/>
      <c r="Z103" s="570">
        <f t="shared" si="12"/>
        <v>194</v>
      </c>
      <c r="AA103" s="18">
        <f t="shared" si="13"/>
        <v>6</v>
      </c>
      <c r="AB103" s="18">
        <f t="shared" si="14"/>
        <v>20</v>
      </c>
      <c r="AC103" s="18">
        <f t="shared" si="15"/>
        <v>0</v>
      </c>
      <c r="AD103" s="18">
        <f t="shared" si="16"/>
        <v>0</v>
      </c>
      <c r="AE103" s="18">
        <f t="shared" si="20"/>
        <v>7</v>
      </c>
      <c r="AF103" s="18">
        <f t="shared" si="20"/>
        <v>10</v>
      </c>
      <c r="AG103" s="550">
        <f t="shared" si="21"/>
        <v>237</v>
      </c>
      <c r="AH103" s="42">
        <v>2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2</v>
      </c>
    </row>
    <row r="104" spans="1:41" ht="24" customHeight="1">
      <c r="A104" s="11">
        <f t="shared" si="18"/>
        <v>101</v>
      </c>
      <c r="B104" s="8">
        <v>1665</v>
      </c>
      <c r="C104" s="478" t="str">
        <f>VLOOKUP(B104,All!$B$4:$S$8977,2,FALSE)</f>
        <v>គឹម</v>
      </c>
      <c r="D104" s="479" t="str">
        <f>VLOOKUP(B104,All!$B$4:$S$89977,3,FALSE)</f>
        <v>ភារម្យ</v>
      </c>
      <c r="E104" s="478" t="str">
        <f>VLOOKUP(B104,All!$B$4:$S$8977,4,FALSE)</f>
        <v>KIM</v>
      </c>
      <c r="F104" s="479" t="str">
        <f>VLOOKUP(B104,All!$B$4:$S$8977,5,FALSE)</f>
        <v>PHEARUM</v>
      </c>
      <c r="G104" s="479" t="str">
        <f>VLOOKUP(B104,All!$B$4:$S$8977,6,FALSE)</f>
        <v>M</v>
      </c>
      <c r="H104" s="385">
        <f>VLOOKUP(B104,All!$B$4:$S$8977,7,FALSE)</f>
        <v>22819</v>
      </c>
      <c r="I104" s="154">
        <f>VLOOKUP(B104,All!$B$4:$S$8977,8,FALSE)</f>
        <v>42657</v>
      </c>
      <c r="J104" s="154" t="str">
        <f>VLOOKUP(B104,All!$B$4:$S$8977,9,FALSE)</f>
        <v>Production</v>
      </c>
      <c r="K104" s="154" t="str">
        <f>VLOOKUP(B104,All!$B$4:$S$8977,10,FALSE)</f>
        <v>Service on line</v>
      </c>
      <c r="L104" s="698" t="str">
        <f>VLOOKUP(B104,All!$B$4:$S$8977,11,FALSE)</f>
        <v>Service on line</v>
      </c>
      <c r="M104" s="570">
        <f>VLOOKUP(B104,All!$B$4:$S$8977,12,FALSE)</f>
        <v>192</v>
      </c>
      <c r="N104" s="18">
        <f>VLOOKUP(B104,All!$B$4:$S$8977,13,FALSE)</f>
        <v>6</v>
      </c>
      <c r="O104" s="18">
        <f>VLOOKUP(B104,All!$B$4:$S$8977,14,FALSE)</f>
        <v>20</v>
      </c>
      <c r="P104" s="18">
        <f>VLOOKUP(B104,All!$B$4:$S$8977,15,FALSE)</f>
        <v>0</v>
      </c>
      <c r="Q104" s="18">
        <f>VLOOKUP(B104,All!$B$4:$S$8977,16,FALSE)</f>
        <v>0</v>
      </c>
      <c r="R104" s="18">
        <v>7</v>
      </c>
      <c r="S104" s="18">
        <v>10</v>
      </c>
      <c r="T104" s="550">
        <f t="shared" si="19"/>
        <v>235</v>
      </c>
      <c r="U104" s="568"/>
      <c r="V104" s="3"/>
      <c r="W104" s="3"/>
      <c r="X104" s="3"/>
      <c r="Y104" s="562"/>
      <c r="Z104" s="570">
        <f t="shared" si="12"/>
        <v>194</v>
      </c>
      <c r="AA104" s="18">
        <f t="shared" si="13"/>
        <v>6</v>
      </c>
      <c r="AB104" s="18">
        <f t="shared" si="14"/>
        <v>20</v>
      </c>
      <c r="AC104" s="18">
        <f t="shared" si="15"/>
        <v>0</v>
      </c>
      <c r="AD104" s="18">
        <f t="shared" si="16"/>
        <v>0</v>
      </c>
      <c r="AE104" s="18">
        <f t="shared" si="20"/>
        <v>7</v>
      </c>
      <c r="AF104" s="18">
        <f t="shared" si="20"/>
        <v>10</v>
      </c>
      <c r="AG104" s="550">
        <f t="shared" si="21"/>
        <v>237</v>
      </c>
      <c r="AH104" s="42">
        <v>2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2</v>
      </c>
    </row>
    <row r="105" spans="1:41" ht="24" customHeight="1">
      <c r="A105" s="11">
        <f t="shared" si="18"/>
        <v>102</v>
      </c>
      <c r="B105" s="8">
        <v>1668</v>
      </c>
      <c r="C105" s="478" t="str">
        <f>VLOOKUP(B105,All!$B$4:$S$8977,2,FALSE)</f>
        <v>ងួន</v>
      </c>
      <c r="D105" s="479" t="str">
        <f>VLOOKUP(B105,All!$B$4:$S$89977,3,FALSE)</f>
        <v>ស៊ីណែម</v>
      </c>
      <c r="E105" s="478" t="str">
        <f>VLOOKUP(B105,All!$B$4:$S$8977,4,FALSE)</f>
        <v>NGUON</v>
      </c>
      <c r="F105" s="479" t="str">
        <f>VLOOKUP(B105,All!$B$4:$S$8977,5,FALSE)</f>
        <v>SINEM</v>
      </c>
      <c r="G105" s="479" t="str">
        <f>VLOOKUP(B105,All!$B$4:$S$8977,6,FALSE)</f>
        <v>F</v>
      </c>
      <c r="H105" s="385">
        <f>VLOOKUP(B105,All!$B$4:$S$8977,7,FALSE)</f>
        <v>28927</v>
      </c>
      <c r="I105" s="154">
        <f>VLOOKUP(B105,All!$B$4:$S$8977,8,FALSE)</f>
        <v>42656</v>
      </c>
      <c r="J105" s="154" t="str">
        <f>VLOOKUP(B105,All!$B$4:$S$8977,9,FALSE)</f>
        <v>Production</v>
      </c>
      <c r="K105" s="154" t="str">
        <f>VLOOKUP(B105,All!$B$4:$S$8977,10,FALSE)</f>
        <v>Line21</v>
      </c>
      <c r="L105" s="698" t="str">
        <f>VLOOKUP(B105,All!$B$4:$S$8977,11,FALSE)</f>
        <v>Sewing operator</v>
      </c>
      <c r="M105" s="570">
        <f>VLOOKUP(B105,All!$B$4:$S$8977,12,FALSE)</f>
        <v>192</v>
      </c>
      <c r="N105" s="18">
        <f>VLOOKUP(B105,All!$B$4:$S$8977,13,FALSE)</f>
        <v>6</v>
      </c>
      <c r="O105" s="18">
        <f>VLOOKUP(B105,All!$B$4:$S$8977,14,FALSE)</f>
        <v>20</v>
      </c>
      <c r="P105" s="18">
        <f>VLOOKUP(B105,All!$B$4:$S$8977,15,FALSE)</f>
        <v>0</v>
      </c>
      <c r="Q105" s="18">
        <f>VLOOKUP(B105,All!$B$4:$S$8977,16,FALSE)</f>
        <v>0</v>
      </c>
      <c r="R105" s="18">
        <v>7</v>
      </c>
      <c r="S105" s="18">
        <v>10</v>
      </c>
      <c r="T105" s="550">
        <f t="shared" si="19"/>
        <v>235</v>
      </c>
      <c r="U105" s="568"/>
      <c r="V105" s="3"/>
      <c r="W105" s="3"/>
      <c r="X105" s="3"/>
      <c r="Y105" s="562"/>
      <c r="Z105" s="570">
        <f t="shared" si="12"/>
        <v>194</v>
      </c>
      <c r="AA105" s="18">
        <f t="shared" si="13"/>
        <v>6</v>
      </c>
      <c r="AB105" s="18">
        <f t="shared" si="14"/>
        <v>20</v>
      </c>
      <c r="AC105" s="18">
        <f t="shared" si="15"/>
        <v>0</v>
      </c>
      <c r="AD105" s="18">
        <f t="shared" si="16"/>
        <v>0</v>
      </c>
      <c r="AE105" s="18">
        <f t="shared" si="20"/>
        <v>7</v>
      </c>
      <c r="AF105" s="18">
        <f t="shared" si="20"/>
        <v>10</v>
      </c>
      <c r="AG105" s="550">
        <f t="shared" si="21"/>
        <v>237</v>
      </c>
      <c r="AH105" s="42">
        <v>2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0</v>
      </c>
      <c r="AO105" s="42">
        <v>2</v>
      </c>
    </row>
    <row r="106" spans="1:41" ht="24" customHeight="1">
      <c r="A106" s="11">
        <f t="shared" si="18"/>
        <v>103</v>
      </c>
      <c r="B106" s="8">
        <v>1666</v>
      </c>
      <c r="C106" s="478" t="str">
        <f>VLOOKUP(B106,All!$B$4:$S$8977,2,FALSE)</f>
        <v>រ៉េត</v>
      </c>
      <c r="D106" s="479" t="str">
        <f>VLOOKUP(B106,All!$B$4:$S$89977,3,FALSE)</f>
        <v>ស្រីទូច</v>
      </c>
      <c r="E106" s="478" t="str">
        <f>VLOOKUP(B106,All!$B$4:$S$8977,4,FALSE)</f>
        <v>RET</v>
      </c>
      <c r="F106" s="479" t="str">
        <f>VLOOKUP(B106,All!$B$4:$S$8977,5,FALSE)</f>
        <v>SREYTOUCH</v>
      </c>
      <c r="G106" s="479" t="str">
        <f>VLOOKUP(B106,All!$B$4:$S$8977,6,FALSE)</f>
        <v>F</v>
      </c>
      <c r="H106" s="385">
        <f>VLOOKUP(B106,All!$B$4:$S$8977,7,FALSE)</f>
        <v>29900</v>
      </c>
      <c r="I106" s="154">
        <f>VLOOKUP(B106,All!$B$4:$S$8977,8,FALSE)</f>
        <v>42656</v>
      </c>
      <c r="J106" s="154" t="str">
        <f>VLOOKUP(B106,All!$B$4:$S$8977,9,FALSE)</f>
        <v>Production</v>
      </c>
      <c r="K106" s="154" t="str">
        <f>VLOOKUP(B106,All!$B$4:$S$8977,10,FALSE)</f>
        <v xml:space="preserve"> Line15</v>
      </c>
      <c r="L106" s="698" t="str">
        <f>VLOOKUP(B106,All!$B$4:$S$8977,11,FALSE)</f>
        <v>Sewing operator</v>
      </c>
      <c r="M106" s="570">
        <f>VLOOKUP(B106,All!$B$4:$S$8977,12,FALSE)</f>
        <v>192</v>
      </c>
      <c r="N106" s="18">
        <f>VLOOKUP(B106,All!$B$4:$S$8977,13,FALSE)</f>
        <v>6</v>
      </c>
      <c r="O106" s="18">
        <f>VLOOKUP(B106,All!$B$4:$S$8977,14,FALSE)</f>
        <v>20</v>
      </c>
      <c r="P106" s="18">
        <f>VLOOKUP(B106,All!$B$4:$S$8977,15,FALSE)</f>
        <v>0</v>
      </c>
      <c r="Q106" s="18">
        <f>VLOOKUP(B106,All!$B$4:$S$8977,16,FALSE)</f>
        <v>0</v>
      </c>
      <c r="R106" s="18">
        <v>7</v>
      </c>
      <c r="S106" s="18">
        <v>10</v>
      </c>
      <c r="T106" s="550">
        <f t="shared" si="19"/>
        <v>235</v>
      </c>
      <c r="U106" s="568"/>
      <c r="V106" s="3"/>
      <c r="W106" s="3"/>
      <c r="X106" s="3"/>
      <c r="Y106" s="562"/>
      <c r="Z106" s="570">
        <f t="shared" si="12"/>
        <v>194</v>
      </c>
      <c r="AA106" s="18">
        <f t="shared" si="13"/>
        <v>6</v>
      </c>
      <c r="AB106" s="18">
        <f t="shared" si="14"/>
        <v>20</v>
      </c>
      <c r="AC106" s="18">
        <f t="shared" si="15"/>
        <v>0</v>
      </c>
      <c r="AD106" s="18">
        <f t="shared" si="16"/>
        <v>0</v>
      </c>
      <c r="AE106" s="18">
        <f t="shared" si="20"/>
        <v>7</v>
      </c>
      <c r="AF106" s="18">
        <f t="shared" si="20"/>
        <v>10</v>
      </c>
      <c r="AG106" s="550">
        <f t="shared" si="21"/>
        <v>237</v>
      </c>
      <c r="AH106" s="42">
        <v>2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2</v>
      </c>
    </row>
    <row r="107" spans="1:41" ht="24" customHeight="1">
      <c r="A107" s="11">
        <f t="shared" si="18"/>
        <v>104</v>
      </c>
      <c r="B107" s="8">
        <v>1710</v>
      </c>
      <c r="C107" s="478" t="str">
        <f>VLOOKUP(B107,All!$B$4:$S$8977,2,FALSE)</f>
        <v>ប៊ុន</v>
      </c>
      <c r="D107" s="479" t="str">
        <f>VLOOKUP(B107,All!$B$4:$S$89977,3,FALSE)</f>
        <v>សុខុម</v>
      </c>
      <c r="E107" s="478" t="str">
        <f>VLOOKUP(B107,All!$B$4:$S$8977,4,FALSE)</f>
        <v>BUN</v>
      </c>
      <c r="F107" s="479" t="str">
        <f>VLOOKUP(B107,All!$B$4:$S$8977,5,FALSE)</f>
        <v>SOKHOM</v>
      </c>
      <c r="G107" s="479" t="str">
        <f>VLOOKUP(B107,All!$B$4:$S$8977,6,FALSE)</f>
        <v>F</v>
      </c>
      <c r="H107" s="385">
        <f>VLOOKUP(B107,All!$B$4:$S$8977,7,FALSE)</f>
        <v>26342</v>
      </c>
      <c r="I107" s="154">
        <f>VLOOKUP(B107,All!$B$4:$S$8977,8,FALSE)</f>
        <v>42669</v>
      </c>
      <c r="J107" s="154" t="str">
        <f>VLOOKUP(B107,All!$B$4:$S$8977,9,FALSE)</f>
        <v>Production</v>
      </c>
      <c r="K107" s="154" t="str">
        <f>VLOOKUP(B107,All!$B$4:$S$8977,10,FALSE)</f>
        <v xml:space="preserve"> Line18</v>
      </c>
      <c r="L107" s="698" t="str">
        <f>VLOOKUP(B107,All!$B$4:$S$8977,11,FALSE)</f>
        <v>Sewing operator</v>
      </c>
      <c r="M107" s="570">
        <f>VLOOKUP(B107,All!$B$4:$S$8977,12,FALSE)</f>
        <v>192</v>
      </c>
      <c r="N107" s="18">
        <f>VLOOKUP(B107,All!$B$4:$S$8977,13,FALSE)</f>
        <v>6</v>
      </c>
      <c r="O107" s="18">
        <f>VLOOKUP(B107,All!$B$4:$S$8977,14,FALSE)</f>
        <v>20</v>
      </c>
      <c r="P107" s="18">
        <f>VLOOKUP(B107,All!$B$4:$S$8977,15,FALSE)</f>
        <v>0</v>
      </c>
      <c r="Q107" s="18">
        <f>VLOOKUP(B107,All!$B$4:$S$8977,16,FALSE)</f>
        <v>0</v>
      </c>
      <c r="R107" s="18">
        <v>7</v>
      </c>
      <c r="S107" s="18">
        <v>10</v>
      </c>
      <c r="T107" s="550">
        <f t="shared" si="19"/>
        <v>235</v>
      </c>
      <c r="U107" s="568"/>
      <c r="V107" s="3"/>
      <c r="W107" s="3"/>
      <c r="X107" s="3"/>
      <c r="Y107" s="562"/>
      <c r="Z107" s="570">
        <f t="shared" si="12"/>
        <v>194</v>
      </c>
      <c r="AA107" s="18">
        <f t="shared" si="13"/>
        <v>6</v>
      </c>
      <c r="AB107" s="18">
        <f t="shared" si="14"/>
        <v>20</v>
      </c>
      <c r="AC107" s="18">
        <f t="shared" si="15"/>
        <v>0</v>
      </c>
      <c r="AD107" s="18">
        <f t="shared" si="16"/>
        <v>0</v>
      </c>
      <c r="AE107" s="18">
        <f t="shared" si="20"/>
        <v>7</v>
      </c>
      <c r="AF107" s="18">
        <f t="shared" si="20"/>
        <v>10</v>
      </c>
      <c r="AG107" s="550">
        <f t="shared" si="21"/>
        <v>237</v>
      </c>
      <c r="AH107" s="42">
        <v>2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2</v>
      </c>
    </row>
    <row r="108" spans="1:41" ht="24" customHeight="1">
      <c r="A108" s="11">
        <f t="shared" si="18"/>
        <v>105</v>
      </c>
      <c r="B108" s="8">
        <v>1719</v>
      </c>
      <c r="C108" s="478" t="str">
        <f>VLOOKUP(B108,All!$B$4:$S$8977,2,FALSE)</f>
        <v>ហួន</v>
      </c>
      <c r="D108" s="479" t="str">
        <f>VLOOKUP(B108,All!$B$4:$S$89977,3,FALSE)</f>
        <v>ចន្ធូ</v>
      </c>
      <c r="E108" s="478" t="str">
        <f>VLOOKUP(B108,All!$B$4:$S$8977,4,FALSE)</f>
        <v>HUON</v>
      </c>
      <c r="F108" s="479" t="str">
        <f>VLOOKUP(B108,All!$B$4:$S$8977,5,FALSE)</f>
        <v>CHANTHOU</v>
      </c>
      <c r="G108" s="479" t="str">
        <f>VLOOKUP(B108,All!$B$4:$S$8977,6,FALSE)</f>
        <v>F</v>
      </c>
      <c r="H108" s="385">
        <f>VLOOKUP(B108,All!$B$4:$S$8977,7,FALSE)</f>
        <v>33394</v>
      </c>
      <c r="I108" s="154">
        <f>VLOOKUP(B108,All!$B$4:$S$8977,8,FALSE)</f>
        <v>42670</v>
      </c>
      <c r="J108" s="154" t="str">
        <f>VLOOKUP(B108,All!$B$4:$S$8977,9,FALSE)</f>
        <v>Production</v>
      </c>
      <c r="K108" s="154" t="str">
        <f>VLOOKUP(B108,All!$B$4:$S$8977,10,FALSE)</f>
        <v>Line20</v>
      </c>
      <c r="L108" s="698" t="str">
        <f>VLOOKUP(B108,All!$B$4:$S$8977,11,FALSE)</f>
        <v>Sewing operator</v>
      </c>
      <c r="M108" s="570">
        <f>VLOOKUP(B108,All!$B$4:$S$8977,12,FALSE)</f>
        <v>192</v>
      </c>
      <c r="N108" s="18">
        <f>VLOOKUP(B108,All!$B$4:$S$8977,13,FALSE)</f>
        <v>6</v>
      </c>
      <c r="O108" s="18">
        <f>VLOOKUP(B108,All!$B$4:$S$8977,14,FALSE)</f>
        <v>20</v>
      </c>
      <c r="P108" s="18">
        <f>VLOOKUP(B108,All!$B$4:$S$8977,15,FALSE)</f>
        <v>0</v>
      </c>
      <c r="Q108" s="18">
        <f>VLOOKUP(B108,All!$B$4:$S$8977,16,FALSE)</f>
        <v>0</v>
      </c>
      <c r="R108" s="18">
        <v>7</v>
      </c>
      <c r="S108" s="18">
        <v>10</v>
      </c>
      <c r="T108" s="550">
        <f t="shared" si="19"/>
        <v>235</v>
      </c>
      <c r="U108" s="568"/>
      <c r="V108" s="3"/>
      <c r="W108" s="3"/>
      <c r="X108" s="3"/>
      <c r="Y108" s="562"/>
      <c r="Z108" s="570">
        <f t="shared" ref="Z108:Z164" si="22">M108+AH108</f>
        <v>194</v>
      </c>
      <c r="AA108" s="18">
        <f t="shared" ref="AA108:AA164" si="23">N108</f>
        <v>6</v>
      </c>
      <c r="AB108" s="18">
        <f t="shared" ref="AB108:AB164" si="24">O108</f>
        <v>20</v>
      </c>
      <c r="AC108" s="18">
        <f t="shared" ref="AC108:AC164" si="25">P108</f>
        <v>0</v>
      </c>
      <c r="AD108" s="18">
        <f t="shared" ref="AD108:AD164" si="26">Q108</f>
        <v>0</v>
      </c>
      <c r="AE108" s="18">
        <f t="shared" si="20"/>
        <v>7</v>
      </c>
      <c r="AF108" s="18">
        <f t="shared" si="20"/>
        <v>10</v>
      </c>
      <c r="AG108" s="550">
        <f t="shared" si="21"/>
        <v>237</v>
      </c>
      <c r="AH108" s="42">
        <v>2</v>
      </c>
      <c r="AI108" s="42">
        <v>0</v>
      </c>
      <c r="AJ108" s="42">
        <v>0</v>
      </c>
      <c r="AK108" s="42">
        <v>0</v>
      </c>
      <c r="AL108" s="42">
        <v>0</v>
      </c>
      <c r="AM108" s="42">
        <v>0</v>
      </c>
      <c r="AN108" s="42">
        <v>0</v>
      </c>
      <c r="AO108" s="42">
        <v>2</v>
      </c>
    </row>
    <row r="109" spans="1:41" ht="24" customHeight="1">
      <c r="A109" s="11">
        <f t="shared" si="18"/>
        <v>106</v>
      </c>
      <c r="B109" s="8">
        <v>1743</v>
      </c>
      <c r="C109" s="478" t="str">
        <f>VLOOKUP(B109,All!$B$4:$S$8977,2,FALSE)</f>
        <v>អោម</v>
      </c>
      <c r="D109" s="479" t="str">
        <f>VLOOKUP(B109,All!$B$4:$S$89977,3,FALSE)</f>
        <v>កុសល</v>
      </c>
      <c r="E109" s="478" t="str">
        <f>VLOOKUP(B109,All!$B$4:$S$8977,4,FALSE)</f>
        <v>ORM</v>
      </c>
      <c r="F109" s="479" t="str">
        <f>VLOOKUP(B109,All!$B$4:$S$8977,5,FALSE)</f>
        <v>KOSAL</v>
      </c>
      <c r="G109" s="479" t="str">
        <f>VLOOKUP(B109,All!$B$4:$S$8977,6,FALSE)</f>
        <v>F</v>
      </c>
      <c r="H109" s="385">
        <f>VLOOKUP(B109,All!$B$4:$S$8977,7,FALSE)</f>
        <v>35827</v>
      </c>
      <c r="I109" s="154">
        <f>VLOOKUP(B109,All!$B$4:$S$8977,8,FALSE)</f>
        <v>42682</v>
      </c>
      <c r="J109" s="154" t="str">
        <f>VLOOKUP(B109,All!$B$4:$S$8977,9,FALSE)</f>
        <v>Production</v>
      </c>
      <c r="K109" s="154" t="str">
        <f>VLOOKUP(B109,All!$B$4:$S$8977,10,FALSE)</f>
        <v>QC B</v>
      </c>
      <c r="L109" s="698" t="str">
        <f>VLOOKUP(B109,All!$B$4:$S$8977,11,FALSE)</f>
        <v>Inspector</v>
      </c>
      <c r="M109" s="570">
        <f>VLOOKUP(B109,All!$B$4:$S$8977,12,FALSE)</f>
        <v>192</v>
      </c>
      <c r="N109" s="18">
        <f>VLOOKUP(B109,All!$B$4:$S$8977,13,FALSE)</f>
        <v>6</v>
      </c>
      <c r="O109" s="18">
        <f>VLOOKUP(B109,All!$B$4:$S$8977,14,FALSE)</f>
        <v>20</v>
      </c>
      <c r="P109" s="18">
        <f>VLOOKUP(B109,All!$B$4:$S$8977,15,FALSE)</f>
        <v>0</v>
      </c>
      <c r="Q109" s="18">
        <f>VLOOKUP(B109,All!$B$4:$S$8977,16,FALSE)</f>
        <v>0</v>
      </c>
      <c r="R109" s="18">
        <v>7</v>
      </c>
      <c r="S109" s="18">
        <v>10</v>
      </c>
      <c r="T109" s="550">
        <f t="shared" si="19"/>
        <v>235</v>
      </c>
      <c r="U109" s="568"/>
      <c r="V109" s="3"/>
      <c r="W109" s="3"/>
      <c r="X109" s="3"/>
      <c r="Y109" s="562"/>
      <c r="Z109" s="570">
        <f t="shared" si="22"/>
        <v>194</v>
      </c>
      <c r="AA109" s="18">
        <f t="shared" si="23"/>
        <v>6</v>
      </c>
      <c r="AB109" s="18">
        <f t="shared" si="24"/>
        <v>20</v>
      </c>
      <c r="AC109" s="18">
        <f t="shared" si="25"/>
        <v>0</v>
      </c>
      <c r="AD109" s="18">
        <f t="shared" si="26"/>
        <v>0</v>
      </c>
      <c r="AE109" s="18">
        <f t="shared" si="20"/>
        <v>7</v>
      </c>
      <c r="AF109" s="18">
        <f t="shared" si="20"/>
        <v>10</v>
      </c>
      <c r="AG109" s="550">
        <f t="shared" si="21"/>
        <v>237</v>
      </c>
      <c r="AH109" s="42">
        <v>2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2</v>
      </c>
    </row>
    <row r="110" spans="1:41" ht="24" customHeight="1">
      <c r="A110" s="11">
        <f t="shared" si="18"/>
        <v>107</v>
      </c>
      <c r="B110" s="8">
        <v>1755</v>
      </c>
      <c r="C110" s="478" t="str">
        <f>VLOOKUP(B110,All!$B$4:$S$8977,2,FALSE)</f>
        <v>ជា</v>
      </c>
      <c r="D110" s="479" t="str">
        <f>VLOOKUP(B110,All!$B$4:$S$89977,3,FALSE)</f>
        <v>ស្រីរត្ន័</v>
      </c>
      <c r="E110" s="478" t="str">
        <f>VLOOKUP(B110,All!$B$4:$S$8977,4,FALSE)</f>
        <v>CHEA</v>
      </c>
      <c r="F110" s="479" t="str">
        <f>VLOOKUP(B110,All!$B$4:$S$8977,5,FALSE)</f>
        <v>SREYRORTH</v>
      </c>
      <c r="G110" s="479" t="str">
        <f>VLOOKUP(B110,All!$B$4:$S$8977,6,FALSE)</f>
        <v>F</v>
      </c>
      <c r="H110" s="385">
        <f>VLOOKUP(B110,All!$B$4:$S$8977,7,FALSE)</f>
        <v>33655</v>
      </c>
      <c r="I110" s="154">
        <f>VLOOKUP(B110,All!$B$4:$S$8977,8,FALSE)</f>
        <v>42692</v>
      </c>
      <c r="J110" s="154" t="str">
        <f>VLOOKUP(B110,All!$B$4:$S$8977,9,FALSE)</f>
        <v>Production</v>
      </c>
      <c r="K110" s="154" t="str">
        <f>VLOOKUP(B110,All!$B$4:$S$8977,10,FALSE)</f>
        <v>Line20</v>
      </c>
      <c r="L110" s="698" t="str">
        <f>VLOOKUP(B110,All!$B$4:$S$8977,11,FALSE)</f>
        <v>Sewing operator</v>
      </c>
      <c r="M110" s="570">
        <f>VLOOKUP(B110,All!$B$4:$S$8977,12,FALSE)</f>
        <v>192</v>
      </c>
      <c r="N110" s="18">
        <f>VLOOKUP(B110,All!$B$4:$S$8977,13,FALSE)</f>
        <v>6</v>
      </c>
      <c r="O110" s="18">
        <f>VLOOKUP(B110,All!$B$4:$S$8977,14,FALSE)</f>
        <v>20</v>
      </c>
      <c r="P110" s="18">
        <f>VLOOKUP(B110,All!$B$4:$S$8977,15,FALSE)</f>
        <v>0</v>
      </c>
      <c r="Q110" s="18">
        <f>VLOOKUP(B110,All!$B$4:$S$8977,16,FALSE)</f>
        <v>0</v>
      </c>
      <c r="R110" s="18">
        <v>7</v>
      </c>
      <c r="S110" s="18">
        <v>10</v>
      </c>
      <c r="T110" s="550">
        <f t="shared" si="19"/>
        <v>235</v>
      </c>
      <c r="U110" s="568"/>
      <c r="V110" s="3"/>
      <c r="W110" s="3"/>
      <c r="X110" s="3"/>
      <c r="Y110" s="562"/>
      <c r="Z110" s="570">
        <f t="shared" si="22"/>
        <v>194</v>
      </c>
      <c r="AA110" s="18">
        <f t="shared" si="23"/>
        <v>6</v>
      </c>
      <c r="AB110" s="18">
        <f t="shared" si="24"/>
        <v>20</v>
      </c>
      <c r="AC110" s="18">
        <f t="shared" si="25"/>
        <v>0</v>
      </c>
      <c r="AD110" s="18">
        <f t="shared" si="26"/>
        <v>0</v>
      </c>
      <c r="AE110" s="18">
        <f t="shared" si="20"/>
        <v>7</v>
      </c>
      <c r="AF110" s="18">
        <f t="shared" si="20"/>
        <v>10</v>
      </c>
      <c r="AG110" s="550">
        <f t="shared" si="21"/>
        <v>237</v>
      </c>
      <c r="AH110" s="42">
        <v>2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2</v>
      </c>
    </row>
    <row r="111" spans="1:41" ht="24" customHeight="1">
      <c r="A111" s="11">
        <f t="shared" si="18"/>
        <v>108</v>
      </c>
      <c r="B111" s="8">
        <v>1766</v>
      </c>
      <c r="C111" s="478" t="str">
        <f>VLOOKUP(B111,All!$B$4:$S$8977,2,FALSE)</f>
        <v>ចិន</v>
      </c>
      <c r="D111" s="479" t="str">
        <f>VLOOKUP(B111,All!$B$4:$S$89977,3,FALSE)</f>
        <v>ផេង</v>
      </c>
      <c r="E111" s="478" t="str">
        <f>VLOOKUP(B111,All!$B$4:$S$8977,4,FALSE)</f>
        <v>CHIN</v>
      </c>
      <c r="F111" s="479" t="str">
        <f>VLOOKUP(B111,All!$B$4:$S$8977,5,FALSE)</f>
        <v xml:space="preserve">PHENG </v>
      </c>
      <c r="G111" s="479" t="str">
        <f>VLOOKUP(B111,All!$B$4:$S$8977,6,FALSE)</f>
        <v>F</v>
      </c>
      <c r="H111" s="385">
        <f>VLOOKUP(B111,All!$B$4:$S$8977,7,FALSE)</f>
        <v>31264</v>
      </c>
      <c r="I111" s="154">
        <f>VLOOKUP(B111,All!$B$4:$S$8977,8,FALSE)</f>
        <v>42697</v>
      </c>
      <c r="J111" s="154" t="str">
        <f>VLOOKUP(B111,All!$B$4:$S$8977,9,FALSE)</f>
        <v>Production</v>
      </c>
      <c r="K111" s="154" t="str">
        <f>VLOOKUP(B111,All!$B$4:$S$8977,10,FALSE)</f>
        <v>Line21</v>
      </c>
      <c r="L111" s="698" t="str">
        <f>VLOOKUP(B111,All!$B$4:$S$8977,11,FALSE)</f>
        <v>Sewing operator</v>
      </c>
      <c r="M111" s="570">
        <f>VLOOKUP(B111,All!$B$4:$S$8977,12,FALSE)</f>
        <v>192</v>
      </c>
      <c r="N111" s="18">
        <f>VLOOKUP(B111,All!$B$4:$S$8977,13,FALSE)</f>
        <v>6</v>
      </c>
      <c r="O111" s="18">
        <f>VLOOKUP(B111,All!$B$4:$S$8977,14,FALSE)</f>
        <v>20</v>
      </c>
      <c r="P111" s="18">
        <f>VLOOKUP(B111,All!$B$4:$S$8977,15,FALSE)</f>
        <v>0</v>
      </c>
      <c r="Q111" s="18">
        <f>VLOOKUP(B111,All!$B$4:$S$8977,16,FALSE)</f>
        <v>0</v>
      </c>
      <c r="R111" s="18">
        <v>7</v>
      </c>
      <c r="S111" s="18">
        <v>10</v>
      </c>
      <c r="T111" s="550">
        <f t="shared" si="19"/>
        <v>235</v>
      </c>
      <c r="U111" s="568"/>
      <c r="V111" s="3"/>
      <c r="W111" s="3"/>
      <c r="X111" s="3"/>
      <c r="Y111" s="562"/>
      <c r="Z111" s="570">
        <f t="shared" si="22"/>
        <v>194</v>
      </c>
      <c r="AA111" s="18">
        <f t="shared" si="23"/>
        <v>6</v>
      </c>
      <c r="AB111" s="18">
        <f t="shared" si="24"/>
        <v>20</v>
      </c>
      <c r="AC111" s="18">
        <f t="shared" si="25"/>
        <v>0</v>
      </c>
      <c r="AD111" s="18">
        <f t="shared" si="26"/>
        <v>0</v>
      </c>
      <c r="AE111" s="18">
        <f t="shared" si="20"/>
        <v>7</v>
      </c>
      <c r="AF111" s="18">
        <f t="shared" si="20"/>
        <v>10</v>
      </c>
      <c r="AG111" s="550">
        <f t="shared" si="21"/>
        <v>237</v>
      </c>
      <c r="AH111" s="42">
        <v>2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2</v>
      </c>
    </row>
    <row r="112" spans="1:41" ht="24" customHeight="1">
      <c r="A112" s="11">
        <f t="shared" si="18"/>
        <v>109</v>
      </c>
      <c r="B112" s="8">
        <v>1728</v>
      </c>
      <c r="C112" s="478" t="str">
        <f>VLOOKUP(B112,All!$B$4:$S$8977,2,FALSE)</f>
        <v>ហួរ</v>
      </c>
      <c r="D112" s="479" t="str">
        <f>VLOOKUP(B112,All!$B$4:$S$89977,3,FALSE)</f>
        <v>សាវុន</v>
      </c>
      <c r="E112" s="478" t="str">
        <f>VLOOKUP(B112,All!$B$4:$S$8977,4,FALSE)</f>
        <v>HOUR</v>
      </c>
      <c r="F112" s="479" t="str">
        <f>VLOOKUP(B112,All!$B$4:$S$8977,5,FALSE)</f>
        <v>SAVUN</v>
      </c>
      <c r="G112" s="479" t="str">
        <f>VLOOKUP(B112,All!$B$4:$S$8977,6,FALSE)</f>
        <v>F</v>
      </c>
      <c r="H112" s="385">
        <f>VLOOKUP(B112,All!$B$4:$S$8977,7,FALSE)</f>
        <v>27436</v>
      </c>
      <c r="I112" s="154">
        <f>VLOOKUP(B112,All!$B$4:$S$8977,8,FALSE)</f>
        <v>42677</v>
      </c>
      <c r="J112" s="154" t="str">
        <f>VLOOKUP(B112,All!$B$4:$S$8977,9,FALSE)</f>
        <v>Production</v>
      </c>
      <c r="K112" s="154" t="str">
        <f>VLOOKUP(B112,All!$B$4:$S$8977,10,FALSE)</f>
        <v>QC  A</v>
      </c>
      <c r="L112" s="698" t="str">
        <f>VLOOKUP(B112,All!$B$4:$S$8977,11,FALSE)</f>
        <v>Inspector</v>
      </c>
      <c r="M112" s="570">
        <f>VLOOKUP(B112,All!$B$4:$S$8977,12,FALSE)</f>
        <v>192</v>
      </c>
      <c r="N112" s="18">
        <f>VLOOKUP(B112,All!$B$4:$S$8977,13,FALSE)</f>
        <v>6</v>
      </c>
      <c r="O112" s="18">
        <f>VLOOKUP(B112,All!$B$4:$S$8977,14,FALSE)</f>
        <v>20</v>
      </c>
      <c r="P112" s="18">
        <f>VLOOKUP(B112,All!$B$4:$S$8977,15,FALSE)</f>
        <v>0</v>
      </c>
      <c r="Q112" s="18">
        <f>VLOOKUP(B112,All!$B$4:$S$8977,16,FALSE)</f>
        <v>0</v>
      </c>
      <c r="R112" s="18">
        <v>7</v>
      </c>
      <c r="S112" s="18">
        <v>10</v>
      </c>
      <c r="T112" s="550">
        <f t="shared" si="19"/>
        <v>235</v>
      </c>
      <c r="U112" s="568"/>
      <c r="V112" s="3"/>
      <c r="W112" s="3"/>
      <c r="X112" s="3"/>
      <c r="Y112" s="562"/>
      <c r="Z112" s="570">
        <f t="shared" si="22"/>
        <v>194</v>
      </c>
      <c r="AA112" s="18">
        <f t="shared" si="23"/>
        <v>6</v>
      </c>
      <c r="AB112" s="18">
        <f t="shared" si="24"/>
        <v>20</v>
      </c>
      <c r="AC112" s="18">
        <f t="shared" si="25"/>
        <v>0</v>
      </c>
      <c r="AD112" s="18">
        <f t="shared" si="26"/>
        <v>0</v>
      </c>
      <c r="AE112" s="18">
        <f t="shared" si="20"/>
        <v>7</v>
      </c>
      <c r="AF112" s="18">
        <f t="shared" si="20"/>
        <v>10</v>
      </c>
      <c r="AG112" s="550">
        <f t="shared" si="21"/>
        <v>237</v>
      </c>
      <c r="AH112" s="42">
        <v>2</v>
      </c>
      <c r="AI112" s="42">
        <v>0</v>
      </c>
      <c r="AJ112" s="42">
        <v>0</v>
      </c>
      <c r="AK112" s="42">
        <v>0</v>
      </c>
      <c r="AL112" s="42">
        <v>0</v>
      </c>
      <c r="AM112" s="42">
        <v>0</v>
      </c>
      <c r="AN112" s="42">
        <v>0</v>
      </c>
      <c r="AO112" s="42">
        <v>2</v>
      </c>
    </row>
    <row r="113" spans="1:41" ht="24" customHeight="1">
      <c r="A113" s="11">
        <f t="shared" si="18"/>
        <v>110</v>
      </c>
      <c r="B113" s="8">
        <v>1779</v>
      </c>
      <c r="C113" s="478" t="str">
        <f>VLOOKUP(B113,All!$B$4:$S$8977,2,FALSE)</f>
        <v>វ៉ាន់</v>
      </c>
      <c r="D113" s="479" t="str">
        <f>VLOOKUP(B113,All!$B$4:$S$89977,3,FALSE)</f>
        <v>ចន្ថា</v>
      </c>
      <c r="E113" s="478" t="str">
        <f>VLOOKUP(B113,All!$B$4:$S$8977,4,FALSE)</f>
        <v>VANN</v>
      </c>
      <c r="F113" s="479" t="str">
        <f>VLOOKUP(B113,All!$B$4:$S$8977,5,FALSE)</f>
        <v>CHANTHA</v>
      </c>
      <c r="G113" s="479" t="str">
        <f>VLOOKUP(B113,All!$B$4:$S$8977,6,FALSE)</f>
        <v>F</v>
      </c>
      <c r="H113" s="385">
        <f>VLOOKUP(B113,All!$B$4:$S$8977,7,FALSE)</f>
        <v>30650</v>
      </c>
      <c r="I113" s="154">
        <f>VLOOKUP(B113,All!$B$4:$S$8977,8,FALSE)</f>
        <v>42712</v>
      </c>
      <c r="J113" s="154" t="str">
        <f>VLOOKUP(B113,All!$B$4:$S$8977,9,FALSE)</f>
        <v>Production</v>
      </c>
      <c r="K113" s="154" t="str">
        <f>VLOOKUP(B113,All!$B$4:$S$8977,10,FALSE)</f>
        <v>Line20</v>
      </c>
      <c r="L113" s="698" t="str">
        <f>VLOOKUP(B113,All!$B$4:$S$8977,11,FALSE)</f>
        <v>Sewing operator</v>
      </c>
      <c r="M113" s="570">
        <f>VLOOKUP(B113,All!$B$4:$S$8977,12,FALSE)</f>
        <v>192</v>
      </c>
      <c r="N113" s="18">
        <f>VLOOKUP(B113,All!$B$4:$S$8977,13,FALSE)</f>
        <v>6</v>
      </c>
      <c r="O113" s="18">
        <f>VLOOKUP(B113,All!$B$4:$S$8977,14,FALSE)</f>
        <v>20</v>
      </c>
      <c r="P113" s="18">
        <f>VLOOKUP(B113,All!$B$4:$S$8977,15,FALSE)</f>
        <v>0</v>
      </c>
      <c r="Q113" s="18">
        <f>VLOOKUP(B113,All!$B$4:$S$8977,16,FALSE)</f>
        <v>0</v>
      </c>
      <c r="R113" s="18">
        <v>7</v>
      </c>
      <c r="S113" s="18">
        <v>10</v>
      </c>
      <c r="T113" s="550">
        <f t="shared" si="19"/>
        <v>235</v>
      </c>
      <c r="U113" s="568"/>
      <c r="V113" s="3"/>
      <c r="W113" s="3"/>
      <c r="X113" s="3"/>
      <c r="Y113" s="562"/>
      <c r="Z113" s="570">
        <f t="shared" si="22"/>
        <v>194</v>
      </c>
      <c r="AA113" s="18">
        <f t="shared" si="23"/>
        <v>6</v>
      </c>
      <c r="AB113" s="18">
        <f t="shared" si="24"/>
        <v>20</v>
      </c>
      <c r="AC113" s="18">
        <f t="shared" si="25"/>
        <v>0</v>
      </c>
      <c r="AD113" s="18">
        <f t="shared" si="26"/>
        <v>0</v>
      </c>
      <c r="AE113" s="18">
        <f t="shared" si="20"/>
        <v>7</v>
      </c>
      <c r="AF113" s="18">
        <f t="shared" si="20"/>
        <v>10</v>
      </c>
      <c r="AG113" s="550">
        <f t="shared" si="21"/>
        <v>237</v>
      </c>
      <c r="AH113" s="42">
        <v>2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2</v>
      </c>
    </row>
    <row r="114" spans="1:41" ht="24" customHeight="1">
      <c r="A114" s="11">
        <f t="shared" si="18"/>
        <v>111</v>
      </c>
      <c r="B114" s="8">
        <v>1800</v>
      </c>
      <c r="C114" s="478" t="str">
        <f>VLOOKUP(B114,All!$B$4:$S$8977,2,FALSE)</f>
        <v>សុខ</v>
      </c>
      <c r="D114" s="479" t="str">
        <f>VLOOKUP(B114,All!$B$4:$S$89977,3,FALSE)</f>
        <v>ឌី</v>
      </c>
      <c r="E114" s="478" t="str">
        <f>VLOOKUP(B114,All!$B$4:$S$8977,4,FALSE)</f>
        <v>SOK</v>
      </c>
      <c r="F114" s="479" t="str">
        <f>VLOOKUP(B114,All!$B$4:$S$8977,5,FALSE)</f>
        <v>DY</v>
      </c>
      <c r="G114" s="479" t="str">
        <f>VLOOKUP(B114,All!$B$4:$S$8977,6,FALSE)</f>
        <v>F</v>
      </c>
      <c r="H114" s="385">
        <f>VLOOKUP(B114,All!$B$4:$S$8977,7,FALSE)</f>
        <v>35374</v>
      </c>
      <c r="I114" s="154">
        <f>VLOOKUP(B114,All!$B$4:$S$8977,8,FALSE)</f>
        <v>42748</v>
      </c>
      <c r="J114" s="154" t="str">
        <f>VLOOKUP(B114,All!$B$4:$S$8977,9,FALSE)</f>
        <v>Production</v>
      </c>
      <c r="K114" s="154" t="str">
        <f>VLOOKUP(B114,All!$B$4:$S$8977,10,FALSE)</f>
        <v>Line9</v>
      </c>
      <c r="L114" s="698" t="str">
        <f>VLOOKUP(B114,All!$B$4:$S$8977,11,FALSE)</f>
        <v>Sewing operator</v>
      </c>
      <c r="M114" s="570">
        <f>VLOOKUP(B114,All!$B$4:$S$8977,12,FALSE)</f>
        <v>192</v>
      </c>
      <c r="N114" s="18">
        <f>VLOOKUP(B114,All!$B$4:$S$8977,13,FALSE)</f>
        <v>6</v>
      </c>
      <c r="O114" s="18">
        <f>VLOOKUP(B114,All!$B$4:$S$8977,14,FALSE)</f>
        <v>20</v>
      </c>
      <c r="P114" s="18">
        <f>VLOOKUP(B114,All!$B$4:$S$8977,15,FALSE)</f>
        <v>0</v>
      </c>
      <c r="Q114" s="18">
        <f>VLOOKUP(B114,All!$B$4:$S$8977,16,FALSE)</f>
        <v>0</v>
      </c>
      <c r="R114" s="18">
        <v>7</v>
      </c>
      <c r="S114" s="18">
        <v>10</v>
      </c>
      <c r="T114" s="550">
        <f t="shared" si="19"/>
        <v>235</v>
      </c>
      <c r="U114" s="568"/>
      <c r="V114" s="3"/>
      <c r="W114" s="3"/>
      <c r="X114" s="3"/>
      <c r="Y114" s="562"/>
      <c r="Z114" s="570">
        <f t="shared" si="22"/>
        <v>194</v>
      </c>
      <c r="AA114" s="18">
        <f t="shared" si="23"/>
        <v>6</v>
      </c>
      <c r="AB114" s="18">
        <f t="shared" si="24"/>
        <v>20</v>
      </c>
      <c r="AC114" s="18">
        <f t="shared" si="25"/>
        <v>0</v>
      </c>
      <c r="AD114" s="18">
        <f t="shared" si="26"/>
        <v>0</v>
      </c>
      <c r="AE114" s="18">
        <f t="shared" si="20"/>
        <v>7</v>
      </c>
      <c r="AF114" s="18">
        <f t="shared" si="20"/>
        <v>10</v>
      </c>
      <c r="AG114" s="550">
        <f t="shared" si="21"/>
        <v>237</v>
      </c>
      <c r="AH114" s="42">
        <v>2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2</v>
      </c>
    </row>
    <row r="115" spans="1:41" ht="24" customHeight="1">
      <c r="A115" s="11">
        <f t="shared" si="18"/>
        <v>112</v>
      </c>
      <c r="B115" s="8">
        <v>1811</v>
      </c>
      <c r="C115" s="478" t="str">
        <f>VLOOKUP(B115,All!$B$4:$S$8977,2,FALSE)</f>
        <v>ឌុន</v>
      </c>
      <c r="D115" s="479" t="str">
        <f>VLOOKUP(B115,All!$B$4:$S$89977,3,FALSE)</f>
        <v>ហួង</v>
      </c>
      <c r="E115" s="478" t="str">
        <f>VLOOKUP(B115,All!$B$4:$S$8977,4,FALSE)</f>
        <v>DUN</v>
      </c>
      <c r="F115" s="479" t="str">
        <f>VLOOKUP(B115,All!$B$4:$S$8977,5,FALSE)</f>
        <v>HOUNG</v>
      </c>
      <c r="G115" s="479" t="str">
        <f>VLOOKUP(B115,All!$B$4:$S$8977,6,FALSE)</f>
        <v>F</v>
      </c>
      <c r="H115" s="385">
        <f>VLOOKUP(B115,All!$B$4:$S$8977,7,FALSE)</f>
        <v>35683</v>
      </c>
      <c r="I115" s="154">
        <f>VLOOKUP(B115,All!$B$4:$S$8977,8,FALSE)</f>
        <v>42753</v>
      </c>
      <c r="J115" s="154" t="str">
        <f>VLOOKUP(B115,All!$B$4:$S$8977,9,FALSE)</f>
        <v>Production</v>
      </c>
      <c r="K115" s="154" t="str">
        <f>VLOOKUP(B115,All!$B$4:$S$8977,10,FALSE)</f>
        <v xml:space="preserve"> Line19</v>
      </c>
      <c r="L115" s="698" t="str">
        <f>VLOOKUP(B115,All!$B$4:$S$8977,11,FALSE)</f>
        <v>Sewing operator</v>
      </c>
      <c r="M115" s="570">
        <f>VLOOKUP(B115,All!$B$4:$S$8977,12,FALSE)</f>
        <v>192</v>
      </c>
      <c r="N115" s="18">
        <f>VLOOKUP(B115,All!$B$4:$S$8977,13,FALSE)</f>
        <v>5</v>
      </c>
      <c r="O115" s="18">
        <f>VLOOKUP(B115,All!$B$4:$S$8977,14,FALSE)</f>
        <v>20</v>
      </c>
      <c r="P115" s="18">
        <f>VLOOKUP(B115,All!$B$4:$S$8977,15,FALSE)</f>
        <v>0</v>
      </c>
      <c r="Q115" s="18">
        <f>VLOOKUP(B115,All!$B$4:$S$8977,16,FALSE)</f>
        <v>0</v>
      </c>
      <c r="R115" s="18">
        <v>7</v>
      </c>
      <c r="S115" s="18">
        <v>10</v>
      </c>
      <c r="T115" s="550">
        <f t="shared" si="19"/>
        <v>234</v>
      </c>
      <c r="U115" s="568"/>
      <c r="V115" s="3"/>
      <c r="W115" s="3"/>
      <c r="X115" s="3"/>
      <c r="Y115" s="562"/>
      <c r="Z115" s="570">
        <f t="shared" si="22"/>
        <v>194</v>
      </c>
      <c r="AA115" s="18">
        <f t="shared" si="23"/>
        <v>5</v>
      </c>
      <c r="AB115" s="18">
        <f t="shared" si="24"/>
        <v>20</v>
      </c>
      <c r="AC115" s="18">
        <f t="shared" si="25"/>
        <v>0</v>
      </c>
      <c r="AD115" s="18">
        <f t="shared" si="26"/>
        <v>0</v>
      </c>
      <c r="AE115" s="18">
        <f t="shared" si="20"/>
        <v>7</v>
      </c>
      <c r="AF115" s="18">
        <f t="shared" si="20"/>
        <v>10</v>
      </c>
      <c r="AG115" s="550">
        <f t="shared" si="21"/>
        <v>236</v>
      </c>
      <c r="AH115" s="42">
        <v>2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2</v>
      </c>
    </row>
    <row r="116" spans="1:41" ht="24" customHeight="1">
      <c r="A116" s="11">
        <f t="shared" si="18"/>
        <v>113</v>
      </c>
      <c r="B116" s="8">
        <v>1819</v>
      </c>
      <c r="C116" s="478" t="str">
        <f>VLOOKUP(B116,All!$B$4:$S$8977,2,FALSE)</f>
        <v>ភុស</v>
      </c>
      <c r="D116" s="479" t="str">
        <f>VLOOKUP(B116,All!$B$4:$S$89977,3,FALSE)</f>
        <v>ស្រីពៅ</v>
      </c>
      <c r="E116" s="478" t="str">
        <f>VLOOKUP(B116,All!$B$4:$S$8977,4,FALSE)</f>
        <v>PHOS</v>
      </c>
      <c r="F116" s="479" t="str">
        <f>VLOOKUP(B116,All!$B$4:$S$8977,5,FALSE)</f>
        <v>SREYPOV</v>
      </c>
      <c r="G116" s="479" t="str">
        <f>VLOOKUP(B116,All!$B$4:$S$8977,6,FALSE)</f>
        <v>F</v>
      </c>
      <c r="H116" s="385">
        <f>VLOOKUP(B116,All!$B$4:$S$8977,7,FALSE)</f>
        <v>31536</v>
      </c>
      <c r="I116" s="154">
        <f>VLOOKUP(B116,All!$B$4:$S$8977,8,FALSE)</f>
        <v>42758</v>
      </c>
      <c r="J116" s="154" t="str">
        <f>VLOOKUP(B116,All!$B$4:$S$8977,9,FALSE)</f>
        <v>Production</v>
      </c>
      <c r="K116" s="154" t="str">
        <f>VLOOKUP(B116,All!$B$4:$S$8977,10,FALSE)</f>
        <v>Line9</v>
      </c>
      <c r="L116" s="698" t="str">
        <f>VLOOKUP(B116,All!$B$4:$S$8977,11,FALSE)</f>
        <v>Sewing operator</v>
      </c>
      <c r="M116" s="570">
        <f>VLOOKUP(B116,All!$B$4:$S$8977,12,FALSE)</f>
        <v>192</v>
      </c>
      <c r="N116" s="18">
        <f>VLOOKUP(B116,All!$B$4:$S$8977,13,FALSE)</f>
        <v>5</v>
      </c>
      <c r="O116" s="18">
        <f>VLOOKUP(B116,All!$B$4:$S$8977,14,FALSE)</f>
        <v>20</v>
      </c>
      <c r="P116" s="18">
        <f>VLOOKUP(B116,All!$B$4:$S$8977,15,FALSE)</f>
        <v>0</v>
      </c>
      <c r="Q116" s="18">
        <f>VLOOKUP(B116,All!$B$4:$S$8977,16,FALSE)</f>
        <v>0</v>
      </c>
      <c r="R116" s="18">
        <v>7</v>
      </c>
      <c r="S116" s="18">
        <v>10</v>
      </c>
      <c r="T116" s="550">
        <f t="shared" si="19"/>
        <v>234</v>
      </c>
      <c r="U116" s="568"/>
      <c r="V116" s="3"/>
      <c r="W116" s="3"/>
      <c r="X116" s="3"/>
      <c r="Y116" s="562"/>
      <c r="Z116" s="570">
        <f t="shared" si="22"/>
        <v>194</v>
      </c>
      <c r="AA116" s="18">
        <f t="shared" si="23"/>
        <v>5</v>
      </c>
      <c r="AB116" s="18">
        <f t="shared" si="24"/>
        <v>20</v>
      </c>
      <c r="AC116" s="18">
        <f t="shared" si="25"/>
        <v>0</v>
      </c>
      <c r="AD116" s="18">
        <f t="shared" si="26"/>
        <v>0</v>
      </c>
      <c r="AE116" s="18">
        <f t="shared" si="20"/>
        <v>7</v>
      </c>
      <c r="AF116" s="18">
        <f t="shared" si="20"/>
        <v>10</v>
      </c>
      <c r="AG116" s="550">
        <f t="shared" si="21"/>
        <v>236</v>
      </c>
      <c r="AH116" s="42">
        <v>2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0</v>
      </c>
      <c r="AO116" s="42">
        <v>2</v>
      </c>
    </row>
    <row r="117" spans="1:41" ht="24" customHeight="1">
      <c r="A117" s="11">
        <f t="shared" si="18"/>
        <v>114</v>
      </c>
      <c r="B117" s="8">
        <v>1827</v>
      </c>
      <c r="C117" s="478" t="str">
        <f>VLOOKUP(B117,All!$B$4:$S$8977,2,FALSE)</f>
        <v>កៅ</v>
      </c>
      <c r="D117" s="479" t="str">
        <f>VLOOKUP(B117,All!$B$4:$S$89977,3,FALSE)</f>
        <v>សុធារី</v>
      </c>
      <c r="E117" s="478" t="str">
        <f>VLOOKUP(B117,All!$B$4:$S$8977,4,FALSE)</f>
        <v>KAO</v>
      </c>
      <c r="F117" s="479" t="str">
        <f>VLOOKUP(B117,All!$B$4:$S$8977,5,FALSE)</f>
        <v>SOTHEARY</v>
      </c>
      <c r="G117" s="479" t="str">
        <f>VLOOKUP(B117,All!$B$4:$S$8977,6,FALSE)</f>
        <v>F</v>
      </c>
      <c r="H117" s="385">
        <f>VLOOKUP(B117,All!$B$4:$S$8977,7,FALSE)</f>
        <v>31452</v>
      </c>
      <c r="I117" s="154">
        <f>VLOOKUP(B117,All!$B$4:$S$8977,8,FALSE)</f>
        <v>42768</v>
      </c>
      <c r="J117" s="154" t="str">
        <f>VLOOKUP(B117,All!$B$4:$S$8977,9,FALSE)</f>
        <v>Production</v>
      </c>
      <c r="K117" s="154" t="str">
        <f>VLOOKUP(B117,All!$B$4:$S$8977,10,FALSE)</f>
        <v>Sample</v>
      </c>
      <c r="L117" s="698" t="str">
        <f>VLOOKUP(B117,All!$B$4:$S$8977,11,FALSE)</f>
        <v>SL sewer</v>
      </c>
      <c r="M117" s="570">
        <f>VLOOKUP(B117,All!$B$4:$S$8977,12,FALSE)</f>
        <v>192</v>
      </c>
      <c r="N117" s="18">
        <f>VLOOKUP(B117,All!$B$4:$S$8977,13,FALSE)</f>
        <v>5</v>
      </c>
      <c r="O117" s="18">
        <f>VLOOKUP(B117,All!$B$4:$S$8977,14,FALSE)</f>
        <v>20</v>
      </c>
      <c r="P117" s="18">
        <f>VLOOKUP(B117,All!$B$4:$S$8977,15,FALSE)</f>
        <v>10</v>
      </c>
      <c r="Q117" s="18">
        <f>VLOOKUP(B117,All!$B$4:$S$8977,16,FALSE)</f>
        <v>0</v>
      </c>
      <c r="R117" s="18">
        <v>7</v>
      </c>
      <c r="S117" s="18">
        <v>10</v>
      </c>
      <c r="T117" s="550">
        <f t="shared" si="19"/>
        <v>244</v>
      </c>
      <c r="U117" s="568"/>
      <c r="V117" s="3"/>
      <c r="W117" s="3"/>
      <c r="X117" s="3"/>
      <c r="Y117" s="562"/>
      <c r="Z117" s="570">
        <f t="shared" si="22"/>
        <v>194</v>
      </c>
      <c r="AA117" s="18">
        <f t="shared" si="23"/>
        <v>5</v>
      </c>
      <c r="AB117" s="18">
        <f t="shared" si="24"/>
        <v>20</v>
      </c>
      <c r="AC117" s="18">
        <f t="shared" si="25"/>
        <v>10</v>
      </c>
      <c r="AD117" s="18">
        <f t="shared" si="26"/>
        <v>0</v>
      </c>
      <c r="AE117" s="18">
        <f t="shared" si="20"/>
        <v>7</v>
      </c>
      <c r="AF117" s="18">
        <f t="shared" si="20"/>
        <v>10</v>
      </c>
      <c r="AG117" s="550">
        <f t="shared" si="21"/>
        <v>246</v>
      </c>
      <c r="AH117" s="42">
        <v>2</v>
      </c>
      <c r="AI117" s="42">
        <v>0</v>
      </c>
      <c r="AJ117" s="42">
        <v>0</v>
      </c>
      <c r="AK117" s="42">
        <v>0</v>
      </c>
      <c r="AL117" s="42">
        <v>0</v>
      </c>
      <c r="AM117" s="42">
        <v>0</v>
      </c>
      <c r="AN117" s="42">
        <v>0</v>
      </c>
      <c r="AO117" s="42">
        <v>2</v>
      </c>
    </row>
    <row r="118" spans="1:41" ht="24" customHeight="1">
      <c r="A118" s="11">
        <f t="shared" si="18"/>
        <v>115</v>
      </c>
      <c r="B118" s="8">
        <v>1853</v>
      </c>
      <c r="C118" s="478" t="str">
        <f>VLOOKUP(B118,All!$B$4:$S$8977,2,FALSE)</f>
        <v>សុខ</v>
      </c>
      <c r="D118" s="479" t="str">
        <f>VLOOKUP(B118,All!$B$4:$S$89977,3,FALSE)</f>
        <v>សក្ខិណា</v>
      </c>
      <c r="E118" s="478" t="str">
        <f>VLOOKUP(B118,All!$B$4:$S$8977,4,FALSE)</f>
        <v>SOK</v>
      </c>
      <c r="F118" s="479" t="str">
        <f>VLOOKUP(B118,All!$B$4:$S$8977,5,FALSE)</f>
        <v>SAKHENA</v>
      </c>
      <c r="G118" s="479" t="str">
        <f>VLOOKUP(B118,All!$B$4:$S$8977,6,FALSE)</f>
        <v>F</v>
      </c>
      <c r="H118" s="385">
        <f>VLOOKUP(B118,All!$B$4:$S$8977,7,FALSE)</f>
        <v>34469</v>
      </c>
      <c r="I118" s="154">
        <f>VLOOKUP(B118,All!$B$4:$S$8977,8,FALSE)</f>
        <v>42797</v>
      </c>
      <c r="J118" s="154" t="str">
        <f>VLOOKUP(B118,All!$B$4:$S$8977,9,FALSE)</f>
        <v>Production</v>
      </c>
      <c r="K118" s="154" t="str">
        <f>VLOOKUP(B118,All!$B$4:$S$8977,10,FALSE)</f>
        <v xml:space="preserve"> Line19</v>
      </c>
      <c r="L118" s="698" t="str">
        <f>VLOOKUP(B118,All!$B$4:$S$8977,11,FALSE)</f>
        <v>Sewing operator</v>
      </c>
      <c r="M118" s="570">
        <f>VLOOKUP(B118,All!$B$4:$S$8977,12,FALSE)</f>
        <v>192</v>
      </c>
      <c r="N118" s="18">
        <f>VLOOKUP(B118,All!$B$4:$S$8977,13,FALSE)</f>
        <v>5</v>
      </c>
      <c r="O118" s="18">
        <f>VLOOKUP(B118,All!$B$4:$S$8977,14,FALSE)</f>
        <v>20</v>
      </c>
      <c r="P118" s="18">
        <f>VLOOKUP(B118,All!$B$4:$S$8977,15,FALSE)</f>
        <v>0</v>
      </c>
      <c r="Q118" s="18">
        <f>VLOOKUP(B118,All!$B$4:$S$8977,16,FALSE)</f>
        <v>0</v>
      </c>
      <c r="R118" s="18">
        <v>7</v>
      </c>
      <c r="S118" s="18">
        <v>10</v>
      </c>
      <c r="T118" s="550">
        <f t="shared" si="19"/>
        <v>234</v>
      </c>
      <c r="U118" s="568"/>
      <c r="V118" s="3"/>
      <c r="W118" s="3"/>
      <c r="X118" s="3"/>
      <c r="Y118" s="562"/>
      <c r="Z118" s="570">
        <f t="shared" si="22"/>
        <v>194</v>
      </c>
      <c r="AA118" s="18">
        <f t="shared" si="23"/>
        <v>5</v>
      </c>
      <c r="AB118" s="18">
        <f t="shared" si="24"/>
        <v>20</v>
      </c>
      <c r="AC118" s="18">
        <f t="shared" si="25"/>
        <v>0</v>
      </c>
      <c r="AD118" s="18">
        <f t="shared" si="26"/>
        <v>0</v>
      </c>
      <c r="AE118" s="18">
        <f t="shared" si="20"/>
        <v>7</v>
      </c>
      <c r="AF118" s="18">
        <f t="shared" si="20"/>
        <v>10</v>
      </c>
      <c r="AG118" s="550">
        <f t="shared" si="21"/>
        <v>236</v>
      </c>
      <c r="AH118" s="42">
        <v>2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0</v>
      </c>
      <c r="AO118" s="42">
        <v>2</v>
      </c>
    </row>
    <row r="119" spans="1:41" ht="24" customHeight="1">
      <c r="A119" s="11">
        <f t="shared" si="18"/>
        <v>116</v>
      </c>
      <c r="B119" s="8">
        <v>1857</v>
      </c>
      <c r="C119" s="478" t="str">
        <f>VLOOKUP(B119,All!$B$4:$S$8977,2,FALSE)</f>
        <v>សុខ</v>
      </c>
      <c r="D119" s="479" t="str">
        <f>VLOOKUP(B119,All!$B$4:$S$89977,3,FALSE)</f>
        <v>កេន</v>
      </c>
      <c r="E119" s="478" t="str">
        <f>VLOOKUP(B119,All!$B$4:$S$8977,4,FALSE)</f>
        <v>SOK</v>
      </c>
      <c r="F119" s="479" t="str">
        <f>VLOOKUP(B119,All!$B$4:$S$8977,5,FALSE)</f>
        <v>KEN</v>
      </c>
      <c r="G119" s="479" t="str">
        <f>VLOOKUP(B119,All!$B$4:$S$8977,6,FALSE)</f>
        <v>F</v>
      </c>
      <c r="H119" s="385">
        <f>VLOOKUP(B119,All!$B$4:$S$8977,7,FALSE)</f>
        <v>31478</v>
      </c>
      <c r="I119" s="154">
        <f>VLOOKUP(B119,All!$B$4:$S$8977,8,FALSE)</f>
        <v>42796</v>
      </c>
      <c r="J119" s="154" t="str">
        <f>VLOOKUP(B119,All!$B$4:$S$8977,9,FALSE)</f>
        <v>Production</v>
      </c>
      <c r="K119" s="154" t="str">
        <f>VLOOKUP(B119,All!$B$4:$S$8977,10,FALSE)</f>
        <v>Line17</v>
      </c>
      <c r="L119" s="698" t="str">
        <f>VLOOKUP(B119,All!$B$4:$S$8977,11,FALSE)</f>
        <v>Sewing operator</v>
      </c>
      <c r="M119" s="570">
        <f>VLOOKUP(B119,All!$B$4:$S$8977,12,FALSE)</f>
        <v>192</v>
      </c>
      <c r="N119" s="18">
        <f>VLOOKUP(B119,All!$B$4:$S$8977,13,FALSE)</f>
        <v>5</v>
      </c>
      <c r="O119" s="18">
        <f>VLOOKUP(B119,All!$B$4:$S$8977,14,FALSE)</f>
        <v>20</v>
      </c>
      <c r="P119" s="18">
        <f>VLOOKUP(B119,All!$B$4:$S$8977,15,FALSE)</f>
        <v>0</v>
      </c>
      <c r="Q119" s="18">
        <f>VLOOKUP(B119,All!$B$4:$S$8977,16,FALSE)</f>
        <v>0</v>
      </c>
      <c r="R119" s="18">
        <v>7</v>
      </c>
      <c r="S119" s="18">
        <v>10</v>
      </c>
      <c r="T119" s="550">
        <f t="shared" si="19"/>
        <v>234</v>
      </c>
      <c r="U119" s="568"/>
      <c r="V119" s="3"/>
      <c r="W119" s="3"/>
      <c r="X119" s="3"/>
      <c r="Y119" s="562"/>
      <c r="Z119" s="570">
        <f t="shared" si="22"/>
        <v>194</v>
      </c>
      <c r="AA119" s="18">
        <f t="shared" si="23"/>
        <v>5</v>
      </c>
      <c r="AB119" s="18">
        <f t="shared" si="24"/>
        <v>20</v>
      </c>
      <c r="AC119" s="18">
        <f t="shared" si="25"/>
        <v>0</v>
      </c>
      <c r="AD119" s="18">
        <f t="shared" si="26"/>
        <v>0</v>
      </c>
      <c r="AE119" s="18">
        <f t="shared" ref="AE119:AF119" si="27">R119</f>
        <v>7</v>
      </c>
      <c r="AF119" s="18">
        <f t="shared" si="27"/>
        <v>10</v>
      </c>
      <c r="AG119" s="550">
        <f t="shared" si="21"/>
        <v>236</v>
      </c>
      <c r="AH119" s="42">
        <v>2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2</v>
      </c>
    </row>
    <row r="120" spans="1:41" ht="24" customHeight="1">
      <c r="A120" s="11">
        <f t="shared" si="18"/>
        <v>117</v>
      </c>
      <c r="B120" s="8">
        <v>1874</v>
      </c>
      <c r="C120" s="478" t="str">
        <f>VLOOKUP(B120,All!$B$4:$S$8977,2,FALSE)</f>
        <v>គង់</v>
      </c>
      <c r="D120" s="479" t="str">
        <f>VLOOKUP(B120,All!$B$4:$S$89977,3,FALSE)</f>
        <v>សុផល</v>
      </c>
      <c r="E120" s="478" t="str">
        <f>VLOOKUP(B120,All!$B$4:$S$8977,4,FALSE)</f>
        <v xml:space="preserve">KONG </v>
      </c>
      <c r="F120" s="479" t="str">
        <f>VLOOKUP(B120,All!$B$4:$S$8977,5,FALSE)</f>
        <v>SOPHAL</v>
      </c>
      <c r="G120" s="479" t="str">
        <f>VLOOKUP(B120,All!$B$4:$S$8977,6,FALSE)</f>
        <v>F</v>
      </c>
      <c r="H120" s="385">
        <f>VLOOKUP(B120,All!$B$4:$S$8977,7,FALSE)</f>
        <v>34982</v>
      </c>
      <c r="I120" s="154">
        <f>VLOOKUP(B120,All!$B$4:$S$8977,8,FALSE)</f>
        <v>42804</v>
      </c>
      <c r="J120" s="154" t="str">
        <f>VLOOKUP(B120,All!$B$4:$S$8977,9,FALSE)</f>
        <v>Production</v>
      </c>
      <c r="K120" s="154" t="str">
        <f>VLOOKUP(B120,All!$B$4:$S$8977,10,FALSE)</f>
        <v>Line21</v>
      </c>
      <c r="L120" s="698" t="str">
        <f>VLOOKUP(B120,All!$B$4:$S$8977,11,FALSE)</f>
        <v>Sewing operator</v>
      </c>
      <c r="M120" s="570">
        <f>VLOOKUP(B120,All!$B$4:$S$8977,12,FALSE)</f>
        <v>192</v>
      </c>
      <c r="N120" s="18">
        <f>VLOOKUP(B120,All!$B$4:$S$8977,13,FALSE)</f>
        <v>5</v>
      </c>
      <c r="O120" s="18">
        <f>VLOOKUP(B120,All!$B$4:$S$8977,14,FALSE)</f>
        <v>20</v>
      </c>
      <c r="P120" s="18">
        <f>VLOOKUP(B120,All!$B$4:$S$8977,15,FALSE)</f>
        <v>0</v>
      </c>
      <c r="Q120" s="18">
        <f>VLOOKUP(B120,All!$B$4:$S$8977,16,FALSE)</f>
        <v>0</v>
      </c>
      <c r="R120" s="18">
        <v>7</v>
      </c>
      <c r="S120" s="18">
        <v>10</v>
      </c>
      <c r="T120" s="550">
        <f t="shared" si="19"/>
        <v>234</v>
      </c>
      <c r="U120" s="568"/>
      <c r="V120" s="3"/>
      <c r="W120" s="3"/>
      <c r="X120" s="3"/>
      <c r="Y120" s="562"/>
      <c r="Z120" s="570">
        <f t="shared" si="22"/>
        <v>194</v>
      </c>
      <c r="AA120" s="18">
        <f t="shared" si="23"/>
        <v>5</v>
      </c>
      <c r="AB120" s="18">
        <f t="shared" si="24"/>
        <v>20</v>
      </c>
      <c r="AC120" s="18">
        <f t="shared" si="25"/>
        <v>0</v>
      </c>
      <c r="AD120" s="18">
        <f t="shared" si="26"/>
        <v>0</v>
      </c>
      <c r="AE120" s="18">
        <f t="shared" ref="AE120:AF145" si="28">R120</f>
        <v>7</v>
      </c>
      <c r="AF120" s="18">
        <f t="shared" si="28"/>
        <v>10</v>
      </c>
      <c r="AG120" s="550">
        <f t="shared" si="21"/>
        <v>236</v>
      </c>
      <c r="AH120" s="42">
        <v>2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2</v>
      </c>
    </row>
    <row r="121" spans="1:41" ht="24" customHeight="1">
      <c r="A121" s="11">
        <f t="shared" si="18"/>
        <v>118</v>
      </c>
      <c r="B121" s="8">
        <v>1870</v>
      </c>
      <c r="C121" s="478" t="str">
        <f>VLOOKUP(B121,All!$B$4:$S$8977,2,FALSE)</f>
        <v>ផាត</v>
      </c>
      <c r="D121" s="479" t="str">
        <f>VLOOKUP(B121,All!$B$4:$S$89977,3,FALSE)</f>
        <v>សុ</v>
      </c>
      <c r="E121" s="478" t="str">
        <f>VLOOKUP(B121,All!$B$4:$S$8977,4,FALSE)</f>
        <v>PHATH</v>
      </c>
      <c r="F121" s="479" t="str">
        <f>VLOOKUP(B121,All!$B$4:$S$8977,5,FALSE)</f>
        <v>SO</v>
      </c>
      <c r="G121" s="479" t="str">
        <f>VLOOKUP(B121,All!$B$4:$S$8977,6,FALSE)</f>
        <v>F</v>
      </c>
      <c r="H121" s="385">
        <f>VLOOKUP(B121,All!$B$4:$S$8977,7,FALSE)</f>
        <v>31598</v>
      </c>
      <c r="I121" s="154">
        <f>VLOOKUP(B121,All!$B$4:$S$8977,8,FALSE)</f>
        <v>42801</v>
      </c>
      <c r="J121" s="154" t="str">
        <f>VLOOKUP(B121,All!$B$4:$S$8977,9,FALSE)</f>
        <v>Production</v>
      </c>
      <c r="K121" s="154" t="str">
        <f>VLOOKUP(B121,All!$B$4:$S$8977,10,FALSE)</f>
        <v>Line9</v>
      </c>
      <c r="L121" s="698" t="str">
        <f>VLOOKUP(B121,All!$B$4:$S$8977,11,FALSE)</f>
        <v>Sewing operator</v>
      </c>
      <c r="M121" s="570">
        <f>VLOOKUP(B121,All!$B$4:$S$8977,12,FALSE)</f>
        <v>192</v>
      </c>
      <c r="N121" s="18">
        <f>VLOOKUP(B121,All!$B$4:$S$8977,13,FALSE)</f>
        <v>5</v>
      </c>
      <c r="O121" s="18">
        <f>VLOOKUP(B121,All!$B$4:$S$8977,14,FALSE)</f>
        <v>20</v>
      </c>
      <c r="P121" s="18">
        <f>VLOOKUP(B121,All!$B$4:$S$8977,15,FALSE)</f>
        <v>0</v>
      </c>
      <c r="Q121" s="18">
        <f>VLOOKUP(B121,All!$B$4:$S$8977,16,FALSE)</f>
        <v>0</v>
      </c>
      <c r="R121" s="18">
        <v>7</v>
      </c>
      <c r="S121" s="18">
        <v>10</v>
      </c>
      <c r="T121" s="550">
        <f t="shared" si="19"/>
        <v>234</v>
      </c>
      <c r="U121" s="568"/>
      <c r="V121" s="3"/>
      <c r="W121" s="3"/>
      <c r="X121" s="3"/>
      <c r="Y121" s="562"/>
      <c r="Z121" s="570">
        <f t="shared" si="22"/>
        <v>194</v>
      </c>
      <c r="AA121" s="18">
        <f t="shared" si="23"/>
        <v>5</v>
      </c>
      <c r="AB121" s="18">
        <f t="shared" si="24"/>
        <v>20</v>
      </c>
      <c r="AC121" s="18">
        <f t="shared" si="25"/>
        <v>0</v>
      </c>
      <c r="AD121" s="18">
        <f t="shared" si="26"/>
        <v>0</v>
      </c>
      <c r="AE121" s="18">
        <f t="shared" si="28"/>
        <v>7</v>
      </c>
      <c r="AF121" s="18">
        <f t="shared" si="28"/>
        <v>10</v>
      </c>
      <c r="AG121" s="550">
        <f t="shared" si="21"/>
        <v>236</v>
      </c>
      <c r="AH121" s="42">
        <v>2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2</v>
      </c>
    </row>
    <row r="122" spans="1:41" ht="24" customHeight="1">
      <c r="A122" s="11">
        <f t="shared" si="18"/>
        <v>119</v>
      </c>
      <c r="B122" s="8">
        <v>1917</v>
      </c>
      <c r="C122" s="478" t="str">
        <f>VLOOKUP(B122,All!$B$4:$S$8977,2,FALSE)</f>
        <v>សំ</v>
      </c>
      <c r="D122" s="479" t="str">
        <f>VLOOKUP(B122,All!$B$4:$S$89977,3,FALSE)</f>
        <v>ភាស់</v>
      </c>
      <c r="E122" s="478" t="str">
        <f>VLOOKUP(B122,All!$B$4:$S$8977,4,FALSE)</f>
        <v>SAM</v>
      </c>
      <c r="F122" s="479" t="str">
        <f>VLOOKUP(B122,All!$B$4:$S$8977,5,FALSE)</f>
        <v>PHORS</v>
      </c>
      <c r="G122" s="479" t="str">
        <f>VLOOKUP(B122,All!$B$4:$S$8977,6,FALSE)</f>
        <v>F</v>
      </c>
      <c r="H122" s="385">
        <f>VLOOKUP(B122,All!$B$4:$S$8977,7,FALSE)</f>
        <v>33727</v>
      </c>
      <c r="I122" s="154">
        <f>VLOOKUP(B122,All!$B$4:$S$8977,8,FALSE)</f>
        <v>42845</v>
      </c>
      <c r="J122" s="154" t="str">
        <f>VLOOKUP(B122,All!$B$4:$S$8977,9,FALSE)</f>
        <v>Production</v>
      </c>
      <c r="K122" s="154" t="str">
        <f>VLOOKUP(B122,All!$B$4:$S$8977,10,FALSE)</f>
        <v>Line9</v>
      </c>
      <c r="L122" s="698" t="str">
        <f>VLOOKUP(B122,All!$B$4:$S$8977,11,FALSE)</f>
        <v>Sewing operator</v>
      </c>
      <c r="M122" s="570">
        <f>VLOOKUP(B122,All!$B$4:$S$8977,12,FALSE)</f>
        <v>192</v>
      </c>
      <c r="N122" s="18">
        <f>VLOOKUP(B122,All!$B$4:$S$8977,13,FALSE)</f>
        <v>5</v>
      </c>
      <c r="O122" s="18">
        <f>VLOOKUP(B122,All!$B$4:$S$8977,14,FALSE)</f>
        <v>20</v>
      </c>
      <c r="P122" s="18">
        <f>VLOOKUP(B122,All!$B$4:$S$8977,15,FALSE)</f>
        <v>0</v>
      </c>
      <c r="Q122" s="18">
        <f>VLOOKUP(B122,All!$B$4:$S$8977,16,FALSE)</f>
        <v>0</v>
      </c>
      <c r="R122" s="18">
        <v>7</v>
      </c>
      <c r="S122" s="18">
        <v>10</v>
      </c>
      <c r="T122" s="550">
        <f t="shared" ref="T122:T172" si="29">SUM(M122:S122)</f>
        <v>234</v>
      </c>
      <c r="U122" s="568"/>
      <c r="V122" s="3"/>
      <c r="W122" s="3"/>
      <c r="X122" s="3"/>
      <c r="Y122" s="562"/>
      <c r="Z122" s="570">
        <f t="shared" si="22"/>
        <v>194</v>
      </c>
      <c r="AA122" s="18">
        <f t="shared" si="23"/>
        <v>5</v>
      </c>
      <c r="AB122" s="18">
        <f t="shared" si="24"/>
        <v>20</v>
      </c>
      <c r="AC122" s="18">
        <f t="shared" si="25"/>
        <v>0</v>
      </c>
      <c r="AD122" s="18">
        <f t="shared" si="26"/>
        <v>0</v>
      </c>
      <c r="AE122" s="18">
        <f t="shared" si="28"/>
        <v>7</v>
      </c>
      <c r="AF122" s="18">
        <f t="shared" si="28"/>
        <v>10</v>
      </c>
      <c r="AG122" s="550">
        <f t="shared" si="21"/>
        <v>236</v>
      </c>
      <c r="AH122" s="42">
        <v>2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0</v>
      </c>
      <c r="AO122" s="42">
        <v>2</v>
      </c>
    </row>
    <row r="123" spans="1:41" ht="24" customHeight="1">
      <c r="A123" s="11">
        <f t="shared" si="18"/>
        <v>120</v>
      </c>
      <c r="B123" s="8">
        <v>1925</v>
      </c>
      <c r="C123" s="478" t="str">
        <f>VLOOKUP(B123,All!$B$4:$S$8977,2,FALSE)</f>
        <v>កែវ</v>
      </c>
      <c r="D123" s="479" t="str">
        <f>VLOOKUP(B123,All!$B$4:$S$89977,3,FALSE)</f>
        <v>ស្រីស្រស់</v>
      </c>
      <c r="E123" s="478" t="str">
        <f>VLOOKUP(B123,All!$B$4:$S$8977,4,FALSE)</f>
        <v>KEO</v>
      </c>
      <c r="F123" s="479" t="str">
        <f>VLOOKUP(B123,All!$B$4:$S$8977,5,FALSE)</f>
        <v>SREYSRAS</v>
      </c>
      <c r="G123" s="479" t="str">
        <f>VLOOKUP(B123,All!$B$4:$S$8977,6,FALSE)</f>
        <v>F</v>
      </c>
      <c r="H123" s="385">
        <f>VLOOKUP(B123,All!$B$4:$S$8977,7,FALSE)</f>
        <v>32417</v>
      </c>
      <c r="I123" s="154">
        <f>VLOOKUP(B123,All!$B$4:$S$8977,8,FALSE)</f>
        <v>42846</v>
      </c>
      <c r="J123" s="154" t="str">
        <f>VLOOKUP(B123,All!$B$4:$S$8977,9,FALSE)</f>
        <v>Production</v>
      </c>
      <c r="K123" s="154" t="str">
        <f>VLOOKUP(B123,All!$B$4:$S$8977,10,FALSE)</f>
        <v xml:space="preserve"> Line3</v>
      </c>
      <c r="L123" s="698" t="str">
        <f>VLOOKUP(B123,All!$B$4:$S$8977,11,FALSE)</f>
        <v>Sewing operator</v>
      </c>
      <c r="M123" s="570">
        <f>VLOOKUP(B123,All!$B$4:$S$8977,12,FALSE)</f>
        <v>192</v>
      </c>
      <c r="N123" s="18">
        <f>VLOOKUP(B123,All!$B$4:$S$8977,13,FALSE)</f>
        <v>5</v>
      </c>
      <c r="O123" s="18">
        <f>VLOOKUP(B123,All!$B$4:$S$8977,14,FALSE)</f>
        <v>20</v>
      </c>
      <c r="P123" s="18">
        <f>VLOOKUP(B123,All!$B$4:$S$8977,15,FALSE)</f>
        <v>0</v>
      </c>
      <c r="Q123" s="18">
        <f>VLOOKUP(B123,All!$B$4:$S$8977,16,FALSE)</f>
        <v>0</v>
      </c>
      <c r="R123" s="18">
        <v>7</v>
      </c>
      <c r="S123" s="18">
        <v>10</v>
      </c>
      <c r="T123" s="550">
        <f t="shared" si="29"/>
        <v>234</v>
      </c>
      <c r="U123" s="568"/>
      <c r="V123" s="3"/>
      <c r="W123" s="3"/>
      <c r="X123" s="3"/>
      <c r="Y123" s="562"/>
      <c r="Z123" s="570">
        <f t="shared" si="22"/>
        <v>194</v>
      </c>
      <c r="AA123" s="18">
        <f t="shared" si="23"/>
        <v>5</v>
      </c>
      <c r="AB123" s="18">
        <f t="shared" si="24"/>
        <v>20</v>
      </c>
      <c r="AC123" s="18">
        <f t="shared" si="25"/>
        <v>0</v>
      </c>
      <c r="AD123" s="18">
        <f t="shared" si="26"/>
        <v>0</v>
      </c>
      <c r="AE123" s="18">
        <f t="shared" si="28"/>
        <v>7</v>
      </c>
      <c r="AF123" s="18">
        <f t="shared" si="28"/>
        <v>10</v>
      </c>
      <c r="AG123" s="550">
        <f t="shared" si="21"/>
        <v>236</v>
      </c>
      <c r="AH123" s="42">
        <v>2</v>
      </c>
      <c r="AI123" s="42">
        <v>0</v>
      </c>
      <c r="AJ123" s="42">
        <v>0</v>
      </c>
      <c r="AK123" s="42">
        <v>0</v>
      </c>
      <c r="AL123" s="42">
        <v>0</v>
      </c>
      <c r="AM123" s="42">
        <v>0</v>
      </c>
      <c r="AN123" s="42">
        <v>0</v>
      </c>
      <c r="AO123" s="42">
        <v>2</v>
      </c>
    </row>
    <row r="124" spans="1:41" ht="24" customHeight="1">
      <c r="A124" s="11">
        <f t="shared" si="18"/>
        <v>121</v>
      </c>
      <c r="B124" s="8">
        <v>1931</v>
      </c>
      <c r="C124" s="478" t="str">
        <f>VLOOKUP(B124,All!$B$4:$S$8977,2,FALSE)</f>
        <v>ចាន់</v>
      </c>
      <c r="D124" s="479" t="str">
        <f>VLOOKUP(B124,All!$B$4:$S$89977,3,FALSE)</f>
        <v>សុខុន</v>
      </c>
      <c r="E124" s="478" t="str">
        <f>VLOOKUP(B124,All!$B$4:$S$8977,4,FALSE)</f>
        <v>CHAN</v>
      </c>
      <c r="F124" s="479" t="str">
        <f>VLOOKUP(B124,All!$B$4:$S$8977,5,FALSE)</f>
        <v>SOKHON</v>
      </c>
      <c r="G124" s="479" t="str">
        <f>VLOOKUP(B124,All!$B$4:$S$8977,6,FALSE)</f>
        <v>F</v>
      </c>
      <c r="H124" s="385">
        <f>VLOOKUP(B124,All!$B$4:$S$8977,7,FALSE)</f>
        <v>29465</v>
      </c>
      <c r="I124" s="154">
        <f>VLOOKUP(B124,All!$B$4:$S$8977,8,FALSE)</f>
        <v>42846</v>
      </c>
      <c r="J124" s="154" t="str">
        <f>VLOOKUP(B124,All!$B$4:$S$8977,9,FALSE)</f>
        <v>Production</v>
      </c>
      <c r="K124" s="154" t="str">
        <f>VLOOKUP(B124,All!$B$4:$S$8977,10,FALSE)</f>
        <v>Line20</v>
      </c>
      <c r="L124" s="698" t="str">
        <f>VLOOKUP(B124,All!$B$4:$S$8977,11,FALSE)</f>
        <v>Sewing operator</v>
      </c>
      <c r="M124" s="570">
        <f>VLOOKUP(B124,All!$B$4:$S$8977,12,FALSE)</f>
        <v>192</v>
      </c>
      <c r="N124" s="18">
        <f>VLOOKUP(B124,All!$B$4:$S$8977,13,FALSE)</f>
        <v>5</v>
      </c>
      <c r="O124" s="18">
        <f>VLOOKUP(B124,All!$B$4:$S$8977,14,FALSE)</f>
        <v>20</v>
      </c>
      <c r="P124" s="18">
        <f>VLOOKUP(B124,All!$B$4:$S$8977,15,FALSE)</f>
        <v>0</v>
      </c>
      <c r="Q124" s="18">
        <f>VLOOKUP(B124,All!$B$4:$S$8977,16,FALSE)</f>
        <v>0</v>
      </c>
      <c r="R124" s="18">
        <v>7</v>
      </c>
      <c r="S124" s="18">
        <v>10</v>
      </c>
      <c r="T124" s="550">
        <f t="shared" si="29"/>
        <v>234</v>
      </c>
      <c r="U124" s="568"/>
      <c r="V124" s="3"/>
      <c r="W124" s="3"/>
      <c r="X124" s="3"/>
      <c r="Y124" s="562"/>
      <c r="Z124" s="570">
        <f t="shared" si="22"/>
        <v>194</v>
      </c>
      <c r="AA124" s="18">
        <f t="shared" si="23"/>
        <v>5</v>
      </c>
      <c r="AB124" s="18">
        <f t="shared" si="24"/>
        <v>20</v>
      </c>
      <c r="AC124" s="18">
        <f t="shared" si="25"/>
        <v>0</v>
      </c>
      <c r="AD124" s="18">
        <f t="shared" si="26"/>
        <v>0</v>
      </c>
      <c r="AE124" s="18">
        <f t="shared" si="28"/>
        <v>7</v>
      </c>
      <c r="AF124" s="18">
        <f t="shared" si="28"/>
        <v>10</v>
      </c>
      <c r="AG124" s="550">
        <f t="shared" si="21"/>
        <v>236</v>
      </c>
      <c r="AH124" s="42">
        <v>2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2</v>
      </c>
    </row>
    <row r="125" spans="1:41" ht="24" customHeight="1">
      <c r="A125" s="11">
        <f t="shared" si="18"/>
        <v>122</v>
      </c>
      <c r="B125" s="8">
        <v>1942</v>
      </c>
      <c r="C125" s="478" t="str">
        <f>VLOOKUP(B125,All!$B$4:$S$8977,2,FALSE)</f>
        <v>ពៅ</v>
      </c>
      <c r="D125" s="479" t="str">
        <f>VLOOKUP(B125,All!$B$4:$S$89977,3,FALSE)</f>
        <v>សុខឃៀម</v>
      </c>
      <c r="E125" s="478" t="str">
        <f>VLOOKUP(B125,All!$B$4:$S$8977,4,FALSE)</f>
        <v>POV</v>
      </c>
      <c r="F125" s="479" t="str">
        <f>VLOOKUP(B125,All!$B$4:$S$8977,5,FALSE)</f>
        <v>SOKKHIEM</v>
      </c>
      <c r="G125" s="479" t="str">
        <f>VLOOKUP(B125,All!$B$4:$S$8977,6,FALSE)</f>
        <v>F</v>
      </c>
      <c r="H125" s="385">
        <f>VLOOKUP(B125,All!$B$4:$S$8977,7,FALSE)</f>
        <v>33361</v>
      </c>
      <c r="I125" s="154">
        <f>VLOOKUP(B125,All!$B$4:$S$8977,8,FALSE)</f>
        <v>42847</v>
      </c>
      <c r="J125" s="154" t="str">
        <f>VLOOKUP(B125,All!$B$4:$S$8977,9,FALSE)</f>
        <v>Production</v>
      </c>
      <c r="K125" s="154" t="str">
        <f>VLOOKUP(B125,All!$B$4:$S$8977,10,FALSE)</f>
        <v>Line 11</v>
      </c>
      <c r="L125" s="698" t="str">
        <f>VLOOKUP(B125,All!$B$4:$S$8977,11,FALSE)</f>
        <v>Sewing operator</v>
      </c>
      <c r="M125" s="570">
        <f>VLOOKUP(B125,All!$B$4:$S$8977,12,FALSE)</f>
        <v>192</v>
      </c>
      <c r="N125" s="18">
        <f>VLOOKUP(B125,All!$B$4:$S$8977,13,FALSE)</f>
        <v>5</v>
      </c>
      <c r="O125" s="18">
        <f>VLOOKUP(B125,All!$B$4:$S$8977,14,FALSE)</f>
        <v>20</v>
      </c>
      <c r="P125" s="18">
        <f>VLOOKUP(B125,All!$B$4:$S$8977,15,FALSE)</f>
        <v>0</v>
      </c>
      <c r="Q125" s="18">
        <f>VLOOKUP(B125,All!$B$4:$S$8977,16,FALSE)</f>
        <v>0</v>
      </c>
      <c r="R125" s="18">
        <v>7</v>
      </c>
      <c r="S125" s="18">
        <v>10</v>
      </c>
      <c r="T125" s="550">
        <f t="shared" si="29"/>
        <v>234</v>
      </c>
      <c r="U125" s="568"/>
      <c r="V125" s="3"/>
      <c r="W125" s="3"/>
      <c r="X125" s="3"/>
      <c r="Y125" s="562"/>
      <c r="Z125" s="570">
        <f t="shared" si="22"/>
        <v>194</v>
      </c>
      <c r="AA125" s="18">
        <f t="shared" si="23"/>
        <v>5</v>
      </c>
      <c r="AB125" s="18">
        <f t="shared" si="24"/>
        <v>20</v>
      </c>
      <c r="AC125" s="18">
        <f t="shared" si="25"/>
        <v>0</v>
      </c>
      <c r="AD125" s="18">
        <f t="shared" si="26"/>
        <v>0</v>
      </c>
      <c r="AE125" s="18">
        <f t="shared" si="28"/>
        <v>7</v>
      </c>
      <c r="AF125" s="18">
        <f t="shared" si="28"/>
        <v>10</v>
      </c>
      <c r="AG125" s="550">
        <f t="shared" si="21"/>
        <v>236</v>
      </c>
      <c r="AH125" s="42">
        <v>2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2</v>
      </c>
    </row>
    <row r="126" spans="1:41" ht="24" customHeight="1">
      <c r="A126" s="11">
        <f t="shared" si="18"/>
        <v>123</v>
      </c>
      <c r="B126" s="8">
        <v>1945</v>
      </c>
      <c r="C126" s="478" t="str">
        <f>VLOOKUP(B126,All!$B$4:$S$8977,2,FALSE)</f>
        <v>នាក់</v>
      </c>
      <c r="D126" s="479" t="str">
        <f>VLOOKUP(B126,All!$B$4:$S$89977,3,FALSE)</f>
        <v>វណ្ណៈ</v>
      </c>
      <c r="E126" s="478" t="str">
        <f>VLOOKUP(B126,All!$B$4:$S$8977,4,FALSE)</f>
        <v>NEAK</v>
      </c>
      <c r="F126" s="479" t="str">
        <f>VLOOKUP(B126,All!$B$4:$S$8977,5,FALSE)</f>
        <v>VANNAK</v>
      </c>
      <c r="G126" s="479" t="str">
        <f>VLOOKUP(B126,All!$B$4:$S$8977,6,FALSE)</f>
        <v>F</v>
      </c>
      <c r="H126" s="385">
        <f>VLOOKUP(B126,All!$B$4:$S$8977,7,FALSE)</f>
        <v>35285</v>
      </c>
      <c r="I126" s="154">
        <f>VLOOKUP(B126,All!$B$4:$S$8977,8,FALSE)</f>
        <v>42849</v>
      </c>
      <c r="J126" s="154" t="str">
        <f>VLOOKUP(B126,All!$B$4:$S$8977,9,FALSE)</f>
        <v>Production</v>
      </c>
      <c r="K126" s="154" t="str">
        <f>VLOOKUP(B126,All!$B$4:$S$8977,10,FALSE)</f>
        <v>QC B</v>
      </c>
      <c r="L126" s="698" t="str">
        <f>VLOOKUP(B126,All!$B$4:$S$8977,11,FALSE)</f>
        <v>Inspector</v>
      </c>
      <c r="M126" s="570">
        <f>VLOOKUP(B126,All!$B$4:$S$8977,12,FALSE)</f>
        <v>192</v>
      </c>
      <c r="N126" s="18">
        <f>VLOOKUP(B126,All!$B$4:$S$8977,13,FALSE)</f>
        <v>5</v>
      </c>
      <c r="O126" s="18">
        <f>VLOOKUP(B126,All!$B$4:$S$8977,14,FALSE)</f>
        <v>20</v>
      </c>
      <c r="P126" s="18">
        <f>VLOOKUP(B126,All!$B$4:$S$8977,15,FALSE)</f>
        <v>0</v>
      </c>
      <c r="Q126" s="18">
        <f>VLOOKUP(B126,All!$B$4:$S$8977,16,FALSE)</f>
        <v>0</v>
      </c>
      <c r="R126" s="18">
        <v>7</v>
      </c>
      <c r="S126" s="18">
        <v>10</v>
      </c>
      <c r="T126" s="550">
        <f t="shared" si="29"/>
        <v>234</v>
      </c>
      <c r="U126" s="568"/>
      <c r="V126" s="3"/>
      <c r="W126" s="3"/>
      <c r="X126" s="3"/>
      <c r="Y126" s="562"/>
      <c r="Z126" s="570">
        <f t="shared" si="22"/>
        <v>194</v>
      </c>
      <c r="AA126" s="18">
        <f t="shared" si="23"/>
        <v>5</v>
      </c>
      <c r="AB126" s="18">
        <f t="shared" si="24"/>
        <v>20</v>
      </c>
      <c r="AC126" s="18">
        <f t="shared" si="25"/>
        <v>0</v>
      </c>
      <c r="AD126" s="18">
        <f t="shared" si="26"/>
        <v>0</v>
      </c>
      <c r="AE126" s="18">
        <f t="shared" si="28"/>
        <v>7</v>
      </c>
      <c r="AF126" s="18">
        <f t="shared" si="28"/>
        <v>10</v>
      </c>
      <c r="AG126" s="550">
        <f t="shared" si="21"/>
        <v>236</v>
      </c>
      <c r="AH126" s="42">
        <v>2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2</v>
      </c>
    </row>
    <row r="127" spans="1:41" ht="24" customHeight="1">
      <c r="A127" s="11">
        <f t="shared" si="18"/>
        <v>124</v>
      </c>
      <c r="B127" s="93">
        <v>1920</v>
      </c>
      <c r="C127" s="478" t="str">
        <f>VLOOKUP(B127,All!$B$4:$S$8977,2,FALSE)</f>
        <v>ជា</v>
      </c>
      <c r="D127" s="479" t="str">
        <f>VLOOKUP(B127,All!$B$4:$S$89977,3,FALSE)</f>
        <v>ស្រីនិច</v>
      </c>
      <c r="E127" s="478" t="str">
        <f>VLOOKUP(B127,All!$B$4:$S$8977,4,FALSE)</f>
        <v>CHEA</v>
      </c>
      <c r="F127" s="479" t="str">
        <f>VLOOKUP(B127,All!$B$4:$S$8977,5,FALSE)</f>
        <v>SREYNICH</v>
      </c>
      <c r="G127" s="479" t="str">
        <f>VLOOKUP(B127,All!$B$4:$S$8977,6,FALSE)</f>
        <v>F</v>
      </c>
      <c r="H127" s="385">
        <f>VLOOKUP(B127,All!$B$4:$S$8977,7,FALSE)</f>
        <v>35999</v>
      </c>
      <c r="I127" s="154">
        <f>VLOOKUP(B127,All!$B$4:$S$8977,8,FALSE)</f>
        <v>42846</v>
      </c>
      <c r="J127" s="154" t="str">
        <f>VLOOKUP(B127,All!$B$4:$S$8977,9,FALSE)</f>
        <v>Production</v>
      </c>
      <c r="K127" s="154" t="str">
        <f>VLOOKUP(B127,All!$B$4:$S$8977,10,FALSE)</f>
        <v xml:space="preserve"> Line18</v>
      </c>
      <c r="L127" s="698" t="str">
        <f>VLOOKUP(B127,All!$B$4:$S$8977,11,FALSE)</f>
        <v>Sewing operator</v>
      </c>
      <c r="M127" s="570">
        <f>VLOOKUP(B127,All!$B$4:$S$8977,12,FALSE)</f>
        <v>192</v>
      </c>
      <c r="N127" s="18">
        <f>VLOOKUP(B127,All!$B$4:$S$8977,13,FALSE)</f>
        <v>5</v>
      </c>
      <c r="O127" s="18">
        <f>VLOOKUP(B127,All!$B$4:$S$8977,14,FALSE)</f>
        <v>20</v>
      </c>
      <c r="P127" s="18">
        <f>VLOOKUP(B127,All!$B$4:$S$8977,15,FALSE)</f>
        <v>0</v>
      </c>
      <c r="Q127" s="18">
        <f>VLOOKUP(B127,All!$B$4:$S$8977,16,FALSE)</f>
        <v>0</v>
      </c>
      <c r="R127" s="18">
        <v>7</v>
      </c>
      <c r="S127" s="18">
        <v>10</v>
      </c>
      <c r="T127" s="550">
        <f t="shared" si="29"/>
        <v>234</v>
      </c>
      <c r="U127" s="568"/>
      <c r="V127" s="3"/>
      <c r="W127" s="3"/>
      <c r="X127" s="3"/>
      <c r="Y127" s="562"/>
      <c r="Z127" s="570">
        <f t="shared" si="22"/>
        <v>194</v>
      </c>
      <c r="AA127" s="18">
        <f t="shared" si="23"/>
        <v>5</v>
      </c>
      <c r="AB127" s="18">
        <f t="shared" si="24"/>
        <v>20</v>
      </c>
      <c r="AC127" s="18">
        <f t="shared" si="25"/>
        <v>0</v>
      </c>
      <c r="AD127" s="18">
        <f t="shared" si="26"/>
        <v>0</v>
      </c>
      <c r="AE127" s="18">
        <f t="shared" si="28"/>
        <v>7</v>
      </c>
      <c r="AF127" s="18">
        <f t="shared" si="28"/>
        <v>10</v>
      </c>
      <c r="AG127" s="550">
        <f t="shared" si="21"/>
        <v>236</v>
      </c>
      <c r="AH127" s="42">
        <v>2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2</v>
      </c>
    </row>
    <row r="128" spans="1:41" ht="24" customHeight="1">
      <c r="A128" s="11">
        <f t="shared" si="18"/>
        <v>125</v>
      </c>
      <c r="B128" s="8">
        <v>2022</v>
      </c>
      <c r="C128" s="478" t="str">
        <f>VLOOKUP(B128,All!$B$4:$S$8977,2,FALSE)</f>
        <v>រស់</v>
      </c>
      <c r="D128" s="479" t="str">
        <f>VLOOKUP(B128,All!$B$4:$S$89977,3,FALSE)</f>
        <v>ហែ</v>
      </c>
      <c r="E128" s="478" t="str">
        <f>VLOOKUP(B128,All!$B$4:$S$8977,4,FALSE)</f>
        <v>RUOS</v>
      </c>
      <c r="F128" s="479" t="str">
        <f>VLOOKUP(B128,All!$B$4:$S$8977,5,FALSE)</f>
        <v>HE</v>
      </c>
      <c r="G128" s="479" t="str">
        <f>VLOOKUP(B128,All!$B$4:$S$8977,6,FALSE)</f>
        <v>F</v>
      </c>
      <c r="H128" s="385">
        <f>VLOOKUP(B128,All!$B$4:$S$8977,7,FALSE)</f>
        <v>29219</v>
      </c>
      <c r="I128" s="154">
        <f>VLOOKUP(B128,All!$B$4:$S$8977,8,FALSE)</f>
        <v>42899</v>
      </c>
      <c r="J128" s="154" t="str">
        <f>VLOOKUP(B128,All!$B$4:$S$8977,9,FALSE)</f>
        <v>Production</v>
      </c>
      <c r="K128" s="154" t="str">
        <f>VLOOKUP(B128,All!$B$4:$S$8977,10,FALSE)</f>
        <v>Line20</v>
      </c>
      <c r="L128" s="698" t="str">
        <f>VLOOKUP(B128,All!$B$4:$S$8977,11,FALSE)</f>
        <v>Sewing operator</v>
      </c>
      <c r="M128" s="570">
        <f>VLOOKUP(B128,All!$B$4:$S$8977,12,FALSE)</f>
        <v>192</v>
      </c>
      <c r="N128" s="18">
        <f>VLOOKUP(B128,All!$B$4:$S$8977,13,FALSE)</f>
        <v>5</v>
      </c>
      <c r="O128" s="18">
        <f>VLOOKUP(B128,All!$B$4:$S$8977,14,FALSE)</f>
        <v>20</v>
      </c>
      <c r="P128" s="18">
        <f>VLOOKUP(B128,All!$B$4:$S$8977,15,FALSE)</f>
        <v>0</v>
      </c>
      <c r="Q128" s="18">
        <f>VLOOKUP(B128,All!$B$4:$S$8977,16,FALSE)</f>
        <v>0</v>
      </c>
      <c r="R128" s="18">
        <v>7</v>
      </c>
      <c r="S128" s="18">
        <v>10</v>
      </c>
      <c r="T128" s="550">
        <f t="shared" si="29"/>
        <v>234</v>
      </c>
      <c r="U128" s="568"/>
      <c r="V128" s="3"/>
      <c r="W128" s="3"/>
      <c r="X128" s="3"/>
      <c r="Y128" s="562"/>
      <c r="Z128" s="570">
        <f t="shared" si="22"/>
        <v>194</v>
      </c>
      <c r="AA128" s="18">
        <f t="shared" si="23"/>
        <v>5</v>
      </c>
      <c r="AB128" s="18">
        <f t="shared" si="24"/>
        <v>20</v>
      </c>
      <c r="AC128" s="18">
        <f t="shared" si="25"/>
        <v>0</v>
      </c>
      <c r="AD128" s="18">
        <f t="shared" si="26"/>
        <v>0</v>
      </c>
      <c r="AE128" s="18">
        <f t="shared" si="28"/>
        <v>7</v>
      </c>
      <c r="AF128" s="18">
        <f t="shared" si="28"/>
        <v>10</v>
      </c>
      <c r="AG128" s="550">
        <f t="shared" si="21"/>
        <v>236</v>
      </c>
      <c r="AH128" s="42">
        <v>2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0</v>
      </c>
      <c r="AO128" s="42">
        <v>2</v>
      </c>
    </row>
    <row r="129" spans="1:41" ht="24" customHeight="1">
      <c r="A129" s="11">
        <f t="shared" si="18"/>
        <v>126</v>
      </c>
      <c r="B129" s="8">
        <v>2107</v>
      </c>
      <c r="C129" s="478" t="str">
        <f>VLOOKUP(B129,All!$B$4:$S$8977,2,FALSE)</f>
        <v>សារ</v>
      </c>
      <c r="D129" s="479" t="str">
        <f>VLOOKUP(B129,All!$B$4:$S$89977,3,FALSE)</f>
        <v>ស្រីនួន</v>
      </c>
      <c r="E129" s="478" t="str">
        <f>VLOOKUP(B129,All!$B$4:$S$8977,4,FALSE)</f>
        <v>SA</v>
      </c>
      <c r="F129" s="479" t="str">
        <f>VLOOKUP(B129,All!$B$4:$S$8977,5,FALSE)</f>
        <v>SREYNUON</v>
      </c>
      <c r="G129" s="479" t="str">
        <f>VLOOKUP(B129,All!$B$4:$S$8977,6,FALSE)</f>
        <v>F</v>
      </c>
      <c r="H129" s="385">
        <f>VLOOKUP(B129,All!$B$4:$S$8977,7,FALSE)</f>
        <v>35705</v>
      </c>
      <c r="I129" s="154">
        <f>VLOOKUP(B129,All!$B$4:$S$8977,8,FALSE)</f>
        <v>42931</v>
      </c>
      <c r="J129" s="154" t="str">
        <f>VLOOKUP(B129,All!$B$4:$S$8977,9,FALSE)</f>
        <v>Production</v>
      </c>
      <c r="K129" s="154" t="str">
        <f>VLOOKUP(B129,All!$B$4:$S$8977,10,FALSE)</f>
        <v xml:space="preserve"> Line8</v>
      </c>
      <c r="L129" s="698" t="str">
        <f>VLOOKUP(B129,All!$B$4:$S$8977,11,FALSE)</f>
        <v>Sewing operator</v>
      </c>
      <c r="M129" s="570">
        <f>VLOOKUP(B129,All!$B$4:$S$8977,12,FALSE)</f>
        <v>192</v>
      </c>
      <c r="N129" s="18">
        <f>VLOOKUP(B129,All!$B$4:$S$8977,13,FALSE)</f>
        <v>5</v>
      </c>
      <c r="O129" s="18">
        <f>VLOOKUP(B129,All!$B$4:$S$8977,14,FALSE)</f>
        <v>20</v>
      </c>
      <c r="P129" s="18">
        <f>VLOOKUP(B129,All!$B$4:$S$8977,15,FALSE)</f>
        <v>0</v>
      </c>
      <c r="Q129" s="18">
        <f>VLOOKUP(B129,All!$B$4:$S$8977,16,FALSE)</f>
        <v>0</v>
      </c>
      <c r="R129" s="18">
        <v>7</v>
      </c>
      <c r="S129" s="18">
        <v>10</v>
      </c>
      <c r="T129" s="550">
        <f t="shared" si="29"/>
        <v>234</v>
      </c>
      <c r="U129" s="568"/>
      <c r="V129" s="3"/>
      <c r="W129" s="3"/>
      <c r="X129" s="3"/>
      <c r="Y129" s="562"/>
      <c r="Z129" s="570">
        <f t="shared" si="22"/>
        <v>194</v>
      </c>
      <c r="AA129" s="18">
        <f t="shared" si="23"/>
        <v>5</v>
      </c>
      <c r="AB129" s="18">
        <f t="shared" si="24"/>
        <v>20</v>
      </c>
      <c r="AC129" s="18">
        <f t="shared" si="25"/>
        <v>0</v>
      </c>
      <c r="AD129" s="18">
        <f t="shared" si="26"/>
        <v>0</v>
      </c>
      <c r="AE129" s="18">
        <f t="shared" si="28"/>
        <v>7</v>
      </c>
      <c r="AF129" s="18">
        <f t="shared" si="28"/>
        <v>10</v>
      </c>
      <c r="AG129" s="550">
        <f t="shared" si="21"/>
        <v>236</v>
      </c>
      <c r="AH129" s="42">
        <v>2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2</v>
      </c>
    </row>
    <row r="130" spans="1:41" ht="24" customHeight="1">
      <c r="A130" s="11">
        <f t="shared" si="18"/>
        <v>127</v>
      </c>
      <c r="B130" s="8">
        <v>2103</v>
      </c>
      <c r="C130" s="478" t="str">
        <f>VLOOKUP(B130,All!$B$4:$S$8977,2,FALSE)</f>
        <v>ខុន</v>
      </c>
      <c r="D130" s="479" t="str">
        <f>VLOOKUP(B130,All!$B$4:$S$89977,3,FALSE)</f>
        <v>ចន្ធូ</v>
      </c>
      <c r="E130" s="478" t="str">
        <f>VLOOKUP(B130,All!$B$4:$S$8977,4,FALSE)</f>
        <v>KHON</v>
      </c>
      <c r="F130" s="479" t="str">
        <f>VLOOKUP(B130,All!$B$4:$S$8977,5,FALSE)</f>
        <v>CHANTHOU</v>
      </c>
      <c r="G130" s="479" t="str">
        <f>VLOOKUP(B130,All!$B$4:$S$8977,6,FALSE)</f>
        <v>F</v>
      </c>
      <c r="H130" s="385">
        <f>VLOOKUP(B130,All!$B$4:$S$8977,7,FALSE)</f>
        <v>33270</v>
      </c>
      <c r="I130" s="154">
        <f>VLOOKUP(B130,All!$B$4:$S$8977,8,FALSE)</f>
        <v>42930</v>
      </c>
      <c r="J130" s="154" t="str">
        <f>VLOOKUP(B130,All!$B$4:$S$8977,9,FALSE)</f>
        <v>Production</v>
      </c>
      <c r="K130" s="154" t="str">
        <f>VLOOKUP(B130,All!$B$4:$S$8977,10,FALSE)</f>
        <v xml:space="preserve"> Line2</v>
      </c>
      <c r="L130" s="698" t="str">
        <f>VLOOKUP(B130,All!$B$4:$S$8977,11,FALSE)</f>
        <v>Sewing operator</v>
      </c>
      <c r="M130" s="570">
        <f>VLOOKUP(B130,All!$B$4:$S$8977,12,FALSE)</f>
        <v>192</v>
      </c>
      <c r="N130" s="18">
        <f>VLOOKUP(B130,All!$B$4:$S$8977,13,FALSE)</f>
        <v>5</v>
      </c>
      <c r="O130" s="18">
        <f>VLOOKUP(B130,All!$B$4:$S$8977,14,FALSE)</f>
        <v>20</v>
      </c>
      <c r="P130" s="18">
        <f>VLOOKUP(B130,All!$B$4:$S$8977,15,FALSE)</f>
        <v>0</v>
      </c>
      <c r="Q130" s="18">
        <f>VLOOKUP(B130,All!$B$4:$S$8977,16,FALSE)</f>
        <v>0</v>
      </c>
      <c r="R130" s="18">
        <v>7</v>
      </c>
      <c r="S130" s="18">
        <v>10</v>
      </c>
      <c r="T130" s="550">
        <f t="shared" si="29"/>
        <v>234</v>
      </c>
      <c r="U130" s="568"/>
      <c r="V130" s="3"/>
      <c r="W130" s="3"/>
      <c r="X130" s="3"/>
      <c r="Y130" s="562"/>
      <c r="Z130" s="570">
        <f t="shared" si="22"/>
        <v>194</v>
      </c>
      <c r="AA130" s="18">
        <f t="shared" si="23"/>
        <v>5</v>
      </c>
      <c r="AB130" s="18">
        <f t="shared" si="24"/>
        <v>20</v>
      </c>
      <c r="AC130" s="18">
        <f t="shared" si="25"/>
        <v>0</v>
      </c>
      <c r="AD130" s="18">
        <f t="shared" si="26"/>
        <v>0</v>
      </c>
      <c r="AE130" s="18">
        <f t="shared" si="28"/>
        <v>7</v>
      </c>
      <c r="AF130" s="18">
        <f t="shared" si="28"/>
        <v>10</v>
      </c>
      <c r="AG130" s="550">
        <f t="shared" si="21"/>
        <v>236</v>
      </c>
      <c r="AH130" s="42">
        <v>2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2</v>
      </c>
    </row>
    <row r="131" spans="1:41" ht="24" customHeight="1">
      <c r="A131" s="11">
        <f t="shared" si="18"/>
        <v>128</v>
      </c>
      <c r="B131" s="8">
        <v>2121</v>
      </c>
      <c r="C131" s="478" t="str">
        <f>VLOOKUP(B131,All!$B$4:$S$8977,2,FALSE)</f>
        <v>សាន</v>
      </c>
      <c r="D131" s="479" t="str">
        <f>VLOOKUP(B131,All!$B$4:$S$89977,3,FALSE)</f>
        <v>គន្ធា</v>
      </c>
      <c r="E131" s="478" t="str">
        <f>VLOOKUP(B131,All!$B$4:$S$8977,4,FALSE)</f>
        <v>SAN</v>
      </c>
      <c r="F131" s="479" t="str">
        <f>VLOOKUP(B131,All!$B$4:$S$8977,5,FALSE)</f>
        <v>KUNTHEA</v>
      </c>
      <c r="G131" s="479" t="str">
        <f>VLOOKUP(B131,All!$B$4:$S$8977,6,FALSE)</f>
        <v>F</v>
      </c>
      <c r="H131" s="385">
        <f>VLOOKUP(B131,All!$B$4:$S$8977,7,FALSE)</f>
        <v>32523</v>
      </c>
      <c r="I131" s="154">
        <f>VLOOKUP(B131,All!$B$4:$S$8977,8,FALSE)</f>
        <v>42936</v>
      </c>
      <c r="J131" s="154" t="str">
        <f>VLOOKUP(B131,All!$B$4:$S$8977,9,FALSE)</f>
        <v>Production</v>
      </c>
      <c r="K131" s="154" t="str">
        <f>VLOOKUP(B131,All!$B$4:$S$8977,10,FALSE)</f>
        <v>Line10</v>
      </c>
      <c r="L131" s="698" t="str">
        <f>VLOOKUP(B131,All!$B$4:$S$8977,11,FALSE)</f>
        <v>Sewing operator</v>
      </c>
      <c r="M131" s="570">
        <f>VLOOKUP(B131,All!$B$4:$S$8977,12,FALSE)</f>
        <v>192</v>
      </c>
      <c r="N131" s="18">
        <f>VLOOKUP(B131,All!$B$4:$S$8977,13,FALSE)</f>
        <v>5</v>
      </c>
      <c r="O131" s="18">
        <f>VLOOKUP(B131,All!$B$4:$S$8977,14,FALSE)</f>
        <v>20</v>
      </c>
      <c r="P131" s="18">
        <f>VLOOKUP(B131,All!$B$4:$S$8977,15,FALSE)</f>
        <v>0</v>
      </c>
      <c r="Q131" s="18">
        <f>VLOOKUP(B131,All!$B$4:$S$8977,16,FALSE)</f>
        <v>0</v>
      </c>
      <c r="R131" s="18">
        <v>7</v>
      </c>
      <c r="S131" s="18">
        <v>10</v>
      </c>
      <c r="T131" s="550">
        <f t="shared" si="29"/>
        <v>234</v>
      </c>
      <c r="U131" s="568"/>
      <c r="V131" s="3"/>
      <c r="W131" s="3"/>
      <c r="X131" s="3"/>
      <c r="Y131" s="562"/>
      <c r="Z131" s="570">
        <f t="shared" si="22"/>
        <v>194</v>
      </c>
      <c r="AA131" s="18">
        <f t="shared" si="23"/>
        <v>5</v>
      </c>
      <c r="AB131" s="18">
        <f t="shared" si="24"/>
        <v>20</v>
      </c>
      <c r="AC131" s="18">
        <f t="shared" si="25"/>
        <v>0</v>
      </c>
      <c r="AD131" s="18">
        <f t="shared" si="26"/>
        <v>0</v>
      </c>
      <c r="AE131" s="18">
        <f t="shared" si="28"/>
        <v>7</v>
      </c>
      <c r="AF131" s="18">
        <f t="shared" si="28"/>
        <v>10</v>
      </c>
      <c r="AG131" s="550">
        <f t="shared" si="21"/>
        <v>236</v>
      </c>
      <c r="AH131" s="42">
        <v>2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2</v>
      </c>
    </row>
    <row r="132" spans="1:41" ht="24" customHeight="1">
      <c r="A132" s="11">
        <f t="shared" si="18"/>
        <v>129</v>
      </c>
      <c r="B132" s="8">
        <v>2108</v>
      </c>
      <c r="C132" s="478" t="str">
        <f>VLOOKUP(B132,All!$B$4:$S$8977,2,FALSE)</f>
        <v>អេង</v>
      </c>
      <c r="D132" s="479" t="str">
        <f>VLOOKUP(B132,All!$B$4:$S$89977,3,FALSE)</f>
        <v>វ៉ាន់ដា</v>
      </c>
      <c r="E132" s="478" t="str">
        <f>VLOOKUP(B132,All!$B$4:$S$8977,4,FALSE)</f>
        <v>ENG</v>
      </c>
      <c r="F132" s="479" t="str">
        <f>VLOOKUP(B132,All!$B$4:$S$8977,5,FALSE)</f>
        <v>VANNDA</v>
      </c>
      <c r="G132" s="479" t="str">
        <f>VLOOKUP(B132,All!$B$4:$S$8977,6,FALSE)</f>
        <v>F</v>
      </c>
      <c r="H132" s="385">
        <f>VLOOKUP(B132,All!$B$4:$S$8977,7,FALSE)</f>
        <v>31869</v>
      </c>
      <c r="I132" s="154">
        <f>VLOOKUP(B132,All!$B$4:$S$8977,8,FALSE)</f>
        <v>42931</v>
      </c>
      <c r="J132" s="154" t="str">
        <f>VLOOKUP(B132,All!$B$4:$S$8977,9,FALSE)</f>
        <v>Production</v>
      </c>
      <c r="K132" s="154" t="str">
        <f>VLOOKUP(B132,All!$B$4:$S$8977,10,FALSE)</f>
        <v xml:space="preserve"> Line8</v>
      </c>
      <c r="L132" s="698" t="str">
        <f>VLOOKUP(B132,All!$B$4:$S$8977,11,FALSE)</f>
        <v>Sewing operator</v>
      </c>
      <c r="M132" s="570">
        <f>VLOOKUP(B132,All!$B$4:$S$8977,12,FALSE)</f>
        <v>192</v>
      </c>
      <c r="N132" s="18">
        <f>VLOOKUP(B132,All!$B$4:$S$8977,13,FALSE)</f>
        <v>5</v>
      </c>
      <c r="O132" s="18">
        <f>VLOOKUP(B132,All!$B$4:$S$8977,14,FALSE)</f>
        <v>20</v>
      </c>
      <c r="P132" s="18">
        <f>VLOOKUP(B132,All!$B$4:$S$8977,15,FALSE)</f>
        <v>0</v>
      </c>
      <c r="Q132" s="18">
        <f>VLOOKUP(B132,All!$B$4:$S$8977,16,FALSE)</f>
        <v>0</v>
      </c>
      <c r="R132" s="18">
        <v>7</v>
      </c>
      <c r="S132" s="18">
        <v>10</v>
      </c>
      <c r="T132" s="550">
        <f t="shared" si="29"/>
        <v>234</v>
      </c>
      <c r="U132" s="568"/>
      <c r="V132" s="3"/>
      <c r="W132" s="3"/>
      <c r="X132" s="3"/>
      <c r="Y132" s="562"/>
      <c r="Z132" s="570">
        <f t="shared" si="22"/>
        <v>194</v>
      </c>
      <c r="AA132" s="18">
        <f t="shared" si="23"/>
        <v>5</v>
      </c>
      <c r="AB132" s="18">
        <f t="shared" si="24"/>
        <v>20</v>
      </c>
      <c r="AC132" s="18">
        <f t="shared" si="25"/>
        <v>0</v>
      </c>
      <c r="AD132" s="18">
        <f t="shared" si="26"/>
        <v>0</v>
      </c>
      <c r="AE132" s="18">
        <f t="shared" si="28"/>
        <v>7</v>
      </c>
      <c r="AF132" s="18">
        <f t="shared" si="28"/>
        <v>10</v>
      </c>
      <c r="AG132" s="550">
        <f t="shared" si="21"/>
        <v>236</v>
      </c>
      <c r="AH132" s="42">
        <v>2</v>
      </c>
      <c r="AI132" s="42">
        <v>0</v>
      </c>
      <c r="AJ132" s="42">
        <v>0</v>
      </c>
      <c r="AK132" s="42">
        <v>0</v>
      </c>
      <c r="AL132" s="42">
        <v>0</v>
      </c>
      <c r="AM132" s="42">
        <v>0</v>
      </c>
      <c r="AN132" s="42">
        <v>0</v>
      </c>
      <c r="AO132" s="42">
        <v>2</v>
      </c>
    </row>
    <row r="133" spans="1:41" ht="24" customHeight="1">
      <c r="A133" s="11">
        <f t="shared" si="18"/>
        <v>130</v>
      </c>
      <c r="B133" s="8">
        <v>2054</v>
      </c>
      <c r="C133" s="478" t="str">
        <f>VLOOKUP(B133,All!$B$4:$S$8977,2,FALSE)</f>
        <v>ហ៊ួន</v>
      </c>
      <c r="D133" s="479" t="str">
        <f>VLOOKUP(B133,All!$B$4:$S$89977,3,FALSE)</f>
        <v>ជី</v>
      </c>
      <c r="E133" s="478" t="str">
        <f>VLOOKUP(B133,All!$B$4:$S$8977,4,FALSE)</f>
        <v>HUON</v>
      </c>
      <c r="F133" s="479" t="str">
        <f>VLOOKUP(B133,All!$B$4:$S$8977,5,FALSE)</f>
        <v>CHY</v>
      </c>
      <c r="G133" s="479" t="str">
        <f>VLOOKUP(B133,All!$B$4:$S$8977,6,FALSE)</f>
        <v>F</v>
      </c>
      <c r="H133" s="385">
        <f>VLOOKUP(B133,All!$B$4:$S$8977,7,FALSE)</f>
        <v>32936</v>
      </c>
      <c r="I133" s="154">
        <f>VLOOKUP(B133,All!$B$4:$S$8977,8,FALSE)</f>
        <v>42921</v>
      </c>
      <c r="J133" s="154" t="str">
        <f>VLOOKUP(B133,All!$B$4:$S$8977,9,FALSE)</f>
        <v>Production</v>
      </c>
      <c r="K133" s="154" t="str">
        <f>VLOOKUP(B133,All!$B$4:$S$8977,10,FALSE)</f>
        <v>Line17</v>
      </c>
      <c r="L133" s="698" t="str">
        <f>VLOOKUP(B133,All!$B$4:$S$8977,11,FALSE)</f>
        <v>Sewing operator</v>
      </c>
      <c r="M133" s="570">
        <f>VLOOKUP(B133,All!$B$4:$S$8977,12,FALSE)</f>
        <v>192</v>
      </c>
      <c r="N133" s="18">
        <f>VLOOKUP(B133,All!$B$4:$S$8977,13,FALSE)</f>
        <v>5</v>
      </c>
      <c r="O133" s="18">
        <f>VLOOKUP(B133,All!$B$4:$S$8977,14,FALSE)</f>
        <v>20</v>
      </c>
      <c r="P133" s="18">
        <f>VLOOKUP(B133,All!$B$4:$S$8977,15,FALSE)</f>
        <v>0</v>
      </c>
      <c r="Q133" s="18">
        <f>VLOOKUP(B133,All!$B$4:$S$8977,16,FALSE)</f>
        <v>0</v>
      </c>
      <c r="R133" s="18">
        <v>7</v>
      </c>
      <c r="S133" s="18">
        <v>10</v>
      </c>
      <c r="T133" s="550">
        <f t="shared" si="29"/>
        <v>234</v>
      </c>
      <c r="U133" s="568"/>
      <c r="V133" s="3"/>
      <c r="W133" s="3"/>
      <c r="X133" s="3"/>
      <c r="Y133" s="562"/>
      <c r="Z133" s="570">
        <f t="shared" si="22"/>
        <v>194</v>
      </c>
      <c r="AA133" s="18">
        <f t="shared" si="23"/>
        <v>5</v>
      </c>
      <c r="AB133" s="18">
        <f t="shared" si="24"/>
        <v>20</v>
      </c>
      <c r="AC133" s="18">
        <f t="shared" si="25"/>
        <v>0</v>
      </c>
      <c r="AD133" s="18">
        <f t="shared" si="26"/>
        <v>0</v>
      </c>
      <c r="AE133" s="18">
        <f t="shared" si="28"/>
        <v>7</v>
      </c>
      <c r="AF133" s="18">
        <f t="shared" si="28"/>
        <v>10</v>
      </c>
      <c r="AG133" s="550">
        <f t="shared" si="21"/>
        <v>236</v>
      </c>
      <c r="AH133" s="42">
        <v>2</v>
      </c>
      <c r="AI133" s="42">
        <v>0</v>
      </c>
      <c r="AJ133" s="42">
        <v>0</v>
      </c>
      <c r="AK133" s="42">
        <v>0</v>
      </c>
      <c r="AL133" s="42">
        <v>0</v>
      </c>
      <c r="AM133" s="42">
        <v>0</v>
      </c>
      <c r="AN133" s="42">
        <v>0</v>
      </c>
      <c r="AO133" s="42">
        <v>2</v>
      </c>
    </row>
    <row r="134" spans="1:41" ht="24" customHeight="1">
      <c r="A134" s="11">
        <f t="shared" ref="A134:A197" si="30">1+A133</f>
        <v>131</v>
      </c>
      <c r="B134" s="8">
        <v>2066</v>
      </c>
      <c r="C134" s="478" t="str">
        <f>VLOOKUP(B134,All!$B$4:$S$8977,2,FALSE)</f>
        <v>ខៀវ</v>
      </c>
      <c r="D134" s="479" t="str">
        <f>VLOOKUP(B134,All!$B$4:$S$89977,3,FALSE)</f>
        <v>ស្រីសួរ</v>
      </c>
      <c r="E134" s="478" t="str">
        <f>VLOOKUP(B134,All!$B$4:$S$8977,4,FALSE)</f>
        <v>KHAV</v>
      </c>
      <c r="F134" s="479" t="str">
        <f>VLOOKUP(B134,All!$B$4:$S$8977,5,FALSE)</f>
        <v>SREYSOUR</v>
      </c>
      <c r="G134" s="479" t="str">
        <f>VLOOKUP(B134,All!$B$4:$S$8977,6,FALSE)</f>
        <v>F</v>
      </c>
      <c r="H134" s="385">
        <f>VLOOKUP(B134,All!$B$4:$S$8977,7,FALSE)</f>
        <v>36193</v>
      </c>
      <c r="I134" s="154">
        <f>VLOOKUP(B134,All!$B$4:$S$8977,8,FALSE)</f>
        <v>42922</v>
      </c>
      <c r="J134" s="154" t="str">
        <f>VLOOKUP(B134,All!$B$4:$S$8977,9,FALSE)</f>
        <v>Production</v>
      </c>
      <c r="K134" s="154" t="str">
        <f>VLOOKUP(B134,All!$B$4:$S$8977,10,FALSE)</f>
        <v>Line21</v>
      </c>
      <c r="L134" s="698" t="str">
        <f>VLOOKUP(B134,All!$B$4:$S$8977,11,FALSE)</f>
        <v>Sewing operator</v>
      </c>
      <c r="M134" s="570">
        <f>VLOOKUP(B134,All!$B$4:$S$8977,12,FALSE)</f>
        <v>192</v>
      </c>
      <c r="N134" s="18">
        <f>VLOOKUP(B134,All!$B$4:$S$8977,13,FALSE)</f>
        <v>5</v>
      </c>
      <c r="O134" s="18">
        <f>VLOOKUP(B134,All!$B$4:$S$8977,14,FALSE)</f>
        <v>20</v>
      </c>
      <c r="P134" s="18">
        <f>VLOOKUP(B134,All!$B$4:$S$8977,15,FALSE)</f>
        <v>0</v>
      </c>
      <c r="Q134" s="18">
        <f>VLOOKUP(B134,All!$B$4:$S$8977,16,FALSE)</f>
        <v>0</v>
      </c>
      <c r="R134" s="18">
        <v>7</v>
      </c>
      <c r="S134" s="18">
        <v>10</v>
      </c>
      <c r="T134" s="550">
        <f t="shared" si="29"/>
        <v>234</v>
      </c>
      <c r="U134" s="568"/>
      <c r="V134" s="3"/>
      <c r="W134" s="3"/>
      <c r="X134" s="3"/>
      <c r="Y134" s="562"/>
      <c r="Z134" s="570">
        <f t="shared" si="22"/>
        <v>194</v>
      </c>
      <c r="AA134" s="18">
        <f t="shared" si="23"/>
        <v>5</v>
      </c>
      <c r="AB134" s="18">
        <f t="shared" si="24"/>
        <v>20</v>
      </c>
      <c r="AC134" s="18">
        <f t="shared" si="25"/>
        <v>0</v>
      </c>
      <c r="AD134" s="18">
        <f t="shared" si="26"/>
        <v>0</v>
      </c>
      <c r="AE134" s="18">
        <f t="shared" si="28"/>
        <v>7</v>
      </c>
      <c r="AF134" s="18">
        <f t="shared" si="28"/>
        <v>10</v>
      </c>
      <c r="AG134" s="550">
        <f t="shared" si="21"/>
        <v>236</v>
      </c>
      <c r="AH134" s="42">
        <v>2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0</v>
      </c>
      <c r="AO134" s="42">
        <v>2</v>
      </c>
    </row>
    <row r="135" spans="1:41" ht="24" customHeight="1">
      <c r="A135" s="11">
        <f t="shared" si="30"/>
        <v>132</v>
      </c>
      <c r="B135" s="8">
        <v>2044</v>
      </c>
      <c r="C135" s="478" t="str">
        <f>VLOOKUP(B135,All!$B$4:$S$8977,2,FALSE)</f>
        <v>ហេង</v>
      </c>
      <c r="D135" s="479" t="str">
        <f>VLOOKUP(B135,All!$B$4:$S$89977,3,FALSE)</f>
        <v>ស្រីអូន</v>
      </c>
      <c r="E135" s="478" t="str">
        <f>VLOOKUP(B135,All!$B$4:$S$8977,4,FALSE)</f>
        <v>HENG</v>
      </c>
      <c r="F135" s="479" t="str">
        <f>VLOOKUP(B135,All!$B$4:$S$8977,5,FALSE)</f>
        <v>SREY OUN</v>
      </c>
      <c r="G135" s="479" t="str">
        <f>VLOOKUP(B135,All!$B$4:$S$8977,6,FALSE)</f>
        <v>F</v>
      </c>
      <c r="H135" s="385">
        <f>VLOOKUP(B135,All!$B$4:$S$8977,7,FALSE)</f>
        <v>31200</v>
      </c>
      <c r="I135" s="154">
        <f>VLOOKUP(B135,All!$B$4:$S$8977,8,FALSE)</f>
        <v>42920</v>
      </c>
      <c r="J135" s="154" t="str">
        <f>VLOOKUP(B135,All!$B$4:$S$8977,9,FALSE)</f>
        <v>Production</v>
      </c>
      <c r="K135" s="154" t="str">
        <f>VLOOKUP(B135,All!$B$4:$S$8977,10,FALSE)</f>
        <v>Line9</v>
      </c>
      <c r="L135" s="698" t="str">
        <f>VLOOKUP(B135,All!$B$4:$S$8977,11,FALSE)</f>
        <v>Sewing operator</v>
      </c>
      <c r="M135" s="570">
        <f>VLOOKUP(B135,All!$B$4:$S$8977,12,FALSE)</f>
        <v>192</v>
      </c>
      <c r="N135" s="18">
        <f>VLOOKUP(B135,All!$B$4:$S$8977,13,FALSE)</f>
        <v>5</v>
      </c>
      <c r="O135" s="18">
        <f>VLOOKUP(B135,All!$B$4:$S$8977,14,FALSE)</f>
        <v>20</v>
      </c>
      <c r="P135" s="18">
        <f>VLOOKUP(B135,All!$B$4:$S$8977,15,FALSE)</f>
        <v>0</v>
      </c>
      <c r="Q135" s="18">
        <f>VLOOKUP(B135,All!$B$4:$S$8977,16,FALSE)</f>
        <v>0</v>
      </c>
      <c r="R135" s="18">
        <v>7</v>
      </c>
      <c r="S135" s="18">
        <v>10</v>
      </c>
      <c r="T135" s="550">
        <f t="shared" si="29"/>
        <v>234</v>
      </c>
      <c r="U135" s="568"/>
      <c r="V135" s="3"/>
      <c r="W135" s="3"/>
      <c r="X135" s="3"/>
      <c r="Y135" s="562"/>
      <c r="Z135" s="570">
        <f t="shared" si="22"/>
        <v>194</v>
      </c>
      <c r="AA135" s="18">
        <f t="shared" si="23"/>
        <v>5</v>
      </c>
      <c r="AB135" s="18">
        <f t="shared" si="24"/>
        <v>20</v>
      </c>
      <c r="AC135" s="18">
        <f t="shared" si="25"/>
        <v>0</v>
      </c>
      <c r="AD135" s="18">
        <f t="shared" si="26"/>
        <v>0</v>
      </c>
      <c r="AE135" s="18">
        <f t="shared" si="28"/>
        <v>7</v>
      </c>
      <c r="AF135" s="18">
        <f t="shared" si="28"/>
        <v>10</v>
      </c>
      <c r="AG135" s="550">
        <f t="shared" si="21"/>
        <v>236</v>
      </c>
      <c r="AH135" s="42">
        <v>2</v>
      </c>
      <c r="AI135" s="42">
        <v>0</v>
      </c>
      <c r="AJ135" s="42">
        <v>0</v>
      </c>
      <c r="AK135" s="42">
        <v>0</v>
      </c>
      <c r="AL135" s="42">
        <v>0</v>
      </c>
      <c r="AM135" s="42">
        <v>0</v>
      </c>
      <c r="AN135" s="42">
        <v>0</v>
      </c>
      <c r="AO135" s="42">
        <v>2</v>
      </c>
    </row>
    <row r="136" spans="1:41" ht="24" customHeight="1">
      <c r="A136" s="11">
        <f t="shared" si="30"/>
        <v>133</v>
      </c>
      <c r="B136" s="8">
        <v>2093</v>
      </c>
      <c r="C136" s="478" t="str">
        <f>VLOOKUP(B136,All!$B$4:$S$8977,2,FALSE)</f>
        <v>គ្រី</v>
      </c>
      <c r="D136" s="479" t="str">
        <f>VLOOKUP(B136,All!$B$4:$S$89977,3,FALSE)</f>
        <v>ធារី</v>
      </c>
      <c r="E136" s="478" t="str">
        <f>VLOOKUP(B136,All!$B$4:$S$8977,4,FALSE)</f>
        <v>KRY</v>
      </c>
      <c r="F136" s="479" t="str">
        <f>VLOOKUP(B136,All!$B$4:$S$8977,5,FALSE)</f>
        <v>THEAVY</v>
      </c>
      <c r="G136" s="479" t="str">
        <f>VLOOKUP(B136,All!$B$4:$S$8977,6,FALSE)</f>
        <v>F</v>
      </c>
      <c r="H136" s="385">
        <f>VLOOKUP(B136,All!$B$4:$S$8977,7,FALSE)</f>
        <v>35449</v>
      </c>
      <c r="I136" s="154">
        <f>VLOOKUP(B136,All!$B$4:$S$8977,8,FALSE)</f>
        <v>42929</v>
      </c>
      <c r="J136" s="154" t="str">
        <f>VLOOKUP(B136,All!$B$4:$S$8977,9,FALSE)</f>
        <v>Production</v>
      </c>
      <c r="K136" s="154" t="str">
        <f>VLOOKUP(B136,All!$B$4:$S$8977,10,FALSE)</f>
        <v>Line9</v>
      </c>
      <c r="L136" s="698" t="str">
        <f>VLOOKUP(B136,All!$B$4:$S$8977,11,FALSE)</f>
        <v>Sewing operator</v>
      </c>
      <c r="M136" s="570">
        <f>VLOOKUP(B136,All!$B$4:$S$8977,12,FALSE)</f>
        <v>192</v>
      </c>
      <c r="N136" s="18">
        <f>VLOOKUP(B136,All!$B$4:$S$8977,13,FALSE)</f>
        <v>5</v>
      </c>
      <c r="O136" s="18">
        <f>VLOOKUP(B136,All!$B$4:$S$8977,14,FALSE)</f>
        <v>20</v>
      </c>
      <c r="P136" s="18">
        <f>VLOOKUP(B136,All!$B$4:$S$8977,15,FALSE)</f>
        <v>0</v>
      </c>
      <c r="Q136" s="18">
        <f>VLOOKUP(B136,All!$B$4:$S$8977,16,FALSE)</f>
        <v>0</v>
      </c>
      <c r="R136" s="18">
        <v>7</v>
      </c>
      <c r="S136" s="18">
        <v>10</v>
      </c>
      <c r="T136" s="550">
        <f t="shared" si="29"/>
        <v>234</v>
      </c>
      <c r="U136" s="568"/>
      <c r="V136" s="3"/>
      <c r="W136" s="3"/>
      <c r="X136" s="3"/>
      <c r="Y136" s="562"/>
      <c r="Z136" s="570">
        <f t="shared" si="22"/>
        <v>194</v>
      </c>
      <c r="AA136" s="18">
        <f t="shared" si="23"/>
        <v>5</v>
      </c>
      <c r="AB136" s="18">
        <f t="shared" si="24"/>
        <v>20</v>
      </c>
      <c r="AC136" s="18">
        <f t="shared" si="25"/>
        <v>0</v>
      </c>
      <c r="AD136" s="18">
        <f t="shared" si="26"/>
        <v>0</v>
      </c>
      <c r="AE136" s="18">
        <f t="shared" si="28"/>
        <v>7</v>
      </c>
      <c r="AF136" s="18">
        <f t="shared" si="28"/>
        <v>10</v>
      </c>
      <c r="AG136" s="550">
        <f t="shared" si="21"/>
        <v>236</v>
      </c>
      <c r="AH136" s="42">
        <v>2</v>
      </c>
      <c r="AI136" s="42">
        <v>0</v>
      </c>
      <c r="AJ136" s="42">
        <v>0</v>
      </c>
      <c r="AK136" s="42">
        <v>0</v>
      </c>
      <c r="AL136" s="42">
        <v>0</v>
      </c>
      <c r="AM136" s="42">
        <v>0</v>
      </c>
      <c r="AN136" s="42">
        <v>0</v>
      </c>
      <c r="AO136" s="42">
        <v>2</v>
      </c>
    </row>
    <row r="137" spans="1:41" ht="24" customHeight="1">
      <c r="A137" s="11">
        <f t="shared" si="30"/>
        <v>134</v>
      </c>
      <c r="B137" s="8">
        <v>2112</v>
      </c>
      <c r="C137" s="478" t="str">
        <f>VLOOKUP(B137,All!$B$4:$S$8977,2,FALSE)</f>
        <v>ស៊ូ</v>
      </c>
      <c r="D137" s="479" t="str">
        <f>VLOOKUP(B137,All!$B$4:$S$89977,3,FALSE)</f>
        <v>ចាន់នាង</v>
      </c>
      <c r="E137" s="478" t="str">
        <f>VLOOKUP(B137,All!$B$4:$S$8977,4,FALSE)</f>
        <v>SOU</v>
      </c>
      <c r="F137" s="479" t="str">
        <f>VLOOKUP(B137,All!$B$4:$S$8977,5,FALSE)</f>
        <v>CHANNEANG</v>
      </c>
      <c r="G137" s="479" t="str">
        <f>VLOOKUP(B137,All!$B$4:$S$8977,6,FALSE)</f>
        <v>F</v>
      </c>
      <c r="H137" s="385">
        <f>VLOOKUP(B137,All!$B$4:$S$8977,7,FALSE)</f>
        <v>31518</v>
      </c>
      <c r="I137" s="154">
        <f>VLOOKUP(B137,All!$B$4:$S$8977,8,FALSE)</f>
        <v>42931</v>
      </c>
      <c r="J137" s="154" t="str">
        <f>VLOOKUP(B137,All!$B$4:$S$8977,9,FALSE)</f>
        <v>Production</v>
      </c>
      <c r="K137" s="154" t="str">
        <f>VLOOKUP(B137,All!$B$4:$S$8977,10,FALSE)</f>
        <v xml:space="preserve"> Line18</v>
      </c>
      <c r="L137" s="698" t="str">
        <f>VLOOKUP(B137,All!$B$4:$S$8977,11,FALSE)</f>
        <v>Sewing operator</v>
      </c>
      <c r="M137" s="570">
        <f>VLOOKUP(B137,All!$B$4:$S$8977,12,FALSE)</f>
        <v>192</v>
      </c>
      <c r="N137" s="18">
        <f>VLOOKUP(B137,All!$B$4:$S$8977,13,FALSE)</f>
        <v>5</v>
      </c>
      <c r="O137" s="18">
        <f>VLOOKUP(B137,All!$B$4:$S$8977,14,FALSE)</f>
        <v>20</v>
      </c>
      <c r="P137" s="18">
        <f>VLOOKUP(B137,All!$B$4:$S$8977,15,FALSE)</f>
        <v>0</v>
      </c>
      <c r="Q137" s="18">
        <f>VLOOKUP(B137,All!$B$4:$S$8977,16,FALSE)</f>
        <v>0</v>
      </c>
      <c r="R137" s="18">
        <v>7</v>
      </c>
      <c r="S137" s="18">
        <v>10</v>
      </c>
      <c r="T137" s="550">
        <f t="shared" si="29"/>
        <v>234</v>
      </c>
      <c r="U137" s="568"/>
      <c r="V137" s="3"/>
      <c r="W137" s="3"/>
      <c r="X137" s="3"/>
      <c r="Y137" s="562"/>
      <c r="Z137" s="570">
        <f t="shared" si="22"/>
        <v>194</v>
      </c>
      <c r="AA137" s="18">
        <f t="shared" si="23"/>
        <v>5</v>
      </c>
      <c r="AB137" s="18">
        <f t="shared" si="24"/>
        <v>20</v>
      </c>
      <c r="AC137" s="18">
        <f t="shared" si="25"/>
        <v>0</v>
      </c>
      <c r="AD137" s="18">
        <f t="shared" si="26"/>
        <v>0</v>
      </c>
      <c r="AE137" s="18">
        <f t="shared" si="28"/>
        <v>7</v>
      </c>
      <c r="AF137" s="18">
        <f t="shared" si="28"/>
        <v>10</v>
      </c>
      <c r="AG137" s="550">
        <f t="shared" si="21"/>
        <v>236</v>
      </c>
      <c r="AH137" s="42">
        <v>2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2</v>
      </c>
    </row>
    <row r="138" spans="1:41" ht="24" customHeight="1">
      <c r="A138" s="11">
        <f t="shared" si="30"/>
        <v>135</v>
      </c>
      <c r="B138" s="8">
        <v>2127</v>
      </c>
      <c r="C138" s="478" t="str">
        <f>VLOOKUP(B138,All!$B$4:$S$8977,2,FALSE)</f>
        <v>សា</v>
      </c>
      <c r="D138" s="479" t="str">
        <f>VLOOKUP(B138,All!$B$4:$S$89977,3,FALSE)</f>
        <v>ស្តើង</v>
      </c>
      <c r="E138" s="478" t="str">
        <f>VLOOKUP(B138,All!$B$4:$S$8977,4,FALSE)</f>
        <v>SA</v>
      </c>
      <c r="F138" s="479" t="str">
        <f>VLOOKUP(B138,All!$B$4:$S$8977,5,FALSE)</f>
        <v>SDOENG</v>
      </c>
      <c r="G138" s="479" t="str">
        <f>VLOOKUP(B138,All!$B$4:$S$8977,6,FALSE)</f>
        <v>F</v>
      </c>
      <c r="H138" s="385">
        <f>VLOOKUP(B138,All!$B$4:$S$8977,7,FALSE)</f>
        <v>34444</v>
      </c>
      <c r="I138" s="154">
        <f>VLOOKUP(B138,All!$B$4:$S$8977,8,FALSE)</f>
        <v>42949</v>
      </c>
      <c r="J138" s="154" t="str">
        <f>VLOOKUP(B138,All!$B$4:$S$8977,9,FALSE)</f>
        <v>Production</v>
      </c>
      <c r="K138" s="154" t="str">
        <f>VLOOKUP(B138,All!$B$4:$S$8977,10,FALSE)</f>
        <v>Line20</v>
      </c>
      <c r="L138" s="698" t="str">
        <f>VLOOKUP(B138,All!$B$4:$S$8977,11,FALSE)</f>
        <v>Sewing operator</v>
      </c>
      <c r="M138" s="570">
        <f>VLOOKUP(B138,All!$B$4:$S$8977,12,FALSE)</f>
        <v>192</v>
      </c>
      <c r="N138" s="18">
        <f>VLOOKUP(B138,All!$B$4:$S$8977,13,FALSE)</f>
        <v>5</v>
      </c>
      <c r="O138" s="18">
        <f>VLOOKUP(B138,All!$B$4:$S$8977,14,FALSE)</f>
        <v>20</v>
      </c>
      <c r="P138" s="18">
        <f>VLOOKUP(B138,All!$B$4:$S$8977,15,FALSE)</f>
        <v>0</v>
      </c>
      <c r="Q138" s="18">
        <f>VLOOKUP(B138,All!$B$4:$S$8977,16,FALSE)</f>
        <v>0</v>
      </c>
      <c r="R138" s="18">
        <v>7</v>
      </c>
      <c r="S138" s="18">
        <v>10</v>
      </c>
      <c r="T138" s="550">
        <f t="shared" si="29"/>
        <v>234</v>
      </c>
      <c r="U138" s="568"/>
      <c r="V138" s="3"/>
      <c r="W138" s="3"/>
      <c r="X138" s="3"/>
      <c r="Y138" s="562"/>
      <c r="Z138" s="570">
        <f t="shared" si="22"/>
        <v>194</v>
      </c>
      <c r="AA138" s="18">
        <f t="shared" si="23"/>
        <v>5</v>
      </c>
      <c r="AB138" s="18">
        <f t="shared" si="24"/>
        <v>20</v>
      </c>
      <c r="AC138" s="18">
        <f t="shared" si="25"/>
        <v>0</v>
      </c>
      <c r="AD138" s="18">
        <f t="shared" si="26"/>
        <v>0</v>
      </c>
      <c r="AE138" s="18">
        <f t="shared" si="28"/>
        <v>7</v>
      </c>
      <c r="AF138" s="18">
        <f t="shared" si="28"/>
        <v>10</v>
      </c>
      <c r="AG138" s="550">
        <f t="shared" si="21"/>
        <v>236</v>
      </c>
      <c r="AH138" s="42">
        <v>2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0</v>
      </c>
      <c r="AO138" s="42">
        <v>2</v>
      </c>
    </row>
    <row r="139" spans="1:41" ht="24" customHeight="1">
      <c r="A139" s="11">
        <f t="shared" si="30"/>
        <v>136</v>
      </c>
      <c r="B139" s="8">
        <v>2130</v>
      </c>
      <c r="C139" s="478" t="str">
        <f>VLOOKUP(B139,All!$B$4:$S$8977,2,FALSE)</f>
        <v>ធី</v>
      </c>
      <c r="D139" s="479" t="str">
        <f>VLOOKUP(B139,All!$B$4:$S$89977,3,FALSE)</f>
        <v>ស្រីនាង</v>
      </c>
      <c r="E139" s="478" t="str">
        <f>VLOOKUP(B139,All!$B$4:$S$8977,4,FALSE)</f>
        <v>THY</v>
      </c>
      <c r="F139" s="479" t="str">
        <f>VLOOKUP(B139,All!$B$4:$S$8977,5,FALSE)</f>
        <v>SREYNEANG</v>
      </c>
      <c r="G139" s="479" t="str">
        <f>VLOOKUP(B139,All!$B$4:$S$8977,6,FALSE)</f>
        <v>F</v>
      </c>
      <c r="H139" s="385">
        <f>VLOOKUP(B139,All!$B$4:$S$8977,7,FALSE)</f>
        <v>35860</v>
      </c>
      <c r="I139" s="154">
        <f>VLOOKUP(B139,All!$B$4:$S$8977,8,FALSE)</f>
        <v>42949</v>
      </c>
      <c r="J139" s="154" t="str">
        <f>VLOOKUP(B139,All!$B$4:$S$8977,9,FALSE)</f>
        <v>Production</v>
      </c>
      <c r="K139" s="154" t="str">
        <f>VLOOKUP(B139,All!$B$4:$S$8977,10,FALSE)</f>
        <v>Line10</v>
      </c>
      <c r="L139" s="698" t="str">
        <f>VLOOKUP(B139,All!$B$4:$S$8977,11,FALSE)</f>
        <v>Sewing operator</v>
      </c>
      <c r="M139" s="570">
        <f>VLOOKUP(B139,All!$B$4:$S$8977,12,FALSE)</f>
        <v>192</v>
      </c>
      <c r="N139" s="18">
        <f>VLOOKUP(B139,All!$B$4:$S$8977,13,FALSE)</f>
        <v>5</v>
      </c>
      <c r="O139" s="18">
        <f>VLOOKUP(B139,All!$B$4:$S$8977,14,FALSE)</f>
        <v>20</v>
      </c>
      <c r="P139" s="18">
        <f>VLOOKUP(B139,All!$B$4:$S$8977,15,FALSE)</f>
        <v>0</v>
      </c>
      <c r="Q139" s="18">
        <f>VLOOKUP(B139,All!$B$4:$S$8977,16,FALSE)</f>
        <v>0</v>
      </c>
      <c r="R139" s="18">
        <v>7</v>
      </c>
      <c r="S139" s="18">
        <v>10</v>
      </c>
      <c r="T139" s="550">
        <f t="shared" si="29"/>
        <v>234</v>
      </c>
      <c r="U139" s="568"/>
      <c r="V139" s="3"/>
      <c r="W139" s="3"/>
      <c r="X139" s="3"/>
      <c r="Y139" s="562"/>
      <c r="Z139" s="570">
        <f t="shared" si="22"/>
        <v>194</v>
      </c>
      <c r="AA139" s="18">
        <f t="shared" si="23"/>
        <v>5</v>
      </c>
      <c r="AB139" s="18">
        <f t="shared" si="24"/>
        <v>20</v>
      </c>
      <c r="AC139" s="18">
        <f t="shared" si="25"/>
        <v>0</v>
      </c>
      <c r="AD139" s="18">
        <f t="shared" si="26"/>
        <v>0</v>
      </c>
      <c r="AE139" s="18">
        <f t="shared" si="28"/>
        <v>7</v>
      </c>
      <c r="AF139" s="18">
        <f t="shared" si="28"/>
        <v>10</v>
      </c>
      <c r="AG139" s="550">
        <f t="shared" si="21"/>
        <v>236</v>
      </c>
      <c r="AH139" s="42">
        <v>2</v>
      </c>
      <c r="AI139" s="42">
        <v>0</v>
      </c>
      <c r="AJ139" s="42">
        <v>0</v>
      </c>
      <c r="AK139" s="42">
        <v>0</v>
      </c>
      <c r="AL139" s="42">
        <v>0</v>
      </c>
      <c r="AM139" s="42">
        <v>0</v>
      </c>
      <c r="AN139" s="42">
        <v>0</v>
      </c>
      <c r="AO139" s="42">
        <v>2</v>
      </c>
    </row>
    <row r="140" spans="1:41" ht="24" customHeight="1">
      <c r="A140" s="11">
        <f t="shared" si="30"/>
        <v>137</v>
      </c>
      <c r="B140" s="8">
        <v>2250</v>
      </c>
      <c r="C140" s="478" t="str">
        <f>VLOOKUP(B140,All!$B$4:$S$8977,2,FALSE)</f>
        <v>ស៊ាន</v>
      </c>
      <c r="D140" s="479" t="str">
        <f>VLOOKUP(B140,All!$B$4:$S$89977,3,FALSE)</f>
        <v>ស្រីម៉ុន</v>
      </c>
      <c r="E140" s="478" t="str">
        <f>VLOOKUP(B140,All!$B$4:$S$8977,4,FALSE)</f>
        <v>SEAN</v>
      </c>
      <c r="F140" s="479" t="str">
        <f>VLOOKUP(B140,All!$B$4:$S$8977,5,FALSE)</f>
        <v>SREYMON</v>
      </c>
      <c r="G140" s="479" t="str">
        <f>VLOOKUP(B140,All!$B$4:$S$8977,6,FALSE)</f>
        <v>F</v>
      </c>
      <c r="H140" s="385">
        <f>VLOOKUP(B140,All!$B$4:$S$8977,7,FALSE)</f>
        <v>33856</v>
      </c>
      <c r="I140" s="154">
        <f>VLOOKUP(B140,All!$B$4:$S$8977,8,FALSE)</f>
        <v>42985</v>
      </c>
      <c r="J140" s="154" t="str">
        <f>VLOOKUP(B140,All!$B$4:$S$8977,9,FALSE)</f>
        <v>Production</v>
      </c>
      <c r="K140" s="154" t="str">
        <f>VLOOKUP(B140,All!$B$4:$S$8977,10,FALSE)</f>
        <v>Line9</v>
      </c>
      <c r="L140" s="698" t="str">
        <f>VLOOKUP(B140,All!$B$4:$S$8977,11,FALSE)</f>
        <v>Sewing operator</v>
      </c>
      <c r="M140" s="570">
        <f>VLOOKUP(B140,All!$B$4:$S$8977,12,FALSE)</f>
        <v>192</v>
      </c>
      <c r="N140" s="18">
        <f>VLOOKUP(B140,All!$B$4:$S$8977,13,FALSE)</f>
        <v>5</v>
      </c>
      <c r="O140" s="18">
        <f>VLOOKUP(B140,All!$B$4:$S$8977,14,FALSE)</f>
        <v>20</v>
      </c>
      <c r="P140" s="18">
        <f>VLOOKUP(B140,All!$B$4:$S$8977,15,FALSE)</f>
        <v>0</v>
      </c>
      <c r="Q140" s="18">
        <f>VLOOKUP(B140,All!$B$4:$S$8977,16,FALSE)</f>
        <v>0</v>
      </c>
      <c r="R140" s="18">
        <v>7</v>
      </c>
      <c r="S140" s="18">
        <v>10</v>
      </c>
      <c r="T140" s="550">
        <f t="shared" si="29"/>
        <v>234</v>
      </c>
      <c r="U140" s="568"/>
      <c r="V140" s="3"/>
      <c r="W140" s="3"/>
      <c r="X140" s="3"/>
      <c r="Y140" s="562"/>
      <c r="Z140" s="570">
        <f t="shared" si="22"/>
        <v>194</v>
      </c>
      <c r="AA140" s="18">
        <f t="shared" si="23"/>
        <v>5</v>
      </c>
      <c r="AB140" s="18">
        <f t="shared" si="24"/>
        <v>20</v>
      </c>
      <c r="AC140" s="18">
        <f t="shared" si="25"/>
        <v>0</v>
      </c>
      <c r="AD140" s="18">
        <f t="shared" si="26"/>
        <v>0</v>
      </c>
      <c r="AE140" s="18">
        <f t="shared" si="28"/>
        <v>7</v>
      </c>
      <c r="AF140" s="18">
        <f t="shared" si="28"/>
        <v>10</v>
      </c>
      <c r="AG140" s="550">
        <f t="shared" si="21"/>
        <v>236</v>
      </c>
      <c r="AH140" s="42">
        <v>2</v>
      </c>
      <c r="AI140" s="42">
        <v>0</v>
      </c>
      <c r="AJ140" s="42">
        <v>0</v>
      </c>
      <c r="AK140" s="42">
        <v>0</v>
      </c>
      <c r="AL140" s="42">
        <v>0</v>
      </c>
      <c r="AM140" s="42">
        <v>0</v>
      </c>
      <c r="AN140" s="42">
        <v>0</v>
      </c>
      <c r="AO140" s="42">
        <v>2</v>
      </c>
    </row>
    <row r="141" spans="1:41" ht="24" customHeight="1">
      <c r="A141" s="11">
        <f t="shared" si="30"/>
        <v>138</v>
      </c>
      <c r="B141" s="8">
        <v>2304</v>
      </c>
      <c r="C141" s="478" t="str">
        <f>VLOOKUP(B141,All!$B$4:$S$8977,2,FALSE)</f>
        <v>ទឹម</v>
      </c>
      <c r="D141" s="479" t="str">
        <f>VLOOKUP(B141,All!$B$4:$S$89977,3,FALSE)</f>
        <v>សុនាង</v>
      </c>
      <c r="E141" s="478" t="str">
        <f>VLOOKUP(B141,All!$B$4:$S$8977,4,FALSE)</f>
        <v>TOEM</v>
      </c>
      <c r="F141" s="479" t="str">
        <f>VLOOKUP(B141,All!$B$4:$S$8977,5,FALSE)</f>
        <v>SOTEANG</v>
      </c>
      <c r="G141" s="479" t="str">
        <f>VLOOKUP(B141,All!$B$4:$S$8977,6,FALSE)</f>
        <v>F</v>
      </c>
      <c r="H141" s="385">
        <f>VLOOKUP(B141,All!$B$4:$S$8977,7,FALSE)</f>
        <v>27881</v>
      </c>
      <c r="I141" s="154">
        <f>VLOOKUP(B141,All!$B$4:$S$8977,8,FALSE)</f>
        <v>43022</v>
      </c>
      <c r="J141" s="154" t="str">
        <f>VLOOKUP(B141,All!$B$4:$S$8977,9,FALSE)</f>
        <v>Production</v>
      </c>
      <c r="K141" s="154" t="str">
        <f>VLOOKUP(B141,All!$B$4:$S$8977,10,FALSE)</f>
        <v>QC  A</v>
      </c>
      <c r="L141" s="698" t="str">
        <f>VLOOKUP(B141,All!$B$4:$S$8977,11,FALSE)</f>
        <v>Inspector</v>
      </c>
      <c r="M141" s="570">
        <f>VLOOKUP(B141,All!$B$4:$S$8977,12,FALSE)</f>
        <v>192</v>
      </c>
      <c r="N141" s="18">
        <f>VLOOKUP(B141,All!$B$4:$S$8977,13,FALSE)</f>
        <v>5</v>
      </c>
      <c r="O141" s="18">
        <f>VLOOKUP(B141,All!$B$4:$S$8977,14,FALSE)</f>
        <v>20</v>
      </c>
      <c r="P141" s="18">
        <f>VLOOKUP(B141,All!$B$4:$S$8977,15,FALSE)</f>
        <v>0</v>
      </c>
      <c r="Q141" s="18">
        <f>VLOOKUP(B141,All!$B$4:$S$8977,16,FALSE)</f>
        <v>0</v>
      </c>
      <c r="R141" s="18">
        <v>7</v>
      </c>
      <c r="S141" s="18">
        <v>10</v>
      </c>
      <c r="T141" s="550">
        <f t="shared" si="29"/>
        <v>234</v>
      </c>
      <c r="U141" s="568"/>
      <c r="V141" s="3"/>
      <c r="W141" s="3"/>
      <c r="X141" s="3"/>
      <c r="Y141" s="562"/>
      <c r="Z141" s="570">
        <f t="shared" si="22"/>
        <v>194</v>
      </c>
      <c r="AA141" s="18">
        <f t="shared" si="23"/>
        <v>5</v>
      </c>
      <c r="AB141" s="18">
        <f t="shared" si="24"/>
        <v>20</v>
      </c>
      <c r="AC141" s="18">
        <f t="shared" si="25"/>
        <v>0</v>
      </c>
      <c r="AD141" s="18">
        <f t="shared" si="26"/>
        <v>0</v>
      </c>
      <c r="AE141" s="18">
        <f t="shared" si="28"/>
        <v>7</v>
      </c>
      <c r="AF141" s="18">
        <f t="shared" si="28"/>
        <v>10</v>
      </c>
      <c r="AG141" s="550">
        <f t="shared" si="21"/>
        <v>236</v>
      </c>
      <c r="AH141" s="42">
        <v>2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2</v>
      </c>
    </row>
    <row r="142" spans="1:41" ht="24" customHeight="1">
      <c r="A142" s="11">
        <f t="shared" si="30"/>
        <v>139</v>
      </c>
      <c r="B142" s="8">
        <v>2286</v>
      </c>
      <c r="C142" s="478" t="str">
        <f>VLOOKUP(B142,All!$B$4:$S$8977,2,FALSE)</f>
        <v>ហ៊ុយ</v>
      </c>
      <c r="D142" s="479" t="str">
        <f>VLOOKUP(B142,All!$B$4:$S$89977,3,FALSE)</f>
        <v>ឡៃហ៊ាន</v>
      </c>
      <c r="E142" s="478" t="str">
        <f>VLOOKUP(B142,All!$B$4:$S$8977,4,FALSE)</f>
        <v>HUY</v>
      </c>
      <c r="F142" s="479" t="str">
        <f>VLOOKUP(B142,All!$B$4:$S$8977,5,FALSE)</f>
        <v>LAI HEANG</v>
      </c>
      <c r="G142" s="479" t="str">
        <f>VLOOKUP(B142,All!$B$4:$S$8977,6,FALSE)</f>
        <v>F</v>
      </c>
      <c r="H142" s="385">
        <f>VLOOKUP(B142,All!$B$4:$S$8977,7,FALSE)</f>
        <v>31491</v>
      </c>
      <c r="I142" s="154">
        <f>VLOOKUP(B142,All!$B$4:$S$8977,8,FALSE)</f>
        <v>43012</v>
      </c>
      <c r="J142" s="154" t="str">
        <f>VLOOKUP(B142,All!$B$4:$S$8977,9,FALSE)</f>
        <v>Production</v>
      </c>
      <c r="K142" s="154" t="str">
        <f>VLOOKUP(B142,All!$B$4:$S$8977,10,FALSE)</f>
        <v xml:space="preserve"> Line18</v>
      </c>
      <c r="L142" s="698" t="str">
        <f>VLOOKUP(B142,All!$B$4:$S$8977,11,FALSE)</f>
        <v>Sewing operator</v>
      </c>
      <c r="M142" s="570">
        <f>VLOOKUP(B142,All!$B$4:$S$8977,12,FALSE)</f>
        <v>192</v>
      </c>
      <c r="N142" s="18">
        <f>VLOOKUP(B142,All!$B$4:$S$8977,13,FALSE)</f>
        <v>5</v>
      </c>
      <c r="O142" s="18">
        <f>VLOOKUP(B142,All!$B$4:$S$8977,14,FALSE)</f>
        <v>20</v>
      </c>
      <c r="P142" s="18">
        <f>VLOOKUP(B142,All!$B$4:$S$8977,15,FALSE)</f>
        <v>0</v>
      </c>
      <c r="Q142" s="18">
        <f>VLOOKUP(B142,All!$B$4:$S$8977,16,FALSE)</f>
        <v>0</v>
      </c>
      <c r="R142" s="18">
        <v>7</v>
      </c>
      <c r="S142" s="18">
        <v>10</v>
      </c>
      <c r="T142" s="550">
        <f t="shared" si="29"/>
        <v>234</v>
      </c>
      <c r="U142" s="568"/>
      <c r="V142" s="3"/>
      <c r="W142" s="3"/>
      <c r="X142" s="3"/>
      <c r="Y142" s="562"/>
      <c r="Z142" s="570">
        <f t="shared" si="22"/>
        <v>194</v>
      </c>
      <c r="AA142" s="18">
        <f t="shared" si="23"/>
        <v>5</v>
      </c>
      <c r="AB142" s="18">
        <f t="shared" si="24"/>
        <v>20</v>
      </c>
      <c r="AC142" s="18">
        <f t="shared" si="25"/>
        <v>0</v>
      </c>
      <c r="AD142" s="18">
        <f t="shared" si="26"/>
        <v>0</v>
      </c>
      <c r="AE142" s="18">
        <f t="shared" si="28"/>
        <v>7</v>
      </c>
      <c r="AF142" s="18">
        <f t="shared" si="28"/>
        <v>10</v>
      </c>
      <c r="AG142" s="550">
        <f t="shared" ref="AG142:AG185" si="31">SUM(Z142:AF142)</f>
        <v>236</v>
      </c>
      <c r="AH142" s="42">
        <v>2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0</v>
      </c>
      <c r="AO142" s="42">
        <v>2</v>
      </c>
    </row>
    <row r="143" spans="1:41" ht="24" customHeight="1">
      <c r="A143" s="11">
        <f t="shared" si="30"/>
        <v>140</v>
      </c>
      <c r="B143" s="8">
        <v>2432</v>
      </c>
      <c r="C143" s="478" t="str">
        <f>VLOOKUP(B143,All!$B$4:$S$8977,2,FALSE)</f>
        <v>សូត្រ</v>
      </c>
      <c r="D143" s="479" t="str">
        <f>VLOOKUP(B143,All!$B$4:$S$89977,3,FALSE)</f>
        <v>ស្រីឡា</v>
      </c>
      <c r="E143" s="478" t="str">
        <f>VLOOKUP(B143,All!$B$4:$S$8977,4,FALSE)</f>
        <v>Sout</v>
      </c>
      <c r="F143" s="479" t="str">
        <f>VLOOKUP(B143,All!$B$4:$S$8977,5,FALSE)</f>
        <v>Sreyla</v>
      </c>
      <c r="G143" s="479" t="str">
        <f>VLOOKUP(B143,All!$B$4:$S$8977,6,FALSE)</f>
        <v>F</v>
      </c>
      <c r="H143" s="385">
        <f>VLOOKUP(B143,All!$B$4:$S$8977,7,FALSE)</f>
        <v>30749</v>
      </c>
      <c r="I143" s="154">
        <f>VLOOKUP(B143,All!$B$4:$S$8977,8,FALSE)</f>
        <v>43245</v>
      </c>
      <c r="J143" s="154" t="str">
        <f>VLOOKUP(B143,All!$B$4:$S$8977,9,FALSE)</f>
        <v>Production</v>
      </c>
      <c r="K143" s="154" t="str">
        <f>VLOOKUP(B143,All!$B$4:$S$8977,10,FALSE)</f>
        <v>QC B</v>
      </c>
      <c r="L143" s="698" t="str">
        <f>VLOOKUP(B143,All!$B$4:$S$8977,11,FALSE)</f>
        <v>Inspector</v>
      </c>
      <c r="M143" s="570">
        <f>VLOOKUP(B143,All!$B$4:$S$8977,12,FALSE)</f>
        <v>192</v>
      </c>
      <c r="N143" s="18">
        <f>VLOOKUP(B143,All!$B$4:$S$8977,13,FALSE)</f>
        <v>4</v>
      </c>
      <c r="O143" s="18">
        <f>VLOOKUP(B143,All!$B$4:$S$8977,14,FALSE)</f>
        <v>20</v>
      </c>
      <c r="P143" s="18">
        <f>VLOOKUP(B143,All!$B$4:$S$8977,15,FALSE)</f>
        <v>0</v>
      </c>
      <c r="Q143" s="18">
        <f>VLOOKUP(B143,All!$B$4:$S$8977,16,FALSE)</f>
        <v>0</v>
      </c>
      <c r="R143" s="18">
        <v>7</v>
      </c>
      <c r="S143" s="18">
        <v>10</v>
      </c>
      <c r="T143" s="550">
        <f t="shared" si="29"/>
        <v>233</v>
      </c>
      <c r="U143" s="568"/>
      <c r="V143" s="3"/>
      <c r="W143" s="3"/>
      <c r="X143" s="3"/>
      <c r="Y143" s="562"/>
      <c r="Z143" s="570">
        <f t="shared" si="22"/>
        <v>194</v>
      </c>
      <c r="AA143" s="18">
        <f t="shared" si="23"/>
        <v>4</v>
      </c>
      <c r="AB143" s="18">
        <f t="shared" si="24"/>
        <v>20</v>
      </c>
      <c r="AC143" s="18">
        <f t="shared" si="25"/>
        <v>0</v>
      </c>
      <c r="AD143" s="18">
        <f t="shared" si="26"/>
        <v>0</v>
      </c>
      <c r="AE143" s="18">
        <f t="shared" si="28"/>
        <v>7</v>
      </c>
      <c r="AF143" s="18">
        <f t="shared" si="28"/>
        <v>10</v>
      </c>
      <c r="AG143" s="550">
        <f t="shared" si="31"/>
        <v>235</v>
      </c>
      <c r="AH143" s="42">
        <v>2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0</v>
      </c>
      <c r="AO143" s="42">
        <v>2</v>
      </c>
    </row>
    <row r="144" spans="1:41" ht="24" customHeight="1">
      <c r="A144" s="11">
        <f t="shared" si="30"/>
        <v>141</v>
      </c>
      <c r="B144" s="8">
        <v>2435</v>
      </c>
      <c r="C144" s="478" t="str">
        <f>VLOOKUP(B144,All!$B$4:$S$8977,2,FALSE)</f>
        <v>ប៉ែន</v>
      </c>
      <c r="D144" s="479" t="str">
        <f>VLOOKUP(B144,All!$B$4:$S$89977,3,FALSE)</f>
        <v>ចន្ធូ</v>
      </c>
      <c r="E144" s="478" t="str">
        <f>VLOOKUP(B144,All!$B$4:$S$8977,4,FALSE)</f>
        <v>Pen</v>
      </c>
      <c r="F144" s="479" t="str">
        <f>VLOOKUP(B144,All!$B$4:$S$8977,5,FALSE)</f>
        <v>Chanthou</v>
      </c>
      <c r="G144" s="479" t="str">
        <f>VLOOKUP(B144,All!$B$4:$S$8977,6,FALSE)</f>
        <v>F</v>
      </c>
      <c r="H144" s="385">
        <f>VLOOKUP(B144,All!$B$4:$S$8977,7,FALSE)</f>
        <v>32785</v>
      </c>
      <c r="I144" s="154">
        <f>VLOOKUP(B144,All!$B$4:$S$8977,8,FALSE)</f>
        <v>43263</v>
      </c>
      <c r="J144" s="154" t="str">
        <f>VLOOKUP(B144,All!$B$4:$S$8977,9,FALSE)</f>
        <v>Production</v>
      </c>
      <c r="K144" s="154" t="str">
        <f>VLOOKUP(B144,All!$B$4:$S$8977,10,FALSE)</f>
        <v xml:space="preserve"> Line2</v>
      </c>
      <c r="L144" s="698" t="str">
        <f>VLOOKUP(B144,All!$B$4:$S$8977,11,FALSE)</f>
        <v>Sewing operator</v>
      </c>
      <c r="M144" s="570">
        <f>VLOOKUP(B144,All!$B$4:$S$8977,12,FALSE)</f>
        <v>192</v>
      </c>
      <c r="N144" s="18">
        <f>VLOOKUP(B144,All!$B$4:$S$8977,13,FALSE)</f>
        <v>4</v>
      </c>
      <c r="O144" s="18">
        <f>VLOOKUP(B144,All!$B$4:$S$8977,14,FALSE)</f>
        <v>20</v>
      </c>
      <c r="P144" s="18">
        <f>VLOOKUP(B144,All!$B$4:$S$8977,15,FALSE)</f>
        <v>0</v>
      </c>
      <c r="Q144" s="18">
        <f>VLOOKUP(B144,All!$B$4:$S$8977,16,FALSE)</f>
        <v>0</v>
      </c>
      <c r="R144" s="18">
        <v>7</v>
      </c>
      <c r="S144" s="18">
        <v>10</v>
      </c>
      <c r="T144" s="550">
        <f t="shared" si="29"/>
        <v>233</v>
      </c>
      <c r="U144" s="568"/>
      <c r="V144" s="3"/>
      <c r="W144" s="3"/>
      <c r="X144" s="3"/>
      <c r="Y144" s="562"/>
      <c r="Z144" s="570">
        <f t="shared" si="22"/>
        <v>194</v>
      </c>
      <c r="AA144" s="18">
        <f t="shared" si="23"/>
        <v>4</v>
      </c>
      <c r="AB144" s="18">
        <f t="shared" si="24"/>
        <v>20</v>
      </c>
      <c r="AC144" s="18">
        <f t="shared" si="25"/>
        <v>0</v>
      </c>
      <c r="AD144" s="18">
        <f t="shared" si="26"/>
        <v>0</v>
      </c>
      <c r="AE144" s="18">
        <f t="shared" si="28"/>
        <v>7</v>
      </c>
      <c r="AF144" s="18">
        <f t="shared" si="28"/>
        <v>10</v>
      </c>
      <c r="AG144" s="550">
        <f t="shared" si="31"/>
        <v>235</v>
      </c>
      <c r="AH144" s="42">
        <v>2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0</v>
      </c>
      <c r="AO144" s="42">
        <v>2</v>
      </c>
    </row>
    <row r="145" spans="1:41" ht="24" customHeight="1">
      <c r="A145" s="11">
        <f t="shared" si="30"/>
        <v>142</v>
      </c>
      <c r="B145" s="8">
        <v>2469</v>
      </c>
      <c r="C145" s="478" t="str">
        <f>VLOOKUP(B145,All!$B$4:$S$8977,2,FALSE)</f>
        <v>នាល</v>
      </c>
      <c r="D145" s="479" t="str">
        <f>VLOOKUP(B145,All!$B$4:$S$89977,3,FALSE)</f>
        <v>ផល្លី</v>
      </c>
      <c r="E145" s="478" t="str">
        <f>VLOOKUP(B145,All!$B$4:$S$8977,4,FALSE)</f>
        <v>Neal</v>
      </c>
      <c r="F145" s="479" t="str">
        <f>VLOOKUP(B145,All!$B$4:$S$8977,5,FALSE)</f>
        <v>Phally</v>
      </c>
      <c r="G145" s="479" t="str">
        <f>VLOOKUP(B145,All!$B$4:$S$8977,6,FALSE)</f>
        <v>F</v>
      </c>
      <c r="H145" s="385">
        <f>VLOOKUP(B145,All!$B$4:$S$8977,7,FALSE)</f>
        <v>30170</v>
      </c>
      <c r="I145" s="154">
        <f>VLOOKUP(B145,All!$B$4:$S$8977,8,FALSE)</f>
        <v>43287</v>
      </c>
      <c r="J145" s="154" t="str">
        <f>VLOOKUP(B145,All!$B$4:$S$8977,9,FALSE)</f>
        <v>Production</v>
      </c>
      <c r="K145" s="154" t="str">
        <f>VLOOKUP(B145,All!$B$4:$S$8977,10,FALSE)</f>
        <v>Line21</v>
      </c>
      <c r="L145" s="698" t="str">
        <f>VLOOKUP(B145,All!$B$4:$S$8977,11,FALSE)</f>
        <v>Sewing operator</v>
      </c>
      <c r="M145" s="570">
        <f>VLOOKUP(B145,All!$B$4:$S$8977,12,FALSE)</f>
        <v>192</v>
      </c>
      <c r="N145" s="18">
        <f>VLOOKUP(B145,All!$B$4:$S$8977,13,FALSE)</f>
        <v>4</v>
      </c>
      <c r="O145" s="18">
        <f>VLOOKUP(B145,All!$B$4:$S$8977,14,FALSE)</f>
        <v>20</v>
      </c>
      <c r="P145" s="18">
        <f>VLOOKUP(B145,All!$B$4:$S$8977,15,FALSE)</f>
        <v>0</v>
      </c>
      <c r="Q145" s="18">
        <f>VLOOKUP(B145,All!$B$4:$S$8977,16,FALSE)</f>
        <v>0</v>
      </c>
      <c r="R145" s="18">
        <v>7</v>
      </c>
      <c r="S145" s="18">
        <v>10</v>
      </c>
      <c r="T145" s="550">
        <f t="shared" si="29"/>
        <v>233</v>
      </c>
      <c r="U145" s="568"/>
      <c r="V145" s="3"/>
      <c r="W145" s="3"/>
      <c r="X145" s="3"/>
      <c r="Y145" s="562"/>
      <c r="Z145" s="570">
        <f t="shared" si="22"/>
        <v>194</v>
      </c>
      <c r="AA145" s="18">
        <f t="shared" si="23"/>
        <v>4</v>
      </c>
      <c r="AB145" s="18">
        <f t="shared" si="24"/>
        <v>20</v>
      </c>
      <c r="AC145" s="18">
        <f t="shared" si="25"/>
        <v>0</v>
      </c>
      <c r="AD145" s="18">
        <f t="shared" si="26"/>
        <v>0</v>
      </c>
      <c r="AE145" s="18">
        <f t="shared" si="28"/>
        <v>7</v>
      </c>
      <c r="AF145" s="18">
        <f t="shared" si="28"/>
        <v>10</v>
      </c>
      <c r="AG145" s="550">
        <f t="shared" si="31"/>
        <v>235</v>
      </c>
      <c r="AH145" s="42">
        <v>2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2</v>
      </c>
    </row>
    <row r="146" spans="1:41" ht="24" customHeight="1">
      <c r="A146" s="11">
        <f t="shared" si="30"/>
        <v>143</v>
      </c>
      <c r="B146" s="8">
        <v>2478</v>
      </c>
      <c r="C146" s="478" t="str">
        <f>VLOOKUP(B146,All!$B$4:$S$8977,2,FALSE)</f>
        <v>ទី</v>
      </c>
      <c r="D146" s="479" t="str">
        <f>VLOOKUP(B146,All!$B$4:$S$89977,3,FALSE)</f>
        <v>សុភាព</v>
      </c>
      <c r="E146" s="478" t="str">
        <f>VLOOKUP(B146,All!$B$4:$S$8977,4,FALSE)</f>
        <v>Teu</v>
      </c>
      <c r="F146" s="479" t="str">
        <f>VLOOKUP(B146,All!$B$4:$S$8977,5,FALSE)</f>
        <v>Sopheap</v>
      </c>
      <c r="G146" s="479" t="str">
        <f>VLOOKUP(B146,All!$B$4:$S$8977,6,FALSE)</f>
        <v>F</v>
      </c>
      <c r="H146" s="385">
        <f>VLOOKUP(B146,All!$B$4:$S$8977,7,FALSE)</f>
        <v>29373</v>
      </c>
      <c r="I146" s="154">
        <f>VLOOKUP(B146,All!$B$4:$S$8977,8,FALSE)</f>
        <v>43299</v>
      </c>
      <c r="J146" s="154" t="str">
        <f>VLOOKUP(B146,All!$B$4:$S$8977,9,FALSE)</f>
        <v>Production</v>
      </c>
      <c r="K146" s="154" t="str">
        <f>VLOOKUP(B146,All!$B$4:$S$8977,10,FALSE)</f>
        <v xml:space="preserve"> Line2</v>
      </c>
      <c r="L146" s="698" t="str">
        <f>VLOOKUP(B146,All!$B$4:$S$8977,11,FALSE)</f>
        <v>Sewing operator</v>
      </c>
      <c r="M146" s="570">
        <f>VLOOKUP(B146,All!$B$4:$S$8977,12,FALSE)</f>
        <v>192</v>
      </c>
      <c r="N146" s="18">
        <f>VLOOKUP(B146,All!$B$4:$S$8977,13,FALSE)</f>
        <v>4</v>
      </c>
      <c r="O146" s="18">
        <f>VLOOKUP(B146,All!$B$4:$S$8977,14,FALSE)</f>
        <v>20</v>
      </c>
      <c r="P146" s="18">
        <f>VLOOKUP(B146,All!$B$4:$S$8977,15,FALSE)</f>
        <v>0</v>
      </c>
      <c r="Q146" s="18">
        <f>VLOOKUP(B146,All!$B$4:$S$8977,16,FALSE)</f>
        <v>0</v>
      </c>
      <c r="R146" s="18">
        <v>7</v>
      </c>
      <c r="S146" s="18">
        <v>10</v>
      </c>
      <c r="T146" s="550">
        <f t="shared" si="29"/>
        <v>233</v>
      </c>
      <c r="U146" s="568"/>
      <c r="V146" s="3"/>
      <c r="W146" s="3"/>
      <c r="X146" s="3"/>
      <c r="Y146" s="562"/>
      <c r="Z146" s="570">
        <f t="shared" si="22"/>
        <v>194</v>
      </c>
      <c r="AA146" s="18">
        <f t="shared" si="23"/>
        <v>4</v>
      </c>
      <c r="AB146" s="18">
        <f t="shared" si="24"/>
        <v>20</v>
      </c>
      <c r="AC146" s="18">
        <f t="shared" si="25"/>
        <v>0</v>
      </c>
      <c r="AD146" s="18">
        <f t="shared" si="26"/>
        <v>0</v>
      </c>
      <c r="AE146" s="18">
        <f t="shared" ref="AE146:AF184" si="32">R146</f>
        <v>7</v>
      </c>
      <c r="AF146" s="18">
        <f t="shared" si="32"/>
        <v>10</v>
      </c>
      <c r="AG146" s="550">
        <f t="shared" si="31"/>
        <v>235</v>
      </c>
      <c r="AH146" s="42">
        <v>2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0</v>
      </c>
      <c r="AO146" s="42">
        <v>2</v>
      </c>
    </row>
    <row r="147" spans="1:41" ht="24" customHeight="1">
      <c r="A147" s="11">
        <f t="shared" si="30"/>
        <v>144</v>
      </c>
      <c r="B147" s="8">
        <v>2480</v>
      </c>
      <c r="C147" s="478" t="str">
        <f>VLOOKUP(B147,All!$B$4:$S$8977,2,FALSE)</f>
        <v>ហ៊ឹម</v>
      </c>
      <c r="D147" s="479" t="str">
        <f>VLOOKUP(B147,All!$B$4:$S$89977,3,FALSE)</f>
        <v>ស្រីវួច</v>
      </c>
      <c r="E147" s="478" t="str">
        <f>VLOOKUP(B147,All!$B$4:$S$8977,4,FALSE)</f>
        <v>Hoem</v>
      </c>
      <c r="F147" s="479" t="str">
        <f>VLOOKUP(B147,All!$B$4:$S$8977,5,FALSE)</f>
        <v>SreyVouch</v>
      </c>
      <c r="G147" s="479" t="str">
        <f>VLOOKUP(B147,All!$B$4:$S$8977,6,FALSE)</f>
        <v>F</v>
      </c>
      <c r="H147" s="385">
        <f>VLOOKUP(B147,All!$B$4:$S$8977,7,FALSE)</f>
        <v>35888</v>
      </c>
      <c r="I147" s="154">
        <f>VLOOKUP(B147,All!$B$4:$S$8977,8,FALSE)</f>
        <v>43299</v>
      </c>
      <c r="J147" s="154" t="str">
        <f>VLOOKUP(B147,All!$B$4:$S$8977,9,FALSE)</f>
        <v>Production</v>
      </c>
      <c r="K147" s="154" t="str">
        <f>VLOOKUP(B147,All!$B$4:$S$8977,10,FALSE)</f>
        <v>QC  A</v>
      </c>
      <c r="L147" s="698" t="str">
        <f>VLOOKUP(B147,All!$B$4:$S$8977,11,FALSE)</f>
        <v>Inspector</v>
      </c>
      <c r="M147" s="570">
        <f>VLOOKUP(B147,All!$B$4:$S$8977,12,FALSE)</f>
        <v>192</v>
      </c>
      <c r="N147" s="18">
        <f>VLOOKUP(B147,All!$B$4:$S$8977,13,FALSE)</f>
        <v>4</v>
      </c>
      <c r="O147" s="18">
        <f>VLOOKUP(B147,All!$B$4:$S$8977,14,FALSE)</f>
        <v>20</v>
      </c>
      <c r="P147" s="18">
        <f>VLOOKUP(B147,All!$B$4:$S$8977,15,FALSE)</f>
        <v>0</v>
      </c>
      <c r="Q147" s="18">
        <f>VLOOKUP(B147,All!$B$4:$S$8977,16,FALSE)</f>
        <v>0</v>
      </c>
      <c r="R147" s="18">
        <v>7</v>
      </c>
      <c r="S147" s="18">
        <v>10</v>
      </c>
      <c r="T147" s="550">
        <f t="shared" si="29"/>
        <v>233</v>
      </c>
      <c r="U147" s="568"/>
      <c r="V147" s="3"/>
      <c r="W147" s="3"/>
      <c r="X147" s="3"/>
      <c r="Y147" s="562"/>
      <c r="Z147" s="570">
        <f t="shared" si="22"/>
        <v>194</v>
      </c>
      <c r="AA147" s="18">
        <f t="shared" si="23"/>
        <v>4</v>
      </c>
      <c r="AB147" s="18">
        <f t="shared" si="24"/>
        <v>20</v>
      </c>
      <c r="AC147" s="18">
        <f t="shared" si="25"/>
        <v>0</v>
      </c>
      <c r="AD147" s="18">
        <f t="shared" si="26"/>
        <v>0</v>
      </c>
      <c r="AE147" s="18">
        <f t="shared" si="32"/>
        <v>7</v>
      </c>
      <c r="AF147" s="18">
        <f t="shared" si="32"/>
        <v>10</v>
      </c>
      <c r="AG147" s="550">
        <f t="shared" si="31"/>
        <v>235</v>
      </c>
      <c r="AH147" s="42">
        <v>2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0</v>
      </c>
      <c r="AO147" s="42">
        <v>2</v>
      </c>
    </row>
    <row r="148" spans="1:41" ht="24" customHeight="1">
      <c r="A148" s="11">
        <f t="shared" si="30"/>
        <v>145</v>
      </c>
      <c r="B148" s="8">
        <v>2481</v>
      </c>
      <c r="C148" s="478" t="str">
        <f>VLOOKUP(B148,All!$B$4:$S$8977,2,FALSE)</f>
        <v>លឹម</v>
      </c>
      <c r="D148" s="479" t="str">
        <f>VLOOKUP(B148,All!$B$4:$S$89977,3,FALSE)</f>
        <v>ផល្លី</v>
      </c>
      <c r="E148" s="478" t="str">
        <f>VLOOKUP(B148,All!$B$4:$S$8977,4,FALSE)</f>
        <v>Lim</v>
      </c>
      <c r="F148" s="479" t="str">
        <f>VLOOKUP(B148,All!$B$4:$S$8977,5,FALSE)</f>
        <v>Phally</v>
      </c>
      <c r="G148" s="479" t="str">
        <f>VLOOKUP(B148,All!$B$4:$S$8977,6,FALSE)</f>
        <v>F</v>
      </c>
      <c r="H148" s="385">
        <f>VLOOKUP(B148,All!$B$4:$S$8977,7,FALSE)</f>
        <v>32154</v>
      </c>
      <c r="I148" s="154">
        <f>VLOOKUP(B148,All!$B$4:$S$8977,8,FALSE)</f>
        <v>43314</v>
      </c>
      <c r="J148" s="154" t="str">
        <f>VLOOKUP(B148,All!$B$4:$S$8977,9,FALSE)</f>
        <v>Production</v>
      </c>
      <c r="K148" s="154" t="str">
        <f>VLOOKUP(B148,All!$B$4:$S$8977,10,FALSE)</f>
        <v xml:space="preserve"> Line2</v>
      </c>
      <c r="L148" s="698" t="str">
        <f>VLOOKUP(B148,All!$B$4:$S$8977,11,FALSE)</f>
        <v>Sewing operator</v>
      </c>
      <c r="M148" s="570">
        <f>VLOOKUP(B148,All!$B$4:$S$8977,12,FALSE)</f>
        <v>192</v>
      </c>
      <c r="N148" s="18">
        <f>VLOOKUP(B148,All!$B$4:$S$8977,13,FALSE)</f>
        <v>4</v>
      </c>
      <c r="O148" s="18">
        <f>VLOOKUP(B148,All!$B$4:$S$8977,14,FALSE)</f>
        <v>20</v>
      </c>
      <c r="P148" s="18">
        <f>VLOOKUP(B148,All!$B$4:$S$8977,15,FALSE)</f>
        <v>0</v>
      </c>
      <c r="Q148" s="18">
        <f>VLOOKUP(B148,All!$B$4:$S$8977,16,FALSE)</f>
        <v>0</v>
      </c>
      <c r="R148" s="18">
        <v>7</v>
      </c>
      <c r="S148" s="18">
        <v>10</v>
      </c>
      <c r="T148" s="550">
        <f t="shared" si="29"/>
        <v>233</v>
      </c>
      <c r="U148" s="568"/>
      <c r="V148" s="3"/>
      <c r="W148" s="3"/>
      <c r="X148" s="3"/>
      <c r="Y148" s="562"/>
      <c r="Z148" s="570">
        <f t="shared" si="22"/>
        <v>194</v>
      </c>
      <c r="AA148" s="18">
        <f t="shared" si="23"/>
        <v>4</v>
      </c>
      <c r="AB148" s="18">
        <f t="shared" si="24"/>
        <v>20</v>
      </c>
      <c r="AC148" s="18">
        <f t="shared" si="25"/>
        <v>0</v>
      </c>
      <c r="AD148" s="18">
        <f t="shared" si="26"/>
        <v>0</v>
      </c>
      <c r="AE148" s="18">
        <f t="shared" si="32"/>
        <v>7</v>
      </c>
      <c r="AF148" s="18">
        <f t="shared" si="32"/>
        <v>10</v>
      </c>
      <c r="AG148" s="550">
        <f t="shared" si="31"/>
        <v>235</v>
      </c>
      <c r="AH148" s="42">
        <v>2</v>
      </c>
      <c r="AI148" s="42">
        <v>0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2</v>
      </c>
    </row>
    <row r="149" spans="1:41" ht="24" customHeight="1">
      <c r="A149" s="11">
        <f t="shared" si="30"/>
        <v>146</v>
      </c>
      <c r="B149" s="8">
        <v>2524</v>
      </c>
      <c r="C149" s="478" t="str">
        <f>VLOOKUP(B149,All!$B$4:$S$8977,2,FALSE)</f>
        <v>ឆន</v>
      </c>
      <c r="D149" s="479" t="str">
        <f>VLOOKUP(B149,All!$B$4:$S$89977,3,FALSE)</f>
        <v>ភា</v>
      </c>
      <c r="E149" s="478" t="str">
        <f>VLOOKUP(B149,All!$B$4:$S$8977,4,FALSE)</f>
        <v>Chhan</v>
      </c>
      <c r="F149" s="479" t="str">
        <f>VLOOKUP(B149,All!$B$4:$S$8977,5,FALSE)</f>
        <v>Phea</v>
      </c>
      <c r="G149" s="479" t="str">
        <f>VLOOKUP(B149,All!$B$4:$S$8977,6,FALSE)</f>
        <v>F</v>
      </c>
      <c r="H149" s="385">
        <f>VLOOKUP(B149,All!$B$4:$S$8977,7,FALSE)</f>
        <v>29803</v>
      </c>
      <c r="I149" s="154">
        <f>VLOOKUP(B149,All!$B$4:$S$8977,8,FALSE)</f>
        <v>43348</v>
      </c>
      <c r="J149" s="154" t="str">
        <f>VLOOKUP(B149,All!$B$4:$S$8977,9,FALSE)</f>
        <v>Production</v>
      </c>
      <c r="K149" s="154" t="str">
        <f>VLOOKUP(B149,All!$B$4:$S$8977,10,FALSE)</f>
        <v>Line20</v>
      </c>
      <c r="L149" s="698" t="str">
        <f>VLOOKUP(B149,All!$B$4:$S$8977,11,FALSE)</f>
        <v>Sewing operator</v>
      </c>
      <c r="M149" s="570">
        <f>VLOOKUP(B149,All!$B$4:$S$8977,12,FALSE)</f>
        <v>192</v>
      </c>
      <c r="N149" s="18">
        <f>VLOOKUP(B149,All!$B$4:$S$8977,13,FALSE)</f>
        <v>4</v>
      </c>
      <c r="O149" s="18">
        <f>VLOOKUP(B149,All!$B$4:$S$8977,14,FALSE)</f>
        <v>0</v>
      </c>
      <c r="P149" s="18">
        <f>VLOOKUP(B149,All!$B$4:$S$8977,15,FALSE)</f>
        <v>0</v>
      </c>
      <c r="Q149" s="18">
        <f>VLOOKUP(B149,All!$B$4:$S$8977,16,FALSE)</f>
        <v>0</v>
      </c>
      <c r="R149" s="18">
        <v>7</v>
      </c>
      <c r="S149" s="18">
        <v>10</v>
      </c>
      <c r="T149" s="550">
        <f t="shared" si="29"/>
        <v>213</v>
      </c>
      <c r="U149" s="568"/>
      <c r="V149" s="3"/>
      <c r="W149" s="3"/>
      <c r="X149" s="3"/>
      <c r="Y149" s="562"/>
      <c r="Z149" s="570">
        <f t="shared" si="22"/>
        <v>194</v>
      </c>
      <c r="AA149" s="18">
        <f t="shared" si="23"/>
        <v>4</v>
      </c>
      <c r="AB149" s="18">
        <f t="shared" si="24"/>
        <v>0</v>
      </c>
      <c r="AC149" s="18">
        <f t="shared" si="25"/>
        <v>0</v>
      </c>
      <c r="AD149" s="18">
        <f t="shared" si="26"/>
        <v>0</v>
      </c>
      <c r="AE149" s="18">
        <f t="shared" si="32"/>
        <v>7</v>
      </c>
      <c r="AF149" s="18">
        <f t="shared" si="32"/>
        <v>10</v>
      </c>
      <c r="AG149" s="550">
        <f t="shared" si="31"/>
        <v>215</v>
      </c>
      <c r="AH149" s="42">
        <v>2</v>
      </c>
      <c r="AI149" s="42">
        <v>0</v>
      </c>
      <c r="AJ149" s="42">
        <v>0</v>
      </c>
      <c r="AK149" s="42">
        <v>0</v>
      </c>
      <c r="AL149" s="42">
        <v>0</v>
      </c>
      <c r="AM149" s="42">
        <v>0</v>
      </c>
      <c r="AN149" s="42">
        <v>0</v>
      </c>
      <c r="AO149" s="42">
        <v>2</v>
      </c>
    </row>
    <row r="150" spans="1:41" ht="24" customHeight="1">
      <c r="A150" s="11">
        <f t="shared" si="30"/>
        <v>147</v>
      </c>
      <c r="B150" s="8">
        <v>2546</v>
      </c>
      <c r="C150" s="478" t="str">
        <f>VLOOKUP(B150,All!$B$4:$S$8977,2,FALSE)</f>
        <v>ផាន</v>
      </c>
      <c r="D150" s="479" t="str">
        <f>VLOOKUP(B150,All!$B$4:$S$89977,3,FALSE)</f>
        <v>ង៉ា</v>
      </c>
      <c r="E150" s="478" t="str">
        <f>VLOOKUP(B150,All!$B$4:$S$8977,4,FALSE)</f>
        <v>Phan</v>
      </c>
      <c r="F150" s="479" t="str">
        <f>VLOOKUP(B150,All!$B$4:$S$8977,5,FALSE)</f>
        <v>Nga</v>
      </c>
      <c r="G150" s="479" t="str">
        <f>VLOOKUP(B150,All!$B$4:$S$8977,6,FALSE)</f>
        <v>F</v>
      </c>
      <c r="H150" s="385">
        <f>VLOOKUP(B150,All!$B$4:$S$8977,7,FALSE)</f>
        <v>30906</v>
      </c>
      <c r="I150" s="154">
        <f>VLOOKUP(B150,All!$B$4:$S$8977,8,FALSE)</f>
        <v>43407</v>
      </c>
      <c r="J150" s="154" t="str">
        <f>VLOOKUP(B150,All!$B$4:$S$8977,9,FALSE)</f>
        <v>Production</v>
      </c>
      <c r="K150" s="154" t="str">
        <f>VLOOKUP(B150,All!$B$4:$S$8977,10,FALSE)</f>
        <v xml:space="preserve"> Line1</v>
      </c>
      <c r="L150" s="698" t="str">
        <f>VLOOKUP(B150,All!$B$4:$S$8977,11,FALSE)</f>
        <v>Sewing operator</v>
      </c>
      <c r="M150" s="570">
        <f>VLOOKUP(B150,All!$B$4:$S$8977,12,FALSE)</f>
        <v>192</v>
      </c>
      <c r="N150" s="18">
        <f>VLOOKUP(B150,All!$B$4:$S$8977,13,FALSE)</f>
        <v>4</v>
      </c>
      <c r="O150" s="18">
        <f>VLOOKUP(B150,All!$B$4:$S$8977,14,FALSE)</f>
        <v>0</v>
      </c>
      <c r="P150" s="18">
        <f>VLOOKUP(B150,All!$B$4:$S$8977,15,FALSE)</f>
        <v>0</v>
      </c>
      <c r="Q150" s="18">
        <f>VLOOKUP(B150,All!$B$4:$S$8977,16,FALSE)</f>
        <v>0</v>
      </c>
      <c r="R150" s="18">
        <v>7</v>
      </c>
      <c r="S150" s="18">
        <v>10</v>
      </c>
      <c r="T150" s="550">
        <f t="shared" si="29"/>
        <v>213</v>
      </c>
      <c r="U150" s="568"/>
      <c r="V150" s="3"/>
      <c r="W150" s="3"/>
      <c r="X150" s="3"/>
      <c r="Y150" s="562"/>
      <c r="Z150" s="570">
        <f t="shared" si="22"/>
        <v>194</v>
      </c>
      <c r="AA150" s="18">
        <f t="shared" si="23"/>
        <v>4</v>
      </c>
      <c r="AB150" s="18">
        <f t="shared" si="24"/>
        <v>0</v>
      </c>
      <c r="AC150" s="18">
        <f t="shared" si="25"/>
        <v>0</v>
      </c>
      <c r="AD150" s="18">
        <f t="shared" si="26"/>
        <v>0</v>
      </c>
      <c r="AE150" s="18">
        <f t="shared" si="32"/>
        <v>7</v>
      </c>
      <c r="AF150" s="18">
        <f t="shared" si="32"/>
        <v>10</v>
      </c>
      <c r="AG150" s="550">
        <f t="shared" si="31"/>
        <v>215</v>
      </c>
      <c r="AH150" s="42">
        <v>2</v>
      </c>
      <c r="AI150" s="42">
        <v>0</v>
      </c>
      <c r="AJ150" s="42">
        <v>0</v>
      </c>
      <c r="AK150" s="42">
        <v>0</v>
      </c>
      <c r="AL150" s="42">
        <v>0</v>
      </c>
      <c r="AM150" s="42">
        <v>0</v>
      </c>
      <c r="AN150" s="42">
        <v>0</v>
      </c>
      <c r="AO150" s="42">
        <v>2</v>
      </c>
    </row>
    <row r="151" spans="1:41" ht="24" customHeight="1">
      <c r="A151" s="11">
        <f t="shared" si="30"/>
        <v>148</v>
      </c>
      <c r="B151" s="8">
        <v>2548</v>
      </c>
      <c r="C151" s="478" t="str">
        <f>VLOOKUP(B151,All!$B$4:$S$8977,2,FALSE)</f>
        <v>លន</v>
      </c>
      <c r="D151" s="479" t="str">
        <f>VLOOKUP(B151,All!$B$4:$S$89977,3,FALSE)</f>
        <v>ង៉ែត</v>
      </c>
      <c r="E151" s="478" t="str">
        <f>VLOOKUP(B151,All!$B$4:$S$8977,4,FALSE)</f>
        <v>Lorn</v>
      </c>
      <c r="F151" s="479" t="str">
        <f>VLOOKUP(B151,All!$B$4:$S$8977,5,FALSE)</f>
        <v>Nget</v>
      </c>
      <c r="G151" s="479" t="str">
        <f>VLOOKUP(B151,All!$B$4:$S$8977,6,FALSE)</f>
        <v>F</v>
      </c>
      <c r="H151" s="385">
        <f>VLOOKUP(B151,All!$B$4:$S$8977,7,FALSE)</f>
        <v>30169</v>
      </c>
      <c r="I151" s="154">
        <f>VLOOKUP(B151,All!$B$4:$S$8977,8,FALSE)</f>
        <v>43407</v>
      </c>
      <c r="J151" s="154" t="str">
        <f>VLOOKUP(B151,All!$B$4:$S$8977,9,FALSE)</f>
        <v>Production</v>
      </c>
      <c r="K151" s="154" t="str">
        <f>VLOOKUP(B151,All!$B$4:$S$8977,10,FALSE)</f>
        <v>Line17</v>
      </c>
      <c r="L151" s="698" t="str">
        <f>VLOOKUP(B151,All!$B$4:$S$8977,11,FALSE)</f>
        <v>Sewing operator</v>
      </c>
      <c r="M151" s="570">
        <f>VLOOKUP(B151,All!$B$4:$S$8977,12,FALSE)</f>
        <v>192</v>
      </c>
      <c r="N151" s="18">
        <f>VLOOKUP(B151,All!$B$4:$S$8977,13,FALSE)</f>
        <v>4</v>
      </c>
      <c r="O151" s="18">
        <f>VLOOKUP(B151,All!$B$4:$S$8977,14,FALSE)</f>
        <v>0</v>
      </c>
      <c r="P151" s="18">
        <f>VLOOKUP(B151,All!$B$4:$S$8977,15,FALSE)</f>
        <v>0</v>
      </c>
      <c r="Q151" s="18">
        <f>VLOOKUP(B151,All!$B$4:$S$8977,16,FALSE)</f>
        <v>0</v>
      </c>
      <c r="R151" s="18">
        <v>7</v>
      </c>
      <c r="S151" s="18">
        <v>10</v>
      </c>
      <c r="T151" s="550">
        <f t="shared" si="29"/>
        <v>213</v>
      </c>
      <c r="U151" s="568"/>
      <c r="V151" s="3"/>
      <c r="W151" s="3"/>
      <c r="X151" s="3"/>
      <c r="Y151" s="562"/>
      <c r="Z151" s="570">
        <f t="shared" si="22"/>
        <v>194</v>
      </c>
      <c r="AA151" s="18">
        <f t="shared" si="23"/>
        <v>4</v>
      </c>
      <c r="AB151" s="18">
        <f t="shared" si="24"/>
        <v>0</v>
      </c>
      <c r="AC151" s="18">
        <f t="shared" si="25"/>
        <v>0</v>
      </c>
      <c r="AD151" s="18">
        <f t="shared" si="26"/>
        <v>0</v>
      </c>
      <c r="AE151" s="18">
        <f t="shared" si="32"/>
        <v>7</v>
      </c>
      <c r="AF151" s="18">
        <f t="shared" si="32"/>
        <v>10</v>
      </c>
      <c r="AG151" s="550">
        <f t="shared" si="31"/>
        <v>215</v>
      </c>
      <c r="AH151" s="42">
        <v>2</v>
      </c>
      <c r="AI151" s="42">
        <v>0</v>
      </c>
      <c r="AJ151" s="42">
        <v>0</v>
      </c>
      <c r="AK151" s="42">
        <v>0</v>
      </c>
      <c r="AL151" s="42">
        <v>0</v>
      </c>
      <c r="AM151" s="42">
        <v>0</v>
      </c>
      <c r="AN151" s="42">
        <v>0</v>
      </c>
      <c r="AO151" s="42">
        <v>2</v>
      </c>
    </row>
    <row r="152" spans="1:41" ht="24" customHeight="1">
      <c r="A152" s="11">
        <f t="shared" si="30"/>
        <v>149</v>
      </c>
      <c r="B152" s="8">
        <v>2551</v>
      </c>
      <c r="C152" s="478" t="str">
        <f>VLOOKUP(B152,All!$B$4:$S$8977,2,FALSE)</f>
        <v>សុំ</v>
      </c>
      <c r="D152" s="479" t="str">
        <f>VLOOKUP(B152,All!$B$4:$S$89977,3,FALSE)</f>
        <v>ស្រីលៀ</v>
      </c>
      <c r="E152" s="478" t="str">
        <f>VLOOKUP(B152,All!$B$4:$S$8977,4,FALSE)</f>
        <v>Sam</v>
      </c>
      <c r="F152" s="479" t="str">
        <f>VLOOKUP(B152,All!$B$4:$S$8977,5,FALSE)</f>
        <v>Sreylie</v>
      </c>
      <c r="G152" s="479" t="str">
        <f>VLOOKUP(B152,All!$B$4:$S$8977,6,FALSE)</f>
        <v>F</v>
      </c>
      <c r="H152" s="385">
        <f>VLOOKUP(B152,All!$B$4:$S$8977,7,FALSE)</f>
        <v>36770</v>
      </c>
      <c r="I152" s="154">
        <f>VLOOKUP(B152,All!$B$4:$S$8977,8,FALSE)</f>
        <v>43411</v>
      </c>
      <c r="J152" s="154" t="str">
        <f>VLOOKUP(B152,All!$B$4:$S$8977,9,FALSE)</f>
        <v>Production</v>
      </c>
      <c r="K152" s="154" t="str">
        <f>VLOOKUP(B152,All!$B$4:$S$8977,10,FALSE)</f>
        <v xml:space="preserve"> Line3</v>
      </c>
      <c r="L152" s="698" t="str">
        <f>VLOOKUP(B152,All!$B$4:$S$8977,11,FALSE)</f>
        <v>Sewing operator</v>
      </c>
      <c r="M152" s="570">
        <f>VLOOKUP(B152,All!$B$4:$S$8977,12,FALSE)</f>
        <v>192</v>
      </c>
      <c r="N152" s="18">
        <f>VLOOKUP(B152,All!$B$4:$S$8977,13,FALSE)</f>
        <v>4</v>
      </c>
      <c r="O152" s="18">
        <f>VLOOKUP(B152,All!$B$4:$S$8977,14,FALSE)</f>
        <v>0</v>
      </c>
      <c r="P152" s="18">
        <f>VLOOKUP(B152,All!$B$4:$S$8977,15,FALSE)</f>
        <v>0</v>
      </c>
      <c r="Q152" s="18">
        <f>VLOOKUP(B152,All!$B$4:$S$8977,16,FALSE)</f>
        <v>0</v>
      </c>
      <c r="R152" s="18">
        <v>7</v>
      </c>
      <c r="S152" s="18">
        <v>10</v>
      </c>
      <c r="T152" s="550">
        <f t="shared" si="29"/>
        <v>213</v>
      </c>
      <c r="U152" s="568"/>
      <c r="V152" s="3"/>
      <c r="W152" s="3"/>
      <c r="X152" s="3"/>
      <c r="Y152" s="562"/>
      <c r="Z152" s="570">
        <f t="shared" si="22"/>
        <v>194</v>
      </c>
      <c r="AA152" s="18">
        <f t="shared" si="23"/>
        <v>4</v>
      </c>
      <c r="AB152" s="18">
        <f t="shared" si="24"/>
        <v>0</v>
      </c>
      <c r="AC152" s="18">
        <f t="shared" si="25"/>
        <v>0</v>
      </c>
      <c r="AD152" s="18">
        <f t="shared" si="26"/>
        <v>0</v>
      </c>
      <c r="AE152" s="18">
        <f t="shared" si="32"/>
        <v>7</v>
      </c>
      <c r="AF152" s="18">
        <f t="shared" si="32"/>
        <v>10</v>
      </c>
      <c r="AG152" s="550">
        <f t="shared" si="31"/>
        <v>215</v>
      </c>
      <c r="AH152" s="42">
        <v>2</v>
      </c>
      <c r="AI152" s="42">
        <v>0</v>
      </c>
      <c r="AJ152" s="42">
        <v>0</v>
      </c>
      <c r="AK152" s="42">
        <v>0</v>
      </c>
      <c r="AL152" s="42">
        <v>0</v>
      </c>
      <c r="AM152" s="42">
        <v>0</v>
      </c>
      <c r="AN152" s="42">
        <v>0</v>
      </c>
      <c r="AO152" s="42">
        <v>2</v>
      </c>
    </row>
    <row r="153" spans="1:41" ht="24" customHeight="1">
      <c r="A153" s="11">
        <f t="shared" si="30"/>
        <v>150</v>
      </c>
      <c r="B153" s="8">
        <v>2554</v>
      </c>
      <c r="C153" s="478" t="str">
        <f>VLOOKUP(B153,All!$B$4:$S$8977,2,FALSE)</f>
        <v>ប៉ាត</v>
      </c>
      <c r="D153" s="479" t="str">
        <f>VLOOKUP(B153,All!$B$4:$S$89977,3,FALSE)</f>
        <v>ថារ៉ាត់</v>
      </c>
      <c r="E153" s="478" t="str">
        <f>VLOOKUP(B153,All!$B$4:$S$8977,4,FALSE)</f>
        <v>Pat</v>
      </c>
      <c r="F153" s="479" t="str">
        <f>VLOOKUP(B153,All!$B$4:$S$8977,5,FALSE)</f>
        <v>Tharat</v>
      </c>
      <c r="G153" s="479" t="str">
        <f>VLOOKUP(B153,All!$B$4:$S$8977,6,FALSE)</f>
        <v>M</v>
      </c>
      <c r="H153" s="385">
        <f>VLOOKUP(B153,All!$B$4:$S$8977,7,FALSE)</f>
        <v>34011</v>
      </c>
      <c r="I153" s="154">
        <f>VLOOKUP(B153,All!$B$4:$S$8977,8,FALSE)</f>
        <v>43413</v>
      </c>
      <c r="J153" s="154" t="str">
        <f>VLOOKUP(B153,All!$B$4:$S$8977,9,FALSE)</f>
        <v>Production</v>
      </c>
      <c r="K153" s="154" t="str">
        <f>VLOOKUP(B153,All!$B$4:$S$8977,10,FALSE)</f>
        <v>Packing   B</v>
      </c>
      <c r="L153" s="698" t="str">
        <f>VLOOKUP(B153,All!$B$4:$S$8977,11,FALSE)</f>
        <v>Packer</v>
      </c>
      <c r="M153" s="570">
        <f>VLOOKUP(B153,All!$B$4:$S$8977,12,FALSE)</f>
        <v>192</v>
      </c>
      <c r="N153" s="18">
        <f>VLOOKUP(B153,All!$B$4:$S$8977,13,FALSE)</f>
        <v>4</v>
      </c>
      <c r="O153" s="18">
        <f>VLOOKUP(B153,All!$B$4:$S$8977,14,FALSE)</f>
        <v>0</v>
      </c>
      <c r="P153" s="18">
        <f>VLOOKUP(B153,All!$B$4:$S$8977,15,FALSE)</f>
        <v>0</v>
      </c>
      <c r="Q153" s="18">
        <f>VLOOKUP(B153,All!$B$4:$S$8977,16,FALSE)</f>
        <v>0</v>
      </c>
      <c r="R153" s="18">
        <v>7</v>
      </c>
      <c r="S153" s="18">
        <v>10</v>
      </c>
      <c r="T153" s="550">
        <f t="shared" si="29"/>
        <v>213</v>
      </c>
      <c r="U153" s="568"/>
      <c r="V153" s="3"/>
      <c r="W153" s="3"/>
      <c r="X153" s="3"/>
      <c r="Y153" s="562"/>
      <c r="Z153" s="570">
        <f t="shared" si="22"/>
        <v>194</v>
      </c>
      <c r="AA153" s="18">
        <f t="shared" si="23"/>
        <v>4</v>
      </c>
      <c r="AB153" s="18">
        <f t="shared" si="24"/>
        <v>0</v>
      </c>
      <c r="AC153" s="18">
        <f t="shared" si="25"/>
        <v>0</v>
      </c>
      <c r="AD153" s="18">
        <f t="shared" si="26"/>
        <v>0</v>
      </c>
      <c r="AE153" s="18">
        <f t="shared" si="32"/>
        <v>7</v>
      </c>
      <c r="AF153" s="18">
        <f t="shared" si="32"/>
        <v>10</v>
      </c>
      <c r="AG153" s="550">
        <f t="shared" si="31"/>
        <v>215</v>
      </c>
      <c r="AH153" s="42">
        <v>2</v>
      </c>
      <c r="AI153" s="42">
        <v>0</v>
      </c>
      <c r="AJ153" s="42">
        <v>0</v>
      </c>
      <c r="AK153" s="42">
        <v>0</v>
      </c>
      <c r="AL153" s="42">
        <v>0</v>
      </c>
      <c r="AM153" s="42">
        <v>0</v>
      </c>
      <c r="AN153" s="42">
        <v>0</v>
      </c>
      <c r="AO153" s="42">
        <v>2</v>
      </c>
    </row>
    <row r="154" spans="1:41" ht="24" customHeight="1">
      <c r="A154" s="11">
        <f t="shared" si="30"/>
        <v>151</v>
      </c>
      <c r="B154" s="8">
        <v>2555</v>
      </c>
      <c r="C154" s="478" t="str">
        <f>VLOOKUP(B154,All!$B$4:$S$8977,2,FALSE)</f>
        <v>ប៊ូ</v>
      </c>
      <c r="D154" s="479" t="str">
        <f>VLOOKUP(B154,All!$B$4:$S$89977,3,FALSE)</f>
        <v>វ៉ាន់ណារី</v>
      </c>
      <c r="E154" s="478" t="str">
        <f>VLOOKUP(B154,All!$B$4:$S$8977,4,FALSE)</f>
        <v>Bou</v>
      </c>
      <c r="F154" s="479" t="str">
        <f>VLOOKUP(B154,All!$B$4:$S$8977,5,FALSE)</f>
        <v>Vannary</v>
      </c>
      <c r="G154" s="479" t="str">
        <f>VLOOKUP(B154,All!$B$4:$S$8977,6,FALSE)</f>
        <v>F</v>
      </c>
      <c r="H154" s="385">
        <f>VLOOKUP(B154,All!$B$4:$S$8977,7,FALSE)</f>
        <v>35104</v>
      </c>
      <c r="I154" s="154">
        <f>VLOOKUP(B154,All!$B$4:$S$8977,8,FALSE)</f>
        <v>43413</v>
      </c>
      <c r="J154" s="154" t="str">
        <f>VLOOKUP(B154,All!$B$4:$S$8977,9,FALSE)</f>
        <v>Production</v>
      </c>
      <c r="K154" s="154" t="str">
        <f>VLOOKUP(B154,All!$B$4:$S$8977,10,FALSE)</f>
        <v>Line21</v>
      </c>
      <c r="L154" s="698" t="str">
        <f>VLOOKUP(B154,All!$B$4:$S$8977,11,FALSE)</f>
        <v>Sewing operator</v>
      </c>
      <c r="M154" s="570">
        <f>VLOOKUP(B154,All!$B$4:$S$8977,12,FALSE)</f>
        <v>192</v>
      </c>
      <c r="N154" s="18">
        <f>VLOOKUP(B154,All!$B$4:$S$8977,13,FALSE)</f>
        <v>4</v>
      </c>
      <c r="O154" s="18">
        <f>VLOOKUP(B154,All!$B$4:$S$8977,14,FALSE)</f>
        <v>0</v>
      </c>
      <c r="P154" s="18">
        <f>VLOOKUP(B154,All!$B$4:$S$8977,15,FALSE)</f>
        <v>0</v>
      </c>
      <c r="Q154" s="18">
        <f>VLOOKUP(B154,All!$B$4:$S$8977,16,FALSE)</f>
        <v>0</v>
      </c>
      <c r="R154" s="18">
        <v>7</v>
      </c>
      <c r="S154" s="18">
        <v>10</v>
      </c>
      <c r="T154" s="550">
        <f t="shared" si="29"/>
        <v>213</v>
      </c>
      <c r="U154" s="568"/>
      <c r="V154" s="3"/>
      <c r="W154" s="3"/>
      <c r="X154" s="3"/>
      <c r="Y154" s="562"/>
      <c r="Z154" s="570">
        <f t="shared" si="22"/>
        <v>194</v>
      </c>
      <c r="AA154" s="18">
        <f t="shared" si="23"/>
        <v>4</v>
      </c>
      <c r="AB154" s="18">
        <f t="shared" si="24"/>
        <v>0</v>
      </c>
      <c r="AC154" s="18">
        <f t="shared" si="25"/>
        <v>0</v>
      </c>
      <c r="AD154" s="18">
        <f t="shared" si="26"/>
        <v>0</v>
      </c>
      <c r="AE154" s="18">
        <f t="shared" si="32"/>
        <v>7</v>
      </c>
      <c r="AF154" s="18">
        <f t="shared" si="32"/>
        <v>10</v>
      </c>
      <c r="AG154" s="550">
        <f t="shared" si="31"/>
        <v>215</v>
      </c>
      <c r="AH154" s="42">
        <v>2</v>
      </c>
      <c r="AI154" s="42">
        <v>0</v>
      </c>
      <c r="AJ154" s="42">
        <v>0</v>
      </c>
      <c r="AK154" s="42">
        <v>0</v>
      </c>
      <c r="AL154" s="42">
        <v>0</v>
      </c>
      <c r="AM154" s="42">
        <v>0</v>
      </c>
      <c r="AN154" s="42">
        <v>0</v>
      </c>
      <c r="AO154" s="42">
        <v>2</v>
      </c>
    </row>
    <row r="155" spans="1:41" ht="24" customHeight="1">
      <c r="A155" s="11">
        <f t="shared" si="30"/>
        <v>152</v>
      </c>
      <c r="B155" s="8">
        <v>2570</v>
      </c>
      <c r="C155" s="478" t="str">
        <f>VLOOKUP(B155,All!$B$4:$S$8977,2,FALSE)</f>
        <v>សុខ</v>
      </c>
      <c r="D155" s="479" t="str">
        <f>VLOOKUP(B155,All!$B$4:$S$89977,3,FALSE)</f>
        <v>សំណាង</v>
      </c>
      <c r="E155" s="478" t="str">
        <f>VLOOKUP(B155,All!$B$4:$S$8977,4,FALSE)</f>
        <v>Sok</v>
      </c>
      <c r="F155" s="479" t="str">
        <f>VLOOKUP(B155,All!$B$4:$S$8977,5,FALSE)</f>
        <v>Samnang</v>
      </c>
      <c r="G155" s="479" t="str">
        <f>VLOOKUP(B155,All!$B$4:$S$8977,6,FALSE)</f>
        <v>F</v>
      </c>
      <c r="H155" s="385">
        <f>VLOOKUP(B155,All!$B$4:$S$8977,7,FALSE)</f>
        <v>31603</v>
      </c>
      <c r="I155" s="154">
        <f>VLOOKUP(B155,All!$B$4:$S$8977,8,FALSE)</f>
        <v>43421</v>
      </c>
      <c r="J155" s="154" t="str">
        <f>VLOOKUP(B155,All!$B$4:$S$8977,9,FALSE)</f>
        <v>Production</v>
      </c>
      <c r="K155" s="154" t="str">
        <f>VLOOKUP(B155,All!$B$4:$S$8977,10,FALSE)</f>
        <v>Line21</v>
      </c>
      <c r="L155" s="698" t="str">
        <f>VLOOKUP(B155,All!$B$4:$S$8977,11,FALSE)</f>
        <v>Sewing operator</v>
      </c>
      <c r="M155" s="570">
        <f>VLOOKUP(B155,All!$B$4:$S$8977,12,FALSE)</f>
        <v>192</v>
      </c>
      <c r="N155" s="18">
        <f>VLOOKUP(B155,All!$B$4:$S$8977,13,FALSE)</f>
        <v>4</v>
      </c>
      <c r="O155" s="18">
        <f>VLOOKUP(B155,All!$B$4:$S$8977,14,FALSE)</f>
        <v>0</v>
      </c>
      <c r="P155" s="18">
        <f>VLOOKUP(B155,All!$B$4:$S$8977,15,FALSE)</f>
        <v>0</v>
      </c>
      <c r="Q155" s="18">
        <f>VLOOKUP(B155,All!$B$4:$S$8977,16,FALSE)</f>
        <v>0</v>
      </c>
      <c r="R155" s="18">
        <v>7</v>
      </c>
      <c r="S155" s="18">
        <v>10</v>
      </c>
      <c r="T155" s="550">
        <f t="shared" si="29"/>
        <v>213</v>
      </c>
      <c r="U155" s="568"/>
      <c r="V155" s="3"/>
      <c r="W155" s="3"/>
      <c r="X155" s="3"/>
      <c r="Y155" s="562"/>
      <c r="Z155" s="570">
        <f t="shared" si="22"/>
        <v>194</v>
      </c>
      <c r="AA155" s="18">
        <f t="shared" si="23"/>
        <v>4</v>
      </c>
      <c r="AB155" s="18">
        <f t="shared" si="24"/>
        <v>0</v>
      </c>
      <c r="AC155" s="18">
        <f t="shared" si="25"/>
        <v>0</v>
      </c>
      <c r="AD155" s="18">
        <f t="shared" si="26"/>
        <v>0</v>
      </c>
      <c r="AE155" s="18">
        <f t="shared" si="32"/>
        <v>7</v>
      </c>
      <c r="AF155" s="18">
        <f t="shared" si="32"/>
        <v>10</v>
      </c>
      <c r="AG155" s="550">
        <f t="shared" si="31"/>
        <v>215</v>
      </c>
      <c r="AH155" s="42">
        <v>2</v>
      </c>
      <c r="AI155" s="42">
        <v>0</v>
      </c>
      <c r="AJ155" s="42">
        <v>0</v>
      </c>
      <c r="AK155" s="42">
        <v>0</v>
      </c>
      <c r="AL155" s="42">
        <v>0</v>
      </c>
      <c r="AM155" s="42">
        <v>0</v>
      </c>
      <c r="AN155" s="42">
        <v>0</v>
      </c>
      <c r="AO155" s="42">
        <v>2</v>
      </c>
    </row>
    <row r="156" spans="1:41" ht="24" customHeight="1">
      <c r="A156" s="11">
        <f t="shared" si="30"/>
        <v>153</v>
      </c>
      <c r="B156" s="8">
        <v>2590</v>
      </c>
      <c r="C156" s="478" t="str">
        <f>VLOOKUP(B156,All!$B$4:$S$8977,2,FALSE)</f>
        <v>ដូត</v>
      </c>
      <c r="D156" s="479" t="str">
        <f>VLOOKUP(B156,All!$B$4:$S$89977,3,FALSE)</f>
        <v>ម៉ៅ</v>
      </c>
      <c r="E156" s="478" t="str">
        <f>VLOOKUP(B156,All!$B$4:$S$8977,4,FALSE)</f>
        <v>Dot</v>
      </c>
      <c r="F156" s="479" t="str">
        <f>VLOOKUP(B156,All!$B$4:$S$8977,5,FALSE)</f>
        <v>Mao</v>
      </c>
      <c r="G156" s="479" t="str">
        <f>VLOOKUP(B156,All!$B$4:$S$8977,6,FALSE)</f>
        <v>F</v>
      </c>
      <c r="H156" s="385">
        <f>VLOOKUP(B156,All!$B$4:$S$8977,7,FALSE)</f>
        <v>32942</v>
      </c>
      <c r="I156" s="154">
        <f>VLOOKUP(B156,All!$B$4:$S$8977,8,FALSE)</f>
        <v>43421</v>
      </c>
      <c r="J156" s="154" t="str">
        <f>VLOOKUP(B156,All!$B$4:$S$8977,9,FALSE)</f>
        <v>Production</v>
      </c>
      <c r="K156" s="154" t="str">
        <f>VLOOKUP(B156,All!$B$4:$S$8977,10,FALSE)</f>
        <v>Line21</v>
      </c>
      <c r="L156" s="698" t="str">
        <f>VLOOKUP(B156,All!$B$4:$S$8977,11,FALSE)</f>
        <v>Sewing operator</v>
      </c>
      <c r="M156" s="570">
        <f>VLOOKUP(B156,All!$B$4:$S$8977,12,FALSE)</f>
        <v>192</v>
      </c>
      <c r="N156" s="18">
        <f>VLOOKUP(B156,All!$B$4:$S$8977,13,FALSE)</f>
        <v>4</v>
      </c>
      <c r="O156" s="18">
        <f>VLOOKUP(B156,All!$B$4:$S$8977,14,FALSE)</f>
        <v>0</v>
      </c>
      <c r="P156" s="18">
        <f>VLOOKUP(B156,All!$B$4:$S$8977,15,FALSE)</f>
        <v>0</v>
      </c>
      <c r="Q156" s="18">
        <f>VLOOKUP(B156,All!$B$4:$S$8977,16,FALSE)</f>
        <v>0</v>
      </c>
      <c r="R156" s="18">
        <v>7</v>
      </c>
      <c r="S156" s="18">
        <v>10</v>
      </c>
      <c r="T156" s="550">
        <f t="shared" si="29"/>
        <v>213</v>
      </c>
      <c r="U156" s="568"/>
      <c r="V156" s="3"/>
      <c r="W156" s="3"/>
      <c r="X156" s="3"/>
      <c r="Y156" s="562"/>
      <c r="Z156" s="570">
        <f t="shared" si="22"/>
        <v>194</v>
      </c>
      <c r="AA156" s="18">
        <f t="shared" si="23"/>
        <v>4</v>
      </c>
      <c r="AB156" s="18">
        <f t="shared" si="24"/>
        <v>0</v>
      </c>
      <c r="AC156" s="18">
        <f t="shared" si="25"/>
        <v>0</v>
      </c>
      <c r="AD156" s="18">
        <f t="shared" si="26"/>
        <v>0</v>
      </c>
      <c r="AE156" s="18">
        <f t="shared" si="32"/>
        <v>7</v>
      </c>
      <c r="AF156" s="18">
        <f t="shared" si="32"/>
        <v>10</v>
      </c>
      <c r="AG156" s="550">
        <f t="shared" si="31"/>
        <v>215</v>
      </c>
      <c r="AH156" s="42">
        <v>2</v>
      </c>
      <c r="AI156" s="42">
        <v>0</v>
      </c>
      <c r="AJ156" s="42">
        <v>0</v>
      </c>
      <c r="AK156" s="42">
        <v>0</v>
      </c>
      <c r="AL156" s="42">
        <v>0</v>
      </c>
      <c r="AM156" s="42">
        <v>0</v>
      </c>
      <c r="AN156" s="42">
        <v>0</v>
      </c>
      <c r="AO156" s="42">
        <v>2</v>
      </c>
    </row>
    <row r="157" spans="1:41" ht="24" customHeight="1">
      <c r="A157" s="11">
        <f t="shared" si="30"/>
        <v>154</v>
      </c>
      <c r="B157" s="389">
        <v>2589</v>
      </c>
      <c r="C157" s="478" t="str">
        <f>VLOOKUP(B157,All!$B$4:$S$8977,2,FALSE)</f>
        <v>ទួន</v>
      </c>
      <c r="D157" s="479" t="str">
        <f>VLOOKUP(B157,All!$B$4:$S$89977,3,FALSE)</f>
        <v>សាម៉ុត</v>
      </c>
      <c r="E157" s="478" t="str">
        <f>VLOOKUP(B157,All!$B$4:$S$8977,4,FALSE)</f>
        <v>Tuon</v>
      </c>
      <c r="F157" s="479" t="str">
        <f>VLOOKUP(B157,All!$B$4:$S$8977,5,FALSE)</f>
        <v>Samut</v>
      </c>
      <c r="G157" s="479" t="str">
        <f>VLOOKUP(B157,All!$B$4:$S$8977,6,FALSE)</f>
        <v>F</v>
      </c>
      <c r="H157" s="385">
        <f>VLOOKUP(B157,All!$B$4:$S$8977,7,FALSE)</f>
        <v>31961</v>
      </c>
      <c r="I157" s="154">
        <f>VLOOKUP(B157,All!$B$4:$S$8977,8,FALSE)</f>
        <v>43421</v>
      </c>
      <c r="J157" s="154" t="str">
        <f>VLOOKUP(B157,All!$B$4:$S$8977,9,FALSE)</f>
        <v>Production</v>
      </c>
      <c r="K157" s="154" t="str">
        <f>VLOOKUP(B157,All!$B$4:$S$8977,10,FALSE)</f>
        <v xml:space="preserve"> Line1</v>
      </c>
      <c r="L157" s="698" t="str">
        <f>VLOOKUP(B157,All!$B$4:$S$8977,11,FALSE)</f>
        <v>Sewing operator</v>
      </c>
      <c r="M157" s="570">
        <f>VLOOKUP(B157,All!$B$4:$S$8977,12,FALSE)</f>
        <v>192</v>
      </c>
      <c r="N157" s="18">
        <f>VLOOKUP(B157,All!$B$4:$S$8977,13,FALSE)</f>
        <v>4</v>
      </c>
      <c r="O157" s="18">
        <f>VLOOKUP(B157,All!$B$4:$S$8977,14,FALSE)</f>
        <v>0</v>
      </c>
      <c r="P157" s="18">
        <f>VLOOKUP(B157,All!$B$4:$S$8977,15,FALSE)</f>
        <v>0</v>
      </c>
      <c r="Q157" s="18">
        <f>VLOOKUP(B157,All!$B$4:$S$8977,16,FALSE)</f>
        <v>0</v>
      </c>
      <c r="R157" s="18">
        <v>7</v>
      </c>
      <c r="S157" s="18">
        <v>10</v>
      </c>
      <c r="T157" s="550">
        <f t="shared" si="29"/>
        <v>213</v>
      </c>
      <c r="U157" s="568"/>
      <c r="V157" s="3"/>
      <c r="W157" s="3"/>
      <c r="X157" s="3"/>
      <c r="Y157" s="562"/>
      <c r="Z157" s="570">
        <f t="shared" si="22"/>
        <v>194</v>
      </c>
      <c r="AA157" s="18">
        <f t="shared" si="23"/>
        <v>4</v>
      </c>
      <c r="AB157" s="18">
        <f t="shared" si="24"/>
        <v>0</v>
      </c>
      <c r="AC157" s="18">
        <f t="shared" si="25"/>
        <v>0</v>
      </c>
      <c r="AD157" s="18">
        <f t="shared" si="26"/>
        <v>0</v>
      </c>
      <c r="AE157" s="18">
        <f t="shared" si="32"/>
        <v>7</v>
      </c>
      <c r="AF157" s="18">
        <f t="shared" si="32"/>
        <v>10</v>
      </c>
      <c r="AG157" s="550">
        <f t="shared" si="31"/>
        <v>215</v>
      </c>
      <c r="AH157" s="42">
        <v>2</v>
      </c>
      <c r="AI157" s="42">
        <v>0</v>
      </c>
      <c r="AJ157" s="42">
        <v>0</v>
      </c>
      <c r="AK157" s="42">
        <v>0</v>
      </c>
      <c r="AL157" s="42">
        <v>0</v>
      </c>
      <c r="AM157" s="42">
        <v>0</v>
      </c>
      <c r="AN157" s="42">
        <v>0</v>
      </c>
      <c r="AO157" s="42">
        <v>2</v>
      </c>
    </row>
    <row r="158" spans="1:41" ht="24" customHeight="1">
      <c r="A158" s="11">
        <f t="shared" si="30"/>
        <v>155</v>
      </c>
      <c r="B158" s="8">
        <v>2606</v>
      </c>
      <c r="C158" s="478" t="str">
        <f>VLOOKUP(B158,All!$B$4:$S$8977,2,FALSE)</f>
        <v>ឆឹង</v>
      </c>
      <c r="D158" s="479" t="str">
        <f>VLOOKUP(B158,All!$B$4:$S$89977,3,FALSE)</f>
        <v>រ៉ាយូ</v>
      </c>
      <c r="E158" s="478" t="str">
        <f>VLOOKUP(B158,All!$B$4:$S$8977,4,FALSE)</f>
        <v>CHHOENG</v>
      </c>
      <c r="F158" s="479" t="str">
        <f>VLOOKUP(B158,All!$B$4:$S$8977,5,FALSE)</f>
        <v>RAYOU</v>
      </c>
      <c r="G158" s="479" t="str">
        <f>VLOOKUP(B158,All!$B$4:$S$8977,6,FALSE)</f>
        <v>F</v>
      </c>
      <c r="H158" s="385">
        <f>VLOOKUP(B158,All!$B$4:$S$8977,7,FALSE)</f>
        <v>33299</v>
      </c>
      <c r="I158" s="154">
        <f>VLOOKUP(B158,All!$B$4:$S$8977,8,FALSE)</f>
        <v>43469</v>
      </c>
      <c r="J158" s="154" t="str">
        <f>VLOOKUP(B158,All!$B$4:$S$8977,9,FALSE)</f>
        <v>Production</v>
      </c>
      <c r="K158" s="154" t="str">
        <f>VLOOKUP(B158,All!$B$4:$S$8977,10,FALSE)</f>
        <v xml:space="preserve"> Line19</v>
      </c>
      <c r="L158" s="698" t="str">
        <f>VLOOKUP(B158,All!$B$4:$S$8977,11,FALSE)</f>
        <v>Sewing operator</v>
      </c>
      <c r="M158" s="570">
        <f>VLOOKUP(B158,All!$B$4:$S$8977,12,FALSE)</f>
        <v>192</v>
      </c>
      <c r="N158" s="18">
        <f>VLOOKUP(B158,All!$B$4:$S$8977,13,FALSE)</f>
        <v>4</v>
      </c>
      <c r="O158" s="18">
        <f>VLOOKUP(B158,All!$B$4:$S$8977,14,FALSE)</f>
        <v>0</v>
      </c>
      <c r="P158" s="18">
        <f>VLOOKUP(B158,All!$B$4:$S$8977,15,FALSE)</f>
        <v>0</v>
      </c>
      <c r="Q158" s="18">
        <f>VLOOKUP(B158,All!$B$4:$S$8977,16,FALSE)</f>
        <v>0</v>
      </c>
      <c r="R158" s="18">
        <v>7</v>
      </c>
      <c r="S158" s="18">
        <v>10</v>
      </c>
      <c r="T158" s="550">
        <f t="shared" si="29"/>
        <v>213</v>
      </c>
      <c r="U158" s="568"/>
      <c r="V158" s="3"/>
      <c r="W158" s="3"/>
      <c r="X158" s="3"/>
      <c r="Y158" s="562"/>
      <c r="Z158" s="570">
        <f t="shared" si="22"/>
        <v>194</v>
      </c>
      <c r="AA158" s="18">
        <f t="shared" si="23"/>
        <v>4</v>
      </c>
      <c r="AB158" s="18">
        <f t="shared" si="24"/>
        <v>0</v>
      </c>
      <c r="AC158" s="18">
        <f t="shared" si="25"/>
        <v>0</v>
      </c>
      <c r="AD158" s="18">
        <f t="shared" si="26"/>
        <v>0</v>
      </c>
      <c r="AE158" s="18">
        <f t="shared" si="32"/>
        <v>7</v>
      </c>
      <c r="AF158" s="18">
        <f t="shared" si="32"/>
        <v>10</v>
      </c>
      <c r="AG158" s="550">
        <f t="shared" si="31"/>
        <v>215</v>
      </c>
      <c r="AH158" s="42">
        <v>2</v>
      </c>
      <c r="AI158" s="42">
        <v>0</v>
      </c>
      <c r="AJ158" s="42">
        <v>0</v>
      </c>
      <c r="AK158" s="42">
        <v>0</v>
      </c>
      <c r="AL158" s="42">
        <v>0</v>
      </c>
      <c r="AM158" s="42">
        <v>0</v>
      </c>
      <c r="AN158" s="42">
        <v>0</v>
      </c>
      <c r="AO158" s="42">
        <v>2</v>
      </c>
    </row>
    <row r="159" spans="1:41" ht="24" customHeight="1">
      <c r="A159" s="11">
        <f t="shared" si="30"/>
        <v>156</v>
      </c>
      <c r="B159" s="8">
        <v>2637</v>
      </c>
      <c r="C159" s="478" t="str">
        <f>VLOOKUP(B159,All!$B$4:$S$8977,2,FALSE)</f>
        <v>ឆាង</v>
      </c>
      <c r="D159" s="479" t="str">
        <f>VLOOKUP(B159,All!$B$4:$S$89977,3,FALSE)</f>
        <v>សារិទ្ធ</v>
      </c>
      <c r="E159" s="478" t="str">
        <f>VLOOKUP(B159,All!$B$4:$S$8977,4,FALSE)</f>
        <v>Chhang</v>
      </c>
      <c r="F159" s="479" t="str">
        <f>VLOOKUP(B159,All!$B$4:$S$8977,5,FALSE)</f>
        <v>Sarith</v>
      </c>
      <c r="G159" s="479" t="str">
        <f>VLOOKUP(B159,All!$B$4:$S$8977,6,FALSE)</f>
        <v>F</v>
      </c>
      <c r="H159" s="385">
        <f>VLOOKUP(B159,All!$B$4:$S$8977,7,FALSE)</f>
        <v>31696</v>
      </c>
      <c r="I159" s="154">
        <f>VLOOKUP(B159,All!$B$4:$S$8977,8,FALSE)</f>
        <v>43488</v>
      </c>
      <c r="J159" s="154" t="str">
        <f>VLOOKUP(B159,All!$B$4:$S$8977,9,FALSE)</f>
        <v>Production</v>
      </c>
      <c r="K159" s="154" t="str">
        <f>VLOOKUP(B159,All!$B$4:$S$8977,10,FALSE)</f>
        <v xml:space="preserve"> Line18</v>
      </c>
      <c r="L159" s="698" t="str">
        <f>VLOOKUP(B159,All!$B$4:$S$8977,11,FALSE)</f>
        <v>Sewing operator</v>
      </c>
      <c r="M159" s="570">
        <f>VLOOKUP(B159,All!$B$4:$S$8977,12,FALSE)</f>
        <v>192</v>
      </c>
      <c r="N159" s="18">
        <f>VLOOKUP(B159,All!$B$4:$S$8977,13,FALSE)</f>
        <v>3</v>
      </c>
      <c r="O159" s="18">
        <f>VLOOKUP(B159,All!$B$4:$S$8977,14,FALSE)</f>
        <v>0</v>
      </c>
      <c r="P159" s="18">
        <f>VLOOKUP(B159,All!$B$4:$S$8977,15,FALSE)</f>
        <v>0</v>
      </c>
      <c r="Q159" s="18">
        <f>VLOOKUP(B159,All!$B$4:$S$8977,16,FALSE)</f>
        <v>0</v>
      </c>
      <c r="R159" s="18">
        <v>7</v>
      </c>
      <c r="S159" s="18">
        <v>10</v>
      </c>
      <c r="T159" s="550">
        <f t="shared" si="29"/>
        <v>212</v>
      </c>
      <c r="U159" s="568"/>
      <c r="V159" s="3"/>
      <c r="W159" s="3"/>
      <c r="X159" s="3"/>
      <c r="Y159" s="562"/>
      <c r="Z159" s="570">
        <f t="shared" si="22"/>
        <v>194</v>
      </c>
      <c r="AA159" s="18">
        <f t="shared" si="23"/>
        <v>3</v>
      </c>
      <c r="AB159" s="18">
        <f t="shared" si="24"/>
        <v>0</v>
      </c>
      <c r="AC159" s="18">
        <f t="shared" si="25"/>
        <v>0</v>
      </c>
      <c r="AD159" s="18">
        <f t="shared" si="26"/>
        <v>0</v>
      </c>
      <c r="AE159" s="18">
        <f t="shared" si="32"/>
        <v>7</v>
      </c>
      <c r="AF159" s="18">
        <f t="shared" si="32"/>
        <v>10</v>
      </c>
      <c r="AG159" s="550">
        <f t="shared" si="31"/>
        <v>214</v>
      </c>
      <c r="AH159" s="42">
        <v>2</v>
      </c>
      <c r="AI159" s="42">
        <v>0</v>
      </c>
      <c r="AJ159" s="42">
        <v>0</v>
      </c>
      <c r="AK159" s="42">
        <v>0</v>
      </c>
      <c r="AL159" s="42">
        <v>0</v>
      </c>
      <c r="AM159" s="42">
        <v>0</v>
      </c>
      <c r="AN159" s="42">
        <v>0</v>
      </c>
      <c r="AO159" s="42">
        <v>2</v>
      </c>
    </row>
    <row r="160" spans="1:41" ht="24" customHeight="1">
      <c r="A160" s="11">
        <f t="shared" si="30"/>
        <v>157</v>
      </c>
      <c r="B160" s="8">
        <v>2642</v>
      </c>
      <c r="C160" s="478" t="str">
        <f>VLOOKUP(B160,All!$B$4:$S$8977,2,FALSE)</f>
        <v>គង់</v>
      </c>
      <c r="D160" s="479" t="str">
        <f>VLOOKUP(B160,All!$B$4:$S$89977,3,FALSE)</f>
        <v>ធាវី</v>
      </c>
      <c r="E160" s="478" t="str">
        <f>VLOOKUP(B160,All!$B$4:$S$8977,4,FALSE)</f>
        <v>Kong</v>
      </c>
      <c r="F160" s="479" t="str">
        <f>VLOOKUP(B160,All!$B$4:$S$8977,5,FALSE)</f>
        <v>Thavy</v>
      </c>
      <c r="G160" s="479" t="str">
        <f>VLOOKUP(B160,All!$B$4:$S$8977,6,FALSE)</f>
        <v>F</v>
      </c>
      <c r="H160" s="385">
        <f>VLOOKUP(B160,All!$B$4:$S$8977,7,FALSE)</f>
        <v>29838</v>
      </c>
      <c r="I160" s="154">
        <f>VLOOKUP(B160,All!$B$4:$S$8977,8,FALSE)</f>
        <v>43493</v>
      </c>
      <c r="J160" s="154" t="str">
        <f>VLOOKUP(B160,All!$B$4:$S$8977,9,FALSE)</f>
        <v>Production</v>
      </c>
      <c r="K160" s="154" t="str">
        <f>VLOOKUP(B160,All!$B$4:$S$8977,10,FALSE)</f>
        <v xml:space="preserve"> Line3</v>
      </c>
      <c r="L160" s="698" t="str">
        <f>VLOOKUP(B160,All!$B$4:$S$8977,11,FALSE)</f>
        <v>Sewing operator</v>
      </c>
      <c r="M160" s="570">
        <f>VLOOKUP(B160,All!$B$4:$S$8977,12,FALSE)</f>
        <v>192</v>
      </c>
      <c r="N160" s="18">
        <f>VLOOKUP(B160,All!$B$4:$S$8977,13,FALSE)</f>
        <v>3</v>
      </c>
      <c r="O160" s="18">
        <f>VLOOKUP(B160,All!$B$4:$S$8977,14,FALSE)</f>
        <v>0</v>
      </c>
      <c r="P160" s="18">
        <f>VLOOKUP(B160,All!$B$4:$S$8977,15,FALSE)</f>
        <v>0</v>
      </c>
      <c r="Q160" s="18">
        <f>VLOOKUP(B160,All!$B$4:$S$8977,16,FALSE)</f>
        <v>0</v>
      </c>
      <c r="R160" s="18">
        <v>7</v>
      </c>
      <c r="S160" s="18">
        <v>10</v>
      </c>
      <c r="T160" s="550">
        <f t="shared" si="29"/>
        <v>212</v>
      </c>
      <c r="U160" s="568"/>
      <c r="V160" s="3"/>
      <c r="W160" s="3"/>
      <c r="X160" s="3"/>
      <c r="Y160" s="562"/>
      <c r="Z160" s="570">
        <f t="shared" si="22"/>
        <v>194</v>
      </c>
      <c r="AA160" s="18">
        <f t="shared" si="23"/>
        <v>3</v>
      </c>
      <c r="AB160" s="18">
        <f t="shared" si="24"/>
        <v>0</v>
      </c>
      <c r="AC160" s="18">
        <f t="shared" si="25"/>
        <v>0</v>
      </c>
      <c r="AD160" s="18">
        <f t="shared" si="26"/>
        <v>0</v>
      </c>
      <c r="AE160" s="18">
        <f t="shared" si="32"/>
        <v>7</v>
      </c>
      <c r="AF160" s="18">
        <f t="shared" si="32"/>
        <v>10</v>
      </c>
      <c r="AG160" s="550">
        <f t="shared" si="31"/>
        <v>214</v>
      </c>
      <c r="AH160" s="42">
        <v>2</v>
      </c>
      <c r="AI160" s="42">
        <v>0</v>
      </c>
      <c r="AJ160" s="42">
        <v>0</v>
      </c>
      <c r="AK160" s="42">
        <v>0</v>
      </c>
      <c r="AL160" s="42">
        <v>0</v>
      </c>
      <c r="AM160" s="42">
        <v>0</v>
      </c>
      <c r="AN160" s="42">
        <v>0</v>
      </c>
      <c r="AO160" s="42">
        <v>2</v>
      </c>
    </row>
    <row r="161" spans="1:41" ht="24" customHeight="1">
      <c r="A161" s="11">
        <f t="shared" si="30"/>
        <v>158</v>
      </c>
      <c r="B161" s="8">
        <v>2654</v>
      </c>
      <c r="C161" s="478" t="str">
        <f>VLOOKUP(B161,All!$B$4:$S$8977,2,FALSE)</f>
        <v>ឃឹម</v>
      </c>
      <c r="D161" s="479" t="str">
        <f>VLOOKUP(B161,All!$B$4:$S$89977,3,FALSE)</f>
        <v>នី</v>
      </c>
      <c r="E161" s="478" t="str">
        <f>VLOOKUP(B161,All!$B$4:$S$8977,4,FALSE)</f>
        <v>KHIM</v>
      </c>
      <c r="F161" s="479" t="str">
        <f>VLOOKUP(B161,All!$B$4:$S$8977,5,FALSE)</f>
        <v>NY</v>
      </c>
      <c r="G161" s="479" t="str">
        <f>VLOOKUP(B161,All!$B$4:$S$8977,6,FALSE)</f>
        <v>F</v>
      </c>
      <c r="H161" s="385">
        <f>VLOOKUP(B161,All!$B$4:$S$8977,7,FALSE)</f>
        <v>34061</v>
      </c>
      <c r="I161" s="154">
        <f>VLOOKUP(B161,All!$B$4:$S$8977,8,FALSE)</f>
        <v>43497</v>
      </c>
      <c r="J161" s="154" t="str">
        <f>VLOOKUP(B161,All!$B$4:$S$8977,9,FALSE)</f>
        <v>Production</v>
      </c>
      <c r="K161" s="154" t="str">
        <f>VLOOKUP(B161,All!$B$4:$S$8977,10,FALSE)</f>
        <v xml:space="preserve"> Line18</v>
      </c>
      <c r="L161" s="698" t="str">
        <f>VLOOKUP(B161,All!$B$4:$S$8977,11,FALSE)</f>
        <v>Sewing operator</v>
      </c>
      <c r="M161" s="570">
        <f>VLOOKUP(B161,All!$B$4:$S$8977,12,FALSE)</f>
        <v>192</v>
      </c>
      <c r="N161" s="18">
        <f>VLOOKUP(B161,All!$B$4:$S$8977,13,FALSE)</f>
        <v>3</v>
      </c>
      <c r="O161" s="18">
        <f>VLOOKUP(B161,All!$B$4:$S$8977,14,FALSE)</f>
        <v>0</v>
      </c>
      <c r="P161" s="18">
        <f>VLOOKUP(B161,All!$B$4:$S$8977,15,FALSE)</f>
        <v>0</v>
      </c>
      <c r="Q161" s="18">
        <f>VLOOKUP(B161,All!$B$4:$S$8977,16,FALSE)</f>
        <v>0</v>
      </c>
      <c r="R161" s="18">
        <v>7</v>
      </c>
      <c r="S161" s="18">
        <v>10</v>
      </c>
      <c r="T161" s="550">
        <f t="shared" si="29"/>
        <v>212</v>
      </c>
      <c r="U161" s="568"/>
      <c r="V161" s="3"/>
      <c r="W161" s="3"/>
      <c r="X161" s="3"/>
      <c r="Y161" s="562"/>
      <c r="Z161" s="570">
        <f t="shared" si="22"/>
        <v>194</v>
      </c>
      <c r="AA161" s="18">
        <f t="shared" si="23"/>
        <v>3</v>
      </c>
      <c r="AB161" s="18">
        <f t="shared" si="24"/>
        <v>0</v>
      </c>
      <c r="AC161" s="18">
        <f t="shared" si="25"/>
        <v>0</v>
      </c>
      <c r="AD161" s="18">
        <f t="shared" si="26"/>
        <v>0</v>
      </c>
      <c r="AE161" s="18">
        <f t="shared" si="32"/>
        <v>7</v>
      </c>
      <c r="AF161" s="18">
        <f t="shared" si="32"/>
        <v>10</v>
      </c>
      <c r="AG161" s="550">
        <f t="shared" si="31"/>
        <v>214</v>
      </c>
      <c r="AH161" s="42">
        <v>2</v>
      </c>
      <c r="AI161" s="42">
        <v>0</v>
      </c>
      <c r="AJ161" s="42">
        <v>0</v>
      </c>
      <c r="AK161" s="42">
        <v>0</v>
      </c>
      <c r="AL161" s="42">
        <v>0</v>
      </c>
      <c r="AM161" s="42">
        <v>0</v>
      </c>
      <c r="AN161" s="42">
        <v>0</v>
      </c>
      <c r="AO161" s="42">
        <v>2</v>
      </c>
    </row>
    <row r="162" spans="1:41" ht="24" customHeight="1">
      <c r="A162" s="11">
        <f t="shared" si="30"/>
        <v>159</v>
      </c>
      <c r="B162" s="8">
        <v>2678</v>
      </c>
      <c r="C162" s="478" t="str">
        <f>VLOOKUP(B162,All!$B$4:$S$8977,2,FALSE)</f>
        <v>ហេង</v>
      </c>
      <c r="D162" s="479" t="str">
        <f>VLOOKUP(B162,All!$B$4:$S$89977,3,FALSE)</f>
        <v>លេង</v>
      </c>
      <c r="E162" s="478" t="str">
        <f>VLOOKUP(B162,All!$B$4:$S$8977,4,FALSE)</f>
        <v>HENG</v>
      </c>
      <c r="F162" s="479" t="str">
        <f>VLOOKUP(B162,All!$B$4:$S$8977,5,FALSE)</f>
        <v>LENG</v>
      </c>
      <c r="G162" s="479" t="str">
        <f>VLOOKUP(B162,All!$B$4:$S$8977,6,FALSE)</f>
        <v>F</v>
      </c>
      <c r="H162" s="385">
        <f>VLOOKUP(B162,All!$B$4:$S$8977,7,FALSE)</f>
        <v>33645</v>
      </c>
      <c r="I162" s="154">
        <f>VLOOKUP(B162,All!$B$4:$S$8977,8,FALSE)</f>
        <v>43498</v>
      </c>
      <c r="J162" s="154" t="str">
        <f>VLOOKUP(B162,All!$B$4:$S$8977,9,FALSE)</f>
        <v>Production</v>
      </c>
      <c r="K162" s="154" t="str">
        <f>VLOOKUP(B162,All!$B$4:$S$8977,10,FALSE)</f>
        <v xml:space="preserve"> Line18</v>
      </c>
      <c r="L162" s="698" t="str">
        <f>VLOOKUP(B162,All!$B$4:$S$8977,11,FALSE)</f>
        <v>Sewing operator</v>
      </c>
      <c r="M162" s="570">
        <f>VLOOKUP(B162,All!$B$4:$S$8977,12,FALSE)</f>
        <v>192</v>
      </c>
      <c r="N162" s="18">
        <f>VLOOKUP(B162,All!$B$4:$S$8977,13,FALSE)</f>
        <v>3</v>
      </c>
      <c r="O162" s="18">
        <f>VLOOKUP(B162,All!$B$4:$S$8977,14,FALSE)</f>
        <v>0</v>
      </c>
      <c r="P162" s="18">
        <f>VLOOKUP(B162,All!$B$4:$S$8977,15,FALSE)</f>
        <v>0</v>
      </c>
      <c r="Q162" s="18">
        <f>VLOOKUP(B162,All!$B$4:$S$8977,16,FALSE)</f>
        <v>0</v>
      </c>
      <c r="R162" s="18">
        <v>7</v>
      </c>
      <c r="S162" s="18">
        <v>10</v>
      </c>
      <c r="T162" s="550">
        <f t="shared" si="29"/>
        <v>212</v>
      </c>
      <c r="U162" s="568"/>
      <c r="V162" s="3"/>
      <c r="W162" s="3"/>
      <c r="X162" s="3"/>
      <c r="Y162" s="562"/>
      <c r="Z162" s="570">
        <f t="shared" si="22"/>
        <v>194</v>
      </c>
      <c r="AA162" s="18">
        <f t="shared" si="23"/>
        <v>3</v>
      </c>
      <c r="AB162" s="18">
        <f t="shared" si="24"/>
        <v>0</v>
      </c>
      <c r="AC162" s="18">
        <f t="shared" si="25"/>
        <v>0</v>
      </c>
      <c r="AD162" s="18">
        <f t="shared" si="26"/>
        <v>0</v>
      </c>
      <c r="AE162" s="18">
        <f t="shared" si="32"/>
        <v>7</v>
      </c>
      <c r="AF162" s="18">
        <f t="shared" si="32"/>
        <v>10</v>
      </c>
      <c r="AG162" s="550">
        <f t="shared" si="31"/>
        <v>214</v>
      </c>
      <c r="AH162" s="42">
        <v>2</v>
      </c>
      <c r="AI162" s="42">
        <v>0</v>
      </c>
      <c r="AJ162" s="42">
        <v>0</v>
      </c>
      <c r="AK162" s="42">
        <v>0</v>
      </c>
      <c r="AL162" s="42">
        <v>0</v>
      </c>
      <c r="AM162" s="42">
        <v>0</v>
      </c>
      <c r="AN162" s="42">
        <v>0</v>
      </c>
      <c r="AO162" s="42">
        <v>2</v>
      </c>
    </row>
    <row r="163" spans="1:41" ht="24" customHeight="1">
      <c r="A163" s="11">
        <f t="shared" si="30"/>
        <v>160</v>
      </c>
      <c r="B163" s="8">
        <v>2706</v>
      </c>
      <c r="C163" s="478" t="str">
        <f>VLOOKUP(B163,All!$B$4:$S$8977,2,FALSE)</f>
        <v>ញ៉េប</v>
      </c>
      <c r="D163" s="479" t="str">
        <f>VLOOKUP(B163,All!$B$4:$S$89977,3,FALSE)</f>
        <v>សំណាង</v>
      </c>
      <c r="E163" s="478" t="str">
        <f>VLOOKUP(B163,All!$B$4:$S$8977,4,FALSE)</f>
        <v>Nhep</v>
      </c>
      <c r="F163" s="479" t="str">
        <f>VLOOKUP(B163,All!$B$4:$S$8977,5,FALSE)</f>
        <v>Samnang</v>
      </c>
      <c r="G163" s="479" t="str">
        <f>VLOOKUP(B163,All!$B$4:$S$8977,6,FALSE)</f>
        <v>F</v>
      </c>
      <c r="H163" s="385">
        <f>VLOOKUP(B163,All!$B$4:$S$8977,7,FALSE)</f>
        <v>35801</v>
      </c>
      <c r="I163" s="154">
        <f>VLOOKUP(B163,All!$B$4:$S$8977,8,FALSE)</f>
        <v>43502</v>
      </c>
      <c r="J163" s="154" t="str">
        <f>VLOOKUP(B163,All!$B$4:$S$8977,9,FALSE)</f>
        <v>Production</v>
      </c>
      <c r="K163" s="154" t="str">
        <f>VLOOKUP(B163,All!$B$4:$S$8977,10,FALSE)</f>
        <v xml:space="preserve"> Line1</v>
      </c>
      <c r="L163" s="698" t="str">
        <f>VLOOKUP(B163,All!$B$4:$S$8977,11,FALSE)</f>
        <v>Sewing operator</v>
      </c>
      <c r="M163" s="570">
        <f>VLOOKUP(B163,All!$B$4:$S$8977,12,FALSE)</f>
        <v>192</v>
      </c>
      <c r="N163" s="18">
        <f>VLOOKUP(B163,All!$B$4:$S$8977,13,FALSE)</f>
        <v>3</v>
      </c>
      <c r="O163" s="18">
        <f>VLOOKUP(B163,All!$B$4:$S$8977,14,FALSE)</f>
        <v>0</v>
      </c>
      <c r="P163" s="18">
        <f>VLOOKUP(B163,All!$B$4:$S$8977,15,FALSE)</f>
        <v>0</v>
      </c>
      <c r="Q163" s="18">
        <f>VLOOKUP(B163,All!$B$4:$S$8977,16,FALSE)</f>
        <v>0</v>
      </c>
      <c r="R163" s="18">
        <v>7</v>
      </c>
      <c r="S163" s="18">
        <v>10</v>
      </c>
      <c r="T163" s="550">
        <f t="shared" si="29"/>
        <v>212</v>
      </c>
      <c r="U163" s="568"/>
      <c r="V163" s="3"/>
      <c r="W163" s="3"/>
      <c r="X163" s="3"/>
      <c r="Y163" s="562"/>
      <c r="Z163" s="570">
        <f t="shared" si="22"/>
        <v>194</v>
      </c>
      <c r="AA163" s="18">
        <f t="shared" si="23"/>
        <v>3</v>
      </c>
      <c r="AB163" s="18">
        <f t="shared" si="24"/>
        <v>0</v>
      </c>
      <c r="AC163" s="18">
        <f t="shared" si="25"/>
        <v>0</v>
      </c>
      <c r="AD163" s="18">
        <f t="shared" si="26"/>
        <v>0</v>
      </c>
      <c r="AE163" s="18">
        <f t="shared" si="32"/>
        <v>7</v>
      </c>
      <c r="AF163" s="18">
        <f t="shared" si="32"/>
        <v>10</v>
      </c>
      <c r="AG163" s="550">
        <f t="shared" si="31"/>
        <v>214</v>
      </c>
      <c r="AH163" s="42">
        <v>2</v>
      </c>
      <c r="AI163" s="42">
        <v>0</v>
      </c>
      <c r="AJ163" s="42">
        <v>0</v>
      </c>
      <c r="AK163" s="42">
        <v>0</v>
      </c>
      <c r="AL163" s="42">
        <v>0</v>
      </c>
      <c r="AM163" s="42">
        <v>0</v>
      </c>
      <c r="AN163" s="42">
        <v>0</v>
      </c>
      <c r="AO163" s="42">
        <v>2</v>
      </c>
    </row>
    <row r="164" spans="1:41" ht="24" customHeight="1">
      <c r="A164" s="11">
        <f t="shared" si="30"/>
        <v>161</v>
      </c>
      <c r="B164" s="8">
        <v>2702</v>
      </c>
      <c r="C164" s="478" t="str">
        <f>VLOOKUP(B164,All!$B$4:$S$8977,2,FALSE)</f>
        <v>សាន</v>
      </c>
      <c r="D164" s="479" t="str">
        <f>VLOOKUP(B164,All!$B$4:$S$89977,3,FALSE)</f>
        <v>គ្រឿន</v>
      </c>
      <c r="E164" s="478" t="str">
        <f>VLOOKUP(B164,All!$B$4:$S$8977,4,FALSE)</f>
        <v>San</v>
      </c>
      <c r="F164" s="479" t="str">
        <f>VLOOKUP(B164,All!$B$4:$S$8977,5,FALSE)</f>
        <v>Kroeurn</v>
      </c>
      <c r="G164" s="479" t="str">
        <f>VLOOKUP(B164,All!$B$4:$S$8977,6,FALSE)</f>
        <v>F</v>
      </c>
      <c r="H164" s="385">
        <f>VLOOKUP(B164,All!$B$4:$S$8977,7,FALSE)</f>
        <v>30012</v>
      </c>
      <c r="I164" s="154">
        <f>VLOOKUP(B164,All!$B$4:$S$8977,8,FALSE)</f>
        <v>43502</v>
      </c>
      <c r="J164" s="154" t="str">
        <f>VLOOKUP(B164,All!$B$4:$S$8977,9,FALSE)</f>
        <v>Production</v>
      </c>
      <c r="K164" s="154" t="str">
        <f>VLOOKUP(B164,All!$B$4:$S$8977,10,FALSE)</f>
        <v xml:space="preserve"> Line19</v>
      </c>
      <c r="L164" s="698" t="str">
        <f>VLOOKUP(B164,All!$B$4:$S$8977,11,FALSE)</f>
        <v>Sewing operator</v>
      </c>
      <c r="M164" s="570">
        <f>VLOOKUP(B164,All!$B$4:$S$8977,12,FALSE)</f>
        <v>192</v>
      </c>
      <c r="N164" s="18">
        <f>VLOOKUP(B164,All!$B$4:$S$8977,13,FALSE)</f>
        <v>3</v>
      </c>
      <c r="O164" s="18">
        <f>VLOOKUP(B164,All!$B$4:$S$8977,14,FALSE)</f>
        <v>0</v>
      </c>
      <c r="P164" s="18">
        <f>VLOOKUP(B164,All!$B$4:$S$8977,15,FALSE)</f>
        <v>0</v>
      </c>
      <c r="Q164" s="18">
        <f>VLOOKUP(B164,All!$B$4:$S$8977,16,FALSE)</f>
        <v>0</v>
      </c>
      <c r="R164" s="18">
        <v>7</v>
      </c>
      <c r="S164" s="18">
        <v>10</v>
      </c>
      <c r="T164" s="550">
        <f t="shared" si="29"/>
        <v>212</v>
      </c>
      <c r="U164" s="568"/>
      <c r="V164" s="3"/>
      <c r="W164" s="3"/>
      <c r="X164" s="3"/>
      <c r="Y164" s="562"/>
      <c r="Z164" s="570">
        <f t="shared" si="22"/>
        <v>194</v>
      </c>
      <c r="AA164" s="18">
        <f t="shared" si="23"/>
        <v>3</v>
      </c>
      <c r="AB164" s="18">
        <f t="shared" si="24"/>
        <v>0</v>
      </c>
      <c r="AC164" s="18">
        <f t="shared" si="25"/>
        <v>0</v>
      </c>
      <c r="AD164" s="18">
        <f t="shared" si="26"/>
        <v>0</v>
      </c>
      <c r="AE164" s="18">
        <f t="shared" si="32"/>
        <v>7</v>
      </c>
      <c r="AF164" s="18">
        <f t="shared" si="32"/>
        <v>10</v>
      </c>
      <c r="AG164" s="550">
        <f t="shared" si="31"/>
        <v>214</v>
      </c>
      <c r="AH164" s="42">
        <v>2</v>
      </c>
      <c r="AI164" s="42">
        <v>0</v>
      </c>
      <c r="AJ164" s="42">
        <v>0</v>
      </c>
      <c r="AK164" s="42">
        <v>0</v>
      </c>
      <c r="AL164" s="42">
        <v>0</v>
      </c>
      <c r="AM164" s="42">
        <v>0</v>
      </c>
      <c r="AN164" s="42">
        <v>0</v>
      </c>
      <c r="AO164" s="42">
        <v>2</v>
      </c>
    </row>
    <row r="165" spans="1:41" ht="24" customHeight="1">
      <c r="A165" s="11">
        <f t="shared" si="30"/>
        <v>162</v>
      </c>
      <c r="B165" s="8">
        <v>2716</v>
      </c>
      <c r="C165" s="478" t="str">
        <f>VLOOKUP(B165,All!$B$4:$S$8977,2,FALSE)</f>
        <v>ទន់</v>
      </c>
      <c r="D165" s="479" t="str">
        <f>VLOOKUP(B165,All!$B$4:$S$89977,3,FALSE)</f>
        <v>ចន្ដន</v>
      </c>
      <c r="E165" s="478" t="str">
        <f>VLOOKUP(B165,All!$B$4:$S$8977,4,FALSE)</f>
        <v>Torn</v>
      </c>
      <c r="F165" s="479" t="str">
        <f>VLOOKUP(B165,All!$B$4:$S$8977,5,FALSE)</f>
        <v>ChanTorn</v>
      </c>
      <c r="G165" s="479" t="str">
        <f>VLOOKUP(B165,All!$B$4:$S$8977,6,FALSE)</f>
        <v>F</v>
      </c>
      <c r="H165" s="385">
        <f>VLOOKUP(B165,All!$B$4:$S$8977,7,FALSE)</f>
        <v>32265</v>
      </c>
      <c r="I165" s="154">
        <f>VLOOKUP(B165,All!$B$4:$S$8977,8,FALSE)</f>
        <v>43504</v>
      </c>
      <c r="J165" s="154" t="str">
        <f>VLOOKUP(B165,All!$B$4:$S$8977,9,FALSE)</f>
        <v>Production</v>
      </c>
      <c r="K165" s="154" t="str">
        <f>VLOOKUP(B165,All!$B$4:$S$8977,10,FALSE)</f>
        <v xml:space="preserve"> Line18</v>
      </c>
      <c r="L165" s="698" t="str">
        <f>VLOOKUP(B165,All!$B$4:$S$8977,11,FALSE)</f>
        <v>Sewing operator</v>
      </c>
      <c r="M165" s="570">
        <f>VLOOKUP(B165,All!$B$4:$S$8977,12,FALSE)</f>
        <v>192</v>
      </c>
      <c r="N165" s="18">
        <f>VLOOKUP(B165,All!$B$4:$S$8977,13,FALSE)</f>
        <v>3</v>
      </c>
      <c r="O165" s="18">
        <f>VLOOKUP(B165,All!$B$4:$S$8977,14,FALSE)</f>
        <v>0</v>
      </c>
      <c r="P165" s="18">
        <f>VLOOKUP(B165,All!$B$4:$S$8977,15,FALSE)</f>
        <v>0</v>
      </c>
      <c r="Q165" s="18">
        <f>VLOOKUP(B165,All!$B$4:$S$8977,16,FALSE)</f>
        <v>0</v>
      </c>
      <c r="R165" s="18">
        <v>7</v>
      </c>
      <c r="S165" s="18">
        <v>10</v>
      </c>
      <c r="T165" s="550">
        <f t="shared" si="29"/>
        <v>212</v>
      </c>
      <c r="U165" s="568"/>
      <c r="V165" s="3"/>
      <c r="W165" s="3"/>
      <c r="X165" s="3"/>
      <c r="Y165" s="562"/>
      <c r="Z165" s="570">
        <f t="shared" ref="Z165:Z221" si="33">M165+AH165</f>
        <v>194</v>
      </c>
      <c r="AA165" s="18">
        <f t="shared" ref="AA165:AA221" si="34">N165</f>
        <v>3</v>
      </c>
      <c r="AB165" s="18">
        <f t="shared" ref="AB165:AB221" si="35">O165</f>
        <v>0</v>
      </c>
      <c r="AC165" s="18">
        <f t="shared" ref="AC165:AC221" si="36">P165</f>
        <v>0</v>
      </c>
      <c r="AD165" s="18">
        <f t="shared" ref="AD165:AD221" si="37">Q165</f>
        <v>0</v>
      </c>
      <c r="AE165" s="18">
        <f t="shared" si="32"/>
        <v>7</v>
      </c>
      <c r="AF165" s="18">
        <f t="shared" si="32"/>
        <v>10</v>
      </c>
      <c r="AG165" s="550">
        <f t="shared" si="31"/>
        <v>214</v>
      </c>
      <c r="AH165" s="42">
        <v>2</v>
      </c>
      <c r="AI165" s="42">
        <v>0</v>
      </c>
      <c r="AJ165" s="42">
        <v>0</v>
      </c>
      <c r="AK165" s="42">
        <v>0</v>
      </c>
      <c r="AL165" s="42">
        <v>0</v>
      </c>
      <c r="AM165" s="42">
        <v>0</v>
      </c>
      <c r="AN165" s="42">
        <v>0</v>
      </c>
      <c r="AO165" s="42">
        <v>2</v>
      </c>
    </row>
    <row r="166" spans="1:41" ht="24" customHeight="1">
      <c r="A166" s="11">
        <f t="shared" si="30"/>
        <v>163</v>
      </c>
      <c r="B166" s="8">
        <v>2695</v>
      </c>
      <c r="C166" s="478" t="str">
        <f>VLOOKUP(B166,All!$B$4:$S$8977,2,FALSE)</f>
        <v>វ៉ាន់</v>
      </c>
      <c r="D166" s="479" t="str">
        <f>VLOOKUP(B166,All!$B$4:$S$89977,3,FALSE)</f>
        <v>សេងហុង</v>
      </c>
      <c r="E166" s="478" t="str">
        <f>VLOOKUP(B166,All!$B$4:$S$8977,4,FALSE)</f>
        <v>Van</v>
      </c>
      <c r="F166" s="479" t="str">
        <f>VLOOKUP(B166,All!$B$4:$S$8977,5,FALSE)</f>
        <v>SengHong</v>
      </c>
      <c r="G166" s="479" t="str">
        <f>VLOOKUP(B166,All!$B$4:$S$8977,6,FALSE)</f>
        <v>F</v>
      </c>
      <c r="H166" s="385">
        <f>VLOOKUP(B166,All!$B$4:$S$8977,7,FALSE)</f>
        <v>32307</v>
      </c>
      <c r="I166" s="154">
        <f>VLOOKUP(B166,All!$B$4:$S$8977,8,FALSE)</f>
        <v>43503</v>
      </c>
      <c r="J166" s="154" t="str">
        <f>VLOOKUP(B166,All!$B$4:$S$8977,9,FALSE)</f>
        <v>Production</v>
      </c>
      <c r="K166" s="154" t="str">
        <f>VLOOKUP(B166,All!$B$4:$S$8977,10,FALSE)</f>
        <v xml:space="preserve"> Line2</v>
      </c>
      <c r="L166" s="698" t="str">
        <f>VLOOKUP(B166,All!$B$4:$S$8977,11,FALSE)</f>
        <v>Sewing operator</v>
      </c>
      <c r="M166" s="570">
        <f>VLOOKUP(B166,All!$B$4:$S$8977,12,FALSE)</f>
        <v>192</v>
      </c>
      <c r="N166" s="18">
        <f>VLOOKUP(B166,All!$B$4:$S$8977,13,FALSE)</f>
        <v>3</v>
      </c>
      <c r="O166" s="18">
        <f>VLOOKUP(B166,All!$B$4:$S$8977,14,FALSE)</f>
        <v>0</v>
      </c>
      <c r="P166" s="18">
        <f>VLOOKUP(B166,All!$B$4:$S$8977,15,FALSE)</f>
        <v>0</v>
      </c>
      <c r="Q166" s="18">
        <f>VLOOKUP(B166,All!$B$4:$S$8977,16,FALSE)</f>
        <v>0</v>
      </c>
      <c r="R166" s="18">
        <v>7</v>
      </c>
      <c r="S166" s="18">
        <v>10</v>
      </c>
      <c r="T166" s="550">
        <f t="shared" si="29"/>
        <v>212</v>
      </c>
      <c r="U166" s="568"/>
      <c r="V166" s="3"/>
      <c r="W166" s="3"/>
      <c r="X166" s="3"/>
      <c r="Y166" s="562"/>
      <c r="Z166" s="570">
        <f t="shared" si="33"/>
        <v>194</v>
      </c>
      <c r="AA166" s="18">
        <f t="shared" si="34"/>
        <v>3</v>
      </c>
      <c r="AB166" s="18">
        <f t="shared" si="35"/>
        <v>0</v>
      </c>
      <c r="AC166" s="18">
        <f t="shared" si="36"/>
        <v>0</v>
      </c>
      <c r="AD166" s="18">
        <f t="shared" si="37"/>
        <v>0</v>
      </c>
      <c r="AE166" s="18">
        <f t="shared" si="32"/>
        <v>7</v>
      </c>
      <c r="AF166" s="18">
        <f t="shared" si="32"/>
        <v>10</v>
      </c>
      <c r="AG166" s="550">
        <f t="shared" si="31"/>
        <v>214</v>
      </c>
      <c r="AH166" s="42">
        <v>2</v>
      </c>
      <c r="AI166" s="42">
        <v>0</v>
      </c>
      <c r="AJ166" s="42">
        <v>0</v>
      </c>
      <c r="AK166" s="42">
        <v>0</v>
      </c>
      <c r="AL166" s="42">
        <v>0</v>
      </c>
      <c r="AM166" s="42">
        <v>0</v>
      </c>
      <c r="AN166" s="42">
        <v>0</v>
      </c>
      <c r="AO166" s="42">
        <v>2</v>
      </c>
    </row>
    <row r="167" spans="1:41" ht="24" customHeight="1">
      <c r="A167" s="11">
        <f t="shared" si="30"/>
        <v>164</v>
      </c>
      <c r="B167" s="8">
        <v>2701</v>
      </c>
      <c r="C167" s="478" t="str">
        <f>VLOOKUP(B167,All!$B$4:$S$8977,2,FALSE)</f>
        <v>អ៊ាង</v>
      </c>
      <c r="D167" s="479" t="str">
        <f>VLOOKUP(B167,All!$B$4:$S$89977,3,FALSE)</f>
        <v>ស្ដើង</v>
      </c>
      <c r="E167" s="478" t="str">
        <f>VLOOKUP(B167,All!$B$4:$S$8977,4,FALSE)</f>
        <v>Eang</v>
      </c>
      <c r="F167" s="479" t="str">
        <f>VLOOKUP(B167,All!$B$4:$S$8977,5,FALSE)</f>
        <v>Sdoeung</v>
      </c>
      <c r="G167" s="479" t="str">
        <f>VLOOKUP(B167,All!$B$4:$S$8977,6,FALSE)</f>
        <v>F</v>
      </c>
      <c r="H167" s="385">
        <f>VLOOKUP(B167,All!$B$4:$S$8977,7,FALSE)</f>
        <v>30532</v>
      </c>
      <c r="I167" s="154">
        <f>VLOOKUP(B167,All!$B$4:$S$8977,8,FALSE)</f>
        <v>43502</v>
      </c>
      <c r="J167" s="154" t="str">
        <f>VLOOKUP(B167,All!$B$4:$S$8977,9,FALSE)</f>
        <v>Production</v>
      </c>
      <c r="K167" s="154" t="str">
        <f>VLOOKUP(B167,All!$B$4:$S$8977,10,FALSE)</f>
        <v>Line17</v>
      </c>
      <c r="L167" s="698" t="str">
        <f>VLOOKUP(B167,All!$B$4:$S$8977,11,FALSE)</f>
        <v>Sewing operator</v>
      </c>
      <c r="M167" s="570">
        <f>VLOOKUP(B167,All!$B$4:$S$8977,12,FALSE)</f>
        <v>192</v>
      </c>
      <c r="N167" s="18">
        <f>VLOOKUP(B167,All!$B$4:$S$8977,13,FALSE)</f>
        <v>3</v>
      </c>
      <c r="O167" s="18">
        <f>VLOOKUP(B167,All!$B$4:$S$8977,14,FALSE)</f>
        <v>0</v>
      </c>
      <c r="P167" s="18">
        <f>VLOOKUP(B167,All!$B$4:$S$8977,15,FALSE)</f>
        <v>0</v>
      </c>
      <c r="Q167" s="18">
        <f>VLOOKUP(B167,All!$B$4:$S$8977,16,FALSE)</f>
        <v>0</v>
      </c>
      <c r="R167" s="18">
        <v>7</v>
      </c>
      <c r="S167" s="18">
        <v>10</v>
      </c>
      <c r="T167" s="550">
        <f t="shared" si="29"/>
        <v>212</v>
      </c>
      <c r="U167" s="568"/>
      <c r="V167" s="3"/>
      <c r="W167" s="3"/>
      <c r="X167" s="3"/>
      <c r="Y167" s="562"/>
      <c r="Z167" s="570">
        <f t="shared" si="33"/>
        <v>194</v>
      </c>
      <c r="AA167" s="18">
        <f t="shared" si="34"/>
        <v>3</v>
      </c>
      <c r="AB167" s="18">
        <f t="shared" si="35"/>
        <v>0</v>
      </c>
      <c r="AC167" s="18">
        <f t="shared" si="36"/>
        <v>0</v>
      </c>
      <c r="AD167" s="18">
        <f t="shared" si="37"/>
        <v>0</v>
      </c>
      <c r="AE167" s="18">
        <f t="shared" si="32"/>
        <v>7</v>
      </c>
      <c r="AF167" s="18">
        <f t="shared" si="32"/>
        <v>10</v>
      </c>
      <c r="AG167" s="550">
        <f t="shared" si="31"/>
        <v>214</v>
      </c>
      <c r="AH167" s="42">
        <v>2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2</v>
      </c>
    </row>
    <row r="168" spans="1:41" ht="24" customHeight="1">
      <c r="A168" s="11">
        <f t="shared" si="30"/>
        <v>165</v>
      </c>
      <c r="B168" s="8">
        <v>2738</v>
      </c>
      <c r="C168" s="478" t="str">
        <f>VLOOKUP(B168,All!$B$4:$S$8977,2,FALSE)</f>
        <v>គីម</v>
      </c>
      <c r="D168" s="479" t="str">
        <f>VLOOKUP(B168,All!$B$4:$S$89977,3,FALSE)</f>
        <v>ចន្នី</v>
      </c>
      <c r="E168" s="478" t="str">
        <f>VLOOKUP(B168,All!$B$4:$S$8977,4,FALSE)</f>
        <v>Kim</v>
      </c>
      <c r="F168" s="479" t="str">
        <f>VLOOKUP(B168,All!$B$4:$S$8977,5,FALSE)</f>
        <v>ChanNy</v>
      </c>
      <c r="G168" s="479" t="str">
        <f>VLOOKUP(B168,All!$B$4:$S$8977,6,FALSE)</f>
        <v>F</v>
      </c>
      <c r="H168" s="385">
        <f>VLOOKUP(B168,All!$B$4:$S$8977,7,FALSE)</f>
        <v>32987</v>
      </c>
      <c r="I168" s="154">
        <f>VLOOKUP(B168,All!$B$4:$S$8977,8,FALSE)</f>
        <v>43509</v>
      </c>
      <c r="J168" s="154" t="str">
        <f>VLOOKUP(B168,All!$B$4:$S$8977,9,FALSE)</f>
        <v>Production</v>
      </c>
      <c r="K168" s="154" t="str">
        <f>VLOOKUP(B168,All!$B$4:$S$8977,10,FALSE)</f>
        <v xml:space="preserve"> Line3</v>
      </c>
      <c r="L168" s="698" t="str">
        <f>VLOOKUP(B168,All!$B$4:$S$8977,11,FALSE)</f>
        <v>Sewing operator</v>
      </c>
      <c r="M168" s="570">
        <f>VLOOKUP(B168,All!$B$4:$S$8977,12,FALSE)</f>
        <v>192</v>
      </c>
      <c r="N168" s="18">
        <f>VLOOKUP(B168,All!$B$4:$S$8977,13,FALSE)</f>
        <v>3</v>
      </c>
      <c r="O168" s="18">
        <f>VLOOKUP(B168,All!$B$4:$S$8977,14,FALSE)</f>
        <v>0</v>
      </c>
      <c r="P168" s="18">
        <f>VLOOKUP(B168,All!$B$4:$S$8977,15,FALSE)</f>
        <v>0</v>
      </c>
      <c r="Q168" s="18">
        <f>VLOOKUP(B168,All!$B$4:$S$8977,16,FALSE)</f>
        <v>0</v>
      </c>
      <c r="R168" s="18">
        <v>7</v>
      </c>
      <c r="S168" s="18">
        <v>10</v>
      </c>
      <c r="T168" s="550">
        <f t="shared" si="29"/>
        <v>212</v>
      </c>
      <c r="U168" s="568"/>
      <c r="V168" s="3"/>
      <c r="W168" s="3"/>
      <c r="X168" s="3"/>
      <c r="Y168" s="562"/>
      <c r="Z168" s="570">
        <f t="shared" si="33"/>
        <v>194</v>
      </c>
      <c r="AA168" s="18">
        <f t="shared" si="34"/>
        <v>3</v>
      </c>
      <c r="AB168" s="18">
        <f t="shared" si="35"/>
        <v>0</v>
      </c>
      <c r="AC168" s="18">
        <f t="shared" si="36"/>
        <v>0</v>
      </c>
      <c r="AD168" s="18">
        <f t="shared" si="37"/>
        <v>0</v>
      </c>
      <c r="AE168" s="18">
        <f t="shared" si="32"/>
        <v>7</v>
      </c>
      <c r="AF168" s="18">
        <f t="shared" si="32"/>
        <v>10</v>
      </c>
      <c r="AG168" s="550">
        <f t="shared" si="31"/>
        <v>214</v>
      </c>
      <c r="AH168" s="42">
        <v>2</v>
      </c>
      <c r="AI168" s="42">
        <v>0</v>
      </c>
      <c r="AJ168" s="42">
        <v>0</v>
      </c>
      <c r="AK168" s="42">
        <v>0</v>
      </c>
      <c r="AL168" s="42">
        <v>0</v>
      </c>
      <c r="AM168" s="42">
        <v>0</v>
      </c>
      <c r="AN168" s="42">
        <v>0</v>
      </c>
      <c r="AO168" s="42">
        <v>2</v>
      </c>
    </row>
    <row r="169" spans="1:41" ht="24" customHeight="1">
      <c r="A169" s="11">
        <f t="shared" si="30"/>
        <v>166</v>
      </c>
      <c r="B169" s="8">
        <v>2732</v>
      </c>
      <c r="C169" s="478" t="str">
        <f>VLOOKUP(B169,All!$B$4:$S$8977,2,FALSE)</f>
        <v>សេង</v>
      </c>
      <c r="D169" s="479" t="str">
        <f>VLOOKUP(B169,All!$B$4:$S$89977,3,FALSE)</f>
        <v>ឌី</v>
      </c>
      <c r="E169" s="478" t="str">
        <f>VLOOKUP(B169,All!$B$4:$S$8977,4,FALSE)</f>
        <v>Seng</v>
      </c>
      <c r="F169" s="479" t="str">
        <f>VLOOKUP(B169,All!$B$4:$S$8977,5,FALSE)</f>
        <v>Dy</v>
      </c>
      <c r="G169" s="479" t="str">
        <f>VLOOKUP(B169,All!$B$4:$S$8977,6,FALSE)</f>
        <v>F</v>
      </c>
      <c r="H169" s="385">
        <f>VLOOKUP(B169,All!$B$4:$S$8977,7,FALSE)</f>
        <v>34532</v>
      </c>
      <c r="I169" s="154">
        <f>VLOOKUP(B169,All!$B$4:$S$8977,8,FALSE)</f>
        <v>43507</v>
      </c>
      <c r="J169" s="154" t="str">
        <f>VLOOKUP(B169,All!$B$4:$S$8977,9,FALSE)</f>
        <v>Production</v>
      </c>
      <c r="K169" s="154" t="str">
        <f>VLOOKUP(B169,All!$B$4:$S$8977,10,FALSE)</f>
        <v>Line17</v>
      </c>
      <c r="L169" s="698" t="str">
        <f>VLOOKUP(B169,All!$B$4:$S$8977,11,FALSE)</f>
        <v>Sewing operator</v>
      </c>
      <c r="M169" s="570">
        <f>VLOOKUP(B169,All!$B$4:$S$8977,12,FALSE)</f>
        <v>192</v>
      </c>
      <c r="N169" s="18">
        <f>VLOOKUP(B169,All!$B$4:$S$8977,13,FALSE)</f>
        <v>3</v>
      </c>
      <c r="O169" s="18">
        <f>VLOOKUP(B169,All!$B$4:$S$8977,14,FALSE)</f>
        <v>0</v>
      </c>
      <c r="P169" s="18">
        <f>VLOOKUP(B169,All!$B$4:$S$8977,15,FALSE)</f>
        <v>0</v>
      </c>
      <c r="Q169" s="18">
        <f>VLOOKUP(B169,All!$B$4:$S$8977,16,FALSE)</f>
        <v>0</v>
      </c>
      <c r="R169" s="18">
        <v>7</v>
      </c>
      <c r="S169" s="18">
        <v>10</v>
      </c>
      <c r="T169" s="550">
        <f t="shared" si="29"/>
        <v>212</v>
      </c>
      <c r="U169" s="568"/>
      <c r="V169" s="3"/>
      <c r="W169" s="3"/>
      <c r="X169" s="3"/>
      <c r="Y169" s="562"/>
      <c r="Z169" s="570">
        <f t="shared" si="33"/>
        <v>194</v>
      </c>
      <c r="AA169" s="18">
        <f t="shared" si="34"/>
        <v>3</v>
      </c>
      <c r="AB169" s="18">
        <f t="shared" si="35"/>
        <v>0</v>
      </c>
      <c r="AC169" s="18">
        <f t="shared" si="36"/>
        <v>0</v>
      </c>
      <c r="AD169" s="18">
        <f t="shared" si="37"/>
        <v>0</v>
      </c>
      <c r="AE169" s="18">
        <f t="shared" si="32"/>
        <v>7</v>
      </c>
      <c r="AF169" s="18">
        <f t="shared" si="32"/>
        <v>10</v>
      </c>
      <c r="AG169" s="550">
        <f t="shared" si="31"/>
        <v>214</v>
      </c>
      <c r="AH169" s="42">
        <v>2</v>
      </c>
      <c r="AI169" s="42">
        <v>0</v>
      </c>
      <c r="AJ169" s="42">
        <v>0</v>
      </c>
      <c r="AK169" s="42">
        <v>0</v>
      </c>
      <c r="AL169" s="42">
        <v>0</v>
      </c>
      <c r="AM169" s="42">
        <v>0</v>
      </c>
      <c r="AN169" s="42">
        <v>0</v>
      </c>
      <c r="AO169" s="42">
        <v>2</v>
      </c>
    </row>
    <row r="170" spans="1:41" ht="24" customHeight="1">
      <c r="A170" s="11">
        <f t="shared" si="30"/>
        <v>167</v>
      </c>
      <c r="B170" s="8">
        <v>2703</v>
      </c>
      <c r="C170" s="478" t="str">
        <f>VLOOKUP(B170,All!$B$4:$S$8977,2,FALSE)</f>
        <v>ម៉ា</v>
      </c>
      <c r="D170" s="479" t="str">
        <f>VLOOKUP(B170,All!$B$4:$S$89977,3,FALSE)</f>
        <v>គន្ធា</v>
      </c>
      <c r="E170" s="478" t="str">
        <f>VLOOKUP(B170,All!$B$4:$S$8977,4,FALSE)</f>
        <v>Mao</v>
      </c>
      <c r="F170" s="479" t="str">
        <f>VLOOKUP(B170,All!$B$4:$S$8977,5,FALSE)</f>
        <v>KunThea</v>
      </c>
      <c r="G170" s="479" t="str">
        <f>VLOOKUP(B170,All!$B$4:$S$8977,6,FALSE)</f>
        <v>F</v>
      </c>
      <c r="H170" s="385">
        <f>VLOOKUP(B170,All!$B$4:$S$8977,7,FALSE)</f>
        <v>33364</v>
      </c>
      <c r="I170" s="154">
        <f>VLOOKUP(B170,All!$B$4:$S$8977,8,FALSE)</f>
        <v>43502</v>
      </c>
      <c r="J170" s="154" t="str">
        <f>VLOOKUP(B170,All!$B$4:$S$8977,9,FALSE)</f>
        <v>Production</v>
      </c>
      <c r="K170" s="154" t="str">
        <f>VLOOKUP(B170,All!$B$4:$S$8977,10,FALSE)</f>
        <v xml:space="preserve"> Line8</v>
      </c>
      <c r="L170" s="698" t="str">
        <f>VLOOKUP(B170,All!$B$4:$S$8977,11,FALSE)</f>
        <v>Sewing operator</v>
      </c>
      <c r="M170" s="570">
        <f>VLOOKUP(B170,All!$B$4:$S$8977,12,FALSE)</f>
        <v>192</v>
      </c>
      <c r="N170" s="18">
        <f>VLOOKUP(B170,All!$B$4:$S$8977,13,FALSE)</f>
        <v>3</v>
      </c>
      <c r="O170" s="18">
        <f>VLOOKUP(B170,All!$B$4:$S$8977,14,FALSE)</f>
        <v>0</v>
      </c>
      <c r="P170" s="18">
        <f>VLOOKUP(B170,All!$B$4:$S$8977,15,FALSE)</f>
        <v>0</v>
      </c>
      <c r="Q170" s="18">
        <f>VLOOKUP(B170,All!$B$4:$S$8977,16,FALSE)</f>
        <v>0</v>
      </c>
      <c r="R170" s="18">
        <v>7</v>
      </c>
      <c r="S170" s="18">
        <v>10</v>
      </c>
      <c r="T170" s="550">
        <f t="shared" si="29"/>
        <v>212</v>
      </c>
      <c r="U170" s="568"/>
      <c r="V170" s="3"/>
      <c r="W170" s="3"/>
      <c r="X170" s="3"/>
      <c r="Y170" s="562"/>
      <c r="Z170" s="570">
        <f t="shared" si="33"/>
        <v>194</v>
      </c>
      <c r="AA170" s="18">
        <f t="shared" si="34"/>
        <v>3</v>
      </c>
      <c r="AB170" s="18">
        <f t="shared" si="35"/>
        <v>0</v>
      </c>
      <c r="AC170" s="18">
        <f t="shared" si="36"/>
        <v>0</v>
      </c>
      <c r="AD170" s="18">
        <f t="shared" si="37"/>
        <v>0</v>
      </c>
      <c r="AE170" s="18">
        <f t="shared" si="32"/>
        <v>7</v>
      </c>
      <c r="AF170" s="18">
        <f t="shared" si="32"/>
        <v>10</v>
      </c>
      <c r="AG170" s="550">
        <f t="shared" si="31"/>
        <v>214</v>
      </c>
      <c r="AH170" s="42">
        <v>2</v>
      </c>
      <c r="AI170" s="42">
        <v>0</v>
      </c>
      <c r="AJ170" s="42">
        <v>0</v>
      </c>
      <c r="AK170" s="42">
        <v>0</v>
      </c>
      <c r="AL170" s="42">
        <v>0</v>
      </c>
      <c r="AM170" s="42">
        <v>0</v>
      </c>
      <c r="AN170" s="42">
        <v>0</v>
      </c>
      <c r="AO170" s="42">
        <v>2</v>
      </c>
    </row>
    <row r="171" spans="1:41" ht="24" customHeight="1">
      <c r="A171" s="11">
        <f t="shared" si="30"/>
        <v>168</v>
      </c>
      <c r="B171" s="8">
        <v>2808</v>
      </c>
      <c r="C171" s="478" t="str">
        <f>VLOOKUP(B171,All!$B$4:$S$8977,2,FALSE)</f>
        <v>ស៊ា</v>
      </c>
      <c r="D171" s="479" t="str">
        <f>VLOOKUP(B171,All!$B$4:$S$89977,3,FALSE)</f>
        <v>សៀកឡាយ</v>
      </c>
      <c r="E171" s="478" t="str">
        <f>VLOOKUP(B171,All!$B$4:$S$8977,4,FALSE)</f>
        <v>Sean</v>
      </c>
      <c r="F171" s="479" t="str">
        <f>VLOOKUP(B171,All!$B$4:$S$8977,5,FALSE)</f>
        <v>SiekLay</v>
      </c>
      <c r="G171" s="479" t="str">
        <f>VLOOKUP(B171,All!$B$4:$S$8977,6,FALSE)</f>
        <v>F</v>
      </c>
      <c r="H171" s="385">
        <f>VLOOKUP(B171,All!$B$4:$S$8977,7,FALSE)</f>
        <v>32731</v>
      </c>
      <c r="I171" s="154">
        <f>VLOOKUP(B171,All!$B$4:$S$8977,8,FALSE)</f>
        <v>43549</v>
      </c>
      <c r="J171" s="154" t="str">
        <f>VLOOKUP(B171,All!$B$4:$S$8977,9,FALSE)</f>
        <v>Production</v>
      </c>
      <c r="K171" s="154" t="str">
        <f>VLOOKUP(B171,All!$B$4:$S$8977,10,FALSE)</f>
        <v xml:space="preserve"> Line19</v>
      </c>
      <c r="L171" s="698" t="str">
        <f>VLOOKUP(B171,All!$B$4:$S$8977,11,FALSE)</f>
        <v>Sewing operator</v>
      </c>
      <c r="M171" s="570">
        <f>VLOOKUP(B171,All!$B$4:$S$8977,12,FALSE)</f>
        <v>192</v>
      </c>
      <c r="N171" s="18">
        <f>VLOOKUP(B171,All!$B$4:$S$8977,13,FALSE)</f>
        <v>3</v>
      </c>
      <c r="O171" s="18">
        <f>VLOOKUP(B171,All!$B$4:$S$8977,14,FALSE)</f>
        <v>0</v>
      </c>
      <c r="P171" s="18">
        <f>VLOOKUP(B171,All!$B$4:$S$8977,15,FALSE)</f>
        <v>0</v>
      </c>
      <c r="Q171" s="18">
        <f>VLOOKUP(B171,All!$B$4:$S$8977,16,FALSE)</f>
        <v>0</v>
      </c>
      <c r="R171" s="18">
        <v>7</v>
      </c>
      <c r="S171" s="18">
        <v>10</v>
      </c>
      <c r="T171" s="550">
        <f t="shared" si="29"/>
        <v>212</v>
      </c>
      <c r="U171" s="568"/>
      <c r="V171" s="3"/>
      <c r="W171" s="3"/>
      <c r="X171" s="3"/>
      <c r="Y171" s="562"/>
      <c r="Z171" s="570">
        <f t="shared" si="33"/>
        <v>194</v>
      </c>
      <c r="AA171" s="18">
        <f t="shared" si="34"/>
        <v>3</v>
      </c>
      <c r="AB171" s="18">
        <f t="shared" si="35"/>
        <v>0</v>
      </c>
      <c r="AC171" s="18">
        <f t="shared" si="36"/>
        <v>0</v>
      </c>
      <c r="AD171" s="18">
        <f t="shared" si="37"/>
        <v>0</v>
      </c>
      <c r="AE171" s="18">
        <f t="shared" si="32"/>
        <v>7</v>
      </c>
      <c r="AF171" s="18">
        <f t="shared" si="32"/>
        <v>10</v>
      </c>
      <c r="AG171" s="550">
        <f t="shared" si="31"/>
        <v>214</v>
      </c>
      <c r="AH171" s="42">
        <v>2</v>
      </c>
      <c r="AI171" s="42">
        <v>0</v>
      </c>
      <c r="AJ171" s="42">
        <v>0</v>
      </c>
      <c r="AK171" s="42">
        <v>0</v>
      </c>
      <c r="AL171" s="42">
        <v>0</v>
      </c>
      <c r="AM171" s="42">
        <v>0</v>
      </c>
      <c r="AN171" s="42">
        <v>0</v>
      </c>
      <c r="AO171" s="42">
        <v>2</v>
      </c>
    </row>
    <row r="172" spans="1:41" ht="24" customHeight="1">
      <c r="A172" s="11">
        <f t="shared" si="30"/>
        <v>169</v>
      </c>
      <c r="B172" s="8">
        <v>2838</v>
      </c>
      <c r="C172" s="478" t="str">
        <f>VLOOKUP(B172,All!$B$4:$S$8977,2,FALSE)</f>
        <v>អ៉ីង</v>
      </c>
      <c r="D172" s="479" t="str">
        <f>VLOOKUP(B172,All!$B$4:$S$89977,3,FALSE)</f>
        <v>ង៉ន</v>
      </c>
      <c r="E172" s="478" t="str">
        <f>VLOOKUP(B172,All!$B$4:$S$8977,4,FALSE)</f>
        <v>Ing</v>
      </c>
      <c r="F172" s="479" t="str">
        <f>VLOOKUP(B172,All!$B$4:$S$8977,5,FALSE)</f>
        <v>Ngorn</v>
      </c>
      <c r="G172" s="479" t="str">
        <f>VLOOKUP(B172,All!$B$4:$S$8977,6,FALSE)</f>
        <v>F</v>
      </c>
      <c r="H172" s="385">
        <f>VLOOKUP(B172,All!$B$4:$S$8977,7,FALSE)</f>
        <v>28250</v>
      </c>
      <c r="I172" s="154">
        <f>VLOOKUP(B172,All!$B$4:$S$8977,8,FALSE)</f>
        <v>43578</v>
      </c>
      <c r="J172" s="154" t="str">
        <f>VLOOKUP(B172,All!$B$4:$S$8977,9,FALSE)</f>
        <v>Production</v>
      </c>
      <c r="K172" s="154" t="str">
        <f>VLOOKUP(B172,All!$B$4:$S$8977,10,FALSE)</f>
        <v>QC B</v>
      </c>
      <c r="L172" s="698" t="str">
        <f>VLOOKUP(B172,All!$B$4:$S$8977,11,FALSE)</f>
        <v>Inspector</v>
      </c>
      <c r="M172" s="570">
        <f>VLOOKUP(B172,All!$B$4:$S$8977,12,FALSE)</f>
        <v>192</v>
      </c>
      <c r="N172" s="18">
        <f>VLOOKUP(B172,All!$B$4:$S$8977,13,FALSE)</f>
        <v>3</v>
      </c>
      <c r="O172" s="18">
        <f>VLOOKUP(B172,All!$B$4:$S$8977,14,FALSE)</f>
        <v>0</v>
      </c>
      <c r="P172" s="18">
        <f>VLOOKUP(B172,All!$B$4:$S$8977,15,FALSE)</f>
        <v>0</v>
      </c>
      <c r="Q172" s="18">
        <f>VLOOKUP(B172,All!$B$4:$S$8977,16,FALSE)</f>
        <v>0</v>
      </c>
      <c r="R172" s="18">
        <v>7</v>
      </c>
      <c r="S172" s="18">
        <v>10</v>
      </c>
      <c r="T172" s="550">
        <f t="shared" si="29"/>
        <v>212</v>
      </c>
      <c r="U172" s="568"/>
      <c r="V172" s="3"/>
      <c r="W172" s="3"/>
      <c r="X172" s="3"/>
      <c r="Y172" s="562"/>
      <c r="Z172" s="570">
        <f t="shared" si="33"/>
        <v>194</v>
      </c>
      <c r="AA172" s="18">
        <f t="shared" si="34"/>
        <v>3</v>
      </c>
      <c r="AB172" s="18">
        <f t="shared" si="35"/>
        <v>0</v>
      </c>
      <c r="AC172" s="18">
        <f t="shared" si="36"/>
        <v>0</v>
      </c>
      <c r="AD172" s="18">
        <f t="shared" si="37"/>
        <v>0</v>
      </c>
      <c r="AE172" s="18">
        <f t="shared" si="32"/>
        <v>7</v>
      </c>
      <c r="AF172" s="18">
        <f t="shared" si="32"/>
        <v>10</v>
      </c>
      <c r="AG172" s="550">
        <f t="shared" si="31"/>
        <v>214</v>
      </c>
      <c r="AH172" s="42">
        <v>2</v>
      </c>
      <c r="AI172" s="42">
        <v>0</v>
      </c>
      <c r="AJ172" s="42">
        <v>0</v>
      </c>
      <c r="AK172" s="42">
        <v>0</v>
      </c>
      <c r="AL172" s="42">
        <v>0</v>
      </c>
      <c r="AM172" s="42">
        <v>0</v>
      </c>
      <c r="AN172" s="42">
        <v>0</v>
      </c>
      <c r="AO172" s="42">
        <v>2</v>
      </c>
    </row>
    <row r="173" spans="1:41" ht="24" customHeight="1">
      <c r="A173" s="11">
        <f t="shared" si="30"/>
        <v>170</v>
      </c>
      <c r="B173" s="8">
        <v>2840</v>
      </c>
      <c r="C173" s="478" t="str">
        <f>VLOOKUP(B173,All!$B$4:$S$8977,2,FALSE)</f>
        <v>ឈន់</v>
      </c>
      <c r="D173" s="479" t="str">
        <f>VLOOKUP(B173,All!$B$4:$S$89977,3,FALSE)</f>
        <v>ស៊ាងអូន</v>
      </c>
      <c r="E173" s="478" t="str">
        <f>VLOOKUP(B173,All!$B$4:$S$8977,4,FALSE)</f>
        <v>Chhorn</v>
      </c>
      <c r="F173" s="479" t="str">
        <f>VLOOKUP(B173,All!$B$4:$S$8977,5,FALSE)</f>
        <v>SeangOun</v>
      </c>
      <c r="G173" s="479" t="str">
        <f>VLOOKUP(B173,All!$B$4:$S$8977,6,FALSE)</f>
        <v>M</v>
      </c>
      <c r="H173" s="385">
        <f>VLOOKUP(B173,All!$B$4:$S$8977,7,FALSE)</f>
        <v>35349</v>
      </c>
      <c r="I173" s="154">
        <f>VLOOKUP(B173,All!$B$4:$S$8977,8,FALSE)</f>
        <v>43578</v>
      </c>
      <c r="J173" s="154" t="str">
        <f>VLOOKUP(B173,All!$B$4:$S$8977,9,FALSE)</f>
        <v>Production</v>
      </c>
      <c r="K173" s="154" t="str">
        <f>VLOOKUP(B173,All!$B$4:$S$8977,10,FALSE)</f>
        <v xml:space="preserve"> Line15</v>
      </c>
      <c r="L173" s="698" t="str">
        <f>VLOOKUP(B173,All!$B$4:$S$8977,11,FALSE)</f>
        <v>Sewing operator</v>
      </c>
      <c r="M173" s="570">
        <f>VLOOKUP(B173,All!$B$4:$S$8977,12,FALSE)</f>
        <v>192</v>
      </c>
      <c r="N173" s="18">
        <f>VLOOKUP(B173,All!$B$4:$S$8977,13,FALSE)</f>
        <v>3</v>
      </c>
      <c r="O173" s="18">
        <f>VLOOKUP(B173,All!$B$4:$S$8977,14,FALSE)</f>
        <v>0</v>
      </c>
      <c r="P173" s="18">
        <f>VLOOKUP(B173,All!$B$4:$S$8977,15,FALSE)</f>
        <v>0</v>
      </c>
      <c r="Q173" s="18">
        <f>VLOOKUP(B173,All!$B$4:$S$8977,16,FALSE)</f>
        <v>0</v>
      </c>
      <c r="R173" s="18">
        <v>7</v>
      </c>
      <c r="S173" s="18">
        <v>10</v>
      </c>
      <c r="T173" s="550">
        <f t="shared" ref="T173:T211" si="38">SUM(M173:S173)</f>
        <v>212</v>
      </c>
      <c r="U173" s="568"/>
      <c r="V173" s="3"/>
      <c r="W173" s="3"/>
      <c r="X173" s="3"/>
      <c r="Y173" s="562"/>
      <c r="Z173" s="570">
        <f t="shared" si="33"/>
        <v>194</v>
      </c>
      <c r="AA173" s="18">
        <f t="shared" si="34"/>
        <v>3</v>
      </c>
      <c r="AB173" s="18">
        <f t="shared" si="35"/>
        <v>0</v>
      </c>
      <c r="AC173" s="18">
        <f t="shared" si="36"/>
        <v>0</v>
      </c>
      <c r="AD173" s="18">
        <f t="shared" si="37"/>
        <v>0</v>
      </c>
      <c r="AE173" s="18">
        <f t="shared" si="32"/>
        <v>7</v>
      </c>
      <c r="AF173" s="18">
        <f t="shared" si="32"/>
        <v>10</v>
      </c>
      <c r="AG173" s="550">
        <f t="shared" si="31"/>
        <v>214</v>
      </c>
      <c r="AH173" s="42">
        <v>2</v>
      </c>
      <c r="AI173" s="42">
        <v>0</v>
      </c>
      <c r="AJ173" s="42">
        <v>0</v>
      </c>
      <c r="AK173" s="42">
        <v>0</v>
      </c>
      <c r="AL173" s="42">
        <v>0</v>
      </c>
      <c r="AM173" s="42">
        <v>0</v>
      </c>
      <c r="AN173" s="42">
        <v>0</v>
      </c>
      <c r="AO173" s="42">
        <v>2</v>
      </c>
    </row>
    <row r="174" spans="1:41" ht="24" customHeight="1">
      <c r="A174" s="11">
        <f t="shared" si="30"/>
        <v>171</v>
      </c>
      <c r="B174" s="8">
        <v>2847</v>
      </c>
      <c r="C174" s="478" t="str">
        <f>VLOOKUP(B174,All!$B$4:$S$8977,2,FALSE)</f>
        <v>សុន</v>
      </c>
      <c r="D174" s="479" t="str">
        <f>VLOOKUP(B174,All!$B$4:$S$89977,3,FALSE)</f>
        <v>សាវី</v>
      </c>
      <c r="E174" s="478" t="str">
        <f>VLOOKUP(B174,All!$B$4:$S$8977,4,FALSE)</f>
        <v>Sun</v>
      </c>
      <c r="F174" s="479" t="str">
        <f>VLOOKUP(B174,All!$B$4:$S$8977,5,FALSE)</f>
        <v>Savy</v>
      </c>
      <c r="G174" s="479" t="str">
        <f>VLOOKUP(B174,All!$B$4:$S$8977,6,FALSE)</f>
        <v>F</v>
      </c>
      <c r="H174" s="385">
        <f>VLOOKUP(B174,All!$B$4:$S$8977,7,FALSE)</f>
        <v>35747</v>
      </c>
      <c r="I174" s="154">
        <f>VLOOKUP(B174,All!$B$4:$S$8977,8,FALSE)</f>
        <v>43578</v>
      </c>
      <c r="J174" s="154" t="str">
        <f>VLOOKUP(B174,All!$B$4:$S$8977,9,FALSE)</f>
        <v>Production</v>
      </c>
      <c r="K174" s="154" t="str">
        <f>VLOOKUP(B174,All!$B$4:$S$8977,10,FALSE)</f>
        <v>Line 11</v>
      </c>
      <c r="L174" s="698" t="str">
        <f>VLOOKUP(B174,All!$B$4:$S$8977,11,FALSE)</f>
        <v>Sewing operator</v>
      </c>
      <c r="M174" s="570">
        <f>VLOOKUP(B174,All!$B$4:$S$8977,12,FALSE)</f>
        <v>192</v>
      </c>
      <c r="N174" s="18">
        <f>VLOOKUP(B174,All!$B$4:$S$8977,13,FALSE)</f>
        <v>3</v>
      </c>
      <c r="O174" s="18">
        <f>VLOOKUP(B174,All!$B$4:$S$8977,14,FALSE)</f>
        <v>0</v>
      </c>
      <c r="P174" s="18">
        <f>VLOOKUP(B174,All!$B$4:$S$8977,15,FALSE)</f>
        <v>0</v>
      </c>
      <c r="Q174" s="18">
        <f>VLOOKUP(B174,All!$B$4:$S$8977,16,FALSE)</f>
        <v>0</v>
      </c>
      <c r="R174" s="18">
        <v>7</v>
      </c>
      <c r="S174" s="18">
        <v>10</v>
      </c>
      <c r="T174" s="550">
        <f t="shared" si="38"/>
        <v>212</v>
      </c>
      <c r="U174" s="568"/>
      <c r="V174" s="3"/>
      <c r="W174" s="3"/>
      <c r="X174" s="3"/>
      <c r="Y174" s="562"/>
      <c r="Z174" s="570">
        <f t="shared" si="33"/>
        <v>194</v>
      </c>
      <c r="AA174" s="18">
        <f t="shared" si="34"/>
        <v>3</v>
      </c>
      <c r="AB174" s="18">
        <f t="shared" si="35"/>
        <v>0</v>
      </c>
      <c r="AC174" s="18">
        <f t="shared" si="36"/>
        <v>0</v>
      </c>
      <c r="AD174" s="18">
        <f t="shared" si="37"/>
        <v>0</v>
      </c>
      <c r="AE174" s="18">
        <f t="shared" si="32"/>
        <v>7</v>
      </c>
      <c r="AF174" s="18">
        <f t="shared" si="32"/>
        <v>10</v>
      </c>
      <c r="AG174" s="550">
        <f t="shared" si="31"/>
        <v>214</v>
      </c>
      <c r="AH174" s="42">
        <v>2</v>
      </c>
      <c r="AI174" s="42">
        <v>0</v>
      </c>
      <c r="AJ174" s="42">
        <v>0</v>
      </c>
      <c r="AK174" s="42">
        <v>0</v>
      </c>
      <c r="AL174" s="42">
        <v>0</v>
      </c>
      <c r="AM174" s="42">
        <v>0</v>
      </c>
      <c r="AN174" s="42">
        <v>0</v>
      </c>
      <c r="AO174" s="42">
        <v>2</v>
      </c>
    </row>
    <row r="175" spans="1:41" ht="24" customHeight="1">
      <c r="A175" s="11">
        <f t="shared" si="30"/>
        <v>172</v>
      </c>
      <c r="B175" s="8">
        <v>2833</v>
      </c>
      <c r="C175" s="478" t="str">
        <f>VLOOKUP(B175,All!$B$4:$S$8977,2,FALSE)</f>
        <v>ឈូក</v>
      </c>
      <c r="D175" s="479" t="str">
        <f>VLOOKUP(B175,All!$B$4:$S$89977,3,FALSE)</f>
        <v>វន្ធី</v>
      </c>
      <c r="E175" s="478" t="str">
        <f>VLOOKUP(B175,All!$B$4:$S$8977,4,FALSE)</f>
        <v>Chhouk</v>
      </c>
      <c r="F175" s="479" t="str">
        <f>VLOOKUP(B175,All!$B$4:$S$8977,5,FALSE)</f>
        <v>Vanthy</v>
      </c>
      <c r="G175" s="479" t="str">
        <f>VLOOKUP(B175,All!$B$4:$S$8977,6,FALSE)</f>
        <v>F</v>
      </c>
      <c r="H175" s="385">
        <f>VLOOKUP(B175,All!$B$4:$S$8977,7,FALSE)</f>
        <v>32253</v>
      </c>
      <c r="I175" s="154">
        <f>VLOOKUP(B175,All!$B$4:$S$8977,8,FALSE)</f>
        <v>43578</v>
      </c>
      <c r="J175" s="154" t="str">
        <f>VLOOKUP(B175,All!$B$4:$S$8977,9,FALSE)</f>
        <v>Production</v>
      </c>
      <c r="K175" s="154" t="str">
        <f>VLOOKUP(B175,All!$B$4:$S$8977,10,FALSE)</f>
        <v>Line17</v>
      </c>
      <c r="L175" s="698" t="str">
        <f>VLOOKUP(B175,All!$B$4:$S$8977,11,FALSE)</f>
        <v>Sewing operator</v>
      </c>
      <c r="M175" s="570">
        <f>VLOOKUP(B175,All!$B$4:$S$8977,12,FALSE)</f>
        <v>192</v>
      </c>
      <c r="N175" s="18">
        <f>VLOOKUP(B175,All!$B$4:$S$8977,13,FALSE)</f>
        <v>3</v>
      </c>
      <c r="O175" s="18">
        <f>VLOOKUP(B175,All!$B$4:$S$8977,14,FALSE)</f>
        <v>0</v>
      </c>
      <c r="P175" s="18">
        <f>VLOOKUP(B175,All!$B$4:$S$8977,15,FALSE)</f>
        <v>0</v>
      </c>
      <c r="Q175" s="18">
        <f>VLOOKUP(B175,All!$B$4:$S$8977,16,FALSE)</f>
        <v>0</v>
      </c>
      <c r="R175" s="18">
        <v>7</v>
      </c>
      <c r="S175" s="18">
        <v>10</v>
      </c>
      <c r="T175" s="550">
        <f t="shared" si="38"/>
        <v>212</v>
      </c>
      <c r="U175" s="568"/>
      <c r="V175" s="3"/>
      <c r="W175" s="3"/>
      <c r="X175" s="3"/>
      <c r="Y175" s="562"/>
      <c r="Z175" s="570">
        <f t="shared" si="33"/>
        <v>194</v>
      </c>
      <c r="AA175" s="18">
        <f t="shared" si="34"/>
        <v>3</v>
      </c>
      <c r="AB175" s="18">
        <f t="shared" si="35"/>
        <v>0</v>
      </c>
      <c r="AC175" s="18">
        <f t="shared" si="36"/>
        <v>0</v>
      </c>
      <c r="AD175" s="18">
        <f t="shared" si="37"/>
        <v>0</v>
      </c>
      <c r="AE175" s="18">
        <f t="shared" si="32"/>
        <v>7</v>
      </c>
      <c r="AF175" s="18">
        <f t="shared" si="32"/>
        <v>10</v>
      </c>
      <c r="AG175" s="550">
        <f t="shared" si="31"/>
        <v>214</v>
      </c>
      <c r="AH175" s="42">
        <v>2</v>
      </c>
      <c r="AI175" s="42">
        <v>0</v>
      </c>
      <c r="AJ175" s="42">
        <v>0</v>
      </c>
      <c r="AK175" s="42">
        <v>0</v>
      </c>
      <c r="AL175" s="42">
        <v>0</v>
      </c>
      <c r="AM175" s="42">
        <v>0</v>
      </c>
      <c r="AN175" s="42">
        <v>0</v>
      </c>
      <c r="AO175" s="42">
        <v>2</v>
      </c>
    </row>
    <row r="176" spans="1:41" ht="24" customHeight="1">
      <c r="A176" s="11">
        <f t="shared" si="30"/>
        <v>173</v>
      </c>
      <c r="B176" s="8">
        <v>2887</v>
      </c>
      <c r="C176" s="478" t="str">
        <f>VLOOKUP(B176,All!$B$4:$S$8977,2,FALSE)</f>
        <v xml:space="preserve">តឹម </v>
      </c>
      <c r="D176" s="479" t="str">
        <f>VLOOKUP(B176,All!$B$4:$S$89977,3,FALSE)</f>
        <v>ភាង</v>
      </c>
      <c r="E176" s="478" t="str">
        <f>VLOOKUP(B176,All!$B$4:$S$8977,4,FALSE)</f>
        <v>Toeb</v>
      </c>
      <c r="F176" s="479" t="str">
        <f>VLOOKUP(B176,All!$B$4:$S$8977,5,FALSE)</f>
        <v>Pheang</v>
      </c>
      <c r="G176" s="479" t="str">
        <f>VLOOKUP(B176,All!$B$4:$S$8977,6,FALSE)</f>
        <v>F</v>
      </c>
      <c r="H176" s="385">
        <f>VLOOKUP(B176,All!$B$4:$S$8977,7,FALSE)</f>
        <v>31140</v>
      </c>
      <c r="I176" s="154">
        <f>VLOOKUP(B176,All!$B$4:$S$8977,8,FALSE)</f>
        <v>43588</v>
      </c>
      <c r="J176" s="154" t="str">
        <f>VLOOKUP(B176,All!$B$4:$S$8977,9,FALSE)</f>
        <v>Production</v>
      </c>
      <c r="K176" s="154" t="str">
        <f>VLOOKUP(B176,All!$B$4:$S$8977,10,FALSE)</f>
        <v>Line17</v>
      </c>
      <c r="L176" s="698" t="str">
        <f>VLOOKUP(B176,All!$B$4:$S$8977,11,FALSE)</f>
        <v>Sewing operator</v>
      </c>
      <c r="M176" s="570">
        <f>VLOOKUP(B176,All!$B$4:$S$8977,12,FALSE)</f>
        <v>192</v>
      </c>
      <c r="N176" s="18">
        <f>VLOOKUP(B176,All!$B$4:$S$8977,13,FALSE)</f>
        <v>3</v>
      </c>
      <c r="O176" s="18">
        <f>VLOOKUP(B176,All!$B$4:$S$8977,14,FALSE)</f>
        <v>0</v>
      </c>
      <c r="P176" s="18">
        <f>VLOOKUP(B176,All!$B$4:$S$8977,15,FALSE)</f>
        <v>0</v>
      </c>
      <c r="Q176" s="18">
        <f>VLOOKUP(B176,All!$B$4:$S$8977,16,FALSE)</f>
        <v>0</v>
      </c>
      <c r="R176" s="18">
        <v>7</v>
      </c>
      <c r="S176" s="18">
        <v>10</v>
      </c>
      <c r="T176" s="550">
        <f t="shared" si="38"/>
        <v>212</v>
      </c>
      <c r="U176" s="568"/>
      <c r="V176" s="3"/>
      <c r="W176" s="3"/>
      <c r="X176" s="3"/>
      <c r="Y176" s="562"/>
      <c r="Z176" s="570">
        <f t="shared" si="33"/>
        <v>194</v>
      </c>
      <c r="AA176" s="18">
        <f t="shared" si="34"/>
        <v>3</v>
      </c>
      <c r="AB176" s="18">
        <f t="shared" si="35"/>
        <v>0</v>
      </c>
      <c r="AC176" s="18">
        <f t="shared" si="36"/>
        <v>0</v>
      </c>
      <c r="AD176" s="18">
        <f t="shared" si="37"/>
        <v>0</v>
      </c>
      <c r="AE176" s="18">
        <f t="shared" si="32"/>
        <v>7</v>
      </c>
      <c r="AF176" s="18">
        <f t="shared" si="32"/>
        <v>10</v>
      </c>
      <c r="AG176" s="550">
        <f t="shared" si="31"/>
        <v>214</v>
      </c>
      <c r="AH176" s="42">
        <v>2</v>
      </c>
      <c r="AI176" s="42">
        <v>0</v>
      </c>
      <c r="AJ176" s="42">
        <v>0</v>
      </c>
      <c r="AK176" s="42">
        <v>0</v>
      </c>
      <c r="AL176" s="42">
        <v>0</v>
      </c>
      <c r="AM176" s="42">
        <v>0</v>
      </c>
      <c r="AN176" s="42">
        <v>0</v>
      </c>
      <c r="AO176" s="42">
        <v>2</v>
      </c>
    </row>
    <row r="177" spans="1:41" ht="24" customHeight="1">
      <c r="A177" s="11">
        <f t="shared" si="30"/>
        <v>174</v>
      </c>
      <c r="B177" s="8">
        <v>2897</v>
      </c>
      <c r="C177" s="478" t="str">
        <f>VLOOKUP(B177,All!$B$4:$S$8977,2,FALSE)</f>
        <v>ឌឿ</v>
      </c>
      <c r="D177" s="479" t="str">
        <f>VLOOKUP(B177,All!$B$4:$S$89977,3,FALSE)</f>
        <v>សុខន</v>
      </c>
      <c r="E177" s="478" t="str">
        <f>VLOOKUP(B177,All!$B$4:$S$8977,4,FALSE)</f>
        <v>Doeur</v>
      </c>
      <c r="F177" s="479" t="str">
        <f>VLOOKUP(B177,All!$B$4:$S$8977,5,FALSE)</f>
        <v>Sokhan</v>
      </c>
      <c r="G177" s="479" t="str">
        <f>VLOOKUP(B177,All!$B$4:$S$8977,6,FALSE)</f>
        <v>F</v>
      </c>
      <c r="H177" s="385">
        <f>VLOOKUP(B177,All!$B$4:$S$8977,7,FALSE)</f>
        <v>31505</v>
      </c>
      <c r="I177" s="154">
        <f>VLOOKUP(B177,All!$B$4:$S$8977,8,FALSE)</f>
        <v>43589</v>
      </c>
      <c r="J177" s="154" t="str">
        <f>VLOOKUP(B177,All!$B$4:$S$8977,9,FALSE)</f>
        <v>Production</v>
      </c>
      <c r="K177" s="154" t="str">
        <f>VLOOKUP(B177,All!$B$4:$S$8977,10,FALSE)</f>
        <v>Line 11</v>
      </c>
      <c r="L177" s="698" t="str">
        <f>VLOOKUP(B177,All!$B$4:$S$8977,11,FALSE)</f>
        <v>Sewing operator</v>
      </c>
      <c r="M177" s="570">
        <f>VLOOKUP(B177,All!$B$4:$S$8977,12,FALSE)</f>
        <v>192</v>
      </c>
      <c r="N177" s="18">
        <f>VLOOKUP(B177,All!$B$4:$S$8977,13,FALSE)</f>
        <v>3</v>
      </c>
      <c r="O177" s="18">
        <f>VLOOKUP(B177,All!$B$4:$S$8977,14,FALSE)</f>
        <v>0</v>
      </c>
      <c r="P177" s="18">
        <f>VLOOKUP(B177,All!$B$4:$S$8977,15,FALSE)</f>
        <v>0</v>
      </c>
      <c r="Q177" s="18">
        <f>VLOOKUP(B177,All!$B$4:$S$8977,16,FALSE)</f>
        <v>0</v>
      </c>
      <c r="R177" s="18">
        <v>7</v>
      </c>
      <c r="S177" s="18">
        <v>10</v>
      </c>
      <c r="T177" s="550">
        <f t="shared" si="38"/>
        <v>212</v>
      </c>
      <c r="U177" s="568"/>
      <c r="V177" s="3"/>
      <c r="W177" s="3"/>
      <c r="X177" s="3"/>
      <c r="Y177" s="562"/>
      <c r="Z177" s="570">
        <f t="shared" si="33"/>
        <v>194</v>
      </c>
      <c r="AA177" s="18">
        <f t="shared" si="34"/>
        <v>3</v>
      </c>
      <c r="AB177" s="18">
        <f t="shared" si="35"/>
        <v>0</v>
      </c>
      <c r="AC177" s="18">
        <f t="shared" si="36"/>
        <v>0</v>
      </c>
      <c r="AD177" s="18">
        <f t="shared" si="37"/>
        <v>0</v>
      </c>
      <c r="AE177" s="18">
        <f t="shared" si="32"/>
        <v>7</v>
      </c>
      <c r="AF177" s="18">
        <f t="shared" si="32"/>
        <v>10</v>
      </c>
      <c r="AG177" s="550">
        <f t="shared" si="31"/>
        <v>214</v>
      </c>
      <c r="AH177" s="42">
        <v>2</v>
      </c>
      <c r="AI177" s="42">
        <v>0</v>
      </c>
      <c r="AJ177" s="42">
        <v>0</v>
      </c>
      <c r="AK177" s="42">
        <v>0</v>
      </c>
      <c r="AL177" s="42">
        <v>0</v>
      </c>
      <c r="AM177" s="42">
        <v>0</v>
      </c>
      <c r="AN177" s="42">
        <v>0</v>
      </c>
      <c r="AO177" s="42">
        <v>2</v>
      </c>
    </row>
    <row r="178" spans="1:41" ht="24" customHeight="1">
      <c r="A178" s="11">
        <f t="shared" si="30"/>
        <v>175</v>
      </c>
      <c r="B178" s="8">
        <v>2898</v>
      </c>
      <c r="C178" s="478" t="str">
        <f>VLOOKUP(B178,All!$B$4:$S$8977,2,FALSE)</f>
        <v>ប៉ែន</v>
      </c>
      <c r="D178" s="479" t="str">
        <f>VLOOKUP(B178,All!$B$4:$S$89977,3,FALSE)</f>
        <v>ស្រីនូ</v>
      </c>
      <c r="E178" s="478" t="str">
        <f>VLOOKUP(B178,All!$B$4:$S$8977,4,FALSE)</f>
        <v>Pen</v>
      </c>
      <c r="F178" s="479" t="str">
        <f>VLOOKUP(B178,All!$B$4:$S$8977,5,FALSE)</f>
        <v>SreyNo</v>
      </c>
      <c r="G178" s="479" t="str">
        <f>VLOOKUP(B178,All!$B$4:$S$8977,6,FALSE)</f>
        <v>F</v>
      </c>
      <c r="H178" s="385">
        <f>VLOOKUP(B178,All!$B$4:$S$8977,7,FALSE)</f>
        <v>36267</v>
      </c>
      <c r="I178" s="154">
        <f>VLOOKUP(B178,All!$B$4:$S$8977,8,FALSE)</f>
        <v>43592</v>
      </c>
      <c r="J178" s="154" t="str">
        <f>VLOOKUP(B178,All!$B$4:$S$8977,9,FALSE)</f>
        <v>Production</v>
      </c>
      <c r="K178" s="154" t="str">
        <f>VLOOKUP(B178,All!$B$4:$S$8977,10,FALSE)</f>
        <v xml:space="preserve"> Line2</v>
      </c>
      <c r="L178" s="698" t="str">
        <f>VLOOKUP(B178,All!$B$4:$S$8977,11,FALSE)</f>
        <v>Sewing operator</v>
      </c>
      <c r="M178" s="570">
        <f>VLOOKUP(B178,All!$B$4:$S$8977,12,FALSE)</f>
        <v>192</v>
      </c>
      <c r="N178" s="18">
        <f>VLOOKUP(B178,All!$B$4:$S$8977,13,FALSE)</f>
        <v>3</v>
      </c>
      <c r="O178" s="18">
        <f>VLOOKUP(B178,All!$B$4:$S$8977,14,FALSE)</f>
        <v>0</v>
      </c>
      <c r="P178" s="18">
        <f>VLOOKUP(B178,All!$B$4:$S$8977,15,FALSE)</f>
        <v>0</v>
      </c>
      <c r="Q178" s="18">
        <f>VLOOKUP(B178,All!$B$4:$S$8977,16,FALSE)</f>
        <v>0</v>
      </c>
      <c r="R178" s="18">
        <v>7</v>
      </c>
      <c r="S178" s="18">
        <v>10</v>
      </c>
      <c r="T178" s="550">
        <f t="shared" si="38"/>
        <v>212</v>
      </c>
      <c r="U178" s="568"/>
      <c r="V178" s="3"/>
      <c r="W178" s="3"/>
      <c r="X178" s="3"/>
      <c r="Y178" s="562"/>
      <c r="Z178" s="570">
        <f t="shared" si="33"/>
        <v>194</v>
      </c>
      <c r="AA178" s="18">
        <f t="shared" si="34"/>
        <v>3</v>
      </c>
      <c r="AB178" s="18">
        <f t="shared" si="35"/>
        <v>0</v>
      </c>
      <c r="AC178" s="18">
        <f t="shared" si="36"/>
        <v>0</v>
      </c>
      <c r="AD178" s="18">
        <f t="shared" si="37"/>
        <v>0</v>
      </c>
      <c r="AE178" s="18">
        <f t="shared" si="32"/>
        <v>7</v>
      </c>
      <c r="AF178" s="18">
        <f t="shared" si="32"/>
        <v>10</v>
      </c>
      <c r="AG178" s="550">
        <f t="shared" si="31"/>
        <v>214</v>
      </c>
      <c r="AH178" s="42">
        <v>2</v>
      </c>
      <c r="AI178" s="42">
        <v>0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2</v>
      </c>
    </row>
    <row r="179" spans="1:41" ht="24" customHeight="1">
      <c r="A179" s="11">
        <f t="shared" si="30"/>
        <v>176</v>
      </c>
      <c r="B179" s="8">
        <v>2834</v>
      </c>
      <c r="C179" s="478" t="str">
        <f>VLOOKUP(B179,All!$B$4:$S$8977,2,FALSE)</f>
        <v>ទិត</v>
      </c>
      <c r="D179" s="479" t="str">
        <f>VLOOKUP(B179,All!$B$4:$S$89977,3,FALSE)</f>
        <v>សាវឿន</v>
      </c>
      <c r="E179" s="478" t="str">
        <f>VLOOKUP(B179,All!$B$4:$S$8977,4,FALSE)</f>
        <v>Tet</v>
      </c>
      <c r="F179" s="479" t="str">
        <f>VLOOKUP(B179,All!$B$4:$S$8977,5,FALSE)</f>
        <v>Savoeun</v>
      </c>
      <c r="G179" s="479" t="str">
        <f>VLOOKUP(B179,All!$B$4:$S$8977,6,FALSE)</f>
        <v>F</v>
      </c>
      <c r="H179" s="385">
        <f>VLOOKUP(B179,All!$B$4:$S$8977,7,FALSE)</f>
        <v>33793</v>
      </c>
      <c r="I179" s="154">
        <f>VLOOKUP(B179,All!$B$4:$S$8977,8,FALSE)</f>
        <v>43578</v>
      </c>
      <c r="J179" s="154" t="str">
        <f>VLOOKUP(B179,All!$B$4:$S$8977,9,FALSE)</f>
        <v>Production</v>
      </c>
      <c r="K179" s="154" t="str">
        <f>VLOOKUP(B179,All!$B$4:$S$8977,10,FALSE)</f>
        <v xml:space="preserve"> Line18</v>
      </c>
      <c r="L179" s="698" t="str">
        <f>VLOOKUP(B179,All!$B$4:$S$8977,11,FALSE)</f>
        <v>Sewing operator</v>
      </c>
      <c r="M179" s="570">
        <f>VLOOKUP(B179,All!$B$4:$S$8977,12,FALSE)</f>
        <v>192</v>
      </c>
      <c r="N179" s="18">
        <f>VLOOKUP(B179,All!$B$4:$S$8977,13,FALSE)</f>
        <v>3</v>
      </c>
      <c r="O179" s="18">
        <f>VLOOKUP(B179,All!$B$4:$S$8977,14,FALSE)</f>
        <v>0</v>
      </c>
      <c r="P179" s="18">
        <f>VLOOKUP(B179,All!$B$4:$S$8977,15,FALSE)</f>
        <v>0</v>
      </c>
      <c r="Q179" s="18">
        <f>VLOOKUP(B179,All!$B$4:$S$8977,16,FALSE)</f>
        <v>0</v>
      </c>
      <c r="R179" s="18">
        <v>7</v>
      </c>
      <c r="S179" s="18">
        <v>10</v>
      </c>
      <c r="T179" s="550">
        <f t="shared" si="38"/>
        <v>212</v>
      </c>
      <c r="U179" s="568"/>
      <c r="V179" s="3"/>
      <c r="W179" s="3"/>
      <c r="X179" s="3"/>
      <c r="Y179" s="562"/>
      <c r="Z179" s="570">
        <f t="shared" si="33"/>
        <v>194</v>
      </c>
      <c r="AA179" s="18">
        <f t="shared" si="34"/>
        <v>3</v>
      </c>
      <c r="AB179" s="18">
        <f t="shared" si="35"/>
        <v>0</v>
      </c>
      <c r="AC179" s="18">
        <f t="shared" si="36"/>
        <v>0</v>
      </c>
      <c r="AD179" s="18">
        <f t="shared" si="37"/>
        <v>0</v>
      </c>
      <c r="AE179" s="18">
        <f t="shared" si="32"/>
        <v>7</v>
      </c>
      <c r="AF179" s="18">
        <f t="shared" si="32"/>
        <v>10</v>
      </c>
      <c r="AG179" s="550">
        <f t="shared" si="31"/>
        <v>214</v>
      </c>
      <c r="AH179" s="42">
        <v>2</v>
      </c>
      <c r="AI179" s="42">
        <v>0</v>
      </c>
      <c r="AJ179" s="42">
        <v>0</v>
      </c>
      <c r="AK179" s="42">
        <v>0</v>
      </c>
      <c r="AL179" s="42">
        <v>0</v>
      </c>
      <c r="AM179" s="42">
        <v>0</v>
      </c>
      <c r="AN179" s="42">
        <v>0</v>
      </c>
      <c r="AO179" s="42">
        <v>2</v>
      </c>
    </row>
    <row r="180" spans="1:41" ht="24" customHeight="1">
      <c r="A180" s="11">
        <f t="shared" si="30"/>
        <v>177</v>
      </c>
      <c r="B180" s="8">
        <v>2943</v>
      </c>
      <c r="C180" s="478" t="str">
        <f>VLOOKUP(B180,All!$B$4:$S$8977,2,FALSE)</f>
        <v>ផ្លេក</v>
      </c>
      <c r="D180" s="479" t="str">
        <f>VLOOKUP(B180,All!$B$4:$S$89977,3,FALSE)</f>
        <v>ច្រឹប</v>
      </c>
      <c r="E180" s="478" t="str">
        <f>VLOOKUP(B180,All!$B$4:$S$8977,4,FALSE)</f>
        <v xml:space="preserve">Phlek </v>
      </c>
      <c r="F180" s="479" t="str">
        <f>VLOOKUP(B180,All!$B$4:$S$8977,5,FALSE)</f>
        <v>Chreob</v>
      </c>
      <c r="G180" s="479" t="str">
        <f>VLOOKUP(B180,All!$B$4:$S$8977,6,FALSE)</f>
        <v>F</v>
      </c>
      <c r="H180" s="385">
        <f>VLOOKUP(B180,All!$B$4:$S$8977,7,FALSE)</f>
        <v>29405</v>
      </c>
      <c r="I180" s="154">
        <f>VLOOKUP(B180,All!$B$4:$S$8977,8,FALSE)</f>
        <v>43627</v>
      </c>
      <c r="J180" s="154" t="str">
        <f>VLOOKUP(B180,All!$B$4:$S$8977,9,FALSE)</f>
        <v>Production</v>
      </c>
      <c r="K180" s="154" t="str">
        <f>VLOOKUP(B180,All!$B$4:$S$8977,10,FALSE)</f>
        <v>Line20</v>
      </c>
      <c r="L180" s="698" t="str">
        <f>VLOOKUP(B180,All!$B$4:$S$8977,11,FALSE)</f>
        <v>Sewing operator</v>
      </c>
      <c r="M180" s="570">
        <f>VLOOKUP(B180,All!$B$4:$S$8977,12,FALSE)</f>
        <v>192</v>
      </c>
      <c r="N180" s="18">
        <f>VLOOKUP(B180,All!$B$4:$S$8977,13,FALSE)</f>
        <v>3</v>
      </c>
      <c r="O180" s="18">
        <f>VLOOKUP(B180,All!$B$4:$S$8977,14,FALSE)</f>
        <v>0</v>
      </c>
      <c r="P180" s="18">
        <f>VLOOKUP(B180,All!$B$4:$S$8977,15,FALSE)</f>
        <v>0</v>
      </c>
      <c r="Q180" s="18">
        <f>VLOOKUP(B180,All!$B$4:$S$8977,16,FALSE)</f>
        <v>0</v>
      </c>
      <c r="R180" s="18">
        <v>7</v>
      </c>
      <c r="S180" s="18">
        <v>10</v>
      </c>
      <c r="T180" s="550">
        <f t="shared" si="38"/>
        <v>212</v>
      </c>
      <c r="U180" s="568"/>
      <c r="V180" s="3"/>
      <c r="W180" s="3"/>
      <c r="X180" s="3"/>
      <c r="Y180" s="562"/>
      <c r="Z180" s="570">
        <f t="shared" si="33"/>
        <v>194</v>
      </c>
      <c r="AA180" s="18">
        <f t="shared" si="34"/>
        <v>3</v>
      </c>
      <c r="AB180" s="18">
        <f t="shared" si="35"/>
        <v>0</v>
      </c>
      <c r="AC180" s="18">
        <f t="shared" si="36"/>
        <v>0</v>
      </c>
      <c r="AD180" s="18">
        <f t="shared" si="37"/>
        <v>0</v>
      </c>
      <c r="AE180" s="18">
        <f t="shared" si="32"/>
        <v>7</v>
      </c>
      <c r="AF180" s="18">
        <f t="shared" si="32"/>
        <v>10</v>
      </c>
      <c r="AG180" s="550">
        <f t="shared" si="31"/>
        <v>214</v>
      </c>
      <c r="AH180" s="42">
        <v>2</v>
      </c>
      <c r="AI180" s="42">
        <v>0</v>
      </c>
      <c r="AJ180" s="42">
        <v>0</v>
      </c>
      <c r="AK180" s="42">
        <v>0</v>
      </c>
      <c r="AL180" s="42">
        <v>0</v>
      </c>
      <c r="AM180" s="42">
        <v>0</v>
      </c>
      <c r="AN180" s="42">
        <v>0</v>
      </c>
      <c r="AO180" s="42">
        <v>2</v>
      </c>
    </row>
    <row r="181" spans="1:41" ht="24" customHeight="1">
      <c r="A181" s="11">
        <f t="shared" si="30"/>
        <v>178</v>
      </c>
      <c r="B181" s="8">
        <v>2929</v>
      </c>
      <c r="C181" s="478" t="str">
        <f>VLOOKUP(B181,All!$B$4:$S$8977,2,FALSE)</f>
        <v>ម៉ូវ</v>
      </c>
      <c r="D181" s="479" t="str">
        <f>VLOOKUP(B181,All!$B$4:$S$89977,3,FALSE)</f>
        <v>ប៉ោស៊ាង</v>
      </c>
      <c r="E181" s="478" t="str">
        <f>VLOOKUP(B181,All!$B$4:$S$8977,4,FALSE)</f>
        <v>Mov</v>
      </c>
      <c r="F181" s="479" t="str">
        <f>VLOOKUP(B181,All!$B$4:$S$8977,5,FALSE)</f>
        <v>Porseang</v>
      </c>
      <c r="G181" s="479" t="str">
        <f>VLOOKUP(B181,All!$B$4:$S$8977,6,FALSE)</f>
        <v>F</v>
      </c>
      <c r="H181" s="385">
        <f>VLOOKUP(B181,All!$B$4:$S$8977,7,FALSE)</f>
        <v>29869</v>
      </c>
      <c r="I181" s="154">
        <f>VLOOKUP(B181,All!$B$4:$S$8977,8,FALSE)</f>
        <v>43589</v>
      </c>
      <c r="J181" s="154" t="str">
        <f>VLOOKUP(B181,All!$B$4:$S$8977,9,FALSE)</f>
        <v>Production</v>
      </c>
      <c r="K181" s="154" t="str">
        <f>VLOOKUP(B181,All!$B$4:$S$8977,10,FALSE)</f>
        <v xml:space="preserve"> Line19</v>
      </c>
      <c r="L181" s="698" t="str">
        <f>VLOOKUP(B181,All!$B$4:$S$8977,11,FALSE)</f>
        <v>Sewing operator</v>
      </c>
      <c r="M181" s="570">
        <f>VLOOKUP(B181,All!$B$4:$S$8977,12,FALSE)</f>
        <v>192</v>
      </c>
      <c r="N181" s="18">
        <f>VLOOKUP(B181,All!$B$4:$S$8977,13,FALSE)</f>
        <v>3</v>
      </c>
      <c r="O181" s="18">
        <f>VLOOKUP(B181,All!$B$4:$S$8977,14,FALSE)</f>
        <v>0</v>
      </c>
      <c r="P181" s="18">
        <f>VLOOKUP(B181,All!$B$4:$S$8977,15,FALSE)</f>
        <v>0</v>
      </c>
      <c r="Q181" s="18">
        <f>VLOOKUP(B181,All!$B$4:$S$8977,16,FALSE)</f>
        <v>0</v>
      </c>
      <c r="R181" s="18">
        <v>7</v>
      </c>
      <c r="S181" s="18">
        <v>10</v>
      </c>
      <c r="T181" s="550">
        <f t="shared" si="38"/>
        <v>212</v>
      </c>
      <c r="U181" s="568"/>
      <c r="V181" s="3"/>
      <c r="W181" s="3"/>
      <c r="X181" s="3"/>
      <c r="Y181" s="562"/>
      <c r="Z181" s="570">
        <f t="shared" si="33"/>
        <v>194</v>
      </c>
      <c r="AA181" s="18">
        <f t="shared" si="34"/>
        <v>3</v>
      </c>
      <c r="AB181" s="18">
        <f t="shared" si="35"/>
        <v>0</v>
      </c>
      <c r="AC181" s="18">
        <f t="shared" si="36"/>
        <v>0</v>
      </c>
      <c r="AD181" s="18">
        <f t="shared" si="37"/>
        <v>0</v>
      </c>
      <c r="AE181" s="18">
        <f t="shared" si="32"/>
        <v>7</v>
      </c>
      <c r="AF181" s="18">
        <f t="shared" si="32"/>
        <v>10</v>
      </c>
      <c r="AG181" s="550">
        <f t="shared" si="31"/>
        <v>214</v>
      </c>
      <c r="AH181" s="42">
        <v>2</v>
      </c>
      <c r="AI181" s="42">
        <v>0</v>
      </c>
      <c r="AJ181" s="42">
        <v>0</v>
      </c>
      <c r="AK181" s="42">
        <v>0</v>
      </c>
      <c r="AL181" s="42">
        <v>0</v>
      </c>
      <c r="AM181" s="42">
        <v>0</v>
      </c>
      <c r="AN181" s="42">
        <v>0</v>
      </c>
      <c r="AO181" s="42">
        <v>2</v>
      </c>
    </row>
    <row r="182" spans="1:41" ht="24" customHeight="1">
      <c r="A182" s="11">
        <f t="shared" si="30"/>
        <v>179</v>
      </c>
      <c r="B182" s="8">
        <v>2931</v>
      </c>
      <c r="C182" s="478" t="str">
        <f>VLOOKUP(B182,All!$B$4:$S$8977,2,FALSE)</f>
        <v>គឹម</v>
      </c>
      <c r="D182" s="479" t="str">
        <f>VLOOKUP(B182,All!$B$4:$S$89977,3,FALSE)</f>
        <v>សុម៉ាលី</v>
      </c>
      <c r="E182" s="478" t="str">
        <f>VLOOKUP(B182,All!$B$4:$S$8977,4,FALSE)</f>
        <v>Kim</v>
      </c>
      <c r="F182" s="479" t="str">
        <f>VLOOKUP(B182,All!$B$4:$S$8977,5,FALSE)</f>
        <v>Somaly</v>
      </c>
      <c r="G182" s="479" t="str">
        <f>VLOOKUP(B182,All!$B$4:$S$8977,6,FALSE)</f>
        <v>F</v>
      </c>
      <c r="H182" s="385">
        <f>VLOOKUP(B182,All!$B$4:$S$8977,7,FALSE)</f>
        <v>29317</v>
      </c>
      <c r="I182" s="154">
        <f>VLOOKUP(B182,All!$B$4:$S$8977,8,FALSE)</f>
        <v>43621</v>
      </c>
      <c r="J182" s="154" t="str">
        <f>VLOOKUP(B182,All!$B$4:$S$8977,9,FALSE)</f>
        <v>Production</v>
      </c>
      <c r="K182" s="154" t="str">
        <f>VLOOKUP(B182,All!$B$4:$S$8977,10,FALSE)</f>
        <v xml:space="preserve"> Line19</v>
      </c>
      <c r="L182" s="698" t="str">
        <f>VLOOKUP(B182,All!$B$4:$S$8977,11,FALSE)</f>
        <v>Sewing operator</v>
      </c>
      <c r="M182" s="570">
        <f>VLOOKUP(B182,All!$B$4:$S$8977,12,FALSE)</f>
        <v>192</v>
      </c>
      <c r="N182" s="18">
        <f>VLOOKUP(B182,All!$B$4:$S$8977,13,FALSE)</f>
        <v>3</v>
      </c>
      <c r="O182" s="18">
        <f>VLOOKUP(B182,All!$B$4:$S$8977,14,FALSE)</f>
        <v>0</v>
      </c>
      <c r="P182" s="18">
        <f>VLOOKUP(B182,All!$B$4:$S$8977,15,FALSE)</f>
        <v>0</v>
      </c>
      <c r="Q182" s="18">
        <f>VLOOKUP(B182,All!$B$4:$S$8977,16,FALSE)</f>
        <v>0</v>
      </c>
      <c r="R182" s="18">
        <v>7</v>
      </c>
      <c r="S182" s="18">
        <v>10</v>
      </c>
      <c r="T182" s="550">
        <f t="shared" si="38"/>
        <v>212</v>
      </c>
      <c r="U182" s="568"/>
      <c r="V182" s="3"/>
      <c r="W182" s="3"/>
      <c r="X182" s="3"/>
      <c r="Y182" s="562"/>
      <c r="Z182" s="570">
        <f t="shared" si="33"/>
        <v>194</v>
      </c>
      <c r="AA182" s="18">
        <f t="shared" si="34"/>
        <v>3</v>
      </c>
      <c r="AB182" s="18">
        <f t="shared" si="35"/>
        <v>0</v>
      </c>
      <c r="AC182" s="18">
        <f t="shared" si="36"/>
        <v>0</v>
      </c>
      <c r="AD182" s="18">
        <f t="shared" si="37"/>
        <v>0</v>
      </c>
      <c r="AE182" s="18">
        <f t="shared" si="32"/>
        <v>7</v>
      </c>
      <c r="AF182" s="18">
        <f t="shared" si="32"/>
        <v>10</v>
      </c>
      <c r="AG182" s="550">
        <f t="shared" si="31"/>
        <v>214</v>
      </c>
      <c r="AH182" s="42">
        <v>2</v>
      </c>
      <c r="AI182" s="42">
        <v>0</v>
      </c>
      <c r="AJ182" s="42">
        <v>0</v>
      </c>
      <c r="AK182" s="42">
        <v>0</v>
      </c>
      <c r="AL182" s="42">
        <v>0</v>
      </c>
      <c r="AM182" s="42">
        <v>0</v>
      </c>
      <c r="AN182" s="42">
        <v>0</v>
      </c>
      <c r="AO182" s="42">
        <v>2</v>
      </c>
    </row>
    <row r="183" spans="1:41" ht="24" customHeight="1">
      <c r="A183" s="11">
        <f t="shared" si="30"/>
        <v>180</v>
      </c>
      <c r="B183" s="8">
        <v>2963</v>
      </c>
      <c r="C183" s="478" t="str">
        <f>VLOOKUP(B183,All!$B$4:$S$8977,2,FALSE)</f>
        <v>មួន</v>
      </c>
      <c r="D183" s="479" t="str">
        <f>VLOOKUP(B183,All!$B$4:$S$89977,3,FALSE)</f>
        <v>សុវណ្ណេត</v>
      </c>
      <c r="E183" s="478" t="str">
        <f>VLOOKUP(B183,All!$B$4:$S$8977,4,FALSE)</f>
        <v>Moun</v>
      </c>
      <c r="F183" s="479" t="str">
        <f>VLOOKUP(B183,All!$B$4:$S$8977,5,FALSE)</f>
        <v>Sovannet</v>
      </c>
      <c r="G183" s="479" t="str">
        <f>VLOOKUP(B183,All!$B$4:$S$8977,6,FALSE)</f>
        <v>F</v>
      </c>
      <c r="H183" s="385">
        <f>VLOOKUP(B183,All!$B$4:$S$8977,7,FALSE)</f>
        <v>35534</v>
      </c>
      <c r="I183" s="154">
        <f>VLOOKUP(B183,All!$B$4:$S$8977,8,FALSE)</f>
        <v>43635</v>
      </c>
      <c r="J183" s="154" t="str">
        <f>VLOOKUP(B183,All!$B$4:$S$8977,9,FALSE)</f>
        <v>Production</v>
      </c>
      <c r="K183" s="154" t="str">
        <f>VLOOKUP(B183,All!$B$4:$S$8977,10,FALSE)</f>
        <v>Line21</v>
      </c>
      <c r="L183" s="698" t="str">
        <f>VLOOKUP(B183,All!$B$4:$S$8977,11,FALSE)</f>
        <v>Sewing operator</v>
      </c>
      <c r="M183" s="570">
        <f>VLOOKUP(B183,All!$B$4:$S$8977,12,FALSE)</f>
        <v>192</v>
      </c>
      <c r="N183" s="18">
        <f>VLOOKUP(B183,All!$B$4:$S$8977,13,FALSE)</f>
        <v>3</v>
      </c>
      <c r="O183" s="18">
        <f>VLOOKUP(B183,All!$B$4:$S$8977,14,FALSE)</f>
        <v>0</v>
      </c>
      <c r="P183" s="18">
        <f>VLOOKUP(B183,All!$B$4:$S$8977,15,FALSE)</f>
        <v>0</v>
      </c>
      <c r="Q183" s="18">
        <f>VLOOKUP(B183,All!$B$4:$S$8977,16,FALSE)</f>
        <v>0</v>
      </c>
      <c r="R183" s="18">
        <v>7</v>
      </c>
      <c r="S183" s="18">
        <v>10</v>
      </c>
      <c r="T183" s="550">
        <f t="shared" si="38"/>
        <v>212</v>
      </c>
      <c r="U183" s="568"/>
      <c r="V183" s="3"/>
      <c r="W183" s="3"/>
      <c r="X183" s="3"/>
      <c r="Y183" s="562"/>
      <c r="Z183" s="570">
        <f t="shared" si="33"/>
        <v>194</v>
      </c>
      <c r="AA183" s="18">
        <f t="shared" si="34"/>
        <v>3</v>
      </c>
      <c r="AB183" s="18">
        <f t="shared" si="35"/>
        <v>0</v>
      </c>
      <c r="AC183" s="18">
        <f t="shared" si="36"/>
        <v>0</v>
      </c>
      <c r="AD183" s="18">
        <f t="shared" si="37"/>
        <v>0</v>
      </c>
      <c r="AE183" s="18">
        <f t="shared" si="32"/>
        <v>7</v>
      </c>
      <c r="AF183" s="18">
        <f t="shared" si="32"/>
        <v>10</v>
      </c>
      <c r="AG183" s="550">
        <f t="shared" si="31"/>
        <v>214</v>
      </c>
      <c r="AH183" s="42">
        <v>2</v>
      </c>
      <c r="AI183" s="42">
        <v>0</v>
      </c>
      <c r="AJ183" s="42">
        <v>0</v>
      </c>
      <c r="AK183" s="42">
        <v>0</v>
      </c>
      <c r="AL183" s="42">
        <v>0</v>
      </c>
      <c r="AM183" s="42">
        <v>0</v>
      </c>
      <c r="AN183" s="42">
        <v>0</v>
      </c>
      <c r="AO183" s="42">
        <v>2</v>
      </c>
    </row>
    <row r="184" spans="1:41" ht="24" customHeight="1">
      <c r="A184" s="11">
        <f t="shared" si="30"/>
        <v>181</v>
      </c>
      <c r="B184" s="8">
        <v>2989</v>
      </c>
      <c r="C184" s="478" t="str">
        <f>VLOOKUP(B184,All!$B$4:$S$8977,2,FALSE)</f>
        <v>ហ៊ាន</v>
      </c>
      <c r="D184" s="479" t="str">
        <f>VLOOKUP(B184,All!$B$4:$S$89977,3,FALSE)</f>
        <v>ចិន្តា</v>
      </c>
      <c r="E184" s="478" t="str">
        <f>VLOOKUP(B184,All!$B$4:$S$8977,4,FALSE)</f>
        <v>Hean</v>
      </c>
      <c r="F184" s="479" t="str">
        <f>VLOOKUP(B184,All!$B$4:$S$8977,5,FALSE)</f>
        <v>Chenda</v>
      </c>
      <c r="G184" s="479" t="str">
        <f>VLOOKUP(B184,All!$B$4:$S$8977,6,FALSE)</f>
        <v>F</v>
      </c>
      <c r="H184" s="385">
        <f>VLOOKUP(B184,All!$B$4:$S$8977,7,FALSE)</f>
        <v>31260</v>
      </c>
      <c r="I184" s="154">
        <f>VLOOKUP(B184,All!$B$4:$S$8977,8,FALSE)</f>
        <v>43618</v>
      </c>
      <c r="J184" s="154" t="str">
        <f>VLOOKUP(B184,All!$B$4:$S$8977,9,FALSE)</f>
        <v>Production</v>
      </c>
      <c r="K184" s="154" t="str">
        <f>VLOOKUP(B184,All!$B$4:$S$8977,10,FALSE)</f>
        <v xml:space="preserve"> Line2</v>
      </c>
      <c r="L184" s="698" t="str">
        <f>VLOOKUP(B184,All!$B$4:$S$8977,11,FALSE)</f>
        <v>Sewing operator</v>
      </c>
      <c r="M184" s="570">
        <f>VLOOKUP(B184,All!$B$4:$S$8977,12,FALSE)</f>
        <v>192</v>
      </c>
      <c r="N184" s="18">
        <f>VLOOKUP(B184,All!$B$4:$S$8977,13,FALSE)</f>
        <v>3</v>
      </c>
      <c r="O184" s="18">
        <f>VLOOKUP(B184,All!$B$4:$S$8977,14,FALSE)</f>
        <v>0</v>
      </c>
      <c r="P184" s="18">
        <f>VLOOKUP(B184,All!$B$4:$S$8977,15,FALSE)</f>
        <v>0</v>
      </c>
      <c r="Q184" s="18">
        <f>VLOOKUP(B184,All!$B$4:$S$8977,16,FALSE)</f>
        <v>0</v>
      </c>
      <c r="R184" s="18">
        <v>7</v>
      </c>
      <c r="S184" s="18">
        <v>10</v>
      </c>
      <c r="T184" s="550">
        <f t="shared" si="38"/>
        <v>212</v>
      </c>
      <c r="U184" s="568"/>
      <c r="V184" s="3"/>
      <c r="W184" s="3"/>
      <c r="X184" s="3"/>
      <c r="Y184" s="562"/>
      <c r="Z184" s="570">
        <f t="shared" si="33"/>
        <v>194</v>
      </c>
      <c r="AA184" s="18">
        <f t="shared" si="34"/>
        <v>3</v>
      </c>
      <c r="AB184" s="18">
        <f t="shared" si="35"/>
        <v>0</v>
      </c>
      <c r="AC184" s="18">
        <f t="shared" si="36"/>
        <v>0</v>
      </c>
      <c r="AD184" s="18">
        <f t="shared" si="37"/>
        <v>0</v>
      </c>
      <c r="AE184" s="18">
        <f t="shared" si="32"/>
        <v>7</v>
      </c>
      <c r="AF184" s="18">
        <f t="shared" si="32"/>
        <v>10</v>
      </c>
      <c r="AG184" s="550">
        <f t="shared" si="31"/>
        <v>214</v>
      </c>
      <c r="AH184" s="42">
        <v>2</v>
      </c>
      <c r="AI184" s="42">
        <v>0</v>
      </c>
      <c r="AJ184" s="42">
        <v>0</v>
      </c>
      <c r="AK184" s="42">
        <v>0</v>
      </c>
      <c r="AL184" s="42">
        <v>0</v>
      </c>
      <c r="AM184" s="42">
        <v>0</v>
      </c>
      <c r="AN184" s="42">
        <v>0</v>
      </c>
      <c r="AO184" s="42">
        <v>2</v>
      </c>
    </row>
    <row r="185" spans="1:41" ht="24" customHeight="1">
      <c r="A185" s="11">
        <f t="shared" si="30"/>
        <v>182</v>
      </c>
      <c r="B185" s="8">
        <v>3017</v>
      </c>
      <c r="C185" s="478" t="str">
        <f>VLOOKUP(B185,All!$B$4:$S$8977,2,FALSE)</f>
        <v>តែម</v>
      </c>
      <c r="D185" s="479" t="str">
        <f>VLOOKUP(B185,All!$B$4:$S$89977,3,FALSE)</f>
        <v>វ៉ុន</v>
      </c>
      <c r="E185" s="478" t="str">
        <f>VLOOKUP(B185,All!$B$4:$S$8977,4,FALSE)</f>
        <v>Tem</v>
      </c>
      <c r="F185" s="479" t="str">
        <f>VLOOKUP(B185,All!$B$4:$S$8977,5,FALSE)</f>
        <v>Von</v>
      </c>
      <c r="G185" s="479" t="str">
        <f>VLOOKUP(B185,All!$B$4:$S$8977,6,FALSE)</f>
        <v>F</v>
      </c>
      <c r="H185" s="385">
        <f>VLOOKUP(B185,All!$B$4:$S$8977,7,FALSE)</f>
        <v>34314</v>
      </c>
      <c r="I185" s="154">
        <f>VLOOKUP(B185,All!$B$4:$S$8977,8,FALSE)</f>
        <v>43663</v>
      </c>
      <c r="J185" s="154" t="str">
        <f>VLOOKUP(B185,All!$B$4:$S$8977,9,FALSE)</f>
        <v>Production</v>
      </c>
      <c r="K185" s="154" t="str">
        <f>VLOOKUP(B185,All!$B$4:$S$8977,10,FALSE)</f>
        <v xml:space="preserve"> Line19</v>
      </c>
      <c r="L185" s="698" t="str">
        <f>VLOOKUP(B185,All!$B$4:$S$8977,11,FALSE)</f>
        <v>Sewing operator</v>
      </c>
      <c r="M185" s="570">
        <f>VLOOKUP(B185,All!$B$4:$S$8977,12,FALSE)</f>
        <v>192</v>
      </c>
      <c r="N185" s="18">
        <f>VLOOKUP(B185,All!$B$4:$S$8977,13,FALSE)</f>
        <v>3</v>
      </c>
      <c r="O185" s="18">
        <f>VLOOKUP(B185,All!$B$4:$S$8977,14,FALSE)</f>
        <v>0</v>
      </c>
      <c r="P185" s="18">
        <f>VLOOKUP(B185,All!$B$4:$S$8977,15,FALSE)</f>
        <v>0</v>
      </c>
      <c r="Q185" s="18">
        <f>VLOOKUP(B185,All!$B$4:$S$8977,16,FALSE)</f>
        <v>0</v>
      </c>
      <c r="R185" s="18">
        <v>7</v>
      </c>
      <c r="S185" s="18">
        <v>10</v>
      </c>
      <c r="T185" s="550">
        <f t="shared" si="38"/>
        <v>212</v>
      </c>
      <c r="U185" s="568"/>
      <c r="V185" s="3"/>
      <c r="W185" s="3"/>
      <c r="X185" s="3"/>
      <c r="Y185" s="562"/>
      <c r="Z185" s="570">
        <f t="shared" si="33"/>
        <v>194</v>
      </c>
      <c r="AA185" s="18">
        <f t="shared" si="34"/>
        <v>3</v>
      </c>
      <c r="AB185" s="18">
        <f t="shared" si="35"/>
        <v>0</v>
      </c>
      <c r="AC185" s="18">
        <f t="shared" si="36"/>
        <v>0</v>
      </c>
      <c r="AD185" s="18">
        <f t="shared" si="37"/>
        <v>0</v>
      </c>
      <c r="AE185" s="18">
        <f t="shared" ref="AE185:AF206" si="39">R185</f>
        <v>7</v>
      </c>
      <c r="AF185" s="18">
        <f t="shared" si="39"/>
        <v>10</v>
      </c>
      <c r="AG185" s="550">
        <f t="shared" si="31"/>
        <v>214</v>
      </c>
      <c r="AH185" s="42">
        <v>2</v>
      </c>
      <c r="AI185" s="42">
        <v>0</v>
      </c>
      <c r="AJ185" s="42">
        <v>0</v>
      </c>
      <c r="AK185" s="42">
        <v>0</v>
      </c>
      <c r="AL185" s="42">
        <v>0</v>
      </c>
      <c r="AM185" s="42">
        <v>0</v>
      </c>
      <c r="AN185" s="42">
        <v>0</v>
      </c>
      <c r="AO185" s="42">
        <v>2</v>
      </c>
    </row>
    <row r="186" spans="1:41" ht="24" customHeight="1">
      <c r="A186" s="11">
        <f t="shared" si="30"/>
        <v>183</v>
      </c>
      <c r="B186" s="8">
        <v>3014</v>
      </c>
      <c r="C186" s="478" t="str">
        <f>VLOOKUP(B186,All!$B$4:$S$8977,2,FALSE)</f>
        <v>អឿន</v>
      </c>
      <c r="D186" s="479" t="str">
        <f>VLOOKUP(B186,All!$B$4:$S$89977,3,FALSE)</f>
        <v>ឡន</v>
      </c>
      <c r="E186" s="478" t="str">
        <f>VLOOKUP(B186,All!$B$4:$S$8977,4,FALSE)</f>
        <v>Oeurn</v>
      </c>
      <c r="F186" s="479" t="str">
        <f>VLOOKUP(B186,All!$B$4:$S$8977,5,FALSE)</f>
        <v>Lan</v>
      </c>
      <c r="G186" s="479" t="str">
        <f>VLOOKUP(B186,All!$B$4:$S$8977,6,FALSE)</f>
        <v>F</v>
      </c>
      <c r="H186" s="385">
        <f>VLOOKUP(B186,All!$B$4:$S$8977,7,FALSE)</f>
        <v>31170</v>
      </c>
      <c r="I186" s="154">
        <f>VLOOKUP(B186,All!$B$4:$S$8977,8,FALSE)</f>
        <v>43631</v>
      </c>
      <c r="J186" s="154" t="str">
        <f>VLOOKUP(B186,All!$B$4:$S$8977,9,FALSE)</f>
        <v>Production</v>
      </c>
      <c r="K186" s="154" t="str">
        <f>VLOOKUP(B186,All!$B$4:$S$8977,10,FALSE)</f>
        <v xml:space="preserve"> Line8</v>
      </c>
      <c r="L186" s="698" t="str">
        <f>VLOOKUP(B186,All!$B$4:$S$8977,11,FALSE)</f>
        <v>Sewing operator</v>
      </c>
      <c r="M186" s="570">
        <f>VLOOKUP(B186,All!$B$4:$S$8977,12,FALSE)</f>
        <v>192</v>
      </c>
      <c r="N186" s="18">
        <f>VLOOKUP(B186,All!$B$4:$S$8977,13,FALSE)</f>
        <v>3</v>
      </c>
      <c r="O186" s="18">
        <f>VLOOKUP(B186,All!$B$4:$S$8977,14,FALSE)</f>
        <v>0</v>
      </c>
      <c r="P186" s="18">
        <f>VLOOKUP(B186,All!$B$4:$S$8977,15,FALSE)</f>
        <v>0</v>
      </c>
      <c r="Q186" s="18">
        <f>VLOOKUP(B186,All!$B$4:$S$8977,16,FALSE)</f>
        <v>0</v>
      </c>
      <c r="R186" s="18">
        <v>7</v>
      </c>
      <c r="S186" s="18">
        <v>10</v>
      </c>
      <c r="T186" s="550">
        <f t="shared" si="38"/>
        <v>212</v>
      </c>
      <c r="U186" s="568"/>
      <c r="V186" s="3"/>
      <c r="W186" s="3"/>
      <c r="X186" s="3"/>
      <c r="Y186" s="562"/>
      <c r="Z186" s="570">
        <f t="shared" si="33"/>
        <v>194</v>
      </c>
      <c r="AA186" s="18">
        <f t="shared" si="34"/>
        <v>3</v>
      </c>
      <c r="AB186" s="18">
        <f t="shared" si="35"/>
        <v>0</v>
      </c>
      <c r="AC186" s="18">
        <f t="shared" si="36"/>
        <v>0</v>
      </c>
      <c r="AD186" s="18">
        <f t="shared" si="37"/>
        <v>0</v>
      </c>
      <c r="AE186" s="18">
        <f t="shared" si="39"/>
        <v>7</v>
      </c>
      <c r="AF186" s="18">
        <f t="shared" si="39"/>
        <v>10</v>
      </c>
      <c r="AG186" s="550">
        <f t="shared" ref="AG186:AG231" si="40">SUM(Z186:AF186)</f>
        <v>214</v>
      </c>
      <c r="AH186" s="42">
        <v>2</v>
      </c>
      <c r="AI186" s="42">
        <v>0</v>
      </c>
      <c r="AJ186" s="42">
        <v>0</v>
      </c>
      <c r="AK186" s="42">
        <v>0</v>
      </c>
      <c r="AL186" s="42">
        <v>0</v>
      </c>
      <c r="AM186" s="42">
        <v>0</v>
      </c>
      <c r="AN186" s="42">
        <v>0</v>
      </c>
      <c r="AO186" s="42">
        <v>2</v>
      </c>
    </row>
    <row r="187" spans="1:41" ht="24" customHeight="1">
      <c r="A187" s="11">
        <f t="shared" si="30"/>
        <v>184</v>
      </c>
      <c r="B187" s="8">
        <v>3030</v>
      </c>
      <c r="C187" s="478" t="str">
        <f>VLOOKUP(B187,All!$B$4:$S$8977,2,FALSE)</f>
        <v>គឹម</v>
      </c>
      <c r="D187" s="479" t="str">
        <f>VLOOKUP(B187,All!$B$4:$S$89977,3,FALSE)</f>
        <v>លី</v>
      </c>
      <c r="E187" s="478" t="str">
        <f>VLOOKUP(B187,All!$B$4:$S$8977,4,FALSE)</f>
        <v>Kim</v>
      </c>
      <c r="F187" s="479" t="str">
        <f>VLOOKUP(B187,All!$B$4:$S$8977,5,FALSE)</f>
        <v>Ly</v>
      </c>
      <c r="G187" s="479" t="str">
        <f>VLOOKUP(B187,All!$B$4:$S$8977,6,FALSE)</f>
        <v>F</v>
      </c>
      <c r="H187" s="385">
        <f>VLOOKUP(B187,All!$B$4:$S$8977,7,FALSE)</f>
        <v>30753</v>
      </c>
      <c r="I187" s="154">
        <f>VLOOKUP(B187,All!$B$4:$S$8977,8,FALSE)</f>
        <v>43670</v>
      </c>
      <c r="J187" s="154" t="str">
        <f>VLOOKUP(B187,All!$B$4:$S$8977,9,FALSE)</f>
        <v>Production</v>
      </c>
      <c r="K187" s="154" t="str">
        <f>VLOOKUP(B187,All!$B$4:$S$8977,10,FALSE)</f>
        <v xml:space="preserve"> Line15</v>
      </c>
      <c r="L187" s="698" t="str">
        <f>VLOOKUP(B187,All!$B$4:$S$8977,11,FALSE)</f>
        <v>Sewing operator</v>
      </c>
      <c r="M187" s="570">
        <f>VLOOKUP(B187,All!$B$4:$S$8977,12,FALSE)</f>
        <v>192</v>
      </c>
      <c r="N187" s="18">
        <f>VLOOKUP(B187,All!$B$4:$S$8977,13,FALSE)</f>
        <v>3</v>
      </c>
      <c r="O187" s="18">
        <f>VLOOKUP(B187,All!$B$4:$S$8977,14,FALSE)</f>
        <v>0</v>
      </c>
      <c r="P187" s="18">
        <f>VLOOKUP(B187,All!$B$4:$S$8977,15,FALSE)</f>
        <v>0</v>
      </c>
      <c r="Q187" s="18">
        <f>VLOOKUP(B187,All!$B$4:$S$8977,16,FALSE)</f>
        <v>0</v>
      </c>
      <c r="R187" s="18">
        <v>7</v>
      </c>
      <c r="S187" s="18">
        <v>10</v>
      </c>
      <c r="T187" s="550">
        <f t="shared" si="38"/>
        <v>212</v>
      </c>
      <c r="U187" s="568"/>
      <c r="V187" s="3"/>
      <c r="W187" s="3"/>
      <c r="X187" s="3"/>
      <c r="Y187" s="562"/>
      <c r="Z187" s="570">
        <f t="shared" si="33"/>
        <v>194</v>
      </c>
      <c r="AA187" s="18">
        <f t="shared" si="34"/>
        <v>3</v>
      </c>
      <c r="AB187" s="18">
        <f t="shared" si="35"/>
        <v>0</v>
      </c>
      <c r="AC187" s="18">
        <f t="shared" si="36"/>
        <v>0</v>
      </c>
      <c r="AD187" s="18">
        <f t="shared" si="37"/>
        <v>0</v>
      </c>
      <c r="AE187" s="18">
        <f t="shared" si="39"/>
        <v>7</v>
      </c>
      <c r="AF187" s="18">
        <f t="shared" si="39"/>
        <v>10</v>
      </c>
      <c r="AG187" s="550">
        <f t="shared" si="40"/>
        <v>214</v>
      </c>
      <c r="AH187" s="42">
        <v>2</v>
      </c>
      <c r="AI187" s="42">
        <v>0</v>
      </c>
      <c r="AJ187" s="42">
        <v>0</v>
      </c>
      <c r="AK187" s="42">
        <v>0</v>
      </c>
      <c r="AL187" s="42">
        <v>0</v>
      </c>
      <c r="AM187" s="42">
        <v>0</v>
      </c>
      <c r="AN187" s="42">
        <v>0</v>
      </c>
      <c r="AO187" s="42">
        <v>2</v>
      </c>
    </row>
    <row r="188" spans="1:41" ht="24" customHeight="1">
      <c r="A188" s="11">
        <f t="shared" si="30"/>
        <v>185</v>
      </c>
      <c r="B188" s="8">
        <v>3036</v>
      </c>
      <c r="C188" s="478" t="str">
        <f>VLOOKUP(B188,All!$B$4:$S$8977,2,FALSE)</f>
        <v>ភី</v>
      </c>
      <c r="D188" s="479" t="str">
        <f>VLOOKUP(B188,All!$B$4:$S$89977,3,FALSE)</f>
        <v>រី</v>
      </c>
      <c r="E188" s="478" t="str">
        <f>VLOOKUP(B188,All!$B$4:$S$8977,4,FALSE)</f>
        <v xml:space="preserve">PHY </v>
      </c>
      <c r="F188" s="479" t="str">
        <f>VLOOKUP(B188,All!$B$4:$S$8977,5,FALSE)</f>
        <v>REY</v>
      </c>
      <c r="G188" s="479" t="str">
        <f>VLOOKUP(B188,All!$B$4:$S$8977,6,FALSE)</f>
        <v>M</v>
      </c>
      <c r="H188" s="385">
        <f>VLOOKUP(B188,All!$B$4:$S$8977,7,FALSE)</f>
        <v>32145</v>
      </c>
      <c r="I188" s="154">
        <f>VLOOKUP(B188,All!$B$4:$S$8977,8,FALSE)</f>
        <v>43670</v>
      </c>
      <c r="J188" s="154" t="str">
        <f>VLOOKUP(B188,All!$B$4:$S$8977,9,FALSE)</f>
        <v>Production</v>
      </c>
      <c r="K188" s="154" t="str">
        <f>VLOOKUP(B188,All!$B$4:$S$8977,10,FALSE)</f>
        <v>Line17</v>
      </c>
      <c r="L188" s="698" t="str">
        <f>VLOOKUP(B188,All!$B$4:$S$8977,11,FALSE)</f>
        <v>Sewing operator</v>
      </c>
      <c r="M188" s="570">
        <f>VLOOKUP(B188,All!$B$4:$S$8977,12,FALSE)</f>
        <v>192</v>
      </c>
      <c r="N188" s="18">
        <f>VLOOKUP(B188,All!$B$4:$S$8977,13,FALSE)</f>
        <v>3</v>
      </c>
      <c r="O188" s="18">
        <f>VLOOKUP(B188,All!$B$4:$S$8977,14,FALSE)</f>
        <v>0</v>
      </c>
      <c r="P188" s="18">
        <f>VLOOKUP(B188,All!$B$4:$S$8977,15,FALSE)</f>
        <v>0</v>
      </c>
      <c r="Q188" s="18">
        <f>VLOOKUP(B188,All!$B$4:$S$8977,16,FALSE)</f>
        <v>0</v>
      </c>
      <c r="R188" s="18">
        <v>7</v>
      </c>
      <c r="S188" s="18">
        <v>10</v>
      </c>
      <c r="T188" s="550">
        <f t="shared" si="38"/>
        <v>212</v>
      </c>
      <c r="U188" s="568"/>
      <c r="V188" s="3"/>
      <c r="W188" s="3"/>
      <c r="X188" s="3"/>
      <c r="Y188" s="562"/>
      <c r="Z188" s="570">
        <f t="shared" si="33"/>
        <v>194</v>
      </c>
      <c r="AA188" s="18">
        <f t="shared" si="34"/>
        <v>3</v>
      </c>
      <c r="AB188" s="18">
        <f t="shared" si="35"/>
        <v>0</v>
      </c>
      <c r="AC188" s="18">
        <f t="shared" si="36"/>
        <v>0</v>
      </c>
      <c r="AD188" s="18">
        <f t="shared" si="37"/>
        <v>0</v>
      </c>
      <c r="AE188" s="18">
        <f t="shared" si="39"/>
        <v>7</v>
      </c>
      <c r="AF188" s="18">
        <f t="shared" si="39"/>
        <v>10</v>
      </c>
      <c r="AG188" s="550">
        <f t="shared" si="40"/>
        <v>214</v>
      </c>
      <c r="AH188" s="42">
        <v>2</v>
      </c>
      <c r="AI188" s="42">
        <v>0</v>
      </c>
      <c r="AJ188" s="42">
        <v>0</v>
      </c>
      <c r="AK188" s="42">
        <v>0</v>
      </c>
      <c r="AL188" s="42">
        <v>0</v>
      </c>
      <c r="AM188" s="42">
        <v>0</v>
      </c>
      <c r="AN188" s="42">
        <v>0</v>
      </c>
      <c r="AO188" s="42">
        <v>2</v>
      </c>
    </row>
    <row r="189" spans="1:41" ht="24" customHeight="1">
      <c r="A189" s="11">
        <f t="shared" si="30"/>
        <v>186</v>
      </c>
      <c r="B189" s="8">
        <v>3042</v>
      </c>
      <c r="C189" s="478" t="str">
        <f>VLOOKUP(B189,All!$B$4:$S$8977,2,FALSE)</f>
        <v>ហូន</v>
      </c>
      <c r="D189" s="479" t="str">
        <f>VLOOKUP(B189,All!$B$4:$S$89977,3,FALSE)</f>
        <v>និសិទិ</v>
      </c>
      <c r="E189" s="478" t="str">
        <f>VLOOKUP(B189,All!$B$4:$S$8977,4,FALSE)</f>
        <v>HUONG</v>
      </c>
      <c r="F189" s="479" t="str">
        <f>VLOOKUP(B189,All!$B$4:$S$8977,5,FALSE)</f>
        <v>NISITH</v>
      </c>
      <c r="G189" s="479" t="str">
        <f>VLOOKUP(B189,All!$B$4:$S$8977,6,FALSE)</f>
        <v>M</v>
      </c>
      <c r="H189" s="385">
        <f>VLOOKUP(B189,All!$B$4:$S$8977,7,FALSE)</f>
        <v>37033</v>
      </c>
      <c r="I189" s="154">
        <f>VLOOKUP(B189,All!$B$4:$S$8977,8,FALSE)</f>
        <v>43675</v>
      </c>
      <c r="J189" s="154" t="str">
        <f>VLOOKUP(B189,All!$B$4:$S$8977,9,FALSE)</f>
        <v>Production</v>
      </c>
      <c r="K189" s="154" t="str">
        <f>VLOOKUP(B189,All!$B$4:$S$8977,10,FALSE)</f>
        <v xml:space="preserve"> Line3</v>
      </c>
      <c r="L189" s="698" t="str">
        <f>VLOOKUP(B189,All!$B$4:$S$8977,11,FALSE)</f>
        <v>Sewing operator</v>
      </c>
      <c r="M189" s="570">
        <f>VLOOKUP(B189,All!$B$4:$S$8977,12,FALSE)</f>
        <v>192</v>
      </c>
      <c r="N189" s="18">
        <f>VLOOKUP(B189,All!$B$4:$S$8977,13,FALSE)</f>
        <v>3</v>
      </c>
      <c r="O189" s="18">
        <f>VLOOKUP(B189,All!$B$4:$S$8977,14,FALSE)</f>
        <v>0</v>
      </c>
      <c r="P189" s="18">
        <f>VLOOKUP(B189,All!$B$4:$S$8977,15,FALSE)</f>
        <v>0</v>
      </c>
      <c r="Q189" s="18">
        <f>VLOOKUP(B189,All!$B$4:$S$8977,16,FALSE)</f>
        <v>0</v>
      </c>
      <c r="R189" s="18">
        <v>7</v>
      </c>
      <c r="S189" s="18">
        <v>10</v>
      </c>
      <c r="T189" s="550">
        <f t="shared" si="38"/>
        <v>212</v>
      </c>
      <c r="U189" s="568"/>
      <c r="V189" s="3"/>
      <c r="W189" s="3"/>
      <c r="X189" s="3"/>
      <c r="Y189" s="562"/>
      <c r="Z189" s="570">
        <f t="shared" si="33"/>
        <v>194</v>
      </c>
      <c r="AA189" s="18">
        <f t="shared" si="34"/>
        <v>3</v>
      </c>
      <c r="AB189" s="18">
        <f t="shared" si="35"/>
        <v>0</v>
      </c>
      <c r="AC189" s="18">
        <f t="shared" si="36"/>
        <v>0</v>
      </c>
      <c r="AD189" s="18">
        <f t="shared" si="37"/>
        <v>0</v>
      </c>
      <c r="AE189" s="18">
        <f t="shared" si="39"/>
        <v>7</v>
      </c>
      <c r="AF189" s="18">
        <f t="shared" si="39"/>
        <v>10</v>
      </c>
      <c r="AG189" s="550">
        <f t="shared" si="40"/>
        <v>214</v>
      </c>
      <c r="AH189" s="42">
        <v>2</v>
      </c>
      <c r="AI189" s="42">
        <v>0</v>
      </c>
      <c r="AJ189" s="42">
        <v>0</v>
      </c>
      <c r="AK189" s="42">
        <v>0</v>
      </c>
      <c r="AL189" s="42">
        <v>0</v>
      </c>
      <c r="AM189" s="42">
        <v>0</v>
      </c>
      <c r="AN189" s="42">
        <v>0</v>
      </c>
      <c r="AO189" s="42">
        <v>2</v>
      </c>
    </row>
    <row r="190" spans="1:41" ht="24" customHeight="1">
      <c r="A190" s="11">
        <f t="shared" si="30"/>
        <v>187</v>
      </c>
      <c r="B190" s="8">
        <v>3049</v>
      </c>
      <c r="C190" s="478" t="str">
        <f>VLOOKUP(B190,All!$B$4:$S$8977,2,FALSE)</f>
        <v>ភន</v>
      </c>
      <c r="D190" s="479" t="str">
        <f>VLOOKUP(B190,All!$B$4:$S$89977,3,FALSE)</f>
        <v>សុក</v>
      </c>
      <c r="E190" s="478" t="str">
        <f>VLOOKUP(B190,All!$B$4:$S$8977,4,FALSE)</f>
        <v>Phorn</v>
      </c>
      <c r="F190" s="479" t="str">
        <f>VLOOKUP(B190,All!$B$4:$S$8977,5,FALSE)</f>
        <v>Sok</v>
      </c>
      <c r="G190" s="479" t="str">
        <f>VLOOKUP(B190,All!$B$4:$S$8977,6,FALSE)</f>
        <v>F</v>
      </c>
      <c r="H190" s="385">
        <f>VLOOKUP(B190,All!$B$4:$S$8977,7,FALSE)</f>
        <v>28136</v>
      </c>
      <c r="I190" s="154">
        <f>VLOOKUP(B190,All!$B$4:$S$8977,8,FALSE)</f>
        <v>43648</v>
      </c>
      <c r="J190" s="154" t="str">
        <f>VLOOKUP(B190,All!$B$4:$S$8977,9,FALSE)</f>
        <v>Production</v>
      </c>
      <c r="K190" s="154" t="str">
        <f>VLOOKUP(B190,All!$B$4:$S$8977,10,FALSE)</f>
        <v xml:space="preserve"> Line8</v>
      </c>
      <c r="L190" s="698" t="str">
        <f>VLOOKUP(B190,All!$B$4:$S$8977,11,FALSE)</f>
        <v>Sewing operator</v>
      </c>
      <c r="M190" s="570">
        <f>VLOOKUP(B190,All!$B$4:$S$8977,12,FALSE)</f>
        <v>192</v>
      </c>
      <c r="N190" s="18">
        <f>VLOOKUP(B190,All!$B$4:$S$8977,13,FALSE)</f>
        <v>3</v>
      </c>
      <c r="O190" s="18">
        <f>VLOOKUP(B190,All!$B$4:$S$8977,14,FALSE)</f>
        <v>0</v>
      </c>
      <c r="P190" s="18">
        <f>VLOOKUP(B190,All!$B$4:$S$8977,15,FALSE)</f>
        <v>0</v>
      </c>
      <c r="Q190" s="18">
        <f>VLOOKUP(B190,All!$B$4:$S$8977,16,FALSE)</f>
        <v>0</v>
      </c>
      <c r="R190" s="18">
        <v>7</v>
      </c>
      <c r="S190" s="18">
        <v>10</v>
      </c>
      <c r="T190" s="550">
        <f t="shared" si="38"/>
        <v>212</v>
      </c>
      <c r="U190" s="568"/>
      <c r="V190" s="3"/>
      <c r="W190" s="3"/>
      <c r="X190" s="3"/>
      <c r="Y190" s="562"/>
      <c r="Z190" s="570">
        <f t="shared" si="33"/>
        <v>194</v>
      </c>
      <c r="AA190" s="18">
        <f t="shared" si="34"/>
        <v>3</v>
      </c>
      <c r="AB190" s="18">
        <f t="shared" si="35"/>
        <v>0</v>
      </c>
      <c r="AC190" s="18">
        <f t="shared" si="36"/>
        <v>0</v>
      </c>
      <c r="AD190" s="18">
        <f t="shared" si="37"/>
        <v>0</v>
      </c>
      <c r="AE190" s="18">
        <f t="shared" si="39"/>
        <v>7</v>
      </c>
      <c r="AF190" s="18">
        <f t="shared" si="39"/>
        <v>10</v>
      </c>
      <c r="AG190" s="550">
        <f t="shared" si="40"/>
        <v>214</v>
      </c>
      <c r="AH190" s="42">
        <v>2</v>
      </c>
      <c r="AI190" s="42">
        <v>0</v>
      </c>
      <c r="AJ190" s="42">
        <v>0</v>
      </c>
      <c r="AK190" s="42">
        <v>0</v>
      </c>
      <c r="AL190" s="42">
        <v>0</v>
      </c>
      <c r="AM190" s="42">
        <v>0</v>
      </c>
      <c r="AN190" s="42">
        <v>0</v>
      </c>
      <c r="AO190" s="42">
        <v>2</v>
      </c>
    </row>
    <row r="191" spans="1:41" ht="24" customHeight="1">
      <c r="A191" s="11">
        <f t="shared" si="30"/>
        <v>188</v>
      </c>
      <c r="B191" s="8">
        <v>3061</v>
      </c>
      <c r="C191" s="478" t="str">
        <f>VLOOKUP(B191,All!$B$4:$S$8977,2,FALSE)</f>
        <v>សែស</v>
      </c>
      <c r="D191" s="479" t="str">
        <f>VLOOKUP(B191,All!$B$4:$S$89977,3,FALSE)</f>
        <v>ពេជ្រ</v>
      </c>
      <c r="E191" s="478" t="str">
        <f>VLOOKUP(B191,All!$B$4:$S$8977,4,FALSE)</f>
        <v>Ses</v>
      </c>
      <c r="F191" s="479" t="str">
        <f>VLOOKUP(B191,All!$B$4:$S$8977,5,FALSE)</f>
        <v>Pech</v>
      </c>
      <c r="G191" s="479" t="str">
        <f>VLOOKUP(B191,All!$B$4:$S$8977,6,FALSE)</f>
        <v>F</v>
      </c>
      <c r="H191" s="385">
        <f>VLOOKUP(B191,All!$B$4:$S$8977,7,FALSE)</f>
        <v>32939</v>
      </c>
      <c r="I191" s="154">
        <f>VLOOKUP(B191,All!$B$4:$S$8977,8,FALSE)</f>
        <v>43665</v>
      </c>
      <c r="J191" s="154" t="str">
        <f>VLOOKUP(B191,All!$B$4:$S$8977,9,FALSE)</f>
        <v>Production</v>
      </c>
      <c r="K191" s="154" t="str">
        <f>VLOOKUP(B191,All!$B$4:$S$8977,10,FALSE)</f>
        <v>Line 11</v>
      </c>
      <c r="L191" s="698" t="str">
        <f>VLOOKUP(B191,All!$B$4:$S$8977,11,FALSE)</f>
        <v>Sewing operator</v>
      </c>
      <c r="M191" s="570">
        <f>VLOOKUP(B191,All!$B$4:$S$8977,12,FALSE)</f>
        <v>192</v>
      </c>
      <c r="N191" s="18">
        <f>VLOOKUP(B191,All!$B$4:$S$8977,13,FALSE)</f>
        <v>3</v>
      </c>
      <c r="O191" s="18">
        <f>VLOOKUP(B191,All!$B$4:$S$8977,14,FALSE)</f>
        <v>0</v>
      </c>
      <c r="P191" s="18">
        <f>VLOOKUP(B191,All!$B$4:$S$8977,15,FALSE)</f>
        <v>0</v>
      </c>
      <c r="Q191" s="18">
        <f>VLOOKUP(B191,All!$B$4:$S$8977,16,FALSE)</f>
        <v>0</v>
      </c>
      <c r="R191" s="18">
        <v>7</v>
      </c>
      <c r="S191" s="18">
        <v>10</v>
      </c>
      <c r="T191" s="550">
        <f t="shared" si="38"/>
        <v>212</v>
      </c>
      <c r="U191" s="568"/>
      <c r="V191" s="3"/>
      <c r="W191" s="3"/>
      <c r="X191" s="3"/>
      <c r="Y191" s="562"/>
      <c r="Z191" s="570">
        <f t="shared" si="33"/>
        <v>194</v>
      </c>
      <c r="AA191" s="18">
        <f t="shared" si="34"/>
        <v>3</v>
      </c>
      <c r="AB191" s="18">
        <f t="shared" si="35"/>
        <v>0</v>
      </c>
      <c r="AC191" s="18">
        <f t="shared" si="36"/>
        <v>0</v>
      </c>
      <c r="AD191" s="18">
        <f t="shared" si="37"/>
        <v>0</v>
      </c>
      <c r="AE191" s="18">
        <f t="shared" si="39"/>
        <v>7</v>
      </c>
      <c r="AF191" s="18">
        <f t="shared" si="39"/>
        <v>10</v>
      </c>
      <c r="AG191" s="550">
        <f t="shared" si="40"/>
        <v>214</v>
      </c>
      <c r="AH191" s="42">
        <v>2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2">
        <v>2</v>
      </c>
    </row>
    <row r="192" spans="1:41" ht="24" customHeight="1">
      <c r="A192" s="11">
        <f t="shared" si="30"/>
        <v>189</v>
      </c>
      <c r="B192" s="8">
        <v>3067</v>
      </c>
      <c r="C192" s="478" t="str">
        <f>VLOOKUP(B192,All!$B$4:$S$8977,2,FALSE)</f>
        <v>ជា</v>
      </c>
      <c r="D192" s="479" t="str">
        <f>VLOOKUP(B192,All!$B$4:$S$89977,3,FALSE)</f>
        <v>ថន</v>
      </c>
      <c r="E192" s="478" t="str">
        <f>VLOOKUP(B192,All!$B$4:$S$8977,4,FALSE)</f>
        <v>Chea</v>
      </c>
      <c r="F192" s="479" t="str">
        <f>VLOOKUP(B192,All!$B$4:$S$8977,5,FALSE)</f>
        <v>Thorn</v>
      </c>
      <c r="G192" s="479" t="str">
        <f>VLOOKUP(B192,All!$B$4:$S$8977,6,FALSE)</f>
        <v>F</v>
      </c>
      <c r="H192" s="385">
        <f>VLOOKUP(B192,All!$B$4:$S$8977,7,FALSE)</f>
        <v>26436</v>
      </c>
      <c r="I192" s="154">
        <f>VLOOKUP(B192,All!$B$4:$S$8977,8,FALSE)</f>
        <v>43667</v>
      </c>
      <c r="J192" s="154" t="str">
        <f>VLOOKUP(B192,All!$B$4:$S$8977,9,FALSE)</f>
        <v>Production</v>
      </c>
      <c r="K192" s="154" t="str">
        <f>VLOOKUP(B192,All!$B$4:$S$8977,10,FALSE)</f>
        <v xml:space="preserve"> Line8</v>
      </c>
      <c r="L192" s="698" t="str">
        <f>VLOOKUP(B192,All!$B$4:$S$8977,11,FALSE)</f>
        <v>Sewing operator</v>
      </c>
      <c r="M192" s="570">
        <f>VLOOKUP(B192,All!$B$4:$S$8977,12,FALSE)</f>
        <v>192</v>
      </c>
      <c r="N192" s="18">
        <f>VLOOKUP(B192,All!$B$4:$S$8977,13,FALSE)</f>
        <v>3</v>
      </c>
      <c r="O192" s="18">
        <f>VLOOKUP(B192,All!$B$4:$S$8977,14,FALSE)</f>
        <v>0</v>
      </c>
      <c r="P192" s="18">
        <f>VLOOKUP(B192,All!$B$4:$S$8977,15,FALSE)</f>
        <v>0</v>
      </c>
      <c r="Q192" s="18">
        <f>VLOOKUP(B192,All!$B$4:$S$8977,16,FALSE)</f>
        <v>0</v>
      </c>
      <c r="R192" s="18">
        <v>7</v>
      </c>
      <c r="S192" s="18">
        <v>10</v>
      </c>
      <c r="T192" s="550">
        <f t="shared" si="38"/>
        <v>212</v>
      </c>
      <c r="U192" s="568"/>
      <c r="V192" s="3"/>
      <c r="W192" s="3"/>
      <c r="X192" s="3"/>
      <c r="Y192" s="562"/>
      <c r="Z192" s="570">
        <f t="shared" si="33"/>
        <v>194</v>
      </c>
      <c r="AA192" s="18">
        <f t="shared" si="34"/>
        <v>3</v>
      </c>
      <c r="AB192" s="18">
        <f t="shared" si="35"/>
        <v>0</v>
      </c>
      <c r="AC192" s="18">
        <f t="shared" si="36"/>
        <v>0</v>
      </c>
      <c r="AD192" s="18">
        <f t="shared" si="37"/>
        <v>0</v>
      </c>
      <c r="AE192" s="18">
        <f t="shared" si="39"/>
        <v>7</v>
      </c>
      <c r="AF192" s="18">
        <f t="shared" si="39"/>
        <v>10</v>
      </c>
      <c r="AG192" s="550">
        <f t="shared" si="40"/>
        <v>214</v>
      </c>
      <c r="AH192" s="42">
        <v>2</v>
      </c>
      <c r="AI192" s="42">
        <v>0</v>
      </c>
      <c r="AJ192" s="42">
        <v>0</v>
      </c>
      <c r="AK192" s="42">
        <v>0</v>
      </c>
      <c r="AL192" s="42">
        <v>0</v>
      </c>
      <c r="AM192" s="42">
        <v>0</v>
      </c>
      <c r="AN192" s="42">
        <v>0</v>
      </c>
      <c r="AO192" s="42">
        <v>2</v>
      </c>
    </row>
    <row r="193" spans="1:41" ht="24" customHeight="1">
      <c r="A193" s="11">
        <f t="shared" si="30"/>
        <v>190</v>
      </c>
      <c r="B193" s="390">
        <v>3110</v>
      </c>
      <c r="C193" s="478" t="str">
        <f>VLOOKUP(B193,All!$B$4:$S$8977,2,FALSE)</f>
        <v>ជា</v>
      </c>
      <c r="D193" s="479" t="str">
        <f>VLOOKUP(B193,All!$B$4:$S$89977,3,FALSE)</f>
        <v>ដាឡែន</v>
      </c>
      <c r="E193" s="478" t="str">
        <f>VLOOKUP(B193,All!$B$4:$S$8977,4,FALSE)</f>
        <v>CHEA</v>
      </c>
      <c r="F193" s="479" t="str">
        <f>VLOOKUP(B193,All!$B$4:$S$8977,5,FALSE)</f>
        <v>DALEN</v>
      </c>
      <c r="G193" s="479" t="str">
        <f>VLOOKUP(B193,All!$B$4:$S$8977,6,FALSE)</f>
        <v>F</v>
      </c>
      <c r="H193" s="385">
        <f>VLOOKUP(B193,All!$B$4:$S$8977,7,FALSE)</f>
        <v>36630</v>
      </c>
      <c r="I193" s="154">
        <f>VLOOKUP(B193,All!$B$4:$S$8977,8,FALSE)</f>
        <v>43741</v>
      </c>
      <c r="J193" s="154" t="str">
        <f>VLOOKUP(B193,All!$B$4:$S$8977,9,FALSE)</f>
        <v>Production</v>
      </c>
      <c r="K193" s="154" t="str">
        <f>VLOOKUP(B193,All!$B$4:$S$8977,10,FALSE)</f>
        <v xml:space="preserve"> Line15</v>
      </c>
      <c r="L193" s="698" t="str">
        <f>VLOOKUP(B193,All!$B$4:$S$8977,11,FALSE)</f>
        <v>Sewing operator</v>
      </c>
      <c r="M193" s="570">
        <f>VLOOKUP(B193,All!$B$4:$S$8977,12,FALSE)</f>
        <v>192</v>
      </c>
      <c r="N193" s="18">
        <f>VLOOKUP(B193,All!$B$4:$S$8977,13,FALSE)</f>
        <v>3</v>
      </c>
      <c r="O193" s="18">
        <f>VLOOKUP(B193,All!$B$4:$S$8977,14,FALSE)</f>
        <v>0</v>
      </c>
      <c r="P193" s="18">
        <f>VLOOKUP(B193,All!$B$4:$S$8977,15,FALSE)</f>
        <v>0</v>
      </c>
      <c r="Q193" s="18">
        <f>VLOOKUP(B193,All!$B$4:$S$8977,16,FALSE)</f>
        <v>0</v>
      </c>
      <c r="R193" s="18">
        <v>7</v>
      </c>
      <c r="S193" s="18">
        <v>10</v>
      </c>
      <c r="T193" s="550">
        <f t="shared" si="38"/>
        <v>212</v>
      </c>
      <c r="U193" s="568"/>
      <c r="V193" s="3"/>
      <c r="W193" s="3"/>
      <c r="X193" s="3"/>
      <c r="Y193" s="562"/>
      <c r="Z193" s="570">
        <f t="shared" si="33"/>
        <v>194</v>
      </c>
      <c r="AA193" s="18">
        <f t="shared" si="34"/>
        <v>3</v>
      </c>
      <c r="AB193" s="18">
        <f t="shared" si="35"/>
        <v>0</v>
      </c>
      <c r="AC193" s="18">
        <f t="shared" si="36"/>
        <v>0</v>
      </c>
      <c r="AD193" s="18">
        <f t="shared" si="37"/>
        <v>0</v>
      </c>
      <c r="AE193" s="18">
        <f t="shared" si="39"/>
        <v>7</v>
      </c>
      <c r="AF193" s="18">
        <f t="shared" si="39"/>
        <v>10</v>
      </c>
      <c r="AG193" s="550">
        <f t="shared" si="40"/>
        <v>214</v>
      </c>
      <c r="AH193" s="42">
        <v>2</v>
      </c>
      <c r="AI193" s="42">
        <v>0</v>
      </c>
      <c r="AJ193" s="42">
        <v>0</v>
      </c>
      <c r="AK193" s="42">
        <v>0</v>
      </c>
      <c r="AL193" s="42">
        <v>0</v>
      </c>
      <c r="AM193" s="42">
        <v>0</v>
      </c>
      <c r="AN193" s="42">
        <v>0</v>
      </c>
      <c r="AO193" s="42">
        <v>2</v>
      </c>
    </row>
    <row r="194" spans="1:41" ht="24" customHeight="1">
      <c r="A194" s="11">
        <f t="shared" si="30"/>
        <v>191</v>
      </c>
      <c r="B194" s="390">
        <v>3109</v>
      </c>
      <c r="C194" s="478" t="str">
        <f>VLOOKUP(B194,All!$B$4:$S$8977,2,FALSE)</f>
        <v xml:space="preserve">គីត </v>
      </c>
      <c r="D194" s="479" t="str">
        <f>VLOOKUP(B194,All!$B$4:$S$89977,3,FALSE)</f>
        <v>ដាឡែន</v>
      </c>
      <c r="E194" s="478" t="str">
        <f>VLOOKUP(B194,All!$B$4:$S$8977,4,FALSE)</f>
        <v>KIT</v>
      </c>
      <c r="F194" s="479" t="str">
        <f>VLOOKUP(B194,All!$B$4:$S$8977,5,FALSE)</f>
        <v>NHET</v>
      </c>
      <c r="G194" s="479" t="str">
        <f>VLOOKUP(B194,All!$B$4:$S$8977,6,FALSE)</f>
        <v>F</v>
      </c>
      <c r="H194" s="385">
        <f>VLOOKUP(B194,All!$B$4:$S$8977,7,FALSE)</f>
        <v>31149</v>
      </c>
      <c r="I194" s="154">
        <f>VLOOKUP(B194,All!$B$4:$S$8977,8,FALSE)</f>
        <v>43741</v>
      </c>
      <c r="J194" s="154" t="str">
        <f>VLOOKUP(B194,All!$B$4:$S$8977,9,FALSE)</f>
        <v>Production</v>
      </c>
      <c r="K194" s="154" t="str">
        <f>VLOOKUP(B194,All!$B$4:$S$8977,10,FALSE)</f>
        <v>Line20</v>
      </c>
      <c r="L194" s="698" t="str">
        <f>VLOOKUP(B194,All!$B$4:$S$8977,11,FALSE)</f>
        <v>Sewing operator</v>
      </c>
      <c r="M194" s="570">
        <f>VLOOKUP(B194,All!$B$4:$S$8977,12,FALSE)</f>
        <v>192</v>
      </c>
      <c r="N194" s="18">
        <f>VLOOKUP(B194,All!$B$4:$S$8977,13,FALSE)</f>
        <v>3</v>
      </c>
      <c r="O194" s="18">
        <f>VLOOKUP(B194,All!$B$4:$S$8977,14,FALSE)</f>
        <v>0</v>
      </c>
      <c r="P194" s="18">
        <f>VLOOKUP(B194,All!$B$4:$S$8977,15,FALSE)</f>
        <v>0</v>
      </c>
      <c r="Q194" s="18">
        <f>VLOOKUP(B194,All!$B$4:$S$8977,16,FALSE)</f>
        <v>0</v>
      </c>
      <c r="R194" s="18">
        <v>7</v>
      </c>
      <c r="S194" s="18">
        <v>10</v>
      </c>
      <c r="T194" s="550">
        <f t="shared" si="38"/>
        <v>212</v>
      </c>
      <c r="U194" s="568"/>
      <c r="V194" s="3"/>
      <c r="W194" s="3"/>
      <c r="X194" s="3"/>
      <c r="Y194" s="562"/>
      <c r="Z194" s="570">
        <f t="shared" si="33"/>
        <v>194</v>
      </c>
      <c r="AA194" s="18">
        <f t="shared" si="34"/>
        <v>3</v>
      </c>
      <c r="AB194" s="18">
        <f t="shared" si="35"/>
        <v>0</v>
      </c>
      <c r="AC194" s="18">
        <f t="shared" si="36"/>
        <v>0</v>
      </c>
      <c r="AD194" s="18">
        <f t="shared" si="37"/>
        <v>0</v>
      </c>
      <c r="AE194" s="18">
        <f t="shared" si="39"/>
        <v>7</v>
      </c>
      <c r="AF194" s="18">
        <f t="shared" si="39"/>
        <v>10</v>
      </c>
      <c r="AG194" s="550">
        <f t="shared" si="40"/>
        <v>214</v>
      </c>
      <c r="AH194" s="42">
        <v>2</v>
      </c>
      <c r="AI194" s="42">
        <v>0</v>
      </c>
      <c r="AJ194" s="42">
        <v>0</v>
      </c>
      <c r="AK194" s="42">
        <v>0</v>
      </c>
      <c r="AL194" s="42">
        <v>0</v>
      </c>
      <c r="AM194" s="42">
        <v>0</v>
      </c>
      <c r="AN194" s="42">
        <v>0</v>
      </c>
      <c r="AO194" s="42">
        <v>2</v>
      </c>
    </row>
    <row r="195" spans="1:41" ht="24" customHeight="1">
      <c r="A195" s="11">
        <f t="shared" si="30"/>
        <v>192</v>
      </c>
      <c r="B195" s="390">
        <v>3100</v>
      </c>
      <c r="C195" s="478" t="str">
        <f>VLOOKUP(B195,All!$B$4:$S$8977,2,FALSE)</f>
        <v>យ៉ាន</v>
      </c>
      <c r="D195" s="479" t="str">
        <f>VLOOKUP(B195,All!$B$4:$S$89977,3,FALSE)</f>
        <v>បារាំង</v>
      </c>
      <c r="E195" s="478" t="str">
        <f>VLOOKUP(B195,All!$B$4:$S$8977,4,FALSE)</f>
        <v>Yan</v>
      </c>
      <c r="F195" s="479" t="str">
        <f>VLOOKUP(B195,All!$B$4:$S$8977,5,FALSE)</f>
        <v>Baraing</v>
      </c>
      <c r="G195" s="479" t="str">
        <f>VLOOKUP(B195,All!$B$4:$S$8977,6,FALSE)</f>
        <v>M</v>
      </c>
      <c r="H195" s="385">
        <f>VLOOKUP(B195,All!$B$4:$S$8977,7,FALSE)</f>
        <v>32364</v>
      </c>
      <c r="I195" s="154">
        <f>VLOOKUP(B195,All!$B$4:$S$8977,8,FALSE)</f>
        <v>43740</v>
      </c>
      <c r="J195" s="154" t="str">
        <f>VLOOKUP(B195,All!$B$4:$S$8977,9,FALSE)</f>
        <v>Production</v>
      </c>
      <c r="K195" s="154" t="str">
        <f>VLOOKUP(B195,All!$B$4:$S$8977,10,FALSE)</f>
        <v>Line9</v>
      </c>
      <c r="L195" s="698" t="str">
        <f>VLOOKUP(B195,All!$B$4:$S$8977,11,FALSE)</f>
        <v>Sewing operator</v>
      </c>
      <c r="M195" s="570">
        <f>VLOOKUP(B195,All!$B$4:$S$8977,12,FALSE)</f>
        <v>192</v>
      </c>
      <c r="N195" s="18">
        <f>VLOOKUP(B195,All!$B$4:$S$8977,13,FALSE)</f>
        <v>3</v>
      </c>
      <c r="O195" s="18">
        <f>VLOOKUP(B195,All!$B$4:$S$8977,14,FALSE)</f>
        <v>0</v>
      </c>
      <c r="P195" s="18">
        <f>VLOOKUP(B195,All!$B$4:$S$8977,15,FALSE)</f>
        <v>0</v>
      </c>
      <c r="Q195" s="18">
        <f>VLOOKUP(B195,All!$B$4:$S$8977,16,FALSE)</f>
        <v>0</v>
      </c>
      <c r="R195" s="18">
        <v>7</v>
      </c>
      <c r="S195" s="18">
        <v>10</v>
      </c>
      <c r="T195" s="550">
        <f t="shared" si="38"/>
        <v>212</v>
      </c>
      <c r="U195" s="568"/>
      <c r="V195" s="3"/>
      <c r="W195" s="3"/>
      <c r="X195" s="3"/>
      <c r="Y195" s="562"/>
      <c r="Z195" s="570">
        <f t="shared" si="33"/>
        <v>194</v>
      </c>
      <c r="AA195" s="18">
        <f t="shared" si="34"/>
        <v>3</v>
      </c>
      <c r="AB195" s="18">
        <f t="shared" si="35"/>
        <v>0</v>
      </c>
      <c r="AC195" s="18">
        <f t="shared" si="36"/>
        <v>0</v>
      </c>
      <c r="AD195" s="18">
        <f t="shared" si="37"/>
        <v>0</v>
      </c>
      <c r="AE195" s="18">
        <f t="shared" si="39"/>
        <v>7</v>
      </c>
      <c r="AF195" s="18">
        <f t="shared" si="39"/>
        <v>10</v>
      </c>
      <c r="AG195" s="550">
        <f t="shared" si="40"/>
        <v>214</v>
      </c>
      <c r="AH195" s="42">
        <v>2</v>
      </c>
      <c r="AI195" s="42">
        <v>0</v>
      </c>
      <c r="AJ195" s="42">
        <v>0</v>
      </c>
      <c r="AK195" s="42">
        <v>0</v>
      </c>
      <c r="AL195" s="42">
        <v>0</v>
      </c>
      <c r="AM195" s="42">
        <v>0</v>
      </c>
      <c r="AN195" s="42">
        <v>0</v>
      </c>
      <c r="AO195" s="42">
        <v>2</v>
      </c>
    </row>
    <row r="196" spans="1:41" ht="24" customHeight="1">
      <c r="A196" s="11">
        <f t="shared" si="30"/>
        <v>193</v>
      </c>
      <c r="B196" s="390">
        <v>3170</v>
      </c>
      <c r="C196" s="478" t="str">
        <f>VLOOKUP(B196,All!$B$4:$S$8977,2,FALSE)</f>
        <v>យឹម</v>
      </c>
      <c r="D196" s="479" t="str">
        <f>VLOOKUP(B196,All!$B$4:$S$89977,3,FALSE)</f>
        <v>សុភាព</v>
      </c>
      <c r="E196" s="478" t="str">
        <f>VLOOKUP(B196,All!$B$4:$S$8977,4,FALSE)</f>
        <v>YOEM</v>
      </c>
      <c r="F196" s="479" t="str">
        <f>VLOOKUP(B196,All!$B$4:$S$8977,5,FALSE)</f>
        <v>SOPHEAP</v>
      </c>
      <c r="G196" s="479" t="str">
        <f>VLOOKUP(B196,All!$B$4:$S$8977,6,FALSE)</f>
        <v>M</v>
      </c>
      <c r="H196" s="385">
        <f>VLOOKUP(B196,All!$B$4:$S$8977,7,FALSE)</f>
        <v>30694</v>
      </c>
      <c r="I196" s="154">
        <f>VLOOKUP(B196,All!$B$4:$S$8977,8,FALSE)</f>
        <v>43741</v>
      </c>
      <c r="J196" s="154" t="str">
        <f>VLOOKUP(B196,All!$B$4:$S$8977,9,FALSE)</f>
        <v>Production</v>
      </c>
      <c r="K196" s="154" t="str">
        <f>VLOOKUP(B196,All!$B$4:$S$8977,10,FALSE)</f>
        <v>Service on line</v>
      </c>
      <c r="L196" s="698" t="str">
        <f>VLOOKUP(B196,All!$B$4:$S$8977,11,FALSE)</f>
        <v>Service on line</v>
      </c>
      <c r="M196" s="570">
        <f>VLOOKUP(B196,All!$B$4:$S$8977,12,FALSE)</f>
        <v>192</v>
      </c>
      <c r="N196" s="18">
        <f>VLOOKUP(B196,All!$B$4:$S$8977,13,FALSE)</f>
        <v>3</v>
      </c>
      <c r="O196" s="18">
        <f>VLOOKUP(B196,All!$B$4:$S$8977,14,FALSE)</f>
        <v>0</v>
      </c>
      <c r="P196" s="18">
        <f>VLOOKUP(B196,All!$B$4:$S$8977,15,FALSE)</f>
        <v>0</v>
      </c>
      <c r="Q196" s="18">
        <f>VLOOKUP(B196,All!$B$4:$S$8977,16,FALSE)</f>
        <v>0</v>
      </c>
      <c r="R196" s="18">
        <v>7</v>
      </c>
      <c r="S196" s="18">
        <v>10</v>
      </c>
      <c r="T196" s="550">
        <f t="shared" si="38"/>
        <v>212</v>
      </c>
      <c r="U196" s="568"/>
      <c r="V196" s="3"/>
      <c r="W196" s="3"/>
      <c r="X196" s="3"/>
      <c r="Y196" s="562"/>
      <c r="Z196" s="570">
        <f t="shared" si="33"/>
        <v>194</v>
      </c>
      <c r="AA196" s="18">
        <f t="shared" si="34"/>
        <v>3</v>
      </c>
      <c r="AB196" s="18">
        <f t="shared" si="35"/>
        <v>0</v>
      </c>
      <c r="AC196" s="18">
        <f t="shared" si="36"/>
        <v>0</v>
      </c>
      <c r="AD196" s="18">
        <f t="shared" si="37"/>
        <v>0</v>
      </c>
      <c r="AE196" s="18">
        <f t="shared" si="39"/>
        <v>7</v>
      </c>
      <c r="AF196" s="18">
        <f t="shared" si="39"/>
        <v>10</v>
      </c>
      <c r="AG196" s="550">
        <f t="shared" si="40"/>
        <v>214</v>
      </c>
      <c r="AH196" s="42">
        <v>2</v>
      </c>
      <c r="AI196" s="42">
        <v>0</v>
      </c>
      <c r="AJ196" s="42">
        <v>0</v>
      </c>
      <c r="AK196" s="42">
        <v>0</v>
      </c>
      <c r="AL196" s="42">
        <v>0</v>
      </c>
      <c r="AM196" s="42">
        <v>0</v>
      </c>
      <c r="AN196" s="42">
        <v>0</v>
      </c>
      <c r="AO196" s="42">
        <v>2</v>
      </c>
    </row>
    <row r="197" spans="1:41" ht="24" customHeight="1">
      <c r="A197" s="11">
        <f t="shared" si="30"/>
        <v>194</v>
      </c>
      <c r="B197" s="400">
        <v>3161</v>
      </c>
      <c r="C197" s="478" t="str">
        <f>VLOOKUP(B197,All!$B$4:$S$8977,2,FALSE)</f>
        <v>ញឹម</v>
      </c>
      <c r="D197" s="479" t="str">
        <f>VLOOKUP(B197,All!$B$4:$S$89977,3,FALSE)</f>
        <v>ស្រីពៅ</v>
      </c>
      <c r="E197" s="478" t="str">
        <f>VLOOKUP(B197,All!$B$4:$S$8977,4,FALSE)</f>
        <v>NHOEM</v>
      </c>
      <c r="F197" s="479" t="str">
        <f>VLOOKUP(B197,All!$B$4:$S$8977,5,FALSE)</f>
        <v>SREYPEOU</v>
      </c>
      <c r="G197" s="479" t="str">
        <f>VLOOKUP(B197,All!$B$4:$S$8977,6,FALSE)</f>
        <v>M</v>
      </c>
      <c r="H197" s="385">
        <f>VLOOKUP(B197,All!$B$4:$S$8977,7,FALSE)</f>
        <v>35951</v>
      </c>
      <c r="I197" s="154">
        <f>VLOOKUP(B197,All!$B$4:$S$8977,8,FALSE)</f>
        <v>43740</v>
      </c>
      <c r="J197" s="154" t="str">
        <f>VLOOKUP(B197,All!$B$4:$S$8977,9,FALSE)</f>
        <v>Production</v>
      </c>
      <c r="K197" s="154" t="str">
        <f>VLOOKUP(B197,All!$B$4:$S$8977,10,FALSE)</f>
        <v>Line10</v>
      </c>
      <c r="L197" s="698" t="str">
        <f>VLOOKUP(B197,All!$B$4:$S$8977,11,FALSE)</f>
        <v>Sewing operator</v>
      </c>
      <c r="M197" s="570">
        <f>VLOOKUP(B197,All!$B$4:$S$8977,12,FALSE)</f>
        <v>192</v>
      </c>
      <c r="N197" s="18">
        <f>VLOOKUP(B197,All!$B$4:$S$8977,13,FALSE)</f>
        <v>3</v>
      </c>
      <c r="O197" s="18">
        <f>VLOOKUP(B197,All!$B$4:$S$8977,14,FALSE)</f>
        <v>0</v>
      </c>
      <c r="P197" s="18">
        <f>VLOOKUP(B197,All!$B$4:$S$8977,15,FALSE)</f>
        <v>0</v>
      </c>
      <c r="Q197" s="18">
        <f>VLOOKUP(B197,All!$B$4:$S$8977,16,FALSE)</f>
        <v>0</v>
      </c>
      <c r="R197" s="18">
        <v>7</v>
      </c>
      <c r="S197" s="18">
        <v>10</v>
      </c>
      <c r="T197" s="550">
        <f t="shared" si="38"/>
        <v>212</v>
      </c>
      <c r="U197" s="568"/>
      <c r="V197" s="3"/>
      <c r="W197" s="3"/>
      <c r="X197" s="3"/>
      <c r="Y197" s="562"/>
      <c r="Z197" s="570">
        <f t="shared" si="33"/>
        <v>194</v>
      </c>
      <c r="AA197" s="18">
        <f t="shared" si="34"/>
        <v>3</v>
      </c>
      <c r="AB197" s="18">
        <f t="shared" si="35"/>
        <v>0</v>
      </c>
      <c r="AC197" s="18">
        <f t="shared" si="36"/>
        <v>0</v>
      </c>
      <c r="AD197" s="18">
        <f t="shared" si="37"/>
        <v>0</v>
      </c>
      <c r="AE197" s="18">
        <f t="shared" si="39"/>
        <v>7</v>
      </c>
      <c r="AF197" s="18">
        <f t="shared" si="39"/>
        <v>10</v>
      </c>
      <c r="AG197" s="550">
        <f t="shared" si="40"/>
        <v>214</v>
      </c>
      <c r="AH197" s="42">
        <v>2</v>
      </c>
      <c r="AI197" s="42">
        <v>0</v>
      </c>
      <c r="AJ197" s="42">
        <v>0</v>
      </c>
      <c r="AK197" s="42">
        <v>0</v>
      </c>
      <c r="AL197" s="42">
        <v>0</v>
      </c>
      <c r="AM197" s="42">
        <v>0</v>
      </c>
      <c r="AN197" s="42">
        <v>0</v>
      </c>
      <c r="AO197" s="42">
        <v>2</v>
      </c>
    </row>
    <row r="198" spans="1:41" ht="24" customHeight="1">
      <c r="A198" s="11">
        <f t="shared" ref="A198:A261" si="41">1+A197</f>
        <v>195</v>
      </c>
      <c r="B198" s="400">
        <v>3199</v>
      </c>
      <c r="C198" s="478" t="str">
        <f>VLOOKUP(B198,All!$B$4:$S$8977,2,FALSE)</f>
        <v>រិទ្ធិ</v>
      </c>
      <c r="D198" s="479" t="str">
        <f>VLOOKUP(B198,All!$B$4:$S$89977,3,FALSE)</f>
        <v>រិទ្ធី</v>
      </c>
      <c r="E198" s="478" t="str">
        <f>VLOOKUP(B198,All!$B$4:$S$8977,4,FALSE)</f>
        <v>RITH</v>
      </c>
      <c r="F198" s="479" t="str">
        <f>VLOOKUP(B198,All!$B$4:$S$8977,5,FALSE)</f>
        <v>RITHY</v>
      </c>
      <c r="G198" s="479" t="str">
        <f>VLOOKUP(B198,All!$B$4:$S$8977,6,FALSE)</f>
        <v>M</v>
      </c>
      <c r="H198" s="385">
        <f>VLOOKUP(B198,All!$B$4:$S$8977,7,FALSE)</f>
        <v>34496</v>
      </c>
      <c r="I198" s="154">
        <f>VLOOKUP(B198,All!$B$4:$S$8977,8,FALSE)</f>
        <v>43740</v>
      </c>
      <c r="J198" s="154" t="str">
        <f>VLOOKUP(B198,All!$B$4:$S$8977,9,FALSE)</f>
        <v>Production</v>
      </c>
      <c r="K198" s="154" t="str">
        <f>VLOOKUP(B198,All!$B$4:$S$8977,10,FALSE)</f>
        <v>Service on line</v>
      </c>
      <c r="L198" s="698" t="str">
        <f>VLOOKUP(B198,All!$B$4:$S$8977,11,FALSE)</f>
        <v>Service on line</v>
      </c>
      <c r="M198" s="570">
        <f>VLOOKUP(B198,All!$B$4:$S$8977,12,FALSE)</f>
        <v>192</v>
      </c>
      <c r="N198" s="18">
        <f>VLOOKUP(B198,All!$B$4:$S$8977,13,FALSE)</f>
        <v>3</v>
      </c>
      <c r="O198" s="18">
        <f>VLOOKUP(B198,All!$B$4:$S$8977,14,FALSE)</f>
        <v>0</v>
      </c>
      <c r="P198" s="18">
        <f>VLOOKUP(B198,All!$B$4:$S$8977,15,FALSE)</f>
        <v>10</v>
      </c>
      <c r="Q198" s="18">
        <f>VLOOKUP(B198,All!$B$4:$S$8977,16,FALSE)</f>
        <v>0</v>
      </c>
      <c r="R198" s="18">
        <v>7</v>
      </c>
      <c r="S198" s="18">
        <v>10</v>
      </c>
      <c r="T198" s="550">
        <f t="shared" si="38"/>
        <v>222</v>
      </c>
      <c r="U198" s="568"/>
      <c r="V198" s="3"/>
      <c r="W198" s="3"/>
      <c r="X198" s="3"/>
      <c r="Y198" s="562"/>
      <c r="Z198" s="570">
        <f t="shared" si="33"/>
        <v>194</v>
      </c>
      <c r="AA198" s="18">
        <f t="shared" si="34"/>
        <v>3</v>
      </c>
      <c r="AB198" s="18">
        <f t="shared" si="35"/>
        <v>0</v>
      </c>
      <c r="AC198" s="18">
        <f t="shared" si="36"/>
        <v>10</v>
      </c>
      <c r="AD198" s="18">
        <f t="shared" si="37"/>
        <v>0</v>
      </c>
      <c r="AE198" s="18">
        <f t="shared" si="39"/>
        <v>7</v>
      </c>
      <c r="AF198" s="18">
        <f t="shared" si="39"/>
        <v>10</v>
      </c>
      <c r="AG198" s="550">
        <f t="shared" si="40"/>
        <v>224</v>
      </c>
      <c r="AH198" s="42">
        <v>2</v>
      </c>
      <c r="AI198" s="42">
        <v>0</v>
      </c>
      <c r="AJ198" s="42">
        <v>0</v>
      </c>
      <c r="AK198" s="42">
        <v>0</v>
      </c>
      <c r="AL198" s="42">
        <v>0</v>
      </c>
      <c r="AM198" s="42">
        <v>0</v>
      </c>
      <c r="AN198" s="42">
        <v>0</v>
      </c>
      <c r="AO198" s="42">
        <v>2</v>
      </c>
    </row>
    <row r="199" spans="1:41" ht="24" customHeight="1">
      <c r="A199" s="11">
        <f t="shared" si="41"/>
        <v>196</v>
      </c>
      <c r="B199" s="400">
        <v>3175</v>
      </c>
      <c r="C199" s="478" t="str">
        <f>VLOOKUP(B199,All!$B$4:$S$8977,2,FALSE)</f>
        <v>ចាយ</v>
      </c>
      <c r="D199" s="479" t="str">
        <f>VLOOKUP(B199,All!$B$4:$S$89977,3,FALSE)</f>
        <v>ស្រីទូច</v>
      </c>
      <c r="E199" s="478" t="str">
        <f>VLOOKUP(B199,All!$B$4:$S$8977,4,FALSE)</f>
        <v>CHAY</v>
      </c>
      <c r="F199" s="479" t="str">
        <f>VLOOKUP(B199,All!$B$4:$S$8977,5,FALSE)</f>
        <v>SREYTOUCH</v>
      </c>
      <c r="G199" s="479" t="str">
        <f>VLOOKUP(B199,All!$B$4:$S$8977,6,FALSE)</f>
        <v>F</v>
      </c>
      <c r="H199" s="385">
        <f>VLOOKUP(B199,All!$B$4:$S$8977,7,FALSE)</f>
        <v>33646</v>
      </c>
      <c r="I199" s="154">
        <f>VLOOKUP(B199,All!$B$4:$S$8977,8,FALSE)</f>
        <v>43742</v>
      </c>
      <c r="J199" s="154" t="str">
        <f>VLOOKUP(B199,All!$B$4:$S$8977,9,FALSE)</f>
        <v>Production</v>
      </c>
      <c r="K199" s="154" t="str">
        <f>VLOOKUP(B199,All!$B$4:$S$8977,10,FALSE)</f>
        <v>Line 11</v>
      </c>
      <c r="L199" s="698" t="str">
        <f>VLOOKUP(B199,All!$B$4:$S$8977,11,FALSE)</f>
        <v>Sewing operator</v>
      </c>
      <c r="M199" s="570">
        <f>VLOOKUP(B199,All!$B$4:$S$8977,12,FALSE)</f>
        <v>192</v>
      </c>
      <c r="N199" s="18">
        <f>VLOOKUP(B199,All!$B$4:$S$8977,13,FALSE)</f>
        <v>3</v>
      </c>
      <c r="O199" s="18">
        <f>VLOOKUP(B199,All!$B$4:$S$8977,14,FALSE)</f>
        <v>0</v>
      </c>
      <c r="P199" s="18">
        <f>VLOOKUP(B199,All!$B$4:$S$8977,15,FALSE)</f>
        <v>0</v>
      </c>
      <c r="Q199" s="18">
        <f>VLOOKUP(B199,All!$B$4:$S$8977,16,FALSE)</f>
        <v>0</v>
      </c>
      <c r="R199" s="18">
        <v>7</v>
      </c>
      <c r="S199" s="18">
        <v>10</v>
      </c>
      <c r="T199" s="550">
        <f t="shared" si="38"/>
        <v>212</v>
      </c>
      <c r="U199" s="568"/>
      <c r="V199" s="3"/>
      <c r="W199" s="3"/>
      <c r="X199" s="3"/>
      <c r="Y199" s="562"/>
      <c r="Z199" s="570">
        <f t="shared" si="33"/>
        <v>194</v>
      </c>
      <c r="AA199" s="18">
        <f t="shared" si="34"/>
        <v>3</v>
      </c>
      <c r="AB199" s="18">
        <f t="shared" si="35"/>
        <v>0</v>
      </c>
      <c r="AC199" s="18">
        <f t="shared" si="36"/>
        <v>0</v>
      </c>
      <c r="AD199" s="18">
        <f t="shared" si="37"/>
        <v>0</v>
      </c>
      <c r="AE199" s="18">
        <f t="shared" si="39"/>
        <v>7</v>
      </c>
      <c r="AF199" s="18">
        <f t="shared" si="39"/>
        <v>10</v>
      </c>
      <c r="AG199" s="550">
        <f t="shared" si="40"/>
        <v>214</v>
      </c>
      <c r="AH199" s="42">
        <v>2</v>
      </c>
      <c r="AI199" s="42">
        <v>0</v>
      </c>
      <c r="AJ199" s="42">
        <v>0</v>
      </c>
      <c r="AK199" s="42">
        <v>0</v>
      </c>
      <c r="AL199" s="42">
        <v>0</v>
      </c>
      <c r="AM199" s="42">
        <v>0</v>
      </c>
      <c r="AN199" s="42">
        <v>0</v>
      </c>
      <c r="AO199" s="42">
        <v>2</v>
      </c>
    </row>
    <row r="200" spans="1:41" ht="24" customHeight="1">
      <c r="A200" s="11">
        <f t="shared" si="41"/>
        <v>197</v>
      </c>
      <c r="B200" s="390">
        <v>3119</v>
      </c>
      <c r="C200" s="478" t="str">
        <f>VLOOKUP(B200,All!$B$4:$S$8977,2,FALSE)</f>
        <v>កូវ</v>
      </c>
      <c r="D200" s="479" t="str">
        <f>VLOOKUP(B200,All!$B$4:$S$89977,3,FALSE)</f>
        <v>ផារ់់ា់ត</v>
      </c>
      <c r="E200" s="478" t="str">
        <f>VLOOKUP(B200,All!$B$4:$S$8977,4,FALSE)</f>
        <v>Kov</v>
      </c>
      <c r="F200" s="479" t="str">
        <f>VLOOKUP(B200,All!$B$4:$S$8977,5,FALSE)</f>
        <v>Pharat</v>
      </c>
      <c r="G200" s="479" t="str">
        <f>VLOOKUP(B200,All!$B$4:$S$8977,6,FALSE)</f>
        <v>F</v>
      </c>
      <c r="H200" s="385">
        <f>VLOOKUP(B200,All!$B$4:$S$8977,7,FALSE)</f>
        <v>25275</v>
      </c>
      <c r="I200" s="154">
        <f>VLOOKUP(B200,All!$B$4:$S$8977,8,FALSE)</f>
        <v>43742</v>
      </c>
      <c r="J200" s="154" t="str">
        <f>VLOOKUP(B200,All!$B$4:$S$8977,9,FALSE)</f>
        <v>Production</v>
      </c>
      <c r="K200" s="154" t="str">
        <f>VLOOKUP(B200,All!$B$4:$S$8977,10,FALSE)</f>
        <v>Line 11</v>
      </c>
      <c r="L200" s="698" t="str">
        <f>VLOOKUP(B200,All!$B$4:$S$8977,11,FALSE)</f>
        <v>Sewing operator</v>
      </c>
      <c r="M200" s="570">
        <f>VLOOKUP(B200,All!$B$4:$S$8977,12,FALSE)</f>
        <v>192</v>
      </c>
      <c r="N200" s="18">
        <f>VLOOKUP(B200,All!$B$4:$S$8977,13,FALSE)</f>
        <v>3</v>
      </c>
      <c r="O200" s="18">
        <f>VLOOKUP(B200,All!$B$4:$S$8977,14,FALSE)</f>
        <v>0</v>
      </c>
      <c r="P200" s="18">
        <f>VLOOKUP(B200,All!$B$4:$S$8977,15,FALSE)</f>
        <v>0</v>
      </c>
      <c r="Q200" s="18">
        <f>VLOOKUP(B200,All!$B$4:$S$8977,16,FALSE)</f>
        <v>0</v>
      </c>
      <c r="R200" s="18">
        <v>7</v>
      </c>
      <c r="S200" s="18">
        <v>10</v>
      </c>
      <c r="T200" s="550">
        <f t="shared" si="38"/>
        <v>212</v>
      </c>
      <c r="U200" s="568"/>
      <c r="V200" s="3"/>
      <c r="W200" s="3"/>
      <c r="X200" s="3"/>
      <c r="Y200" s="562"/>
      <c r="Z200" s="570">
        <f t="shared" si="33"/>
        <v>194</v>
      </c>
      <c r="AA200" s="18">
        <f t="shared" si="34"/>
        <v>3</v>
      </c>
      <c r="AB200" s="18">
        <f t="shared" si="35"/>
        <v>0</v>
      </c>
      <c r="AC200" s="18">
        <f t="shared" si="36"/>
        <v>0</v>
      </c>
      <c r="AD200" s="18">
        <f t="shared" si="37"/>
        <v>0</v>
      </c>
      <c r="AE200" s="18">
        <f t="shared" si="39"/>
        <v>7</v>
      </c>
      <c r="AF200" s="18">
        <f t="shared" si="39"/>
        <v>10</v>
      </c>
      <c r="AG200" s="550">
        <f t="shared" si="40"/>
        <v>214</v>
      </c>
      <c r="AH200" s="42">
        <v>2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0</v>
      </c>
      <c r="AO200" s="42">
        <v>2</v>
      </c>
    </row>
    <row r="201" spans="1:41" ht="24" customHeight="1">
      <c r="A201" s="11">
        <f t="shared" si="41"/>
        <v>198</v>
      </c>
      <c r="B201" s="390">
        <v>3130</v>
      </c>
      <c r="C201" s="478" t="str">
        <f>VLOOKUP(B201,All!$B$4:$S$8977,2,FALSE)</f>
        <v>អ៊ួង</v>
      </c>
      <c r="D201" s="479" t="str">
        <f>VLOOKUP(B201,All!$B$4:$S$89977,3,FALSE)</f>
        <v>សារី</v>
      </c>
      <c r="E201" s="478" t="str">
        <f>VLOOKUP(B201,All!$B$4:$S$8977,4,FALSE)</f>
        <v xml:space="preserve">Oung </v>
      </c>
      <c r="F201" s="479" t="str">
        <f>VLOOKUP(B201,All!$B$4:$S$8977,5,FALSE)</f>
        <v>SaRe</v>
      </c>
      <c r="G201" s="479" t="str">
        <f>VLOOKUP(B201,All!$B$4:$S$8977,6,FALSE)</f>
        <v>F</v>
      </c>
      <c r="H201" s="385">
        <f>VLOOKUP(B201,All!$B$4:$S$8977,7,FALSE)</f>
        <v>29345</v>
      </c>
      <c r="I201" s="154">
        <f>VLOOKUP(B201,All!$B$4:$S$8977,8,FALSE)</f>
        <v>43745</v>
      </c>
      <c r="J201" s="154" t="str">
        <f>VLOOKUP(B201,All!$B$4:$S$8977,9,FALSE)</f>
        <v>Production</v>
      </c>
      <c r="K201" s="154" t="str">
        <f>VLOOKUP(B201,All!$B$4:$S$8977,10,FALSE)</f>
        <v>Packing   B</v>
      </c>
      <c r="L201" s="698" t="str">
        <f>VLOOKUP(B201,All!$B$4:$S$8977,11,FALSE)</f>
        <v>Packer</v>
      </c>
      <c r="M201" s="570">
        <f>VLOOKUP(B201,All!$B$4:$S$8977,12,FALSE)</f>
        <v>192</v>
      </c>
      <c r="N201" s="18">
        <f>VLOOKUP(B201,All!$B$4:$S$8977,13,FALSE)</f>
        <v>3</v>
      </c>
      <c r="O201" s="18">
        <f>VLOOKUP(B201,All!$B$4:$S$8977,14,FALSE)</f>
        <v>0</v>
      </c>
      <c r="P201" s="18">
        <f>VLOOKUP(B201,All!$B$4:$S$8977,15,FALSE)</f>
        <v>0</v>
      </c>
      <c r="Q201" s="18">
        <f>VLOOKUP(B201,All!$B$4:$S$8977,16,FALSE)</f>
        <v>0</v>
      </c>
      <c r="R201" s="18">
        <v>7</v>
      </c>
      <c r="S201" s="18">
        <v>10</v>
      </c>
      <c r="T201" s="550">
        <f t="shared" si="38"/>
        <v>212</v>
      </c>
      <c r="U201" s="568"/>
      <c r="V201" s="3"/>
      <c r="W201" s="3"/>
      <c r="X201" s="3"/>
      <c r="Y201" s="562"/>
      <c r="Z201" s="570">
        <f t="shared" si="33"/>
        <v>194</v>
      </c>
      <c r="AA201" s="18">
        <f t="shared" si="34"/>
        <v>3</v>
      </c>
      <c r="AB201" s="18">
        <f t="shared" si="35"/>
        <v>0</v>
      </c>
      <c r="AC201" s="18">
        <f t="shared" si="36"/>
        <v>0</v>
      </c>
      <c r="AD201" s="18">
        <f t="shared" si="37"/>
        <v>0</v>
      </c>
      <c r="AE201" s="18">
        <f t="shared" si="39"/>
        <v>7</v>
      </c>
      <c r="AF201" s="18">
        <f t="shared" si="39"/>
        <v>10</v>
      </c>
      <c r="AG201" s="550">
        <f t="shared" si="40"/>
        <v>214</v>
      </c>
      <c r="AH201" s="42">
        <v>2</v>
      </c>
      <c r="AI201" s="42">
        <v>0</v>
      </c>
      <c r="AJ201" s="42">
        <v>0</v>
      </c>
      <c r="AK201" s="42">
        <v>0</v>
      </c>
      <c r="AL201" s="42">
        <v>0</v>
      </c>
      <c r="AM201" s="42">
        <v>0</v>
      </c>
      <c r="AN201" s="42">
        <v>0</v>
      </c>
      <c r="AO201" s="42">
        <v>2</v>
      </c>
    </row>
    <row r="202" spans="1:41" ht="24" customHeight="1">
      <c r="A202" s="11">
        <f t="shared" si="41"/>
        <v>199</v>
      </c>
      <c r="B202" s="390">
        <v>3323</v>
      </c>
      <c r="C202" s="478" t="str">
        <f>VLOOKUP(B202,All!$B$4:$S$8977,2,FALSE)</f>
        <v>យ៉ុង</v>
      </c>
      <c r="D202" s="479" t="str">
        <f>VLOOKUP(B202,All!$B$4:$S$89977,3,FALSE)</f>
        <v>ស្រីទូច</v>
      </c>
      <c r="E202" s="478" t="str">
        <f>VLOOKUP(B202,All!$B$4:$S$8977,4,FALSE)</f>
        <v>Yong</v>
      </c>
      <c r="F202" s="479" t="str">
        <f>VLOOKUP(B202,All!$B$4:$S$8977,5,FALSE)</f>
        <v>Sreytoch</v>
      </c>
      <c r="G202" s="479" t="str">
        <f>VLOOKUP(B202,All!$B$4:$S$8977,6,FALSE)</f>
        <v>F</v>
      </c>
      <c r="H202" s="385">
        <f>VLOOKUP(B202,All!$B$4:$S$8977,7,FALSE)</f>
        <v>36924</v>
      </c>
      <c r="I202" s="154">
        <f>VLOOKUP(B202,All!$B$4:$S$8977,8,FALSE)</f>
        <v>43746</v>
      </c>
      <c r="J202" s="154" t="str">
        <f>VLOOKUP(B202,All!$B$4:$S$8977,9,FALSE)</f>
        <v>Production</v>
      </c>
      <c r="K202" s="154" t="str">
        <f>VLOOKUP(B202,All!$B$4:$S$8977,10,FALSE)</f>
        <v>Line9</v>
      </c>
      <c r="L202" s="698" t="str">
        <f>VLOOKUP(B202,All!$B$4:$S$8977,11,FALSE)</f>
        <v>Sewing operator</v>
      </c>
      <c r="M202" s="570">
        <f>VLOOKUP(B202,All!$B$4:$S$8977,12,FALSE)</f>
        <v>192</v>
      </c>
      <c r="N202" s="18">
        <f>VLOOKUP(B202,All!$B$4:$S$8977,13,FALSE)</f>
        <v>3</v>
      </c>
      <c r="O202" s="18">
        <f>VLOOKUP(B202,All!$B$4:$S$8977,14,FALSE)</f>
        <v>0</v>
      </c>
      <c r="P202" s="18">
        <f>VLOOKUP(B202,All!$B$4:$S$8977,15,FALSE)</f>
        <v>0</v>
      </c>
      <c r="Q202" s="18">
        <f>VLOOKUP(B202,All!$B$4:$S$8977,16,FALSE)</f>
        <v>0</v>
      </c>
      <c r="R202" s="18">
        <v>7</v>
      </c>
      <c r="S202" s="18">
        <v>10</v>
      </c>
      <c r="T202" s="550">
        <f t="shared" si="38"/>
        <v>212</v>
      </c>
      <c r="U202" s="568"/>
      <c r="V202" s="3"/>
      <c r="W202" s="3"/>
      <c r="X202" s="3"/>
      <c r="Y202" s="562"/>
      <c r="Z202" s="570">
        <f t="shared" si="33"/>
        <v>194</v>
      </c>
      <c r="AA202" s="18">
        <f t="shared" si="34"/>
        <v>3</v>
      </c>
      <c r="AB202" s="18">
        <f t="shared" si="35"/>
        <v>0</v>
      </c>
      <c r="AC202" s="18">
        <f t="shared" si="36"/>
        <v>0</v>
      </c>
      <c r="AD202" s="18">
        <f t="shared" si="37"/>
        <v>0</v>
      </c>
      <c r="AE202" s="18">
        <f t="shared" si="39"/>
        <v>7</v>
      </c>
      <c r="AF202" s="18">
        <f t="shared" si="39"/>
        <v>10</v>
      </c>
      <c r="AG202" s="550">
        <f t="shared" si="40"/>
        <v>214</v>
      </c>
      <c r="AH202" s="42">
        <v>2</v>
      </c>
      <c r="AI202" s="42">
        <v>0</v>
      </c>
      <c r="AJ202" s="42">
        <v>0</v>
      </c>
      <c r="AK202" s="42">
        <v>0</v>
      </c>
      <c r="AL202" s="42">
        <v>0</v>
      </c>
      <c r="AM202" s="42">
        <v>0</v>
      </c>
      <c r="AN202" s="42">
        <v>0</v>
      </c>
      <c r="AO202" s="42">
        <v>2</v>
      </c>
    </row>
    <row r="203" spans="1:41" ht="24" customHeight="1">
      <c r="A203" s="11">
        <f t="shared" si="41"/>
        <v>200</v>
      </c>
      <c r="B203" s="390">
        <v>3134</v>
      </c>
      <c r="C203" s="478" t="str">
        <f>VLOOKUP(B203,All!$B$4:$S$8977,2,FALSE)</f>
        <v>ខុន</v>
      </c>
      <c r="D203" s="479" t="str">
        <f>VLOOKUP(B203,All!$B$4:$S$89977,3,FALSE)</f>
        <v>គន្ធា</v>
      </c>
      <c r="E203" s="478" t="str">
        <f>VLOOKUP(B203,All!$B$4:$S$8977,4,FALSE)</f>
        <v>Khon</v>
      </c>
      <c r="F203" s="479" t="str">
        <f>VLOOKUP(B203,All!$B$4:$S$8977,5,FALSE)</f>
        <v>KunThea</v>
      </c>
      <c r="G203" s="479" t="str">
        <f>VLOOKUP(B203,All!$B$4:$S$8977,6,FALSE)</f>
        <v>F</v>
      </c>
      <c r="H203" s="385">
        <f>VLOOKUP(B203,All!$B$4:$S$8977,7,FALSE)</f>
        <v>31413</v>
      </c>
      <c r="I203" s="154">
        <f>VLOOKUP(B203,All!$B$4:$S$8977,8,FALSE)</f>
        <v>43745</v>
      </c>
      <c r="J203" s="154" t="str">
        <f>VLOOKUP(B203,All!$B$4:$S$8977,9,FALSE)</f>
        <v>Production</v>
      </c>
      <c r="K203" s="154" t="str">
        <f>VLOOKUP(B203,All!$B$4:$S$8977,10,FALSE)</f>
        <v xml:space="preserve"> Line2</v>
      </c>
      <c r="L203" s="698" t="str">
        <f>VLOOKUP(B203,All!$B$4:$S$8977,11,FALSE)</f>
        <v>Sewing operator</v>
      </c>
      <c r="M203" s="570">
        <f>VLOOKUP(B203,All!$B$4:$S$8977,12,FALSE)</f>
        <v>192</v>
      </c>
      <c r="N203" s="18">
        <f>VLOOKUP(B203,All!$B$4:$S$8977,13,FALSE)</f>
        <v>3</v>
      </c>
      <c r="O203" s="18">
        <f>VLOOKUP(B203,All!$B$4:$S$8977,14,FALSE)</f>
        <v>0</v>
      </c>
      <c r="P203" s="18">
        <f>VLOOKUP(B203,All!$B$4:$S$8977,15,FALSE)</f>
        <v>0</v>
      </c>
      <c r="Q203" s="18">
        <f>VLOOKUP(B203,All!$B$4:$S$8977,16,FALSE)</f>
        <v>0</v>
      </c>
      <c r="R203" s="18">
        <v>7</v>
      </c>
      <c r="S203" s="18">
        <v>10</v>
      </c>
      <c r="T203" s="550">
        <f t="shared" si="38"/>
        <v>212</v>
      </c>
      <c r="U203" s="568"/>
      <c r="V203" s="3"/>
      <c r="W203" s="3"/>
      <c r="X203" s="3"/>
      <c r="Y203" s="562"/>
      <c r="Z203" s="570">
        <f t="shared" si="33"/>
        <v>194</v>
      </c>
      <c r="AA203" s="18">
        <f t="shared" si="34"/>
        <v>3</v>
      </c>
      <c r="AB203" s="18">
        <f t="shared" si="35"/>
        <v>0</v>
      </c>
      <c r="AC203" s="18">
        <f t="shared" si="36"/>
        <v>0</v>
      </c>
      <c r="AD203" s="18">
        <f t="shared" si="37"/>
        <v>0</v>
      </c>
      <c r="AE203" s="18">
        <f t="shared" si="39"/>
        <v>7</v>
      </c>
      <c r="AF203" s="18">
        <f t="shared" si="39"/>
        <v>10</v>
      </c>
      <c r="AG203" s="550">
        <f t="shared" si="40"/>
        <v>214</v>
      </c>
      <c r="AH203" s="42">
        <v>2</v>
      </c>
      <c r="AI203" s="42">
        <v>0</v>
      </c>
      <c r="AJ203" s="42">
        <v>0</v>
      </c>
      <c r="AK203" s="42">
        <v>0</v>
      </c>
      <c r="AL203" s="42">
        <v>0</v>
      </c>
      <c r="AM203" s="42">
        <v>0</v>
      </c>
      <c r="AN203" s="42">
        <v>0</v>
      </c>
      <c r="AO203" s="42">
        <v>2</v>
      </c>
    </row>
    <row r="204" spans="1:41" ht="24" customHeight="1">
      <c r="A204" s="11">
        <f t="shared" si="41"/>
        <v>201</v>
      </c>
      <c r="B204" s="390">
        <v>3375</v>
      </c>
      <c r="C204" s="478" t="str">
        <f>VLOOKUP(B204,All!$B$4:$S$8977,2,FALSE)</f>
        <v>ង៉ែត</v>
      </c>
      <c r="D204" s="479" t="str">
        <f>VLOOKUP(B204,All!$B$4:$S$89977,3,FALSE)</f>
        <v>សុខុម</v>
      </c>
      <c r="E204" s="478" t="str">
        <f>VLOOKUP(B204,All!$B$4:$S$8977,4,FALSE)</f>
        <v>Nget</v>
      </c>
      <c r="F204" s="479" t="str">
        <f>VLOOKUP(B204,All!$B$4:$S$8977,5,FALSE)</f>
        <v>Sokhom</v>
      </c>
      <c r="G204" s="479" t="str">
        <f>VLOOKUP(B204,All!$B$4:$S$8977,6,FALSE)</f>
        <v>F</v>
      </c>
      <c r="H204" s="385">
        <f>VLOOKUP(B204,All!$B$4:$S$8977,7,FALSE)</f>
        <v>23477</v>
      </c>
      <c r="I204" s="154">
        <f>VLOOKUP(B204,All!$B$4:$S$8977,8,FALSE)</f>
        <v>43755</v>
      </c>
      <c r="J204" s="154" t="str">
        <f>VLOOKUP(B204,All!$B$4:$S$8977,9,FALSE)</f>
        <v>Production</v>
      </c>
      <c r="K204" s="154" t="str">
        <f>VLOOKUP(B204,All!$B$4:$S$8977,10,FALSE)</f>
        <v>Sample</v>
      </c>
      <c r="L204" s="698" t="str">
        <f>VLOOKUP(B204,All!$B$4:$S$8977,11,FALSE)</f>
        <v>SL sewer</v>
      </c>
      <c r="M204" s="570">
        <f>VLOOKUP(B204,All!$B$4:$S$8977,12,FALSE)</f>
        <v>192</v>
      </c>
      <c r="N204" s="18">
        <f>VLOOKUP(B204,All!$B$4:$S$8977,13,FALSE)</f>
        <v>3</v>
      </c>
      <c r="O204" s="18">
        <f>VLOOKUP(B204,All!$B$4:$S$8977,14,FALSE)</f>
        <v>0</v>
      </c>
      <c r="P204" s="18">
        <f>VLOOKUP(B204,All!$B$4:$S$8977,15,FALSE)</f>
        <v>0</v>
      </c>
      <c r="Q204" s="18">
        <f>VLOOKUP(B204,All!$B$4:$S$8977,16,FALSE)</f>
        <v>0</v>
      </c>
      <c r="R204" s="18">
        <v>7</v>
      </c>
      <c r="S204" s="18">
        <v>10</v>
      </c>
      <c r="T204" s="550">
        <f t="shared" si="38"/>
        <v>212</v>
      </c>
      <c r="U204" s="568"/>
      <c r="V204" s="3"/>
      <c r="W204" s="3"/>
      <c r="X204" s="3"/>
      <c r="Y204" s="562"/>
      <c r="Z204" s="570">
        <f t="shared" si="33"/>
        <v>194</v>
      </c>
      <c r="AA204" s="18">
        <f t="shared" si="34"/>
        <v>3</v>
      </c>
      <c r="AB204" s="18">
        <f t="shared" si="35"/>
        <v>0</v>
      </c>
      <c r="AC204" s="18">
        <f t="shared" si="36"/>
        <v>0</v>
      </c>
      <c r="AD204" s="18">
        <f t="shared" si="37"/>
        <v>0</v>
      </c>
      <c r="AE204" s="18">
        <f t="shared" si="39"/>
        <v>7</v>
      </c>
      <c r="AF204" s="18">
        <f t="shared" si="39"/>
        <v>10</v>
      </c>
      <c r="AG204" s="550">
        <f t="shared" si="40"/>
        <v>214</v>
      </c>
      <c r="AH204" s="42">
        <v>2</v>
      </c>
      <c r="AI204" s="42">
        <v>0</v>
      </c>
      <c r="AJ204" s="42">
        <v>0</v>
      </c>
      <c r="AK204" s="42">
        <v>0</v>
      </c>
      <c r="AL204" s="42">
        <v>0</v>
      </c>
      <c r="AM204" s="42">
        <v>0</v>
      </c>
      <c r="AN204" s="42">
        <v>0</v>
      </c>
      <c r="AO204" s="42">
        <v>2</v>
      </c>
    </row>
    <row r="205" spans="1:41" ht="24" customHeight="1">
      <c r="A205" s="11">
        <f t="shared" si="41"/>
        <v>202</v>
      </c>
      <c r="B205" s="390">
        <v>3371</v>
      </c>
      <c r="C205" s="478" t="str">
        <f>VLOOKUP(B205,All!$B$4:$S$8977,2,FALSE)</f>
        <v>ផេង</v>
      </c>
      <c r="D205" s="479" t="str">
        <f>VLOOKUP(B205,All!$B$4:$S$89977,3,FALSE)</f>
        <v>សាធន់</v>
      </c>
      <c r="E205" s="478" t="str">
        <f>VLOOKUP(B205,All!$B$4:$S$8977,4,FALSE)</f>
        <v>Pheng</v>
      </c>
      <c r="F205" s="479" t="str">
        <f>VLOOKUP(B205,All!$B$4:$S$8977,5,FALSE)</f>
        <v>Sathun</v>
      </c>
      <c r="G205" s="479" t="str">
        <f>VLOOKUP(B205,All!$B$4:$S$8977,6,FALSE)</f>
        <v>F</v>
      </c>
      <c r="H205" s="385">
        <f>VLOOKUP(B205,All!$B$4:$S$8977,7,FALSE)</f>
        <v>33843</v>
      </c>
      <c r="I205" s="154">
        <f>VLOOKUP(B205,All!$B$4:$S$8977,8,FALSE)</f>
        <v>43755</v>
      </c>
      <c r="J205" s="154" t="str">
        <f>VLOOKUP(B205,All!$B$4:$S$8977,9,FALSE)</f>
        <v>Production</v>
      </c>
      <c r="K205" s="154" t="str">
        <f>VLOOKUP(B205,All!$B$4:$S$8977,10,FALSE)</f>
        <v xml:space="preserve"> Line3</v>
      </c>
      <c r="L205" s="698" t="str">
        <f>VLOOKUP(B205,All!$B$4:$S$8977,11,FALSE)</f>
        <v>Sewing operator</v>
      </c>
      <c r="M205" s="570">
        <f>VLOOKUP(B205,All!$B$4:$S$8977,12,FALSE)</f>
        <v>192</v>
      </c>
      <c r="N205" s="18">
        <f>VLOOKUP(B205,All!$B$4:$S$8977,13,FALSE)</f>
        <v>3</v>
      </c>
      <c r="O205" s="18">
        <f>VLOOKUP(B205,All!$B$4:$S$8977,14,FALSE)</f>
        <v>0</v>
      </c>
      <c r="P205" s="18">
        <f>VLOOKUP(B205,All!$B$4:$S$8977,15,FALSE)</f>
        <v>0</v>
      </c>
      <c r="Q205" s="18">
        <f>VLOOKUP(B205,All!$B$4:$S$8977,16,FALSE)</f>
        <v>0</v>
      </c>
      <c r="R205" s="18">
        <v>7</v>
      </c>
      <c r="S205" s="18">
        <v>10</v>
      </c>
      <c r="T205" s="550">
        <f t="shared" si="38"/>
        <v>212</v>
      </c>
      <c r="U205" s="568"/>
      <c r="V205" s="3"/>
      <c r="W205" s="3"/>
      <c r="X205" s="3"/>
      <c r="Y205" s="562"/>
      <c r="Z205" s="570">
        <f t="shared" si="33"/>
        <v>194</v>
      </c>
      <c r="AA205" s="18">
        <f t="shared" si="34"/>
        <v>3</v>
      </c>
      <c r="AB205" s="18">
        <f t="shared" si="35"/>
        <v>0</v>
      </c>
      <c r="AC205" s="18">
        <f t="shared" si="36"/>
        <v>0</v>
      </c>
      <c r="AD205" s="18">
        <f t="shared" si="37"/>
        <v>0</v>
      </c>
      <c r="AE205" s="18">
        <f t="shared" si="39"/>
        <v>7</v>
      </c>
      <c r="AF205" s="18">
        <f t="shared" si="39"/>
        <v>10</v>
      </c>
      <c r="AG205" s="550">
        <f t="shared" si="40"/>
        <v>214</v>
      </c>
      <c r="AH205" s="42">
        <v>2</v>
      </c>
      <c r="AI205" s="42">
        <v>0</v>
      </c>
      <c r="AJ205" s="42">
        <v>0</v>
      </c>
      <c r="AK205" s="42">
        <v>0</v>
      </c>
      <c r="AL205" s="42">
        <v>0</v>
      </c>
      <c r="AM205" s="42">
        <v>0</v>
      </c>
      <c r="AN205" s="42">
        <v>0</v>
      </c>
      <c r="AO205" s="42">
        <v>2</v>
      </c>
    </row>
    <row r="206" spans="1:41" ht="24" customHeight="1">
      <c r="A206" s="11">
        <f t="shared" si="41"/>
        <v>203</v>
      </c>
      <c r="B206" s="390">
        <v>3370</v>
      </c>
      <c r="C206" s="478" t="str">
        <f>VLOOKUP(B206,All!$B$4:$S$8977,2,FALSE)</f>
        <v>ផេង</v>
      </c>
      <c r="D206" s="479" t="str">
        <f>VLOOKUP(B206,All!$B$4:$S$89977,3,FALSE)</f>
        <v>សុភាន់</v>
      </c>
      <c r="E206" s="478" t="str">
        <f>VLOOKUP(B206,All!$B$4:$S$8977,4,FALSE)</f>
        <v>Pheng</v>
      </c>
      <c r="F206" s="479" t="str">
        <f>VLOOKUP(B206,All!$B$4:$S$8977,5,FALSE)</f>
        <v>Sophon</v>
      </c>
      <c r="G206" s="479" t="str">
        <f>VLOOKUP(B206,All!$B$4:$S$8977,6,FALSE)</f>
        <v>F</v>
      </c>
      <c r="H206" s="385">
        <f>VLOOKUP(B206,All!$B$4:$S$8977,7,FALSE)</f>
        <v>30480</v>
      </c>
      <c r="I206" s="154">
        <f>VLOOKUP(B206,All!$B$4:$S$8977,8,FALSE)</f>
        <v>43755</v>
      </c>
      <c r="J206" s="154" t="str">
        <f>VLOOKUP(B206,All!$B$4:$S$8977,9,FALSE)</f>
        <v>Production</v>
      </c>
      <c r="K206" s="154" t="str">
        <f>VLOOKUP(B206,All!$B$4:$S$8977,10,FALSE)</f>
        <v xml:space="preserve"> Line19</v>
      </c>
      <c r="L206" s="698" t="str">
        <f>VLOOKUP(B206,All!$B$4:$S$8977,11,FALSE)</f>
        <v>Sewing operator</v>
      </c>
      <c r="M206" s="570">
        <f>VLOOKUP(B206,All!$B$4:$S$8977,12,FALSE)</f>
        <v>192</v>
      </c>
      <c r="N206" s="18">
        <f>VLOOKUP(B206,All!$B$4:$S$8977,13,FALSE)</f>
        <v>3</v>
      </c>
      <c r="O206" s="18">
        <f>VLOOKUP(B206,All!$B$4:$S$8977,14,FALSE)</f>
        <v>0</v>
      </c>
      <c r="P206" s="18">
        <f>VLOOKUP(B206,All!$B$4:$S$8977,15,FALSE)</f>
        <v>0</v>
      </c>
      <c r="Q206" s="18">
        <f>VLOOKUP(B206,All!$B$4:$S$8977,16,FALSE)</f>
        <v>0</v>
      </c>
      <c r="R206" s="18">
        <v>7</v>
      </c>
      <c r="S206" s="18">
        <v>10</v>
      </c>
      <c r="T206" s="550">
        <f t="shared" si="38"/>
        <v>212</v>
      </c>
      <c r="U206" s="568"/>
      <c r="V206" s="3"/>
      <c r="W206" s="3"/>
      <c r="X206" s="3"/>
      <c r="Y206" s="562"/>
      <c r="Z206" s="570">
        <f t="shared" si="33"/>
        <v>194</v>
      </c>
      <c r="AA206" s="18">
        <f t="shared" si="34"/>
        <v>3</v>
      </c>
      <c r="AB206" s="18">
        <f t="shared" si="35"/>
        <v>0</v>
      </c>
      <c r="AC206" s="18">
        <f t="shared" si="36"/>
        <v>0</v>
      </c>
      <c r="AD206" s="18">
        <f t="shared" si="37"/>
        <v>0</v>
      </c>
      <c r="AE206" s="18">
        <f t="shared" si="39"/>
        <v>7</v>
      </c>
      <c r="AF206" s="18">
        <f t="shared" si="39"/>
        <v>10</v>
      </c>
      <c r="AG206" s="550">
        <f t="shared" si="40"/>
        <v>214</v>
      </c>
      <c r="AH206" s="42">
        <v>2</v>
      </c>
      <c r="AI206" s="42">
        <v>0</v>
      </c>
      <c r="AJ206" s="42">
        <v>0</v>
      </c>
      <c r="AK206" s="42">
        <v>0</v>
      </c>
      <c r="AL206" s="42">
        <v>0</v>
      </c>
      <c r="AM206" s="42">
        <v>0</v>
      </c>
      <c r="AN206" s="42">
        <v>0</v>
      </c>
      <c r="AO206" s="42">
        <v>2</v>
      </c>
    </row>
    <row r="207" spans="1:41" ht="24" customHeight="1">
      <c r="A207" s="11">
        <f t="shared" si="41"/>
        <v>204</v>
      </c>
      <c r="B207" s="390">
        <v>3384</v>
      </c>
      <c r="C207" s="478" t="str">
        <f>VLOOKUP(B207,All!$B$4:$S$8977,2,FALSE)</f>
        <v>ហេង</v>
      </c>
      <c r="D207" s="479" t="str">
        <f>VLOOKUP(B207,All!$B$4:$S$89977,3,FALSE)</f>
        <v>ណា</v>
      </c>
      <c r="E207" s="478" t="str">
        <f>VLOOKUP(B207,All!$B$4:$S$8977,4,FALSE)</f>
        <v>Heng</v>
      </c>
      <c r="F207" s="479" t="str">
        <f>VLOOKUP(B207,All!$B$4:$S$8977,5,FALSE)</f>
        <v>Na</v>
      </c>
      <c r="G207" s="479" t="str">
        <f>VLOOKUP(B207,All!$B$4:$S$8977,6,FALSE)</f>
        <v>F</v>
      </c>
      <c r="H207" s="385">
        <f>VLOOKUP(B207,All!$B$4:$S$8977,7,FALSE)</f>
        <v>28401</v>
      </c>
      <c r="I207" s="154">
        <f>VLOOKUP(B207,All!$B$4:$S$8977,8,FALSE)</f>
        <v>43756</v>
      </c>
      <c r="J207" s="154" t="str">
        <f>VLOOKUP(B207,All!$B$4:$S$8977,9,FALSE)</f>
        <v>Production</v>
      </c>
      <c r="K207" s="154" t="str">
        <f>VLOOKUP(B207,All!$B$4:$S$8977,10,FALSE)</f>
        <v xml:space="preserve"> Line18</v>
      </c>
      <c r="L207" s="698" t="str">
        <f>VLOOKUP(B207,All!$B$4:$S$8977,11,FALSE)</f>
        <v>Sewing operator</v>
      </c>
      <c r="M207" s="570">
        <f>VLOOKUP(B207,All!$B$4:$S$8977,12,FALSE)</f>
        <v>192</v>
      </c>
      <c r="N207" s="18">
        <f>VLOOKUP(B207,All!$B$4:$S$8977,13,FALSE)</f>
        <v>3</v>
      </c>
      <c r="O207" s="18">
        <f>VLOOKUP(B207,All!$B$4:$S$8977,14,FALSE)</f>
        <v>0</v>
      </c>
      <c r="P207" s="18">
        <f>VLOOKUP(B207,All!$B$4:$S$8977,15,FALSE)</f>
        <v>0</v>
      </c>
      <c r="Q207" s="18">
        <f>VLOOKUP(B207,All!$B$4:$S$8977,16,FALSE)</f>
        <v>0</v>
      </c>
      <c r="R207" s="18">
        <v>7</v>
      </c>
      <c r="S207" s="18">
        <v>10</v>
      </c>
      <c r="T207" s="550">
        <f t="shared" si="38"/>
        <v>212</v>
      </c>
      <c r="U207" s="568"/>
      <c r="V207" s="3"/>
      <c r="W207" s="3"/>
      <c r="X207" s="3"/>
      <c r="Y207" s="562"/>
      <c r="Z207" s="570">
        <f t="shared" si="33"/>
        <v>194</v>
      </c>
      <c r="AA207" s="18">
        <f t="shared" si="34"/>
        <v>3</v>
      </c>
      <c r="AB207" s="18">
        <f t="shared" si="35"/>
        <v>0</v>
      </c>
      <c r="AC207" s="18">
        <f t="shared" si="36"/>
        <v>0</v>
      </c>
      <c r="AD207" s="18">
        <f t="shared" si="37"/>
        <v>0</v>
      </c>
      <c r="AE207" s="18">
        <f t="shared" ref="AE207:AF250" si="42">R207</f>
        <v>7</v>
      </c>
      <c r="AF207" s="18">
        <f t="shared" si="42"/>
        <v>10</v>
      </c>
      <c r="AG207" s="550">
        <f t="shared" si="40"/>
        <v>214</v>
      </c>
      <c r="AH207" s="42">
        <v>2</v>
      </c>
      <c r="AI207" s="42">
        <v>0</v>
      </c>
      <c r="AJ207" s="42">
        <v>0</v>
      </c>
      <c r="AK207" s="42">
        <v>0</v>
      </c>
      <c r="AL207" s="42">
        <v>0</v>
      </c>
      <c r="AM207" s="42">
        <v>0</v>
      </c>
      <c r="AN207" s="42">
        <v>0</v>
      </c>
      <c r="AO207" s="42">
        <v>2</v>
      </c>
    </row>
    <row r="208" spans="1:41" ht="24" customHeight="1">
      <c r="A208" s="11">
        <f t="shared" si="41"/>
        <v>205</v>
      </c>
      <c r="B208" s="390">
        <v>3390</v>
      </c>
      <c r="C208" s="478" t="str">
        <f>VLOOKUP(B208,All!$B$4:$S$8977,2,FALSE)</f>
        <v>សាយ</v>
      </c>
      <c r="D208" s="479" t="str">
        <f>VLOOKUP(B208,All!$B$4:$S$89977,3,FALSE)</f>
        <v>ដារី</v>
      </c>
      <c r="E208" s="478" t="str">
        <f>VLOOKUP(B208,All!$B$4:$S$8977,4,FALSE)</f>
        <v>Say</v>
      </c>
      <c r="F208" s="479" t="str">
        <f>VLOOKUP(B208,All!$B$4:$S$8977,5,FALSE)</f>
        <v>DaRi</v>
      </c>
      <c r="G208" s="479" t="str">
        <f>VLOOKUP(B208,All!$B$4:$S$8977,6,FALSE)</f>
        <v>F</v>
      </c>
      <c r="H208" s="385">
        <f>VLOOKUP(B208,All!$B$4:$S$8977,7,FALSE)</f>
        <v>33374</v>
      </c>
      <c r="I208" s="154">
        <f>VLOOKUP(B208,All!$B$4:$S$8977,8,FALSE)</f>
        <v>43760</v>
      </c>
      <c r="J208" s="154" t="str">
        <f>VLOOKUP(B208,All!$B$4:$S$8977,9,FALSE)</f>
        <v>Production</v>
      </c>
      <c r="K208" s="154" t="str">
        <f>VLOOKUP(B208,All!$B$4:$S$8977,10,FALSE)</f>
        <v>QC  A</v>
      </c>
      <c r="L208" s="698" t="str">
        <f>VLOOKUP(B208,All!$B$4:$S$8977,11,FALSE)</f>
        <v>Inspector</v>
      </c>
      <c r="M208" s="570">
        <f>VLOOKUP(B208,All!$B$4:$S$8977,12,FALSE)</f>
        <v>192</v>
      </c>
      <c r="N208" s="18">
        <f>VLOOKUP(B208,All!$B$4:$S$8977,13,FALSE)</f>
        <v>3</v>
      </c>
      <c r="O208" s="18">
        <f>VLOOKUP(B208,All!$B$4:$S$8977,14,FALSE)</f>
        <v>0</v>
      </c>
      <c r="P208" s="18">
        <f>VLOOKUP(B208,All!$B$4:$S$8977,15,FALSE)</f>
        <v>0</v>
      </c>
      <c r="Q208" s="18">
        <f>VLOOKUP(B208,All!$B$4:$S$8977,16,FALSE)</f>
        <v>0</v>
      </c>
      <c r="R208" s="18">
        <v>7</v>
      </c>
      <c r="S208" s="18">
        <v>10</v>
      </c>
      <c r="T208" s="550">
        <f t="shared" si="38"/>
        <v>212</v>
      </c>
      <c r="U208" s="568"/>
      <c r="V208" s="3"/>
      <c r="W208" s="3"/>
      <c r="X208" s="3"/>
      <c r="Y208" s="562"/>
      <c r="Z208" s="570">
        <f t="shared" si="33"/>
        <v>194</v>
      </c>
      <c r="AA208" s="18">
        <f t="shared" si="34"/>
        <v>3</v>
      </c>
      <c r="AB208" s="18">
        <f t="shared" si="35"/>
        <v>0</v>
      </c>
      <c r="AC208" s="18">
        <f t="shared" si="36"/>
        <v>0</v>
      </c>
      <c r="AD208" s="18">
        <f t="shared" si="37"/>
        <v>0</v>
      </c>
      <c r="AE208" s="18">
        <f t="shared" si="42"/>
        <v>7</v>
      </c>
      <c r="AF208" s="18">
        <f t="shared" si="42"/>
        <v>10</v>
      </c>
      <c r="AG208" s="550">
        <f t="shared" si="40"/>
        <v>214</v>
      </c>
      <c r="AH208" s="42">
        <v>2</v>
      </c>
      <c r="AI208" s="42">
        <v>0</v>
      </c>
      <c r="AJ208" s="42">
        <v>0</v>
      </c>
      <c r="AK208" s="42">
        <v>0</v>
      </c>
      <c r="AL208" s="42">
        <v>0</v>
      </c>
      <c r="AM208" s="42">
        <v>0</v>
      </c>
      <c r="AN208" s="42">
        <v>0</v>
      </c>
      <c r="AO208" s="42">
        <v>2</v>
      </c>
    </row>
    <row r="209" spans="1:41" ht="24" customHeight="1">
      <c r="A209" s="11">
        <f t="shared" si="41"/>
        <v>206</v>
      </c>
      <c r="B209" s="390">
        <v>3369</v>
      </c>
      <c r="C209" s="478" t="str">
        <f>VLOOKUP(B209,All!$B$4:$S$8977,2,FALSE)</f>
        <v>សំ</v>
      </c>
      <c r="D209" s="479" t="str">
        <f>VLOOKUP(B209,All!$B$4:$S$89977,3,FALSE)</f>
        <v>សុគង់</v>
      </c>
      <c r="E209" s="478" t="str">
        <f>VLOOKUP(B209,All!$B$4:$S$8977,4,FALSE)</f>
        <v>Sam</v>
      </c>
      <c r="F209" s="479" t="str">
        <f>VLOOKUP(B209,All!$B$4:$S$8977,5,FALSE)</f>
        <v>SOKONG</v>
      </c>
      <c r="G209" s="479" t="str">
        <f>VLOOKUP(B209,All!$B$4:$S$8977,6,FALSE)</f>
        <v>F</v>
      </c>
      <c r="H209" s="385">
        <f>VLOOKUP(B209,All!$B$4:$S$8977,7,FALSE)</f>
        <v>29643</v>
      </c>
      <c r="I209" s="154">
        <f>VLOOKUP(B209,All!$B$4:$S$8977,8,FALSE)</f>
        <v>43755</v>
      </c>
      <c r="J209" s="154" t="str">
        <f>VLOOKUP(B209,All!$B$4:$S$8977,9,FALSE)</f>
        <v>Production</v>
      </c>
      <c r="K209" s="154" t="str">
        <f>VLOOKUP(B209,All!$B$4:$S$8977,10,FALSE)</f>
        <v>Sample</v>
      </c>
      <c r="L209" s="698" t="str">
        <f>VLOOKUP(B209,All!$B$4:$S$8977,11,FALSE)</f>
        <v>SL sewer</v>
      </c>
      <c r="M209" s="570">
        <f>VLOOKUP(B209,All!$B$4:$S$8977,12,FALSE)</f>
        <v>192</v>
      </c>
      <c r="N209" s="18">
        <f>VLOOKUP(B209,All!$B$4:$S$8977,13,FALSE)</f>
        <v>3</v>
      </c>
      <c r="O209" s="18">
        <f>VLOOKUP(B209,All!$B$4:$S$8977,14,FALSE)</f>
        <v>0</v>
      </c>
      <c r="P209" s="18">
        <f>VLOOKUP(B209,All!$B$4:$S$8977,15,FALSE)</f>
        <v>0</v>
      </c>
      <c r="Q209" s="18">
        <f>VLOOKUP(B209,All!$B$4:$S$8977,16,FALSE)</f>
        <v>0</v>
      </c>
      <c r="R209" s="18">
        <v>7</v>
      </c>
      <c r="S209" s="18">
        <v>10</v>
      </c>
      <c r="T209" s="550">
        <f t="shared" si="38"/>
        <v>212</v>
      </c>
      <c r="U209" s="568"/>
      <c r="V209" s="3"/>
      <c r="W209" s="3"/>
      <c r="X209" s="3"/>
      <c r="Y209" s="562"/>
      <c r="Z209" s="570">
        <f t="shared" si="33"/>
        <v>194</v>
      </c>
      <c r="AA209" s="18">
        <f t="shared" si="34"/>
        <v>3</v>
      </c>
      <c r="AB209" s="18">
        <f t="shared" si="35"/>
        <v>0</v>
      </c>
      <c r="AC209" s="18">
        <f t="shared" si="36"/>
        <v>0</v>
      </c>
      <c r="AD209" s="18">
        <f t="shared" si="37"/>
        <v>0</v>
      </c>
      <c r="AE209" s="18">
        <f t="shared" si="42"/>
        <v>7</v>
      </c>
      <c r="AF209" s="18">
        <f t="shared" si="42"/>
        <v>10</v>
      </c>
      <c r="AG209" s="550">
        <f t="shared" si="40"/>
        <v>214</v>
      </c>
      <c r="AH209" s="42">
        <v>2</v>
      </c>
      <c r="AI209" s="42">
        <v>0</v>
      </c>
      <c r="AJ209" s="42">
        <v>0</v>
      </c>
      <c r="AK209" s="42">
        <v>0</v>
      </c>
      <c r="AL209" s="42">
        <v>0</v>
      </c>
      <c r="AM209" s="42">
        <v>0</v>
      </c>
      <c r="AN209" s="42">
        <v>0</v>
      </c>
      <c r="AO209" s="42">
        <v>2</v>
      </c>
    </row>
    <row r="210" spans="1:41" ht="24" customHeight="1">
      <c r="A210" s="11">
        <f t="shared" si="41"/>
        <v>207</v>
      </c>
      <c r="B210" s="390">
        <v>3388</v>
      </c>
      <c r="C210" s="478" t="str">
        <f>VLOOKUP(B210,All!$B$4:$S$8977,2,FALSE)</f>
        <v>សុខ</v>
      </c>
      <c r="D210" s="479" t="str">
        <f>VLOOKUP(B210,All!$B$4:$S$89977,3,FALSE)</f>
        <v>ចាន់នី</v>
      </c>
      <c r="E210" s="478" t="str">
        <f>VLOOKUP(B210,All!$B$4:$S$8977,4,FALSE)</f>
        <v xml:space="preserve">Sok </v>
      </c>
      <c r="F210" s="479" t="str">
        <f>VLOOKUP(B210,All!$B$4:$S$8977,5,FALSE)</f>
        <v>Channy</v>
      </c>
      <c r="G210" s="479" t="str">
        <f>VLOOKUP(B210,All!$B$4:$S$8977,6,FALSE)</f>
        <v>F</v>
      </c>
      <c r="H210" s="385">
        <f>VLOOKUP(B210,All!$B$4:$S$8977,7,FALSE)</f>
        <v>30142</v>
      </c>
      <c r="I210" s="154">
        <f>VLOOKUP(B210,All!$B$4:$S$8977,8,FALSE)</f>
        <v>43760</v>
      </c>
      <c r="J210" s="154" t="str">
        <f>VLOOKUP(B210,All!$B$4:$S$8977,9,FALSE)</f>
        <v>Production</v>
      </c>
      <c r="K210" s="154" t="str">
        <f>VLOOKUP(B210,All!$B$4:$S$8977,10,FALSE)</f>
        <v xml:space="preserve"> Line3</v>
      </c>
      <c r="L210" s="698" t="str">
        <f>VLOOKUP(B210,All!$B$4:$S$8977,11,FALSE)</f>
        <v>Sewing operator</v>
      </c>
      <c r="M210" s="570">
        <f>VLOOKUP(B210,All!$B$4:$S$8977,12,FALSE)</f>
        <v>192</v>
      </c>
      <c r="N210" s="18">
        <f>VLOOKUP(B210,All!$B$4:$S$8977,13,FALSE)</f>
        <v>3</v>
      </c>
      <c r="O210" s="18">
        <f>VLOOKUP(B210,All!$B$4:$S$8977,14,FALSE)</f>
        <v>0</v>
      </c>
      <c r="P210" s="18">
        <f>VLOOKUP(B210,All!$B$4:$S$8977,15,FALSE)</f>
        <v>0</v>
      </c>
      <c r="Q210" s="18">
        <f>VLOOKUP(B210,All!$B$4:$S$8977,16,FALSE)</f>
        <v>0</v>
      </c>
      <c r="R210" s="18">
        <v>7</v>
      </c>
      <c r="S210" s="18">
        <v>10</v>
      </c>
      <c r="T210" s="550">
        <f t="shared" si="38"/>
        <v>212</v>
      </c>
      <c r="U210" s="568"/>
      <c r="V210" s="3"/>
      <c r="W210" s="3"/>
      <c r="X210" s="3"/>
      <c r="Y210" s="562"/>
      <c r="Z210" s="570">
        <f t="shared" si="33"/>
        <v>194</v>
      </c>
      <c r="AA210" s="18">
        <f t="shared" si="34"/>
        <v>3</v>
      </c>
      <c r="AB210" s="18">
        <f t="shared" si="35"/>
        <v>0</v>
      </c>
      <c r="AC210" s="18">
        <f t="shared" si="36"/>
        <v>0</v>
      </c>
      <c r="AD210" s="18">
        <f t="shared" si="37"/>
        <v>0</v>
      </c>
      <c r="AE210" s="18">
        <f t="shared" si="42"/>
        <v>7</v>
      </c>
      <c r="AF210" s="18">
        <f t="shared" si="42"/>
        <v>10</v>
      </c>
      <c r="AG210" s="550">
        <f t="shared" si="40"/>
        <v>214</v>
      </c>
      <c r="AH210" s="42">
        <v>2</v>
      </c>
      <c r="AI210" s="42">
        <v>0</v>
      </c>
      <c r="AJ210" s="42">
        <v>0</v>
      </c>
      <c r="AK210" s="42">
        <v>0</v>
      </c>
      <c r="AL210" s="42">
        <v>0</v>
      </c>
      <c r="AM210" s="42">
        <v>0</v>
      </c>
      <c r="AN210" s="42">
        <v>0</v>
      </c>
      <c r="AO210" s="42">
        <v>2</v>
      </c>
    </row>
    <row r="211" spans="1:41" ht="24" customHeight="1">
      <c r="A211" s="11">
        <f t="shared" si="41"/>
        <v>208</v>
      </c>
      <c r="B211" s="390">
        <v>3385</v>
      </c>
      <c r="C211" s="478" t="str">
        <f>VLOOKUP(B211,All!$B$4:$S$8977,2,FALSE)</f>
        <v>ឌឿ</v>
      </c>
      <c r="D211" s="479" t="str">
        <f>VLOOKUP(B211,All!$B$4:$S$89977,3,FALSE)</f>
        <v>ស្រីស</v>
      </c>
      <c r="E211" s="478" t="str">
        <f>VLOOKUP(B211,All!$B$4:$S$8977,4,FALSE)</f>
        <v>DEU</v>
      </c>
      <c r="F211" s="479" t="str">
        <f>VLOOKUP(B211,All!$B$4:$S$8977,5,FALSE)</f>
        <v>SREYSAR</v>
      </c>
      <c r="G211" s="479" t="str">
        <f>VLOOKUP(B211,All!$B$4:$S$8977,6,FALSE)</f>
        <v>F</v>
      </c>
      <c r="H211" s="385">
        <f>VLOOKUP(B211,All!$B$4:$S$8977,7,FALSE)</f>
        <v>33729</v>
      </c>
      <c r="I211" s="154">
        <f>VLOOKUP(B211,All!$B$4:$S$8977,8,FALSE)</f>
        <v>43756</v>
      </c>
      <c r="J211" s="154" t="str">
        <f>VLOOKUP(B211,All!$B$4:$S$8977,9,FALSE)</f>
        <v>Production</v>
      </c>
      <c r="K211" s="154" t="str">
        <f>VLOOKUP(B211,All!$B$4:$S$8977,10,FALSE)</f>
        <v xml:space="preserve"> Line18</v>
      </c>
      <c r="L211" s="698" t="str">
        <f>VLOOKUP(B211,All!$B$4:$S$8977,11,FALSE)</f>
        <v>Sewing operator</v>
      </c>
      <c r="M211" s="570">
        <f>VLOOKUP(B211,All!$B$4:$S$8977,12,FALSE)</f>
        <v>192</v>
      </c>
      <c r="N211" s="18">
        <f>VLOOKUP(B211,All!$B$4:$S$8977,13,FALSE)</f>
        <v>3</v>
      </c>
      <c r="O211" s="18">
        <f>VLOOKUP(B211,All!$B$4:$S$8977,14,FALSE)</f>
        <v>0</v>
      </c>
      <c r="P211" s="18">
        <f>VLOOKUP(B211,All!$B$4:$S$8977,15,FALSE)</f>
        <v>0</v>
      </c>
      <c r="Q211" s="18">
        <f>VLOOKUP(B211,All!$B$4:$S$8977,16,FALSE)</f>
        <v>0</v>
      </c>
      <c r="R211" s="18">
        <v>7</v>
      </c>
      <c r="S211" s="18">
        <v>10</v>
      </c>
      <c r="T211" s="550">
        <f t="shared" si="38"/>
        <v>212</v>
      </c>
      <c r="U211" s="568"/>
      <c r="V211" s="3"/>
      <c r="W211" s="3"/>
      <c r="X211" s="3"/>
      <c r="Y211" s="562"/>
      <c r="Z211" s="570">
        <f t="shared" si="33"/>
        <v>194</v>
      </c>
      <c r="AA211" s="18">
        <f t="shared" si="34"/>
        <v>3</v>
      </c>
      <c r="AB211" s="18">
        <f t="shared" si="35"/>
        <v>0</v>
      </c>
      <c r="AC211" s="18">
        <f t="shared" si="36"/>
        <v>0</v>
      </c>
      <c r="AD211" s="18">
        <f t="shared" si="37"/>
        <v>0</v>
      </c>
      <c r="AE211" s="18">
        <f t="shared" si="42"/>
        <v>7</v>
      </c>
      <c r="AF211" s="18">
        <f t="shared" si="42"/>
        <v>10</v>
      </c>
      <c r="AG211" s="550">
        <f t="shared" si="40"/>
        <v>214</v>
      </c>
      <c r="AH211" s="42">
        <v>2</v>
      </c>
      <c r="AI211" s="42">
        <v>0</v>
      </c>
      <c r="AJ211" s="42">
        <v>0</v>
      </c>
      <c r="AK211" s="42">
        <v>0</v>
      </c>
      <c r="AL211" s="42">
        <v>0</v>
      </c>
      <c r="AM211" s="42">
        <v>0</v>
      </c>
      <c r="AN211" s="42">
        <v>0</v>
      </c>
      <c r="AO211" s="42">
        <v>2</v>
      </c>
    </row>
    <row r="212" spans="1:41" ht="24" customHeight="1">
      <c r="A212" s="11">
        <f t="shared" si="41"/>
        <v>209</v>
      </c>
      <c r="B212" s="390">
        <v>3399</v>
      </c>
      <c r="C212" s="478" t="str">
        <f>VLOOKUP(B212,All!$B$4:$S$8977,2,FALSE)</f>
        <v>ទូច</v>
      </c>
      <c r="D212" s="479" t="str">
        <f>VLOOKUP(B212,All!$B$4:$S$89977,3,FALSE)</f>
        <v>ប៌ុនលី</v>
      </c>
      <c r="E212" s="478" t="str">
        <f>VLOOKUP(B212,All!$B$4:$S$8977,4,FALSE)</f>
        <v>Touch</v>
      </c>
      <c r="F212" s="479" t="str">
        <f>VLOOKUP(B212,All!$B$4:$S$8977,5,FALSE)</f>
        <v>Bunly</v>
      </c>
      <c r="G212" s="479" t="str">
        <f>VLOOKUP(B212,All!$B$4:$S$8977,6,FALSE)</f>
        <v>F</v>
      </c>
      <c r="H212" s="385">
        <f>VLOOKUP(B212,All!$B$4:$S$8977,7,FALSE)</f>
        <v>27834</v>
      </c>
      <c r="I212" s="154">
        <f>VLOOKUP(B212,All!$B$4:$S$8977,8,FALSE)</f>
        <v>43760</v>
      </c>
      <c r="J212" s="154" t="str">
        <f>VLOOKUP(B212,All!$B$4:$S$8977,9,FALSE)</f>
        <v>Production</v>
      </c>
      <c r="K212" s="154" t="str">
        <f>VLOOKUP(B212,All!$B$4:$S$8977,10,FALSE)</f>
        <v xml:space="preserve"> Line15</v>
      </c>
      <c r="L212" s="698" t="str">
        <f>VLOOKUP(B212,All!$B$4:$S$8977,11,FALSE)</f>
        <v>Sewing operator</v>
      </c>
      <c r="M212" s="570">
        <f>VLOOKUP(B212,All!$B$4:$S$8977,12,FALSE)</f>
        <v>192</v>
      </c>
      <c r="N212" s="18">
        <f>VLOOKUP(B212,All!$B$4:$S$8977,13,FALSE)</f>
        <v>3</v>
      </c>
      <c r="O212" s="18">
        <f>VLOOKUP(B212,All!$B$4:$S$8977,14,FALSE)</f>
        <v>0</v>
      </c>
      <c r="P212" s="18">
        <f>VLOOKUP(B212,All!$B$4:$S$8977,15,FALSE)</f>
        <v>0</v>
      </c>
      <c r="Q212" s="18">
        <f>VLOOKUP(B212,All!$B$4:$S$8977,16,FALSE)</f>
        <v>0</v>
      </c>
      <c r="R212" s="18">
        <v>7</v>
      </c>
      <c r="S212" s="18">
        <v>10</v>
      </c>
      <c r="T212" s="550">
        <f t="shared" ref="T212:T264" si="43">SUM(M212:S212)</f>
        <v>212</v>
      </c>
      <c r="U212" s="568"/>
      <c r="V212" s="3"/>
      <c r="W212" s="3"/>
      <c r="X212" s="3"/>
      <c r="Y212" s="562"/>
      <c r="Z212" s="570">
        <f t="shared" si="33"/>
        <v>194</v>
      </c>
      <c r="AA212" s="18">
        <f t="shared" si="34"/>
        <v>3</v>
      </c>
      <c r="AB212" s="18">
        <f t="shared" si="35"/>
        <v>0</v>
      </c>
      <c r="AC212" s="18">
        <f t="shared" si="36"/>
        <v>0</v>
      </c>
      <c r="AD212" s="18">
        <f t="shared" si="37"/>
        <v>0</v>
      </c>
      <c r="AE212" s="18">
        <f t="shared" si="42"/>
        <v>7</v>
      </c>
      <c r="AF212" s="18">
        <f t="shared" si="42"/>
        <v>10</v>
      </c>
      <c r="AG212" s="550">
        <f t="shared" si="40"/>
        <v>214</v>
      </c>
      <c r="AH212" s="42">
        <v>2</v>
      </c>
      <c r="AI212" s="42">
        <v>0</v>
      </c>
      <c r="AJ212" s="42">
        <v>0</v>
      </c>
      <c r="AK212" s="42">
        <v>0</v>
      </c>
      <c r="AL212" s="42">
        <v>0</v>
      </c>
      <c r="AM212" s="42">
        <v>0</v>
      </c>
      <c r="AN212" s="42">
        <v>0</v>
      </c>
      <c r="AO212" s="42">
        <v>2</v>
      </c>
    </row>
    <row r="213" spans="1:41" ht="24" customHeight="1">
      <c r="A213" s="11">
        <f t="shared" si="41"/>
        <v>210</v>
      </c>
      <c r="B213" s="390">
        <v>3393</v>
      </c>
      <c r="C213" s="478" t="str">
        <f>VLOOKUP(B213,All!$B$4:$S$8977,2,FALSE)</f>
        <v>អ៊ុក</v>
      </c>
      <c r="D213" s="479" t="str">
        <f>VLOOKUP(B213,All!$B$4:$S$89977,3,FALSE)</f>
        <v>ភេទ</v>
      </c>
      <c r="E213" s="478" t="str">
        <f>VLOOKUP(B213,All!$B$4:$S$8977,4,FALSE)</f>
        <v>Uk</v>
      </c>
      <c r="F213" s="479" t="str">
        <f>VLOOKUP(B213,All!$B$4:$S$8977,5,FALSE)</f>
        <v>Pan</v>
      </c>
      <c r="G213" s="479" t="str">
        <f>VLOOKUP(B213,All!$B$4:$S$8977,6,FALSE)</f>
        <v>F</v>
      </c>
      <c r="H213" s="385">
        <f>VLOOKUP(B213,All!$B$4:$S$8977,7,FALSE)</f>
        <v>29952</v>
      </c>
      <c r="I213" s="154">
        <f>VLOOKUP(B213,All!$B$4:$S$8977,8,FALSE)</f>
        <v>43760</v>
      </c>
      <c r="J213" s="154" t="str">
        <f>VLOOKUP(B213,All!$B$4:$S$8977,9,FALSE)</f>
        <v>Production</v>
      </c>
      <c r="K213" s="154" t="str">
        <f>VLOOKUP(B213,All!$B$4:$S$8977,10,FALSE)</f>
        <v xml:space="preserve"> Line15</v>
      </c>
      <c r="L213" s="698" t="str">
        <f>VLOOKUP(B213,All!$B$4:$S$8977,11,FALSE)</f>
        <v>Sewing operator</v>
      </c>
      <c r="M213" s="570">
        <f>VLOOKUP(B213,All!$B$4:$S$8977,12,FALSE)</f>
        <v>192</v>
      </c>
      <c r="N213" s="18">
        <f>VLOOKUP(B213,All!$B$4:$S$8977,13,FALSE)</f>
        <v>3</v>
      </c>
      <c r="O213" s="18">
        <f>VLOOKUP(B213,All!$B$4:$S$8977,14,FALSE)</f>
        <v>0</v>
      </c>
      <c r="P213" s="18">
        <f>VLOOKUP(B213,All!$B$4:$S$8977,15,FALSE)</f>
        <v>0</v>
      </c>
      <c r="Q213" s="18">
        <f>VLOOKUP(B213,All!$B$4:$S$8977,16,FALSE)</f>
        <v>0</v>
      </c>
      <c r="R213" s="18">
        <v>7</v>
      </c>
      <c r="S213" s="18">
        <v>10</v>
      </c>
      <c r="T213" s="550">
        <f t="shared" si="43"/>
        <v>212</v>
      </c>
      <c r="U213" s="568"/>
      <c r="V213" s="3"/>
      <c r="W213" s="3"/>
      <c r="X213" s="3"/>
      <c r="Y213" s="562"/>
      <c r="Z213" s="570">
        <f t="shared" si="33"/>
        <v>194</v>
      </c>
      <c r="AA213" s="18">
        <f t="shared" si="34"/>
        <v>3</v>
      </c>
      <c r="AB213" s="18">
        <f t="shared" si="35"/>
        <v>0</v>
      </c>
      <c r="AC213" s="18">
        <f t="shared" si="36"/>
        <v>0</v>
      </c>
      <c r="AD213" s="18">
        <f t="shared" si="37"/>
        <v>0</v>
      </c>
      <c r="AE213" s="18">
        <f t="shared" si="42"/>
        <v>7</v>
      </c>
      <c r="AF213" s="18">
        <f t="shared" si="42"/>
        <v>10</v>
      </c>
      <c r="AG213" s="550">
        <f t="shared" si="40"/>
        <v>214</v>
      </c>
      <c r="AH213" s="42">
        <v>2</v>
      </c>
      <c r="AI213" s="42">
        <v>0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2</v>
      </c>
    </row>
    <row r="214" spans="1:41" ht="24" customHeight="1">
      <c r="A214" s="11">
        <f t="shared" si="41"/>
        <v>211</v>
      </c>
      <c r="B214" s="390">
        <v>3396</v>
      </c>
      <c r="C214" s="478" t="str">
        <f>VLOOKUP(B214,All!$B$4:$S$8977,2,FALSE)</f>
        <v>ស៊ឹម</v>
      </c>
      <c r="D214" s="479" t="str">
        <f>VLOOKUP(B214,All!$B$4:$S$89977,3,FALSE)</f>
        <v>បុរី</v>
      </c>
      <c r="E214" s="478" t="str">
        <f>VLOOKUP(B214,All!$B$4:$S$8977,4,FALSE)</f>
        <v>Some</v>
      </c>
      <c r="F214" s="479" t="str">
        <f>VLOOKUP(B214,All!$B$4:$S$8977,5,FALSE)</f>
        <v>Bory</v>
      </c>
      <c r="G214" s="479" t="str">
        <f>VLOOKUP(B214,All!$B$4:$S$8977,6,FALSE)</f>
        <v>F</v>
      </c>
      <c r="H214" s="385">
        <f>VLOOKUP(B214,All!$B$4:$S$8977,7,FALSE)</f>
        <v>25973</v>
      </c>
      <c r="I214" s="154">
        <f>VLOOKUP(B214,All!$B$4:$S$8977,8,FALSE)</f>
        <v>43760</v>
      </c>
      <c r="J214" s="154" t="str">
        <f>VLOOKUP(B214,All!$B$4:$S$8977,9,FALSE)</f>
        <v>Production</v>
      </c>
      <c r="K214" s="154" t="str">
        <f>VLOOKUP(B214,All!$B$4:$S$8977,10,FALSE)</f>
        <v xml:space="preserve"> Line19</v>
      </c>
      <c r="L214" s="698" t="str">
        <f>VLOOKUP(B214,All!$B$4:$S$8977,11,FALSE)</f>
        <v>Sewing operator</v>
      </c>
      <c r="M214" s="570">
        <f>VLOOKUP(B214,All!$B$4:$S$8977,12,FALSE)</f>
        <v>192</v>
      </c>
      <c r="N214" s="18">
        <f>VLOOKUP(B214,All!$B$4:$S$8977,13,FALSE)</f>
        <v>3</v>
      </c>
      <c r="O214" s="18">
        <f>VLOOKUP(B214,All!$B$4:$S$8977,14,FALSE)</f>
        <v>0</v>
      </c>
      <c r="P214" s="18">
        <f>VLOOKUP(B214,All!$B$4:$S$8977,15,FALSE)</f>
        <v>0</v>
      </c>
      <c r="Q214" s="18">
        <f>VLOOKUP(B214,All!$B$4:$S$8977,16,FALSE)</f>
        <v>0</v>
      </c>
      <c r="R214" s="18">
        <v>7</v>
      </c>
      <c r="S214" s="18">
        <v>10</v>
      </c>
      <c r="T214" s="550">
        <f t="shared" si="43"/>
        <v>212</v>
      </c>
      <c r="U214" s="568"/>
      <c r="V214" s="3"/>
      <c r="W214" s="3"/>
      <c r="X214" s="3"/>
      <c r="Y214" s="562"/>
      <c r="Z214" s="570">
        <f t="shared" si="33"/>
        <v>194</v>
      </c>
      <c r="AA214" s="18">
        <f t="shared" si="34"/>
        <v>3</v>
      </c>
      <c r="AB214" s="18">
        <f t="shared" si="35"/>
        <v>0</v>
      </c>
      <c r="AC214" s="18">
        <f t="shared" si="36"/>
        <v>0</v>
      </c>
      <c r="AD214" s="18">
        <f t="shared" si="37"/>
        <v>0</v>
      </c>
      <c r="AE214" s="18">
        <f t="shared" si="42"/>
        <v>7</v>
      </c>
      <c r="AF214" s="18">
        <f t="shared" si="42"/>
        <v>10</v>
      </c>
      <c r="AG214" s="550">
        <f t="shared" si="40"/>
        <v>214</v>
      </c>
      <c r="AH214" s="42">
        <v>2</v>
      </c>
      <c r="AI214" s="42">
        <v>0</v>
      </c>
      <c r="AJ214" s="42">
        <v>0</v>
      </c>
      <c r="AK214" s="42">
        <v>0</v>
      </c>
      <c r="AL214" s="42">
        <v>0</v>
      </c>
      <c r="AM214" s="42">
        <v>0</v>
      </c>
      <c r="AN214" s="42">
        <v>0</v>
      </c>
      <c r="AO214" s="42">
        <v>2</v>
      </c>
    </row>
    <row r="215" spans="1:41" ht="24" customHeight="1">
      <c r="A215" s="11">
        <f t="shared" si="41"/>
        <v>212</v>
      </c>
      <c r="B215" s="390">
        <v>3402</v>
      </c>
      <c r="C215" s="478" t="str">
        <f>VLOOKUP(B215,All!$B$4:$S$8977,2,FALSE)</f>
        <v>រត្ន័</v>
      </c>
      <c r="D215" s="479" t="str">
        <f>VLOOKUP(B215,All!$B$4:$S$89977,3,FALSE)</f>
        <v>ឡៃ</v>
      </c>
      <c r="E215" s="478" t="str">
        <f>VLOOKUP(B215,All!$B$4:$S$8977,4,FALSE)</f>
        <v>Rath</v>
      </c>
      <c r="F215" s="479" t="str">
        <f>VLOOKUP(B215,All!$B$4:$S$8977,5,FALSE)</f>
        <v>Lai</v>
      </c>
      <c r="G215" s="479" t="str">
        <f>VLOOKUP(B215,All!$B$4:$S$8977,6,FALSE)</f>
        <v>F</v>
      </c>
      <c r="H215" s="385">
        <f>VLOOKUP(B215,All!$B$4:$S$8977,7,FALSE)</f>
        <v>29053</v>
      </c>
      <c r="I215" s="154">
        <f>VLOOKUP(B215,All!$B$4:$S$8977,8,FALSE)</f>
        <v>43760</v>
      </c>
      <c r="J215" s="154" t="str">
        <f>VLOOKUP(B215,All!$B$4:$S$8977,9,FALSE)</f>
        <v>Production</v>
      </c>
      <c r="K215" s="154" t="str">
        <f>VLOOKUP(B215,All!$B$4:$S$8977,10,FALSE)</f>
        <v>Line9</v>
      </c>
      <c r="L215" s="698" t="str">
        <f>VLOOKUP(B215,All!$B$4:$S$8977,11,FALSE)</f>
        <v>Sewing operator</v>
      </c>
      <c r="M215" s="570">
        <f>VLOOKUP(B215,All!$B$4:$S$8977,12,FALSE)</f>
        <v>192</v>
      </c>
      <c r="N215" s="18">
        <f>VLOOKUP(B215,All!$B$4:$S$8977,13,FALSE)</f>
        <v>3</v>
      </c>
      <c r="O215" s="18">
        <f>VLOOKUP(B215,All!$B$4:$S$8977,14,FALSE)</f>
        <v>0</v>
      </c>
      <c r="P215" s="18">
        <f>VLOOKUP(B215,All!$B$4:$S$8977,15,FALSE)</f>
        <v>0</v>
      </c>
      <c r="Q215" s="18">
        <f>VLOOKUP(B215,All!$B$4:$S$8977,16,FALSE)</f>
        <v>0</v>
      </c>
      <c r="R215" s="18">
        <v>7</v>
      </c>
      <c r="S215" s="18">
        <v>10</v>
      </c>
      <c r="T215" s="550">
        <f t="shared" si="43"/>
        <v>212</v>
      </c>
      <c r="U215" s="568"/>
      <c r="V215" s="3"/>
      <c r="W215" s="3"/>
      <c r="X215" s="3"/>
      <c r="Y215" s="562"/>
      <c r="Z215" s="570">
        <f t="shared" si="33"/>
        <v>194</v>
      </c>
      <c r="AA215" s="18">
        <f t="shared" si="34"/>
        <v>3</v>
      </c>
      <c r="AB215" s="18">
        <f t="shared" si="35"/>
        <v>0</v>
      </c>
      <c r="AC215" s="18">
        <f t="shared" si="36"/>
        <v>0</v>
      </c>
      <c r="AD215" s="18">
        <f t="shared" si="37"/>
        <v>0</v>
      </c>
      <c r="AE215" s="18">
        <f t="shared" si="42"/>
        <v>7</v>
      </c>
      <c r="AF215" s="18">
        <f t="shared" si="42"/>
        <v>10</v>
      </c>
      <c r="AG215" s="550">
        <f t="shared" si="40"/>
        <v>214</v>
      </c>
      <c r="AH215" s="42">
        <v>2</v>
      </c>
      <c r="AI215" s="42">
        <v>0</v>
      </c>
      <c r="AJ215" s="42">
        <v>0</v>
      </c>
      <c r="AK215" s="42">
        <v>0</v>
      </c>
      <c r="AL215" s="42">
        <v>0</v>
      </c>
      <c r="AM215" s="42">
        <v>0</v>
      </c>
      <c r="AN215" s="42">
        <v>0</v>
      </c>
      <c r="AO215" s="42">
        <v>2</v>
      </c>
    </row>
    <row r="216" spans="1:41" ht="24" customHeight="1">
      <c r="A216" s="11">
        <f t="shared" si="41"/>
        <v>213</v>
      </c>
      <c r="B216" s="390">
        <v>3328</v>
      </c>
      <c r="C216" s="478" t="str">
        <f>VLOOKUP(B216,All!$B$4:$S$8977,2,FALSE)</f>
        <v>យូ</v>
      </c>
      <c r="D216" s="479" t="str">
        <f>VLOOKUP(B216,All!$B$4:$S$89977,3,FALSE)</f>
        <v>ស្រីលាក់</v>
      </c>
      <c r="E216" s="478" t="str">
        <f>VLOOKUP(B216,All!$B$4:$S$8977,4,FALSE)</f>
        <v>You</v>
      </c>
      <c r="F216" s="479" t="str">
        <f>VLOOKUP(B216,All!$B$4:$S$8977,5,FALSE)</f>
        <v>SreyLeak</v>
      </c>
      <c r="G216" s="479" t="str">
        <f>VLOOKUP(B216,All!$B$4:$S$8977,6,FALSE)</f>
        <v>F</v>
      </c>
      <c r="H216" s="385">
        <f>VLOOKUP(B216,All!$B$4:$S$8977,7,FALSE)</f>
        <v>34012</v>
      </c>
      <c r="I216" s="154">
        <f>VLOOKUP(B216,All!$B$4:$S$8977,8,FALSE)</f>
        <v>43746</v>
      </c>
      <c r="J216" s="154" t="str">
        <f>VLOOKUP(B216,All!$B$4:$S$8977,9,FALSE)</f>
        <v>Production</v>
      </c>
      <c r="K216" s="154" t="str">
        <f>VLOOKUP(B216,All!$B$4:$S$8977,10,FALSE)</f>
        <v>Line9</v>
      </c>
      <c r="L216" s="698" t="str">
        <f>VLOOKUP(B216,All!$B$4:$S$8977,11,FALSE)</f>
        <v>Sewing operator</v>
      </c>
      <c r="M216" s="570">
        <f>VLOOKUP(B216,All!$B$4:$S$8977,12,FALSE)</f>
        <v>192</v>
      </c>
      <c r="N216" s="18">
        <f>VLOOKUP(B216,All!$B$4:$S$8977,13,FALSE)</f>
        <v>3</v>
      </c>
      <c r="O216" s="18">
        <f>VLOOKUP(B216,All!$B$4:$S$8977,14,FALSE)</f>
        <v>0</v>
      </c>
      <c r="P216" s="18">
        <f>VLOOKUP(B216,All!$B$4:$S$8977,15,FALSE)</f>
        <v>0</v>
      </c>
      <c r="Q216" s="18">
        <f>VLOOKUP(B216,All!$B$4:$S$8977,16,FALSE)</f>
        <v>0</v>
      </c>
      <c r="R216" s="18">
        <v>7</v>
      </c>
      <c r="S216" s="18">
        <v>10</v>
      </c>
      <c r="T216" s="550">
        <f t="shared" si="43"/>
        <v>212</v>
      </c>
      <c r="U216" s="568"/>
      <c r="V216" s="3"/>
      <c r="W216" s="3"/>
      <c r="X216" s="3"/>
      <c r="Y216" s="562"/>
      <c r="Z216" s="570">
        <f t="shared" si="33"/>
        <v>194</v>
      </c>
      <c r="AA216" s="18">
        <f t="shared" si="34"/>
        <v>3</v>
      </c>
      <c r="AB216" s="18">
        <f t="shared" si="35"/>
        <v>0</v>
      </c>
      <c r="AC216" s="18">
        <f t="shared" si="36"/>
        <v>0</v>
      </c>
      <c r="AD216" s="18">
        <f t="shared" si="37"/>
        <v>0</v>
      </c>
      <c r="AE216" s="18">
        <f t="shared" si="42"/>
        <v>7</v>
      </c>
      <c r="AF216" s="18">
        <f t="shared" si="42"/>
        <v>10</v>
      </c>
      <c r="AG216" s="550">
        <f t="shared" si="40"/>
        <v>214</v>
      </c>
      <c r="AH216" s="42">
        <v>2</v>
      </c>
      <c r="AI216" s="42">
        <v>0</v>
      </c>
      <c r="AJ216" s="42">
        <v>0</v>
      </c>
      <c r="AK216" s="42">
        <v>0</v>
      </c>
      <c r="AL216" s="42">
        <v>0</v>
      </c>
      <c r="AM216" s="42">
        <v>0</v>
      </c>
      <c r="AN216" s="42">
        <v>0</v>
      </c>
      <c r="AO216" s="42">
        <v>2</v>
      </c>
    </row>
    <row r="217" spans="1:41" ht="24" customHeight="1">
      <c r="A217" s="11">
        <f t="shared" si="41"/>
        <v>214</v>
      </c>
      <c r="B217" s="390">
        <v>3126</v>
      </c>
      <c r="C217" s="478" t="str">
        <f>VLOOKUP(B217,All!$B$4:$S$8977,2,FALSE)</f>
        <v>ជូន</v>
      </c>
      <c r="D217" s="479" t="str">
        <f>VLOOKUP(B217,All!$B$4:$S$89977,3,FALSE)</f>
        <v>សំអុល</v>
      </c>
      <c r="E217" s="478" t="str">
        <f>VLOOKUP(B217,All!$B$4:$S$8977,4,FALSE)</f>
        <v>Chourn</v>
      </c>
      <c r="F217" s="479" t="str">
        <f>VLOOKUP(B217,All!$B$4:$S$8977,5,FALSE)</f>
        <v>Somol</v>
      </c>
      <c r="G217" s="479" t="str">
        <f>VLOOKUP(B217,All!$B$4:$S$8977,6,FALSE)</f>
        <v>F</v>
      </c>
      <c r="H217" s="385">
        <f>VLOOKUP(B217,All!$B$4:$S$8977,7,FALSE)</f>
        <v>30929</v>
      </c>
      <c r="I217" s="154">
        <f>VLOOKUP(B217,All!$B$4:$S$8977,8,FALSE)</f>
        <v>43742</v>
      </c>
      <c r="J217" s="154" t="str">
        <f>VLOOKUP(B217,All!$B$4:$S$8977,9,FALSE)</f>
        <v>Production</v>
      </c>
      <c r="K217" s="154" t="str">
        <f>VLOOKUP(B217,All!$B$4:$S$8977,10,FALSE)</f>
        <v xml:space="preserve"> Line2</v>
      </c>
      <c r="L217" s="698" t="str">
        <f>VLOOKUP(B217,All!$B$4:$S$8977,11,FALSE)</f>
        <v>Sewing operator</v>
      </c>
      <c r="M217" s="570">
        <f>VLOOKUP(B217,All!$B$4:$S$8977,12,FALSE)</f>
        <v>192</v>
      </c>
      <c r="N217" s="18">
        <f>VLOOKUP(B217,All!$B$4:$S$8977,13,FALSE)</f>
        <v>3</v>
      </c>
      <c r="O217" s="18">
        <f>VLOOKUP(B217,All!$B$4:$S$8977,14,FALSE)</f>
        <v>0</v>
      </c>
      <c r="P217" s="18">
        <f>VLOOKUP(B217,All!$B$4:$S$8977,15,FALSE)</f>
        <v>0</v>
      </c>
      <c r="Q217" s="18">
        <f>VLOOKUP(B217,All!$B$4:$S$8977,16,FALSE)</f>
        <v>0</v>
      </c>
      <c r="R217" s="18">
        <v>7</v>
      </c>
      <c r="S217" s="18">
        <v>10</v>
      </c>
      <c r="T217" s="550">
        <f t="shared" si="43"/>
        <v>212</v>
      </c>
      <c r="U217" s="568"/>
      <c r="V217" s="3"/>
      <c r="W217" s="3"/>
      <c r="X217" s="3"/>
      <c r="Y217" s="562"/>
      <c r="Z217" s="570">
        <f t="shared" si="33"/>
        <v>194</v>
      </c>
      <c r="AA217" s="18">
        <f t="shared" si="34"/>
        <v>3</v>
      </c>
      <c r="AB217" s="18">
        <f t="shared" si="35"/>
        <v>0</v>
      </c>
      <c r="AC217" s="18">
        <f t="shared" si="36"/>
        <v>0</v>
      </c>
      <c r="AD217" s="18">
        <f t="shared" si="37"/>
        <v>0</v>
      </c>
      <c r="AE217" s="18">
        <f t="shared" si="42"/>
        <v>7</v>
      </c>
      <c r="AF217" s="18">
        <f t="shared" si="42"/>
        <v>10</v>
      </c>
      <c r="AG217" s="550">
        <f t="shared" si="40"/>
        <v>214</v>
      </c>
      <c r="AH217" s="42">
        <v>2</v>
      </c>
      <c r="AI217" s="42">
        <v>0</v>
      </c>
      <c r="AJ217" s="42">
        <v>0</v>
      </c>
      <c r="AK217" s="42">
        <v>0</v>
      </c>
      <c r="AL217" s="42">
        <v>0</v>
      </c>
      <c r="AM217" s="42">
        <v>0</v>
      </c>
      <c r="AN217" s="42">
        <v>0</v>
      </c>
      <c r="AO217" s="42">
        <v>2</v>
      </c>
    </row>
    <row r="218" spans="1:41" ht="24" customHeight="1">
      <c r="A218" s="11">
        <f t="shared" si="41"/>
        <v>215</v>
      </c>
      <c r="B218" s="390">
        <v>3318</v>
      </c>
      <c r="C218" s="478" t="str">
        <f>VLOOKUP(B218,All!$B$4:$S$8977,2,FALSE)</f>
        <v>ភឿន</v>
      </c>
      <c r="D218" s="479" t="str">
        <f>VLOOKUP(B218,All!$B$4:$S$89977,3,FALSE)</f>
        <v>រាប</v>
      </c>
      <c r="E218" s="478" t="str">
        <f>VLOOKUP(B218,All!$B$4:$S$8977,4,FALSE)</f>
        <v>Phoreun</v>
      </c>
      <c r="F218" s="479" t="str">
        <f>VLOOKUP(B218,All!$B$4:$S$8977,5,FALSE)</f>
        <v>Reap</v>
      </c>
      <c r="G218" s="479" t="str">
        <f>VLOOKUP(B218,All!$B$4:$S$8977,6,FALSE)</f>
        <v>F</v>
      </c>
      <c r="H218" s="385">
        <f>VLOOKUP(B218,All!$B$4:$S$8977,7,FALSE)</f>
        <v>36471</v>
      </c>
      <c r="I218" s="154">
        <f>VLOOKUP(B218,All!$B$4:$S$8977,8,FALSE)</f>
        <v>43743</v>
      </c>
      <c r="J218" s="154" t="str">
        <f>VLOOKUP(B218,All!$B$4:$S$8977,9,FALSE)</f>
        <v>Production</v>
      </c>
      <c r="K218" s="154" t="str">
        <f>VLOOKUP(B218,All!$B$4:$S$8977,10,FALSE)</f>
        <v>QC  A</v>
      </c>
      <c r="L218" s="698" t="str">
        <f>VLOOKUP(B218,All!$B$4:$S$8977,11,FALSE)</f>
        <v>Inspector</v>
      </c>
      <c r="M218" s="570">
        <f>VLOOKUP(B218,All!$B$4:$S$8977,12,FALSE)</f>
        <v>192</v>
      </c>
      <c r="N218" s="18">
        <f>VLOOKUP(B218,All!$B$4:$S$8977,13,FALSE)</f>
        <v>3</v>
      </c>
      <c r="O218" s="18">
        <f>VLOOKUP(B218,All!$B$4:$S$8977,14,FALSE)</f>
        <v>0</v>
      </c>
      <c r="P218" s="18">
        <f>VLOOKUP(B218,All!$B$4:$S$8977,15,FALSE)</f>
        <v>0</v>
      </c>
      <c r="Q218" s="18">
        <f>VLOOKUP(B218,All!$B$4:$S$8977,16,FALSE)</f>
        <v>0</v>
      </c>
      <c r="R218" s="18">
        <v>7</v>
      </c>
      <c r="S218" s="18">
        <v>10</v>
      </c>
      <c r="T218" s="550">
        <f t="shared" si="43"/>
        <v>212</v>
      </c>
      <c r="U218" s="568"/>
      <c r="V218" s="3"/>
      <c r="W218" s="3"/>
      <c r="X218" s="3"/>
      <c r="Y218" s="562"/>
      <c r="Z218" s="570">
        <f t="shared" si="33"/>
        <v>194</v>
      </c>
      <c r="AA218" s="18">
        <f t="shared" si="34"/>
        <v>3</v>
      </c>
      <c r="AB218" s="18">
        <f t="shared" si="35"/>
        <v>0</v>
      </c>
      <c r="AC218" s="18">
        <f t="shared" si="36"/>
        <v>0</v>
      </c>
      <c r="AD218" s="18">
        <f t="shared" si="37"/>
        <v>0</v>
      </c>
      <c r="AE218" s="18">
        <f t="shared" si="42"/>
        <v>7</v>
      </c>
      <c r="AF218" s="18">
        <f t="shared" si="42"/>
        <v>10</v>
      </c>
      <c r="AG218" s="550">
        <f t="shared" si="40"/>
        <v>214</v>
      </c>
      <c r="AH218" s="42">
        <v>2</v>
      </c>
      <c r="AI218" s="42">
        <v>0</v>
      </c>
      <c r="AJ218" s="42">
        <v>0</v>
      </c>
      <c r="AK218" s="42">
        <v>0</v>
      </c>
      <c r="AL218" s="42">
        <v>0</v>
      </c>
      <c r="AM218" s="42">
        <v>0</v>
      </c>
      <c r="AN218" s="42">
        <v>0</v>
      </c>
      <c r="AO218" s="42">
        <v>2</v>
      </c>
    </row>
    <row r="219" spans="1:41" ht="24" customHeight="1">
      <c r="A219" s="11">
        <f t="shared" si="41"/>
        <v>216</v>
      </c>
      <c r="B219" s="390">
        <v>3365</v>
      </c>
      <c r="C219" s="478" t="str">
        <f>VLOOKUP(B219,All!$B$4:$S$8977,2,FALSE)</f>
        <v>សុ៍យ</v>
      </c>
      <c r="D219" s="479" t="str">
        <f>VLOOKUP(B219,All!$B$4:$S$89977,3,FALSE)</f>
        <v>លាង</v>
      </c>
      <c r="E219" s="478" t="str">
        <f>VLOOKUP(B219,All!$B$4:$S$8977,4,FALSE)</f>
        <v>Suy</v>
      </c>
      <c r="F219" s="479" t="str">
        <f>VLOOKUP(B219,All!$B$4:$S$8977,5,FALSE)</f>
        <v>Leang</v>
      </c>
      <c r="G219" s="479" t="str">
        <f>VLOOKUP(B219,All!$B$4:$S$8977,6,FALSE)</f>
        <v>F</v>
      </c>
      <c r="H219" s="385">
        <f>VLOOKUP(B219,All!$B$4:$S$8977,7,FALSE)</f>
        <v>33637</v>
      </c>
      <c r="I219" s="154">
        <f>VLOOKUP(B219,All!$B$4:$S$8977,8,FALSE)</f>
        <v>43755</v>
      </c>
      <c r="J219" s="154" t="str">
        <f>VLOOKUP(B219,All!$B$4:$S$8977,9,FALSE)</f>
        <v>Production</v>
      </c>
      <c r="K219" s="154" t="str">
        <f>VLOOKUP(B219,All!$B$4:$S$8977,10,FALSE)</f>
        <v>Line20</v>
      </c>
      <c r="L219" s="698" t="str">
        <f>VLOOKUP(B219,All!$B$4:$S$8977,11,FALSE)</f>
        <v>Sewing operator</v>
      </c>
      <c r="M219" s="570">
        <f>VLOOKUP(B219,All!$B$4:$S$8977,12,FALSE)</f>
        <v>192</v>
      </c>
      <c r="N219" s="18">
        <f>VLOOKUP(B219,All!$B$4:$S$8977,13,FALSE)</f>
        <v>3</v>
      </c>
      <c r="O219" s="18">
        <f>VLOOKUP(B219,All!$B$4:$S$8977,14,FALSE)</f>
        <v>0</v>
      </c>
      <c r="P219" s="18">
        <f>VLOOKUP(B219,All!$B$4:$S$8977,15,FALSE)</f>
        <v>0</v>
      </c>
      <c r="Q219" s="18">
        <f>VLOOKUP(B219,All!$B$4:$S$8977,16,FALSE)</f>
        <v>0</v>
      </c>
      <c r="R219" s="18">
        <v>7</v>
      </c>
      <c r="S219" s="18">
        <v>10</v>
      </c>
      <c r="T219" s="550">
        <f t="shared" si="43"/>
        <v>212</v>
      </c>
      <c r="U219" s="568"/>
      <c r="V219" s="3"/>
      <c r="W219" s="3"/>
      <c r="X219" s="3"/>
      <c r="Y219" s="562"/>
      <c r="Z219" s="570">
        <f t="shared" si="33"/>
        <v>194</v>
      </c>
      <c r="AA219" s="18">
        <f t="shared" si="34"/>
        <v>3</v>
      </c>
      <c r="AB219" s="18">
        <f t="shared" si="35"/>
        <v>0</v>
      </c>
      <c r="AC219" s="18">
        <f t="shared" si="36"/>
        <v>0</v>
      </c>
      <c r="AD219" s="18">
        <f t="shared" si="37"/>
        <v>0</v>
      </c>
      <c r="AE219" s="18">
        <f t="shared" si="42"/>
        <v>7</v>
      </c>
      <c r="AF219" s="18">
        <f t="shared" si="42"/>
        <v>10</v>
      </c>
      <c r="AG219" s="550">
        <f t="shared" si="40"/>
        <v>214</v>
      </c>
      <c r="AH219" s="42">
        <v>2</v>
      </c>
      <c r="AI219" s="42">
        <v>0</v>
      </c>
      <c r="AJ219" s="42">
        <v>0</v>
      </c>
      <c r="AK219" s="42">
        <v>0</v>
      </c>
      <c r="AL219" s="42">
        <v>0</v>
      </c>
      <c r="AM219" s="42">
        <v>0</v>
      </c>
      <c r="AN219" s="42">
        <v>0</v>
      </c>
      <c r="AO219" s="42">
        <v>2</v>
      </c>
    </row>
    <row r="220" spans="1:41" ht="24" customHeight="1">
      <c r="A220" s="11">
        <f t="shared" si="41"/>
        <v>217</v>
      </c>
      <c r="B220" s="390">
        <v>3377</v>
      </c>
      <c r="C220" s="478" t="str">
        <f>VLOOKUP(B220,All!$B$4:$S$8977,2,FALSE)</f>
        <v>ផេង</v>
      </c>
      <c r="D220" s="479" t="str">
        <f>VLOOKUP(B220,All!$B$4:$S$89977,3,FALSE)</f>
        <v>សាខន</v>
      </c>
      <c r="E220" s="478" t="str">
        <f>VLOOKUP(B220,All!$B$4:$S$8977,4,FALSE)</f>
        <v>Pheng</v>
      </c>
      <c r="F220" s="479" t="str">
        <f>VLOOKUP(B220,All!$B$4:$S$8977,5,FALSE)</f>
        <v>Sakhon</v>
      </c>
      <c r="G220" s="479" t="str">
        <f>VLOOKUP(B220,All!$B$4:$S$8977,6,FALSE)</f>
        <v>F</v>
      </c>
      <c r="H220" s="385">
        <f>VLOOKUP(B220,All!$B$4:$S$8977,7,FALSE)</f>
        <v>31419</v>
      </c>
      <c r="I220" s="154">
        <f>VLOOKUP(B220,All!$B$4:$S$8977,8,FALSE)</f>
        <v>43755</v>
      </c>
      <c r="J220" s="154" t="str">
        <f>VLOOKUP(B220,All!$B$4:$S$8977,9,FALSE)</f>
        <v>Production</v>
      </c>
      <c r="K220" s="154" t="str">
        <f>VLOOKUP(B220,All!$B$4:$S$8977,10,FALSE)</f>
        <v xml:space="preserve"> Line18</v>
      </c>
      <c r="L220" s="698" t="str">
        <f>VLOOKUP(B220,All!$B$4:$S$8977,11,FALSE)</f>
        <v>Sewing operator</v>
      </c>
      <c r="M220" s="570">
        <f>VLOOKUP(B220,All!$B$4:$S$8977,12,FALSE)</f>
        <v>192</v>
      </c>
      <c r="N220" s="18">
        <f>VLOOKUP(B220,All!$B$4:$S$8977,13,FALSE)</f>
        <v>3</v>
      </c>
      <c r="O220" s="18">
        <f>VLOOKUP(B220,All!$B$4:$S$8977,14,FALSE)</f>
        <v>0</v>
      </c>
      <c r="P220" s="18">
        <f>VLOOKUP(B220,All!$B$4:$S$8977,15,FALSE)</f>
        <v>0</v>
      </c>
      <c r="Q220" s="18">
        <f>VLOOKUP(B220,All!$B$4:$S$8977,16,FALSE)</f>
        <v>0</v>
      </c>
      <c r="R220" s="18">
        <v>7</v>
      </c>
      <c r="S220" s="18">
        <v>10</v>
      </c>
      <c r="T220" s="550">
        <f t="shared" si="43"/>
        <v>212</v>
      </c>
      <c r="U220" s="568"/>
      <c r="V220" s="3"/>
      <c r="W220" s="3"/>
      <c r="X220" s="3"/>
      <c r="Y220" s="562"/>
      <c r="Z220" s="570">
        <f t="shared" si="33"/>
        <v>194</v>
      </c>
      <c r="AA220" s="18">
        <f t="shared" si="34"/>
        <v>3</v>
      </c>
      <c r="AB220" s="18">
        <f t="shared" si="35"/>
        <v>0</v>
      </c>
      <c r="AC220" s="18">
        <f t="shared" si="36"/>
        <v>0</v>
      </c>
      <c r="AD220" s="18">
        <f t="shared" si="37"/>
        <v>0</v>
      </c>
      <c r="AE220" s="18">
        <f t="shared" si="42"/>
        <v>7</v>
      </c>
      <c r="AF220" s="18">
        <f t="shared" si="42"/>
        <v>10</v>
      </c>
      <c r="AG220" s="550">
        <f t="shared" si="40"/>
        <v>214</v>
      </c>
      <c r="AH220" s="42">
        <v>2</v>
      </c>
      <c r="AI220" s="42">
        <v>0</v>
      </c>
      <c r="AJ220" s="42">
        <v>0</v>
      </c>
      <c r="AK220" s="42">
        <v>0</v>
      </c>
      <c r="AL220" s="42">
        <v>0</v>
      </c>
      <c r="AM220" s="42">
        <v>0</v>
      </c>
      <c r="AN220" s="42">
        <v>0</v>
      </c>
      <c r="AO220" s="42">
        <v>2</v>
      </c>
    </row>
    <row r="221" spans="1:41" ht="24" customHeight="1">
      <c r="A221" s="11">
        <f t="shared" si="41"/>
        <v>218</v>
      </c>
      <c r="B221" s="390">
        <v>3415</v>
      </c>
      <c r="C221" s="478" t="str">
        <f>VLOOKUP(B221,All!$B$4:$S$8977,2,FALSE)</f>
        <v>ម៉ៅ</v>
      </c>
      <c r="D221" s="479" t="str">
        <f>VLOOKUP(B221,All!$B$4:$S$89977,3,FALSE)</f>
        <v>សុណៃ</v>
      </c>
      <c r="E221" s="478" t="str">
        <f>VLOOKUP(B221,All!$B$4:$S$8977,4,FALSE)</f>
        <v>MAO</v>
      </c>
      <c r="F221" s="479" t="str">
        <f>VLOOKUP(B221,All!$B$4:$S$8977,5,FALSE)</f>
        <v>SONAI</v>
      </c>
      <c r="G221" s="479" t="str">
        <f>VLOOKUP(B221,All!$B$4:$S$8977,6,FALSE)</f>
        <v>F</v>
      </c>
      <c r="H221" s="385">
        <f>VLOOKUP(B221,All!$B$4:$S$8977,7,FALSE)</f>
        <v>36990</v>
      </c>
      <c r="I221" s="154">
        <f>VLOOKUP(B221,All!$B$4:$S$8977,8,FALSE)</f>
        <v>43765</v>
      </c>
      <c r="J221" s="154" t="str">
        <f>VLOOKUP(B221,All!$B$4:$S$8977,9,FALSE)</f>
        <v>Production</v>
      </c>
      <c r="K221" s="154" t="str">
        <f>VLOOKUP(B221,All!$B$4:$S$8977,10,FALSE)</f>
        <v>QC  A</v>
      </c>
      <c r="L221" s="698" t="str">
        <f>VLOOKUP(B221,All!$B$4:$S$8977,11,FALSE)</f>
        <v>Inspector</v>
      </c>
      <c r="M221" s="570">
        <f>VLOOKUP(B221,All!$B$4:$S$8977,12,FALSE)</f>
        <v>192</v>
      </c>
      <c r="N221" s="18">
        <f>VLOOKUP(B221,All!$B$4:$S$8977,13,FALSE)</f>
        <v>3</v>
      </c>
      <c r="O221" s="18">
        <f>VLOOKUP(B221,All!$B$4:$S$8977,14,FALSE)</f>
        <v>0</v>
      </c>
      <c r="P221" s="18">
        <f>VLOOKUP(B221,All!$B$4:$S$8977,15,FALSE)</f>
        <v>0</v>
      </c>
      <c r="Q221" s="18">
        <f>VLOOKUP(B221,All!$B$4:$S$8977,16,FALSE)</f>
        <v>0</v>
      </c>
      <c r="R221" s="18">
        <v>7</v>
      </c>
      <c r="S221" s="18">
        <v>10</v>
      </c>
      <c r="T221" s="550">
        <f t="shared" si="43"/>
        <v>212</v>
      </c>
      <c r="U221" s="568"/>
      <c r="V221" s="3"/>
      <c r="W221" s="3"/>
      <c r="X221" s="3"/>
      <c r="Y221" s="562"/>
      <c r="Z221" s="570">
        <f t="shared" si="33"/>
        <v>194</v>
      </c>
      <c r="AA221" s="18">
        <f t="shared" si="34"/>
        <v>3</v>
      </c>
      <c r="AB221" s="18">
        <f t="shared" si="35"/>
        <v>0</v>
      </c>
      <c r="AC221" s="18">
        <f t="shared" si="36"/>
        <v>0</v>
      </c>
      <c r="AD221" s="18">
        <f t="shared" si="37"/>
        <v>0</v>
      </c>
      <c r="AE221" s="18">
        <f t="shared" si="42"/>
        <v>7</v>
      </c>
      <c r="AF221" s="18">
        <f t="shared" si="42"/>
        <v>10</v>
      </c>
      <c r="AG221" s="550">
        <f t="shared" si="40"/>
        <v>214</v>
      </c>
      <c r="AH221" s="42">
        <v>2</v>
      </c>
      <c r="AI221" s="42">
        <v>0</v>
      </c>
      <c r="AJ221" s="42">
        <v>0</v>
      </c>
      <c r="AK221" s="42">
        <v>0</v>
      </c>
      <c r="AL221" s="42">
        <v>0</v>
      </c>
      <c r="AM221" s="42">
        <v>0</v>
      </c>
      <c r="AN221" s="42">
        <v>0</v>
      </c>
      <c r="AO221" s="42">
        <v>2</v>
      </c>
    </row>
    <row r="222" spans="1:41" ht="24" customHeight="1">
      <c r="A222" s="11">
        <f t="shared" si="41"/>
        <v>219</v>
      </c>
      <c r="B222" s="390">
        <v>3412</v>
      </c>
      <c r="C222" s="478" t="str">
        <f>VLOOKUP(B222,All!$B$4:$S$8977,2,FALSE)</f>
        <v>សុខ</v>
      </c>
      <c r="D222" s="479" t="str">
        <f>VLOOKUP(B222,All!$B$4:$S$89977,3,FALSE)</f>
        <v>សាមី</v>
      </c>
      <c r="E222" s="478" t="str">
        <f>VLOOKUP(B222,All!$B$4:$S$8977,4,FALSE)</f>
        <v>SOK</v>
      </c>
      <c r="F222" s="479" t="str">
        <f>VLOOKUP(B222,All!$B$4:$S$8977,5,FALSE)</f>
        <v>SAMEY</v>
      </c>
      <c r="G222" s="479" t="str">
        <f>VLOOKUP(B222,All!$B$4:$S$8977,6,FALSE)</f>
        <v>F</v>
      </c>
      <c r="H222" s="385">
        <f>VLOOKUP(B222,All!$B$4:$S$8977,7,FALSE)</f>
        <v>30198</v>
      </c>
      <c r="I222" s="154">
        <f>VLOOKUP(B222,All!$B$4:$S$8977,8,FALSE)</f>
        <v>43763</v>
      </c>
      <c r="J222" s="154" t="str">
        <f>VLOOKUP(B222,All!$B$4:$S$8977,9,FALSE)</f>
        <v>Production</v>
      </c>
      <c r="K222" s="154" t="str">
        <f>VLOOKUP(B222,All!$B$4:$S$8977,10,FALSE)</f>
        <v xml:space="preserve"> Line19</v>
      </c>
      <c r="L222" s="698" t="str">
        <f>VLOOKUP(B222,All!$B$4:$S$8977,11,FALSE)</f>
        <v>Sewing operator</v>
      </c>
      <c r="M222" s="570">
        <f>VLOOKUP(B222,All!$B$4:$S$8977,12,FALSE)</f>
        <v>192</v>
      </c>
      <c r="N222" s="18">
        <f>VLOOKUP(B222,All!$B$4:$S$8977,13,FALSE)</f>
        <v>3</v>
      </c>
      <c r="O222" s="18">
        <f>VLOOKUP(B222,All!$B$4:$S$8977,14,FALSE)</f>
        <v>0</v>
      </c>
      <c r="P222" s="18">
        <f>VLOOKUP(B222,All!$B$4:$S$8977,15,FALSE)</f>
        <v>0</v>
      </c>
      <c r="Q222" s="18">
        <f>VLOOKUP(B222,All!$B$4:$S$8977,16,FALSE)</f>
        <v>0</v>
      </c>
      <c r="R222" s="18">
        <v>7</v>
      </c>
      <c r="S222" s="18">
        <v>10</v>
      </c>
      <c r="T222" s="550">
        <f t="shared" si="43"/>
        <v>212</v>
      </c>
      <c r="U222" s="568"/>
      <c r="V222" s="3"/>
      <c r="W222" s="3"/>
      <c r="X222" s="3"/>
      <c r="Y222" s="562"/>
      <c r="Z222" s="570">
        <f t="shared" ref="Z222:Z281" si="44">M222+AH222</f>
        <v>194</v>
      </c>
      <c r="AA222" s="18">
        <f t="shared" ref="AA222:AA281" si="45">N222</f>
        <v>3</v>
      </c>
      <c r="AB222" s="18">
        <f t="shared" ref="AB222:AB281" si="46">O222</f>
        <v>0</v>
      </c>
      <c r="AC222" s="18">
        <f t="shared" ref="AC222:AC281" si="47">P222</f>
        <v>0</v>
      </c>
      <c r="AD222" s="18">
        <f t="shared" ref="AD222:AD281" si="48">Q222</f>
        <v>0</v>
      </c>
      <c r="AE222" s="18">
        <f t="shared" si="42"/>
        <v>7</v>
      </c>
      <c r="AF222" s="18">
        <f t="shared" si="42"/>
        <v>10</v>
      </c>
      <c r="AG222" s="550">
        <f t="shared" si="40"/>
        <v>214</v>
      </c>
      <c r="AH222" s="42">
        <v>2</v>
      </c>
      <c r="AI222" s="42">
        <v>0</v>
      </c>
      <c r="AJ222" s="42">
        <v>0</v>
      </c>
      <c r="AK222" s="42">
        <v>0</v>
      </c>
      <c r="AL222" s="42">
        <v>0</v>
      </c>
      <c r="AM222" s="42">
        <v>0</v>
      </c>
      <c r="AN222" s="42">
        <v>0</v>
      </c>
      <c r="AO222" s="42">
        <v>2</v>
      </c>
    </row>
    <row r="223" spans="1:41" ht="24" customHeight="1">
      <c r="A223" s="11">
        <f t="shared" si="41"/>
        <v>220</v>
      </c>
      <c r="B223" s="390">
        <v>3397</v>
      </c>
      <c r="C223" s="478" t="str">
        <f>VLOOKUP(B223,All!$B$4:$S$8977,2,FALSE)</f>
        <v>សំ</v>
      </c>
      <c r="D223" s="479" t="str">
        <f>VLOOKUP(B223,All!$B$4:$S$89977,3,FALSE)</f>
        <v>សុខុម</v>
      </c>
      <c r="E223" s="478" t="str">
        <f>VLOOKUP(B223,All!$B$4:$S$8977,4,FALSE)</f>
        <v>SAM</v>
      </c>
      <c r="F223" s="479" t="str">
        <f>VLOOKUP(B223,All!$B$4:$S$8977,5,FALSE)</f>
        <v>SOKHOM</v>
      </c>
      <c r="G223" s="479" t="str">
        <f>VLOOKUP(B223,All!$B$4:$S$8977,6,FALSE)</f>
        <v>F</v>
      </c>
      <c r="H223" s="385">
        <f>VLOOKUP(B223,All!$B$4:$S$8977,7,FALSE)</f>
        <v>30788</v>
      </c>
      <c r="I223" s="154">
        <f>VLOOKUP(B223,All!$B$4:$S$8977,8,FALSE)</f>
        <v>43760</v>
      </c>
      <c r="J223" s="154" t="str">
        <f>VLOOKUP(B223,All!$B$4:$S$8977,9,FALSE)</f>
        <v>Production</v>
      </c>
      <c r="K223" s="154" t="str">
        <f>VLOOKUP(B223,All!$B$4:$S$8977,10,FALSE)</f>
        <v xml:space="preserve"> Line19</v>
      </c>
      <c r="L223" s="698" t="str">
        <f>VLOOKUP(B223,All!$B$4:$S$8977,11,FALSE)</f>
        <v>Sewing operator</v>
      </c>
      <c r="M223" s="570">
        <f>VLOOKUP(B223,All!$B$4:$S$8977,12,FALSE)</f>
        <v>192</v>
      </c>
      <c r="N223" s="18">
        <f>VLOOKUP(B223,All!$B$4:$S$8977,13,FALSE)</f>
        <v>3</v>
      </c>
      <c r="O223" s="18">
        <f>VLOOKUP(B223,All!$B$4:$S$8977,14,FALSE)</f>
        <v>0</v>
      </c>
      <c r="P223" s="18">
        <f>VLOOKUP(B223,All!$B$4:$S$8977,15,FALSE)</f>
        <v>0</v>
      </c>
      <c r="Q223" s="18">
        <f>VLOOKUP(B223,All!$B$4:$S$8977,16,FALSE)</f>
        <v>0</v>
      </c>
      <c r="R223" s="18">
        <v>7</v>
      </c>
      <c r="S223" s="18">
        <v>10</v>
      </c>
      <c r="T223" s="550">
        <f t="shared" si="43"/>
        <v>212</v>
      </c>
      <c r="U223" s="568"/>
      <c r="V223" s="3"/>
      <c r="W223" s="3"/>
      <c r="X223" s="3"/>
      <c r="Y223" s="562"/>
      <c r="Z223" s="570">
        <f t="shared" si="44"/>
        <v>194</v>
      </c>
      <c r="AA223" s="18">
        <f t="shared" si="45"/>
        <v>3</v>
      </c>
      <c r="AB223" s="18">
        <f t="shared" si="46"/>
        <v>0</v>
      </c>
      <c r="AC223" s="18">
        <f t="shared" si="47"/>
        <v>0</v>
      </c>
      <c r="AD223" s="18">
        <f t="shared" si="48"/>
        <v>0</v>
      </c>
      <c r="AE223" s="18">
        <f t="shared" si="42"/>
        <v>7</v>
      </c>
      <c r="AF223" s="18">
        <f t="shared" si="42"/>
        <v>10</v>
      </c>
      <c r="AG223" s="550">
        <f t="shared" si="40"/>
        <v>214</v>
      </c>
      <c r="AH223" s="42">
        <v>2</v>
      </c>
      <c r="AI223" s="42">
        <v>0</v>
      </c>
      <c r="AJ223" s="42">
        <v>0</v>
      </c>
      <c r="AK223" s="42">
        <v>0</v>
      </c>
      <c r="AL223" s="42">
        <v>0</v>
      </c>
      <c r="AM223" s="42">
        <v>0</v>
      </c>
      <c r="AN223" s="42">
        <v>0</v>
      </c>
      <c r="AO223" s="42">
        <v>2</v>
      </c>
    </row>
    <row r="224" spans="1:41" ht="24" customHeight="1">
      <c r="A224" s="11">
        <f t="shared" si="41"/>
        <v>221</v>
      </c>
      <c r="B224" s="390">
        <v>3406</v>
      </c>
      <c r="C224" s="478" t="str">
        <f>VLOOKUP(B224,All!$B$4:$S$8977,2,FALSE)</f>
        <v>ប៊ុន</v>
      </c>
      <c r="D224" s="479" t="str">
        <f>VLOOKUP(B224,All!$B$4:$S$89977,3,FALSE)</f>
        <v>ចិន្តា</v>
      </c>
      <c r="E224" s="478" t="str">
        <f>VLOOKUP(B224,All!$B$4:$S$8977,4,FALSE)</f>
        <v>BUN</v>
      </c>
      <c r="F224" s="479" t="str">
        <f>VLOOKUP(B224,All!$B$4:$S$8977,5,FALSE)</f>
        <v>CHENDA</v>
      </c>
      <c r="G224" s="479" t="str">
        <f>VLOOKUP(B224,All!$B$4:$S$8977,6,FALSE)</f>
        <v>F</v>
      </c>
      <c r="H224" s="385">
        <f>VLOOKUP(B224,All!$B$4:$S$8977,7,FALSE)</f>
        <v>30867</v>
      </c>
      <c r="I224" s="154">
        <f>VLOOKUP(B224,All!$B$4:$S$8977,8,FALSE)</f>
        <v>43760</v>
      </c>
      <c r="J224" s="154" t="str">
        <f>VLOOKUP(B224,All!$B$4:$S$8977,9,FALSE)</f>
        <v>Production</v>
      </c>
      <c r="K224" s="154" t="str">
        <f>VLOOKUP(B224,All!$B$4:$S$8977,10,FALSE)</f>
        <v xml:space="preserve"> Line18</v>
      </c>
      <c r="L224" s="698" t="str">
        <f>VLOOKUP(B224,All!$B$4:$S$8977,11,FALSE)</f>
        <v>Sewing operator</v>
      </c>
      <c r="M224" s="570">
        <f>VLOOKUP(B224,All!$B$4:$S$8977,12,FALSE)</f>
        <v>192</v>
      </c>
      <c r="N224" s="18">
        <f>VLOOKUP(B224,All!$B$4:$S$8977,13,FALSE)</f>
        <v>3</v>
      </c>
      <c r="O224" s="18">
        <f>VLOOKUP(B224,All!$B$4:$S$8977,14,FALSE)</f>
        <v>0</v>
      </c>
      <c r="P224" s="18">
        <f>VLOOKUP(B224,All!$B$4:$S$8977,15,FALSE)</f>
        <v>0</v>
      </c>
      <c r="Q224" s="18">
        <f>VLOOKUP(B224,All!$B$4:$S$8977,16,FALSE)</f>
        <v>0</v>
      </c>
      <c r="R224" s="18">
        <v>7</v>
      </c>
      <c r="S224" s="18">
        <v>10</v>
      </c>
      <c r="T224" s="550">
        <f t="shared" si="43"/>
        <v>212</v>
      </c>
      <c r="U224" s="568"/>
      <c r="V224" s="3"/>
      <c r="W224" s="3"/>
      <c r="X224" s="3"/>
      <c r="Y224" s="562"/>
      <c r="Z224" s="570">
        <f t="shared" si="44"/>
        <v>194</v>
      </c>
      <c r="AA224" s="18">
        <f t="shared" si="45"/>
        <v>3</v>
      </c>
      <c r="AB224" s="18">
        <f t="shared" si="46"/>
        <v>0</v>
      </c>
      <c r="AC224" s="18">
        <f t="shared" si="47"/>
        <v>0</v>
      </c>
      <c r="AD224" s="18">
        <f t="shared" si="48"/>
        <v>0</v>
      </c>
      <c r="AE224" s="18">
        <f t="shared" si="42"/>
        <v>7</v>
      </c>
      <c r="AF224" s="18">
        <f t="shared" si="42"/>
        <v>10</v>
      </c>
      <c r="AG224" s="550">
        <f t="shared" si="40"/>
        <v>214</v>
      </c>
      <c r="AH224" s="42">
        <v>2</v>
      </c>
      <c r="AI224" s="42">
        <v>0</v>
      </c>
      <c r="AJ224" s="42">
        <v>0</v>
      </c>
      <c r="AK224" s="42">
        <v>0</v>
      </c>
      <c r="AL224" s="42">
        <v>0</v>
      </c>
      <c r="AM224" s="42">
        <v>0</v>
      </c>
      <c r="AN224" s="42">
        <v>0</v>
      </c>
      <c r="AO224" s="42">
        <v>2</v>
      </c>
    </row>
    <row r="225" spans="1:41" ht="24" customHeight="1">
      <c r="A225" s="11">
        <f t="shared" si="41"/>
        <v>222</v>
      </c>
      <c r="B225" s="390">
        <v>3394</v>
      </c>
      <c r="C225" s="478" t="str">
        <f>VLOOKUP(B225,All!$B$4:$S$8977,2,FALSE)</f>
        <v>វន</v>
      </c>
      <c r="D225" s="479" t="str">
        <f>VLOOKUP(B225,All!$B$4:$S$89977,3,FALSE)</f>
        <v>សារុត</v>
      </c>
      <c r="E225" s="478" t="str">
        <f>VLOOKUP(B225,All!$B$4:$S$8977,4,FALSE)</f>
        <v>VORN</v>
      </c>
      <c r="F225" s="479" t="str">
        <f>VLOOKUP(B225,All!$B$4:$S$8977,5,FALSE)</f>
        <v>SARUT</v>
      </c>
      <c r="G225" s="479" t="str">
        <f>VLOOKUP(B225,All!$B$4:$S$8977,6,FALSE)</f>
        <v>F</v>
      </c>
      <c r="H225" s="385">
        <f>VLOOKUP(B225,All!$B$4:$S$8977,7,FALSE)</f>
        <v>27852</v>
      </c>
      <c r="I225" s="154">
        <f>VLOOKUP(B225,All!$B$4:$S$8977,8,FALSE)</f>
        <v>43760</v>
      </c>
      <c r="J225" s="154" t="str">
        <f>VLOOKUP(B225,All!$B$4:$S$8977,9,FALSE)</f>
        <v>Production</v>
      </c>
      <c r="K225" s="154" t="str">
        <f>VLOOKUP(B225,All!$B$4:$S$8977,10,FALSE)</f>
        <v xml:space="preserve"> Line15</v>
      </c>
      <c r="L225" s="698" t="str">
        <f>VLOOKUP(B225,All!$B$4:$S$8977,11,FALSE)</f>
        <v>Sewing operator</v>
      </c>
      <c r="M225" s="570">
        <f>VLOOKUP(B225,All!$B$4:$S$8977,12,FALSE)</f>
        <v>192</v>
      </c>
      <c r="N225" s="18">
        <f>VLOOKUP(B225,All!$B$4:$S$8977,13,FALSE)</f>
        <v>3</v>
      </c>
      <c r="O225" s="18">
        <f>VLOOKUP(B225,All!$B$4:$S$8977,14,FALSE)</f>
        <v>0</v>
      </c>
      <c r="P225" s="18">
        <f>VLOOKUP(B225,All!$B$4:$S$8977,15,FALSE)</f>
        <v>0</v>
      </c>
      <c r="Q225" s="18">
        <f>VLOOKUP(B225,All!$B$4:$S$8977,16,FALSE)</f>
        <v>0</v>
      </c>
      <c r="R225" s="18">
        <v>7</v>
      </c>
      <c r="S225" s="18">
        <v>10</v>
      </c>
      <c r="T225" s="550">
        <f t="shared" si="43"/>
        <v>212</v>
      </c>
      <c r="U225" s="568"/>
      <c r="V225" s="3"/>
      <c r="W225" s="3"/>
      <c r="X225" s="3"/>
      <c r="Y225" s="562"/>
      <c r="Z225" s="570">
        <f t="shared" si="44"/>
        <v>194</v>
      </c>
      <c r="AA225" s="18">
        <f t="shared" si="45"/>
        <v>3</v>
      </c>
      <c r="AB225" s="18">
        <f t="shared" si="46"/>
        <v>0</v>
      </c>
      <c r="AC225" s="18">
        <f t="shared" si="47"/>
        <v>0</v>
      </c>
      <c r="AD225" s="18">
        <f t="shared" si="48"/>
        <v>0</v>
      </c>
      <c r="AE225" s="18">
        <f t="shared" si="42"/>
        <v>7</v>
      </c>
      <c r="AF225" s="18">
        <f t="shared" si="42"/>
        <v>10</v>
      </c>
      <c r="AG225" s="550">
        <f t="shared" si="40"/>
        <v>214</v>
      </c>
      <c r="AH225" s="42">
        <v>2</v>
      </c>
      <c r="AI225" s="42">
        <v>0</v>
      </c>
      <c r="AJ225" s="42">
        <v>0</v>
      </c>
      <c r="AK225" s="42">
        <v>0</v>
      </c>
      <c r="AL225" s="42">
        <v>0</v>
      </c>
      <c r="AM225" s="42">
        <v>0</v>
      </c>
      <c r="AN225" s="42">
        <v>0</v>
      </c>
      <c r="AO225" s="42">
        <v>2</v>
      </c>
    </row>
    <row r="226" spans="1:41" ht="24" customHeight="1">
      <c r="A226" s="11">
        <f t="shared" si="41"/>
        <v>223</v>
      </c>
      <c r="B226" s="390">
        <v>3411</v>
      </c>
      <c r="C226" s="478" t="str">
        <f>VLOOKUP(B226,All!$B$4:$S$8977,2,FALSE)</f>
        <v>សុខ</v>
      </c>
      <c r="D226" s="479" t="str">
        <f>VLOOKUP(B226,All!$B$4:$S$89977,3,FALSE)</f>
        <v>គីមស្រីម</v>
      </c>
      <c r="E226" s="478" t="str">
        <f>VLOOKUP(B226,All!$B$4:$S$8977,4,FALSE)</f>
        <v>SOK</v>
      </c>
      <c r="F226" s="479" t="str">
        <f>VLOOKUP(B226,All!$B$4:$S$8977,5,FALSE)</f>
        <v>KIMSRIM</v>
      </c>
      <c r="G226" s="479" t="str">
        <f>VLOOKUP(B226,All!$B$4:$S$8977,6,FALSE)</f>
        <v>F</v>
      </c>
      <c r="H226" s="385">
        <f>VLOOKUP(B226,All!$B$4:$S$8977,7,FALSE)</f>
        <v>32048</v>
      </c>
      <c r="I226" s="154">
        <f>VLOOKUP(B226,All!$B$4:$S$8977,8,FALSE)</f>
        <v>43763</v>
      </c>
      <c r="J226" s="154" t="str">
        <f>VLOOKUP(B226,All!$B$4:$S$8977,9,FALSE)</f>
        <v>Production</v>
      </c>
      <c r="K226" s="154" t="str">
        <f>VLOOKUP(B226,All!$B$4:$S$8977,10,FALSE)</f>
        <v xml:space="preserve"> Line19</v>
      </c>
      <c r="L226" s="698" t="str">
        <f>VLOOKUP(B226,All!$B$4:$S$8977,11,FALSE)</f>
        <v>Sewing operator</v>
      </c>
      <c r="M226" s="570">
        <f>VLOOKUP(B226,All!$B$4:$S$8977,12,FALSE)</f>
        <v>192</v>
      </c>
      <c r="N226" s="18">
        <f>VLOOKUP(B226,All!$B$4:$S$8977,13,FALSE)</f>
        <v>3</v>
      </c>
      <c r="O226" s="18">
        <f>VLOOKUP(B226,All!$B$4:$S$8977,14,FALSE)</f>
        <v>0</v>
      </c>
      <c r="P226" s="18">
        <f>VLOOKUP(B226,All!$B$4:$S$8977,15,FALSE)</f>
        <v>0</v>
      </c>
      <c r="Q226" s="18">
        <f>VLOOKUP(B226,All!$B$4:$S$8977,16,FALSE)</f>
        <v>0</v>
      </c>
      <c r="R226" s="18">
        <v>7</v>
      </c>
      <c r="S226" s="18">
        <v>10</v>
      </c>
      <c r="T226" s="550">
        <f t="shared" si="43"/>
        <v>212</v>
      </c>
      <c r="U226" s="568"/>
      <c r="V226" s="3"/>
      <c r="W226" s="3"/>
      <c r="X226" s="3"/>
      <c r="Y226" s="562"/>
      <c r="Z226" s="570">
        <f t="shared" si="44"/>
        <v>194</v>
      </c>
      <c r="AA226" s="18">
        <f t="shared" si="45"/>
        <v>3</v>
      </c>
      <c r="AB226" s="18">
        <f t="shared" si="46"/>
        <v>0</v>
      </c>
      <c r="AC226" s="18">
        <f t="shared" si="47"/>
        <v>0</v>
      </c>
      <c r="AD226" s="18">
        <f t="shared" si="48"/>
        <v>0</v>
      </c>
      <c r="AE226" s="18">
        <f t="shared" si="42"/>
        <v>7</v>
      </c>
      <c r="AF226" s="18">
        <f t="shared" si="42"/>
        <v>10</v>
      </c>
      <c r="AG226" s="550">
        <f t="shared" si="40"/>
        <v>214</v>
      </c>
      <c r="AH226" s="42">
        <v>2</v>
      </c>
      <c r="AI226" s="42">
        <v>0</v>
      </c>
      <c r="AJ226" s="42">
        <v>0</v>
      </c>
      <c r="AK226" s="42">
        <v>0</v>
      </c>
      <c r="AL226" s="42">
        <v>0</v>
      </c>
      <c r="AM226" s="42">
        <v>0</v>
      </c>
      <c r="AN226" s="42">
        <v>0</v>
      </c>
      <c r="AO226" s="42">
        <v>2</v>
      </c>
    </row>
    <row r="227" spans="1:41" ht="24" customHeight="1">
      <c r="A227" s="11">
        <f t="shared" si="41"/>
        <v>224</v>
      </c>
      <c r="B227" s="390">
        <v>3352</v>
      </c>
      <c r="C227" s="478" t="str">
        <f>VLOOKUP(B227,All!$B$4:$S$8977,2,FALSE)</f>
        <v>ធី</v>
      </c>
      <c r="D227" s="479" t="str">
        <f>VLOOKUP(B227,All!$B$4:$S$89977,3,FALSE)</f>
        <v>ស្រីម៉ៅ</v>
      </c>
      <c r="E227" s="478" t="str">
        <f>VLOOKUP(B227,All!$B$4:$S$8977,4,FALSE)</f>
        <v>THY</v>
      </c>
      <c r="F227" s="479" t="str">
        <f>VLOOKUP(B227,All!$B$4:$S$8977,5,FALSE)</f>
        <v>SREYMAO</v>
      </c>
      <c r="G227" s="479" t="str">
        <f>VLOOKUP(B227,All!$B$4:$S$8977,6,FALSE)</f>
        <v>F</v>
      </c>
      <c r="H227" s="385">
        <f>VLOOKUP(B227,All!$B$4:$S$8977,7,FALSE)</f>
        <v>33119</v>
      </c>
      <c r="I227" s="154">
        <f>VLOOKUP(B227,All!$B$4:$S$8977,8,FALSE)</f>
        <v>43755</v>
      </c>
      <c r="J227" s="154" t="str">
        <f>VLOOKUP(B227,All!$B$4:$S$8977,9,FALSE)</f>
        <v>Production</v>
      </c>
      <c r="K227" s="154" t="str">
        <f>VLOOKUP(B227,All!$B$4:$S$8977,10,FALSE)</f>
        <v>Line21</v>
      </c>
      <c r="L227" s="698" t="str">
        <f>VLOOKUP(B227,All!$B$4:$S$8977,11,FALSE)</f>
        <v>Sewing operator</v>
      </c>
      <c r="M227" s="570">
        <f>VLOOKUP(B227,All!$B$4:$S$8977,12,FALSE)</f>
        <v>192</v>
      </c>
      <c r="N227" s="18">
        <f>VLOOKUP(B227,All!$B$4:$S$8977,13,FALSE)</f>
        <v>3</v>
      </c>
      <c r="O227" s="18">
        <f>VLOOKUP(B227,All!$B$4:$S$8977,14,FALSE)</f>
        <v>0</v>
      </c>
      <c r="P227" s="18">
        <f>VLOOKUP(B227,All!$B$4:$S$8977,15,FALSE)</f>
        <v>0</v>
      </c>
      <c r="Q227" s="18">
        <f>VLOOKUP(B227,All!$B$4:$S$8977,16,FALSE)</f>
        <v>0</v>
      </c>
      <c r="R227" s="18">
        <v>7</v>
      </c>
      <c r="S227" s="18">
        <v>10</v>
      </c>
      <c r="T227" s="550">
        <f t="shared" si="43"/>
        <v>212</v>
      </c>
      <c r="U227" s="568"/>
      <c r="V227" s="3"/>
      <c r="W227" s="3"/>
      <c r="X227" s="3"/>
      <c r="Y227" s="562"/>
      <c r="Z227" s="570">
        <f t="shared" si="44"/>
        <v>194</v>
      </c>
      <c r="AA227" s="18">
        <f t="shared" si="45"/>
        <v>3</v>
      </c>
      <c r="AB227" s="18">
        <f t="shared" si="46"/>
        <v>0</v>
      </c>
      <c r="AC227" s="18">
        <f t="shared" si="47"/>
        <v>0</v>
      </c>
      <c r="AD227" s="18">
        <f t="shared" si="48"/>
        <v>0</v>
      </c>
      <c r="AE227" s="18">
        <f t="shared" si="42"/>
        <v>7</v>
      </c>
      <c r="AF227" s="18">
        <f t="shared" si="42"/>
        <v>10</v>
      </c>
      <c r="AG227" s="550">
        <f t="shared" si="40"/>
        <v>214</v>
      </c>
      <c r="AH227" s="42">
        <v>2</v>
      </c>
      <c r="AI227" s="42">
        <v>0</v>
      </c>
      <c r="AJ227" s="42">
        <v>0</v>
      </c>
      <c r="AK227" s="42">
        <v>0</v>
      </c>
      <c r="AL227" s="42">
        <v>0</v>
      </c>
      <c r="AM227" s="42">
        <v>0</v>
      </c>
      <c r="AN227" s="42">
        <v>0</v>
      </c>
      <c r="AO227" s="42">
        <v>2</v>
      </c>
    </row>
    <row r="228" spans="1:41" ht="24" customHeight="1">
      <c r="A228" s="11">
        <f t="shared" si="41"/>
        <v>225</v>
      </c>
      <c r="B228" s="390">
        <v>3413</v>
      </c>
      <c r="C228" s="478" t="str">
        <f>VLOOKUP(B228,All!$B$4:$S$8977,2,FALSE)</f>
        <v>អ៊ុន</v>
      </c>
      <c r="D228" s="479" t="str">
        <f>VLOOKUP(B228,All!$B$4:$S$89977,3,FALSE)</f>
        <v>ស្រីនោ</v>
      </c>
      <c r="E228" s="478" t="str">
        <f>VLOOKUP(B228,All!$B$4:$S$8977,4,FALSE)</f>
        <v>UON</v>
      </c>
      <c r="F228" s="479" t="str">
        <f>VLOOKUP(B228,All!$B$4:$S$8977,5,FALSE)</f>
        <v>SREYNOU</v>
      </c>
      <c r="G228" s="479" t="str">
        <f>VLOOKUP(B228,All!$B$4:$S$8977,6,FALSE)</f>
        <v>F</v>
      </c>
      <c r="H228" s="385">
        <f>VLOOKUP(B228,All!$B$4:$S$8977,7,FALSE)</f>
        <v>34355</v>
      </c>
      <c r="I228" s="154">
        <f>VLOOKUP(B228,All!$B$4:$S$8977,8,FALSE)</f>
        <v>43763</v>
      </c>
      <c r="J228" s="154" t="str">
        <f>VLOOKUP(B228,All!$B$4:$S$8977,9,FALSE)</f>
        <v>Production</v>
      </c>
      <c r="K228" s="154" t="str">
        <f>VLOOKUP(B228,All!$B$4:$S$8977,10,FALSE)</f>
        <v xml:space="preserve"> Line19</v>
      </c>
      <c r="L228" s="698" t="str">
        <f>VLOOKUP(B228,All!$B$4:$S$8977,11,FALSE)</f>
        <v>Sewing operator</v>
      </c>
      <c r="M228" s="570">
        <f>VLOOKUP(B228,All!$B$4:$S$8977,12,FALSE)</f>
        <v>192</v>
      </c>
      <c r="N228" s="18">
        <f>VLOOKUP(B228,All!$B$4:$S$8977,13,FALSE)</f>
        <v>3</v>
      </c>
      <c r="O228" s="18">
        <f>VLOOKUP(B228,All!$B$4:$S$8977,14,FALSE)</f>
        <v>0</v>
      </c>
      <c r="P228" s="18">
        <f>VLOOKUP(B228,All!$B$4:$S$8977,15,FALSE)</f>
        <v>0</v>
      </c>
      <c r="Q228" s="18">
        <f>VLOOKUP(B228,All!$B$4:$S$8977,16,FALSE)</f>
        <v>0</v>
      </c>
      <c r="R228" s="18">
        <v>7</v>
      </c>
      <c r="S228" s="18">
        <v>10</v>
      </c>
      <c r="T228" s="550">
        <f t="shared" si="43"/>
        <v>212</v>
      </c>
      <c r="U228" s="568"/>
      <c r="V228" s="3"/>
      <c r="W228" s="3"/>
      <c r="X228" s="3"/>
      <c r="Y228" s="562"/>
      <c r="Z228" s="570">
        <f t="shared" si="44"/>
        <v>194</v>
      </c>
      <c r="AA228" s="18">
        <f t="shared" si="45"/>
        <v>3</v>
      </c>
      <c r="AB228" s="18">
        <f t="shared" si="46"/>
        <v>0</v>
      </c>
      <c r="AC228" s="18">
        <f t="shared" si="47"/>
        <v>0</v>
      </c>
      <c r="AD228" s="18">
        <f t="shared" si="48"/>
        <v>0</v>
      </c>
      <c r="AE228" s="18">
        <f t="shared" si="42"/>
        <v>7</v>
      </c>
      <c r="AF228" s="18">
        <f t="shared" si="42"/>
        <v>10</v>
      </c>
      <c r="AG228" s="550">
        <f t="shared" si="40"/>
        <v>214</v>
      </c>
      <c r="AH228" s="42">
        <v>2</v>
      </c>
      <c r="AI228" s="42">
        <v>0</v>
      </c>
      <c r="AJ228" s="42">
        <v>0</v>
      </c>
      <c r="AK228" s="42">
        <v>0</v>
      </c>
      <c r="AL228" s="42">
        <v>0</v>
      </c>
      <c r="AM228" s="42">
        <v>0</v>
      </c>
      <c r="AN228" s="42">
        <v>0</v>
      </c>
      <c r="AO228" s="42">
        <v>2</v>
      </c>
    </row>
    <row r="229" spans="1:41" ht="24" customHeight="1">
      <c r="A229" s="11">
        <f t="shared" si="41"/>
        <v>226</v>
      </c>
      <c r="B229" s="390">
        <v>3381</v>
      </c>
      <c r="C229" s="478" t="str">
        <f>VLOOKUP(B229,All!$B$4:$S$8977,2,FALSE)</f>
        <v>វង្ស</v>
      </c>
      <c r="D229" s="479" t="str">
        <f>VLOOKUP(B229,All!$B$4:$S$89977,3,FALSE)</f>
        <v>សុវណ្ណា</v>
      </c>
      <c r="E229" s="478" t="str">
        <f>VLOOKUP(B229,All!$B$4:$S$8977,4,FALSE)</f>
        <v>VONG</v>
      </c>
      <c r="F229" s="479" t="str">
        <f>VLOOKUP(B229,All!$B$4:$S$8977,5,FALSE)</f>
        <v>SOVANNA</v>
      </c>
      <c r="G229" s="479" t="str">
        <f>VLOOKUP(B229,All!$B$4:$S$8977,6,FALSE)</f>
        <v>F</v>
      </c>
      <c r="H229" s="385">
        <f>VLOOKUP(B229,All!$B$4:$S$8977,7,FALSE)</f>
        <v>31579</v>
      </c>
      <c r="I229" s="154">
        <f>VLOOKUP(B229,All!$B$4:$S$8977,8,FALSE)</f>
        <v>43755</v>
      </c>
      <c r="J229" s="154" t="str">
        <f>VLOOKUP(B229,All!$B$4:$S$8977,9,FALSE)</f>
        <v>Production</v>
      </c>
      <c r="K229" s="154" t="str">
        <f>VLOOKUP(B229,All!$B$4:$S$8977,10,FALSE)</f>
        <v xml:space="preserve"> Line19</v>
      </c>
      <c r="L229" s="698" t="str">
        <f>VLOOKUP(B229,All!$B$4:$S$8977,11,FALSE)</f>
        <v>Sewing operator</v>
      </c>
      <c r="M229" s="570">
        <f>VLOOKUP(B229,All!$B$4:$S$8977,12,FALSE)</f>
        <v>192</v>
      </c>
      <c r="N229" s="18">
        <f>VLOOKUP(B229,All!$B$4:$S$8977,13,FALSE)</f>
        <v>3</v>
      </c>
      <c r="O229" s="18">
        <f>VLOOKUP(B229,All!$B$4:$S$8977,14,FALSE)</f>
        <v>0</v>
      </c>
      <c r="P229" s="18">
        <f>VLOOKUP(B229,All!$B$4:$S$8977,15,FALSE)</f>
        <v>0</v>
      </c>
      <c r="Q229" s="18">
        <f>VLOOKUP(B229,All!$B$4:$S$8977,16,FALSE)</f>
        <v>0</v>
      </c>
      <c r="R229" s="18">
        <v>7</v>
      </c>
      <c r="S229" s="18">
        <v>10</v>
      </c>
      <c r="T229" s="550">
        <f t="shared" si="43"/>
        <v>212</v>
      </c>
      <c r="U229" s="568"/>
      <c r="V229" s="3"/>
      <c r="W229" s="3"/>
      <c r="X229" s="3"/>
      <c r="Y229" s="562"/>
      <c r="Z229" s="570">
        <f t="shared" si="44"/>
        <v>194</v>
      </c>
      <c r="AA229" s="18">
        <f t="shared" si="45"/>
        <v>3</v>
      </c>
      <c r="AB229" s="18">
        <f t="shared" si="46"/>
        <v>0</v>
      </c>
      <c r="AC229" s="18">
        <f t="shared" si="47"/>
        <v>0</v>
      </c>
      <c r="AD229" s="18">
        <f t="shared" si="48"/>
        <v>0</v>
      </c>
      <c r="AE229" s="18">
        <f t="shared" si="42"/>
        <v>7</v>
      </c>
      <c r="AF229" s="18">
        <f t="shared" si="42"/>
        <v>10</v>
      </c>
      <c r="AG229" s="550">
        <f t="shared" si="40"/>
        <v>214</v>
      </c>
      <c r="AH229" s="42">
        <v>2</v>
      </c>
      <c r="AI229" s="42">
        <v>0</v>
      </c>
      <c r="AJ229" s="42">
        <v>0</v>
      </c>
      <c r="AK229" s="42">
        <v>0</v>
      </c>
      <c r="AL229" s="42">
        <v>0</v>
      </c>
      <c r="AM229" s="42">
        <v>0</v>
      </c>
      <c r="AN229" s="42">
        <v>0</v>
      </c>
      <c r="AO229" s="42">
        <v>2</v>
      </c>
    </row>
    <row r="230" spans="1:41" ht="24" customHeight="1">
      <c r="A230" s="11">
        <f t="shared" si="41"/>
        <v>227</v>
      </c>
      <c r="B230" s="390">
        <v>3660</v>
      </c>
      <c r="C230" s="478" t="str">
        <f>VLOOKUP(B230,All!$B$4:$S$8977,2,FALSE)</f>
        <v>រឿន</v>
      </c>
      <c r="D230" s="479" t="str">
        <f>VLOOKUP(B230,All!$B$4:$S$89977,3,FALSE)</f>
        <v>ចន្នី</v>
      </c>
      <c r="E230" s="478" t="str">
        <f>VLOOKUP(B230,All!$B$4:$S$8977,4,FALSE)</f>
        <v>Reoun</v>
      </c>
      <c r="F230" s="479" t="str">
        <f>VLOOKUP(B230,All!$B$4:$S$8977,5,FALSE)</f>
        <v>Channy</v>
      </c>
      <c r="G230" s="479" t="str">
        <f>VLOOKUP(B230,All!$B$4:$S$8977,6,FALSE)</f>
        <v>F</v>
      </c>
      <c r="H230" s="385">
        <f>VLOOKUP(B230,All!$B$4:$S$8977,7,FALSE)</f>
        <v>33677</v>
      </c>
      <c r="I230" s="154">
        <f>VLOOKUP(B230,All!$B$4:$S$8977,8,FALSE)</f>
        <v>43757</v>
      </c>
      <c r="J230" s="154" t="str">
        <f>VLOOKUP(B230,All!$B$4:$S$8977,9,FALSE)</f>
        <v>Production</v>
      </c>
      <c r="K230" s="154" t="str">
        <f>VLOOKUP(B230,All!$B$4:$S$8977,10,FALSE)</f>
        <v xml:space="preserve"> Line6</v>
      </c>
      <c r="L230" s="698" t="str">
        <f>VLOOKUP(B230,All!$B$4:$S$8977,11,FALSE)</f>
        <v>Sewing operator</v>
      </c>
      <c r="M230" s="570">
        <f>VLOOKUP(B230,All!$B$4:$S$8977,12,FALSE)</f>
        <v>192</v>
      </c>
      <c r="N230" s="18">
        <f>VLOOKUP(B230,All!$B$4:$S$8977,13,FALSE)</f>
        <v>3</v>
      </c>
      <c r="O230" s="18">
        <f>VLOOKUP(B230,All!$B$4:$S$8977,14,FALSE)</f>
        <v>0</v>
      </c>
      <c r="P230" s="18">
        <f>VLOOKUP(B230,All!$B$4:$S$8977,15,FALSE)</f>
        <v>0</v>
      </c>
      <c r="Q230" s="18">
        <f>VLOOKUP(B230,All!$B$4:$S$8977,16,FALSE)</f>
        <v>0</v>
      </c>
      <c r="R230" s="18">
        <v>7</v>
      </c>
      <c r="S230" s="18">
        <v>10</v>
      </c>
      <c r="T230" s="550">
        <f t="shared" si="43"/>
        <v>212</v>
      </c>
      <c r="U230" s="568"/>
      <c r="V230" s="3"/>
      <c r="W230" s="3"/>
      <c r="X230" s="3"/>
      <c r="Y230" s="562"/>
      <c r="Z230" s="570">
        <f t="shared" si="44"/>
        <v>194</v>
      </c>
      <c r="AA230" s="18">
        <f t="shared" si="45"/>
        <v>3</v>
      </c>
      <c r="AB230" s="18">
        <f t="shared" si="46"/>
        <v>0</v>
      </c>
      <c r="AC230" s="18">
        <f t="shared" si="47"/>
        <v>0</v>
      </c>
      <c r="AD230" s="18">
        <f t="shared" si="48"/>
        <v>0</v>
      </c>
      <c r="AE230" s="18">
        <f t="shared" si="42"/>
        <v>7</v>
      </c>
      <c r="AF230" s="18">
        <f t="shared" si="42"/>
        <v>10</v>
      </c>
      <c r="AG230" s="550">
        <f t="shared" si="40"/>
        <v>214</v>
      </c>
      <c r="AH230" s="42">
        <v>2</v>
      </c>
      <c r="AI230" s="42">
        <v>0</v>
      </c>
      <c r="AJ230" s="42">
        <v>0</v>
      </c>
      <c r="AK230" s="42">
        <v>0</v>
      </c>
      <c r="AL230" s="42">
        <v>0</v>
      </c>
      <c r="AM230" s="42">
        <v>0</v>
      </c>
      <c r="AN230" s="42">
        <v>0</v>
      </c>
      <c r="AO230" s="42">
        <v>2</v>
      </c>
    </row>
    <row r="231" spans="1:41" ht="24" customHeight="1">
      <c r="A231" s="11">
        <f t="shared" si="41"/>
        <v>228</v>
      </c>
      <c r="B231" s="390">
        <v>3677</v>
      </c>
      <c r="C231" s="478" t="str">
        <f>VLOOKUP(B231,All!$B$4:$S$8977,2,FALSE)</f>
        <v>អ៊ុក</v>
      </c>
      <c r="D231" s="479" t="str">
        <f>VLOOKUP(B231,All!$B$4:$S$89977,3,FALSE)</f>
        <v>យីម</v>
      </c>
      <c r="E231" s="478" t="str">
        <f>VLOOKUP(B231,All!$B$4:$S$8977,4,FALSE)</f>
        <v>Uk</v>
      </c>
      <c r="F231" s="479" t="str">
        <f>VLOOKUP(B231,All!$B$4:$S$8977,5,FALSE)</f>
        <v>Yim</v>
      </c>
      <c r="G231" s="479" t="str">
        <f>VLOOKUP(B231,All!$B$4:$S$8977,6,FALSE)</f>
        <v>F</v>
      </c>
      <c r="H231" s="385">
        <f>VLOOKUP(B231,All!$B$4:$S$8977,7,FALSE)</f>
        <v>29747</v>
      </c>
      <c r="I231" s="154">
        <f>VLOOKUP(B231,All!$B$4:$S$8977,8,FALSE)</f>
        <v>43757</v>
      </c>
      <c r="J231" s="154" t="str">
        <f>VLOOKUP(B231,All!$B$4:$S$8977,9,FALSE)</f>
        <v>Production</v>
      </c>
      <c r="K231" s="154" t="str">
        <f>VLOOKUP(B231,All!$B$4:$S$8977,10,FALSE)</f>
        <v>Line5</v>
      </c>
      <c r="L231" s="698" t="str">
        <f>VLOOKUP(B231,All!$B$4:$S$8977,11,FALSE)</f>
        <v>Sewing operator</v>
      </c>
      <c r="M231" s="570">
        <f>VLOOKUP(B231,All!$B$4:$S$8977,12,FALSE)</f>
        <v>192</v>
      </c>
      <c r="N231" s="18">
        <f>VLOOKUP(B231,All!$B$4:$S$8977,13,FALSE)</f>
        <v>3</v>
      </c>
      <c r="O231" s="18">
        <f>VLOOKUP(B231,All!$B$4:$S$8977,14,FALSE)</f>
        <v>0</v>
      </c>
      <c r="P231" s="18">
        <f>VLOOKUP(B231,All!$B$4:$S$8977,15,FALSE)</f>
        <v>0</v>
      </c>
      <c r="Q231" s="18">
        <f>VLOOKUP(B231,All!$B$4:$S$8977,16,FALSE)</f>
        <v>0</v>
      </c>
      <c r="R231" s="18">
        <v>7</v>
      </c>
      <c r="S231" s="18">
        <v>10</v>
      </c>
      <c r="T231" s="550">
        <f t="shared" si="43"/>
        <v>212</v>
      </c>
      <c r="U231" s="568"/>
      <c r="V231" s="3"/>
      <c r="W231" s="3"/>
      <c r="X231" s="3"/>
      <c r="Y231" s="562"/>
      <c r="Z231" s="570">
        <f t="shared" si="44"/>
        <v>194</v>
      </c>
      <c r="AA231" s="18">
        <f t="shared" si="45"/>
        <v>3</v>
      </c>
      <c r="AB231" s="18">
        <f t="shared" si="46"/>
        <v>0</v>
      </c>
      <c r="AC231" s="18">
        <f t="shared" si="47"/>
        <v>0</v>
      </c>
      <c r="AD231" s="18">
        <f t="shared" si="48"/>
        <v>0</v>
      </c>
      <c r="AE231" s="18">
        <f t="shared" si="42"/>
        <v>7</v>
      </c>
      <c r="AF231" s="18">
        <f t="shared" si="42"/>
        <v>10</v>
      </c>
      <c r="AG231" s="550">
        <f t="shared" si="40"/>
        <v>214</v>
      </c>
      <c r="AH231" s="42">
        <v>2</v>
      </c>
      <c r="AI231" s="42">
        <v>0</v>
      </c>
      <c r="AJ231" s="42">
        <v>0</v>
      </c>
      <c r="AK231" s="42">
        <v>0</v>
      </c>
      <c r="AL231" s="42">
        <v>0</v>
      </c>
      <c r="AM231" s="42">
        <v>0</v>
      </c>
      <c r="AN231" s="42">
        <v>0</v>
      </c>
      <c r="AO231" s="42">
        <v>2</v>
      </c>
    </row>
    <row r="232" spans="1:41" ht="24" customHeight="1">
      <c r="A232" s="11">
        <f t="shared" si="41"/>
        <v>229</v>
      </c>
      <c r="B232" s="390">
        <v>3522</v>
      </c>
      <c r="C232" s="478" t="str">
        <f>VLOOKUP(B232,All!$B$4:$S$8977,2,FALSE)</f>
        <v>អោម</v>
      </c>
      <c r="D232" s="479" t="str">
        <f>VLOOKUP(B232,All!$B$4:$S$89977,3,FALSE)</f>
        <v>ផាត</v>
      </c>
      <c r="E232" s="478" t="str">
        <f>VLOOKUP(B232,All!$B$4:$S$8977,4,FALSE)</f>
        <v>Iem</v>
      </c>
      <c r="F232" s="479" t="str">
        <f>VLOOKUP(B232,All!$B$4:$S$8977,5,FALSE)</f>
        <v>Phat</v>
      </c>
      <c r="G232" s="479" t="str">
        <f>VLOOKUP(B232,All!$B$4:$S$8977,6,FALSE)</f>
        <v>F</v>
      </c>
      <c r="H232" s="385">
        <f>VLOOKUP(B232,All!$B$4:$S$8977,7,FALSE)</f>
        <v>31977</v>
      </c>
      <c r="I232" s="154">
        <f>VLOOKUP(B232,All!$B$4:$S$8977,8,FALSE)</f>
        <v>43746</v>
      </c>
      <c r="J232" s="154" t="str">
        <f>VLOOKUP(B232,All!$B$4:$S$8977,9,FALSE)</f>
        <v>Production</v>
      </c>
      <c r="K232" s="154" t="str">
        <f>VLOOKUP(B232,All!$B$4:$S$8977,10,FALSE)</f>
        <v xml:space="preserve"> Line18</v>
      </c>
      <c r="L232" s="698" t="str">
        <f>VLOOKUP(B232,All!$B$4:$S$8977,11,FALSE)</f>
        <v>Sewing operator</v>
      </c>
      <c r="M232" s="570">
        <f>VLOOKUP(B232,All!$B$4:$S$8977,12,FALSE)</f>
        <v>192</v>
      </c>
      <c r="N232" s="18">
        <f>VLOOKUP(B232,All!$B$4:$S$8977,13,FALSE)</f>
        <v>3</v>
      </c>
      <c r="O232" s="18">
        <f>VLOOKUP(B232,All!$B$4:$S$8977,14,FALSE)</f>
        <v>0</v>
      </c>
      <c r="P232" s="18">
        <f>VLOOKUP(B232,All!$B$4:$S$8977,15,FALSE)</f>
        <v>0</v>
      </c>
      <c r="Q232" s="18">
        <f>VLOOKUP(B232,All!$B$4:$S$8977,16,FALSE)</f>
        <v>0</v>
      </c>
      <c r="R232" s="18">
        <v>7</v>
      </c>
      <c r="S232" s="18">
        <v>10</v>
      </c>
      <c r="T232" s="550">
        <f t="shared" si="43"/>
        <v>212</v>
      </c>
      <c r="U232" s="568"/>
      <c r="V232" s="3"/>
      <c r="W232" s="3"/>
      <c r="X232" s="3"/>
      <c r="Y232" s="562"/>
      <c r="Z232" s="570">
        <f t="shared" si="44"/>
        <v>194</v>
      </c>
      <c r="AA232" s="18">
        <f t="shared" si="45"/>
        <v>3</v>
      </c>
      <c r="AB232" s="18">
        <f t="shared" si="46"/>
        <v>0</v>
      </c>
      <c r="AC232" s="18">
        <f t="shared" si="47"/>
        <v>0</v>
      </c>
      <c r="AD232" s="18">
        <f t="shared" si="48"/>
        <v>0</v>
      </c>
      <c r="AE232" s="18">
        <f t="shared" si="42"/>
        <v>7</v>
      </c>
      <c r="AF232" s="18">
        <f t="shared" si="42"/>
        <v>10</v>
      </c>
      <c r="AG232" s="550">
        <f t="shared" ref="AG232:AG284" si="49">SUM(Z232:AF232)</f>
        <v>214</v>
      </c>
      <c r="AH232" s="42">
        <v>2</v>
      </c>
      <c r="AI232" s="42">
        <v>0</v>
      </c>
      <c r="AJ232" s="42">
        <v>0</v>
      </c>
      <c r="AK232" s="42">
        <v>0</v>
      </c>
      <c r="AL232" s="42">
        <v>0</v>
      </c>
      <c r="AM232" s="42">
        <v>0</v>
      </c>
      <c r="AN232" s="42">
        <v>0</v>
      </c>
      <c r="AO232" s="42">
        <v>2</v>
      </c>
    </row>
    <row r="233" spans="1:41" ht="24" customHeight="1">
      <c r="A233" s="11">
        <f t="shared" si="41"/>
        <v>230</v>
      </c>
      <c r="B233" s="390">
        <v>3547</v>
      </c>
      <c r="C233" s="478" t="str">
        <f>VLOOKUP(B233,All!$B$4:$S$8977,2,FALSE)</f>
        <v>ឈាន</v>
      </c>
      <c r="D233" s="479" t="str">
        <f>VLOOKUP(B233,All!$B$4:$S$89977,3,FALSE)</f>
        <v>ទឹក</v>
      </c>
      <c r="E233" s="478" t="str">
        <f>VLOOKUP(B233,All!$B$4:$S$8977,4,FALSE)</f>
        <v>Chhean</v>
      </c>
      <c r="F233" s="479" t="str">
        <f>VLOOKUP(B233,All!$B$4:$S$8977,5,FALSE)</f>
        <v>Toek</v>
      </c>
      <c r="G233" s="479" t="str">
        <f>VLOOKUP(B233,All!$B$4:$S$8977,6,FALSE)</f>
        <v>M</v>
      </c>
      <c r="H233" s="385">
        <f>VLOOKUP(B233,All!$B$4:$S$8977,7,FALSE)</f>
        <v>33894</v>
      </c>
      <c r="I233" s="154">
        <f>VLOOKUP(B233,All!$B$4:$S$8977,8,FALSE)</f>
        <v>43747</v>
      </c>
      <c r="J233" s="154" t="str">
        <f>VLOOKUP(B233,All!$B$4:$S$8977,9,FALSE)</f>
        <v>Production</v>
      </c>
      <c r="K233" s="154" t="str">
        <f>VLOOKUP(B233,All!$B$4:$S$8977,10,FALSE)</f>
        <v>Line5</v>
      </c>
      <c r="L233" s="698" t="str">
        <f>VLOOKUP(B233,All!$B$4:$S$8977,11,FALSE)</f>
        <v>Sewing operator</v>
      </c>
      <c r="M233" s="570">
        <f>VLOOKUP(B233,All!$B$4:$S$8977,12,FALSE)</f>
        <v>192</v>
      </c>
      <c r="N233" s="18">
        <f>VLOOKUP(B233,All!$B$4:$S$8977,13,FALSE)</f>
        <v>3</v>
      </c>
      <c r="O233" s="18">
        <f>VLOOKUP(B233,All!$B$4:$S$8977,14,FALSE)</f>
        <v>0</v>
      </c>
      <c r="P233" s="18">
        <f>VLOOKUP(B233,All!$B$4:$S$8977,15,FALSE)</f>
        <v>0</v>
      </c>
      <c r="Q233" s="18">
        <f>VLOOKUP(B233,All!$B$4:$S$8977,16,FALSE)</f>
        <v>0</v>
      </c>
      <c r="R233" s="18">
        <v>7</v>
      </c>
      <c r="S233" s="18">
        <v>10</v>
      </c>
      <c r="T233" s="550">
        <f t="shared" si="43"/>
        <v>212</v>
      </c>
      <c r="U233" s="568"/>
      <c r="V233" s="3"/>
      <c r="W233" s="3"/>
      <c r="X233" s="3"/>
      <c r="Y233" s="562"/>
      <c r="Z233" s="570">
        <f t="shared" si="44"/>
        <v>194</v>
      </c>
      <c r="AA233" s="18">
        <f t="shared" si="45"/>
        <v>3</v>
      </c>
      <c r="AB233" s="18">
        <f t="shared" si="46"/>
        <v>0</v>
      </c>
      <c r="AC233" s="18">
        <f t="shared" si="47"/>
        <v>0</v>
      </c>
      <c r="AD233" s="18">
        <f t="shared" si="48"/>
        <v>0</v>
      </c>
      <c r="AE233" s="18">
        <f t="shared" si="42"/>
        <v>7</v>
      </c>
      <c r="AF233" s="18">
        <f t="shared" si="42"/>
        <v>10</v>
      </c>
      <c r="AG233" s="550">
        <f t="shared" si="49"/>
        <v>214</v>
      </c>
      <c r="AH233" s="42">
        <v>2</v>
      </c>
      <c r="AI233" s="42">
        <v>0</v>
      </c>
      <c r="AJ233" s="42">
        <v>0</v>
      </c>
      <c r="AK233" s="42">
        <v>0</v>
      </c>
      <c r="AL233" s="42">
        <v>0</v>
      </c>
      <c r="AM233" s="42">
        <v>0</v>
      </c>
      <c r="AN233" s="42">
        <v>0</v>
      </c>
      <c r="AO233" s="42">
        <v>2</v>
      </c>
    </row>
    <row r="234" spans="1:41" ht="24" customHeight="1">
      <c r="A234" s="11">
        <f t="shared" si="41"/>
        <v>231</v>
      </c>
      <c r="B234" s="390">
        <v>3298</v>
      </c>
      <c r="C234" s="478" t="str">
        <f>VLOOKUP(B234,All!$B$4:$S$8977,2,FALSE)</f>
        <v>អ៊ុំ</v>
      </c>
      <c r="D234" s="479" t="str">
        <f>VLOOKUP(B234,All!$B$4:$S$89977,3,FALSE)</f>
        <v>សម្បត្តិ</v>
      </c>
      <c r="E234" s="478" t="str">
        <f>VLOOKUP(B234,All!$B$4:$S$8977,4,FALSE)</f>
        <v>Um</v>
      </c>
      <c r="F234" s="479" t="str">
        <f>VLOOKUP(B234,All!$B$4:$S$8977,5,FALSE)</f>
        <v>SamBath</v>
      </c>
      <c r="G234" s="479" t="str">
        <f>VLOOKUP(B234,All!$B$4:$S$8977,6,FALSE)</f>
        <v>F</v>
      </c>
      <c r="H234" s="385">
        <f>VLOOKUP(B234,All!$B$4:$S$8977,7,FALSE)</f>
        <v>34897</v>
      </c>
      <c r="I234" s="154">
        <f>VLOOKUP(B234,All!$B$4:$S$8977,8,FALSE)</f>
        <v>43746</v>
      </c>
      <c r="J234" s="154" t="str">
        <f>VLOOKUP(B234,All!$B$4:$S$8977,9,FALSE)</f>
        <v>Production</v>
      </c>
      <c r="K234" s="154" t="str">
        <f>VLOOKUP(B234,All!$B$4:$S$8977,10,FALSE)</f>
        <v xml:space="preserve"> Line6</v>
      </c>
      <c r="L234" s="698" t="str">
        <f>VLOOKUP(B234,All!$B$4:$S$8977,11,FALSE)</f>
        <v>Sewing operator</v>
      </c>
      <c r="M234" s="570">
        <f>VLOOKUP(B234,All!$B$4:$S$8977,12,FALSE)</f>
        <v>192</v>
      </c>
      <c r="N234" s="18">
        <f>VLOOKUP(B234,All!$B$4:$S$8977,13,FALSE)</f>
        <v>3</v>
      </c>
      <c r="O234" s="18">
        <f>VLOOKUP(B234,All!$B$4:$S$8977,14,FALSE)</f>
        <v>0</v>
      </c>
      <c r="P234" s="18">
        <f>VLOOKUP(B234,All!$B$4:$S$8977,15,FALSE)</f>
        <v>0</v>
      </c>
      <c r="Q234" s="18">
        <f>VLOOKUP(B234,All!$B$4:$S$8977,16,FALSE)</f>
        <v>0</v>
      </c>
      <c r="R234" s="18">
        <v>7</v>
      </c>
      <c r="S234" s="18">
        <v>10</v>
      </c>
      <c r="T234" s="550">
        <f t="shared" si="43"/>
        <v>212</v>
      </c>
      <c r="U234" s="568"/>
      <c r="V234" s="3"/>
      <c r="W234" s="3"/>
      <c r="X234" s="3"/>
      <c r="Y234" s="562"/>
      <c r="Z234" s="570">
        <f t="shared" si="44"/>
        <v>194</v>
      </c>
      <c r="AA234" s="18">
        <f t="shared" si="45"/>
        <v>3</v>
      </c>
      <c r="AB234" s="18">
        <f t="shared" si="46"/>
        <v>0</v>
      </c>
      <c r="AC234" s="18">
        <f t="shared" si="47"/>
        <v>0</v>
      </c>
      <c r="AD234" s="18">
        <f t="shared" si="48"/>
        <v>0</v>
      </c>
      <c r="AE234" s="18">
        <f t="shared" si="42"/>
        <v>7</v>
      </c>
      <c r="AF234" s="18">
        <f t="shared" si="42"/>
        <v>10</v>
      </c>
      <c r="AG234" s="550">
        <f t="shared" si="49"/>
        <v>214</v>
      </c>
      <c r="AH234" s="42">
        <v>2</v>
      </c>
      <c r="AI234" s="42">
        <v>0</v>
      </c>
      <c r="AJ234" s="42">
        <v>0</v>
      </c>
      <c r="AK234" s="42">
        <v>0</v>
      </c>
      <c r="AL234" s="42">
        <v>0</v>
      </c>
      <c r="AM234" s="42">
        <v>0</v>
      </c>
      <c r="AN234" s="42">
        <v>0</v>
      </c>
      <c r="AO234" s="42">
        <v>2</v>
      </c>
    </row>
    <row r="235" spans="1:41" ht="24" customHeight="1">
      <c r="A235" s="11">
        <f t="shared" si="41"/>
        <v>232</v>
      </c>
      <c r="B235" s="390">
        <v>3383</v>
      </c>
      <c r="C235" s="478" t="str">
        <f>VLOOKUP(B235,All!$B$4:$S$8977,2,FALSE)</f>
        <v>អ៊ុក</v>
      </c>
      <c r="D235" s="479" t="str">
        <f>VLOOKUP(B235,All!$B$4:$S$89977,3,FALSE)</f>
        <v>ផាច</v>
      </c>
      <c r="E235" s="478" t="str">
        <f>VLOOKUP(B235,All!$B$4:$S$8977,4,FALSE)</f>
        <v>Uk</v>
      </c>
      <c r="F235" s="479" t="str">
        <f>VLOOKUP(B235,All!$B$4:$S$8977,5,FALSE)</f>
        <v>Phach</v>
      </c>
      <c r="G235" s="479" t="str">
        <f>VLOOKUP(B235,All!$B$4:$S$8977,6,FALSE)</f>
        <v>F</v>
      </c>
      <c r="H235" s="385">
        <f>VLOOKUP(B235,All!$B$4:$S$8977,7,FALSE)</f>
        <v>31640</v>
      </c>
      <c r="I235" s="154">
        <f>VLOOKUP(B235,All!$B$4:$S$8977,8,FALSE)</f>
        <v>43756</v>
      </c>
      <c r="J235" s="154" t="str">
        <f>VLOOKUP(B235,All!$B$4:$S$8977,9,FALSE)</f>
        <v>Production</v>
      </c>
      <c r="K235" s="154" t="str">
        <f>VLOOKUP(B235,All!$B$4:$S$8977,10,FALSE)</f>
        <v xml:space="preserve"> Line19</v>
      </c>
      <c r="L235" s="698" t="str">
        <f>VLOOKUP(B235,All!$B$4:$S$8977,11,FALSE)</f>
        <v>Sewing operator</v>
      </c>
      <c r="M235" s="570">
        <f>VLOOKUP(B235,All!$B$4:$S$8977,12,FALSE)</f>
        <v>192</v>
      </c>
      <c r="N235" s="18">
        <f>VLOOKUP(B235,All!$B$4:$S$8977,13,FALSE)</f>
        <v>3</v>
      </c>
      <c r="O235" s="18">
        <f>VLOOKUP(B235,All!$B$4:$S$8977,14,FALSE)</f>
        <v>0</v>
      </c>
      <c r="P235" s="18">
        <f>VLOOKUP(B235,All!$B$4:$S$8977,15,FALSE)</f>
        <v>0</v>
      </c>
      <c r="Q235" s="18">
        <f>VLOOKUP(B235,All!$B$4:$S$8977,16,FALSE)</f>
        <v>0</v>
      </c>
      <c r="R235" s="18">
        <v>7</v>
      </c>
      <c r="S235" s="18">
        <v>10</v>
      </c>
      <c r="T235" s="550">
        <f t="shared" si="43"/>
        <v>212</v>
      </c>
      <c r="U235" s="568"/>
      <c r="V235" s="3"/>
      <c r="W235" s="3"/>
      <c r="X235" s="3"/>
      <c r="Y235" s="562"/>
      <c r="Z235" s="570">
        <f t="shared" si="44"/>
        <v>194</v>
      </c>
      <c r="AA235" s="18">
        <f t="shared" si="45"/>
        <v>3</v>
      </c>
      <c r="AB235" s="18">
        <f t="shared" si="46"/>
        <v>0</v>
      </c>
      <c r="AC235" s="18">
        <f t="shared" si="47"/>
        <v>0</v>
      </c>
      <c r="AD235" s="18">
        <f t="shared" si="48"/>
        <v>0</v>
      </c>
      <c r="AE235" s="18">
        <f t="shared" si="42"/>
        <v>7</v>
      </c>
      <c r="AF235" s="18">
        <f t="shared" si="42"/>
        <v>10</v>
      </c>
      <c r="AG235" s="550">
        <f t="shared" si="49"/>
        <v>214</v>
      </c>
      <c r="AH235" s="42">
        <v>2</v>
      </c>
      <c r="AI235" s="42">
        <v>0</v>
      </c>
      <c r="AJ235" s="42">
        <v>0</v>
      </c>
      <c r="AK235" s="42">
        <v>0</v>
      </c>
      <c r="AL235" s="42">
        <v>0</v>
      </c>
      <c r="AM235" s="42">
        <v>0</v>
      </c>
      <c r="AN235" s="42">
        <v>0</v>
      </c>
      <c r="AO235" s="42">
        <v>2</v>
      </c>
    </row>
    <row r="236" spans="1:41" ht="24" customHeight="1">
      <c r="A236" s="11">
        <f t="shared" si="41"/>
        <v>233</v>
      </c>
      <c r="B236" s="390">
        <v>3118</v>
      </c>
      <c r="C236" s="478" t="str">
        <f>VLOOKUP(B236,All!$B$4:$S$8977,2,FALSE)</f>
        <v>យ៉ាន</v>
      </c>
      <c r="D236" s="479" t="str">
        <f>VLOOKUP(B236,All!$B$4:$S$89977,3,FALSE)</f>
        <v>ចំរើន</v>
      </c>
      <c r="E236" s="478" t="str">
        <f>VLOOKUP(B236,All!$B$4:$S$8977,4,FALSE)</f>
        <v>Yan</v>
      </c>
      <c r="F236" s="479" t="str">
        <f>VLOOKUP(B236,All!$B$4:$S$8977,5,FALSE)</f>
        <v>ChomReun</v>
      </c>
      <c r="G236" s="479" t="str">
        <f>VLOOKUP(B236,All!$B$4:$S$8977,6,FALSE)</f>
        <v>F</v>
      </c>
      <c r="H236" s="385">
        <f>VLOOKUP(B236,All!$B$4:$S$8977,7,FALSE)</f>
        <v>32202</v>
      </c>
      <c r="I236" s="154">
        <f>VLOOKUP(B236,All!$B$4:$S$8977,8,FALSE)</f>
        <v>43742</v>
      </c>
      <c r="J236" s="154" t="str">
        <f>VLOOKUP(B236,All!$B$4:$S$8977,9,FALSE)</f>
        <v>Production</v>
      </c>
      <c r="K236" s="154" t="str">
        <f>VLOOKUP(B236,All!$B$4:$S$8977,10,FALSE)</f>
        <v>Line20</v>
      </c>
      <c r="L236" s="698" t="str">
        <f>VLOOKUP(B236,All!$B$4:$S$8977,11,FALSE)</f>
        <v>Sewing operator</v>
      </c>
      <c r="M236" s="570">
        <f>VLOOKUP(B236,All!$B$4:$S$8977,12,FALSE)</f>
        <v>192</v>
      </c>
      <c r="N236" s="18">
        <f>VLOOKUP(B236,All!$B$4:$S$8977,13,FALSE)</f>
        <v>3</v>
      </c>
      <c r="O236" s="18">
        <f>VLOOKUP(B236,All!$B$4:$S$8977,14,FALSE)</f>
        <v>0</v>
      </c>
      <c r="P236" s="18">
        <f>VLOOKUP(B236,All!$B$4:$S$8977,15,FALSE)</f>
        <v>0</v>
      </c>
      <c r="Q236" s="18">
        <f>VLOOKUP(B236,All!$B$4:$S$8977,16,FALSE)</f>
        <v>0</v>
      </c>
      <c r="R236" s="18">
        <v>7</v>
      </c>
      <c r="S236" s="18">
        <v>10</v>
      </c>
      <c r="T236" s="550">
        <f t="shared" si="43"/>
        <v>212</v>
      </c>
      <c r="U236" s="568"/>
      <c r="V236" s="3"/>
      <c r="W236" s="3"/>
      <c r="X236" s="3"/>
      <c r="Y236" s="562"/>
      <c r="Z236" s="570">
        <f t="shared" si="44"/>
        <v>194</v>
      </c>
      <c r="AA236" s="18">
        <f t="shared" si="45"/>
        <v>3</v>
      </c>
      <c r="AB236" s="18">
        <f t="shared" si="46"/>
        <v>0</v>
      </c>
      <c r="AC236" s="18">
        <f t="shared" si="47"/>
        <v>0</v>
      </c>
      <c r="AD236" s="18">
        <f t="shared" si="48"/>
        <v>0</v>
      </c>
      <c r="AE236" s="18">
        <f t="shared" si="42"/>
        <v>7</v>
      </c>
      <c r="AF236" s="18">
        <f t="shared" si="42"/>
        <v>10</v>
      </c>
      <c r="AG236" s="550">
        <f t="shared" si="49"/>
        <v>214</v>
      </c>
      <c r="AH236" s="42">
        <v>2</v>
      </c>
      <c r="AI236" s="42">
        <v>0</v>
      </c>
      <c r="AJ236" s="42">
        <v>0</v>
      </c>
      <c r="AK236" s="42">
        <v>0</v>
      </c>
      <c r="AL236" s="42">
        <v>0</v>
      </c>
      <c r="AM236" s="42">
        <v>0</v>
      </c>
      <c r="AN236" s="42">
        <v>0</v>
      </c>
      <c r="AO236" s="42">
        <v>2</v>
      </c>
    </row>
    <row r="237" spans="1:41" ht="24" customHeight="1">
      <c r="A237" s="11">
        <f t="shared" si="41"/>
        <v>234</v>
      </c>
      <c r="B237" s="390">
        <v>3387</v>
      </c>
      <c r="C237" s="478" t="str">
        <f>VLOOKUP(B237,All!$B$4:$S$8977,2,FALSE)</f>
        <v>ខា</v>
      </c>
      <c r="D237" s="479" t="str">
        <f>VLOOKUP(B237,All!$B$4:$S$89977,3,FALSE)</f>
        <v>សារឹម</v>
      </c>
      <c r="E237" s="478" t="str">
        <f>VLOOKUP(B237,All!$B$4:$S$8977,4,FALSE)</f>
        <v>Ka</v>
      </c>
      <c r="F237" s="479" t="str">
        <f>VLOOKUP(B237,All!$B$4:$S$8977,5,FALSE)</f>
        <v>SaRoem</v>
      </c>
      <c r="G237" s="479" t="str">
        <f>VLOOKUP(B237,All!$B$4:$S$8977,6,FALSE)</f>
        <v>F</v>
      </c>
      <c r="H237" s="385">
        <f>VLOOKUP(B237,All!$B$4:$S$8977,7,FALSE)</f>
        <v>31846</v>
      </c>
      <c r="I237" s="154">
        <f>VLOOKUP(B237,All!$B$4:$S$8977,8,FALSE)</f>
        <v>43760</v>
      </c>
      <c r="J237" s="154" t="str">
        <f>VLOOKUP(B237,All!$B$4:$S$8977,9,FALSE)</f>
        <v>Production</v>
      </c>
      <c r="K237" s="154" t="str">
        <f>VLOOKUP(B237,All!$B$4:$S$8977,10,FALSE)</f>
        <v xml:space="preserve"> Line2</v>
      </c>
      <c r="L237" s="698" t="str">
        <f>VLOOKUP(B237,All!$B$4:$S$8977,11,FALSE)</f>
        <v>Sewing operator</v>
      </c>
      <c r="M237" s="570">
        <f>VLOOKUP(B237,All!$B$4:$S$8977,12,FALSE)</f>
        <v>192</v>
      </c>
      <c r="N237" s="18">
        <f>VLOOKUP(B237,All!$B$4:$S$8977,13,FALSE)</f>
        <v>3</v>
      </c>
      <c r="O237" s="18">
        <f>VLOOKUP(B237,All!$B$4:$S$8977,14,FALSE)</f>
        <v>0</v>
      </c>
      <c r="P237" s="18">
        <f>VLOOKUP(B237,All!$B$4:$S$8977,15,FALSE)</f>
        <v>0</v>
      </c>
      <c r="Q237" s="18">
        <f>VLOOKUP(B237,All!$B$4:$S$8977,16,FALSE)</f>
        <v>0</v>
      </c>
      <c r="R237" s="18">
        <v>7</v>
      </c>
      <c r="S237" s="18">
        <v>10</v>
      </c>
      <c r="T237" s="550">
        <f t="shared" si="43"/>
        <v>212</v>
      </c>
      <c r="U237" s="568"/>
      <c r="V237" s="3"/>
      <c r="W237" s="3"/>
      <c r="X237" s="3"/>
      <c r="Y237" s="562"/>
      <c r="Z237" s="570">
        <f t="shared" si="44"/>
        <v>194</v>
      </c>
      <c r="AA237" s="18">
        <f t="shared" si="45"/>
        <v>3</v>
      </c>
      <c r="AB237" s="18">
        <f t="shared" si="46"/>
        <v>0</v>
      </c>
      <c r="AC237" s="18">
        <f t="shared" si="47"/>
        <v>0</v>
      </c>
      <c r="AD237" s="18">
        <f t="shared" si="48"/>
        <v>0</v>
      </c>
      <c r="AE237" s="18">
        <f t="shared" si="42"/>
        <v>7</v>
      </c>
      <c r="AF237" s="18">
        <f t="shared" si="42"/>
        <v>10</v>
      </c>
      <c r="AG237" s="550">
        <f t="shared" si="49"/>
        <v>214</v>
      </c>
      <c r="AH237" s="42">
        <v>2</v>
      </c>
      <c r="AI237" s="42">
        <v>0</v>
      </c>
      <c r="AJ237" s="42">
        <v>0</v>
      </c>
      <c r="AK237" s="42">
        <v>0</v>
      </c>
      <c r="AL237" s="42">
        <v>0</v>
      </c>
      <c r="AM237" s="42">
        <v>0</v>
      </c>
      <c r="AN237" s="42">
        <v>0</v>
      </c>
      <c r="AO237" s="42">
        <v>2</v>
      </c>
    </row>
    <row r="238" spans="1:41" ht="24" customHeight="1">
      <c r="A238" s="11">
        <f t="shared" si="41"/>
        <v>235</v>
      </c>
      <c r="B238" s="390">
        <v>3353</v>
      </c>
      <c r="C238" s="478" t="str">
        <f>VLOOKUP(B238,All!$B$4:$S$8977,2,FALSE)</f>
        <v>រ​ស់</v>
      </c>
      <c r="D238" s="479" t="str">
        <f>VLOOKUP(B238,All!$B$4:$S$89977,3,FALSE)</f>
        <v>សារឿន</v>
      </c>
      <c r="E238" s="478" t="str">
        <f>VLOOKUP(B238,All!$B$4:$S$8977,4,FALSE)</f>
        <v>Ruos</v>
      </c>
      <c r="F238" s="479" t="str">
        <f>VLOOKUP(B238,All!$B$4:$S$8977,5,FALSE)</f>
        <v>SaRoeurn</v>
      </c>
      <c r="G238" s="479" t="str">
        <f>VLOOKUP(B238,All!$B$4:$S$8977,6,FALSE)</f>
        <v>F</v>
      </c>
      <c r="H238" s="385">
        <f>VLOOKUP(B238,All!$B$4:$S$8977,7,FALSE)</f>
        <v>29426</v>
      </c>
      <c r="I238" s="154">
        <f>VLOOKUP(B238,All!$B$4:$S$8977,8,FALSE)</f>
        <v>43755</v>
      </c>
      <c r="J238" s="154" t="str">
        <f>VLOOKUP(B238,All!$B$4:$S$8977,9,FALSE)</f>
        <v>Production</v>
      </c>
      <c r="K238" s="154" t="str">
        <f>VLOOKUP(B238,All!$B$4:$S$8977,10,FALSE)</f>
        <v>Line17</v>
      </c>
      <c r="L238" s="698" t="str">
        <f>VLOOKUP(B238,All!$B$4:$S$8977,11,FALSE)</f>
        <v>Sewing operator</v>
      </c>
      <c r="M238" s="570">
        <f>VLOOKUP(B238,All!$B$4:$S$8977,12,FALSE)</f>
        <v>192</v>
      </c>
      <c r="N238" s="18">
        <f>VLOOKUP(B238,All!$B$4:$S$8977,13,FALSE)</f>
        <v>3</v>
      </c>
      <c r="O238" s="18">
        <f>VLOOKUP(B238,All!$B$4:$S$8977,14,FALSE)</f>
        <v>0</v>
      </c>
      <c r="P238" s="18">
        <f>VLOOKUP(B238,All!$B$4:$S$8977,15,FALSE)</f>
        <v>0</v>
      </c>
      <c r="Q238" s="18">
        <f>VLOOKUP(B238,All!$B$4:$S$8977,16,FALSE)</f>
        <v>0</v>
      </c>
      <c r="R238" s="18">
        <v>7</v>
      </c>
      <c r="S238" s="18">
        <v>10</v>
      </c>
      <c r="T238" s="550">
        <f t="shared" si="43"/>
        <v>212</v>
      </c>
      <c r="U238" s="568"/>
      <c r="V238" s="3"/>
      <c r="W238" s="3"/>
      <c r="X238" s="3"/>
      <c r="Y238" s="562"/>
      <c r="Z238" s="570">
        <f t="shared" si="44"/>
        <v>194</v>
      </c>
      <c r="AA238" s="18">
        <f t="shared" si="45"/>
        <v>3</v>
      </c>
      <c r="AB238" s="18">
        <f t="shared" si="46"/>
        <v>0</v>
      </c>
      <c r="AC238" s="18">
        <f t="shared" si="47"/>
        <v>0</v>
      </c>
      <c r="AD238" s="18">
        <f t="shared" si="48"/>
        <v>0</v>
      </c>
      <c r="AE238" s="18">
        <f t="shared" si="42"/>
        <v>7</v>
      </c>
      <c r="AF238" s="18">
        <f t="shared" si="42"/>
        <v>10</v>
      </c>
      <c r="AG238" s="550">
        <f t="shared" si="49"/>
        <v>214</v>
      </c>
      <c r="AH238" s="42">
        <v>2</v>
      </c>
      <c r="AI238" s="42">
        <v>0</v>
      </c>
      <c r="AJ238" s="42">
        <v>0</v>
      </c>
      <c r="AK238" s="42">
        <v>0</v>
      </c>
      <c r="AL238" s="42">
        <v>0</v>
      </c>
      <c r="AM238" s="42">
        <v>0</v>
      </c>
      <c r="AN238" s="42">
        <v>0</v>
      </c>
      <c r="AO238" s="42">
        <v>2</v>
      </c>
    </row>
    <row r="239" spans="1:41" ht="24" customHeight="1">
      <c r="A239" s="11">
        <f t="shared" si="41"/>
        <v>236</v>
      </c>
      <c r="B239" s="390">
        <v>3355</v>
      </c>
      <c r="C239" s="478" t="str">
        <f>VLOOKUP(B239,All!$B$4:$S$8977,2,FALSE)</f>
        <v>ធូ</v>
      </c>
      <c r="D239" s="479" t="str">
        <f>VLOOKUP(B239,All!$B$4:$S$89977,3,FALSE)</f>
        <v>ដានី</v>
      </c>
      <c r="E239" s="478" t="str">
        <f>VLOOKUP(B239,All!$B$4:$S$8977,4,FALSE)</f>
        <v>Thouk</v>
      </c>
      <c r="F239" s="479" t="str">
        <f>VLOOKUP(B239,All!$B$4:$S$8977,5,FALSE)</f>
        <v>Dany</v>
      </c>
      <c r="G239" s="479" t="str">
        <f>VLOOKUP(B239,All!$B$4:$S$8977,6,FALSE)</f>
        <v>F</v>
      </c>
      <c r="H239" s="385">
        <f>VLOOKUP(B239,All!$B$4:$S$8977,7,FALSE)</f>
        <v>29230</v>
      </c>
      <c r="I239" s="154">
        <f>VLOOKUP(B239,All!$B$4:$S$8977,8,FALSE)</f>
        <v>43755</v>
      </c>
      <c r="J239" s="154" t="str">
        <f>VLOOKUP(B239,All!$B$4:$S$8977,9,FALSE)</f>
        <v>Production</v>
      </c>
      <c r="K239" s="154" t="str">
        <f>VLOOKUP(B239,All!$B$4:$S$8977,10,FALSE)</f>
        <v xml:space="preserve"> Line3</v>
      </c>
      <c r="L239" s="698" t="str">
        <f>VLOOKUP(B239,All!$B$4:$S$8977,11,FALSE)</f>
        <v>Sewing operator</v>
      </c>
      <c r="M239" s="570">
        <f>VLOOKUP(B239,All!$B$4:$S$8977,12,FALSE)</f>
        <v>192</v>
      </c>
      <c r="N239" s="18">
        <f>VLOOKUP(B239,All!$B$4:$S$8977,13,FALSE)</f>
        <v>3</v>
      </c>
      <c r="O239" s="18">
        <f>VLOOKUP(B239,All!$B$4:$S$8977,14,FALSE)</f>
        <v>0</v>
      </c>
      <c r="P239" s="18">
        <f>VLOOKUP(B239,All!$B$4:$S$8977,15,FALSE)</f>
        <v>0</v>
      </c>
      <c r="Q239" s="18">
        <f>VLOOKUP(B239,All!$B$4:$S$8977,16,FALSE)</f>
        <v>0</v>
      </c>
      <c r="R239" s="18">
        <v>7</v>
      </c>
      <c r="S239" s="18">
        <v>10</v>
      </c>
      <c r="T239" s="550">
        <f t="shared" si="43"/>
        <v>212</v>
      </c>
      <c r="U239" s="568"/>
      <c r="V239" s="3"/>
      <c r="W239" s="3"/>
      <c r="X239" s="3"/>
      <c r="Y239" s="562"/>
      <c r="Z239" s="570">
        <f t="shared" si="44"/>
        <v>194</v>
      </c>
      <c r="AA239" s="18">
        <f t="shared" si="45"/>
        <v>3</v>
      </c>
      <c r="AB239" s="18">
        <f t="shared" si="46"/>
        <v>0</v>
      </c>
      <c r="AC239" s="18">
        <f t="shared" si="47"/>
        <v>0</v>
      </c>
      <c r="AD239" s="18">
        <f t="shared" si="48"/>
        <v>0</v>
      </c>
      <c r="AE239" s="18">
        <f t="shared" si="42"/>
        <v>7</v>
      </c>
      <c r="AF239" s="18">
        <f t="shared" si="42"/>
        <v>10</v>
      </c>
      <c r="AG239" s="550">
        <f t="shared" si="49"/>
        <v>214</v>
      </c>
      <c r="AH239" s="42">
        <v>2</v>
      </c>
      <c r="AI239" s="42">
        <v>0</v>
      </c>
      <c r="AJ239" s="42">
        <v>0</v>
      </c>
      <c r="AK239" s="42">
        <v>0</v>
      </c>
      <c r="AL239" s="42">
        <v>0</v>
      </c>
      <c r="AM239" s="42">
        <v>0</v>
      </c>
      <c r="AN239" s="42">
        <v>0</v>
      </c>
      <c r="AO239" s="42">
        <v>2</v>
      </c>
    </row>
    <row r="240" spans="1:41" ht="24" customHeight="1">
      <c r="A240" s="11">
        <f t="shared" si="41"/>
        <v>237</v>
      </c>
      <c r="B240" s="390">
        <v>3404</v>
      </c>
      <c r="C240" s="478" t="str">
        <f>VLOOKUP(B240,All!$B$4:$S$8977,2,FALSE)</f>
        <v>រុំ</v>
      </c>
      <c r="D240" s="479" t="str">
        <f>VLOOKUP(B240,All!$B$4:$S$89977,3,FALSE)</f>
        <v>វី</v>
      </c>
      <c r="E240" s="478" t="str">
        <f>VLOOKUP(B240,All!$B$4:$S$8977,4,FALSE)</f>
        <v>Rom</v>
      </c>
      <c r="F240" s="479" t="str">
        <f>VLOOKUP(B240,All!$B$4:$S$8977,5,FALSE)</f>
        <v>Vy</v>
      </c>
      <c r="G240" s="479" t="str">
        <f>VLOOKUP(B240,All!$B$4:$S$8977,6,FALSE)</f>
        <v>F</v>
      </c>
      <c r="H240" s="385">
        <f>VLOOKUP(B240,All!$B$4:$S$8977,7,FALSE)</f>
        <v>34402</v>
      </c>
      <c r="I240" s="154">
        <f>VLOOKUP(B240,All!$B$4:$S$8977,8,FALSE)</f>
        <v>43761</v>
      </c>
      <c r="J240" s="154" t="str">
        <f>VLOOKUP(B240,All!$B$4:$S$8977,9,FALSE)</f>
        <v>Production</v>
      </c>
      <c r="K240" s="154" t="str">
        <f>VLOOKUP(B240,All!$B$4:$S$8977,10,FALSE)</f>
        <v xml:space="preserve"> Line18</v>
      </c>
      <c r="L240" s="698" t="str">
        <f>VLOOKUP(B240,All!$B$4:$S$8977,11,FALSE)</f>
        <v>Sewing operator</v>
      </c>
      <c r="M240" s="570">
        <f>VLOOKUP(B240,All!$B$4:$S$8977,12,FALSE)</f>
        <v>192</v>
      </c>
      <c r="N240" s="18">
        <f>VLOOKUP(B240,All!$B$4:$S$8977,13,FALSE)</f>
        <v>3</v>
      </c>
      <c r="O240" s="18">
        <f>VLOOKUP(B240,All!$B$4:$S$8977,14,FALSE)</f>
        <v>0</v>
      </c>
      <c r="P240" s="18">
        <f>VLOOKUP(B240,All!$B$4:$S$8977,15,FALSE)</f>
        <v>0</v>
      </c>
      <c r="Q240" s="18">
        <f>VLOOKUP(B240,All!$B$4:$S$8977,16,FALSE)</f>
        <v>0</v>
      </c>
      <c r="R240" s="18">
        <v>7</v>
      </c>
      <c r="S240" s="18">
        <v>10</v>
      </c>
      <c r="T240" s="550">
        <f t="shared" si="43"/>
        <v>212</v>
      </c>
      <c r="U240" s="568"/>
      <c r="V240" s="3"/>
      <c r="W240" s="3"/>
      <c r="X240" s="3"/>
      <c r="Y240" s="562"/>
      <c r="Z240" s="570">
        <f t="shared" si="44"/>
        <v>194</v>
      </c>
      <c r="AA240" s="18">
        <f t="shared" si="45"/>
        <v>3</v>
      </c>
      <c r="AB240" s="18">
        <f t="shared" si="46"/>
        <v>0</v>
      </c>
      <c r="AC240" s="18">
        <f t="shared" si="47"/>
        <v>0</v>
      </c>
      <c r="AD240" s="18">
        <f t="shared" si="48"/>
        <v>0</v>
      </c>
      <c r="AE240" s="18">
        <f t="shared" si="42"/>
        <v>7</v>
      </c>
      <c r="AF240" s="18">
        <f t="shared" si="42"/>
        <v>10</v>
      </c>
      <c r="AG240" s="550">
        <f t="shared" si="49"/>
        <v>214</v>
      </c>
      <c r="AH240" s="42">
        <v>2</v>
      </c>
      <c r="AI240" s="42">
        <v>0</v>
      </c>
      <c r="AJ240" s="42">
        <v>0</v>
      </c>
      <c r="AK240" s="42">
        <v>0</v>
      </c>
      <c r="AL240" s="42">
        <v>0</v>
      </c>
      <c r="AM240" s="42">
        <v>0</v>
      </c>
      <c r="AN240" s="42">
        <v>0</v>
      </c>
      <c r="AO240" s="42">
        <v>2</v>
      </c>
    </row>
    <row r="241" spans="1:41" ht="24" customHeight="1">
      <c r="A241" s="11">
        <f t="shared" si="41"/>
        <v>238</v>
      </c>
      <c r="B241" s="400">
        <v>3638</v>
      </c>
      <c r="C241" s="478" t="str">
        <f>VLOOKUP(B241,All!$B$4:$S$8977,2,FALSE)</f>
        <v xml:space="preserve">ឈឺន </v>
      </c>
      <c r="D241" s="479" t="str">
        <f>VLOOKUP(B241,All!$B$4:$S$89977,3,FALSE)</f>
        <v>ស្រីមួន</v>
      </c>
      <c r="E241" s="478" t="str">
        <f>VLOOKUP(B241,All!$B$4:$S$8977,4,FALSE)</f>
        <v xml:space="preserve">CHHEUN </v>
      </c>
      <c r="F241" s="479" t="str">
        <f>VLOOKUP(B241,All!$B$4:$S$8977,5,FALSE)</f>
        <v>SREY MUON</v>
      </c>
      <c r="G241" s="479" t="str">
        <f>VLOOKUP(B241,All!$B$4:$S$8977,6,FALSE)</f>
        <v>F</v>
      </c>
      <c r="H241" s="385">
        <f>VLOOKUP(B241,All!$B$4:$S$8977,7,FALSE)</f>
        <v>34163</v>
      </c>
      <c r="I241" s="154">
        <f>VLOOKUP(B241,All!$B$4:$S$8977,8,FALSE)</f>
        <v>43754</v>
      </c>
      <c r="J241" s="154" t="str">
        <f>VLOOKUP(B241,All!$B$4:$S$8977,9,FALSE)</f>
        <v>Production</v>
      </c>
      <c r="K241" s="154" t="str">
        <f>VLOOKUP(B241,All!$B$4:$S$8977,10,FALSE)</f>
        <v>Line5</v>
      </c>
      <c r="L241" s="698" t="str">
        <f>VLOOKUP(B241,All!$B$4:$S$8977,11,FALSE)</f>
        <v>Sewing operator</v>
      </c>
      <c r="M241" s="570">
        <f>VLOOKUP(B241,All!$B$4:$S$8977,12,FALSE)</f>
        <v>192</v>
      </c>
      <c r="N241" s="18">
        <f>VLOOKUP(B241,All!$B$4:$S$8977,13,FALSE)</f>
        <v>3</v>
      </c>
      <c r="O241" s="18">
        <f>VLOOKUP(B241,All!$B$4:$S$8977,14,FALSE)</f>
        <v>0</v>
      </c>
      <c r="P241" s="18">
        <f>VLOOKUP(B241,All!$B$4:$S$8977,15,FALSE)</f>
        <v>0</v>
      </c>
      <c r="Q241" s="18">
        <f>VLOOKUP(B241,All!$B$4:$S$8977,16,FALSE)</f>
        <v>0</v>
      </c>
      <c r="R241" s="18">
        <v>7</v>
      </c>
      <c r="S241" s="18">
        <v>10</v>
      </c>
      <c r="T241" s="550">
        <f t="shared" si="43"/>
        <v>212</v>
      </c>
      <c r="U241" s="568"/>
      <c r="V241" s="3"/>
      <c r="W241" s="3"/>
      <c r="X241" s="3"/>
      <c r="Y241" s="562"/>
      <c r="Z241" s="570">
        <f t="shared" si="44"/>
        <v>194</v>
      </c>
      <c r="AA241" s="18">
        <f t="shared" si="45"/>
        <v>3</v>
      </c>
      <c r="AB241" s="18">
        <f t="shared" si="46"/>
        <v>0</v>
      </c>
      <c r="AC241" s="18">
        <f t="shared" si="47"/>
        <v>0</v>
      </c>
      <c r="AD241" s="18">
        <f t="shared" si="48"/>
        <v>0</v>
      </c>
      <c r="AE241" s="18">
        <f t="shared" si="42"/>
        <v>7</v>
      </c>
      <c r="AF241" s="18">
        <f t="shared" si="42"/>
        <v>10</v>
      </c>
      <c r="AG241" s="550">
        <f t="shared" si="49"/>
        <v>214</v>
      </c>
      <c r="AH241" s="42">
        <v>2</v>
      </c>
      <c r="AI241" s="42">
        <v>0</v>
      </c>
      <c r="AJ241" s="42">
        <v>0</v>
      </c>
      <c r="AK241" s="42">
        <v>0</v>
      </c>
      <c r="AL241" s="42">
        <v>0</v>
      </c>
      <c r="AM241" s="42">
        <v>0</v>
      </c>
      <c r="AN241" s="42">
        <v>0</v>
      </c>
      <c r="AO241" s="42">
        <v>2</v>
      </c>
    </row>
    <row r="242" spans="1:41" ht="24" customHeight="1">
      <c r="A242" s="11">
        <f t="shared" si="41"/>
        <v>239</v>
      </c>
      <c r="B242" s="400">
        <v>3606</v>
      </c>
      <c r="C242" s="478" t="str">
        <f>VLOOKUP(B242,All!$B$4:$S$8977,2,FALSE)</f>
        <v>ផាន់</v>
      </c>
      <c r="D242" s="479" t="str">
        <f>VLOOKUP(B242,All!$B$4:$S$89977,3,FALSE)</f>
        <v>សុកៀន</v>
      </c>
      <c r="E242" s="478" t="str">
        <f>VLOOKUP(B242,All!$B$4:$S$8977,4,FALSE)</f>
        <v>PHAN</v>
      </c>
      <c r="F242" s="479" t="str">
        <f>VLOOKUP(B242,All!$B$4:$S$8977,5,FALSE)</f>
        <v>SOKIEN</v>
      </c>
      <c r="G242" s="479" t="str">
        <f>VLOOKUP(B242,All!$B$4:$S$8977,6,FALSE)</f>
        <v>F</v>
      </c>
      <c r="H242" s="385">
        <f>VLOOKUP(B242,All!$B$4:$S$8977,7,FALSE)</f>
        <v>29690</v>
      </c>
      <c r="I242" s="154">
        <f>VLOOKUP(B242,All!$B$4:$S$8977,8,FALSE)</f>
        <v>43750</v>
      </c>
      <c r="J242" s="154" t="str">
        <f>VLOOKUP(B242,All!$B$4:$S$8977,9,FALSE)</f>
        <v>Production</v>
      </c>
      <c r="K242" s="154" t="str">
        <f>VLOOKUP(B242,All!$B$4:$S$8977,10,FALSE)</f>
        <v>Line5</v>
      </c>
      <c r="L242" s="698" t="str">
        <f>VLOOKUP(B242,All!$B$4:$S$8977,11,FALSE)</f>
        <v>Sewing operator</v>
      </c>
      <c r="M242" s="570">
        <f>VLOOKUP(B242,All!$B$4:$S$8977,12,FALSE)</f>
        <v>192</v>
      </c>
      <c r="N242" s="18">
        <f>VLOOKUP(B242,All!$B$4:$S$8977,13,FALSE)</f>
        <v>3</v>
      </c>
      <c r="O242" s="18">
        <f>VLOOKUP(B242,All!$B$4:$S$8977,14,FALSE)</f>
        <v>0</v>
      </c>
      <c r="P242" s="18">
        <f>VLOOKUP(B242,All!$B$4:$S$8977,15,FALSE)</f>
        <v>0</v>
      </c>
      <c r="Q242" s="18">
        <f>VLOOKUP(B242,All!$B$4:$S$8977,16,FALSE)</f>
        <v>0</v>
      </c>
      <c r="R242" s="18">
        <v>7</v>
      </c>
      <c r="S242" s="18">
        <v>10</v>
      </c>
      <c r="T242" s="550">
        <f t="shared" si="43"/>
        <v>212</v>
      </c>
      <c r="U242" s="568"/>
      <c r="V242" s="3"/>
      <c r="W242" s="3"/>
      <c r="X242" s="3"/>
      <c r="Y242" s="562"/>
      <c r="Z242" s="570">
        <f t="shared" si="44"/>
        <v>194</v>
      </c>
      <c r="AA242" s="18">
        <f t="shared" si="45"/>
        <v>3</v>
      </c>
      <c r="AB242" s="18">
        <f t="shared" si="46"/>
        <v>0</v>
      </c>
      <c r="AC242" s="18">
        <f t="shared" si="47"/>
        <v>0</v>
      </c>
      <c r="AD242" s="18">
        <f t="shared" si="48"/>
        <v>0</v>
      </c>
      <c r="AE242" s="18">
        <f t="shared" si="42"/>
        <v>7</v>
      </c>
      <c r="AF242" s="18">
        <f t="shared" si="42"/>
        <v>10</v>
      </c>
      <c r="AG242" s="550">
        <f t="shared" si="49"/>
        <v>214</v>
      </c>
      <c r="AH242" s="42">
        <v>2</v>
      </c>
      <c r="AI242" s="42">
        <v>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2</v>
      </c>
    </row>
    <row r="243" spans="1:41" ht="24" customHeight="1">
      <c r="A243" s="11">
        <f t="shared" si="41"/>
        <v>240</v>
      </c>
      <c r="B243" s="400">
        <v>3637</v>
      </c>
      <c r="C243" s="478" t="str">
        <f>VLOOKUP(B243,All!$B$4:$S$8977,2,FALSE)</f>
        <v>ឌី</v>
      </c>
      <c r="D243" s="479" t="str">
        <f>VLOOKUP(B243,All!$B$4:$S$89977,3,FALSE)</f>
        <v>ស៊ីណា</v>
      </c>
      <c r="E243" s="478" t="str">
        <f>VLOOKUP(B243,All!$B$4:$S$8977,4,FALSE)</f>
        <v>DY</v>
      </c>
      <c r="F243" s="479" t="str">
        <f>VLOOKUP(B243,All!$B$4:$S$8977,5,FALSE)</f>
        <v>SINA</v>
      </c>
      <c r="G243" s="479" t="str">
        <f>VLOOKUP(B243,All!$B$4:$S$8977,6,FALSE)</f>
        <v>F</v>
      </c>
      <c r="H243" s="385">
        <f>VLOOKUP(B243,All!$B$4:$S$8977,7,FALSE)</f>
        <v>29805</v>
      </c>
      <c r="I243" s="154">
        <f>VLOOKUP(B243,All!$B$4:$S$8977,8,FALSE)</f>
        <v>43754</v>
      </c>
      <c r="J243" s="154" t="str">
        <f>VLOOKUP(B243,All!$B$4:$S$8977,9,FALSE)</f>
        <v>Production</v>
      </c>
      <c r="K243" s="154" t="str">
        <f>VLOOKUP(B243,All!$B$4:$S$8977,10,FALSE)</f>
        <v>Line5</v>
      </c>
      <c r="L243" s="698" t="str">
        <f>VLOOKUP(B243,All!$B$4:$S$8977,11,FALSE)</f>
        <v>Sewing operator</v>
      </c>
      <c r="M243" s="570">
        <f>VLOOKUP(B243,All!$B$4:$S$8977,12,FALSE)</f>
        <v>192</v>
      </c>
      <c r="N243" s="18">
        <f>VLOOKUP(B243,All!$B$4:$S$8977,13,FALSE)</f>
        <v>3</v>
      </c>
      <c r="O243" s="18">
        <f>VLOOKUP(B243,All!$B$4:$S$8977,14,FALSE)</f>
        <v>0</v>
      </c>
      <c r="P243" s="18">
        <f>VLOOKUP(B243,All!$B$4:$S$8977,15,FALSE)</f>
        <v>0</v>
      </c>
      <c r="Q243" s="18">
        <f>VLOOKUP(B243,All!$B$4:$S$8977,16,FALSE)</f>
        <v>0</v>
      </c>
      <c r="R243" s="18">
        <v>7</v>
      </c>
      <c r="S243" s="18">
        <v>10</v>
      </c>
      <c r="T243" s="550">
        <f t="shared" si="43"/>
        <v>212</v>
      </c>
      <c r="U243" s="568"/>
      <c r="V243" s="3"/>
      <c r="W243" s="3"/>
      <c r="X243" s="3"/>
      <c r="Y243" s="562"/>
      <c r="Z243" s="570">
        <f t="shared" si="44"/>
        <v>194</v>
      </c>
      <c r="AA243" s="18">
        <f t="shared" si="45"/>
        <v>3</v>
      </c>
      <c r="AB243" s="18">
        <f t="shared" si="46"/>
        <v>0</v>
      </c>
      <c r="AC243" s="18">
        <f t="shared" si="47"/>
        <v>0</v>
      </c>
      <c r="AD243" s="18">
        <f t="shared" si="48"/>
        <v>0</v>
      </c>
      <c r="AE243" s="18">
        <f t="shared" si="42"/>
        <v>7</v>
      </c>
      <c r="AF243" s="18">
        <f t="shared" si="42"/>
        <v>10</v>
      </c>
      <c r="AG243" s="550">
        <f t="shared" si="49"/>
        <v>214</v>
      </c>
      <c r="AH243" s="42">
        <v>2</v>
      </c>
      <c r="AI243" s="42">
        <v>0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2</v>
      </c>
    </row>
    <row r="244" spans="1:41" ht="24" customHeight="1">
      <c r="A244" s="11">
        <f t="shared" si="41"/>
        <v>241</v>
      </c>
      <c r="B244" s="400">
        <v>3639</v>
      </c>
      <c r="C244" s="478" t="str">
        <f>VLOOKUP(B244,All!$B$4:$S$8977,2,FALSE)</f>
        <v>វុទ្ធី</v>
      </c>
      <c r="D244" s="479" t="str">
        <f>VLOOKUP(B244,All!$B$4:$S$89977,3,FALSE)</f>
        <v>ម៉ានី</v>
      </c>
      <c r="E244" s="478" t="str">
        <f>VLOOKUP(B244,All!$B$4:$S$8977,4,FALSE)</f>
        <v>VUTHY</v>
      </c>
      <c r="F244" s="479" t="str">
        <f>VLOOKUP(B244,All!$B$4:$S$8977,5,FALSE)</f>
        <v>MANY</v>
      </c>
      <c r="G244" s="479" t="str">
        <f>VLOOKUP(B244,All!$B$4:$S$8977,6,FALSE)</f>
        <v>F</v>
      </c>
      <c r="H244" s="385">
        <f>VLOOKUP(B244,All!$B$4:$S$8977,7,FALSE)</f>
        <v>33614</v>
      </c>
      <c r="I244" s="154">
        <f>VLOOKUP(B244,All!$B$4:$S$8977,8,FALSE)</f>
        <v>43753</v>
      </c>
      <c r="J244" s="154" t="str">
        <f>VLOOKUP(B244,All!$B$4:$S$8977,9,FALSE)</f>
        <v>Production</v>
      </c>
      <c r="K244" s="154" t="str">
        <f>VLOOKUP(B244,All!$B$4:$S$8977,10,FALSE)</f>
        <v xml:space="preserve"> Line8</v>
      </c>
      <c r="L244" s="698" t="str">
        <f>VLOOKUP(B244,All!$B$4:$S$8977,11,FALSE)</f>
        <v>Sewing operator</v>
      </c>
      <c r="M244" s="570">
        <f>VLOOKUP(B244,All!$B$4:$S$8977,12,FALSE)</f>
        <v>192</v>
      </c>
      <c r="N244" s="18">
        <f>VLOOKUP(B244,All!$B$4:$S$8977,13,FALSE)</f>
        <v>3</v>
      </c>
      <c r="O244" s="18">
        <f>VLOOKUP(B244,All!$B$4:$S$8977,14,FALSE)</f>
        <v>0</v>
      </c>
      <c r="P244" s="18">
        <f>VLOOKUP(B244,All!$B$4:$S$8977,15,FALSE)</f>
        <v>0</v>
      </c>
      <c r="Q244" s="18">
        <f>VLOOKUP(B244,All!$B$4:$S$8977,16,FALSE)</f>
        <v>0</v>
      </c>
      <c r="R244" s="18">
        <v>7</v>
      </c>
      <c r="S244" s="18">
        <v>10</v>
      </c>
      <c r="T244" s="550">
        <f t="shared" si="43"/>
        <v>212</v>
      </c>
      <c r="U244" s="568"/>
      <c r="V244" s="3"/>
      <c r="W244" s="3"/>
      <c r="X244" s="3"/>
      <c r="Y244" s="562"/>
      <c r="Z244" s="570">
        <f t="shared" si="44"/>
        <v>194</v>
      </c>
      <c r="AA244" s="18">
        <f t="shared" si="45"/>
        <v>3</v>
      </c>
      <c r="AB244" s="18">
        <f t="shared" si="46"/>
        <v>0</v>
      </c>
      <c r="AC244" s="18">
        <f t="shared" si="47"/>
        <v>0</v>
      </c>
      <c r="AD244" s="18">
        <f t="shared" si="48"/>
        <v>0</v>
      </c>
      <c r="AE244" s="18">
        <f t="shared" si="42"/>
        <v>7</v>
      </c>
      <c r="AF244" s="18">
        <f t="shared" si="42"/>
        <v>10</v>
      </c>
      <c r="AG244" s="550">
        <f t="shared" si="49"/>
        <v>214</v>
      </c>
      <c r="AH244" s="42">
        <v>2</v>
      </c>
      <c r="AI244" s="42"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2</v>
      </c>
    </row>
    <row r="245" spans="1:41" ht="24" customHeight="1">
      <c r="A245" s="11">
        <f t="shared" si="41"/>
        <v>242</v>
      </c>
      <c r="B245" s="400">
        <v>3197</v>
      </c>
      <c r="C245" s="478" t="str">
        <f>VLOOKUP(B245,All!$B$4:$S$8977,2,FALSE)</f>
        <v>យ៉ាវ</v>
      </c>
      <c r="D245" s="479" t="str">
        <f>VLOOKUP(B245,All!$B$4:$S$89977,3,FALSE)</f>
        <v>ស៊ីណែត</v>
      </c>
      <c r="E245" s="478" t="str">
        <f>VLOOKUP(B245,All!$B$4:$S$8977,4,FALSE)</f>
        <v xml:space="preserve">YAV </v>
      </c>
      <c r="F245" s="479" t="str">
        <f>VLOOKUP(B245,All!$B$4:$S$8977,5,FALSE)</f>
        <v>SINAET</v>
      </c>
      <c r="G245" s="479" t="str">
        <f>VLOOKUP(B245,All!$B$4:$S$8977,6,FALSE)</f>
        <v>F</v>
      </c>
      <c r="H245" s="385">
        <f>VLOOKUP(B245,All!$B$4:$S$8977,7,FALSE)</f>
        <v>30900</v>
      </c>
      <c r="I245" s="154">
        <f>VLOOKUP(B245,All!$B$4:$S$8977,8,FALSE)</f>
        <v>43742</v>
      </c>
      <c r="J245" s="154" t="str">
        <f>VLOOKUP(B245,All!$B$4:$S$8977,9,FALSE)</f>
        <v>Production</v>
      </c>
      <c r="K245" s="154" t="str">
        <f>VLOOKUP(B245,All!$B$4:$S$8977,10,FALSE)</f>
        <v>Line5</v>
      </c>
      <c r="L245" s="698" t="str">
        <f>VLOOKUP(B245,All!$B$4:$S$8977,11,FALSE)</f>
        <v>Sewing operator</v>
      </c>
      <c r="M245" s="570">
        <f>VLOOKUP(B245,All!$B$4:$S$8977,12,FALSE)</f>
        <v>192</v>
      </c>
      <c r="N245" s="18">
        <f>VLOOKUP(B245,All!$B$4:$S$8977,13,FALSE)</f>
        <v>3</v>
      </c>
      <c r="O245" s="18">
        <f>VLOOKUP(B245,All!$B$4:$S$8977,14,FALSE)</f>
        <v>0</v>
      </c>
      <c r="P245" s="18">
        <f>VLOOKUP(B245,All!$B$4:$S$8977,15,FALSE)</f>
        <v>0</v>
      </c>
      <c r="Q245" s="18">
        <f>VLOOKUP(B245,All!$B$4:$S$8977,16,FALSE)</f>
        <v>0</v>
      </c>
      <c r="R245" s="18">
        <v>7</v>
      </c>
      <c r="S245" s="18">
        <v>10</v>
      </c>
      <c r="T245" s="550">
        <f t="shared" si="43"/>
        <v>212</v>
      </c>
      <c r="U245" s="568"/>
      <c r="V245" s="3"/>
      <c r="W245" s="3"/>
      <c r="X245" s="3"/>
      <c r="Y245" s="562"/>
      <c r="Z245" s="570">
        <f t="shared" si="44"/>
        <v>194</v>
      </c>
      <c r="AA245" s="18">
        <f t="shared" si="45"/>
        <v>3</v>
      </c>
      <c r="AB245" s="18">
        <f t="shared" si="46"/>
        <v>0</v>
      </c>
      <c r="AC245" s="18">
        <f t="shared" si="47"/>
        <v>0</v>
      </c>
      <c r="AD245" s="18">
        <f t="shared" si="48"/>
        <v>0</v>
      </c>
      <c r="AE245" s="18">
        <f t="shared" si="42"/>
        <v>7</v>
      </c>
      <c r="AF245" s="18">
        <f t="shared" si="42"/>
        <v>10</v>
      </c>
      <c r="AG245" s="550">
        <f t="shared" si="49"/>
        <v>214</v>
      </c>
      <c r="AH245" s="42">
        <v>2</v>
      </c>
      <c r="AI245" s="42">
        <v>0</v>
      </c>
      <c r="AJ245" s="42">
        <v>0</v>
      </c>
      <c r="AK245" s="42">
        <v>0</v>
      </c>
      <c r="AL245" s="42">
        <v>0</v>
      </c>
      <c r="AM245" s="42">
        <v>0</v>
      </c>
      <c r="AN245" s="42">
        <v>0</v>
      </c>
      <c r="AO245" s="42">
        <v>2</v>
      </c>
    </row>
    <row r="246" spans="1:41" ht="24" customHeight="1">
      <c r="A246" s="11">
        <f t="shared" si="41"/>
        <v>243</v>
      </c>
      <c r="B246" s="400">
        <v>3605</v>
      </c>
      <c r="C246" s="478" t="str">
        <f>VLOOKUP(B246,All!$B$4:$S$8977,2,FALSE)</f>
        <v>ឱ</v>
      </c>
      <c r="D246" s="479" t="str">
        <f>VLOOKUP(B246,All!$B$4:$S$89977,3,FALSE)</f>
        <v>ចិន្តា</v>
      </c>
      <c r="E246" s="478" t="str">
        <f>VLOOKUP(B246,All!$B$4:$S$8977,4,FALSE)</f>
        <v>OR</v>
      </c>
      <c r="F246" s="479" t="str">
        <f>VLOOKUP(B246,All!$B$4:$S$8977,5,FALSE)</f>
        <v>CHENDA</v>
      </c>
      <c r="G246" s="479" t="str">
        <f>VLOOKUP(B246,All!$B$4:$S$8977,6,FALSE)</f>
        <v>F</v>
      </c>
      <c r="H246" s="385">
        <f>VLOOKUP(B246,All!$B$4:$S$8977,7,FALSE)</f>
        <v>33947</v>
      </c>
      <c r="I246" s="154">
        <f>VLOOKUP(B246,All!$B$4:$S$8977,8,FALSE)</f>
        <v>43753</v>
      </c>
      <c r="J246" s="154" t="str">
        <f>VLOOKUP(B246,All!$B$4:$S$8977,9,FALSE)</f>
        <v>Production</v>
      </c>
      <c r="K246" s="154" t="str">
        <f>VLOOKUP(B246,All!$B$4:$S$8977,10,FALSE)</f>
        <v xml:space="preserve"> Line1</v>
      </c>
      <c r="L246" s="698" t="str">
        <f>VLOOKUP(B246,All!$B$4:$S$8977,11,FALSE)</f>
        <v>Sewing operator</v>
      </c>
      <c r="M246" s="570">
        <f>VLOOKUP(B246,All!$B$4:$S$8977,12,FALSE)</f>
        <v>192</v>
      </c>
      <c r="N246" s="18">
        <f>VLOOKUP(B246,All!$B$4:$S$8977,13,FALSE)</f>
        <v>3</v>
      </c>
      <c r="O246" s="18">
        <f>VLOOKUP(B246,All!$B$4:$S$8977,14,FALSE)</f>
        <v>0</v>
      </c>
      <c r="P246" s="18">
        <f>VLOOKUP(B246,All!$B$4:$S$8977,15,FALSE)</f>
        <v>0</v>
      </c>
      <c r="Q246" s="18">
        <f>VLOOKUP(B246,All!$B$4:$S$8977,16,FALSE)</f>
        <v>0</v>
      </c>
      <c r="R246" s="18">
        <v>7</v>
      </c>
      <c r="S246" s="18">
        <v>10</v>
      </c>
      <c r="T246" s="550">
        <f t="shared" si="43"/>
        <v>212</v>
      </c>
      <c r="U246" s="568"/>
      <c r="V246" s="3"/>
      <c r="W246" s="3"/>
      <c r="X246" s="3"/>
      <c r="Y246" s="562"/>
      <c r="Z246" s="570">
        <f t="shared" si="44"/>
        <v>194</v>
      </c>
      <c r="AA246" s="18">
        <f t="shared" si="45"/>
        <v>3</v>
      </c>
      <c r="AB246" s="18">
        <f t="shared" si="46"/>
        <v>0</v>
      </c>
      <c r="AC246" s="18">
        <f t="shared" si="47"/>
        <v>0</v>
      </c>
      <c r="AD246" s="18">
        <f t="shared" si="48"/>
        <v>0</v>
      </c>
      <c r="AE246" s="18">
        <f t="shared" si="42"/>
        <v>7</v>
      </c>
      <c r="AF246" s="18">
        <f t="shared" si="42"/>
        <v>10</v>
      </c>
      <c r="AG246" s="550">
        <f t="shared" si="49"/>
        <v>214</v>
      </c>
      <c r="AH246" s="42">
        <v>2</v>
      </c>
      <c r="AI246" s="42">
        <v>0</v>
      </c>
      <c r="AJ246" s="42">
        <v>0</v>
      </c>
      <c r="AK246" s="42">
        <v>0</v>
      </c>
      <c r="AL246" s="42">
        <v>0</v>
      </c>
      <c r="AM246" s="42">
        <v>0</v>
      </c>
      <c r="AN246" s="42">
        <v>0</v>
      </c>
      <c r="AO246" s="42">
        <v>2</v>
      </c>
    </row>
    <row r="247" spans="1:41" ht="24" customHeight="1">
      <c r="A247" s="11">
        <f t="shared" si="41"/>
        <v>244</v>
      </c>
      <c r="B247" s="400">
        <v>3516</v>
      </c>
      <c r="C247" s="478" t="str">
        <f>VLOOKUP(B247,All!$B$4:$S$8977,2,FALSE)</f>
        <v>តាន់</v>
      </c>
      <c r="D247" s="479" t="str">
        <f>VLOOKUP(B247,All!$B$4:$S$89977,3,FALSE)</f>
        <v>គឹមហា</v>
      </c>
      <c r="E247" s="478" t="str">
        <f>VLOOKUP(B247,All!$B$4:$S$8977,4,FALSE)</f>
        <v>TAN</v>
      </c>
      <c r="F247" s="479" t="str">
        <f>VLOOKUP(B247,All!$B$4:$S$8977,5,FALSE)</f>
        <v>KIMHA</v>
      </c>
      <c r="G247" s="479" t="str">
        <f>VLOOKUP(B247,All!$B$4:$S$8977,6,FALSE)</f>
        <v>F</v>
      </c>
      <c r="H247" s="385">
        <f>VLOOKUP(B247,All!$B$4:$S$8977,7,FALSE)</f>
        <v>30384</v>
      </c>
      <c r="I247" s="154">
        <f>VLOOKUP(B247,All!$B$4:$S$8977,8,FALSE)</f>
        <v>43746</v>
      </c>
      <c r="J247" s="154" t="str">
        <f>VLOOKUP(B247,All!$B$4:$S$8977,9,FALSE)</f>
        <v>Production</v>
      </c>
      <c r="K247" s="154" t="str">
        <f>VLOOKUP(B247,All!$B$4:$S$8977,10,FALSE)</f>
        <v xml:space="preserve"> Line6</v>
      </c>
      <c r="L247" s="698" t="str">
        <f>VLOOKUP(B247,All!$B$4:$S$8977,11,FALSE)</f>
        <v>Sewing operator</v>
      </c>
      <c r="M247" s="570">
        <f>VLOOKUP(B247,All!$B$4:$S$8977,12,FALSE)</f>
        <v>192</v>
      </c>
      <c r="N247" s="18">
        <f>VLOOKUP(B247,All!$B$4:$S$8977,13,FALSE)</f>
        <v>3</v>
      </c>
      <c r="O247" s="18">
        <f>VLOOKUP(B247,All!$B$4:$S$8977,14,FALSE)</f>
        <v>0</v>
      </c>
      <c r="P247" s="18">
        <f>VLOOKUP(B247,All!$B$4:$S$8977,15,FALSE)</f>
        <v>0</v>
      </c>
      <c r="Q247" s="18">
        <f>VLOOKUP(B247,All!$B$4:$S$8977,16,FALSE)</f>
        <v>0</v>
      </c>
      <c r="R247" s="18">
        <v>7</v>
      </c>
      <c r="S247" s="18">
        <v>10</v>
      </c>
      <c r="T247" s="550">
        <f t="shared" si="43"/>
        <v>212</v>
      </c>
      <c r="U247" s="568"/>
      <c r="V247" s="3"/>
      <c r="W247" s="3"/>
      <c r="X247" s="3"/>
      <c r="Y247" s="562"/>
      <c r="Z247" s="570">
        <f t="shared" si="44"/>
        <v>194</v>
      </c>
      <c r="AA247" s="18">
        <f t="shared" si="45"/>
        <v>3</v>
      </c>
      <c r="AB247" s="18">
        <f t="shared" si="46"/>
        <v>0</v>
      </c>
      <c r="AC247" s="18">
        <f t="shared" si="47"/>
        <v>0</v>
      </c>
      <c r="AD247" s="18">
        <f t="shared" si="48"/>
        <v>0</v>
      </c>
      <c r="AE247" s="18">
        <f t="shared" si="42"/>
        <v>7</v>
      </c>
      <c r="AF247" s="18">
        <f t="shared" si="42"/>
        <v>10</v>
      </c>
      <c r="AG247" s="550">
        <f t="shared" si="49"/>
        <v>214</v>
      </c>
      <c r="AH247" s="42">
        <v>2</v>
      </c>
      <c r="AI247" s="42">
        <v>0</v>
      </c>
      <c r="AJ247" s="42">
        <v>0</v>
      </c>
      <c r="AK247" s="42">
        <v>0</v>
      </c>
      <c r="AL247" s="42">
        <v>0</v>
      </c>
      <c r="AM247" s="42">
        <v>0</v>
      </c>
      <c r="AN247" s="42">
        <v>0</v>
      </c>
      <c r="AO247" s="42">
        <v>2</v>
      </c>
    </row>
    <row r="248" spans="1:41" ht="24" customHeight="1">
      <c r="A248" s="11">
        <f t="shared" si="41"/>
        <v>245</v>
      </c>
      <c r="B248" s="400">
        <v>3520</v>
      </c>
      <c r="C248" s="478" t="str">
        <f>VLOOKUP(B248,All!$B$4:$S$8977,2,FALSE)</f>
        <v>ញ៉ាញ់</v>
      </c>
      <c r="D248" s="479" t="str">
        <f>VLOOKUP(B248,All!$B$4:$S$89977,3,FALSE)</f>
        <v>សុគា</v>
      </c>
      <c r="E248" s="478" t="str">
        <f>VLOOKUP(B248,All!$B$4:$S$8977,4,FALSE)</f>
        <v>NHANH</v>
      </c>
      <c r="F248" s="479" t="str">
        <f>VLOOKUP(B248,All!$B$4:$S$8977,5,FALSE)</f>
        <v>SOKEA</v>
      </c>
      <c r="G248" s="479" t="str">
        <f>VLOOKUP(B248,All!$B$4:$S$8977,6,FALSE)</f>
        <v>F</v>
      </c>
      <c r="H248" s="385">
        <f>VLOOKUP(B248,All!$B$4:$S$8977,7,FALSE)</f>
        <v>30353</v>
      </c>
      <c r="I248" s="154">
        <f>VLOOKUP(B248,All!$B$4:$S$8977,8,FALSE)</f>
        <v>43746</v>
      </c>
      <c r="J248" s="154" t="str">
        <f>VLOOKUP(B248,All!$B$4:$S$8977,9,FALSE)</f>
        <v>Production</v>
      </c>
      <c r="K248" s="154" t="str">
        <f>VLOOKUP(B248,All!$B$4:$S$8977,10,FALSE)</f>
        <v xml:space="preserve"> Line15</v>
      </c>
      <c r="L248" s="698" t="str">
        <f>VLOOKUP(B248,All!$B$4:$S$8977,11,FALSE)</f>
        <v>Sewing operator</v>
      </c>
      <c r="M248" s="570">
        <f>VLOOKUP(B248,All!$B$4:$S$8977,12,FALSE)</f>
        <v>192</v>
      </c>
      <c r="N248" s="18">
        <f>VLOOKUP(B248,All!$B$4:$S$8977,13,FALSE)</f>
        <v>3</v>
      </c>
      <c r="O248" s="18">
        <f>VLOOKUP(B248,All!$B$4:$S$8977,14,FALSE)</f>
        <v>0</v>
      </c>
      <c r="P248" s="18">
        <f>VLOOKUP(B248,All!$B$4:$S$8977,15,FALSE)</f>
        <v>0</v>
      </c>
      <c r="Q248" s="18">
        <f>VLOOKUP(B248,All!$B$4:$S$8977,16,FALSE)</f>
        <v>0</v>
      </c>
      <c r="R248" s="18">
        <v>7</v>
      </c>
      <c r="S248" s="18">
        <v>10</v>
      </c>
      <c r="T248" s="550">
        <f t="shared" si="43"/>
        <v>212</v>
      </c>
      <c r="U248" s="568"/>
      <c r="V248" s="3"/>
      <c r="W248" s="3"/>
      <c r="X248" s="3"/>
      <c r="Y248" s="562"/>
      <c r="Z248" s="570">
        <f t="shared" si="44"/>
        <v>194</v>
      </c>
      <c r="AA248" s="18">
        <f t="shared" si="45"/>
        <v>3</v>
      </c>
      <c r="AB248" s="18">
        <f t="shared" si="46"/>
        <v>0</v>
      </c>
      <c r="AC248" s="18">
        <f t="shared" si="47"/>
        <v>0</v>
      </c>
      <c r="AD248" s="18">
        <f t="shared" si="48"/>
        <v>0</v>
      </c>
      <c r="AE248" s="18">
        <f t="shared" si="42"/>
        <v>7</v>
      </c>
      <c r="AF248" s="18">
        <f t="shared" si="42"/>
        <v>10</v>
      </c>
      <c r="AG248" s="550">
        <f t="shared" si="49"/>
        <v>214</v>
      </c>
      <c r="AH248" s="42">
        <v>2</v>
      </c>
      <c r="AI248" s="42">
        <v>0</v>
      </c>
      <c r="AJ248" s="42">
        <v>0</v>
      </c>
      <c r="AK248" s="42">
        <v>0</v>
      </c>
      <c r="AL248" s="42">
        <v>0</v>
      </c>
      <c r="AM248" s="42">
        <v>0</v>
      </c>
      <c r="AN248" s="42">
        <v>0</v>
      </c>
      <c r="AO248" s="42">
        <v>2</v>
      </c>
    </row>
    <row r="249" spans="1:41" ht="24" customHeight="1">
      <c r="A249" s="11">
        <f t="shared" si="41"/>
        <v>246</v>
      </c>
      <c r="B249" s="400">
        <v>3196</v>
      </c>
      <c r="C249" s="478" t="str">
        <f>VLOOKUP(B249,All!$B$4:$S$8977,2,FALSE)</f>
        <v>វួន</v>
      </c>
      <c r="D249" s="479" t="str">
        <f>VLOOKUP(B249,All!$B$4:$S$89977,3,FALSE)</f>
        <v>ស្រីមុំ</v>
      </c>
      <c r="E249" s="478" t="str">
        <f>VLOOKUP(B249,All!$B$4:$S$8977,4,FALSE)</f>
        <v>VUON</v>
      </c>
      <c r="F249" s="479" t="str">
        <f>VLOOKUP(B249,All!$B$4:$S$8977,5,FALSE)</f>
        <v>SREYMOM</v>
      </c>
      <c r="G249" s="479" t="str">
        <f>VLOOKUP(B249,All!$B$4:$S$8977,6,FALSE)</f>
        <v>F</v>
      </c>
      <c r="H249" s="385">
        <f>VLOOKUP(B249,All!$B$4:$S$8977,7,FALSE)</f>
        <v>33755</v>
      </c>
      <c r="I249" s="154">
        <f>VLOOKUP(B249,All!$B$4:$S$8977,8,FALSE)</f>
        <v>43742</v>
      </c>
      <c r="J249" s="154" t="str">
        <f>VLOOKUP(B249,All!$B$4:$S$8977,9,FALSE)</f>
        <v>Production</v>
      </c>
      <c r="K249" s="154" t="str">
        <f>VLOOKUP(B249,All!$B$4:$S$8977,10,FALSE)</f>
        <v xml:space="preserve"> Line19</v>
      </c>
      <c r="L249" s="698" t="str">
        <f>VLOOKUP(B249,All!$B$4:$S$8977,11,FALSE)</f>
        <v>Sewing operator</v>
      </c>
      <c r="M249" s="570">
        <f>VLOOKUP(B249,All!$B$4:$S$8977,12,FALSE)</f>
        <v>192</v>
      </c>
      <c r="N249" s="18">
        <f>VLOOKUP(B249,All!$B$4:$S$8977,13,FALSE)</f>
        <v>3</v>
      </c>
      <c r="O249" s="18">
        <f>VLOOKUP(B249,All!$B$4:$S$8977,14,FALSE)</f>
        <v>0</v>
      </c>
      <c r="P249" s="18">
        <f>VLOOKUP(B249,All!$B$4:$S$8977,15,FALSE)</f>
        <v>0</v>
      </c>
      <c r="Q249" s="18">
        <f>VLOOKUP(B249,All!$B$4:$S$8977,16,FALSE)</f>
        <v>0</v>
      </c>
      <c r="R249" s="18">
        <v>7</v>
      </c>
      <c r="S249" s="18">
        <v>10</v>
      </c>
      <c r="T249" s="550">
        <f t="shared" si="43"/>
        <v>212</v>
      </c>
      <c r="U249" s="568"/>
      <c r="V249" s="3"/>
      <c r="W249" s="3"/>
      <c r="X249" s="3"/>
      <c r="Y249" s="562"/>
      <c r="Z249" s="570">
        <f t="shared" si="44"/>
        <v>194</v>
      </c>
      <c r="AA249" s="18">
        <f t="shared" si="45"/>
        <v>3</v>
      </c>
      <c r="AB249" s="18">
        <f t="shared" si="46"/>
        <v>0</v>
      </c>
      <c r="AC249" s="18">
        <f t="shared" si="47"/>
        <v>0</v>
      </c>
      <c r="AD249" s="18">
        <f t="shared" si="48"/>
        <v>0</v>
      </c>
      <c r="AE249" s="18">
        <f t="shared" si="42"/>
        <v>7</v>
      </c>
      <c r="AF249" s="18">
        <f t="shared" si="42"/>
        <v>10</v>
      </c>
      <c r="AG249" s="550">
        <f t="shared" si="49"/>
        <v>214</v>
      </c>
      <c r="AH249" s="42">
        <v>2</v>
      </c>
      <c r="AI249" s="42">
        <v>0</v>
      </c>
      <c r="AJ249" s="42">
        <v>0</v>
      </c>
      <c r="AK249" s="42">
        <v>0</v>
      </c>
      <c r="AL249" s="42">
        <v>0</v>
      </c>
      <c r="AM249" s="42">
        <v>0</v>
      </c>
      <c r="AN249" s="42">
        <v>0</v>
      </c>
      <c r="AO249" s="42">
        <v>2</v>
      </c>
    </row>
    <row r="250" spans="1:41" ht="24" customHeight="1">
      <c r="A250" s="11">
        <f t="shared" si="41"/>
        <v>247</v>
      </c>
      <c r="B250" s="400">
        <v>3228</v>
      </c>
      <c r="C250" s="478" t="str">
        <f>VLOOKUP(B250,All!$B$4:$S$8977,2,FALSE)</f>
        <v>យ៉េត</v>
      </c>
      <c r="D250" s="479" t="str">
        <f>VLOOKUP(B250,All!$B$4:$S$89977,3,FALSE)</f>
        <v>គន្ធា</v>
      </c>
      <c r="E250" s="478" t="str">
        <f>VLOOKUP(B250,All!$B$4:$S$8977,4,FALSE)</f>
        <v>YET</v>
      </c>
      <c r="F250" s="479" t="str">
        <f>VLOOKUP(B250,All!$B$4:$S$8977,5,FALSE)</f>
        <v>KUNTHEA</v>
      </c>
      <c r="G250" s="479" t="str">
        <f>VLOOKUP(B250,All!$B$4:$S$8977,6,FALSE)</f>
        <v>F</v>
      </c>
      <c r="H250" s="385">
        <f>VLOOKUP(B250,All!$B$4:$S$8977,7,FALSE)</f>
        <v>30744</v>
      </c>
      <c r="I250" s="154">
        <f>VLOOKUP(B250,All!$B$4:$S$8977,8,FALSE)</f>
        <v>43742</v>
      </c>
      <c r="J250" s="154" t="str">
        <f>VLOOKUP(B250,All!$B$4:$S$8977,9,FALSE)</f>
        <v>Production</v>
      </c>
      <c r="K250" s="154" t="str">
        <f>VLOOKUP(B250,All!$B$4:$S$8977,10,FALSE)</f>
        <v xml:space="preserve"> Line5</v>
      </c>
      <c r="L250" s="698" t="str">
        <f>VLOOKUP(B250,All!$B$4:$S$8977,11,FALSE)</f>
        <v>Sewing operator</v>
      </c>
      <c r="M250" s="570">
        <f>VLOOKUP(B250,All!$B$4:$S$8977,12,FALSE)</f>
        <v>192</v>
      </c>
      <c r="N250" s="18">
        <f>VLOOKUP(B250,All!$B$4:$S$8977,13,FALSE)</f>
        <v>3</v>
      </c>
      <c r="O250" s="18">
        <f>VLOOKUP(B250,All!$B$4:$S$8977,14,FALSE)</f>
        <v>0</v>
      </c>
      <c r="P250" s="18">
        <f>VLOOKUP(B250,All!$B$4:$S$8977,15,FALSE)</f>
        <v>30</v>
      </c>
      <c r="Q250" s="18">
        <f>VLOOKUP(B250,All!$B$4:$S$8977,16,FALSE)</f>
        <v>0</v>
      </c>
      <c r="R250" s="18">
        <v>7</v>
      </c>
      <c r="S250" s="18">
        <v>10</v>
      </c>
      <c r="T250" s="550">
        <f t="shared" si="43"/>
        <v>242</v>
      </c>
      <c r="U250" s="568"/>
      <c r="V250" s="3"/>
      <c r="W250" s="3"/>
      <c r="X250" s="3"/>
      <c r="Y250" s="562"/>
      <c r="Z250" s="570">
        <f t="shared" si="44"/>
        <v>194</v>
      </c>
      <c r="AA250" s="18">
        <f t="shared" si="45"/>
        <v>3</v>
      </c>
      <c r="AB250" s="18">
        <f t="shared" si="46"/>
        <v>0</v>
      </c>
      <c r="AC250" s="18">
        <f t="shared" si="47"/>
        <v>30</v>
      </c>
      <c r="AD250" s="18">
        <f t="shared" si="48"/>
        <v>0</v>
      </c>
      <c r="AE250" s="18">
        <f t="shared" si="42"/>
        <v>7</v>
      </c>
      <c r="AF250" s="18">
        <f t="shared" si="42"/>
        <v>10</v>
      </c>
      <c r="AG250" s="550">
        <f t="shared" si="49"/>
        <v>244</v>
      </c>
      <c r="AH250" s="42">
        <v>2</v>
      </c>
      <c r="AI250" s="42">
        <v>0</v>
      </c>
      <c r="AJ250" s="42">
        <v>0</v>
      </c>
      <c r="AK250" s="42">
        <v>0</v>
      </c>
      <c r="AL250" s="42">
        <v>0</v>
      </c>
      <c r="AM250" s="42">
        <v>0</v>
      </c>
      <c r="AN250" s="42">
        <v>0</v>
      </c>
      <c r="AO250" s="42">
        <v>2</v>
      </c>
    </row>
    <row r="251" spans="1:41" ht="24" customHeight="1">
      <c r="A251" s="11">
        <f t="shared" si="41"/>
        <v>248</v>
      </c>
      <c r="B251" s="400">
        <v>3563</v>
      </c>
      <c r="C251" s="478" t="str">
        <f>VLOOKUP(B251,All!$B$4:$S$8977,2,FALSE)</f>
        <v>គិត</v>
      </c>
      <c r="D251" s="479" t="str">
        <f>VLOOKUP(B251,All!$B$4:$S$89977,3,FALSE)</f>
        <v>មុំ</v>
      </c>
      <c r="E251" s="478" t="str">
        <f>VLOOKUP(B251,All!$B$4:$S$8977,4,FALSE)</f>
        <v>KIT</v>
      </c>
      <c r="F251" s="479" t="str">
        <f>VLOOKUP(B251,All!$B$4:$S$8977,5,FALSE)</f>
        <v>MOM</v>
      </c>
      <c r="G251" s="479" t="str">
        <f>VLOOKUP(B251,All!$B$4:$S$8977,6,FALSE)</f>
        <v>F</v>
      </c>
      <c r="H251" s="385">
        <f>VLOOKUP(B251,All!$B$4:$S$8977,7,FALSE)</f>
        <v>29867</v>
      </c>
      <c r="I251" s="154">
        <f>VLOOKUP(B251,All!$B$4:$S$8977,8,FALSE)</f>
        <v>43748</v>
      </c>
      <c r="J251" s="154" t="str">
        <f>VLOOKUP(B251,All!$B$4:$S$8977,9,FALSE)</f>
        <v>Production</v>
      </c>
      <c r="K251" s="154" t="str">
        <f>VLOOKUP(B251,All!$B$4:$S$8977,10,FALSE)</f>
        <v xml:space="preserve"> Line6</v>
      </c>
      <c r="L251" s="698" t="str">
        <f>VLOOKUP(B251,All!$B$4:$S$8977,11,FALSE)</f>
        <v>Sewing operator</v>
      </c>
      <c r="M251" s="570">
        <f>VLOOKUP(B251,All!$B$4:$S$8977,12,FALSE)</f>
        <v>192</v>
      </c>
      <c r="N251" s="18">
        <f>VLOOKUP(B251,All!$B$4:$S$8977,13,FALSE)</f>
        <v>3</v>
      </c>
      <c r="O251" s="18">
        <f>VLOOKUP(B251,All!$B$4:$S$8977,14,FALSE)</f>
        <v>0</v>
      </c>
      <c r="P251" s="18">
        <f>VLOOKUP(B251,All!$B$4:$S$8977,15,FALSE)</f>
        <v>0</v>
      </c>
      <c r="Q251" s="18">
        <f>VLOOKUP(B251,All!$B$4:$S$8977,16,FALSE)</f>
        <v>0</v>
      </c>
      <c r="R251" s="18">
        <v>7</v>
      </c>
      <c r="S251" s="18">
        <v>10</v>
      </c>
      <c r="T251" s="550">
        <f t="shared" si="43"/>
        <v>212</v>
      </c>
      <c r="U251" s="568"/>
      <c r="V251" s="3"/>
      <c r="W251" s="3"/>
      <c r="X251" s="3"/>
      <c r="Y251" s="562"/>
      <c r="Z251" s="570">
        <f t="shared" si="44"/>
        <v>194</v>
      </c>
      <c r="AA251" s="18">
        <f t="shared" si="45"/>
        <v>3</v>
      </c>
      <c r="AB251" s="18">
        <f t="shared" si="46"/>
        <v>0</v>
      </c>
      <c r="AC251" s="18">
        <f t="shared" si="47"/>
        <v>0</v>
      </c>
      <c r="AD251" s="18">
        <f t="shared" si="48"/>
        <v>0</v>
      </c>
      <c r="AE251" s="18">
        <f t="shared" ref="AE251:AF283" si="50">R251</f>
        <v>7</v>
      </c>
      <c r="AF251" s="18">
        <f t="shared" si="50"/>
        <v>10</v>
      </c>
      <c r="AG251" s="550">
        <f t="shared" si="49"/>
        <v>214</v>
      </c>
      <c r="AH251" s="42">
        <v>2</v>
      </c>
      <c r="AI251" s="42">
        <v>0</v>
      </c>
      <c r="AJ251" s="42">
        <v>0</v>
      </c>
      <c r="AK251" s="42">
        <v>0</v>
      </c>
      <c r="AL251" s="42">
        <v>0</v>
      </c>
      <c r="AM251" s="42">
        <v>0</v>
      </c>
      <c r="AN251" s="42">
        <v>0</v>
      </c>
      <c r="AO251" s="42">
        <v>2</v>
      </c>
    </row>
    <row r="252" spans="1:41" ht="24" customHeight="1">
      <c r="A252" s="11">
        <f t="shared" si="41"/>
        <v>249</v>
      </c>
      <c r="B252" s="400">
        <v>3539</v>
      </c>
      <c r="C252" s="478" t="str">
        <f>VLOOKUP(B252,All!$B$4:$S$8977,2,FALSE)</f>
        <v>កឹម</v>
      </c>
      <c r="D252" s="479" t="str">
        <f>VLOOKUP(B252,All!$B$4:$S$89977,3,FALSE)</f>
        <v>យ៉េត</v>
      </c>
      <c r="E252" s="478" t="str">
        <f>VLOOKUP(B252,All!$B$4:$S$8977,4,FALSE)</f>
        <v>KOEM</v>
      </c>
      <c r="F252" s="479" t="str">
        <f>VLOOKUP(B252,All!$B$4:$S$8977,5,FALSE)</f>
        <v>YET</v>
      </c>
      <c r="G252" s="479" t="str">
        <f>VLOOKUP(B252,All!$B$4:$S$8977,6,FALSE)</f>
        <v>F</v>
      </c>
      <c r="H252" s="385">
        <f>VLOOKUP(B252,All!$B$4:$S$8977,7,FALSE)</f>
        <v>33383</v>
      </c>
      <c r="I252" s="154">
        <f>VLOOKUP(B252,All!$B$4:$S$8977,8,FALSE)</f>
        <v>43747</v>
      </c>
      <c r="J252" s="154" t="str">
        <f>VLOOKUP(B252,All!$B$4:$S$8977,9,FALSE)</f>
        <v>Production</v>
      </c>
      <c r="K252" s="154" t="str">
        <f>VLOOKUP(B252,All!$B$4:$S$8977,10,FALSE)</f>
        <v>Line5</v>
      </c>
      <c r="L252" s="698" t="str">
        <f>VLOOKUP(B252,All!$B$4:$S$8977,11,FALSE)</f>
        <v>Sewing operator</v>
      </c>
      <c r="M252" s="570">
        <f>VLOOKUP(B252,All!$B$4:$S$8977,12,FALSE)</f>
        <v>192</v>
      </c>
      <c r="N252" s="18">
        <f>VLOOKUP(B252,All!$B$4:$S$8977,13,FALSE)</f>
        <v>3</v>
      </c>
      <c r="O252" s="18">
        <f>VLOOKUP(B252,All!$B$4:$S$8977,14,FALSE)</f>
        <v>0</v>
      </c>
      <c r="P252" s="18">
        <f>VLOOKUP(B252,All!$B$4:$S$8977,15,FALSE)</f>
        <v>0</v>
      </c>
      <c r="Q252" s="18">
        <f>VLOOKUP(B252,All!$B$4:$S$8977,16,FALSE)</f>
        <v>0</v>
      </c>
      <c r="R252" s="18">
        <v>7</v>
      </c>
      <c r="S252" s="18">
        <v>10</v>
      </c>
      <c r="T252" s="550">
        <f t="shared" si="43"/>
        <v>212</v>
      </c>
      <c r="U252" s="568"/>
      <c r="V252" s="3"/>
      <c r="W252" s="3"/>
      <c r="X252" s="3"/>
      <c r="Y252" s="562"/>
      <c r="Z252" s="570">
        <f t="shared" si="44"/>
        <v>194</v>
      </c>
      <c r="AA252" s="18">
        <f t="shared" si="45"/>
        <v>3</v>
      </c>
      <c r="AB252" s="18">
        <f t="shared" si="46"/>
        <v>0</v>
      </c>
      <c r="AC252" s="18">
        <f t="shared" si="47"/>
        <v>0</v>
      </c>
      <c r="AD252" s="18">
        <f t="shared" si="48"/>
        <v>0</v>
      </c>
      <c r="AE252" s="18">
        <f t="shared" si="50"/>
        <v>7</v>
      </c>
      <c r="AF252" s="18">
        <f t="shared" si="50"/>
        <v>10</v>
      </c>
      <c r="AG252" s="550">
        <f t="shared" si="49"/>
        <v>214</v>
      </c>
      <c r="AH252" s="42">
        <v>2</v>
      </c>
      <c r="AI252" s="42">
        <v>0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2</v>
      </c>
    </row>
    <row r="253" spans="1:41" ht="24" customHeight="1">
      <c r="A253" s="11">
        <f t="shared" si="41"/>
        <v>250</v>
      </c>
      <c r="B253" s="400">
        <v>3641</v>
      </c>
      <c r="C253" s="478" t="str">
        <f>VLOOKUP(B253,All!$B$4:$S$8977,2,FALSE)</f>
        <v>ផាន</v>
      </c>
      <c r="D253" s="479" t="str">
        <f>VLOOKUP(B253,All!$B$4:$S$89977,3,FALSE)</f>
        <v>ស៊ីណាន</v>
      </c>
      <c r="E253" s="478" t="str">
        <f>VLOOKUP(B253,All!$B$4:$S$8977,4,FALSE)</f>
        <v>PHAN</v>
      </c>
      <c r="F253" s="479" t="str">
        <f>VLOOKUP(B253,All!$B$4:$S$8977,5,FALSE)</f>
        <v>SINAN</v>
      </c>
      <c r="G253" s="479" t="str">
        <f>VLOOKUP(B253,All!$B$4:$S$8977,6,FALSE)</f>
        <v>F</v>
      </c>
      <c r="H253" s="385">
        <f>VLOOKUP(B253,All!$B$4:$S$8977,7,FALSE)</f>
        <v>28887</v>
      </c>
      <c r="I253" s="154">
        <f>VLOOKUP(B253,All!$B$4:$S$8977,8,FALSE)</f>
        <v>43755</v>
      </c>
      <c r="J253" s="154" t="str">
        <f>VLOOKUP(B253,All!$B$4:$S$8977,9,FALSE)</f>
        <v>Production</v>
      </c>
      <c r="K253" s="154" t="str">
        <f>VLOOKUP(B253,All!$B$4:$S$8977,10,FALSE)</f>
        <v>Line10</v>
      </c>
      <c r="L253" s="698" t="str">
        <f>VLOOKUP(B253,All!$B$4:$S$8977,11,FALSE)</f>
        <v>Sewing operator</v>
      </c>
      <c r="M253" s="570">
        <f>VLOOKUP(B253,All!$B$4:$S$8977,12,FALSE)</f>
        <v>192</v>
      </c>
      <c r="N253" s="18">
        <f>VLOOKUP(B253,All!$B$4:$S$8977,13,FALSE)</f>
        <v>3</v>
      </c>
      <c r="O253" s="18">
        <f>VLOOKUP(B253,All!$B$4:$S$8977,14,FALSE)</f>
        <v>0</v>
      </c>
      <c r="P253" s="18">
        <f>VLOOKUP(B253,All!$B$4:$S$8977,15,FALSE)</f>
        <v>0</v>
      </c>
      <c r="Q253" s="18">
        <f>VLOOKUP(B253,All!$B$4:$S$8977,16,FALSE)</f>
        <v>0</v>
      </c>
      <c r="R253" s="18">
        <v>7</v>
      </c>
      <c r="S253" s="18">
        <v>10</v>
      </c>
      <c r="T253" s="550">
        <f t="shared" si="43"/>
        <v>212</v>
      </c>
      <c r="U253" s="568"/>
      <c r="V253" s="3"/>
      <c r="W253" s="3"/>
      <c r="X253" s="3"/>
      <c r="Y253" s="562"/>
      <c r="Z253" s="570">
        <f t="shared" si="44"/>
        <v>194</v>
      </c>
      <c r="AA253" s="18">
        <f t="shared" si="45"/>
        <v>3</v>
      </c>
      <c r="AB253" s="18">
        <f t="shared" si="46"/>
        <v>0</v>
      </c>
      <c r="AC253" s="18">
        <f t="shared" si="47"/>
        <v>0</v>
      </c>
      <c r="AD253" s="18">
        <f t="shared" si="48"/>
        <v>0</v>
      </c>
      <c r="AE253" s="18">
        <f t="shared" si="50"/>
        <v>7</v>
      </c>
      <c r="AF253" s="18">
        <f t="shared" si="50"/>
        <v>10</v>
      </c>
      <c r="AG253" s="550">
        <f t="shared" si="49"/>
        <v>214</v>
      </c>
      <c r="AH253" s="42">
        <v>2</v>
      </c>
      <c r="AI253" s="42">
        <v>0</v>
      </c>
      <c r="AJ253" s="42">
        <v>0</v>
      </c>
      <c r="AK253" s="42">
        <v>0</v>
      </c>
      <c r="AL253" s="42">
        <v>0</v>
      </c>
      <c r="AM253" s="42">
        <v>0</v>
      </c>
      <c r="AN253" s="42">
        <v>0</v>
      </c>
      <c r="AO253" s="42">
        <v>2</v>
      </c>
    </row>
    <row r="254" spans="1:41" ht="24" customHeight="1">
      <c r="A254" s="11">
        <f t="shared" si="41"/>
        <v>251</v>
      </c>
      <c r="B254" s="400">
        <v>3640</v>
      </c>
      <c r="C254" s="478" t="str">
        <f>VLOOKUP(B254,All!$B$4:$S$8977,2,FALSE)</f>
        <v>ព្រំ</v>
      </c>
      <c r="D254" s="479" t="str">
        <f>VLOOKUP(B254,All!$B$4:$S$89977,3,FALSE)</f>
        <v>ហែម</v>
      </c>
      <c r="E254" s="478" t="str">
        <f>VLOOKUP(B254,All!$B$4:$S$8977,4,FALSE)</f>
        <v>PRUM</v>
      </c>
      <c r="F254" s="479" t="str">
        <f>VLOOKUP(B254,All!$B$4:$S$8977,5,FALSE)</f>
        <v>HEM</v>
      </c>
      <c r="G254" s="479" t="str">
        <f>VLOOKUP(B254,All!$B$4:$S$8977,6,FALSE)</f>
        <v>M</v>
      </c>
      <c r="H254" s="385">
        <f>VLOOKUP(B254,All!$B$4:$S$8977,7,FALSE)</f>
        <v>33700</v>
      </c>
      <c r="I254" s="154">
        <f>VLOOKUP(B254,All!$B$4:$S$8977,8,FALSE)</f>
        <v>43753</v>
      </c>
      <c r="J254" s="154" t="str">
        <f>VLOOKUP(B254,All!$B$4:$S$8977,9,FALSE)</f>
        <v>Production</v>
      </c>
      <c r="K254" s="154" t="str">
        <f>VLOOKUP(B254,All!$B$4:$S$8977,10,FALSE)</f>
        <v xml:space="preserve"> Line6</v>
      </c>
      <c r="L254" s="698" t="str">
        <f>VLOOKUP(B254,All!$B$4:$S$8977,11,FALSE)</f>
        <v>Sewing operator</v>
      </c>
      <c r="M254" s="570">
        <f>VLOOKUP(B254,All!$B$4:$S$8977,12,FALSE)</f>
        <v>192</v>
      </c>
      <c r="N254" s="18">
        <f>VLOOKUP(B254,All!$B$4:$S$8977,13,FALSE)</f>
        <v>3</v>
      </c>
      <c r="O254" s="18">
        <f>VLOOKUP(B254,All!$B$4:$S$8977,14,FALSE)</f>
        <v>0</v>
      </c>
      <c r="P254" s="18">
        <f>VLOOKUP(B254,All!$B$4:$S$8977,15,FALSE)</f>
        <v>0</v>
      </c>
      <c r="Q254" s="18">
        <f>VLOOKUP(B254,All!$B$4:$S$8977,16,FALSE)</f>
        <v>0</v>
      </c>
      <c r="R254" s="18">
        <v>7</v>
      </c>
      <c r="S254" s="18">
        <v>10</v>
      </c>
      <c r="T254" s="550">
        <f t="shared" si="43"/>
        <v>212</v>
      </c>
      <c r="U254" s="568"/>
      <c r="V254" s="3"/>
      <c r="W254" s="3"/>
      <c r="X254" s="3"/>
      <c r="Y254" s="562"/>
      <c r="Z254" s="570">
        <f t="shared" si="44"/>
        <v>194</v>
      </c>
      <c r="AA254" s="18">
        <f t="shared" si="45"/>
        <v>3</v>
      </c>
      <c r="AB254" s="18">
        <f t="shared" si="46"/>
        <v>0</v>
      </c>
      <c r="AC254" s="18">
        <f t="shared" si="47"/>
        <v>0</v>
      </c>
      <c r="AD254" s="18">
        <f t="shared" si="48"/>
        <v>0</v>
      </c>
      <c r="AE254" s="18">
        <f t="shared" si="50"/>
        <v>7</v>
      </c>
      <c r="AF254" s="18">
        <f t="shared" si="50"/>
        <v>10</v>
      </c>
      <c r="AG254" s="550">
        <f t="shared" si="49"/>
        <v>214</v>
      </c>
      <c r="AH254" s="42">
        <v>2</v>
      </c>
      <c r="AI254" s="42">
        <v>0</v>
      </c>
      <c r="AJ254" s="42">
        <v>0</v>
      </c>
      <c r="AK254" s="42">
        <v>0</v>
      </c>
      <c r="AL254" s="42">
        <v>0</v>
      </c>
      <c r="AM254" s="42">
        <v>0</v>
      </c>
      <c r="AN254" s="42">
        <v>0</v>
      </c>
      <c r="AO254" s="42">
        <v>2</v>
      </c>
    </row>
    <row r="255" spans="1:41" ht="24" customHeight="1">
      <c r="A255" s="11">
        <f t="shared" si="41"/>
        <v>252</v>
      </c>
      <c r="B255" s="400">
        <v>3174</v>
      </c>
      <c r="C255" s="478" t="str">
        <f>VLOOKUP(B255,All!$B$4:$S$8977,2,FALSE)</f>
        <v>បេន</v>
      </c>
      <c r="D255" s="479" t="str">
        <f>VLOOKUP(B255,All!$B$4:$S$89977,3,FALSE)</f>
        <v>ថន</v>
      </c>
      <c r="E255" s="478" t="str">
        <f>VLOOKUP(B255,All!$B$4:$S$8977,4,FALSE)</f>
        <v>BEN</v>
      </c>
      <c r="F255" s="479" t="str">
        <f>VLOOKUP(B255,All!$B$4:$S$8977,5,FALSE)</f>
        <v>THAN</v>
      </c>
      <c r="G255" s="479" t="str">
        <f>VLOOKUP(B255,All!$B$4:$S$8977,6,FALSE)</f>
        <v>F</v>
      </c>
      <c r="H255" s="385">
        <f>VLOOKUP(B255,All!$B$4:$S$8977,7,FALSE)</f>
        <v>34220</v>
      </c>
      <c r="I255" s="154">
        <f>VLOOKUP(B255,All!$B$4:$S$8977,8,FALSE)</f>
        <v>43742</v>
      </c>
      <c r="J255" s="154" t="str">
        <f>VLOOKUP(B255,All!$B$4:$S$8977,9,FALSE)</f>
        <v>Production</v>
      </c>
      <c r="K255" s="154" t="str">
        <f>VLOOKUP(B255,All!$B$4:$S$8977,10,FALSE)</f>
        <v>Line 11</v>
      </c>
      <c r="L255" s="698" t="str">
        <f>VLOOKUP(B255,All!$B$4:$S$8977,11,FALSE)</f>
        <v>Sewing operator</v>
      </c>
      <c r="M255" s="570">
        <f>VLOOKUP(B255,All!$B$4:$S$8977,12,FALSE)</f>
        <v>192</v>
      </c>
      <c r="N255" s="18">
        <f>VLOOKUP(B255,All!$B$4:$S$8977,13,FALSE)</f>
        <v>3</v>
      </c>
      <c r="O255" s="18">
        <f>VLOOKUP(B255,All!$B$4:$S$8977,14,FALSE)</f>
        <v>0</v>
      </c>
      <c r="P255" s="18">
        <f>VLOOKUP(B255,All!$B$4:$S$8977,15,FALSE)</f>
        <v>0</v>
      </c>
      <c r="Q255" s="18">
        <f>VLOOKUP(B255,All!$B$4:$S$8977,16,FALSE)</f>
        <v>0</v>
      </c>
      <c r="R255" s="18">
        <v>7</v>
      </c>
      <c r="S255" s="18">
        <v>10</v>
      </c>
      <c r="T255" s="550">
        <f t="shared" si="43"/>
        <v>212</v>
      </c>
      <c r="U255" s="568"/>
      <c r="V255" s="3"/>
      <c r="W255" s="3"/>
      <c r="X255" s="3"/>
      <c r="Y255" s="562"/>
      <c r="Z255" s="570">
        <f t="shared" si="44"/>
        <v>194</v>
      </c>
      <c r="AA255" s="18">
        <f t="shared" si="45"/>
        <v>3</v>
      </c>
      <c r="AB255" s="18">
        <f t="shared" si="46"/>
        <v>0</v>
      </c>
      <c r="AC255" s="18">
        <f t="shared" si="47"/>
        <v>0</v>
      </c>
      <c r="AD255" s="18">
        <f t="shared" si="48"/>
        <v>0</v>
      </c>
      <c r="AE255" s="18">
        <f t="shared" si="50"/>
        <v>7</v>
      </c>
      <c r="AF255" s="18">
        <f t="shared" si="50"/>
        <v>10</v>
      </c>
      <c r="AG255" s="550">
        <f t="shared" si="49"/>
        <v>214</v>
      </c>
      <c r="AH255" s="42">
        <v>2</v>
      </c>
      <c r="AI255" s="42">
        <v>0</v>
      </c>
      <c r="AJ255" s="42">
        <v>0</v>
      </c>
      <c r="AK255" s="42">
        <v>0</v>
      </c>
      <c r="AL255" s="42">
        <v>0</v>
      </c>
      <c r="AM255" s="42">
        <v>0</v>
      </c>
      <c r="AN255" s="42">
        <v>0</v>
      </c>
      <c r="AO255" s="42">
        <v>2</v>
      </c>
    </row>
    <row r="256" spans="1:41" ht="24" customHeight="1">
      <c r="A256" s="11">
        <f t="shared" si="41"/>
        <v>253</v>
      </c>
      <c r="B256" s="400">
        <v>3296</v>
      </c>
      <c r="C256" s="478" t="str">
        <f>VLOOKUP(B256,All!$B$4:$S$8977,2,FALSE)</f>
        <v>វ៉ាយ</v>
      </c>
      <c r="D256" s="479" t="str">
        <f>VLOOKUP(B256,All!$B$4:$S$89977,3,FALSE)</f>
        <v>សុខរី</v>
      </c>
      <c r="E256" s="478" t="str">
        <f>VLOOKUP(B256,All!$B$4:$S$8977,4,FALSE)</f>
        <v>VAY</v>
      </c>
      <c r="F256" s="479" t="str">
        <f>VLOOKUP(B256,All!$B$4:$S$8977,5,FALSE)</f>
        <v>SOKRY</v>
      </c>
      <c r="G256" s="479" t="str">
        <f>VLOOKUP(B256,All!$B$4:$S$8977,6,FALSE)</f>
        <v>F</v>
      </c>
      <c r="H256" s="385">
        <f>VLOOKUP(B256,All!$B$4:$S$8977,7,FALSE)</f>
        <v>33072</v>
      </c>
      <c r="I256" s="154">
        <f>VLOOKUP(B256,All!$B$4:$S$8977,8,FALSE)</f>
        <v>43746</v>
      </c>
      <c r="J256" s="154" t="str">
        <f>VLOOKUP(B256,All!$B$4:$S$8977,9,FALSE)</f>
        <v>Production</v>
      </c>
      <c r="K256" s="154" t="str">
        <f>VLOOKUP(B256,All!$B$4:$S$8977,10,FALSE)</f>
        <v>Line10</v>
      </c>
      <c r="L256" s="698" t="str">
        <f>VLOOKUP(B256,All!$B$4:$S$8977,11,FALSE)</f>
        <v>Sewing operator</v>
      </c>
      <c r="M256" s="570">
        <f>VLOOKUP(B256,All!$B$4:$S$8977,12,FALSE)</f>
        <v>192</v>
      </c>
      <c r="N256" s="18">
        <f>VLOOKUP(B256,All!$B$4:$S$8977,13,FALSE)</f>
        <v>3</v>
      </c>
      <c r="O256" s="18">
        <f>VLOOKUP(B256,All!$B$4:$S$8977,14,FALSE)</f>
        <v>0</v>
      </c>
      <c r="P256" s="18">
        <f>VLOOKUP(B256,All!$B$4:$S$8977,15,FALSE)</f>
        <v>0</v>
      </c>
      <c r="Q256" s="18">
        <f>VLOOKUP(B256,All!$B$4:$S$8977,16,FALSE)</f>
        <v>0</v>
      </c>
      <c r="R256" s="18">
        <v>7</v>
      </c>
      <c r="S256" s="18">
        <v>10</v>
      </c>
      <c r="T256" s="550">
        <f t="shared" si="43"/>
        <v>212</v>
      </c>
      <c r="U256" s="568"/>
      <c r="V256" s="3"/>
      <c r="W256" s="3"/>
      <c r="X256" s="3"/>
      <c r="Y256" s="562"/>
      <c r="Z256" s="570">
        <f t="shared" si="44"/>
        <v>194</v>
      </c>
      <c r="AA256" s="18">
        <f t="shared" si="45"/>
        <v>3</v>
      </c>
      <c r="AB256" s="18">
        <f t="shared" si="46"/>
        <v>0</v>
      </c>
      <c r="AC256" s="18">
        <f t="shared" si="47"/>
        <v>0</v>
      </c>
      <c r="AD256" s="18">
        <f t="shared" si="48"/>
        <v>0</v>
      </c>
      <c r="AE256" s="18">
        <f t="shared" si="50"/>
        <v>7</v>
      </c>
      <c r="AF256" s="18">
        <f t="shared" si="50"/>
        <v>10</v>
      </c>
      <c r="AG256" s="550">
        <f t="shared" si="49"/>
        <v>214</v>
      </c>
      <c r="AH256" s="42">
        <v>2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2</v>
      </c>
    </row>
    <row r="257" spans="1:41" ht="24" customHeight="1">
      <c r="A257" s="11">
        <f t="shared" si="41"/>
        <v>254</v>
      </c>
      <c r="B257" s="400">
        <v>3236</v>
      </c>
      <c r="C257" s="478" t="str">
        <f>VLOOKUP(B257,All!$B$4:$S$8977,2,FALSE)</f>
        <v>លុក</v>
      </c>
      <c r="D257" s="479" t="str">
        <f>VLOOKUP(B257,All!$B$4:$S$89977,3,FALSE)</f>
        <v>អូន</v>
      </c>
      <c r="E257" s="478" t="str">
        <f>VLOOKUP(B257,All!$B$4:$S$8977,4,FALSE)</f>
        <v>LUK</v>
      </c>
      <c r="F257" s="479" t="str">
        <f>VLOOKUP(B257,All!$B$4:$S$8977,5,FALSE)</f>
        <v>OUN</v>
      </c>
      <c r="G257" s="479" t="str">
        <f>VLOOKUP(B257,All!$B$4:$S$8977,6,FALSE)</f>
        <v>F</v>
      </c>
      <c r="H257" s="385">
        <f>VLOOKUP(B257,All!$B$4:$S$8977,7,FALSE)</f>
        <v>27397</v>
      </c>
      <c r="I257" s="154">
        <f>VLOOKUP(B257,All!$B$4:$S$8977,8,FALSE)</f>
        <v>43746</v>
      </c>
      <c r="J257" s="154" t="str">
        <f>VLOOKUP(B257,All!$B$4:$S$8977,9,FALSE)</f>
        <v>Production</v>
      </c>
      <c r="K257" s="154" t="str">
        <f>VLOOKUP(B257,All!$B$4:$S$8977,10,FALSE)</f>
        <v>Line5</v>
      </c>
      <c r="L257" s="698" t="str">
        <f>VLOOKUP(B257,All!$B$4:$S$8977,11,FALSE)</f>
        <v>Sewing operator</v>
      </c>
      <c r="M257" s="570">
        <f>VLOOKUP(B257,All!$B$4:$S$8977,12,FALSE)</f>
        <v>192</v>
      </c>
      <c r="N257" s="18">
        <f>VLOOKUP(B257,All!$B$4:$S$8977,13,FALSE)</f>
        <v>3</v>
      </c>
      <c r="O257" s="18">
        <f>VLOOKUP(B257,All!$B$4:$S$8977,14,FALSE)</f>
        <v>0</v>
      </c>
      <c r="P257" s="18">
        <f>VLOOKUP(B257,All!$B$4:$S$8977,15,FALSE)</f>
        <v>0</v>
      </c>
      <c r="Q257" s="18">
        <f>VLOOKUP(B257,All!$B$4:$S$8977,16,FALSE)</f>
        <v>0</v>
      </c>
      <c r="R257" s="18">
        <v>7</v>
      </c>
      <c r="S257" s="18">
        <v>10</v>
      </c>
      <c r="T257" s="550">
        <f t="shared" si="43"/>
        <v>212</v>
      </c>
      <c r="U257" s="568"/>
      <c r="V257" s="3"/>
      <c r="W257" s="3"/>
      <c r="X257" s="3"/>
      <c r="Y257" s="562"/>
      <c r="Z257" s="570">
        <f t="shared" si="44"/>
        <v>194</v>
      </c>
      <c r="AA257" s="18">
        <f t="shared" si="45"/>
        <v>3</v>
      </c>
      <c r="AB257" s="18">
        <f t="shared" si="46"/>
        <v>0</v>
      </c>
      <c r="AC257" s="18">
        <f t="shared" si="47"/>
        <v>0</v>
      </c>
      <c r="AD257" s="18">
        <f t="shared" si="48"/>
        <v>0</v>
      </c>
      <c r="AE257" s="18">
        <f t="shared" si="50"/>
        <v>7</v>
      </c>
      <c r="AF257" s="18">
        <f t="shared" si="50"/>
        <v>10</v>
      </c>
      <c r="AG257" s="550">
        <f t="shared" si="49"/>
        <v>214</v>
      </c>
      <c r="AH257" s="42">
        <v>2</v>
      </c>
      <c r="AI257" s="42">
        <v>0</v>
      </c>
      <c r="AJ257" s="42">
        <v>0</v>
      </c>
      <c r="AK257" s="42">
        <v>0</v>
      </c>
      <c r="AL257" s="42">
        <v>0</v>
      </c>
      <c r="AM257" s="42">
        <v>0</v>
      </c>
      <c r="AN257" s="42">
        <v>0</v>
      </c>
      <c r="AO257" s="42">
        <v>2</v>
      </c>
    </row>
    <row r="258" spans="1:41" ht="24" customHeight="1">
      <c r="A258" s="11">
        <f t="shared" si="41"/>
        <v>255</v>
      </c>
      <c r="B258" s="400">
        <v>3306</v>
      </c>
      <c r="C258" s="478" t="str">
        <f>VLOOKUP(B258,All!$B$4:$S$8977,2,FALSE)</f>
        <v>វ៉ាយ</v>
      </c>
      <c r="D258" s="479" t="str">
        <f>VLOOKUP(B258,All!$B$4:$S$89977,3,FALSE)</f>
        <v>ណាវី</v>
      </c>
      <c r="E258" s="478" t="str">
        <f>VLOOKUP(B258,All!$B$4:$S$8977,4,FALSE)</f>
        <v>YAY</v>
      </c>
      <c r="F258" s="479" t="str">
        <f>VLOOKUP(B258,All!$B$4:$S$8977,5,FALSE)</f>
        <v>NAVY</v>
      </c>
      <c r="G258" s="479" t="str">
        <f>VLOOKUP(B258,All!$B$4:$S$8977,6,FALSE)</f>
        <v>F</v>
      </c>
      <c r="H258" s="385">
        <f>VLOOKUP(B258,All!$B$4:$S$8977,7,FALSE)</f>
        <v>34982</v>
      </c>
      <c r="I258" s="154">
        <f>VLOOKUP(B258,All!$B$4:$S$8977,8,FALSE)</f>
        <v>43746</v>
      </c>
      <c r="J258" s="154" t="str">
        <f>VLOOKUP(B258,All!$B$4:$S$8977,9,FALSE)</f>
        <v>Production</v>
      </c>
      <c r="K258" s="154" t="str">
        <f>VLOOKUP(B258,All!$B$4:$S$8977,10,FALSE)</f>
        <v>Line10</v>
      </c>
      <c r="L258" s="698" t="str">
        <f>VLOOKUP(B258,All!$B$4:$S$8977,11,FALSE)</f>
        <v>Sewing operator</v>
      </c>
      <c r="M258" s="570">
        <f>VLOOKUP(B258,All!$B$4:$S$8977,12,FALSE)</f>
        <v>192</v>
      </c>
      <c r="N258" s="18">
        <f>VLOOKUP(B258,All!$B$4:$S$8977,13,FALSE)</f>
        <v>3</v>
      </c>
      <c r="O258" s="18">
        <f>VLOOKUP(B258,All!$B$4:$S$8977,14,FALSE)</f>
        <v>0</v>
      </c>
      <c r="P258" s="18">
        <f>VLOOKUP(B258,All!$B$4:$S$8977,15,FALSE)</f>
        <v>0</v>
      </c>
      <c r="Q258" s="18">
        <f>VLOOKUP(B258,All!$B$4:$S$8977,16,FALSE)</f>
        <v>0</v>
      </c>
      <c r="R258" s="18">
        <v>7</v>
      </c>
      <c r="S258" s="18">
        <v>10</v>
      </c>
      <c r="T258" s="550">
        <f t="shared" si="43"/>
        <v>212</v>
      </c>
      <c r="U258" s="568"/>
      <c r="V258" s="3"/>
      <c r="W258" s="3"/>
      <c r="X258" s="3"/>
      <c r="Y258" s="562"/>
      <c r="Z258" s="570">
        <f t="shared" si="44"/>
        <v>194</v>
      </c>
      <c r="AA258" s="18">
        <f t="shared" si="45"/>
        <v>3</v>
      </c>
      <c r="AB258" s="18">
        <f t="shared" si="46"/>
        <v>0</v>
      </c>
      <c r="AC258" s="18">
        <f t="shared" si="47"/>
        <v>0</v>
      </c>
      <c r="AD258" s="18">
        <f t="shared" si="48"/>
        <v>0</v>
      </c>
      <c r="AE258" s="18">
        <f t="shared" si="50"/>
        <v>7</v>
      </c>
      <c r="AF258" s="18">
        <f t="shared" si="50"/>
        <v>10</v>
      </c>
      <c r="AG258" s="550">
        <f t="shared" si="49"/>
        <v>214</v>
      </c>
      <c r="AH258" s="42">
        <v>2</v>
      </c>
      <c r="AI258" s="42">
        <v>0</v>
      </c>
      <c r="AJ258" s="42">
        <v>0</v>
      </c>
      <c r="AK258" s="42">
        <v>0</v>
      </c>
      <c r="AL258" s="42">
        <v>0</v>
      </c>
      <c r="AM258" s="42">
        <v>0</v>
      </c>
      <c r="AN258" s="42">
        <v>0</v>
      </c>
      <c r="AO258" s="42">
        <v>2</v>
      </c>
    </row>
    <row r="259" spans="1:41" ht="24" customHeight="1">
      <c r="A259" s="11">
        <f t="shared" si="41"/>
        <v>256</v>
      </c>
      <c r="B259" s="400">
        <v>3168</v>
      </c>
      <c r="C259" s="478" t="str">
        <f>VLOOKUP(B259,All!$B$4:$S$8977,2,FALSE)</f>
        <v>ជីន</v>
      </c>
      <c r="D259" s="479" t="str">
        <f>VLOOKUP(B259,All!$B$4:$S$89977,3,FALSE)</f>
        <v>រីណា</v>
      </c>
      <c r="E259" s="478" t="str">
        <f>VLOOKUP(B259,All!$B$4:$S$8977,4,FALSE)</f>
        <v>CHIN</v>
      </c>
      <c r="F259" s="479" t="str">
        <f>VLOOKUP(B259,All!$B$4:$S$8977,5,FALSE)</f>
        <v>RYNA</v>
      </c>
      <c r="G259" s="479" t="str">
        <f>VLOOKUP(B259,All!$B$4:$S$8977,6,FALSE)</f>
        <v>F</v>
      </c>
      <c r="H259" s="385">
        <f>VLOOKUP(B259,All!$B$4:$S$8977,7,FALSE)</f>
        <v>34976</v>
      </c>
      <c r="I259" s="154">
        <f>VLOOKUP(B259,All!$B$4:$S$8977,8,FALSE)</f>
        <v>43740</v>
      </c>
      <c r="J259" s="154" t="str">
        <f>VLOOKUP(B259,All!$B$4:$S$8977,9,FALSE)</f>
        <v>Production</v>
      </c>
      <c r="K259" s="154" t="str">
        <f>VLOOKUP(B259,All!$B$4:$S$8977,10,FALSE)</f>
        <v>Line10</v>
      </c>
      <c r="L259" s="698" t="str">
        <f>VLOOKUP(B259,All!$B$4:$S$8977,11,FALSE)</f>
        <v>Sewing operator</v>
      </c>
      <c r="M259" s="570">
        <f>VLOOKUP(B259,All!$B$4:$S$8977,12,FALSE)</f>
        <v>192</v>
      </c>
      <c r="N259" s="18">
        <f>VLOOKUP(B259,All!$B$4:$S$8977,13,FALSE)</f>
        <v>3</v>
      </c>
      <c r="O259" s="18">
        <f>VLOOKUP(B259,All!$B$4:$S$8977,14,FALSE)</f>
        <v>0</v>
      </c>
      <c r="P259" s="18">
        <f>VLOOKUP(B259,All!$B$4:$S$8977,15,FALSE)</f>
        <v>0</v>
      </c>
      <c r="Q259" s="18">
        <f>VLOOKUP(B259,All!$B$4:$S$8977,16,FALSE)</f>
        <v>0</v>
      </c>
      <c r="R259" s="18">
        <v>7</v>
      </c>
      <c r="S259" s="18">
        <v>10</v>
      </c>
      <c r="T259" s="550">
        <f t="shared" si="43"/>
        <v>212</v>
      </c>
      <c r="U259" s="568"/>
      <c r="V259" s="3"/>
      <c r="W259" s="3"/>
      <c r="X259" s="3"/>
      <c r="Y259" s="562"/>
      <c r="Z259" s="570">
        <f t="shared" si="44"/>
        <v>194</v>
      </c>
      <c r="AA259" s="18">
        <f t="shared" si="45"/>
        <v>3</v>
      </c>
      <c r="AB259" s="18">
        <f t="shared" si="46"/>
        <v>0</v>
      </c>
      <c r="AC259" s="18">
        <f t="shared" si="47"/>
        <v>0</v>
      </c>
      <c r="AD259" s="18">
        <f t="shared" si="48"/>
        <v>0</v>
      </c>
      <c r="AE259" s="18">
        <f t="shared" si="50"/>
        <v>7</v>
      </c>
      <c r="AF259" s="18">
        <f t="shared" si="50"/>
        <v>10</v>
      </c>
      <c r="AG259" s="550">
        <f t="shared" si="49"/>
        <v>214</v>
      </c>
      <c r="AH259" s="42">
        <v>2</v>
      </c>
      <c r="AI259" s="42">
        <v>0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2</v>
      </c>
    </row>
    <row r="260" spans="1:41" ht="24" customHeight="1">
      <c r="A260" s="11">
        <f t="shared" si="41"/>
        <v>257</v>
      </c>
      <c r="B260" s="400">
        <v>3538</v>
      </c>
      <c r="C260" s="478" t="str">
        <f>VLOOKUP(B260,All!$B$4:$S$8977,2,FALSE)</f>
        <v>ទន</v>
      </c>
      <c r="D260" s="479" t="str">
        <f>VLOOKUP(B260,All!$B$4:$S$89977,3,FALSE)</f>
        <v>ស្រីម៉ន</v>
      </c>
      <c r="E260" s="478" t="str">
        <f>VLOOKUP(B260,All!$B$4:$S$8977,4,FALSE)</f>
        <v>TORN</v>
      </c>
      <c r="F260" s="479" t="str">
        <f>VLOOKUP(B260,All!$B$4:$S$8977,5,FALSE)</f>
        <v>SREYMAN</v>
      </c>
      <c r="G260" s="479" t="str">
        <f>VLOOKUP(B260,All!$B$4:$S$8977,6,FALSE)</f>
        <v>F</v>
      </c>
      <c r="H260" s="385">
        <f>VLOOKUP(B260,All!$B$4:$S$8977,7,FALSE)</f>
        <v>30446</v>
      </c>
      <c r="I260" s="154">
        <f>VLOOKUP(B260,All!$B$4:$S$8977,8,FALSE)</f>
        <v>43745</v>
      </c>
      <c r="J260" s="154" t="str">
        <f>VLOOKUP(B260,All!$B$4:$S$8977,9,FALSE)</f>
        <v>Production</v>
      </c>
      <c r="K260" s="154" t="str">
        <f>VLOOKUP(B260,All!$B$4:$S$8977,10,FALSE)</f>
        <v>Line10</v>
      </c>
      <c r="L260" s="698" t="str">
        <f>VLOOKUP(B260,All!$B$4:$S$8977,11,FALSE)</f>
        <v>Sewing operator</v>
      </c>
      <c r="M260" s="570">
        <f>VLOOKUP(B260,All!$B$4:$S$8977,12,FALSE)</f>
        <v>192</v>
      </c>
      <c r="N260" s="18">
        <f>VLOOKUP(B260,All!$B$4:$S$8977,13,FALSE)</f>
        <v>3</v>
      </c>
      <c r="O260" s="18">
        <f>VLOOKUP(B260,All!$B$4:$S$8977,14,FALSE)</f>
        <v>0</v>
      </c>
      <c r="P260" s="18">
        <f>VLOOKUP(B260,All!$B$4:$S$8977,15,FALSE)</f>
        <v>0</v>
      </c>
      <c r="Q260" s="18">
        <f>VLOOKUP(B260,All!$B$4:$S$8977,16,FALSE)</f>
        <v>0</v>
      </c>
      <c r="R260" s="18">
        <v>7</v>
      </c>
      <c r="S260" s="18">
        <v>10</v>
      </c>
      <c r="T260" s="550">
        <f t="shared" si="43"/>
        <v>212</v>
      </c>
      <c r="U260" s="568"/>
      <c r="V260" s="3"/>
      <c r="W260" s="3"/>
      <c r="X260" s="3"/>
      <c r="Y260" s="562"/>
      <c r="Z260" s="570">
        <f t="shared" si="44"/>
        <v>194</v>
      </c>
      <c r="AA260" s="18">
        <f t="shared" si="45"/>
        <v>3</v>
      </c>
      <c r="AB260" s="18">
        <f t="shared" si="46"/>
        <v>0</v>
      </c>
      <c r="AC260" s="18">
        <f t="shared" si="47"/>
        <v>0</v>
      </c>
      <c r="AD260" s="18">
        <f t="shared" si="48"/>
        <v>0</v>
      </c>
      <c r="AE260" s="18">
        <f t="shared" si="50"/>
        <v>7</v>
      </c>
      <c r="AF260" s="18">
        <f t="shared" si="50"/>
        <v>10</v>
      </c>
      <c r="AG260" s="550">
        <f t="shared" si="49"/>
        <v>214</v>
      </c>
      <c r="AH260" s="42">
        <v>2</v>
      </c>
      <c r="AI260" s="42">
        <v>0</v>
      </c>
      <c r="AJ260" s="42">
        <v>0</v>
      </c>
      <c r="AK260" s="42">
        <v>0</v>
      </c>
      <c r="AL260" s="42">
        <v>0</v>
      </c>
      <c r="AM260" s="42">
        <v>0</v>
      </c>
      <c r="AN260" s="42">
        <v>0</v>
      </c>
      <c r="AO260" s="42">
        <v>2</v>
      </c>
    </row>
    <row r="261" spans="1:41" ht="24" customHeight="1">
      <c r="A261" s="11">
        <f t="shared" si="41"/>
        <v>258</v>
      </c>
      <c r="B261" s="400">
        <v>3634</v>
      </c>
      <c r="C261" s="478" t="str">
        <f>VLOOKUP(B261,All!$B$4:$S$8977,2,FALSE)</f>
        <v>គុណ</v>
      </c>
      <c r="D261" s="479" t="str">
        <f>VLOOKUP(B261,All!$B$4:$S$89977,3,FALSE)</f>
        <v>ចិន្តា</v>
      </c>
      <c r="E261" s="478" t="str">
        <f>VLOOKUP(B261,All!$B$4:$S$8977,4,FALSE)</f>
        <v>KUN</v>
      </c>
      <c r="F261" s="479" t="str">
        <f>VLOOKUP(B261,All!$B$4:$S$8977,5,FALSE)</f>
        <v>CHINDA</v>
      </c>
      <c r="G261" s="479" t="str">
        <f>VLOOKUP(B261,All!$B$4:$S$8977,6,FALSE)</f>
        <v>F</v>
      </c>
      <c r="H261" s="385">
        <f>VLOOKUP(B261,All!$B$4:$S$8977,7,FALSE)</f>
        <v>32509</v>
      </c>
      <c r="I261" s="154">
        <f>VLOOKUP(B261,All!$B$4:$S$8977,8,FALSE)</f>
        <v>43754</v>
      </c>
      <c r="J261" s="154" t="str">
        <f>VLOOKUP(B261,All!$B$4:$S$8977,9,FALSE)</f>
        <v>Production</v>
      </c>
      <c r="K261" s="154" t="str">
        <f>VLOOKUP(B261,All!$B$4:$S$8977,10,FALSE)</f>
        <v>Line6</v>
      </c>
      <c r="L261" s="698" t="str">
        <f>VLOOKUP(B261,All!$B$4:$S$8977,11,FALSE)</f>
        <v>Sewing operator</v>
      </c>
      <c r="M261" s="570">
        <f>VLOOKUP(B261,All!$B$4:$S$8977,12,FALSE)</f>
        <v>192</v>
      </c>
      <c r="N261" s="18">
        <f>VLOOKUP(B261,All!$B$4:$S$8977,13,FALSE)</f>
        <v>3</v>
      </c>
      <c r="O261" s="18">
        <f>VLOOKUP(B261,All!$B$4:$S$8977,14,FALSE)</f>
        <v>0</v>
      </c>
      <c r="P261" s="18">
        <f>VLOOKUP(B261,All!$B$4:$S$8977,15,FALSE)</f>
        <v>0</v>
      </c>
      <c r="Q261" s="18">
        <f>VLOOKUP(B261,All!$B$4:$S$8977,16,FALSE)</f>
        <v>0</v>
      </c>
      <c r="R261" s="18">
        <v>7</v>
      </c>
      <c r="S261" s="18">
        <v>10</v>
      </c>
      <c r="T261" s="550">
        <f t="shared" si="43"/>
        <v>212</v>
      </c>
      <c r="U261" s="568"/>
      <c r="V261" s="3"/>
      <c r="W261" s="3"/>
      <c r="X261" s="3"/>
      <c r="Y261" s="562"/>
      <c r="Z261" s="570">
        <f t="shared" si="44"/>
        <v>194</v>
      </c>
      <c r="AA261" s="18">
        <f t="shared" si="45"/>
        <v>3</v>
      </c>
      <c r="AB261" s="18">
        <f t="shared" si="46"/>
        <v>0</v>
      </c>
      <c r="AC261" s="18">
        <f t="shared" si="47"/>
        <v>0</v>
      </c>
      <c r="AD261" s="18">
        <f t="shared" si="48"/>
        <v>0</v>
      </c>
      <c r="AE261" s="18">
        <f t="shared" si="50"/>
        <v>7</v>
      </c>
      <c r="AF261" s="18">
        <f t="shared" si="50"/>
        <v>10</v>
      </c>
      <c r="AG261" s="550">
        <f t="shared" si="49"/>
        <v>214</v>
      </c>
      <c r="AH261" s="42">
        <v>2</v>
      </c>
      <c r="AI261" s="42">
        <v>0</v>
      </c>
      <c r="AJ261" s="42">
        <v>0</v>
      </c>
      <c r="AK261" s="42">
        <v>0</v>
      </c>
      <c r="AL261" s="42">
        <v>0</v>
      </c>
      <c r="AM261" s="42">
        <v>0</v>
      </c>
      <c r="AN261" s="42">
        <v>0</v>
      </c>
      <c r="AO261" s="42">
        <v>2</v>
      </c>
    </row>
    <row r="262" spans="1:41" ht="24" customHeight="1">
      <c r="A262" s="11">
        <f t="shared" ref="A262:A325" si="51">1+A261</f>
        <v>259</v>
      </c>
      <c r="B262" s="400">
        <v>3164</v>
      </c>
      <c r="C262" s="478" t="str">
        <f>VLOOKUP(B262,All!$B$4:$S$8977,2,FALSE)</f>
        <v>សួន</v>
      </c>
      <c r="D262" s="479" t="str">
        <f>VLOOKUP(B262,All!$B$4:$S$89977,3,FALSE)</f>
        <v>ចិត្រា</v>
      </c>
      <c r="E262" s="478" t="str">
        <f>VLOOKUP(B262,All!$B$4:$S$8977,4,FALSE)</f>
        <v>SUON</v>
      </c>
      <c r="F262" s="479" t="str">
        <f>VLOOKUP(B262,All!$B$4:$S$8977,5,FALSE)</f>
        <v>CHITRA</v>
      </c>
      <c r="G262" s="479" t="str">
        <f>VLOOKUP(B262,All!$B$4:$S$8977,6,FALSE)</f>
        <v>F</v>
      </c>
      <c r="H262" s="385">
        <f>VLOOKUP(B262,All!$B$4:$S$8977,7,FALSE)</f>
        <v>34807</v>
      </c>
      <c r="I262" s="154">
        <f>VLOOKUP(B262,All!$B$4:$S$8977,8,FALSE)</f>
        <v>43740</v>
      </c>
      <c r="J262" s="154" t="str">
        <f>VLOOKUP(B262,All!$B$4:$S$8977,9,FALSE)</f>
        <v>Production</v>
      </c>
      <c r="K262" s="154" t="str">
        <f>VLOOKUP(B262,All!$B$4:$S$8977,10,FALSE)</f>
        <v>Line20</v>
      </c>
      <c r="L262" s="698" t="str">
        <f>VLOOKUP(B262,All!$B$4:$S$8977,11,FALSE)</f>
        <v>Sewing operator</v>
      </c>
      <c r="M262" s="570">
        <f>VLOOKUP(B262,All!$B$4:$S$8977,12,FALSE)</f>
        <v>192</v>
      </c>
      <c r="N262" s="18">
        <f>VLOOKUP(B262,All!$B$4:$S$8977,13,FALSE)</f>
        <v>3</v>
      </c>
      <c r="O262" s="18">
        <f>VLOOKUP(B262,All!$B$4:$S$8977,14,FALSE)</f>
        <v>0</v>
      </c>
      <c r="P262" s="18">
        <f>VLOOKUP(B262,All!$B$4:$S$8977,15,FALSE)</f>
        <v>0</v>
      </c>
      <c r="Q262" s="18">
        <f>VLOOKUP(B262,All!$B$4:$S$8977,16,FALSE)</f>
        <v>0</v>
      </c>
      <c r="R262" s="18">
        <v>7</v>
      </c>
      <c r="S262" s="18">
        <v>10</v>
      </c>
      <c r="T262" s="550">
        <f t="shared" si="43"/>
        <v>212</v>
      </c>
      <c r="U262" s="568"/>
      <c r="V262" s="3"/>
      <c r="W262" s="3"/>
      <c r="X262" s="3"/>
      <c r="Y262" s="562"/>
      <c r="Z262" s="570">
        <f t="shared" si="44"/>
        <v>194</v>
      </c>
      <c r="AA262" s="18">
        <f t="shared" si="45"/>
        <v>3</v>
      </c>
      <c r="AB262" s="18">
        <f t="shared" si="46"/>
        <v>0</v>
      </c>
      <c r="AC262" s="18">
        <f t="shared" si="47"/>
        <v>0</v>
      </c>
      <c r="AD262" s="18">
        <f t="shared" si="48"/>
        <v>0</v>
      </c>
      <c r="AE262" s="18">
        <f t="shared" si="50"/>
        <v>7</v>
      </c>
      <c r="AF262" s="18">
        <f t="shared" si="50"/>
        <v>10</v>
      </c>
      <c r="AG262" s="550">
        <f t="shared" si="49"/>
        <v>214</v>
      </c>
      <c r="AH262" s="42">
        <v>2</v>
      </c>
      <c r="AI262" s="42">
        <v>0</v>
      </c>
      <c r="AJ262" s="42">
        <v>0</v>
      </c>
      <c r="AK262" s="42">
        <v>0</v>
      </c>
      <c r="AL262" s="42">
        <v>0</v>
      </c>
      <c r="AM262" s="42">
        <v>0</v>
      </c>
      <c r="AN262" s="42">
        <v>0</v>
      </c>
      <c r="AO262" s="42">
        <v>2</v>
      </c>
    </row>
    <row r="263" spans="1:41" ht="24" customHeight="1">
      <c r="A263" s="11">
        <f t="shared" si="51"/>
        <v>260</v>
      </c>
      <c r="B263" s="400">
        <v>3523</v>
      </c>
      <c r="C263" s="478" t="str">
        <f>VLOOKUP(B263,All!$B$4:$S$8977,2,FALSE)</f>
        <v>អៀម</v>
      </c>
      <c r="D263" s="479" t="str">
        <f>VLOOKUP(B263,All!$B$4:$S$89977,3,FALSE)</f>
        <v>សាមេត</v>
      </c>
      <c r="E263" s="478" t="str">
        <f>VLOOKUP(B263,All!$B$4:$S$8977,4,FALSE)</f>
        <v>IEM</v>
      </c>
      <c r="F263" s="479" t="str">
        <f>VLOOKUP(B263,All!$B$4:$S$8977,5,FALSE)</f>
        <v>SAMETH</v>
      </c>
      <c r="G263" s="479" t="str">
        <f>VLOOKUP(B263,All!$B$4:$S$8977,6,FALSE)</f>
        <v>F</v>
      </c>
      <c r="H263" s="385">
        <f>VLOOKUP(B263,All!$B$4:$S$8977,7,FALSE)</f>
        <v>32882</v>
      </c>
      <c r="I263" s="154">
        <f>VLOOKUP(B263,All!$B$4:$S$8977,8,FALSE)</f>
        <v>43746</v>
      </c>
      <c r="J263" s="154" t="str">
        <f>VLOOKUP(B263,All!$B$4:$S$8977,9,FALSE)</f>
        <v>Production</v>
      </c>
      <c r="K263" s="154" t="str">
        <f>VLOOKUP(B263,All!$B$4:$S$8977,10,FALSE)</f>
        <v>Line5</v>
      </c>
      <c r="L263" s="698" t="str">
        <f>VLOOKUP(B263,All!$B$4:$S$8977,11,FALSE)</f>
        <v>Sewing operator</v>
      </c>
      <c r="M263" s="570">
        <f>VLOOKUP(B263,All!$B$4:$S$8977,12,FALSE)</f>
        <v>192</v>
      </c>
      <c r="N263" s="18">
        <f>VLOOKUP(B263,All!$B$4:$S$8977,13,FALSE)</f>
        <v>3</v>
      </c>
      <c r="O263" s="18">
        <f>VLOOKUP(B263,All!$B$4:$S$8977,14,FALSE)</f>
        <v>0</v>
      </c>
      <c r="P263" s="18">
        <f>VLOOKUP(B263,All!$B$4:$S$8977,15,FALSE)</f>
        <v>0</v>
      </c>
      <c r="Q263" s="18">
        <f>VLOOKUP(B263,All!$B$4:$S$8977,16,FALSE)</f>
        <v>0</v>
      </c>
      <c r="R263" s="18">
        <v>7</v>
      </c>
      <c r="S263" s="18">
        <v>10</v>
      </c>
      <c r="T263" s="550">
        <f t="shared" si="43"/>
        <v>212</v>
      </c>
      <c r="U263" s="568"/>
      <c r="V263" s="3"/>
      <c r="W263" s="3"/>
      <c r="X263" s="3"/>
      <c r="Y263" s="562"/>
      <c r="Z263" s="570">
        <f t="shared" si="44"/>
        <v>194</v>
      </c>
      <c r="AA263" s="18">
        <f t="shared" si="45"/>
        <v>3</v>
      </c>
      <c r="AB263" s="18">
        <f t="shared" si="46"/>
        <v>0</v>
      </c>
      <c r="AC263" s="18">
        <f t="shared" si="47"/>
        <v>0</v>
      </c>
      <c r="AD263" s="18">
        <f t="shared" si="48"/>
        <v>0</v>
      </c>
      <c r="AE263" s="18">
        <f t="shared" si="50"/>
        <v>7</v>
      </c>
      <c r="AF263" s="18">
        <f t="shared" si="50"/>
        <v>10</v>
      </c>
      <c r="AG263" s="550">
        <f t="shared" si="49"/>
        <v>214</v>
      </c>
      <c r="AH263" s="42">
        <v>2</v>
      </c>
      <c r="AI263" s="42">
        <v>0</v>
      </c>
      <c r="AJ263" s="42">
        <v>0</v>
      </c>
      <c r="AK263" s="42">
        <v>0</v>
      </c>
      <c r="AL263" s="42">
        <v>0</v>
      </c>
      <c r="AM263" s="42">
        <v>0</v>
      </c>
      <c r="AN263" s="42">
        <v>0</v>
      </c>
      <c r="AO263" s="42">
        <v>2</v>
      </c>
    </row>
    <row r="264" spans="1:41" ht="24" customHeight="1">
      <c r="A264" s="11">
        <f t="shared" si="51"/>
        <v>261</v>
      </c>
      <c r="B264" s="400">
        <v>3143</v>
      </c>
      <c r="C264" s="478" t="str">
        <f>VLOOKUP(B264,All!$B$4:$S$8977,2,FALSE)</f>
        <v>សុត</v>
      </c>
      <c r="D264" s="479" t="str">
        <f>VLOOKUP(B264,All!$B$4:$S$89977,3,FALSE)</f>
        <v>សុវណ្ណា</v>
      </c>
      <c r="E264" s="478" t="str">
        <f>VLOOKUP(B264,All!$B$4:$S$8977,4,FALSE)</f>
        <v>SOT</v>
      </c>
      <c r="F264" s="479" t="str">
        <f>VLOOKUP(B264,All!$B$4:$S$8977,5,FALSE)</f>
        <v>SOVANNA</v>
      </c>
      <c r="G264" s="479" t="str">
        <f>VLOOKUP(B264,All!$B$4:$S$8977,6,FALSE)</f>
        <v>F</v>
      </c>
      <c r="H264" s="385">
        <f>VLOOKUP(B264,All!$B$4:$S$8977,7,FALSE)</f>
        <v>28499</v>
      </c>
      <c r="I264" s="154">
        <f>VLOOKUP(B264,All!$B$4:$S$8977,8,FALSE)</f>
        <v>43740</v>
      </c>
      <c r="J264" s="154" t="str">
        <f>VLOOKUP(B264,All!$B$4:$S$8977,9,FALSE)</f>
        <v>Production</v>
      </c>
      <c r="K264" s="154" t="str">
        <f>VLOOKUP(B264,All!$B$4:$S$8977,10,FALSE)</f>
        <v xml:space="preserve"> Line5</v>
      </c>
      <c r="L264" s="698" t="str">
        <f>VLOOKUP(B264,All!$B$4:$S$8977,11,FALSE)</f>
        <v>Sewing operator</v>
      </c>
      <c r="M264" s="570">
        <f>VLOOKUP(B264,All!$B$4:$S$8977,12,FALSE)</f>
        <v>192</v>
      </c>
      <c r="N264" s="18">
        <f>VLOOKUP(B264,All!$B$4:$S$8977,13,FALSE)</f>
        <v>3</v>
      </c>
      <c r="O264" s="18">
        <f>VLOOKUP(B264,All!$B$4:$S$8977,14,FALSE)</f>
        <v>0</v>
      </c>
      <c r="P264" s="18">
        <f>VLOOKUP(B264,All!$B$4:$S$8977,15,FALSE)</f>
        <v>0</v>
      </c>
      <c r="Q264" s="18">
        <f>VLOOKUP(B264,All!$B$4:$S$8977,16,FALSE)</f>
        <v>0</v>
      </c>
      <c r="R264" s="18">
        <v>7</v>
      </c>
      <c r="S264" s="18">
        <v>10</v>
      </c>
      <c r="T264" s="550">
        <f t="shared" si="43"/>
        <v>212</v>
      </c>
      <c r="U264" s="568"/>
      <c r="V264" s="3"/>
      <c r="W264" s="3"/>
      <c r="X264" s="3"/>
      <c r="Y264" s="562"/>
      <c r="Z264" s="570">
        <f t="shared" si="44"/>
        <v>194</v>
      </c>
      <c r="AA264" s="18">
        <f t="shared" si="45"/>
        <v>3</v>
      </c>
      <c r="AB264" s="18">
        <f t="shared" si="46"/>
        <v>0</v>
      </c>
      <c r="AC264" s="18">
        <f t="shared" si="47"/>
        <v>0</v>
      </c>
      <c r="AD264" s="18">
        <f t="shared" si="48"/>
        <v>0</v>
      </c>
      <c r="AE264" s="18">
        <f t="shared" si="50"/>
        <v>7</v>
      </c>
      <c r="AF264" s="18">
        <f t="shared" si="50"/>
        <v>10</v>
      </c>
      <c r="AG264" s="550">
        <f t="shared" si="49"/>
        <v>214</v>
      </c>
      <c r="AH264" s="42">
        <v>2</v>
      </c>
      <c r="AI264" s="42">
        <v>0</v>
      </c>
      <c r="AJ264" s="42">
        <v>0</v>
      </c>
      <c r="AK264" s="42">
        <v>0</v>
      </c>
      <c r="AL264" s="42">
        <v>0</v>
      </c>
      <c r="AM264" s="42">
        <v>0</v>
      </c>
      <c r="AN264" s="42">
        <v>0</v>
      </c>
      <c r="AO264" s="42">
        <v>2</v>
      </c>
    </row>
    <row r="265" spans="1:41" ht="24" customHeight="1">
      <c r="A265" s="11">
        <f t="shared" si="51"/>
        <v>262</v>
      </c>
      <c r="B265" s="400">
        <v>3572</v>
      </c>
      <c r="C265" s="478" t="str">
        <f>VLOOKUP(B265,All!$B$4:$S$8977,2,FALSE)</f>
        <v>ប៉ុក</v>
      </c>
      <c r="D265" s="479" t="str">
        <f>VLOOKUP(B265,All!$B$4:$S$89977,3,FALSE)</f>
        <v>រី</v>
      </c>
      <c r="E265" s="478" t="str">
        <f>VLOOKUP(B265,All!$B$4:$S$8977,4,FALSE)</f>
        <v>POK</v>
      </c>
      <c r="F265" s="479" t="str">
        <f>VLOOKUP(B265,All!$B$4:$S$8977,5,FALSE)</f>
        <v>RY</v>
      </c>
      <c r="G265" s="479" t="str">
        <f>VLOOKUP(B265,All!$B$4:$S$8977,6,FALSE)</f>
        <v>F</v>
      </c>
      <c r="H265" s="385">
        <f>VLOOKUP(B265,All!$B$4:$S$8977,7,FALSE)</f>
        <v>31879</v>
      </c>
      <c r="I265" s="154">
        <f>VLOOKUP(B265,All!$B$4:$S$8977,8,FALSE)</f>
        <v>43748</v>
      </c>
      <c r="J265" s="154" t="str">
        <f>VLOOKUP(B265,All!$B$4:$S$8977,9,FALSE)</f>
        <v>Production</v>
      </c>
      <c r="K265" s="154" t="str">
        <f>VLOOKUP(B265,All!$B$4:$S$8977,10,FALSE)</f>
        <v xml:space="preserve"> Line1</v>
      </c>
      <c r="L265" s="698" t="str">
        <f>VLOOKUP(B265,All!$B$4:$S$8977,11,FALSE)</f>
        <v>Sewing operator</v>
      </c>
      <c r="M265" s="570">
        <f>VLOOKUP(B265,All!$B$4:$S$8977,12,FALSE)</f>
        <v>192</v>
      </c>
      <c r="N265" s="18">
        <f>VLOOKUP(B265,All!$B$4:$S$8977,13,FALSE)</f>
        <v>3</v>
      </c>
      <c r="O265" s="18">
        <f>VLOOKUP(B265,All!$B$4:$S$8977,14,FALSE)</f>
        <v>0</v>
      </c>
      <c r="P265" s="18">
        <f>VLOOKUP(B265,All!$B$4:$S$8977,15,FALSE)</f>
        <v>0</v>
      </c>
      <c r="Q265" s="18">
        <f>VLOOKUP(B265,All!$B$4:$S$8977,16,FALSE)</f>
        <v>0</v>
      </c>
      <c r="R265" s="18">
        <v>7</v>
      </c>
      <c r="S265" s="18">
        <v>10</v>
      </c>
      <c r="T265" s="550">
        <f t="shared" ref="T265:T316" si="52">SUM(M265:S265)</f>
        <v>212</v>
      </c>
      <c r="U265" s="568"/>
      <c r="V265" s="3"/>
      <c r="W265" s="3"/>
      <c r="X265" s="3"/>
      <c r="Y265" s="562"/>
      <c r="Z265" s="570">
        <f t="shared" si="44"/>
        <v>194</v>
      </c>
      <c r="AA265" s="18">
        <f t="shared" si="45"/>
        <v>3</v>
      </c>
      <c r="AB265" s="18">
        <f t="shared" si="46"/>
        <v>0</v>
      </c>
      <c r="AC265" s="18">
        <f t="shared" si="47"/>
        <v>0</v>
      </c>
      <c r="AD265" s="18">
        <f t="shared" si="48"/>
        <v>0</v>
      </c>
      <c r="AE265" s="18">
        <f t="shared" si="50"/>
        <v>7</v>
      </c>
      <c r="AF265" s="18">
        <f t="shared" si="50"/>
        <v>10</v>
      </c>
      <c r="AG265" s="550">
        <f t="shared" si="49"/>
        <v>214</v>
      </c>
      <c r="AH265" s="42">
        <v>2</v>
      </c>
      <c r="AI265" s="42">
        <v>0</v>
      </c>
      <c r="AJ265" s="42">
        <v>0</v>
      </c>
      <c r="AK265" s="42">
        <v>0</v>
      </c>
      <c r="AL265" s="42">
        <v>0</v>
      </c>
      <c r="AM265" s="42">
        <v>0</v>
      </c>
      <c r="AN265" s="42">
        <v>0</v>
      </c>
      <c r="AO265" s="42">
        <v>2</v>
      </c>
    </row>
    <row r="266" spans="1:41" ht="24" customHeight="1">
      <c r="A266" s="11">
        <f t="shared" si="51"/>
        <v>263</v>
      </c>
      <c r="B266" s="400">
        <v>3312</v>
      </c>
      <c r="C266" s="478" t="str">
        <f>VLOOKUP(B266,All!$B$4:$S$8977,2,FALSE)</f>
        <v>ណាំ</v>
      </c>
      <c r="D266" s="479" t="str">
        <f>VLOOKUP(B266,All!$B$4:$S$89977,3,FALSE)</f>
        <v>ទិព្វ</v>
      </c>
      <c r="E266" s="478" t="str">
        <f>VLOOKUP(B266,All!$B$4:$S$8977,4,FALSE)</f>
        <v>NAM</v>
      </c>
      <c r="F266" s="479" t="str">
        <f>VLOOKUP(B266,All!$B$4:$S$8977,5,FALSE)</f>
        <v>TEP</v>
      </c>
      <c r="G266" s="479" t="str">
        <f>VLOOKUP(B266,All!$B$4:$S$8977,6,FALSE)</f>
        <v>F</v>
      </c>
      <c r="H266" s="385">
        <f>VLOOKUP(B266,All!$B$4:$S$8977,7,FALSE)</f>
        <v>26818</v>
      </c>
      <c r="I266" s="154">
        <f>VLOOKUP(B266,All!$B$4:$S$8977,8,FALSE)</f>
        <v>43746</v>
      </c>
      <c r="J266" s="154" t="str">
        <f>VLOOKUP(B266,All!$B$4:$S$8977,9,FALSE)</f>
        <v>Production</v>
      </c>
      <c r="K266" s="154" t="str">
        <f>VLOOKUP(B266,All!$B$4:$S$8977,10,FALSE)</f>
        <v xml:space="preserve"> Line6</v>
      </c>
      <c r="L266" s="698" t="str">
        <f>VLOOKUP(B266,All!$B$4:$S$8977,11,FALSE)</f>
        <v>Sewing operator</v>
      </c>
      <c r="M266" s="570">
        <f>VLOOKUP(B266,All!$B$4:$S$8977,12,FALSE)</f>
        <v>192</v>
      </c>
      <c r="N266" s="18">
        <f>VLOOKUP(B266,All!$B$4:$S$8977,13,FALSE)</f>
        <v>3</v>
      </c>
      <c r="O266" s="18">
        <f>VLOOKUP(B266,All!$B$4:$S$8977,14,FALSE)</f>
        <v>0</v>
      </c>
      <c r="P266" s="18">
        <f>VLOOKUP(B266,All!$B$4:$S$8977,15,FALSE)</f>
        <v>0</v>
      </c>
      <c r="Q266" s="18">
        <f>VLOOKUP(B266,All!$B$4:$S$8977,16,FALSE)</f>
        <v>0</v>
      </c>
      <c r="R266" s="18">
        <v>7</v>
      </c>
      <c r="S266" s="18">
        <v>10</v>
      </c>
      <c r="T266" s="550">
        <f t="shared" si="52"/>
        <v>212</v>
      </c>
      <c r="U266" s="568"/>
      <c r="V266" s="3"/>
      <c r="W266" s="3"/>
      <c r="X266" s="3"/>
      <c r="Y266" s="562"/>
      <c r="Z266" s="570">
        <f t="shared" si="44"/>
        <v>194</v>
      </c>
      <c r="AA266" s="18">
        <f t="shared" si="45"/>
        <v>3</v>
      </c>
      <c r="AB266" s="18">
        <f t="shared" si="46"/>
        <v>0</v>
      </c>
      <c r="AC266" s="18">
        <f t="shared" si="47"/>
        <v>0</v>
      </c>
      <c r="AD266" s="18">
        <f t="shared" si="48"/>
        <v>0</v>
      </c>
      <c r="AE266" s="18">
        <f t="shared" si="50"/>
        <v>7</v>
      </c>
      <c r="AF266" s="18">
        <f t="shared" si="50"/>
        <v>10</v>
      </c>
      <c r="AG266" s="550">
        <f t="shared" si="49"/>
        <v>214</v>
      </c>
      <c r="AH266" s="42">
        <v>2</v>
      </c>
      <c r="AI266" s="42">
        <v>0</v>
      </c>
      <c r="AJ266" s="42">
        <v>0</v>
      </c>
      <c r="AK266" s="42">
        <v>0</v>
      </c>
      <c r="AL266" s="42">
        <v>0</v>
      </c>
      <c r="AM266" s="42">
        <v>0</v>
      </c>
      <c r="AN266" s="42">
        <v>0</v>
      </c>
      <c r="AO266" s="42">
        <v>2</v>
      </c>
    </row>
    <row r="267" spans="1:41" ht="24" customHeight="1">
      <c r="A267" s="11">
        <f t="shared" si="51"/>
        <v>264</v>
      </c>
      <c r="B267" s="400">
        <v>3202</v>
      </c>
      <c r="C267" s="478" t="str">
        <f>VLOOKUP(B267,All!$B$4:$S$8977,2,FALSE)</f>
        <v>អ៊ួន</v>
      </c>
      <c r="D267" s="479" t="str">
        <f>VLOOKUP(B267,All!$B$4:$S$89977,3,FALSE)</f>
        <v>វន្នី</v>
      </c>
      <c r="E267" s="478" t="str">
        <f>VLOOKUP(B267,All!$B$4:$S$8977,4,FALSE)</f>
        <v>UON</v>
      </c>
      <c r="F267" s="479" t="str">
        <f>VLOOKUP(B267,All!$B$4:$S$8977,5,FALSE)</f>
        <v>VANNY</v>
      </c>
      <c r="G267" s="479" t="str">
        <f>VLOOKUP(B267,All!$B$4:$S$8977,6,FALSE)</f>
        <v>F</v>
      </c>
      <c r="H267" s="385">
        <f>VLOOKUP(B267,All!$B$4:$S$8977,7,FALSE)</f>
        <v>31670</v>
      </c>
      <c r="I267" s="154">
        <f>VLOOKUP(B267,All!$B$4:$S$8977,8,FALSE)</f>
        <v>43742</v>
      </c>
      <c r="J267" s="154" t="str">
        <f>VLOOKUP(B267,All!$B$4:$S$8977,9,FALSE)</f>
        <v>Production</v>
      </c>
      <c r="K267" s="154" t="str">
        <f>VLOOKUP(B267,All!$B$4:$S$8977,10,FALSE)</f>
        <v>Packing   A</v>
      </c>
      <c r="L267" s="698" t="str">
        <f>VLOOKUP(B267,All!$B$4:$S$8977,11,FALSE)</f>
        <v>Packer</v>
      </c>
      <c r="M267" s="570">
        <f>VLOOKUP(B267,All!$B$4:$S$8977,12,FALSE)</f>
        <v>192</v>
      </c>
      <c r="N267" s="18">
        <f>VLOOKUP(B267,All!$B$4:$S$8977,13,FALSE)</f>
        <v>3</v>
      </c>
      <c r="O267" s="18">
        <f>VLOOKUP(B267,All!$B$4:$S$8977,14,FALSE)</f>
        <v>0</v>
      </c>
      <c r="P267" s="18">
        <f>VLOOKUP(B267,All!$B$4:$S$8977,15,FALSE)</f>
        <v>0</v>
      </c>
      <c r="Q267" s="18">
        <f>VLOOKUP(B267,All!$B$4:$S$8977,16,FALSE)</f>
        <v>0</v>
      </c>
      <c r="R267" s="18">
        <v>7</v>
      </c>
      <c r="S267" s="18">
        <v>10</v>
      </c>
      <c r="T267" s="550">
        <f t="shared" si="52"/>
        <v>212</v>
      </c>
      <c r="U267" s="568"/>
      <c r="V267" s="3"/>
      <c r="W267" s="3"/>
      <c r="X267" s="3"/>
      <c r="Y267" s="562"/>
      <c r="Z267" s="570">
        <f t="shared" si="44"/>
        <v>194</v>
      </c>
      <c r="AA267" s="18">
        <f t="shared" si="45"/>
        <v>3</v>
      </c>
      <c r="AB267" s="18">
        <f t="shared" si="46"/>
        <v>0</v>
      </c>
      <c r="AC267" s="18">
        <f t="shared" si="47"/>
        <v>0</v>
      </c>
      <c r="AD267" s="18">
        <f t="shared" si="48"/>
        <v>0</v>
      </c>
      <c r="AE267" s="18">
        <f t="shared" si="50"/>
        <v>7</v>
      </c>
      <c r="AF267" s="18">
        <f t="shared" si="50"/>
        <v>10</v>
      </c>
      <c r="AG267" s="550">
        <f t="shared" si="49"/>
        <v>214</v>
      </c>
      <c r="AH267" s="42">
        <v>2</v>
      </c>
      <c r="AI267" s="42">
        <v>0</v>
      </c>
      <c r="AJ267" s="42">
        <v>0</v>
      </c>
      <c r="AK267" s="42">
        <v>0</v>
      </c>
      <c r="AL267" s="42">
        <v>0</v>
      </c>
      <c r="AM267" s="42">
        <v>0</v>
      </c>
      <c r="AN267" s="42">
        <v>0</v>
      </c>
      <c r="AO267" s="42">
        <v>2</v>
      </c>
    </row>
    <row r="268" spans="1:41" ht="24" customHeight="1">
      <c r="A268" s="11">
        <f t="shared" si="51"/>
        <v>265</v>
      </c>
      <c r="B268" s="400">
        <v>3559</v>
      </c>
      <c r="C268" s="478" t="str">
        <f>VLOOKUP(B268,All!$B$4:$S$8977,2,FALSE)</f>
        <v>ហឿង</v>
      </c>
      <c r="D268" s="479" t="str">
        <f>VLOOKUP(B268,All!$B$4:$S$89977,3,FALSE)</f>
        <v>សម្ផស្ស</v>
      </c>
      <c r="E268" s="478" t="str">
        <f>VLOOKUP(B268,All!$B$4:$S$8977,4,FALSE)</f>
        <v>HOEUNG</v>
      </c>
      <c r="F268" s="479" t="str">
        <f>VLOOKUP(B268,All!$B$4:$S$8977,5,FALSE)</f>
        <v>SOMPORS</v>
      </c>
      <c r="G268" s="479" t="str">
        <f>VLOOKUP(B268,All!$B$4:$S$8977,6,FALSE)</f>
        <v>F</v>
      </c>
      <c r="H268" s="385">
        <f>VLOOKUP(B268,All!$B$4:$S$8977,7,FALSE)</f>
        <v>35830</v>
      </c>
      <c r="I268" s="154">
        <f>VLOOKUP(B268,All!$B$4:$S$8977,8,FALSE)</f>
        <v>43748</v>
      </c>
      <c r="J268" s="154" t="str">
        <f>VLOOKUP(B268,All!$B$4:$S$8977,9,FALSE)</f>
        <v>Production</v>
      </c>
      <c r="K268" s="154" t="str">
        <f>VLOOKUP(B268,All!$B$4:$S$8977,10,FALSE)</f>
        <v xml:space="preserve"> Line6</v>
      </c>
      <c r="L268" s="698" t="str">
        <f>VLOOKUP(B268,All!$B$4:$S$8977,11,FALSE)</f>
        <v>Sewing operator</v>
      </c>
      <c r="M268" s="570">
        <f>VLOOKUP(B268,All!$B$4:$S$8977,12,FALSE)</f>
        <v>192</v>
      </c>
      <c r="N268" s="18">
        <f>VLOOKUP(B268,All!$B$4:$S$8977,13,FALSE)</f>
        <v>3</v>
      </c>
      <c r="O268" s="18">
        <f>VLOOKUP(B268,All!$B$4:$S$8977,14,FALSE)</f>
        <v>0</v>
      </c>
      <c r="P268" s="18">
        <f>VLOOKUP(B268,All!$B$4:$S$8977,15,FALSE)</f>
        <v>0</v>
      </c>
      <c r="Q268" s="18">
        <f>VLOOKUP(B268,All!$B$4:$S$8977,16,FALSE)</f>
        <v>0</v>
      </c>
      <c r="R268" s="18">
        <v>7</v>
      </c>
      <c r="S268" s="18">
        <v>10</v>
      </c>
      <c r="T268" s="550">
        <f t="shared" si="52"/>
        <v>212</v>
      </c>
      <c r="U268" s="568"/>
      <c r="V268" s="3"/>
      <c r="W268" s="3"/>
      <c r="X268" s="3"/>
      <c r="Y268" s="562"/>
      <c r="Z268" s="570">
        <f t="shared" si="44"/>
        <v>194</v>
      </c>
      <c r="AA268" s="18">
        <f t="shared" si="45"/>
        <v>3</v>
      </c>
      <c r="AB268" s="18">
        <f t="shared" si="46"/>
        <v>0</v>
      </c>
      <c r="AC268" s="18">
        <f t="shared" si="47"/>
        <v>0</v>
      </c>
      <c r="AD268" s="18">
        <f t="shared" si="48"/>
        <v>0</v>
      </c>
      <c r="AE268" s="18">
        <f t="shared" si="50"/>
        <v>7</v>
      </c>
      <c r="AF268" s="18">
        <f t="shared" si="50"/>
        <v>10</v>
      </c>
      <c r="AG268" s="550">
        <f t="shared" si="49"/>
        <v>214</v>
      </c>
      <c r="AH268" s="42">
        <v>2</v>
      </c>
      <c r="AI268" s="42">
        <v>0</v>
      </c>
      <c r="AJ268" s="42">
        <v>0</v>
      </c>
      <c r="AK268" s="42">
        <v>0</v>
      </c>
      <c r="AL268" s="42">
        <v>0</v>
      </c>
      <c r="AM268" s="42">
        <v>0</v>
      </c>
      <c r="AN268" s="42">
        <v>0</v>
      </c>
      <c r="AO268" s="42">
        <v>2</v>
      </c>
    </row>
    <row r="269" spans="1:41" ht="24" customHeight="1">
      <c r="A269" s="11">
        <f t="shared" si="51"/>
        <v>266</v>
      </c>
      <c r="B269" s="400">
        <v>3517</v>
      </c>
      <c r="C269" s="478" t="str">
        <f>VLOOKUP(B269,All!$B$4:$S$8977,2,FALSE)</f>
        <v>សូត</v>
      </c>
      <c r="D269" s="479" t="str">
        <f>VLOOKUP(B269,All!$B$4:$S$89977,3,FALSE)</f>
        <v>យ៉ុន</v>
      </c>
      <c r="E269" s="478" t="str">
        <f>VLOOKUP(B269,All!$B$4:$S$8977,4,FALSE)</f>
        <v>SOUT</v>
      </c>
      <c r="F269" s="479" t="str">
        <f>VLOOKUP(B269,All!$B$4:$S$8977,5,FALSE)</f>
        <v>YUN</v>
      </c>
      <c r="G269" s="479" t="str">
        <f>VLOOKUP(B269,All!$B$4:$S$8977,6,FALSE)</f>
        <v>F</v>
      </c>
      <c r="H269" s="385">
        <f>VLOOKUP(B269,All!$B$4:$S$8977,7,FALSE)</f>
        <v>34035</v>
      </c>
      <c r="I269" s="154">
        <f>VLOOKUP(B269,All!$B$4:$S$8977,8,FALSE)</f>
        <v>43747</v>
      </c>
      <c r="J269" s="154" t="str">
        <f>VLOOKUP(B269,All!$B$4:$S$8977,9,FALSE)</f>
        <v>Production</v>
      </c>
      <c r="K269" s="154" t="str">
        <f>VLOOKUP(B269,All!$B$4:$S$8977,10,FALSE)</f>
        <v>Line 11</v>
      </c>
      <c r="L269" s="698" t="str">
        <f>VLOOKUP(B269,All!$B$4:$S$8977,11,FALSE)</f>
        <v>Sewing operator</v>
      </c>
      <c r="M269" s="570">
        <f>VLOOKUP(B269,All!$B$4:$S$8977,12,FALSE)</f>
        <v>192</v>
      </c>
      <c r="N269" s="18">
        <f>VLOOKUP(B269,All!$B$4:$S$8977,13,FALSE)</f>
        <v>3</v>
      </c>
      <c r="O269" s="18">
        <f>VLOOKUP(B269,All!$B$4:$S$8977,14,FALSE)</f>
        <v>0</v>
      </c>
      <c r="P269" s="18">
        <f>VLOOKUP(B269,All!$B$4:$S$8977,15,FALSE)</f>
        <v>0</v>
      </c>
      <c r="Q269" s="18">
        <f>VLOOKUP(B269,All!$B$4:$S$8977,16,FALSE)</f>
        <v>0</v>
      </c>
      <c r="R269" s="18">
        <v>7</v>
      </c>
      <c r="S269" s="18">
        <v>10</v>
      </c>
      <c r="T269" s="550">
        <f t="shared" si="52"/>
        <v>212</v>
      </c>
      <c r="U269" s="568"/>
      <c r="V269" s="3"/>
      <c r="W269" s="3"/>
      <c r="X269" s="3"/>
      <c r="Y269" s="562"/>
      <c r="Z269" s="570">
        <f t="shared" si="44"/>
        <v>194</v>
      </c>
      <c r="AA269" s="18">
        <f t="shared" si="45"/>
        <v>3</v>
      </c>
      <c r="AB269" s="18">
        <f t="shared" si="46"/>
        <v>0</v>
      </c>
      <c r="AC269" s="18">
        <f t="shared" si="47"/>
        <v>0</v>
      </c>
      <c r="AD269" s="18">
        <f t="shared" si="48"/>
        <v>0</v>
      </c>
      <c r="AE269" s="18">
        <f t="shared" si="50"/>
        <v>7</v>
      </c>
      <c r="AF269" s="18">
        <f t="shared" si="50"/>
        <v>10</v>
      </c>
      <c r="AG269" s="550">
        <f t="shared" si="49"/>
        <v>214</v>
      </c>
      <c r="AH269" s="42">
        <v>2</v>
      </c>
      <c r="AI269" s="42">
        <v>0</v>
      </c>
      <c r="AJ269" s="42">
        <v>0</v>
      </c>
      <c r="AK269" s="42">
        <v>0</v>
      </c>
      <c r="AL269" s="42">
        <v>0</v>
      </c>
      <c r="AM269" s="42">
        <v>0</v>
      </c>
      <c r="AN269" s="42">
        <v>0</v>
      </c>
      <c r="AO269" s="42">
        <v>2</v>
      </c>
    </row>
    <row r="270" spans="1:41" ht="24" customHeight="1">
      <c r="A270" s="11">
        <f t="shared" si="51"/>
        <v>267</v>
      </c>
      <c r="B270" s="400">
        <v>3518</v>
      </c>
      <c r="C270" s="478" t="str">
        <f>VLOOKUP(B270,All!$B$4:$S$8977,2,FALSE)</f>
        <v>វ៉ិត</v>
      </c>
      <c r="D270" s="479" t="str">
        <f>VLOOKUP(B270,All!$B$4:$S$89977,3,FALSE)</f>
        <v>ស្រីគីន</v>
      </c>
      <c r="E270" s="478" t="str">
        <f>VLOOKUP(B270,All!$B$4:$S$8977,4,FALSE)</f>
        <v>VIT</v>
      </c>
      <c r="F270" s="479" t="str">
        <f>VLOOKUP(B270,All!$B$4:$S$8977,5,FALSE)</f>
        <v>SREYKIN</v>
      </c>
      <c r="G270" s="479" t="str">
        <f>VLOOKUP(B270,All!$B$4:$S$8977,6,FALSE)</f>
        <v>F</v>
      </c>
      <c r="H270" s="385">
        <f>VLOOKUP(B270,All!$B$4:$S$8977,7,FALSE)</f>
        <v>35499</v>
      </c>
      <c r="I270" s="154">
        <f>VLOOKUP(B270,All!$B$4:$S$8977,8,FALSE)</f>
        <v>43746</v>
      </c>
      <c r="J270" s="154" t="str">
        <f>VLOOKUP(B270,All!$B$4:$S$8977,9,FALSE)</f>
        <v>Production</v>
      </c>
      <c r="K270" s="154" t="str">
        <f>VLOOKUP(B270,All!$B$4:$S$8977,10,FALSE)</f>
        <v>Line5</v>
      </c>
      <c r="L270" s="698" t="str">
        <f>VLOOKUP(B270,All!$B$4:$S$8977,11,FALSE)</f>
        <v>Sewing operator</v>
      </c>
      <c r="M270" s="570">
        <f>VLOOKUP(B270,All!$B$4:$S$8977,12,FALSE)</f>
        <v>192</v>
      </c>
      <c r="N270" s="18">
        <f>VLOOKUP(B270,All!$B$4:$S$8977,13,FALSE)</f>
        <v>3</v>
      </c>
      <c r="O270" s="18">
        <f>VLOOKUP(B270,All!$B$4:$S$8977,14,FALSE)</f>
        <v>0</v>
      </c>
      <c r="P270" s="18">
        <f>VLOOKUP(B270,All!$B$4:$S$8977,15,FALSE)</f>
        <v>0</v>
      </c>
      <c r="Q270" s="18">
        <f>VLOOKUP(B270,All!$B$4:$S$8977,16,FALSE)</f>
        <v>0</v>
      </c>
      <c r="R270" s="18">
        <v>7</v>
      </c>
      <c r="S270" s="18">
        <v>10</v>
      </c>
      <c r="T270" s="550">
        <f t="shared" si="52"/>
        <v>212</v>
      </c>
      <c r="U270" s="568"/>
      <c r="V270" s="3"/>
      <c r="W270" s="3"/>
      <c r="X270" s="3"/>
      <c r="Y270" s="562"/>
      <c r="Z270" s="570">
        <f t="shared" si="44"/>
        <v>194</v>
      </c>
      <c r="AA270" s="18">
        <f t="shared" si="45"/>
        <v>3</v>
      </c>
      <c r="AB270" s="18">
        <f t="shared" si="46"/>
        <v>0</v>
      </c>
      <c r="AC270" s="18">
        <f t="shared" si="47"/>
        <v>0</v>
      </c>
      <c r="AD270" s="18">
        <f t="shared" si="48"/>
        <v>0</v>
      </c>
      <c r="AE270" s="18">
        <f t="shared" si="50"/>
        <v>7</v>
      </c>
      <c r="AF270" s="18">
        <f t="shared" si="50"/>
        <v>10</v>
      </c>
      <c r="AG270" s="550">
        <f t="shared" si="49"/>
        <v>214</v>
      </c>
      <c r="AH270" s="42">
        <v>2</v>
      </c>
      <c r="AI270" s="42">
        <v>0</v>
      </c>
      <c r="AJ270" s="42">
        <v>0</v>
      </c>
      <c r="AK270" s="42">
        <v>0</v>
      </c>
      <c r="AL270" s="42">
        <v>0</v>
      </c>
      <c r="AM270" s="42">
        <v>0</v>
      </c>
      <c r="AN270" s="42">
        <v>0</v>
      </c>
      <c r="AO270" s="42">
        <v>2</v>
      </c>
    </row>
    <row r="271" spans="1:41" ht="24" customHeight="1">
      <c r="A271" s="11">
        <f t="shared" si="51"/>
        <v>268</v>
      </c>
      <c r="B271" s="400">
        <v>3591</v>
      </c>
      <c r="C271" s="478" t="str">
        <f>VLOOKUP(B271,All!$B$4:$S$8977,2,FALSE)</f>
        <v>ញែន</v>
      </c>
      <c r="D271" s="479" t="str">
        <f>VLOOKUP(B271,All!$B$4:$S$89977,3,FALSE)</f>
        <v>ណយ</v>
      </c>
      <c r="E271" s="478" t="str">
        <f>VLOOKUP(B271,All!$B$4:$S$8977,4,FALSE)</f>
        <v>NHEN</v>
      </c>
      <c r="F271" s="479" t="str">
        <f>VLOOKUP(B271,All!$B$4:$S$8977,5,FALSE)</f>
        <v>NOY</v>
      </c>
      <c r="G271" s="479" t="str">
        <f>VLOOKUP(B271,All!$B$4:$S$8977,6,FALSE)</f>
        <v>F</v>
      </c>
      <c r="H271" s="385">
        <f>VLOOKUP(B271,All!$B$4:$S$8977,7,FALSE)</f>
        <v>37140</v>
      </c>
      <c r="I271" s="154">
        <f>VLOOKUP(B271,All!$B$4:$S$8977,8,FALSE)</f>
        <v>43749</v>
      </c>
      <c r="J271" s="154" t="str">
        <f>VLOOKUP(B271,All!$B$4:$S$8977,9,FALSE)</f>
        <v>Production</v>
      </c>
      <c r="K271" s="154" t="str">
        <f>VLOOKUP(B271,All!$B$4:$S$8977,10,FALSE)</f>
        <v xml:space="preserve"> Line6</v>
      </c>
      <c r="L271" s="698" t="str">
        <f>VLOOKUP(B271,All!$B$4:$S$8977,11,FALSE)</f>
        <v>Sewing operator</v>
      </c>
      <c r="M271" s="570">
        <f>VLOOKUP(B271,All!$B$4:$S$8977,12,FALSE)</f>
        <v>192</v>
      </c>
      <c r="N271" s="18">
        <f>VLOOKUP(B271,All!$B$4:$S$8977,13,FALSE)</f>
        <v>3</v>
      </c>
      <c r="O271" s="18">
        <f>VLOOKUP(B271,All!$B$4:$S$8977,14,FALSE)</f>
        <v>0</v>
      </c>
      <c r="P271" s="18">
        <f>VLOOKUP(B271,All!$B$4:$S$8977,15,FALSE)</f>
        <v>0</v>
      </c>
      <c r="Q271" s="18">
        <f>VLOOKUP(B271,All!$B$4:$S$8977,16,FALSE)</f>
        <v>0</v>
      </c>
      <c r="R271" s="18">
        <v>7</v>
      </c>
      <c r="S271" s="18">
        <v>10</v>
      </c>
      <c r="T271" s="550">
        <f t="shared" si="52"/>
        <v>212</v>
      </c>
      <c r="U271" s="568"/>
      <c r="V271" s="3"/>
      <c r="W271" s="3"/>
      <c r="X271" s="3"/>
      <c r="Y271" s="562"/>
      <c r="Z271" s="570">
        <f t="shared" si="44"/>
        <v>194</v>
      </c>
      <c r="AA271" s="18">
        <f t="shared" si="45"/>
        <v>3</v>
      </c>
      <c r="AB271" s="18">
        <f t="shared" si="46"/>
        <v>0</v>
      </c>
      <c r="AC271" s="18">
        <f t="shared" si="47"/>
        <v>0</v>
      </c>
      <c r="AD271" s="18">
        <f t="shared" si="48"/>
        <v>0</v>
      </c>
      <c r="AE271" s="18">
        <f t="shared" si="50"/>
        <v>7</v>
      </c>
      <c r="AF271" s="18">
        <f t="shared" si="50"/>
        <v>10</v>
      </c>
      <c r="AG271" s="550">
        <f t="shared" si="49"/>
        <v>214</v>
      </c>
      <c r="AH271" s="42">
        <v>2</v>
      </c>
      <c r="AI271" s="42">
        <v>0</v>
      </c>
      <c r="AJ271" s="42">
        <v>0</v>
      </c>
      <c r="AK271" s="42">
        <v>0</v>
      </c>
      <c r="AL271" s="42">
        <v>0</v>
      </c>
      <c r="AM271" s="42">
        <v>0</v>
      </c>
      <c r="AN271" s="42">
        <v>0</v>
      </c>
      <c r="AO271" s="42">
        <v>2</v>
      </c>
    </row>
    <row r="272" spans="1:41" ht="24" customHeight="1">
      <c r="A272" s="11">
        <f t="shared" si="51"/>
        <v>269</v>
      </c>
      <c r="B272" s="400">
        <v>3171</v>
      </c>
      <c r="C272" s="478" t="str">
        <f>VLOOKUP(B272,All!$B$4:$S$8977,2,FALSE)</f>
        <v>ផាន់</v>
      </c>
      <c r="D272" s="479" t="str">
        <f>VLOOKUP(B272,All!$B$4:$S$89977,3,FALSE)</f>
        <v>សុកគឿន</v>
      </c>
      <c r="E272" s="478" t="str">
        <f>VLOOKUP(B272,All!$B$4:$S$8977,4,FALSE)</f>
        <v>PHAN</v>
      </c>
      <c r="F272" s="479" t="str">
        <f>VLOOKUP(B272,All!$B$4:$S$8977,5,FALSE)</f>
        <v>SOKKOEUN</v>
      </c>
      <c r="G272" s="479" t="str">
        <f>VLOOKUP(B272,All!$B$4:$S$8977,6,FALSE)</f>
        <v>F</v>
      </c>
      <c r="H272" s="385">
        <f>VLOOKUP(B272,All!$B$4:$S$8977,7,FALSE)</f>
        <v>29325</v>
      </c>
      <c r="I272" s="154">
        <f>VLOOKUP(B272,All!$B$4:$S$8977,8,FALSE)</f>
        <v>43740</v>
      </c>
      <c r="J272" s="154" t="str">
        <f>VLOOKUP(B272,All!$B$4:$S$8977,9,FALSE)</f>
        <v>Production</v>
      </c>
      <c r="K272" s="154" t="str">
        <f>VLOOKUP(B272,All!$B$4:$S$8977,10,FALSE)</f>
        <v>Line10</v>
      </c>
      <c r="L272" s="698" t="str">
        <f>VLOOKUP(B272,All!$B$4:$S$8977,11,FALSE)</f>
        <v>Sewing operator</v>
      </c>
      <c r="M272" s="570">
        <f>VLOOKUP(B272,All!$B$4:$S$8977,12,FALSE)</f>
        <v>192</v>
      </c>
      <c r="N272" s="18">
        <f>VLOOKUP(B272,All!$B$4:$S$8977,13,FALSE)</f>
        <v>3</v>
      </c>
      <c r="O272" s="18">
        <f>VLOOKUP(B272,All!$B$4:$S$8977,14,FALSE)</f>
        <v>0</v>
      </c>
      <c r="P272" s="18">
        <f>VLOOKUP(B272,All!$B$4:$S$8977,15,FALSE)</f>
        <v>0</v>
      </c>
      <c r="Q272" s="18">
        <f>VLOOKUP(B272,All!$B$4:$S$8977,16,FALSE)</f>
        <v>0</v>
      </c>
      <c r="R272" s="18">
        <v>7</v>
      </c>
      <c r="S272" s="18">
        <v>10</v>
      </c>
      <c r="T272" s="550">
        <f t="shared" si="52"/>
        <v>212</v>
      </c>
      <c r="U272" s="568"/>
      <c r="V272" s="3"/>
      <c r="W272" s="3"/>
      <c r="X272" s="3"/>
      <c r="Y272" s="562"/>
      <c r="Z272" s="570">
        <f t="shared" si="44"/>
        <v>194</v>
      </c>
      <c r="AA272" s="18">
        <f t="shared" si="45"/>
        <v>3</v>
      </c>
      <c r="AB272" s="18">
        <f t="shared" si="46"/>
        <v>0</v>
      </c>
      <c r="AC272" s="18">
        <f t="shared" si="47"/>
        <v>0</v>
      </c>
      <c r="AD272" s="18">
        <f t="shared" si="48"/>
        <v>0</v>
      </c>
      <c r="AE272" s="18">
        <f t="shared" si="50"/>
        <v>7</v>
      </c>
      <c r="AF272" s="18">
        <f t="shared" si="50"/>
        <v>10</v>
      </c>
      <c r="AG272" s="550">
        <f t="shared" si="49"/>
        <v>214</v>
      </c>
      <c r="AH272" s="42">
        <v>2</v>
      </c>
      <c r="AI272" s="42">
        <v>0</v>
      </c>
      <c r="AJ272" s="42">
        <v>0</v>
      </c>
      <c r="AK272" s="42">
        <v>0</v>
      </c>
      <c r="AL272" s="42">
        <v>0</v>
      </c>
      <c r="AM272" s="42">
        <v>0</v>
      </c>
      <c r="AN272" s="42">
        <v>0</v>
      </c>
      <c r="AO272" s="42">
        <v>2</v>
      </c>
    </row>
    <row r="273" spans="1:41" ht="24" customHeight="1">
      <c r="A273" s="11">
        <f t="shared" si="51"/>
        <v>270</v>
      </c>
      <c r="B273" s="400">
        <v>3283</v>
      </c>
      <c r="C273" s="478" t="str">
        <f>VLOOKUP(B273,All!$B$4:$S$8977,2,FALSE)</f>
        <v>ឌឿ</v>
      </c>
      <c r="D273" s="479" t="str">
        <f>VLOOKUP(B273,All!$B$4:$S$89977,3,FALSE)</f>
        <v>រដ្ឋា</v>
      </c>
      <c r="E273" s="478" t="str">
        <f>VLOOKUP(B273,All!$B$4:$S$8977,4,FALSE)</f>
        <v>DOEU</v>
      </c>
      <c r="F273" s="479" t="str">
        <f>VLOOKUP(B273,All!$B$4:$S$8977,5,FALSE)</f>
        <v>RATHA</v>
      </c>
      <c r="G273" s="479" t="str">
        <f>VLOOKUP(B273,All!$B$4:$S$8977,6,FALSE)</f>
        <v>F</v>
      </c>
      <c r="H273" s="385">
        <f>VLOOKUP(B273,All!$B$4:$S$8977,7,FALSE)</f>
        <v>34252</v>
      </c>
      <c r="I273" s="154">
        <f>VLOOKUP(B273,All!$B$4:$S$8977,8,FALSE)</f>
        <v>43746</v>
      </c>
      <c r="J273" s="154" t="str">
        <f>VLOOKUP(B273,All!$B$4:$S$8977,9,FALSE)</f>
        <v>Production</v>
      </c>
      <c r="K273" s="154" t="str">
        <f>VLOOKUP(B273,All!$B$4:$S$8977,10,FALSE)</f>
        <v xml:space="preserve"> Line6</v>
      </c>
      <c r="L273" s="698" t="str">
        <f>VLOOKUP(B273,All!$B$4:$S$8977,11,FALSE)</f>
        <v>Sewing operator</v>
      </c>
      <c r="M273" s="570">
        <f>VLOOKUP(B273,All!$B$4:$S$8977,12,FALSE)</f>
        <v>192</v>
      </c>
      <c r="N273" s="18">
        <f>VLOOKUP(B273,All!$B$4:$S$8977,13,FALSE)</f>
        <v>3</v>
      </c>
      <c r="O273" s="18">
        <f>VLOOKUP(B273,All!$B$4:$S$8977,14,FALSE)</f>
        <v>0</v>
      </c>
      <c r="P273" s="18">
        <f>VLOOKUP(B273,All!$B$4:$S$8977,15,FALSE)</f>
        <v>0</v>
      </c>
      <c r="Q273" s="18">
        <f>VLOOKUP(B273,All!$B$4:$S$8977,16,FALSE)</f>
        <v>0</v>
      </c>
      <c r="R273" s="18">
        <v>7</v>
      </c>
      <c r="S273" s="18">
        <v>10</v>
      </c>
      <c r="T273" s="550">
        <f t="shared" si="52"/>
        <v>212</v>
      </c>
      <c r="U273" s="568"/>
      <c r="V273" s="3"/>
      <c r="W273" s="3"/>
      <c r="X273" s="3"/>
      <c r="Y273" s="562"/>
      <c r="Z273" s="570">
        <f t="shared" si="44"/>
        <v>194</v>
      </c>
      <c r="AA273" s="18">
        <f t="shared" si="45"/>
        <v>3</v>
      </c>
      <c r="AB273" s="18">
        <f t="shared" si="46"/>
        <v>0</v>
      </c>
      <c r="AC273" s="18">
        <f t="shared" si="47"/>
        <v>0</v>
      </c>
      <c r="AD273" s="18">
        <f t="shared" si="48"/>
        <v>0</v>
      </c>
      <c r="AE273" s="18">
        <f t="shared" si="50"/>
        <v>7</v>
      </c>
      <c r="AF273" s="18">
        <f t="shared" si="50"/>
        <v>10</v>
      </c>
      <c r="AG273" s="550">
        <f t="shared" si="49"/>
        <v>214</v>
      </c>
      <c r="AH273" s="42">
        <v>2</v>
      </c>
      <c r="AI273" s="42">
        <v>0</v>
      </c>
      <c r="AJ273" s="42">
        <v>0</v>
      </c>
      <c r="AK273" s="42">
        <v>0</v>
      </c>
      <c r="AL273" s="42">
        <v>0</v>
      </c>
      <c r="AM273" s="42">
        <v>0</v>
      </c>
      <c r="AN273" s="42">
        <v>0</v>
      </c>
      <c r="AO273" s="42">
        <v>2</v>
      </c>
    </row>
    <row r="274" spans="1:41" ht="24" customHeight="1">
      <c r="A274" s="11">
        <f t="shared" si="51"/>
        <v>271</v>
      </c>
      <c r="B274" s="400">
        <v>3747</v>
      </c>
      <c r="C274" s="478" t="str">
        <f>VLOOKUP(B274,All!$B$4:$S$8977,2,FALSE)</f>
        <v>រ៉ន</v>
      </c>
      <c r="D274" s="479" t="str">
        <f>VLOOKUP(B274,All!$B$4:$S$89977,3,FALSE)</f>
        <v>នីម</v>
      </c>
      <c r="E274" s="478" t="str">
        <f>VLOOKUP(B274,All!$B$4:$S$8977,4,FALSE)</f>
        <v>RORN</v>
      </c>
      <c r="F274" s="479" t="str">
        <f>VLOOKUP(B274,All!$B$4:$S$8977,5,FALSE)</f>
        <v>NIM</v>
      </c>
      <c r="G274" s="479" t="str">
        <f>VLOOKUP(B274,All!$B$4:$S$8977,6,FALSE)</f>
        <v>F</v>
      </c>
      <c r="H274" s="385">
        <f>VLOOKUP(B274,All!$B$4:$S$8977,7,FALSE)</f>
        <v>30628</v>
      </c>
      <c r="I274" s="154">
        <f>VLOOKUP(B274,All!$B$4:$S$8977,8,FALSE)</f>
        <v>43762</v>
      </c>
      <c r="J274" s="154" t="str">
        <f>VLOOKUP(B274,All!$B$4:$S$8977,9,FALSE)</f>
        <v>Production</v>
      </c>
      <c r="K274" s="154" t="str">
        <f>VLOOKUP(B274,All!$B$4:$S$8977,10,FALSE)</f>
        <v xml:space="preserve"> Line6</v>
      </c>
      <c r="L274" s="698" t="str">
        <f>VLOOKUP(B274,All!$B$4:$S$8977,11,FALSE)</f>
        <v>Sewing operator</v>
      </c>
      <c r="M274" s="570">
        <f>VLOOKUP(B274,All!$B$4:$S$8977,12,FALSE)</f>
        <v>192</v>
      </c>
      <c r="N274" s="18">
        <f>VLOOKUP(B274,All!$B$4:$S$8977,13,FALSE)</f>
        <v>3</v>
      </c>
      <c r="O274" s="18">
        <f>VLOOKUP(B274,All!$B$4:$S$8977,14,FALSE)</f>
        <v>0</v>
      </c>
      <c r="P274" s="18">
        <f>VLOOKUP(B274,All!$B$4:$S$8977,15,FALSE)</f>
        <v>0</v>
      </c>
      <c r="Q274" s="18">
        <f>VLOOKUP(B274,All!$B$4:$S$8977,16,FALSE)</f>
        <v>0</v>
      </c>
      <c r="R274" s="18">
        <v>7</v>
      </c>
      <c r="S274" s="18">
        <v>10</v>
      </c>
      <c r="T274" s="550">
        <f t="shared" si="52"/>
        <v>212</v>
      </c>
      <c r="U274" s="568"/>
      <c r="V274" s="3"/>
      <c r="W274" s="3"/>
      <c r="X274" s="3"/>
      <c r="Y274" s="562"/>
      <c r="Z274" s="570">
        <f t="shared" si="44"/>
        <v>194</v>
      </c>
      <c r="AA274" s="18">
        <f t="shared" si="45"/>
        <v>3</v>
      </c>
      <c r="AB274" s="18">
        <f t="shared" si="46"/>
        <v>0</v>
      </c>
      <c r="AC274" s="18">
        <f t="shared" si="47"/>
        <v>0</v>
      </c>
      <c r="AD274" s="18">
        <f t="shared" si="48"/>
        <v>0</v>
      </c>
      <c r="AE274" s="18">
        <f t="shared" si="50"/>
        <v>7</v>
      </c>
      <c r="AF274" s="18">
        <f t="shared" si="50"/>
        <v>10</v>
      </c>
      <c r="AG274" s="550">
        <f t="shared" si="49"/>
        <v>214</v>
      </c>
      <c r="AH274" s="42">
        <v>2</v>
      </c>
      <c r="AI274" s="42">
        <v>0</v>
      </c>
      <c r="AJ274" s="42">
        <v>0</v>
      </c>
      <c r="AK274" s="42">
        <v>0</v>
      </c>
      <c r="AL274" s="42">
        <v>0</v>
      </c>
      <c r="AM274" s="42">
        <v>0</v>
      </c>
      <c r="AN274" s="42">
        <v>0</v>
      </c>
      <c r="AO274" s="42">
        <v>2</v>
      </c>
    </row>
    <row r="275" spans="1:41" ht="24" customHeight="1">
      <c r="A275" s="11">
        <f t="shared" si="51"/>
        <v>272</v>
      </c>
      <c r="B275" s="400">
        <v>3706</v>
      </c>
      <c r="C275" s="478" t="str">
        <f>VLOOKUP(B275,All!$B$4:$S$8977,2,FALSE)</f>
        <v>ស្រួច</v>
      </c>
      <c r="D275" s="479" t="str">
        <f>VLOOKUP(B275,All!$B$4:$S$89977,3,FALSE)</f>
        <v>រ៉េន</v>
      </c>
      <c r="E275" s="478" t="str">
        <f>VLOOKUP(B275,All!$B$4:$S$8977,4,FALSE)</f>
        <v>SRUOCH</v>
      </c>
      <c r="F275" s="479" t="str">
        <f>VLOOKUP(B275,All!$B$4:$S$8977,5,FALSE)</f>
        <v>REN</v>
      </c>
      <c r="G275" s="479" t="str">
        <f>VLOOKUP(B275,All!$B$4:$S$8977,6,FALSE)</f>
        <v>F</v>
      </c>
      <c r="H275" s="385">
        <f>VLOOKUP(B275,All!$B$4:$S$8977,7,FALSE)</f>
        <v>36594</v>
      </c>
      <c r="I275" s="154">
        <f>VLOOKUP(B275,All!$B$4:$S$8977,8,FALSE)</f>
        <v>43762</v>
      </c>
      <c r="J275" s="154" t="str">
        <f>VLOOKUP(B275,All!$B$4:$S$8977,9,FALSE)</f>
        <v>Production</v>
      </c>
      <c r="K275" s="154" t="str">
        <f>VLOOKUP(B275,All!$B$4:$S$8977,10,FALSE)</f>
        <v xml:space="preserve"> Line1</v>
      </c>
      <c r="L275" s="698" t="str">
        <f>VLOOKUP(B275,All!$B$4:$S$8977,11,FALSE)</f>
        <v>Sewing operator</v>
      </c>
      <c r="M275" s="570">
        <f>VLOOKUP(B275,All!$B$4:$S$8977,12,FALSE)</f>
        <v>192</v>
      </c>
      <c r="N275" s="18">
        <f>VLOOKUP(B275,All!$B$4:$S$8977,13,FALSE)</f>
        <v>3</v>
      </c>
      <c r="O275" s="18">
        <f>VLOOKUP(B275,All!$B$4:$S$8977,14,FALSE)</f>
        <v>0</v>
      </c>
      <c r="P275" s="18">
        <f>VLOOKUP(B275,All!$B$4:$S$8977,15,FALSE)</f>
        <v>0</v>
      </c>
      <c r="Q275" s="18">
        <f>VLOOKUP(B275,All!$B$4:$S$8977,16,FALSE)</f>
        <v>0</v>
      </c>
      <c r="R275" s="18">
        <v>7</v>
      </c>
      <c r="S275" s="18">
        <v>10</v>
      </c>
      <c r="T275" s="550">
        <f t="shared" si="52"/>
        <v>212</v>
      </c>
      <c r="U275" s="568"/>
      <c r="V275" s="3"/>
      <c r="W275" s="3"/>
      <c r="X275" s="3"/>
      <c r="Y275" s="562"/>
      <c r="Z275" s="570">
        <f t="shared" si="44"/>
        <v>194</v>
      </c>
      <c r="AA275" s="18">
        <f t="shared" si="45"/>
        <v>3</v>
      </c>
      <c r="AB275" s="18">
        <f t="shared" si="46"/>
        <v>0</v>
      </c>
      <c r="AC275" s="18">
        <f t="shared" si="47"/>
        <v>0</v>
      </c>
      <c r="AD275" s="18">
        <f t="shared" si="48"/>
        <v>0</v>
      </c>
      <c r="AE275" s="18">
        <f t="shared" si="50"/>
        <v>7</v>
      </c>
      <c r="AF275" s="18">
        <f t="shared" si="50"/>
        <v>10</v>
      </c>
      <c r="AG275" s="550">
        <f t="shared" si="49"/>
        <v>214</v>
      </c>
      <c r="AH275" s="42">
        <v>2</v>
      </c>
      <c r="AI275" s="42">
        <v>0</v>
      </c>
      <c r="AJ275" s="42">
        <v>0</v>
      </c>
      <c r="AK275" s="42">
        <v>0</v>
      </c>
      <c r="AL275" s="42">
        <v>0</v>
      </c>
      <c r="AM275" s="42">
        <v>0</v>
      </c>
      <c r="AN275" s="42">
        <v>0</v>
      </c>
      <c r="AO275" s="42">
        <v>2</v>
      </c>
    </row>
    <row r="276" spans="1:41" ht="24" customHeight="1">
      <c r="A276" s="11">
        <f t="shared" si="51"/>
        <v>273</v>
      </c>
      <c r="B276" s="400">
        <v>3684</v>
      </c>
      <c r="C276" s="478" t="str">
        <f>VLOOKUP(B276,All!$B$4:$S$8977,2,FALSE)</f>
        <v>យ៉ូន</v>
      </c>
      <c r="D276" s="479" t="str">
        <f>VLOOKUP(B276,All!$B$4:$S$89977,3,FALSE)</f>
        <v>ស្រីទូច</v>
      </c>
      <c r="E276" s="478" t="str">
        <f>VLOOKUP(B276,All!$B$4:$S$8977,4,FALSE)</f>
        <v>YOUN</v>
      </c>
      <c r="F276" s="479" t="str">
        <f>VLOOKUP(B276,All!$B$4:$S$8977,5,FALSE)</f>
        <v>SREYTOUCH</v>
      </c>
      <c r="G276" s="479" t="str">
        <f>VLOOKUP(B276,All!$B$4:$S$8977,6,FALSE)</f>
        <v>F</v>
      </c>
      <c r="H276" s="385">
        <f>VLOOKUP(B276,All!$B$4:$S$8977,7,FALSE)</f>
        <v>34307</v>
      </c>
      <c r="I276" s="154">
        <f>VLOOKUP(B276,All!$B$4:$S$8977,8,FALSE)</f>
        <v>43762</v>
      </c>
      <c r="J276" s="154" t="str">
        <f>VLOOKUP(B276,All!$B$4:$S$8977,9,FALSE)</f>
        <v>Production</v>
      </c>
      <c r="K276" s="154" t="str">
        <f>VLOOKUP(B276,All!$B$4:$S$8977,10,FALSE)</f>
        <v xml:space="preserve"> Line8</v>
      </c>
      <c r="L276" s="698" t="str">
        <f>VLOOKUP(B276,All!$B$4:$S$8977,11,FALSE)</f>
        <v>Sewing operator</v>
      </c>
      <c r="M276" s="570">
        <f>VLOOKUP(B276,All!$B$4:$S$8977,12,FALSE)</f>
        <v>192</v>
      </c>
      <c r="N276" s="18">
        <f>VLOOKUP(B276,All!$B$4:$S$8977,13,FALSE)</f>
        <v>3</v>
      </c>
      <c r="O276" s="18">
        <f>VLOOKUP(B276,All!$B$4:$S$8977,14,FALSE)</f>
        <v>0</v>
      </c>
      <c r="P276" s="18">
        <f>VLOOKUP(B276,All!$B$4:$S$8977,15,FALSE)</f>
        <v>0</v>
      </c>
      <c r="Q276" s="18">
        <f>VLOOKUP(B276,All!$B$4:$S$8977,16,FALSE)</f>
        <v>0</v>
      </c>
      <c r="R276" s="18">
        <v>7</v>
      </c>
      <c r="S276" s="18">
        <v>10</v>
      </c>
      <c r="T276" s="550">
        <f t="shared" si="52"/>
        <v>212</v>
      </c>
      <c r="U276" s="568"/>
      <c r="V276" s="3"/>
      <c r="W276" s="3"/>
      <c r="X276" s="3"/>
      <c r="Y276" s="562"/>
      <c r="Z276" s="570">
        <f t="shared" si="44"/>
        <v>194</v>
      </c>
      <c r="AA276" s="18">
        <f t="shared" si="45"/>
        <v>3</v>
      </c>
      <c r="AB276" s="18">
        <f t="shared" si="46"/>
        <v>0</v>
      </c>
      <c r="AC276" s="18">
        <f t="shared" si="47"/>
        <v>0</v>
      </c>
      <c r="AD276" s="18">
        <f t="shared" si="48"/>
        <v>0</v>
      </c>
      <c r="AE276" s="18">
        <f t="shared" si="50"/>
        <v>7</v>
      </c>
      <c r="AF276" s="18">
        <f t="shared" si="50"/>
        <v>10</v>
      </c>
      <c r="AG276" s="550">
        <f t="shared" si="49"/>
        <v>214</v>
      </c>
      <c r="AH276" s="42">
        <v>2</v>
      </c>
      <c r="AI276" s="42">
        <v>0</v>
      </c>
      <c r="AJ276" s="42">
        <v>0</v>
      </c>
      <c r="AK276" s="42">
        <v>0</v>
      </c>
      <c r="AL276" s="42">
        <v>0</v>
      </c>
      <c r="AM276" s="42">
        <v>0</v>
      </c>
      <c r="AN276" s="42">
        <v>0</v>
      </c>
      <c r="AO276" s="42">
        <v>2</v>
      </c>
    </row>
    <row r="277" spans="1:41" ht="24" customHeight="1">
      <c r="A277" s="11">
        <f t="shared" si="51"/>
        <v>274</v>
      </c>
      <c r="B277" s="400">
        <v>3758</v>
      </c>
      <c r="C277" s="478" t="str">
        <f>VLOOKUP(B277,All!$B$4:$S$8977,2,FALSE)</f>
        <v>សាំ</v>
      </c>
      <c r="D277" s="479" t="str">
        <f>VLOOKUP(B277,All!$B$4:$S$89977,3,FALSE)</f>
        <v>ចិន្តា</v>
      </c>
      <c r="E277" s="478" t="str">
        <f>VLOOKUP(B277,All!$B$4:$S$8977,4,FALSE)</f>
        <v>SAM</v>
      </c>
      <c r="F277" s="479" t="str">
        <f>VLOOKUP(B277,All!$B$4:$S$8977,5,FALSE)</f>
        <v>CHENDA</v>
      </c>
      <c r="G277" s="479" t="str">
        <f>VLOOKUP(B277,All!$B$4:$S$8977,6,FALSE)</f>
        <v>F</v>
      </c>
      <c r="H277" s="385">
        <f>VLOOKUP(B277,All!$B$4:$S$8977,7,FALSE)</f>
        <v>31448</v>
      </c>
      <c r="I277" s="154">
        <f>VLOOKUP(B277,All!$B$4:$S$8977,8,FALSE)</f>
        <v>43762</v>
      </c>
      <c r="J277" s="154" t="str">
        <f>VLOOKUP(B277,All!$B$4:$S$8977,9,FALSE)</f>
        <v>Production</v>
      </c>
      <c r="K277" s="154" t="str">
        <f>VLOOKUP(B277,All!$B$4:$S$8977,10,FALSE)</f>
        <v xml:space="preserve"> Line6</v>
      </c>
      <c r="L277" s="698" t="str">
        <f>VLOOKUP(B277,All!$B$4:$S$8977,11,FALSE)</f>
        <v>Sewing operator</v>
      </c>
      <c r="M277" s="570">
        <f>VLOOKUP(B277,All!$B$4:$S$8977,12,FALSE)</f>
        <v>192</v>
      </c>
      <c r="N277" s="18">
        <f>VLOOKUP(B277,All!$B$4:$S$8977,13,FALSE)</f>
        <v>3</v>
      </c>
      <c r="O277" s="18">
        <f>VLOOKUP(B277,All!$B$4:$S$8977,14,FALSE)</f>
        <v>0</v>
      </c>
      <c r="P277" s="18">
        <f>VLOOKUP(B277,All!$B$4:$S$8977,15,FALSE)</f>
        <v>0</v>
      </c>
      <c r="Q277" s="18">
        <f>VLOOKUP(B277,All!$B$4:$S$8977,16,FALSE)</f>
        <v>0</v>
      </c>
      <c r="R277" s="18">
        <v>7</v>
      </c>
      <c r="S277" s="18">
        <v>10</v>
      </c>
      <c r="T277" s="550">
        <f t="shared" si="52"/>
        <v>212</v>
      </c>
      <c r="U277" s="568"/>
      <c r="V277" s="3"/>
      <c r="W277" s="3"/>
      <c r="X277" s="3"/>
      <c r="Y277" s="562"/>
      <c r="Z277" s="570">
        <f t="shared" si="44"/>
        <v>194</v>
      </c>
      <c r="AA277" s="18">
        <f t="shared" si="45"/>
        <v>3</v>
      </c>
      <c r="AB277" s="18">
        <f t="shared" si="46"/>
        <v>0</v>
      </c>
      <c r="AC277" s="18">
        <f t="shared" si="47"/>
        <v>0</v>
      </c>
      <c r="AD277" s="18">
        <f t="shared" si="48"/>
        <v>0</v>
      </c>
      <c r="AE277" s="18">
        <f t="shared" si="50"/>
        <v>7</v>
      </c>
      <c r="AF277" s="18">
        <f t="shared" si="50"/>
        <v>10</v>
      </c>
      <c r="AG277" s="550">
        <f t="shared" si="49"/>
        <v>214</v>
      </c>
      <c r="AH277" s="42">
        <v>2</v>
      </c>
      <c r="AI277" s="42">
        <v>0</v>
      </c>
      <c r="AJ277" s="42">
        <v>0</v>
      </c>
      <c r="AK277" s="42">
        <v>0</v>
      </c>
      <c r="AL277" s="42">
        <v>0</v>
      </c>
      <c r="AM277" s="42">
        <v>0</v>
      </c>
      <c r="AN277" s="42">
        <v>0</v>
      </c>
      <c r="AO277" s="42">
        <v>2</v>
      </c>
    </row>
    <row r="278" spans="1:41" ht="24" customHeight="1">
      <c r="A278" s="11">
        <f t="shared" si="51"/>
        <v>275</v>
      </c>
      <c r="B278" s="400">
        <v>3699</v>
      </c>
      <c r="C278" s="478" t="str">
        <f>VLOOKUP(B278,All!$B$4:$S$8977,2,FALSE)</f>
        <v>ខៀវ</v>
      </c>
      <c r="D278" s="479" t="str">
        <f>VLOOKUP(B278,All!$B$4:$S$89977,3,FALSE)</f>
        <v>ហឿន</v>
      </c>
      <c r="E278" s="478" t="str">
        <f>VLOOKUP(B278,All!$B$4:$S$8977,4,FALSE)</f>
        <v>KHIEV</v>
      </c>
      <c r="F278" s="479" t="str">
        <f>VLOOKUP(B278,All!$B$4:$S$8977,5,FALSE)</f>
        <v>HOEUN</v>
      </c>
      <c r="G278" s="479" t="str">
        <f>VLOOKUP(B278,All!$B$4:$S$8977,6,FALSE)</f>
        <v>F</v>
      </c>
      <c r="H278" s="385">
        <f>VLOOKUP(B278,All!$B$4:$S$8977,7,FALSE)</f>
        <v>33513</v>
      </c>
      <c r="I278" s="154">
        <f>VLOOKUP(B278,All!$B$4:$S$8977,8,FALSE)</f>
        <v>43762</v>
      </c>
      <c r="J278" s="154" t="str">
        <f>VLOOKUP(B278,All!$B$4:$S$8977,9,FALSE)</f>
        <v>Production</v>
      </c>
      <c r="K278" s="154" t="str">
        <f>VLOOKUP(B278,All!$B$4:$S$8977,10,FALSE)</f>
        <v xml:space="preserve"> Line1</v>
      </c>
      <c r="L278" s="698" t="str">
        <f>VLOOKUP(B278,All!$B$4:$S$8977,11,FALSE)</f>
        <v>Sewing operator</v>
      </c>
      <c r="M278" s="570">
        <f>VLOOKUP(B278,All!$B$4:$S$8977,12,FALSE)</f>
        <v>192</v>
      </c>
      <c r="N278" s="18">
        <f>VLOOKUP(B278,All!$B$4:$S$8977,13,FALSE)</f>
        <v>3</v>
      </c>
      <c r="O278" s="18">
        <f>VLOOKUP(B278,All!$B$4:$S$8977,14,FALSE)</f>
        <v>0</v>
      </c>
      <c r="P278" s="18">
        <f>VLOOKUP(B278,All!$B$4:$S$8977,15,FALSE)</f>
        <v>0</v>
      </c>
      <c r="Q278" s="18">
        <f>VLOOKUP(B278,All!$B$4:$S$8977,16,FALSE)</f>
        <v>0</v>
      </c>
      <c r="R278" s="18">
        <v>7</v>
      </c>
      <c r="S278" s="18">
        <v>10</v>
      </c>
      <c r="T278" s="550">
        <f t="shared" si="52"/>
        <v>212</v>
      </c>
      <c r="U278" s="568"/>
      <c r="V278" s="3"/>
      <c r="W278" s="3"/>
      <c r="X278" s="3"/>
      <c r="Y278" s="562"/>
      <c r="Z278" s="570">
        <f t="shared" si="44"/>
        <v>194</v>
      </c>
      <c r="AA278" s="18">
        <f t="shared" si="45"/>
        <v>3</v>
      </c>
      <c r="AB278" s="18">
        <f t="shared" si="46"/>
        <v>0</v>
      </c>
      <c r="AC278" s="18">
        <f t="shared" si="47"/>
        <v>0</v>
      </c>
      <c r="AD278" s="18">
        <f t="shared" si="48"/>
        <v>0</v>
      </c>
      <c r="AE278" s="18">
        <f t="shared" si="50"/>
        <v>7</v>
      </c>
      <c r="AF278" s="18">
        <f t="shared" si="50"/>
        <v>10</v>
      </c>
      <c r="AG278" s="550">
        <f t="shared" si="49"/>
        <v>214</v>
      </c>
      <c r="AH278" s="42">
        <v>2</v>
      </c>
      <c r="AI278" s="42">
        <v>0</v>
      </c>
      <c r="AJ278" s="42">
        <v>0</v>
      </c>
      <c r="AK278" s="42">
        <v>0</v>
      </c>
      <c r="AL278" s="42">
        <v>0</v>
      </c>
      <c r="AM278" s="42">
        <v>0</v>
      </c>
      <c r="AN278" s="42">
        <v>0</v>
      </c>
      <c r="AO278" s="42">
        <v>2</v>
      </c>
    </row>
    <row r="279" spans="1:41" ht="24" customHeight="1">
      <c r="A279" s="11">
        <f t="shared" si="51"/>
        <v>276</v>
      </c>
      <c r="B279" s="400">
        <v>3743</v>
      </c>
      <c r="C279" s="478" t="str">
        <f>VLOOKUP(B279,All!$B$4:$S$8977,2,FALSE)</f>
        <v>ឯក</v>
      </c>
      <c r="D279" s="479" t="str">
        <f>VLOOKUP(B279,All!$B$4:$S$89977,3,FALSE)</f>
        <v>ស្រីណា</v>
      </c>
      <c r="E279" s="478" t="str">
        <f>VLOOKUP(B279,All!$B$4:$S$8977,4,FALSE)</f>
        <v>EK</v>
      </c>
      <c r="F279" s="479" t="str">
        <f>VLOOKUP(B279,All!$B$4:$S$8977,5,FALSE)</f>
        <v>SREYNA</v>
      </c>
      <c r="G279" s="479" t="str">
        <f>VLOOKUP(B279,All!$B$4:$S$8977,6,FALSE)</f>
        <v>F</v>
      </c>
      <c r="H279" s="385">
        <f>VLOOKUP(B279,All!$B$4:$S$8977,7,FALSE)</f>
        <v>34888</v>
      </c>
      <c r="I279" s="154">
        <f>VLOOKUP(B279,All!$B$4:$S$8977,8,FALSE)</f>
        <v>43762</v>
      </c>
      <c r="J279" s="154" t="str">
        <f>VLOOKUP(B279,All!$B$4:$S$8977,9,FALSE)</f>
        <v>Production</v>
      </c>
      <c r="K279" s="154" t="str">
        <f>VLOOKUP(B279,All!$B$4:$S$8977,10,FALSE)</f>
        <v xml:space="preserve"> Line3</v>
      </c>
      <c r="L279" s="698" t="str">
        <f>VLOOKUP(B279,All!$B$4:$S$8977,11,FALSE)</f>
        <v>Sewing operator</v>
      </c>
      <c r="M279" s="570">
        <f>VLOOKUP(B279,All!$B$4:$S$8977,12,FALSE)</f>
        <v>192</v>
      </c>
      <c r="N279" s="18">
        <f>VLOOKUP(B279,All!$B$4:$S$8977,13,FALSE)</f>
        <v>3</v>
      </c>
      <c r="O279" s="18">
        <f>VLOOKUP(B279,All!$B$4:$S$8977,14,FALSE)</f>
        <v>0</v>
      </c>
      <c r="P279" s="18">
        <f>VLOOKUP(B279,All!$B$4:$S$8977,15,FALSE)</f>
        <v>0</v>
      </c>
      <c r="Q279" s="18">
        <f>VLOOKUP(B279,All!$B$4:$S$8977,16,FALSE)</f>
        <v>0</v>
      </c>
      <c r="R279" s="18">
        <v>7</v>
      </c>
      <c r="S279" s="18">
        <v>10</v>
      </c>
      <c r="T279" s="550">
        <f t="shared" si="52"/>
        <v>212</v>
      </c>
      <c r="U279" s="568"/>
      <c r="V279" s="3"/>
      <c r="W279" s="3"/>
      <c r="X279" s="3"/>
      <c r="Y279" s="562"/>
      <c r="Z279" s="570">
        <f t="shared" si="44"/>
        <v>194</v>
      </c>
      <c r="AA279" s="18">
        <f t="shared" si="45"/>
        <v>3</v>
      </c>
      <c r="AB279" s="18">
        <f t="shared" si="46"/>
        <v>0</v>
      </c>
      <c r="AC279" s="18">
        <f t="shared" si="47"/>
        <v>0</v>
      </c>
      <c r="AD279" s="18">
        <f t="shared" si="48"/>
        <v>0</v>
      </c>
      <c r="AE279" s="18">
        <f t="shared" si="50"/>
        <v>7</v>
      </c>
      <c r="AF279" s="18">
        <f t="shared" si="50"/>
        <v>10</v>
      </c>
      <c r="AG279" s="550">
        <f t="shared" si="49"/>
        <v>214</v>
      </c>
      <c r="AH279" s="42">
        <v>2</v>
      </c>
      <c r="AI279" s="42">
        <v>0</v>
      </c>
      <c r="AJ279" s="42">
        <v>0</v>
      </c>
      <c r="AK279" s="42">
        <v>0</v>
      </c>
      <c r="AL279" s="42">
        <v>0</v>
      </c>
      <c r="AM279" s="42">
        <v>0</v>
      </c>
      <c r="AN279" s="42">
        <v>0</v>
      </c>
      <c r="AO279" s="42">
        <v>2</v>
      </c>
    </row>
    <row r="280" spans="1:41" ht="24" customHeight="1">
      <c r="A280" s="11">
        <f t="shared" si="51"/>
        <v>277</v>
      </c>
      <c r="B280" s="400">
        <v>3629</v>
      </c>
      <c r="C280" s="478" t="str">
        <f>VLOOKUP(B280,All!$B$4:$S$8977,2,FALSE)</f>
        <v>មាំ</v>
      </c>
      <c r="D280" s="479" t="str">
        <f>VLOOKUP(B280,All!$B$4:$S$89977,3,FALSE)</f>
        <v>សារិត</v>
      </c>
      <c r="E280" s="478" t="str">
        <f>VLOOKUP(B280,All!$B$4:$S$8977,4,FALSE)</f>
        <v>MOAM</v>
      </c>
      <c r="F280" s="479" t="str">
        <f>VLOOKUP(B280,All!$B$4:$S$8977,5,FALSE)</f>
        <v>SARET</v>
      </c>
      <c r="G280" s="479" t="str">
        <f>VLOOKUP(B280,All!$B$4:$S$8977,6,FALSE)</f>
        <v>M</v>
      </c>
      <c r="H280" s="385">
        <f>VLOOKUP(B280,All!$B$4:$S$8977,7,FALSE)</f>
        <v>33625</v>
      </c>
      <c r="I280" s="154">
        <f>VLOOKUP(B280,All!$B$4:$S$8977,8,FALSE)</f>
        <v>43753</v>
      </c>
      <c r="J280" s="154" t="str">
        <f>VLOOKUP(B280,All!$B$4:$S$8977,9,FALSE)</f>
        <v>Production</v>
      </c>
      <c r="K280" s="154" t="str">
        <f>VLOOKUP(B280,All!$B$4:$S$8977,10,FALSE)</f>
        <v>Packing   B</v>
      </c>
      <c r="L280" s="698" t="str">
        <f>VLOOKUP(B280,All!$B$4:$S$8977,11,FALSE)</f>
        <v>Packer</v>
      </c>
      <c r="M280" s="570">
        <f>VLOOKUP(B280,All!$B$4:$S$8977,12,FALSE)</f>
        <v>192</v>
      </c>
      <c r="N280" s="18">
        <f>VLOOKUP(B280,All!$B$4:$S$8977,13,FALSE)</f>
        <v>3</v>
      </c>
      <c r="O280" s="18">
        <f>VLOOKUP(B280,All!$B$4:$S$8977,14,FALSE)</f>
        <v>0</v>
      </c>
      <c r="P280" s="18">
        <f>VLOOKUP(B280,All!$B$4:$S$8977,15,FALSE)</f>
        <v>0</v>
      </c>
      <c r="Q280" s="18">
        <f>VLOOKUP(B280,All!$B$4:$S$8977,16,FALSE)</f>
        <v>0</v>
      </c>
      <c r="R280" s="18">
        <v>7</v>
      </c>
      <c r="S280" s="18">
        <v>10</v>
      </c>
      <c r="T280" s="550">
        <f t="shared" si="52"/>
        <v>212</v>
      </c>
      <c r="U280" s="568"/>
      <c r="V280" s="3"/>
      <c r="W280" s="3"/>
      <c r="X280" s="3"/>
      <c r="Y280" s="562"/>
      <c r="Z280" s="570">
        <f t="shared" si="44"/>
        <v>194</v>
      </c>
      <c r="AA280" s="18">
        <f t="shared" si="45"/>
        <v>3</v>
      </c>
      <c r="AB280" s="18">
        <f t="shared" si="46"/>
        <v>0</v>
      </c>
      <c r="AC280" s="18">
        <f t="shared" si="47"/>
        <v>0</v>
      </c>
      <c r="AD280" s="18">
        <f t="shared" si="48"/>
        <v>0</v>
      </c>
      <c r="AE280" s="18">
        <f t="shared" si="50"/>
        <v>7</v>
      </c>
      <c r="AF280" s="18">
        <f t="shared" si="50"/>
        <v>10</v>
      </c>
      <c r="AG280" s="550">
        <f t="shared" si="49"/>
        <v>214</v>
      </c>
      <c r="AH280" s="42">
        <v>2</v>
      </c>
      <c r="AI280" s="42">
        <v>0</v>
      </c>
      <c r="AJ280" s="42">
        <v>0</v>
      </c>
      <c r="AK280" s="42">
        <v>0</v>
      </c>
      <c r="AL280" s="42">
        <v>0</v>
      </c>
      <c r="AM280" s="42">
        <v>0</v>
      </c>
      <c r="AN280" s="42">
        <v>0</v>
      </c>
      <c r="AO280" s="42">
        <v>2</v>
      </c>
    </row>
    <row r="281" spans="1:41" ht="24" customHeight="1">
      <c r="A281" s="11">
        <f t="shared" si="51"/>
        <v>278</v>
      </c>
      <c r="B281" s="400">
        <v>3676</v>
      </c>
      <c r="C281" s="478" t="str">
        <f>VLOOKUP(B281,All!$B$4:$S$8977,2,FALSE)</f>
        <v>ណី</v>
      </c>
      <c r="D281" s="479" t="str">
        <f>VLOOKUP(B281,All!$B$4:$S$89977,3,FALSE)</f>
        <v>សាវរី</v>
      </c>
      <c r="E281" s="478" t="str">
        <f>VLOOKUP(B281,All!$B$4:$S$8977,4,FALSE)</f>
        <v>NEY</v>
      </c>
      <c r="F281" s="479" t="str">
        <f>VLOOKUP(B281,All!$B$4:$S$8977,5,FALSE)</f>
        <v>SAVRY</v>
      </c>
      <c r="G281" s="479" t="str">
        <f>VLOOKUP(B281,All!$B$4:$S$8977,6,FALSE)</f>
        <v>F</v>
      </c>
      <c r="H281" s="385">
        <f>VLOOKUP(B281,All!$B$4:$S$8977,7,FALSE)</f>
        <v>36253</v>
      </c>
      <c r="I281" s="154">
        <f>VLOOKUP(B281,All!$B$4:$S$8977,8,FALSE)</f>
        <v>43757</v>
      </c>
      <c r="J281" s="154" t="str">
        <f>VLOOKUP(B281,All!$B$4:$S$8977,9,FALSE)</f>
        <v>Production</v>
      </c>
      <c r="K281" s="154" t="str">
        <f>VLOOKUP(B281,All!$B$4:$S$8977,10,FALSE)</f>
        <v>Line10</v>
      </c>
      <c r="L281" s="698" t="str">
        <f>VLOOKUP(B281,All!$B$4:$S$8977,11,FALSE)</f>
        <v>Sewing operator</v>
      </c>
      <c r="M281" s="570">
        <f>VLOOKUP(B281,All!$B$4:$S$8977,12,FALSE)</f>
        <v>192</v>
      </c>
      <c r="N281" s="18">
        <f>VLOOKUP(B281,All!$B$4:$S$8977,13,FALSE)</f>
        <v>3</v>
      </c>
      <c r="O281" s="18">
        <f>VLOOKUP(B281,All!$B$4:$S$8977,14,FALSE)</f>
        <v>0</v>
      </c>
      <c r="P281" s="18">
        <f>VLOOKUP(B281,All!$B$4:$S$8977,15,FALSE)</f>
        <v>0</v>
      </c>
      <c r="Q281" s="18">
        <f>VLOOKUP(B281,All!$B$4:$S$8977,16,FALSE)</f>
        <v>0</v>
      </c>
      <c r="R281" s="18">
        <v>7</v>
      </c>
      <c r="S281" s="18">
        <v>10</v>
      </c>
      <c r="T281" s="550">
        <f t="shared" si="52"/>
        <v>212</v>
      </c>
      <c r="U281" s="568"/>
      <c r="V281" s="3"/>
      <c r="W281" s="3"/>
      <c r="X281" s="3"/>
      <c r="Y281" s="562"/>
      <c r="Z281" s="570">
        <f t="shared" si="44"/>
        <v>194</v>
      </c>
      <c r="AA281" s="18">
        <f t="shared" si="45"/>
        <v>3</v>
      </c>
      <c r="AB281" s="18">
        <f t="shared" si="46"/>
        <v>0</v>
      </c>
      <c r="AC281" s="18">
        <f t="shared" si="47"/>
        <v>0</v>
      </c>
      <c r="AD281" s="18">
        <f t="shared" si="48"/>
        <v>0</v>
      </c>
      <c r="AE281" s="18">
        <f t="shared" si="50"/>
        <v>7</v>
      </c>
      <c r="AF281" s="18">
        <f t="shared" si="50"/>
        <v>10</v>
      </c>
      <c r="AG281" s="550">
        <f t="shared" si="49"/>
        <v>214</v>
      </c>
      <c r="AH281" s="42">
        <v>2</v>
      </c>
      <c r="AI281" s="42">
        <v>0</v>
      </c>
      <c r="AJ281" s="42">
        <v>0</v>
      </c>
      <c r="AK281" s="42">
        <v>0</v>
      </c>
      <c r="AL281" s="42">
        <v>0</v>
      </c>
      <c r="AM281" s="42">
        <v>0</v>
      </c>
      <c r="AN281" s="42">
        <v>0</v>
      </c>
      <c r="AO281" s="42">
        <v>2</v>
      </c>
    </row>
    <row r="282" spans="1:41" ht="24" customHeight="1">
      <c r="A282" s="11">
        <f t="shared" si="51"/>
        <v>279</v>
      </c>
      <c r="B282" s="390">
        <v>3403</v>
      </c>
      <c r="C282" s="478" t="str">
        <f>VLOOKUP(B282,All!$B$4:$S$8977,2,FALSE)</f>
        <v>សឺម</v>
      </c>
      <c r="D282" s="479" t="str">
        <f>VLOOKUP(B282,All!$B$4:$S$89977,3,FALSE)</f>
        <v>សិរិ</v>
      </c>
      <c r="E282" s="478" t="str">
        <f>VLOOKUP(B282,All!$B$4:$S$8977,4,FALSE)</f>
        <v>Some</v>
      </c>
      <c r="F282" s="479" t="str">
        <f>VLOOKUP(B282,All!$B$4:$S$8977,5,FALSE)</f>
        <v>Sirey</v>
      </c>
      <c r="G282" s="479" t="str">
        <f>VLOOKUP(B282,All!$B$4:$S$8977,6,FALSE)</f>
        <v>M</v>
      </c>
      <c r="H282" s="385">
        <f>VLOOKUP(B282,All!$B$4:$S$8977,7,FALSE)</f>
        <v>30601</v>
      </c>
      <c r="I282" s="154">
        <f>VLOOKUP(B282,All!$B$4:$S$8977,8,FALSE)</f>
        <v>43760</v>
      </c>
      <c r="J282" s="154" t="str">
        <f>VLOOKUP(B282,All!$B$4:$S$8977,9,FALSE)</f>
        <v>Production</v>
      </c>
      <c r="K282" s="154" t="str">
        <f>VLOOKUP(B282,All!$B$4:$S$8977,10,FALSE)</f>
        <v>Line20</v>
      </c>
      <c r="L282" s="698" t="str">
        <f>VLOOKUP(B282,All!$B$4:$S$8977,11,FALSE)</f>
        <v>Sewing operator</v>
      </c>
      <c r="M282" s="570">
        <f>VLOOKUP(B282,All!$B$4:$S$8977,12,FALSE)</f>
        <v>192</v>
      </c>
      <c r="N282" s="18">
        <f>VLOOKUP(B282,All!$B$4:$S$8977,13,FALSE)</f>
        <v>3</v>
      </c>
      <c r="O282" s="18">
        <f>VLOOKUP(B282,All!$B$4:$S$8977,14,FALSE)</f>
        <v>0</v>
      </c>
      <c r="P282" s="18">
        <f>VLOOKUP(B282,All!$B$4:$S$8977,15,FALSE)</f>
        <v>0</v>
      </c>
      <c r="Q282" s="18">
        <f>VLOOKUP(B282,All!$B$4:$S$8977,16,FALSE)</f>
        <v>0</v>
      </c>
      <c r="R282" s="18">
        <v>7</v>
      </c>
      <c r="S282" s="18">
        <v>10</v>
      </c>
      <c r="T282" s="550">
        <f t="shared" si="52"/>
        <v>212</v>
      </c>
      <c r="U282" s="568"/>
      <c r="V282" s="3"/>
      <c r="W282" s="3"/>
      <c r="X282" s="3"/>
      <c r="Y282" s="562"/>
      <c r="Z282" s="570">
        <f t="shared" ref="Z282:Z336" si="53">M282+AH282</f>
        <v>194</v>
      </c>
      <c r="AA282" s="18">
        <f t="shared" ref="AA282:AA336" si="54">N282</f>
        <v>3</v>
      </c>
      <c r="AB282" s="18">
        <f t="shared" ref="AB282:AB336" si="55">O282</f>
        <v>0</v>
      </c>
      <c r="AC282" s="18">
        <f t="shared" ref="AC282:AC336" si="56">P282</f>
        <v>0</v>
      </c>
      <c r="AD282" s="18">
        <f t="shared" ref="AD282:AD336" si="57">Q282</f>
        <v>0</v>
      </c>
      <c r="AE282" s="18">
        <f t="shared" si="50"/>
        <v>7</v>
      </c>
      <c r="AF282" s="18">
        <f t="shared" si="50"/>
        <v>10</v>
      </c>
      <c r="AG282" s="550">
        <f t="shared" si="49"/>
        <v>214</v>
      </c>
      <c r="AH282" s="42">
        <v>2</v>
      </c>
      <c r="AI282" s="42">
        <v>0</v>
      </c>
      <c r="AJ282" s="42">
        <v>0</v>
      </c>
      <c r="AK282" s="42">
        <v>0</v>
      </c>
      <c r="AL282" s="42">
        <v>0</v>
      </c>
      <c r="AM282" s="42">
        <v>0</v>
      </c>
      <c r="AN282" s="42">
        <v>0</v>
      </c>
      <c r="AO282" s="42">
        <v>2</v>
      </c>
    </row>
    <row r="283" spans="1:41" ht="24" customHeight="1">
      <c r="A283" s="11">
        <f t="shared" si="51"/>
        <v>280</v>
      </c>
      <c r="B283" s="390">
        <v>3775</v>
      </c>
      <c r="C283" s="478" t="str">
        <f>VLOOKUP(B283,All!$B$4:$S$8977,2,FALSE)</f>
        <v>កន</v>
      </c>
      <c r="D283" s="479" t="str">
        <f>VLOOKUP(B283,All!$B$4:$S$89977,3,FALSE)</f>
        <v>កញ្ញា</v>
      </c>
      <c r="E283" s="478" t="str">
        <f>VLOOKUP(B283,All!$B$4:$S$8977,4,FALSE)</f>
        <v>KAN</v>
      </c>
      <c r="F283" s="479" t="str">
        <f>VLOOKUP(B283,All!$B$4:$S$8977,5,FALSE)</f>
        <v>KANHA</v>
      </c>
      <c r="G283" s="479" t="str">
        <f>VLOOKUP(B283,All!$B$4:$S$8977,6,FALSE)</f>
        <v>F</v>
      </c>
      <c r="H283" s="385">
        <f>VLOOKUP(B283,All!$B$4:$S$8977,7,FALSE)</f>
        <v>36015</v>
      </c>
      <c r="I283" s="154">
        <f>VLOOKUP(B283,All!$B$4:$S$8977,8,FALSE)</f>
        <v>43768</v>
      </c>
      <c r="J283" s="154" t="str">
        <f>VLOOKUP(B283,All!$B$4:$S$8977,9,FALSE)</f>
        <v>Production</v>
      </c>
      <c r="K283" s="154" t="str">
        <f>VLOOKUP(B283,All!$B$4:$S$8977,10,FALSE)</f>
        <v>QC  A</v>
      </c>
      <c r="L283" s="698" t="str">
        <f>VLOOKUP(B283,All!$B$4:$S$8977,11,FALSE)</f>
        <v>Inspector</v>
      </c>
      <c r="M283" s="570">
        <f>VLOOKUP(B283,All!$B$4:$S$8977,12,FALSE)</f>
        <v>192</v>
      </c>
      <c r="N283" s="18">
        <f>VLOOKUP(B283,All!$B$4:$S$8977,13,FALSE)</f>
        <v>3</v>
      </c>
      <c r="O283" s="18">
        <f>VLOOKUP(B283,All!$B$4:$S$8977,14,FALSE)</f>
        <v>0</v>
      </c>
      <c r="P283" s="18">
        <f>VLOOKUP(B283,All!$B$4:$S$8977,15,FALSE)</f>
        <v>0</v>
      </c>
      <c r="Q283" s="18">
        <f>VLOOKUP(B283,All!$B$4:$S$8977,16,FALSE)</f>
        <v>0</v>
      </c>
      <c r="R283" s="18">
        <v>7</v>
      </c>
      <c r="S283" s="18">
        <v>10</v>
      </c>
      <c r="T283" s="550">
        <f t="shared" si="52"/>
        <v>212</v>
      </c>
      <c r="U283" s="568"/>
      <c r="V283" s="3"/>
      <c r="W283" s="3"/>
      <c r="X283" s="3"/>
      <c r="Y283" s="562"/>
      <c r="Z283" s="570">
        <f t="shared" si="53"/>
        <v>194</v>
      </c>
      <c r="AA283" s="18">
        <f t="shared" si="54"/>
        <v>3</v>
      </c>
      <c r="AB283" s="18">
        <f t="shared" si="55"/>
        <v>0</v>
      </c>
      <c r="AC283" s="18">
        <f t="shared" si="56"/>
        <v>0</v>
      </c>
      <c r="AD283" s="18">
        <f t="shared" si="57"/>
        <v>0</v>
      </c>
      <c r="AE283" s="18">
        <f t="shared" si="50"/>
        <v>7</v>
      </c>
      <c r="AF283" s="18">
        <f t="shared" si="50"/>
        <v>10</v>
      </c>
      <c r="AG283" s="550">
        <f t="shared" si="49"/>
        <v>214</v>
      </c>
      <c r="AH283" s="42">
        <v>2</v>
      </c>
      <c r="AI283" s="42">
        <v>0</v>
      </c>
      <c r="AJ283" s="42">
        <v>0</v>
      </c>
      <c r="AK283" s="42">
        <v>0</v>
      </c>
      <c r="AL283" s="42">
        <v>0</v>
      </c>
      <c r="AM283" s="42">
        <v>0</v>
      </c>
      <c r="AN283" s="42">
        <v>0</v>
      </c>
      <c r="AO283" s="42">
        <v>2</v>
      </c>
    </row>
    <row r="284" spans="1:41" ht="24" customHeight="1">
      <c r="A284" s="11">
        <f t="shared" si="51"/>
        <v>281</v>
      </c>
      <c r="B284" s="390">
        <v>3655</v>
      </c>
      <c r="C284" s="478" t="str">
        <f>VLOOKUP(B284,All!$B$4:$S$8977,2,FALSE)</f>
        <v>យឹម</v>
      </c>
      <c r="D284" s="479" t="str">
        <f>VLOOKUP(B284,All!$B$4:$S$89977,3,FALSE)</f>
        <v>សារ៉ាន</v>
      </c>
      <c r="E284" s="478" t="str">
        <f>VLOOKUP(B284,All!$B$4:$S$8977,4,FALSE)</f>
        <v>YOEM</v>
      </c>
      <c r="F284" s="479" t="str">
        <f>VLOOKUP(B284,All!$B$4:$S$8977,5,FALSE)</f>
        <v>SARAN</v>
      </c>
      <c r="G284" s="479" t="str">
        <f>VLOOKUP(B284,All!$B$4:$S$8977,6,FALSE)</f>
        <v>F</v>
      </c>
      <c r="H284" s="385">
        <f>VLOOKUP(B284,All!$B$4:$S$8977,7,FALSE)</f>
        <v>29468</v>
      </c>
      <c r="I284" s="154">
        <f>VLOOKUP(B284,All!$B$4:$S$8977,8,FALSE)</f>
        <v>43755</v>
      </c>
      <c r="J284" s="154" t="str">
        <f>VLOOKUP(B284,All!$B$4:$S$8977,9,FALSE)</f>
        <v>Production</v>
      </c>
      <c r="K284" s="154" t="str">
        <f>VLOOKUP(B284,All!$B$4:$S$8977,10,FALSE)</f>
        <v>Line10</v>
      </c>
      <c r="L284" s="698" t="str">
        <f>VLOOKUP(B284,All!$B$4:$S$8977,11,FALSE)</f>
        <v>Sewing operator</v>
      </c>
      <c r="M284" s="570">
        <f>VLOOKUP(B284,All!$B$4:$S$8977,12,FALSE)</f>
        <v>192</v>
      </c>
      <c r="N284" s="18">
        <f>VLOOKUP(B284,All!$B$4:$S$8977,13,FALSE)</f>
        <v>3</v>
      </c>
      <c r="O284" s="18">
        <f>VLOOKUP(B284,All!$B$4:$S$8977,14,FALSE)</f>
        <v>0</v>
      </c>
      <c r="P284" s="18">
        <f>VLOOKUP(B284,All!$B$4:$S$8977,15,FALSE)</f>
        <v>0</v>
      </c>
      <c r="Q284" s="18">
        <f>VLOOKUP(B284,All!$B$4:$S$8977,16,FALSE)</f>
        <v>0</v>
      </c>
      <c r="R284" s="18">
        <v>7</v>
      </c>
      <c r="S284" s="18">
        <v>10</v>
      </c>
      <c r="T284" s="550">
        <f t="shared" si="52"/>
        <v>212</v>
      </c>
      <c r="U284" s="568"/>
      <c r="V284" s="3"/>
      <c r="W284" s="3"/>
      <c r="X284" s="3"/>
      <c r="Y284" s="562"/>
      <c r="Z284" s="570">
        <f t="shared" si="53"/>
        <v>194</v>
      </c>
      <c r="AA284" s="18">
        <f t="shared" si="54"/>
        <v>3</v>
      </c>
      <c r="AB284" s="18">
        <f t="shared" si="55"/>
        <v>0</v>
      </c>
      <c r="AC284" s="18">
        <f t="shared" si="56"/>
        <v>0</v>
      </c>
      <c r="AD284" s="18">
        <f t="shared" si="57"/>
        <v>0</v>
      </c>
      <c r="AE284" s="18">
        <f t="shared" ref="AE284:AF326" si="58">R284</f>
        <v>7</v>
      </c>
      <c r="AF284" s="18">
        <f t="shared" si="58"/>
        <v>10</v>
      </c>
      <c r="AG284" s="550">
        <f t="shared" si="49"/>
        <v>214</v>
      </c>
      <c r="AH284" s="42">
        <v>2</v>
      </c>
      <c r="AI284" s="42">
        <v>0</v>
      </c>
      <c r="AJ284" s="42">
        <v>0</v>
      </c>
      <c r="AK284" s="42">
        <v>0</v>
      </c>
      <c r="AL284" s="42">
        <v>0</v>
      </c>
      <c r="AM284" s="42">
        <v>0</v>
      </c>
      <c r="AN284" s="42">
        <v>0</v>
      </c>
      <c r="AO284" s="42">
        <v>2</v>
      </c>
    </row>
    <row r="285" spans="1:41" ht="24" customHeight="1">
      <c r="A285" s="11">
        <f t="shared" si="51"/>
        <v>282</v>
      </c>
      <c r="B285" s="390">
        <v>3781</v>
      </c>
      <c r="C285" s="478" t="str">
        <f>VLOOKUP(B285,All!$B$4:$S$8977,2,FALSE)</f>
        <v>កែវ</v>
      </c>
      <c r="D285" s="479" t="str">
        <f>VLOOKUP(B285,All!$B$4:$S$89977,3,FALSE)</f>
        <v>ចរិយា</v>
      </c>
      <c r="E285" s="478" t="str">
        <f>VLOOKUP(B285,All!$B$4:$S$8977,4,FALSE)</f>
        <v>KEO</v>
      </c>
      <c r="F285" s="479" t="str">
        <f>VLOOKUP(B285,All!$B$4:$S$8977,5,FALSE)</f>
        <v>CHAKRIYA</v>
      </c>
      <c r="G285" s="479" t="str">
        <f>VLOOKUP(B285,All!$B$4:$S$8977,6,FALSE)</f>
        <v>F</v>
      </c>
      <c r="H285" s="385">
        <f>VLOOKUP(B285,All!$B$4:$S$8977,7,FALSE)</f>
        <v>32204</v>
      </c>
      <c r="I285" s="154">
        <f>VLOOKUP(B285,All!$B$4:$S$8977,8,FALSE)</f>
        <v>43770</v>
      </c>
      <c r="J285" s="154" t="str">
        <f>VLOOKUP(B285,All!$B$4:$S$8977,9,FALSE)</f>
        <v>Production</v>
      </c>
      <c r="K285" s="154" t="str">
        <f>VLOOKUP(B285,All!$B$4:$S$8977,10,FALSE)</f>
        <v>Line5</v>
      </c>
      <c r="L285" s="698" t="str">
        <f>VLOOKUP(B285,All!$B$4:$S$8977,11,FALSE)</f>
        <v>Sewing operator</v>
      </c>
      <c r="M285" s="570">
        <f>VLOOKUP(B285,All!$B$4:$S$8977,12,FALSE)</f>
        <v>192</v>
      </c>
      <c r="N285" s="18">
        <f>VLOOKUP(B285,All!$B$4:$S$8977,13,FALSE)</f>
        <v>3</v>
      </c>
      <c r="O285" s="18">
        <f>VLOOKUP(B285,All!$B$4:$S$8977,14,FALSE)</f>
        <v>0</v>
      </c>
      <c r="P285" s="18">
        <f>VLOOKUP(B285,All!$B$4:$S$8977,15,FALSE)</f>
        <v>0</v>
      </c>
      <c r="Q285" s="18">
        <f>VLOOKUP(B285,All!$B$4:$S$8977,16,FALSE)</f>
        <v>0</v>
      </c>
      <c r="R285" s="18">
        <v>7</v>
      </c>
      <c r="S285" s="18">
        <v>10</v>
      </c>
      <c r="T285" s="550">
        <f t="shared" si="52"/>
        <v>212</v>
      </c>
      <c r="U285" s="568"/>
      <c r="V285" s="3"/>
      <c r="W285" s="3"/>
      <c r="X285" s="3"/>
      <c r="Y285" s="562"/>
      <c r="Z285" s="570">
        <f t="shared" si="53"/>
        <v>194</v>
      </c>
      <c r="AA285" s="18">
        <f t="shared" si="54"/>
        <v>3</v>
      </c>
      <c r="AB285" s="18">
        <f t="shared" si="55"/>
        <v>0</v>
      </c>
      <c r="AC285" s="18">
        <f t="shared" si="56"/>
        <v>0</v>
      </c>
      <c r="AD285" s="18">
        <f t="shared" si="57"/>
        <v>0</v>
      </c>
      <c r="AE285" s="18">
        <f t="shared" si="58"/>
        <v>7</v>
      </c>
      <c r="AF285" s="18">
        <f t="shared" si="58"/>
        <v>10</v>
      </c>
      <c r="AG285" s="550">
        <f t="shared" ref="AG285:AG332" si="59">SUM(Z285:AF285)</f>
        <v>214</v>
      </c>
      <c r="AH285" s="42">
        <v>2</v>
      </c>
      <c r="AI285" s="42">
        <v>0</v>
      </c>
      <c r="AJ285" s="42">
        <v>0</v>
      </c>
      <c r="AK285" s="42">
        <v>0</v>
      </c>
      <c r="AL285" s="42">
        <v>0</v>
      </c>
      <c r="AM285" s="42">
        <v>0</v>
      </c>
      <c r="AN285" s="42">
        <v>0</v>
      </c>
      <c r="AO285" s="42">
        <v>2</v>
      </c>
    </row>
    <row r="286" spans="1:41" ht="24" customHeight="1">
      <c r="A286" s="11">
        <f t="shared" si="51"/>
        <v>283</v>
      </c>
      <c r="B286" s="390">
        <v>3811</v>
      </c>
      <c r="C286" s="478" t="str">
        <f>VLOOKUP(B286,All!$B$4:$S$8977,2,FALSE)</f>
        <v>មឿន</v>
      </c>
      <c r="D286" s="479" t="str">
        <f>VLOOKUP(B286,All!$B$4:$S$89977,3,FALSE)</f>
        <v>ចន្ថា</v>
      </c>
      <c r="E286" s="478" t="str">
        <f>VLOOKUP(B286,All!$B$4:$S$8977,4,FALSE)</f>
        <v>MOEURN</v>
      </c>
      <c r="F286" s="479" t="str">
        <f>VLOOKUP(B286,All!$B$4:$S$8977,5,FALSE)</f>
        <v>CHANTHA</v>
      </c>
      <c r="G286" s="479" t="str">
        <f>VLOOKUP(B286,All!$B$4:$S$8977,6,FALSE)</f>
        <v>F</v>
      </c>
      <c r="H286" s="385">
        <f>VLOOKUP(B286,All!$B$4:$S$8977,7,FALSE)</f>
        <v>32152</v>
      </c>
      <c r="I286" s="154">
        <f>VLOOKUP(B286,All!$B$4:$S$8977,8,FALSE)</f>
        <v>43784</v>
      </c>
      <c r="J286" s="154" t="str">
        <f>VLOOKUP(B286,All!$B$4:$S$8977,9,FALSE)</f>
        <v>Production</v>
      </c>
      <c r="K286" s="154" t="str">
        <f>VLOOKUP(B286,All!$B$4:$S$8977,10,FALSE)</f>
        <v xml:space="preserve"> Line6</v>
      </c>
      <c r="L286" s="698" t="str">
        <f>VLOOKUP(B286,All!$B$4:$S$8977,11,FALSE)</f>
        <v>Sewing operator</v>
      </c>
      <c r="M286" s="570">
        <f>VLOOKUP(B286,All!$B$4:$S$8977,12,FALSE)</f>
        <v>192</v>
      </c>
      <c r="N286" s="18">
        <f>VLOOKUP(B286,All!$B$4:$S$8977,13,FALSE)</f>
        <v>3</v>
      </c>
      <c r="O286" s="18">
        <f>VLOOKUP(B286,All!$B$4:$S$8977,14,FALSE)</f>
        <v>0</v>
      </c>
      <c r="P286" s="18">
        <f>VLOOKUP(B286,All!$B$4:$S$8977,15,FALSE)</f>
        <v>0</v>
      </c>
      <c r="Q286" s="18">
        <f>VLOOKUP(B286,All!$B$4:$S$8977,16,FALSE)</f>
        <v>0</v>
      </c>
      <c r="R286" s="18">
        <v>7</v>
      </c>
      <c r="S286" s="18">
        <v>10</v>
      </c>
      <c r="T286" s="550">
        <f t="shared" si="52"/>
        <v>212</v>
      </c>
      <c r="U286" s="568"/>
      <c r="V286" s="3"/>
      <c r="W286" s="3"/>
      <c r="X286" s="3"/>
      <c r="Y286" s="562"/>
      <c r="Z286" s="570">
        <f t="shared" si="53"/>
        <v>194</v>
      </c>
      <c r="AA286" s="18">
        <f t="shared" si="54"/>
        <v>3</v>
      </c>
      <c r="AB286" s="18">
        <f t="shared" si="55"/>
        <v>0</v>
      </c>
      <c r="AC286" s="18">
        <f t="shared" si="56"/>
        <v>0</v>
      </c>
      <c r="AD286" s="18">
        <f t="shared" si="57"/>
        <v>0</v>
      </c>
      <c r="AE286" s="18">
        <f t="shared" si="58"/>
        <v>7</v>
      </c>
      <c r="AF286" s="18">
        <f t="shared" si="58"/>
        <v>10</v>
      </c>
      <c r="AG286" s="550">
        <f t="shared" si="59"/>
        <v>214</v>
      </c>
      <c r="AH286" s="42">
        <v>2</v>
      </c>
      <c r="AI286" s="42"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2</v>
      </c>
    </row>
    <row r="287" spans="1:41" ht="24" customHeight="1">
      <c r="A287" s="11">
        <f t="shared" si="51"/>
        <v>284</v>
      </c>
      <c r="B287" s="390">
        <v>3821</v>
      </c>
      <c r="C287" s="478" t="str">
        <f>VLOOKUP(B287,All!$B$4:$S$8977,2,FALSE)</f>
        <v>មាឃ</v>
      </c>
      <c r="D287" s="479" t="str">
        <f>VLOOKUP(B287,All!$B$4:$S$89977,3,FALSE)</f>
        <v>នឿន</v>
      </c>
      <c r="E287" s="478" t="str">
        <f>VLOOKUP(B287,All!$B$4:$S$8977,4,FALSE)</f>
        <v>MEAKH</v>
      </c>
      <c r="F287" s="479" t="str">
        <f>VLOOKUP(B287,All!$B$4:$S$8977,5,FALSE)</f>
        <v>NOEUN</v>
      </c>
      <c r="G287" s="479" t="str">
        <f>VLOOKUP(B287,All!$B$4:$S$8977,6,FALSE)</f>
        <v>F</v>
      </c>
      <c r="H287" s="385">
        <f>VLOOKUP(B287,All!$B$4:$S$8977,7,FALSE)</f>
        <v>32156</v>
      </c>
      <c r="I287" s="154">
        <f>VLOOKUP(B287,All!$B$4:$S$8977,8,FALSE)</f>
        <v>43785</v>
      </c>
      <c r="J287" s="154" t="str">
        <f>VLOOKUP(B287,All!$B$4:$S$8977,9,FALSE)</f>
        <v>Production</v>
      </c>
      <c r="K287" s="154" t="str">
        <f>VLOOKUP(B287,All!$B$4:$S$8977,10,FALSE)</f>
        <v xml:space="preserve"> Line5</v>
      </c>
      <c r="L287" s="698" t="str">
        <f>VLOOKUP(B287,All!$B$4:$S$8977,11,FALSE)</f>
        <v>Sewing operator</v>
      </c>
      <c r="M287" s="570">
        <f>VLOOKUP(B287,All!$B$4:$S$8977,12,FALSE)</f>
        <v>192</v>
      </c>
      <c r="N287" s="18">
        <f>VLOOKUP(B287,All!$B$4:$S$8977,13,FALSE)</f>
        <v>3</v>
      </c>
      <c r="O287" s="18">
        <f>VLOOKUP(B287,All!$B$4:$S$8977,14,FALSE)</f>
        <v>0</v>
      </c>
      <c r="P287" s="18">
        <f>VLOOKUP(B287,All!$B$4:$S$8977,15,FALSE)</f>
        <v>0</v>
      </c>
      <c r="Q287" s="18">
        <f>VLOOKUP(B287,All!$B$4:$S$8977,16,FALSE)</f>
        <v>0</v>
      </c>
      <c r="R287" s="18">
        <v>7</v>
      </c>
      <c r="S287" s="18">
        <v>10</v>
      </c>
      <c r="T287" s="550">
        <f t="shared" si="52"/>
        <v>212</v>
      </c>
      <c r="U287" s="568"/>
      <c r="V287" s="3"/>
      <c r="W287" s="3"/>
      <c r="X287" s="3"/>
      <c r="Y287" s="562"/>
      <c r="Z287" s="570">
        <f t="shared" si="53"/>
        <v>194</v>
      </c>
      <c r="AA287" s="18">
        <f t="shared" si="54"/>
        <v>3</v>
      </c>
      <c r="AB287" s="18">
        <f t="shared" si="55"/>
        <v>0</v>
      </c>
      <c r="AC287" s="18">
        <f t="shared" si="56"/>
        <v>0</v>
      </c>
      <c r="AD287" s="18">
        <f t="shared" si="57"/>
        <v>0</v>
      </c>
      <c r="AE287" s="18">
        <f t="shared" si="58"/>
        <v>7</v>
      </c>
      <c r="AF287" s="18">
        <f t="shared" si="58"/>
        <v>10</v>
      </c>
      <c r="AG287" s="550">
        <f t="shared" si="59"/>
        <v>214</v>
      </c>
      <c r="AH287" s="42">
        <v>2</v>
      </c>
      <c r="AI287" s="42">
        <v>0</v>
      </c>
      <c r="AJ287" s="42">
        <v>0</v>
      </c>
      <c r="AK287" s="42">
        <v>0</v>
      </c>
      <c r="AL287" s="42">
        <v>0</v>
      </c>
      <c r="AM287" s="42">
        <v>0</v>
      </c>
      <c r="AN287" s="42">
        <v>0</v>
      </c>
      <c r="AO287" s="42">
        <v>2</v>
      </c>
    </row>
    <row r="288" spans="1:41" ht="24" customHeight="1">
      <c r="A288" s="11">
        <f t="shared" si="51"/>
        <v>285</v>
      </c>
      <c r="B288" s="390">
        <v>3804</v>
      </c>
      <c r="C288" s="478" t="str">
        <f>VLOOKUP(B288,All!$B$4:$S$8977,2,FALSE)</f>
        <v>ទន</v>
      </c>
      <c r="D288" s="479" t="str">
        <f>VLOOKUP(B288,All!$B$4:$S$89977,3,FALSE)</f>
        <v>ស្រីមុំ</v>
      </c>
      <c r="E288" s="478" t="str">
        <f>VLOOKUP(B288,All!$B$4:$S$8977,4,FALSE)</f>
        <v>TORN</v>
      </c>
      <c r="F288" s="479" t="str">
        <f>VLOOKUP(B288,All!$B$4:$S$8977,5,FALSE)</f>
        <v>SREY MOM</v>
      </c>
      <c r="G288" s="479" t="str">
        <f>VLOOKUP(B288,All!$B$4:$S$8977,6,FALSE)</f>
        <v>F</v>
      </c>
      <c r="H288" s="385">
        <f>VLOOKUP(B288,All!$B$4:$S$8977,7,FALSE)</f>
        <v>29434</v>
      </c>
      <c r="I288" s="154">
        <f>VLOOKUP(B288,All!$B$4:$S$8977,8,FALSE)</f>
        <v>43773</v>
      </c>
      <c r="J288" s="154" t="str">
        <f>VLOOKUP(B288,All!$B$4:$S$8977,9,FALSE)</f>
        <v>Production</v>
      </c>
      <c r="K288" s="154" t="str">
        <f>VLOOKUP(B288,All!$B$4:$S$8977,10,FALSE)</f>
        <v>QC  A</v>
      </c>
      <c r="L288" s="698" t="str">
        <f>VLOOKUP(B288,All!$B$4:$S$8977,11,FALSE)</f>
        <v>Inspector</v>
      </c>
      <c r="M288" s="570">
        <f>VLOOKUP(B288,All!$B$4:$S$8977,12,FALSE)</f>
        <v>192</v>
      </c>
      <c r="N288" s="18">
        <f>VLOOKUP(B288,All!$B$4:$S$8977,13,FALSE)</f>
        <v>3</v>
      </c>
      <c r="O288" s="18">
        <f>VLOOKUP(B288,All!$B$4:$S$8977,14,FALSE)</f>
        <v>0</v>
      </c>
      <c r="P288" s="18">
        <f>VLOOKUP(B288,All!$B$4:$S$8977,15,FALSE)</f>
        <v>0</v>
      </c>
      <c r="Q288" s="18">
        <f>VLOOKUP(B288,All!$B$4:$S$8977,16,FALSE)</f>
        <v>0</v>
      </c>
      <c r="R288" s="18">
        <v>7</v>
      </c>
      <c r="S288" s="18">
        <v>10</v>
      </c>
      <c r="T288" s="550">
        <f t="shared" si="52"/>
        <v>212</v>
      </c>
      <c r="U288" s="568"/>
      <c r="V288" s="3"/>
      <c r="W288" s="3"/>
      <c r="X288" s="3"/>
      <c r="Y288" s="562"/>
      <c r="Z288" s="570">
        <f t="shared" si="53"/>
        <v>194</v>
      </c>
      <c r="AA288" s="18">
        <f t="shared" si="54"/>
        <v>3</v>
      </c>
      <c r="AB288" s="18">
        <f t="shared" si="55"/>
        <v>0</v>
      </c>
      <c r="AC288" s="18">
        <f t="shared" si="56"/>
        <v>0</v>
      </c>
      <c r="AD288" s="18">
        <f t="shared" si="57"/>
        <v>0</v>
      </c>
      <c r="AE288" s="18">
        <f t="shared" si="58"/>
        <v>7</v>
      </c>
      <c r="AF288" s="18">
        <f t="shared" si="58"/>
        <v>10</v>
      </c>
      <c r="AG288" s="550">
        <f t="shared" si="59"/>
        <v>214</v>
      </c>
      <c r="AH288" s="42">
        <v>2</v>
      </c>
      <c r="AI288" s="42">
        <v>0</v>
      </c>
      <c r="AJ288" s="42">
        <v>0</v>
      </c>
      <c r="AK288" s="42">
        <v>0</v>
      </c>
      <c r="AL288" s="42">
        <v>0</v>
      </c>
      <c r="AM288" s="42">
        <v>0</v>
      </c>
      <c r="AN288" s="42">
        <v>0</v>
      </c>
      <c r="AO288" s="42">
        <v>2</v>
      </c>
    </row>
    <row r="289" spans="1:41" ht="24" customHeight="1">
      <c r="A289" s="11">
        <f t="shared" si="51"/>
        <v>286</v>
      </c>
      <c r="B289" s="390">
        <v>3838</v>
      </c>
      <c r="C289" s="478" t="str">
        <f>VLOOKUP(B289,All!$B$4:$S$8977,2,FALSE)</f>
        <v>សួន</v>
      </c>
      <c r="D289" s="479" t="str">
        <f>VLOOKUP(B289,All!$B$4:$S$89977,3,FALSE)</f>
        <v>ម៉ានី</v>
      </c>
      <c r="E289" s="478" t="str">
        <f>VLOOKUP(B289,All!$B$4:$S$8977,4,FALSE)</f>
        <v>SUON</v>
      </c>
      <c r="F289" s="479" t="str">
        <f>VLOOKUP(B289,All!$B$4:$S$8977,5,FALSE)</f>
        <v>MANY</v>
      </c>
      <c r="G289" s="479" t="str">
        <f>VLOOKUP(B289,All!$B$4:$S$8977,6,FALSE)</f>
        <v>F</v>
      </c>
      <c r="H289" s="385">
        <f>VLOOKUP(B289,All!$B$4:$S$8977,7,FALSE)</f>
        <v>29771</v>
      </c>
      <c r="I289" s="154">
        <f>VLOOKUP(B289,All!$B$4:$S$8977,8,FALSE)</f>
        <v>43787</v>
      </c>
      <c r="J289" s="154" t="str">
        <f>VLOOKUP(B289,All!$B$4:$S$8977,9,FALSE)</f>
        <v>Production</v>
      </c>
      <c r="K289" s="154" t="str">
        <f>VLOOKUP(B289,All!$B$4:$S$8977,10,FALSE)</f>
        <v xml:space="preserve"> Line18</v>
      </c>
      <c r="L289" s="698" t="str">
        <f>VLOOKUP(B289,All!$B$4:$S$8977,11,FALSE)</f>
        <v>Sewing operator</v>
      </c>
      <c r="M289" s="570">
        <f>VLOOKUP(B289,All!$B$4:$S$8977,12,FALSE)</f>
        <v>192</v>
      </c>
      <c r="N289" s="18">
        <f>VLOOKUP(B289,All!$B$4:$S$8977,13,FALSE)</f>
        <v>3</v>
      </c>
      <c r="O289" s="18">
        <f>VLOOKUP(B289,All!$B$4:$S$8977,14,FALSE)</f>
        <v>0</v>
      </c>
      <c r="P289" s="18">
        <f>VLOOKUP(B289,All!$B$4:$S$8977,15,FALSE)</f>
        <v>0</v>
      </c>
      <c r="Q289" s="18">
        <f>VLOOKUP(B289,All!$B$4:$S$8977,16,FALSE)</f>
        <v>0</v>
      </c>
      <c r="R289" s="18">
        <v>7</v>
      </c>
      <c r="S289" s="18">
        <v>10</v>
      </c>
      <c r="T289" s="550">
        <f t="shared" si="52"/>
        <v>212</v>
      </c>
      <c r="U289" s="568"/>
      <c r="V289" s="3"/>
      <c r="W289" s="3"/>
      <c r="X289" s="3"/>
      <c r="Y289" s="562"/>
      <c r="Z289" s="570">
        <f t="shared" si="53"/>
        <v>194</v>
      </c>
      <c r="AA289" s="18">
        <f t="shared" si="54"/>
        <v>3</v>
      </c>
      <c r="AB289" s="18">
        <f t="shared" si="55"/>
        <v>0</v>
      </c>
      <c r="AC289" s="18">
        <f t="shared" si="56"/>
        <v>0</v>
      </c>
      <c r="AD289" s="18">
        <f t="shared" si="57"/>
        <v>0</v>
      </c>
      <c r="AE289" s="18">
        <f t="shared" si="58"/>
        <v>7</v>
      </c>
      <c r="AF289" s="18">
        <f t="shared" si="58"/>
        <v>10</v>
      </c>
      <c r="AG289" s="550">
        <f t="shared" si="59"/>
        <v>214</v>
      </c>
      <c r="AH289" s="42">
        <v>2</v>
      </c>
      <c r="AI289" s="42">
        <v>0</v>
      </c>
      <c r="AJ289" s="42">
        <v>0</v>
      </c>
      <c r="AK289" s="42">
        <v>0</v>
      </c>
      <c r="AL289" s="42">
        <v>0</v>
      </c>
      <c r="AM289" s="42">
        <v>0</v>
      </c>
      <c r="AN289" s="42">
        <v>0</v>
      </c>
      <c r="AO289" s="42">
        <v>2</v>
      </c>
    </row>
    <row r="290" spans="1:41" ht="24" customHeight="1">
      <c r="A290" s="11">
        <f t="shared" si="51"/>
        <v>287</v>
      </c>
      <c r="B290" s="390">
        <v>3828</v>
      </c>
      <c r="C290" s="478" t="str">
        <f>VLOOKUP(B290,All!$B$4:$S$8977,2,FALSE)</f>
        <v>ជួន</v>
      </c>
      <c r="D290" s="479" t="str">
        <f>VLOOKUP(B290,All!$B$4:$S$89977,3,FALSE)</f>
        <v>គា</v>
      </c>
      <c r="E290" s="478" t="str">
        <f>VLOOKUP(B290,All!$B$4:$S$8977,4,FALSE)</f>
        <v>CHUON</v>
      </c>
      <c r="F290" s="479" t="str">
        <f>VLOOKUP(B290,All!$B$4:$S$8977,5,FALSE)</f>
        <v>KEA</v>
      </c>
      <c r="G290" s="479" t="str">
        <f>VLOOKUP(B290,All!$B$4:$S$8977,6,FALSE)</f>
        <v>F</v>
      </c>
      <c r="H290" s="385">
        <f>VLOOKUP(B290,All!$B$4:$S$8977,7,FALSE)</f>
        <v>30841</v>
      </c>
      <c r="I290" s="154">
        <f>VLOOKUP(B290,All!$B$4:$S$8977,8,FALSE)</f>
        <v>43787</v>
      </c>
      <c r="J290" s="154" t="str">
        <f>VLOOKUP(B290,All!$B$4:$S$8977,9,FALSE)</f>
        <v>Production</v>
      </c>
      <c r="K290" s="154" t="str">
        <f>VLOOKUP(B290,All!$B$4:$S$8977,10,FALSE)</f>
        <v>Line15</v>
      </c>
      <c r="L290" s="698" t="str">
        <f>VLOOKUP(B290,All!$B$4:$S$8977,11,FALSE)</f>
        <v>Sewing operator</v>
      </c>
      <c r="M290" s="570">
        <f>VLOOKUP(B290,All!$B$4:$S$8977,12,FALSE)</f>
        <v>192</v>
      </c>
      <c r="N290" s="18">
        <f>VLOOKUP(B290,All!$B$4:$S$8977,13,FALSE)</f>
        <v>3</v>
      </c>
      <c r="O290" s="18">
        <f>VLOOKUP(B290,All!$B$4:$S$8977,14,FALSE)</f>
        <v>0</v>
      </c>
      <c r="P290" s="18">
        <f>VLOOKUP(B290,All!$B$4:$S$8977,15,FALSE)</f>
        <v>0</v>
      </c>
      <c r="Q290" s="18">
        <f>VLOOKUP(B290,All!$B$4:$S$8977,16,FALSE)</f>
        <v>0</v>
      </c>
      <c r="R290" s="18">
        <v>7</v>
      </c>
      <c r="S290" s="18">
        <v>10</v>
      </c>
      <c r="T290" s="550">
        <f t="shared" si="52"/>
        <v>212</v>
      </c>
      <c r="U290" s="568"/>
      <c r="V290" s="3"/>
      <c r="W290" s="3"/>
      <c r="X290" s="3"/>
      <c r="Y290" s="562"/>
      <c r="Z290" s="570">
        <f t="shared" si="53"/>
        <v>194</v>
      </c>
      <c r="AA290" s="18">
        <f t="shared" si="54"/>
        <v>3</v>
      </c>
      <c r="AB290" s="18">
        <f t="shared" si="55"/>
        <v>0</v>
      </c>
      <c r="AC290" s="18">
        <f t="shared" si="56"/>
        <v>0</v>
      </c>
      <c r="AD290" s="18">
        <f t="shared" si="57"/>
        <v>0</v>
      </c>
      <c r="AE290" s="18">
        <f t="shared" si="58"/>
        <v>7</v>
      </c>
      <c r="AF290" s="18">
        <f t="shared" si="58"/>
        <v>10</v>
      </c>
      <c r="AG290" s="550">
        <f t="shared" si="59"/>
        <v>214</v>
      </c>
      <c r="AH290" s="42">
        <v>2</v>
      </c>
      <c r="AI290" s="42">
        <v>0</v>
      </c>
      <c r="AJ290" s="42">
        <v>0</v>
      </c>
      <c r="AK290" s="42">
        <v>0</v>
      </c>
      <c r="AL290" s="42">
        <v>0</v>
      </c>
      <c r="AM290" s="42">
        <v>0</v>
      </c>
      <c r="AN290" s="42">
        <v>0</v>
      </c>
      <c r="AO290" s="42">
        <v>2</v>
      </c>
    </row>
    <row r="291" spans="1:41" ht="24" customHeight="1">
      <c r="A291" s="11">
        <f t="shared" si="51"/>
        <v>288</v>
      </c>
      <c r="B291" s="390">
        <v>3841</v>
      </c>
      <c r="C291" s="478" t="str">
        <f>VLOOKUP(B291,All!$B$4:$S$8977,2,FALSE)</f>
        <v>អូន</v>
      </c>
      <c r="D291" s="479" t="str">
        <f>VLOOKUP(B291,All!$B$4:$S$89977,3,FALSE)</f>
        <v>ចន្នី</v>
      </c>
      <c r="E291" s="478" t="str">
        <f>VLOOKUP(B291,All!$B$4:$S$8977,4,FALSE)</f>
        <v>AUN</v>
      </c>
      <c r="F291" s="479" t="str">
        <f>VLOOKUP(B291,All!$B$4:$S$8977,5,FALSE)</f>
        <v>CHANNY</v>
      </c>
      <c r="G291" s="479" t="str">
        <f>VLOOKUP(B291,All!$B$4:$S$8977,6,FALSE)</f>
        <v>F</v>
      </c>
      <c r="H291" s="385">
        <f>VLOOKUP(B291,All!$B$4:$S$8977,7,FALSE)</f>
        <v>28995</v>
      </c>
      <c r="I291" s="154">
        <f>VLOOKUP(B291,All!$B$4:$S$8977,8,FALSE)</f>
        <v>43787</v>
      </c>
      <c r="J291" s="154" t="str">
        <f>VLOOKUP(B291,All!$B$4:$S$8977,9,FALSE)</f>
        <v>Production</v>
      </c>
      <c r="K291" s="154" t="str">
        <f>VLOOKUP(B291,All!$B$4:$S$8977,10,FALSE)</f>
        <v>Line20</v>
      </c>
      <c r="L291" s="698" t="str">
        <f>VLOOKUP(B291,All!$B$4:$S$8977,11,FALSE)</f>
        <v>Sewing operator</v>
      </c>
      <c r="M291" s="570">
        <f>VLOOKUP(B291,All!$B$4:$S$8977,12,FALSE)</f>
        <v>192</v>
      </c>
      <c r="N291" s="18">
        <f>VLOOKUP(B291,All!$B$4:$S$8977,13,FALSE)</f>
        <v>3</v>
      </c>
      <c r="O291" s="18">
        <f>VLOOKUP(B291,All!$B$4:$S$8977,14,FALSE)</f>
        <v>0</v>
      </c>
      <c r="P291" s="18">
        <f>VLOOKUP(B291,All!$B$4:$S$8977,15,FALSE)</f>
        <v>0</v>
      </c>
      <c r="Q291" s="18">
        <f>VLOOKUP(B291,All!$B$4:$S$8977,16,FALSE)</f>
        <v>0</v>
      </c>
      <c r="R291" s="18">
        <v>7</v>
      </c>
      <c r="S291" s="18">
        <v>10</v>
      </c>
      <c r="T291" s="550">
        <f t="shared" si="52"/>
        <v>212</v>
      </c>
      <c r="U291" s="568"/>
      <c r="V291" s="3"/>
      <c r="W291" s="3"/>
      <c r="X291" s="3"/>
      <c r="Y291" s="562"/>
      <c r="Z291" s="570">
        <f t="shared" si="53"/>
        <v>194</v>
      </c>
      <c r="AA291" s="18">
        <f t="shared" si="54"/>
        <v>3</v>
      </c>
      <c r="AB291" s="18">
        <f t="shared" si="55"/>
        <v>0</v>
      </c>
      <c r="AC291" s="18">
        <f t="shared" si="56"/>
        <v>0</v>
      </c>
      <c r="AD291" s="18">
        <f t="shared" si="57"/>
        <v>0</v>
      </c>
      <c r="AE291" s="18">
        <f t="shared" si="58"/>
        <v>7</v>
      </c>
      <c r="AF291" s="18">
        <f t="shared" si="58"/>
        <v>10</v>
      </c>
      <c r="AG291" s="550">
        <f t="shared" si="59"/>
        <v>214</v>
      </c>
      <c r="AH291" s="42">
        <v>2</v>
      </c>
      <c r="AI291" s="42">
        <v>0</v>
      </c>
      <c r="AJ291" s="42">
        <v>0</v>
      </c>
      <c r="AK291" s="42">
        <v>0</v>
      </c>
      <c r="AL291" s="42">
        <v>0</v>
      </c>
      <c r="AM291" s="42">
        <v>0</v>
      </c>
      <c r="AN291" s="42">
        <v>0</v>
      </c>
      <c r="AO291" s="42">
        <v>2</v>
      </c>
    </row>
    <row r="292" spans="1:41" ht="24" customHeight="1">
      <c r="A292" s="11">
        <f t="shared" si="51"/>
        <v>289</v>
      </c>
      <c r="B292" s="390">
        <v>3422</v>
      </c>
      <c r="C292" s="478" t="str">
        <f>VLOOKUP(B292,All!$B$4:$S$8977,2,FALSE)</f>
        <v>ផាន់</v>
      </c>
      <c r="D292" s="479" t="str">
        <f>VLOOKUP(B292,All!$B$4:$S$89977,3,FALSE)</f>
        <v>សុភា</v>
      </c>
      <c r="E292" s="478" t="str">
        <f>VLOOKUP(B292,All!$B$4:$S$8977,4,FALSE)</f>
        <v>PHANN</v>
      </c>
      <c r="F292" s="479" t="str">
        <f>VLOOKUP(B292,All!$B$4:$S$8977,5,FALSE)</f>
        <v>SOPHEA</v>
      </c>
      <c r="G292" s="479" t="str">
        <f>VLOOKUP(B292,All!$B$4:$S$8977,6,FALSE)</f>
        <v>F</v>
      </c>
      <c r="H292" s="385">
        <f>VLOOKUP(B292,All!$B$4:$S$8977,7,FALSE)</f>
        <v>28627</v>
      </c>
      <c r="I292" s="154">
        <f>VLOOKUP(B292,All!$B$4:$S$8977,8,FALSE)</f>
        <v>43771</v>
      </c>
      <c r="J292" s="154" t="str">
        <f>VLOOKUP(B292,All!$B$4:$S$8977,9,FALSE)</f>
        <v>Production</v>
      </c>
      <c r="K292" s="154" t="str">
        <f>VLOOKUP(B292,All!$B$4:$S$8977,10,FALSE)</f>
        <v>Line20</v>
      </c>
      <c r="L292" s="698" t="str">
        <f>VLOOKUP(B292,All!$B$4:$S$8977,11,FALSE)</f>
        <v>Sewing operator</v>
      </c>
      <c r="M292" s="570">
        <f>VLOOKUP(B292,All!$B$4:$S$8977,12,FALSE)</f>
        <v>192</v>
      </c>
      <c r="N292" s="18">
        <f>VLOOKUP(B292,All!$B$4:$S$8977,13,FALSE)</f>
        <v>3</v>
      </c>
      <c r="O292" s="18">
        <f>VLOOKUP(B292,All!$B$4:$S$8977,14,FALSE)</f>
        <v>0</v>
      </c>
      <c r="P292" s="18">
        <f>VLOOKUP(B292,All!$B$4:$S$8977,15,FALSE)</f>
        <v>0</v>
      </c>
      <c r="Q292" s="18">
        <f>VLOOKUP(B292,All!$B$4:$S$8977,16,FALSE)</f>
        <v>0</v>
      </c>
      <c r="R292" s="18">
        <v>7</v>
      </c>
      <c r="S292" s="18">
        <v>10</v>
      </c>
      <c r="T292" s="550">
        <f t="shared" si="52"/>
        <v>212</v>
      </c>
      <c r="U292" s="568"/>
      <c r="V292" s="3"/>
      <c r="W292" s="3"/>
      <c r="X292" s="3"/>
      <c r="Y292" s="562"/>
      <c r="Z292" s="570">
        <f t="shared" si="53"/>
        <v>194</v>
      </c>
      <c r="AA292" s="18">
        <f t="shared" si="54"/>
        <v>3</v>
      </c>
      <c r="AB292" s="18">
        <f t="shared" si="55"/>
        <v>0</v>
      </c>
      <c r="AC292" s="18">
        <f t="shared" si="56"/>
        <v>0</v>
      </c>
      <c r="AD292" s="18">
        <f t="shared" si="57"/>
        <v>0</v>
      </c>
      <c r="AE292" s="18">
        <f t="shared" si="58"/>
        <v>7</v>
      </c>
      <c r="AF292" s="18">
        <f t="shared" si="58"/>
        <v>10</v>
      </c>
      <c r="AG292" s="550">
        <f t="shared" si="59"/>
        <v>214</v>
      </c>
      <c r="AH292" s="42">
        <v>2</v>
      </c>
      <c r="AI292" s="42">
        <v>0</v>
      </c>
      <c r="AJ292" s="42">
        <v>0</v>
      </c>
      <c r="AK292" s="42">
        <v>0</v>
      </c>
      <c r="AL292" s="42">
        <v>0</v>
      </c>
      <c r="AM292" s="42">
        <v>0</v>
      </c>
      <c r="AN292" s="42">
        <v>0</v>
      </c>
      <c r="AO292" s="42">
        <v>2</v>
      </c>
    </row>
    <row r="293" spans="1:41" ht="24" customHeight="1">
      <c r="A293" s="11">
        <f t="shared" si="51"/>
        <v>290</v>
      </c>
      <c r="B293" s="390">
        <v>3428</v>
      </c>
      <c r="C293" s="478" t="str">
        <f>VLOOKUP(B293,All!$B$4:$S$8977,2,FALSE)</f>
        <v>សៅ</v>
      </c>
      <c r="D293" s="479" t="str">
        <f>VLOOKUP(B293,All!$B$4:$S$89977,3,FALSE)</f>
        <v>គឹមសេង</v>
      </c>
      <c r="E293" s="478" t="str">
        <f>VLOOKUP(B293,All!$B$4:$S$8977,4,FALSE)</f>
        <v>SAO</v>
      </c>
      <c r="F293" s="479" t="str">
        <f>VLOOKUP(B293,All!$B$4:$S$8977,5,FALSE)</f>
        <v>KIMSENG</v>
      </c>
      <c r="G293" s="479" t="str">
        <f>VLOOKUP(B293,All!$B$4:$S$8977,6,FALSE)</f>
        <v>F</v>
      </c>
      <c r="H293" s="385">
        <f>VLOOKUP(B293,All!$B$4:$S$8977,7,FALSE)</f>
        <v>32096</v>
      </c>
      <c r="I293" s="154">
        <f>VLOOKUP(B293,All!$B$4:$S$8977,8,FALSE)</f>
        <v>43774</v>
      </c>
      <c r="J293" s="154" t="str">
        <f>VLOOKUP(B293,All!$B$4:$S$8977,9,FALSE)</f>
        <v>Production</v>
      </c>
      <c r="K293" s="154" t="str">
        <f>VLOOKUP(B293,All!$B$4:$S$8977,10,FALSE)</f>
        <v>Sample</v>
      </c>
      <c r="L293" s="698" t="str">
        <f>VLOOKUP(B293,All!$B$4:$S$8977,11,FALSE)</f>
        <v>SL sewer</v>
      </c>
      <c r="M293" s="570">
        <f>VLOOKUP(B293,All!$B$4:$S$8977,12,FALSE)</f>
        <v>192</v>
      </c>
      <c r="N293" s="18">
        <f>VLOOKUP(B293,All!$B$4:$S$8977,13,FALSE)</f>
        <v>3</v>
      </c>
      <c r="O293" s="18">
        <f>VLOOKUP(B293,All!$B$4:$S$8977,14,FALSE)</f>
        <v>0</v>
      </c>
      <c r="P293" s="18">
        <f>VLOOKUP(B293,All!$B$4:$S$8977,15,FALSE)</f>
        <v>0</v>
      </c>
      <c r="Q293" s="18">
        <f>VLOOKUP(B293,All!$B$4:$S$8977,16,FALSE)</f>
        <v>0</v>
      </c>
      <c r="R293" s="18">
        <v>7</v>
      </c>
      <c r="S293" s="18">
        <v>10</v>
      </c>
      <c r="T293" s="550">
        <f t="shared" si="52"/>
        <v>212</v>
      </c>
      <c r="U293" s="568"/>
      <c r="V293" s="3"/>
      <c r="W293" s="3"/>
      <c r="X293" s="3"/>
      <c r="Y293" s="562"/>
      <c r="Z293" s="570">
        <f t="shared" si="53"/>
        <v>194</v>
      </c>
      <c r="AA293" s="18">
        <f t="shared" si="54"/>
        <v>3</v>
      </c>
      <c r="AB293" s="18">
        <f t="shared" si="55"/>
        <v>0</v>
      </c>
      <c r="AC293" s="18">
        <f t="shared" si="56"/>
        <v>0</v>
      </c>
      <c r="AD293" s="18">
        <f t="shared" si="57"/>
        <v>0</v>
      </c>
      <c r="AE293" s="18">
        <f t="shared" si="58"/>
        <v>7</v>
      </c>
      <c r="AF293" s="18">
        <f t="shared" si="58"/>
        <v>10</v>
      </c>
      <c r="AG293" s="550">
        <f t="shared" si="59"/>
        <v>214</v>
      </c>
      <c r="AH293" s="42">
        <v>2</v>
      </c>
      <c r="AI293" s="42">
        <v>0</v>
      </c>
      <c r="AJ293" s="42">
        <v>0</v>
      </c>
      <c r="AK293" s="42">
        <v>0</v>
      </c>
      <c r="AL293" s="42">
        <v>0</v>
      </c>
      <c r="AM293" s="42">
        <v>0</v>
      </c>
      <c r="AN293" s="42">
        <v>0</v>
      </c>
      <c r="AO293" s="42">
        <v>2</v>
      </c>
    </row>
    <row r="294" spans="1:41" ht="24" customHeight="1">
      <c r="A294" s="11">
        <f t="shared" si="51"/>
        <v>291</v>
      </c>
      <c r="B294" s="390">
        <v>3431</v>
      </c>
      <c r="C294" s="478" t="str">
        <f>VLOOKUP(B294,All!$B$4:$S$8977,2,FALSE)</f>
        <v>មុំ</v>
      </c>
      <c r="D294" s="479" t="str">
        <f>VLOOKUP(B294,All!$B$4:$S$89977,3,FALSE)</f>
        <v>សាវ៉េន</v>
      </c>
      <c r="E294" s="478" t="str">
        <f>VLOOKUP(B294,All!$B$4:$S$8977,4,FALSE)</f>
        <v>MOM</v>
      </c>
      <c r="F294" s="479" t="str">
        <f>VLOOKUP(B294,All!$B$4:$S$8977,5,FALSE)</f>
        <v>SAVEN</v>
      </c>
      <c r="G294" s="479" t="str">
        <f>VLOOKUP(B294,All!$B$4:$S$8977,6,FALSE)</f>
        <v>F</v>
      </c>
      <c r="H294" s="385">
        <f>VLOOKUP(B294,All!$B$4:$S$8977,7,FALSE)</f>
        <v>30533</v>
      </c>
      <c r="I294" s="154">
        <f>VLOOKUP(B294,All!$B$4:$S$8977,8,FALSE)</f>
        <v>43774</v>
      </c>
      <c r="J294" s="154" t="str">
        <f>VLOOKUP(B294,All!$B$4:$S$8977,9,FALSE)</f>
        <v>Production</v>
      </c>
      <c r="K294" s="154" t="str">
        <f>VLOOKUP(B294,All!$B$4:$S$8977,10,FALSE)</f>
        <v>Line21</v>
      </c>
      <c r="L294" s="698" t="str">
        <f>VLOOKUP(B294,All!$B$4:$S$8977,11,FALSE)</f>
        <v>Sewing operator</v>
      </c>
      <c r="M294" s="570">
        <f>VLOOKUP(B294,All!$B$4:$S$8977,12,FALSE)</f>
        <v>192</v>
      </c>
      <c r="N294" s="18">
        <f>VLOOKUP(B294,All!$B$4:$S$8977,13,FALSE)</f>
        <v>3</v>
      </c>
      <c r="O294" s="18">
        <f>VLOOKUP(B294,All!$B$4:$S$8977,14,FALSE)</f>
        <v>0</v>
      </c>
      <c r="P294" s="18">
        <f>VLOOKUP(B294,All!$B$4:$S$8977,15,FALSE)</f>
        <v>0</v>
      </c>
      <c r="Q294" s="18">
        <f>VLOOKUP(B294,All!$B$4:$S$8977,16,FALSE)</f>
        <v>0</v>
      </c>
      <c r="R294" s="18">
        <v>7</v>
      </c>
      <c r="S294" s="18">
        <v>10</v>
      </c>
      <c r="T294" s="550">
        <f t="shared" si="52"/>
        <v>212</v>
      </c>
      <c r="U294" s="568"/>
      <c r="V294" s="3"/>
      <c r="W294" s="3"/>
      <c r="X294" s="3"/>
      <c r="Y294" s="562"/>
      <c r="Z294" s="570">
        <f t="shared" si="53"/>
        <v>194</v>
      </c>
      <c r="AA294" s="18">
        <f t="shared" si="54"/>
        <v>3</v>
      </c>
      <c r="AB294" s="18">
        <f t="shared" si="55"/>
        <v>0</v>
      </c>
      <c r="AC294" s="18">
        <f t="shared" si="56"/>
        <v>0</v>
      </c>
      <c r="AD294" s="18">
        <f t="shared" si="57"/>
        <v>0</v>
      </c>
      <c r="AE294" s="18">
        <f t="shared" si="58"/>
        <v>7</v>
      </c>
      <c r="AF294" s="18">
        <f t="shared" si="58"/>
        <v>10</v>
      </c>
      <c r="AG294" s="550">
        <f t="shared" si="59"/>
        <v>214</v>
      </c>
      <c r="AH294" s="42">
        <v>2</v>
      </c>
      <c r="AI294" s="42">
        <v>0</v>
      </c>
      <c r="AJ294" s="42">
        <v>0</v>
      </c>
      <c r="AK294" s="42">
        <v>0</v>
      </c>
      <c r="AL294" s="42">
        <v>0</v>
      </c>
      <c r="AM294" s="42">
        <v>0</v>
      </c>
      <c r="AN294" s="42">
        <v>0</v>
      </c>
      <c r="AO294" s="42">
        <v>2</v>
      </c>
    </row>
    <row r="295" spans="1:41" ht="24" customHeight="1">
      <c r="A295" s="11">
        <f t="shared" si="51"/>
        <v>292</v>
      </c>
      <c r="B295" s="390">
        <v>3427</v>
      </c>
      <c r="C295" s="478" t="str">
        <f>VLOOKUP(B295,All!$B$4:$S$8977,2,FALSE)</f>
        <v>ឈន</v>
      </c>
      <c r="D295" s="479" t="str">
        <f>VLOOKUP(B295,All!$B$4:$S$89977,3,FALSE)</f>
        <v>ឈី</v>
      </c>
      <c r="E295" s="478" t="str">
        <f>VLOOKUP(B295,All!$B$4:$S$8977,4,FALSE)</f>
        <v>CHHAN</v>
      </c>
      <c r="F295" s="479" t="str">
        <f>VLOOKUP(B295,All!$B$4:$S$8977,5,FALSE)</f>
        <v>CHHY</v>
      </c>
      <c r="G295" s="479" t="str">
        <f>VLOOKUP(B295,All!$B$4:$S$8977,6,FALSE)</f>
        <v>F</v>
      </c>
      <c r="H295" s="385">
        <f>VLOOKUP(B295,All!$B$4:$S$8977,7,FALSE)</f>
        <v>33117</v>
      </c>
      <c r="I295" s="154">
        <f>VLOOKUP(B295,All!$B$4:$S$8977,8,FALSE)</f>
        <v>43771</v>
      </c>
      <c r="J295" s="154" t="str">
        <f>VLOOKUP(B295,All!$B$4:$S$8977,9,FALSE)</f>
        <v>Production</v>
      </c>
      <c r="K295" s="154" t="str">
        <f>VLOOKUP(B295,All!$B$4:$S$8977,10,FALSE)</f>
        <v xml:space="preserve"> Line18</v>
      </c>
      <c r="L295" s="698" t="str">
        <f>VLOOKUP(B295,All!$B$4:$S$8977,11,FALSE)</f>
        <v>Sewing operator</v>
      </c>
      <c r="M295" s="570">
        <f>VLOOKUP(B295,All!$B$4:$S$8977,12,FALSE)</f>
        <v>192</v>
      </c>
      <c r="N295" s="18">
        <f>VLOOKUP(B295,All!$B$4:$S$8977,13,FALSE)</f>
        <v>3</v>
      </c>
      <c r="O295" s="18">
        <f>VLOOKUP(B295,All!$B$4:$S$8977,14,FALSE)</f>
        <v>0</v>
      </c>
      <c r="P295" s="18">
        <f>VLOOKUP(B295,All!$B$4:$S$8977,15,FALSE)</f>
        <v>0</v>
      </c>
      <c r="Q295" s="18">
        <f>VLOOKUP(B295,All!$B$4:$S$8977,16,FALSE)</f>
        <v>0</v>
      </c>
      <c r="R295" s="18">
        <v>7</v>
      </c>
      <c r="S295" s="18">
        <v>10</v>
      </c>
      <c r="T295" s="550">
        <f t="shared" si="52"/>
        <v>212</v>
      </c>
      <c r="U295" s="568"/>
      <c r="V295" s="3"/>
      <c r="W295" s="3"/>
      <c r="X295" s="3"/>
      <c r="Y295" s="562"/>
      <c r="Z295" s="570">
        <f t="shared" si="53"/>
        <v>194</v>
      </c>
      <c r="AA295" s="18">
        <f t="shared" si="54"/>
        <v>3</v>
      </c>
      <c r="AB295" s="18">
        <f t="shared" si="55"/>
        <v>0</v>
      </c>
      <c r="AC295" s="18">
        <f t="shared" si="56"/>
        <v>0</v>
      </c>
      <c r="AD295" s="18">
        <f t="shared" si="57"/>
        <v>0</v>
      </c>
      <c r="AE295" s="18">
        <f t="shared" si="58"/>
        <v>7</v>
      </c>
      <c r="AF295" s="18">
        <f t="shared" si="58"/>
        <v>10</v>
      </c>
      <c r="AG295" s="550">
        <f t="shared" si="59"/>
        <v>214</v>
      </c>
      <c r="AH295" s="42">
        <v>2</v>
      </c>
      <c r="AI295" s="42"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2</v>
      </c>
    </row>
    <row r="296" spans="1:41" ht="24" customHeight="1">
      <c r="A296" s="11">
        <f t="shared" si="51"/>
        <v>293</v>
      </c>
      <c r="B296" s="390">
        <v>3437</v>
      </c>
      <c r="C296" s="478" t="str">
        <f>VLOOKUP(B296,All!$B$4:$S$8977,2,FALSE)</f>
        <v>ជា</v>
      </c>
      <c r="D296" s="479" t="str">
        <f>VLOOKUP(B296,All!$B$4:$S$89977,3,FALSE)</f>
        <v>ដាវី</v>
      </c>
      <c r="E296" s="478" t="str">
        <f>VLOOKUP(B296,All!$B$4:$S$8977,4,FALSE)</f>
        <v>CHEA</v>
      </c>
      <c r="F296" s="479" t="str">
        <f>VLOOKUP(B296,All!$B$4:$S$8977,5,FALSE)</f>
        <v>DAVY</v>
      </c>
      <c r="G296" s="479" t="str">
        <f>VLOOKUP(B296,All!$B$4:$S$8977,6,FALSE)</f>
        <v>F</v>
      </c>
      <c r="H296" s="385">
        <f>VLOOKUP(B296,All!$B$4:$S$8977,7,FALSE)</f>
        <v>31588</v>
      </c>
      <c r="I296" s="154">
        <f>VLOOKUP(B296,All!$B$4:$S$8977,8,FALSE)</f>
        <v>43783</v>
      </c>
      <c r="J296" s="154" t="str">
        <f>VLOOKUP(B296,All!$B$4:$S$8977,9,FALSE)</f>
        <v>Production</v>
      </c>
      <c r="K296" s="154" t="str">
        <f>VLOOKUP(B296,All!$B$4:$S$8977,10,FALSE)</f>
        <v xml:space="preserve"> Line1</v>
      </c>
      <c r="L296" s="698" t="str">
        <f>VLOOKUP(B296,All!$B$4:$S$8977,11,FALSE)</f>
        <v>Sewing operator</v>
      </c>
      <c r="M296" s="570">
        <f>VLOOKUP(B296,All!$B$4:$S$8977,12,FALSE)</f>
        <v>192</v>
      </c>
      <c r="N296" s="18">
        <f>VLOOKUP(B296,All!$B$4:$S$8977,13,FALSE)</f>
        <v>3</v>
      </c>
      <c r="O296" s="18">
        <f>VLOOKUP(B296,All!$B$4:$S$8977,14,FALSE)</f>
        <v>0</v>
      </c>
      <c r="P296" s="18">
        <f>VLOOKUP(B296,All!$B$4:$S$8977,15,FALSE)</f>
        <v>0</v>
      </c>
      <c r="Q296" s="18">
        <f>VLOOKUP(B296,All!$B$4:$S$8977,16,FALSE)</f>
        <v>0</v>
      </c>
      <c r="R296" s="18">
        <v>7</v>
      </c>
      <c r="S296" s="18">
        <v>10</v>
      </c>
      <c r="T296" s="550">
        <f t="shared" si="52"/>
        <v>212</v>
      </c>
      <c r="U296" s="568"/>
      <c r="V296" s="3"/>
      <c r="W296" s="3"/>
      <c r="X296" s="3"/>
      <c r="Y296" s="562"/>
      <c r="Z296" s="570">
        <f t="shared" si="53"/>
        <v>194</v>
      </c>
      <c r="AA296" s="18">
        <f t="shared" si="54"/>
        <v>3</v>
      </c>
      <c r="AB296" s="18">
        <f t="shared" si="55"/>
        <v>0</v>
      </c>
      <c r="AC296" s="18">
        <f t="shared" si="56"/>
        <v>0</v>
      </c>
      <c r="AD296" s="18">
        <f t="shared" si="57"/>
        <v>0</v>
      </c>
      <c r="AE296" s="18">
        <f t="shared" si="58"/>
        <v>7</v>
      </c>
      <c r="AF296" s="18">
        <f t="shared" si="58"/>
        <v>10</v>
      </c>
      <c r="AG296" s="550">
        <f t="shared" si="59"/>
        <v>214</v>
      </c>
      <c r="AH296" s="42">
        <v>2</v>
      </c>
      <c r="AI296" s="42"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2</v>
      </c>
    </row>
    <row r="297" spans="1:41" ht="24" customHeight="1">
      <c r="A297" s="11">
        <f t="shared" si="51"/>
        <v>294</v>
      </c>
      <c r="B297" s="390">
        <v>3419</v>
      </c>
      <c r="C297" s="478" t="str">
        <f>VLOOKUP(B297,All!$B$4:$S$8977,2,FALSE)</f>
        <v>សេន</v>
      </c>
      <c r="D297" s="479" t="str">
        <f>VLOOKUP(B297,All!$B$4:$S$89977,3,FALSE)</f>
        <v>ផល្លា</v>
      </c>
      <c r="E297" s="478" t="str">
        <f>VLOOKUP(B297,All!$B$4:$S$8977,4,FALSE)</f>
        <v>SEN</v>
      </c>
      <c r="F297" s="479" t="str">
        <f>VLOOKUP(B297,All!$B$4:$S$8977,5,FALSE)</f>
        <v>PHALLA</v>
      </c>
      <c r="G297" s="479" t="str">
        <f>VLOOKUP(B297,All!$B$4:$S$8977,6,FALSE)</f>
        <v>F</v>
      </c>
      <c r="H297" s="385">
        <f>VLOOKUP(B297,All!$B$4:$S$8977,7,FALSE)</f>
        <v>33435</v>
      </c>
      <c r="I297" s="154">
        <f>VLOOKUP(B297,All!$B$4:$S$8977,8,FALSE)</f>
        <v>43770</v>
      </c>
      <c r="J297" s="154" t="str">
        <f>VLOOKUP(B297,All!$B$4:$S$8977,9,FALSE)</f>
        <v>Production</v>
      </c>
      <c r="K297" s="154" t="str">
        <f>VLOOKUP(B297,All!$B$4:$S$8977,10,FALSE)</f>
        <v xml:space="preserve"> Line3</v>
      </c>
      <c r="L297" s="698" t="str">
        <f>VLOOKUP(B297,All!$B$4:$S$8977,11,FALSE)</f>
        <v>Sewing operator</v>
      </c>
      <c r="M297" s="570">
        <f>VLOOKUP(B297,All!$B$4:$S$8977,12,FALSE)</f>
        <v>192</v>
      </c>
      <c r="N297" s="18">
        <f>VLOOKUP(B297,All!$B$4:$S$8977,13,FALSE)</f>
        <v>3</v>
      </c>
      <c r="O297" s="18">
        <f>VLOOKUP(B297,All!$B$4:$S$8977,14,FALSE)</f>
        <v>0</v>
      </c>
      <c r="P297" s="18">
        <f>VLOOKUP(B297,All!$B$4:$S$8977,15,FALSE)</f>
        <v>0</v>
      </c>
      <c r="Q297" s="18">
        <f>VLOOKUP(B297,All!$B$4:$S$8977,16,FALSE)</f>
        <v>0</v>
      </c>
      <c r="R297" s="18">
        <v>7</v>
      </c>
      <c r="S297" s="18">
        <v>10</v>
      </c>
      <c r="T297" s="550">
        <f t="shared" si="52"/>
        <v>212</v>
      </c>
      <c r="U297" s="568"/>
      <c r="V297" s="3"/>
      <c r="W297" s="3"/>
      <c r="X297" s="3"/>
      <c r="Y297" s="562"/>
      <c r="Z297" s="570">
        <f t="shared" si="53"/>
        <v>194</v>
      </c>
      <c r="AA297" s="18">
        <f t="shared" si="54"/>
        <v>3</v>
      </c>
      <c r="AB297" s="18">
        <f t="shared" si="55"/>
        <v>0</v>
      </c>
      <c r="AC297" s="18">
        <f t="shared" si="56"/>
        <v>0</v>
      </c>
      <c r="AD297" s="18">
        <f t="shared" si="57"/>
        <v>0</v>
      </c>
      <c r="AE297" s="18">
        <f t="shared" si="58"/>
        <v>7</v>
      </c>
      <c r="AF297" s="18">
        <f t="shared" si="58"/>
        <v>10</v>
      </c>
      <c r="AG297" s="550">
        <f t="shared" si="59"/>
        <v>214</v>
      </c>
      <c r="AH297" s="42">
        <v>2</v>
      </c>
      <c r="AI297" s="42"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2</v>
      </c>
    </row>
    <row r="298" spans="1:41" ht="24" customHeight="1">
      <c r="A298" s="11">
        <f t="shared" si="51"/>
        <v>295</v>
      </c>
      <c r="B298" s="390">
        <v>3418</v>
      </c>
      <c r="C298" s="478" t="str">
        <f>VLOOKUP(B298,All!$B$4:$S$8977,2,FALSE)</f>
        <v>សែម</v>
      </c>
      <c r="D298" s="479" t="str">
        <f>VLOOKUP(B298,All!$B$4:$S$89977,3,FALSE)</f>
        <v>ផល្លា</v>
      </c>
      <c r="E298" s="478" t="str">
        <f>VLOOKUP(B298,All!$B$4:$S$8977,4,FALSE)</f>
        <v>SEM</v>
      </c>
      <c r="F298" s="479" t="str">
        <f>VLOOKUP(B298,All!$B$4:$S$8977,5,FALSE)</f>
        <v>PHALLA</v>
      </c>
      <c r="G298" s="479" t="str">
        <f>VLOOKUP(B298,All!$B$4:$S$8977,6,FALSE)</f>
        <v>F</v>
      </c>
      <c r="H298" s="385">
        <f>VLOOKUP(B298,All!$B$4:$S$8977,7,FALSE)</f>
        <v>27643</v>
      </c>
      <c r="I298" s="154">
        <f>VLOOKUP(B298,All!$B$4:$S$8977,8,FALSE)</f>
        <v>43770</v>
      </c>
      <c r="J298" s="154" t="str">
        <f>VLOOKUP(B298,All!$B$4:$S$8977,9,FALSE)</f>
        <v>Production</v>
      </c>
      <c r="K298" s="154" t="str">
        <f>VLOOKUP(B298,All!$B$4:$S$8977,10,FALSE)</f>
        <v xml:space="preserve"> Line3</v>
      </c>
      <c r="L298" s="698" t="str">
        <f>VLOOKUP(B298,All!$B$4:$S$8977,11,FALSE)</f>
        <v>Sewing operator</v>
      </c>
      <c r="M298" s="570">
        <f>VLOOKUP(B298,All!$B$4:$S$8977,12,FALSE)</f>
        <v>192</v>
      </c>
      <c r="N298" s="18">
        <f>VLOOKUP(B298,All!$B$4:$S$8977,13,FALSE)</f>
        <v>3</v>
      </c>
      <c r="O298" s="18">
        <f>VLOOKUP(B298,All!$B$4:$S$8977,14,FALSE)</f>
        <v>0</v>
      </c>
      <c r="P298" s="18">
        <f>VLOOKUP(B298,All!$B$4:$S$8977,15,FALSE)</f>
        <v>0</v>
      </c>
      <c r="Q298" s="18">
        <f>VLOOKUP(B298,All!$B$4:$S$8977,16,FALSE)</f>
        <v>0</v>
      </c>
      <c r="R298" s="18">
        <v>7</v>
      </c>
      <c r="S298" s="18">
        <v>10</v>
      </c>
      <c r="T298" s="550">
        <f t="shared" si="52"/>
        <v>212</v>
      </c>
      <c r="U298" s="568"/>
      <c r="V298" s="3"/>
      <c r="W298" s="3"/>
      <c r="X298" s="3"/>
      <c r="Y298" s="562"/>
      <c r="Z298" s="570">
        <f t="shared" si="53"/>
        <v>194</v>
      </c>
      <c r="AA298" s="18">
        <f t="shared" si="54"/>
        <v>3</v>
      </c>
      <c r="AB298" s="18">
        <f t="shared" si="55"/>
        <v>0</v>
      </c>
      <c r="AC298" s="18">
        <f t="shared" si="56"/>
        <v>0</v>
      </c>
      <c r="AD298" s="18">
        <f t="shared" si="57"/>
        <v>0</v>
      </c>
      <c r="AE298" s="18">
        <f t="shared" si="58"/>
        <v>7</v>
      </c>
      <c r="AF298" s="18">
        <f t="shared" si="58"/>
        <v>10</v>
      </c>
      <c r="AG298" s="550">
        <f t="shared" si="59"/>
        <v>214</v>
      </c>
      <c r="AH298" s="42">
        <v>2</v>
      </c>
      <c r="AI298" s="42">
        <v>0</v>
      </c>
      <c r="AJ298" s="42">
        <v>0</v>
      </c>
      <c r="AK298" s="42">
        <v>0</v>
      </c>
      <c r="AL298" s="42">
        <v>0</v>
      </c>
      <c r="AM298" s="42">
        <v>0</v>
      </c>
      <c r="AN298" s="42">
        <v>0</v>
      </c>
      <c r="AO298" s="42">
        <v>2</v>
      </c>
    </row>
    <row r="299" spans="1:41" ht="24" customHeight="1">
      <c r="A299" s="11">
        <f t="shared" si="51"/>
        <v>296</v>
      </c>
      <c r="B299" s="390">
        <v>3445</v>
      </c>
      <c r="C299" s="478" t="str">
        <f>VLOOKUP(B299,All!$B$4:$S$8977,2,FALSE)</f>
        <v>រស់</v>
      </c>
      <c r="D299" s="479" t="str">
        <f>VLOOKUP(B299,All!$B$4:$S$89977,3,FALSE)</f>
        <v>ចិត្រ</v>
      </c>
      <c r="E299" s="478" t="str">
        <f>VLOOKUP(B299,All!$B$4:$S$8977,4,FALSE)</f>
        <v>ROS</v>
      </c>
      <c r="F299" s="479" t="str">
        <f>VLOOKUP(B299,All!$B$4:$S$8977,5,FALSE)</f>
        <v>CHET</v>
      </c>
      <c r="G299" s="479" t="str">
        <f>VLOOKUP(B299,All!$B$4:$S$8977,6,FALSE)</f>
        <v>F</v>
      </c>
      <c r="H299" s="385">
        <f>VLOOKUP(B299,All!$B$4:$S$8977,7,FALSE)</f>
        <v>29448</v>
      </c>
      <c r="I299" s="154">
        <f>VLOOKUP(B299,All!$B$4:$S$8977,8,FALSE)</f>
        <v>43788</v>
      </c>
      <c r="J299" s="154" t="str">
        <f>VLOOKUP(B299,All!$B$4:$S$8977,9,FALSE)</f>
        <v>Production</v>
      </c>
      <c r="K299" s="154" t="str">
        <f>VLOOKUP(B299,All!$B$4:$S$8977,10,FALSE)</f>
        <v>Line21</v>
      </c>
      <c r="L299" s="698" t="str">
        <f>VLOOKUP(B299,All!$B$4:$S$8977,11,FALSE)</f>
        <v>Sewing operator</v>
      </c>
      <c r="M299" s="570">
        <f>VLOOKUP(B299,All!$B$4:$S$8977,12,FALSE)</f>
        <v>192</v>
      </c>
      <c r="N299" s="18">
        <f>VLOOKUP(B299,All!$B$4:$S$8977,13,FALSE)</f>
        <v>3</v>
      </c>
      <c r="O299" s="18">
        <f>VLOOKUP(B299,All!$B$4:$S$8977,14,FALSE)</f>
        <v>0</v>
      </c>
      <c r="P299" s="18">
        <f>VLOOKUP(B299,All!$B$4:$S$8977,15,FALSE)</f>
        <v>0</v>
      </c>
      <c r="Q299" s="18">
        <f>VLOOKUP(B299,All!$B$4:$S$8977,16,FALSE)</f>
        <v>0</v>
      </c>
      <c r="R299" s="18">
        <v>7</v>
      </c>
      <c r="S299" s="18">
        <v>10</v>
      </c>
      <c r="T299" s="550">
        <f t="shared" si="52"/>
        <v>212</v>
      </c>
      <c r="U299" s="568"/>
      <c r="V299" s="3"/>
      <c r="W299" s="3"/>
      <c r="X299" s="3"/>
      <c r="Y299" s="562"/>
      <c r="Z299" s="570">
        <f t="shared" si="53"/>
        <v>194</v>
      </c>
      <c r="AA299" s="18">
        <f t="shared" si="54"/>
        <v>3</v>
      </c>
      <c r="AB299" s="18">
        <f t="shared" si="55"/>
        <v>0</v>
      </c>
      <c r="AC299" s="18">
        <f t="shared" si="56"/>
        <v>0</v>
      </c>
      <c r="AD299" s="18">
        <f t="shared" si="57"/>
        <v>0</v>
      </c>
      <c r="AE299" s="18">
        <f t="shared" si="58"/>
        <v>7</v>
      </c>
      <c r="AF299" s="18">
        <f t="shared" si="58"/>
        <v>10</v>
      </c>
      <c r="AG299" s="550">
        <f t="shared" si="59"/>
        <v>214</v>
      </c>
      <c r="AH299" s="42">
        <v>2</v>
      </c>
      <c r="AI299" s="42">
        <v>0</v>
      </c>
      <c r="AJ299" s="42">
        <v>0</v>
      </c>
      <c r="AK299" s="42">
        <v>0</v>
      </c>
      <c r="AL299" s="42">
        <v>0</v>
      </c>
      <c r="AM299" s="42">
        <v>0</v>
      </c>
      <c r="AN299" s="42">
        <v>0</v>
      </c>
      <c r="AO299" s="42">
        <v>2</v>
      </c>
    </row>
    <row r="300" spans="1:41" ht="24" customHeight="1">
      <c r="A300" s="11">
        <f t="shared" si="51"/>
        <v>297</v>
      </c>
      <c r="B300" s="390">
        <v>3453</v>
      </c>
      <c r="C300" s="478" t="str">
        <f>VLOOKUP(B300,All!$B$4:$S$8977,2,FALSE)</f>
        <v>ទឹម</v>
      </c>
      <c r="D300" s="479" t="str">
        <f>VLOOKUP(B300,All!$B$4:$S$89977,3,FALSE)</f>
        <v>សារ៉េន</v>
      </c>
      <c r="E300" s="478" t="str">
        <f>VLOOKUP(B300,All!$B$4:$S$8977,4,FALSE)</f>
        <v>TOEM</v>
      </c>
      <c r="F300" s="479" t="str">
        <f>VLOOKUP(B300,All!$B$4:$S$8977,5,FALSE)</f>
        <v>SAREN</v>
      </c>
      <c r="G300" s="479" t="str">
        <f>VLOOKUP(B300,All!$B$4:$S$8977,6,FALSE)</f>
        <v>F</v>
      </c>
      <c r="H300" s="385">
        <f>VLOOKUP(B300,All!$B$4:$S$8977,7,FALSE)</f>
        <v>30155</v>
      </c>
      <c r="I300" s="154">
        <f>VLOOKUP(B300,All!$B$4:$S$8977,8,FALSE)</f>
        <v>43792</v>
      </c>
      <c r="J300" s="154" t="str">
        <f>VLOOKUP(B300,All!$B$4:$S$8977,9,FALSE)</f>
        <v>Production</v>
      </c>
      <c r="K300" s="154" t="str">
        <f>VLOOKUP(B300,All!$B$4:$S$8977,10,FALSE)</f>
        <v xml:space="preserve"> Line18</v>
      </c>
      <c r="L300" s="698" t="str">
        <f>VLOOKUP(B300,All!$B$4:$S$8977,11,FALSE)</f>
        <v>Sewing operator</v>
      </c>
      <c r="M300" s="570">
        <f>VLOOKUP(B300,All!$B$4:$S$8977,12,FALSE)</f>
        <v>192</v>
      </c>
      <c r="N300" s="18">
        <f>VLOOKUP(B300,All!$B$4:$S$8977,13,FALSE)</f>
        <v>3</v>
      </c>
      <c r="O300" s="18">
        <f>VLOOKUP(B300,All!$B$4:$S$8977,14,FALSE)</f>
        <v>0</v>
      </c>
      <c r="P300" s="18">
        <f>VLOOKUP(B300,All!$B$4:$S$8977,15,FALSE)</f>
        <v>0</v>
      </c>
      <c r="Q300" s="18">
        <f>VLOOKUP(B300,All!$B$4:$S$8977,16,FALSE)</f>
        <v>0</v>
      </c>
      <c r="R300" s="18">
        <v>7</v>
      </c>
      <c r="S300" s="18">
        <v>10</v>
      </c>
      <c r="T300" s="550">
        <f t="shared" si="52"/>
        <v>212</v>
      </c>
      <c r="U300" s="568"/>
      <c r="V300" s="3"/>
      <c r="W300" s="3"/>
      <c r="X300" s="3"/>
      <c r="Y300" s="562"/>
      <c r="Z300" s="570">
        <f t="shared" si="53"/>
        <v>194</v>
      </c>
      <c r="AA300" s="18">
        <f t="shared" si="54"/>
        <v>3</v>
      </c>
      <c r="AB300" s="18">
        <f t="shared" si="55"/>
        <v>0</v>
      </c>
      <c r="AC300" s="18">
        <f t="shared" si="56"/>
        <v>0</v>
      </c>
      <c r="AD300" s="18">
        <f t="shared" si="57"/>
        <v>0</v>
      </c>
      <c r="AE300" s="18">
        <f t="shared" si="58"/>
        <v>7</v>
      </c>
      <c r="AF300" s="18">
        <f t="shared" si="58"/>
        <v>10</v>
      </c>
      <c r="AG300" s="550">
        <f t="shared" si="59"/>
        <v>214</v>
      </c>
      <c r="AH300" s="42">
        <v>2</v>
      </c>
      <c r="AI300" s="42"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2</v>
      </c>
    </row>
    <row r="301" spans="1:41" ht="24" customHeight="1">
      <c r="A301" s="11">
        <f t="shared" si="51"/>
        <v>298</v>
      </c>
      <c r="B301" s="390">
        <v>3461</v>
      </c>
      <c r="C301" s="478" t="str">
        <f>VLOOKUP(B301,All!$B$4:$S$8977,2,FALSE)</f>
        <v>ម៉ៃ</v>
      </c>
      <c r="D301" s="479" t="str">
        <f>VLOOKUP(B301,All!$B$4:$S$89977,3,FALSE)</f>
        <v>ម៉ុត</v>
      </c>
      <c r="E301" s="478" t="str">
        <f>VLOOKUP(B301,All!$B$4:$S$8977,4,FALSE)</f>
        <v>MAY</v>
      </c>
      <c r="F301" s="479" t="str">
        <f>VLOOKUP(B301,All!$B$4:$S$8977,5,FALSE)</f>
        <v>MUOT</v>
      </c>
      <c r="G301" s="479" t="str">
        <f>VLOOKUP(B301,All!$B$4:$S$8977,6,FALSE)</f>
        <v>F</v>
      </c>
      <c r="H301" s="385">
        <f>VLOOKUP(B301,All!$B$4:$S$8977,7,FALSE)</f>
        <v>29777</v>
      </c>
      <c r="I301" s="154">
        <f>VLOOKUP(B301,All!$B$4:$S$8977,8,FALSE)</f>
        <v>43797</v>
      </c>
      <c r="J301" s="154" t="str">
        <f>VLOOKUP(B301,All!$B$4:$S$8977,9,FALSE)</f>
        <v>Production</v>
      </c>
      <c r="K301" s="154" t="str">
        <f>VLOOKUP(B301,All!$B$4:$S$8977,10,FALSE)</f>
        <v>Line21</v>
      </c>
      <c r="L301" s="698" t="str">
        <f>VLOOKUP(B301,All!$B$4:$S$8977,11,FALSE)</f>
        <v>Sewing operator</v>
      </c>
      <c r="M301" s="570">
        <f>VLOOKUP(B301,All!$B$4:$S$8977,12,FALSE)</f>
        <v>192</v>
      </c>
      <c r="N301" s="18">
        <f>VLOOKUP(B301,All!$B$4:$S$8977,13,FALSE)</f>
        <v>3</v>
      </c>
      <c r="O301" s="18">
        <f>VLOOKUP(B301,All!$B$4:$S$8977,14,FALSE)</f>
        <v>0</v>
      </c>
      <c r="P301" s="18">
        <f>VLOOKUP(B301,All!$B$4:$S$8977,15,FALSE)</f>
        <v>0</v>
      </c>
      <c r="Q301" s="18">
        <f>VLOOKUP(B301,All!$B$4:$S$8977,16,FALSE)</f>
        <v>0</v>
      </c>
      <c r="R301" s="18">
        <v>7</v>
      </c>
      <c r="S301" s="18">
        <v>10</v>
      </c>
      <c r="T301" s="550">
        <f t="shared" si="52"/>
        <v>212</v>
      </c>
      <c r="U301" s="568"/>
      <c r="V301" s="3"/>
      <c r="W301" s="3"/>
      <c r="X301" s="3"/>
      <c r="Y301" s="562"/>
      <c r="Z301" s="570">
        <f t="shared" si="53"/>
        <v>194</v>
      </c>
      <c r="AA301" s="18">
        <f t="shared" si="54"/>
        <v>3</v>
      </c>
      <c r="AB301" s="18">
        <f t="shared" si="55"/>
        <v>0</v>
      </c>
      <c r="AC301" s="18">
        <f t="shared" si="56"/>
        <v>0</v>
      </c>
      <c r="AD301" s="18">
        <f t="shared" si="57"/>
        <v>0</v>
      </c>
      <c r="AE301" s="18">
        <f t="shared" si="58"/>
        <v>7</v>
      </c>
      <c r="AF301" s="18">
        <f t="shared" si="58"/>
        <v>10</v>
      </c>
      <c r="AG301" s="550">
        <f t="shared" si="59"/>
        <v>214</v>
      </c>
      <c r="AH301" s="42">
        <v>2</v>
      </c>
      <c r="AI301" s="42">
        <v>0</v>
      </c>
      <c r="AJ301" s="42">
        <v>0</v>
      </c>
      <c r="AK301" s="42">
        <v>0</v>
      </c>
      <c r="AL301" s="42">
        <v>0</v>
      </c>
      <c r="AM301" s="42">
        <v>0</v>
      </c>
      <c r="AN301" s="42">
        <v>0</v>
      </c>
      <c r="AO301" s="42">
        <v>2</v>
      </c>
    </row>
    <row r="302" spans="1:41" ht="24" customHeight="1">
      <c r="A302" s="11">
        <f t="shared" si="51"/>
        <v>299</v>
      </c>
      <c r="B302" s="390">
        <v>3459</v>
      </c>
      <c r="C302" s="478" t="str">
        <f>VLOOKUP(B302,All!$B$4:$S$8977,2,FALSE)</f>
        <v>ធា</v>
      </c>
      <c r="D302" s="479" t="str">
        <f>VLOOKUP(B302,All!$B$4:$S$89977,3,FALSE)</f>
        <v>ស្រីម៉ៅ</v>
      </c>
      <c r="E302" s="478" t="str">
        <f>VLOOKUP(B302,All!$B$4:$S$8977,4,FALSE)</f>
        <v>THEA</v>
      </c>
      <c r="F302" s="479" t="str">
        <f>VLOOKUP(B302,All!$B$4:$S$8977,5,FALSE)</f>
        <v>SREYMAO</v>
      </c>
      <c r="G302" s="479" t="str">
        <f>VLOOKUP(B302,All!$B$4:$S$8977,6,FALSE)</f>
        <v>F</v>
      </c>
      <c r="H302" s="385">
        <f>VLOOKUP(B302,All!$B$4:$S$8977,7,FALSE)</f>
        <v>36758</v>
      </c>
      <c r="I302" s="154">
        <f>VLOOKUP(B302,All!$B$4:$S$8977,8,FALSE)</f>
        <v>43795</v>
      </c>
      <c r="J302" s="154" t="str">
        <f>VLOOKUP(B302,All!$B$4:$S$8977,9,FALSE)</f>
        <v>Production</v>
      </c>
      <c r="K302" s="154" t="str">
        <f>VLOOKUP(B302,All!$B$4:$S$8977,10,FALSE)</f>
        <v>Packing   A</v>
      </c>
      <c r="L302" s="698" t="str">
        <f>VLOOKUP(B302,All!$B$4:$S$8977,11,FALSE)</f>
        <v>Packer</v>
      </c>
      <c r="M302" s="570">
        <f>VLOOKUP(B302,All!$B$4:$S$8977,12,FALSE)</f>
        <v>192</v>
      </c>
      <c r="N302" s="18">
        <f>VLOOKUP(B302,All!$B$4:$S$8977,13,FALSE)</f>
        <v>3</v>
      </c>
      <c r="O302" s="18">
        <f>VLOOKUP(B302,All!$B$4:$S$8977,14,FALSE)</f>
        <v>0</v>
      </c>
      <c r="P302" s="18">
        <f>VLOOKUP(B302,All!$B$4:$S$8977,15,FALSE)</f>
        <v>0</v>
      </c>
      <c r="Q302" s="18">
        <f>VLOOKUP(B302,All!$B$4:$S$8977,16,FALSE)</f>
        <v>0</v>
      </c>
      <c r="R302" s="18">
        <v>7</v>
      </c>
      <c r="S302" s="18">
        <v>10</v>
      </c>
      <c r="T302" s="550">
        <f t="shared" si="52"/>
        <v>212</v>
      </c>
      <c r="U302" s="568"/>
      <c r="V302" s="3"/>
      <c r="W302" s="3"/>
      <c r="X302" s="3"/>
      <c r="Y302" s="562"/>
      <c r="Z302" s="570">
        <f t="shared" si="53"/>
        <v>194</v>
      </c>
      <c r="AA302" s="18">
        <f t="shared" si="54"/>
        <v>3</v>
      </c>
      <c r="AB302" s="18">
        <f t="shared" si="55"/>
        <v>0</v>
      </c>
      <c r="AC302" s="18">
        <f t="shared" si="56"/>
        <v>0</v>
      </c>
      <c r="AD302" s="18">
        <f t="shared" si="57"/>
        <v>0</v>
      </c>
      <c r="AE302" s="18">
        <f t="shared" si="58"/>
        <v>7</v>
      </c>
      <c r="AF302" s="18">
        <f t="shared" si="58"/>
        <v>10</v>
      </c>
      <c r="AG302" s="550">
        <f t="shared" si="59"/>
        <v>214</v>
      </c>
      <c r="AH302" s="42">
        <v>2</v>
      </c>
      <c r="AI302" s="42"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0</v>
      </c>
      <c r="AO302" s="42">
        <v>2</v>
      </c>
    </row>
    <row r="303" spans="1:41" ht="24" customHeight="1">
      <c r="A303" s="11">
        <f t="shared" si="51"/>
        <v>300</v>
      </c>
      <c r="B303" s="390">
        <v>3891</v>
      </c>
      <c r="C303" s="478" t="str">
        <f>VLOOKUP(B303,All!$B$4:$S$8977,2,FALSE)</f>
        <v>នឿ</v>
      </c>
      <c r="D303" s="479" t="str">
        <f>VLOOKUP(B303,All!$B$4:$S$89977,3,FALSE)</f>
        <v>ស្រឿន</v>
      </c>
      <c r="E303" s="478" t="str">
        <f>VLOOKUP(B303,All!$B$4:$S$8977,4,FALSE)</f>
        <v>NOEU</v>
      </c>
      <c r="F303" s="479" t="str">
        <f>VLOOKUP(B303,All!$B$4:$S$8977,5,FALSE)</f>
        <v>SROEUN</v>
      </c>
      <c r="G303" s="479" t="str">
        <f>VLOOKUP(B303,All!$B$4:$S$8977,6,FALSE)</f>
        <v>F</v>
      </c>
      <c r="H303" s="385">
        <f>VLOOKUP(B303,All!$B$4:$S$8977,7,FALSE)</f>
        <v>33609</v>
      </c>
      <c r="I303" s="154">
        <f>VLOOKUP(B303,All!$B$4:$S$8977,8,FALSE)</f>
        <v>43786</v>
      </c>
      <c r="J303" s="154" t="str">
        <f>VLOOKUP(B303,All!$B$4:$S$8977,9,FALSE)</f>
        <v>Production</v>
      </c>
      <c r="K303" s="154" t="str">
        <f>VLOOKUP(B303,All!$B$4:$S$8977,10,FALSE)</f>
        <v>Line10</v>
      </c>
      <c r="L303" s="698" t="str">
        <f>VLOOKUP(B303,All!$B$4:$S$8977,11,FALSE)</f>
        <v>Sewing operator</v>
      </c>
      <c r="M303" s="570">
        <f>VLOOKUP(B303,All!$B$4:$S$8977,12,FALSE)</f>
        <v>192</v>
      </c>
      <c r="N303" s="18">
        <f>VLOOKUP(B303,All!$B$4:$S$8977,13,FALSE)</f>
        <v>3</v>
      </c>
      <c r="O303" s="18">
        <f>VLOOKUP(B303,All!$B$4:$S$8977,14,FALSE)</f>
        <v>0</v>
      </c>
      <c r="P303" s="18">
        <f>VLOOKUP(B303,All!$B$4:$S$8977,15,FALSE)</f>
        <v>0</v>
      </c>
      <c r="Q303" s="18">
        <f>VLOOKUP(B303,All!$B$4:$S$8977,16,FALSE)</f>
        <v>0</v>
      </c>
      <c r="R303" s="18">
        <v>7</v>
      </c>
      <c r="S303" s="18">
        <v>10</v>
      </c>
      <c r="T303" s="550">
        <f t="shared" si="52"/>
        <v>212</v>
      </c>
      <c r="U303" s="568"/>
      <c r="V303" s="3"/>
      <c r="W303" s="3"/>
      <c r="X303" s="3"/>
      <c r="Y303" s="562"/>
      <c r="Z303" s="570">
        <f t="shared" si="53"/>
        <v>194</v>
      </c>
      <c r="AA303" s="18">
        <f t="shared" si="54"/>
        <v>3</v>
      </c>
      <c r="AB303" s="18">
        <f t="shared" si="55"/>
        <v>0</v>
      </c>
      <c r="AC303" s="18">
        <f t="shared" si="56"/>
        <v>0</v>
      </c>
      <c r="AD303" s="18">
        <f t="shared" si="57"/>
        <v>0</v>
      </c>
      <c r="AE303" s="18">
        <f t="shared" si="58"/>
        <v>7</v>
      </c>
      <c r="AF303" s="18">
        <f t="shared" si="58"/>
        <v>10</v>
      </c>
      <c r="AG303" s="550">
        <f t="shared" si="59"/>
        <v>214</v>
      </c>
      <c r="AH303" s="42">
        <v>2</v>
      </c>
      <c r="AI303" s="42"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0</v>
      </c>
      <c r="AO303" s="42">
        <v>2</v>
      </c>
    </row>
    <row r="304" spans="1:41" ht="24" customHeight="1">
      <c r="A304" s="11">
        <f t="shared" si="51"/>
        <v>301</v>
      </c>
      <c r="B304" s="390">
        <v>3867</v>
      </c>
      <c r="C304" s="478" t="str">
        <f>VLOOKUP(B304,All!$B$4:$S$8977,2,FALSE)</f>
        <v>ម</v>
      </c>
      <c r="D304" s="479" t="str">
        <f>VLOOKUP(B304,All!$B$4:$S$89977,3,FALSE)</f>
        <v>អៀង</v>
      </c>
      <c r="E304" s="478" t="str">
        <f>VLOOKUP(B304,All!$B$4:$S$8977,4,FALSE)</f>
        <v>MOR</v>
      </c>
      <c r="F304" s="479" t="str">
        <f>VLOOKUP(B304,All!$B$4:$S$8977,5,FALSE)</f>
        <v>EANG</v>
      </c>
      <c r="G304" s="479" t="str">
        <f>VLOOKUP(B304,All!$B$4:$S$8977,6,FALSE)</f>
        <v>F</v>
      </c>
      <c r="H304" s="385">
        <f>VLOOKUP(B304,All!$B$4:$S$8977,7,FALSE)</f>
        <v>31872</v>
      </c>
      <c r="I304" s="154">
        <f>VLOOKUP(B304,All!$B$4:$S$8977,8,FALSE)</f>
        <v>43773</v>
      </c>
      <c r="J304" s="154" t="str">
        <f>VLOOKUP(B304,All!$B$4:$S$8977,9,FALSE)</f>
        <v>Production</v>
      </c>
      <c r="K304" s="154" t="str">
        <f>VLOOKUP(B304,All!$B$4:$S$8977,10,FALSE)</f>
        <v>Line10</v>
      </c>
      <c r="L304" s="698" t="str">
        <f>VLOOKUP(B304,All!$B$4:$S$8977,11,FALSE)</f>
        <v>Sewing operator</v>
      </c>
      <c r="M304" s="570">
        <f>VLOOKUP(B304,All!$B$4:$S$8977,12,FALSE)</f>
        <v>192</v>
      </c>
      <c r="N304" s="18">
        <f>VLOOKUP(B304,All!$B$4:$S$8977,13,FALSE)</f>
        <v>3</v>
      </c>
      <c r="O304" s="18">
        <f>VLOOKUP(B304,All!$B$4:$S$8977,14,FALSE)</f>
        <v>0</v>
      </c>
      <c r="P304" s="18">
        <f>VLOOKUP(B304,All!$B$4:$S$8977,15,FALSE)</f>
        <v>0</v>
      </c>
      <c r="Q304" s="18">
        <f>VLOOKUP(B304,All!$B$4:$S$8977,16,FALSE)</f>
        <v>0</v>
      </c>
      <c r="R304" s="18">
        <v>7</v>
      </c>
      <c r="S304" s="18">
        <v>10</v>
      </c>
      <c r="T304" s="550">
        <f t="shared" si="52"/>
        <v>212</v>
      </c>
      <c r="U304" s="568"/>
      <c r="V304" s="3"/>
      <c r="W304" s="3"/>
      <c r="X304" s="3"/>
      <c r="Y304" s="562"/>
      <c r="Z304" s="570">
        <f t="shared" si="53"/>
        <v>194</v>
      </c>
      <c r="AA304" s="18">
        <f t="shared" si="54"/>
        <v>3</v>
      </c>
      <c r="AB304" s="18">
        <f t="shared" si="55"/>
        <v>0</v>
      </c>
      <c r="AC304" s="18">
        <f t="shared" si="56"/>
        <v>0</v>
      </c>
      <c r="AD304" s="18">
        <f t="shared" si="57"/>
        <v>0</v>
      </c>
      <c r="AE304" s="18">
        <f t="shared" si="58"/>
        <v>7</v>
      </c>
      <c r="AF304" s="18">
        <f t="shared" si="58"/>
        <v>10</v>
      </c>
      <c r="AG304" s="550">
        <f t="shared" si="59"/>
        <v>214</v>
      </c>
      <c r="AH304" s="42">
        <v>2</v>
      </c>
      <c r="AI304" s="42"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0</v>
      </c>
      <c r="AO304" s="42">
        <v>2</v>
      </c>
    </row>
    <row r="305" spans="1:41" ht="24" customHeight="1">
      <c r="A305" s="11">
        <f t="shared" si="51"/>
        <v>302</v>
      </c>
      <c r="B305" s="390">
        <v>3472</v>
      </c>
      <c r="C305" s="478" t="str">
        <f>VLOOKUP(B305,All!$B$4:$S$8977,2,FALSE)</f>
        <v>យ៉ន</v>
      </c>
      <c r="D305" s="479" t="str">
        <f>VLOOKUP(B305,All!$B$4:$S$89977,3,FALSE)</f>
        <v>ចាន់ធឿន</v>
      </c>
      <c r="E305" s="478" t="str">
        <f>VLOOKUP(B305,All!$B$4:$S$8977,4,FALSE)</f>
        <v>YORN</v>
      </c>
      <c r="F305" s="479" t="str">
        <f>VLOOKUP(B305,All!$B$4:$S$8977,5,FALSE)</f>
        <v>CHANTHOEURN</v>
      </c>
      <c r="G305" s="479" t="str">
        <f>VLOOKUP(B305,All!$B$4:$S$8977,6,FALSE)</f>
        <v>F</v>
      </c>
      <c r="H305" s="385">
        <f>VLOOKUP(B305,All!$B$4:$S$8977,7,FALSE)</f>
        <v>36923</v>
      </c>
      <c r="I305" s="154">
        <f>VLOOKUP(B305,All!$B$4:$S$8977,8,FALSE)</f>
        <v>43810</v>
      </c>
      <c r="J305" s="154" t="str">
        <f>VLOOKUP(B305,All!$B$4:$S$8977,9,FALSE)</f>
        <v>Production</v>
      </c>
      <c r="K305" s="154" t="str">
        <f>VLOOKUP(B305,All!$B$4:$S$8977,10,FALSE)</f>
        <v xml:space="preserve"> Line1</v>
      </c>
      <c r="L305" s="698" t="str">
        <f>VLOOKUP(B305,All!$B$4:$S$8977,11,FALSE)</f>
        <v>Sewing operator</v>
      </c>
      <c r="M305" s="570">
        <f>VLOOKUP(B305,All!$B$4:$S$8977,12,FALSE)</f>
        <v>192</v>
      </c>
      <c r="N305" s="18">
        <f>VLOOKUP(B305,All!$B$4:$S$8977,13,FALSE)</f>
        <v>3</v>
      </c>
      <c r="O305" s="18">
        <f>VLOOKUP(B305,All!$B$4:$S$8977,14,FALSE)</f>
        <v>0</v>
      </c>
      <c r="P305" s="18">
        <f>VLOOKUP(B305,All!$B$4:$S$8977,15,FALSE)</f>
        <v>10</v>
      </c>
      <c r="Q305" s="18">
        <f>VLOOKUP(B305,All!$B$4:$S$8977,16,FALSE)</f>
        <v>0</v>
      </c>
      <c r="R305" s="18">
        <v>7</v>
      </c>
      <c r="S305" s="18">
        <v>10</v>
      </c>
      <c r="T305" s="550">
        <f t="shared" si="52"/>
        <v>222</v>
      </c>
      <c r="U305" s="568"/>
      <c r="V305" s="3"/>
      <c r="W305" s="3"/>
      <c r="X305" s="3"/>
      <c r="Y305" s="562"/>
      <c r="Z305" s="570">
        <f t="shared" si="53"/>
        <v>194</v>
      </c>
      <c r="AA305" s="18">
        <f t="shared" si="54"/>
        <v>3</v>
      </c>
      <c r="AB305" s="18">
        <f t="shared" si="55"/>
        <v>0</v>
      </c>
      <c r="AC305" s="18">
        <f t="shared" si="56"/>
        <v>10</v>
      </c>
      <c r="AD305" s="18">
        <f t="shared" si="57"/>
        <v>0</v>
      </c>
      <c r="AE305" s="18">
        <f t="shared" si="58"/>
        <v>7</v>
      </c>
      <c r="AF305" s="18">
        <f t="shared" si="58"/>
        <v>10</v>
      </c>
      <c r="AG305" s="550">
        <f t="shared" si="59"/>
        <v>224</v>
      </c>
      <c r="AH305" s="42">
        <v>2</v>
      </c>
      <c r="AI305" s="42"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2">
        <v>2</v>
      </c>
    </row>
    <row r="306" spans="1:41" ht="24" customHeight="1">
      <c r="A306" s="11">
        <f t="shared" si="51"/>
        <v>303</v>
      </c>
      <c r="B306" s="390">
        <v>3884</v>
      </c>
      <c r="C306" s="478" t="str">
        <f>VLOOKUP(B306,All!$B$4:$S$8977,2,FALSE)</f>
        <v>យ៉ុង</v>
      </c>
      <c r="D306" s="479" t="str">
        <f>VLOOKUP(B306,All!$B$4:$S$89977,3,FALSE)</f>
        <v>ធារ៉ា</v>
      </c>
      <c r="E306" s="478" t="str">
        <f>VLOOKUP(B306,All!$B$4:$S$8977,4,FALSE)</f>
        <v>YONG</v>
      </c>
      <c r="F306" s="479" t="str">
        <f>VLOOKUP(B306,All!$B$4:$S$8977,5,FALSE)</f>
        <v>THEARA</v>
      </c>
      <c r="G306" s="479" t="str">
        <f>VLOOKUP(B306,All!$B$4:$S$8977,6,FALSE)</f>
        <v>F</v>
      </c>
      <c r="H306" s="385">
        <f>VLOOKUP(B306,All!$B$4:$S$8977,7,FALSE)</f>
        <v>32266</v>
      </c>
      <c r="I306" s="154">
        <f>VLOOKUP(B306,All!$B$4:$S$8977,8,FALSE)</f>
        <v>43781</v>
      </c>
      <c r="J306" s="154" t="str">
        <f>VLOOKUP(B306,All!$B$4:$S$8977,9,FALSE)</f>
        <v>Production</v>
      </c>
      <c r="K306" s="154" t="str">
        <f>VLOOKUP(B306,All!$B$4:$S$8977,10,FALSE)</f>
        <v>QC B</v>
      </c>
      <c r="L306" s="698" t="str">
        <f>VLOOKUP(B306,All!$B$4:$S$8977,11,FALSE)</f>
        <v>Inspector</v>
      </c>
      <c r="M306" s="570">
        <f>VLOOKUP(B306,All!$B$4:$S$8977,12,FALSE)</f>
        <v>192</v>
      </c>
      <c r="N306" s="18">
        <f>VLOOKUP(B306,All!$B$4:$S$8977,13,FALSE)</f>
        <v>3</v>
      </c>
      <c r="O306" s="18">
        <f>VLOOKUP(B306,All!$B$4:$S$8977,14,FALSE)</f>
        <v>0</v>
      </c>
      <c r="P306" s="18">
        <f>VLOOKUP(B306,All!$B$4:$S$8977,15,FALSE)</f>
        <v>0</v>
      </c>
      <c r="Q306" s="18">
        <f>VLOOKUP(B306,All!$B$4:$S$8977,16,FALSE)</f>
        <v>0</v>
      </c>
      <c r="R306" s="18">
        <v>7</v>
      </c>
      <c r="S306" s="18">
        <v>10</v>
      </c>
      <c r="T306" s="550">
        <f t="shared" si="52"/>
        <v>212</v>
      </c>
      <c r="U306" s="568"/>
      <c r="V306" s="3"/>
      <c r="W306" s="3"/>
      <c r="X306" s="3"/>
      <c r="Y306" s="562"/>
      <c r="Z306" s="570">
        <f t="shared" si="53"/>
        <v>194</v>
      </c>
      <c r="AA306" s="18">
        <f t="shared" si="54"/>
        <v>3</v>
      </c>
      <c r="AB306" s="18">
        <f t="shared" si="55"/>
        <v>0</v>
      </c>
      <c r="AC306" s="18">
        <f t="shared" si="56"/>
        <v>0</v>
      </c>
      <c r="AD306" s="18">
        <f t="shared" si="57"/>
        <v>0</v>
      </c>
      <c r="AE306" s="18">
        <f t="shared" si="58"/>
        <v>7</v>
      </c>
      <c r="AF306" s="18">
        <f t="shared" si="58"/>
        <v>10</v>
      </c>
      <c r="AG306" s="550">
        <f t="shared" si="59"/>
        <v>214</v>
      </c>
      <c r="AH306" s="42">
        <v>2</v>
      </c>
      <c r="AI306" s="42"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2</v>
      </c>
    </row>
    <row r="307" spans="1:41" ht="24" customHeight="1">
      <c r="A307" s="11">
        <f t="shared" si="51"/>
        <v>304</v>
      </c>
      <c r="B307" s="390">
        <v>3861</v>
      </c>
      <c r="C307" s="478" t="str">
        <f>VLOOKUP(B307,All!$B$4:$S$8977,2,FALSE)</f>
        <v>អ៊ុង</v>
      </c>
      <c r="D307" s="479" t="str">
        <f>VLOOKUP(B307,All!$B$4:$S$89977,3,FALSE)</f>
        <v>ស្រីអូន</v>
      </c>
      <c r="E307" s="478" t="str">
        <f>VLOOKUP(B307,All!$B$4:$S$8977,4,FALSE)</f>
        <v>UNG</v>
      </c>
      <c r="F307" s="479" t="str">
        <f>VLOOKUP(B307,All!$B$4:$S$8977,5,FALSE)</f>
        <v>SREI ON</v>
      </c>
      <c r="G307" s="479" t="str">
        <f>VLOOKUP(B307,All!$B$4:$S$8977,6,FALSE)</f>
        <v>F</v>
      </c>
      <c r="H307" s="385">
        <f>VLOOKUP(B307,All!$B$4:$S$8977,7,FALSE)</f>
        <v>31085</v>
      </c>
      <c r="I307" s="154">
        <f>VLOOKUP(B307,All!$B$4:$S$8977,8,FALSE)</f>
        <v>43772</v>
      </c>
      <c r="J307" s="154" t="str">
        <f>VLOOKUP(B307,All!$B$4:$S$8977,9,FALSE)</f>
        <v>Production</v>
      </c>
      <c r="K307" s="154" t="str">
        <f>VLOOKUP(B307,All!$B$4:$S$8977,10,FALSE)</f>
        <v>QC  A</v>
      </c>
      <c r="L307" s="698" t="str">
        <f>VLOOKUP(B307,All!$B$4:$S$8977,11,FALSE)</f>
        <v>Inspector</v>
      </c>
      <c r="M307" s="570">
        <f>VLOOKUP(B307,All!$B$4:$S$8977,12,FALSE)</f>
        <v>192</v>
      </c>
      <c r="N307" s="18">
        <f>VLOOKUP(B307,All!$B$4:$S$8977,13,FALSE)</f>
        <v>3</v>
      </c>
      <c r="O307" s="18">
        <f>VLOOKUP(B307,All!$B$4:$S$8977,14,FALSE)</f>
        <v>0</v>
      </c>
      <c r="P307" s="18">
        <f>VLOOKUP(B307,All!$B$4:$S$8977,15,FALSE)</f>
        <v>0</v>
      </c>
      <c r="Q307" s="18">
        <f>VLOOKUP(B307,All!$B$4:$S$8977,16,FALSE)</f>
        <v>0</v>
      </c>
      <c r="R307" s="18">
        <v>7</v>
      </c>
      <c r="S307" s="18">
        <v>10</v>
      </c>
      <c r="T307" s="550">
        <f t="shared" si="52"/>
        <v>212</v>
      </c>
      <c r="U307" s="568"/>
      <c r="V307" s="3"/>
      <c r="W307" s="3"/>
      <c r="X307" s="3"/>
      <c r="Y307" s="562"/>
      <c r="Z307" s="570">
        <f t="shared" si="53"/>
        <v>194</v>
      </c>
      <c r="AA307" s="18">
        <f t="shared" si="54"/>
        <v>3</v>
      </c>
      <c r="AB307" s="18">
        <f t="shared" si="55"/>
        <v>0</v>
      </c>
      <c r="AC307" s="18">
        <f t="shared" si="56"/>
        <v>0</v>
      </c>
      <c r="AD307" s="18">
        <f t="shared" si="57"/>
        <v>0</v>
      </c>
      <c r="AE307" s="18">
        <f t="shared" si="58"/>
        <v>7</v>
      </c>
      <c r="AF307" s="18">
        <f t="shared" si="58"/>
        <v>10</v>
      </c>
      <c r="AG307" s="550">
        <f t="shared" si="59"/>
        <v>214</v>
      </c>
      <c r="AH307" s="42">
        <v>2</v>
      </c>
      <c r="AI307" s="42"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2</v>
      </c>
    </row>
    <row r="308" spans="1:41" ht="24" customHeight="1">
      <c r="A308" s="11">
        <f t="shared" si="51"/>
        <v>305</v>
      </c>
      <c r="B308" s="390">
        <v>3864</v>
      </c>
      <c r="C308" s="478" t="str">
        <f>VLOOKUP(B308,All!$B$4:$S$8977,2,FALSE)</f>
        <v>ឡុង</v>
      </c>
      <c r="D308" s="479" t="str">
        <f>VLOOKUP(B308,All!$B$4:$S$89977,3,FALSE)</f>
        <v>សុខនីម</v>
      </c>
      <c r="E308" s="478" t="str">
        <f>VLOOKUP(B308,All!$B$4:$S$8977,4,FALSE)</f>
        <v>LONG</v>
      </c>
      <c r="F308" s="479" t="str">
        <f>VLOOKUP(B308,All!$B$4:$S$8977,5,FALSE)</f>
        <v>SOKNIM</v>
      </c>
      <c r="G308" s="479" t="str">
        <f>VLOOKUP(B308,All!$B$4:$S$8977,6,FALSE)</f>
        <v>F</v>
      </c>
      <c r="H308" s="385">
        <f>VLOOKUP(B308,All!$B$4:$S$8977,7,FALSE)</f>
        <v>30810</v>
      </c>
      <c r="I308" s="154">
        <f>VLOOKUP(B308,All!$B$4:$S$8977,8,FALSE)</f>
        <v>43802</v>
      </c>
      <c r="J308" s="154" t="str">
        <f>VLOOKUP(B308,All!$B$4:$S$8977,9,FALSE)</f>
        <v>Production</v>
      </c>
      <c r="K308" s="154" t="str">
        <f>VLOOKUP(B308,All!$B$4:$S$8977,10,FALSE)</f>
        <v xml:space="preserve"> Line2</v>
      </c>
      <c r="L308" s="698" t="str">
        <f>VLOOKUP(B308,All!$B$4:$S$8977,11,FALSE)</f>
        <v>Sewing operator</v>
      </c>
      <c r="M308" s="570">
        <f>VLOOKUP(B308,All!$B$4:$S$8977,12,FALSE)</f>
        <v>192</v>
      </c>
      <c r="N308" s="18">
        <f>VLOOKUP(B308,All!$B$4:$S$8977,13,FALSE)</f>
        <v>3</v>
      </c>
      <c r="O308" s="18">
        <f>VLOOKUP(B308,All!$B$4:$S$8977,14,FALSE)</f>
        <v>0</v>
      </c>
      <c r="P308" s="18">
        <f>VLOOKUP(B308,All!$B$4:$S$8977,15,FALSE)</f>
        <v>0</v>
      </c>
      <c r="Q308" s="18">
        <f>VLOOKUP(B308,All!$B$4:$S$8977,16,FALSE)</f>
        <v>0</v>
      </c>
      <c r="R308" s="18">
        <v>7</v>
      </c>
      <c r="S308" s="18">
        <v>10</v>
      </c>
      <c r="T308" s="550">
        <f t="shared" si="52"/>
        <v>212</v>
      </c>
      <c r="U308" s="568"/>
      <c r="V308" s="3"/>
      <c r="W308" s="3"/>
      <c r="X308" s="3"/>
      <c r="Y308" s="562"/>
      <c r="Z308" s="570">
        <f t="shared" si="53"/>
        <v>194</v>
      </c>
      <c r="AA308" s="18">
        <f t="shared" si="54"/>
        <v>3</v>
      </c>
      <c r="AB308" s="18">
        <f t="shared" si="55"/>
        <v>0</v>
      </c>
      <c r="AC308" s="18">
        <f t="shared" si="56"/>
        <v>0</v>
      </c>
      <c r="AD308" s="18">
        <f t="shared" si="57"/>
        <v>0</v>
      </c>
      <c r="AE308" s="18">
        <f t="shared" si="58"/>
        <v>7</v>
      </c>
      <c r="AF308" s="18">
        <f t="shared" si="58"/>
        <v>10</v>
      </c>
      <c r="AG308" s="550">
        <f t="shared" si="59"/>
        <v>214</v>
      </c>
      <c r="AH308" s="42">
        <v>2</v>
      </c>
      <c r="AI308" s="42"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0</v>
      </c>
      <c r="AO308" s="42">
        <v>2</v>
      </c>
    </row>
    <row r="309" spans="1:41" ht="24" customHeight="1">
      <c r="A309" s="11">
        <f t="shared" si="51"/>
        <v>306</v>
      </c>
      <c r="B309" s="390">
        <v>3860</v>
      </c>
      <c r="C309" s="478" t="str">
        <f>VLOOKUP(B309,All!$B$4:$S$8977,2,FALSE)</f>
        <v>ថូន</v>
      </c>
      <c r="D309" s="479" t="str">
        <f>VLOOKUP(B309,All!$B$4:$S$89977,3,FALSE)</f>
        <v>ពៅ</v>
      </c>
      <c r="E309" s="478" t="str">
        <f>VLOOKUP(B309,All!$B$4:$S$8977,4,FALSE)</f>
        <v>THON</v>
      </c>
      <c r="F309" s="479" t="str">
        <f>VLOOKUP(B309,All!$B$4:$S$8977,5,FALSE)</f>
        <v>POV</v>
      </c>
      <c r="G309" s="479" t="str">
        <f>VLOOKUP(B309,All!$B$4:$S$8977,6,FALSE)</f>
        <v>F</v>
      </c>
      <c r="H309" s="385">
        <f>VLOOKUP(B309,All!$B$4:$S$8977,7,FALSE)</f>
        <v>33334</v>
      </c>
      <c r="I309" s="154">
        <f>VLOOKUP(B309,All!$B$4:$S$8977,8,FALSE)</f>
        <v>43801</v>
      </c>
      <c r="J309" s="154" t="str">
        <f>VLOOKUP(B309,All!$B$4:$S$8977,9,FALSE)</f>
        <v>Production</v>
      </c>
      <c r="K309" s="154" t="str">
        <f>VLOOKUP(B309,All!$B$4:$S$8977,10,FALSE)</f>
        <v>Line15</v>
      </c>
      <c r="L309" s="698" t="str">
        <f>VLOOKUP(B309,All!$B$4:$S$8977,11,FALSE)</f>
        <v>Sewing operator</v>
      </c>
      <c r="M309" s="570">
        <f>VLOOKUP(B309,All!$B$4:$S$8977,12,FALSE)</f>
        <v>192</v>
      </c>
      <c r="N309" s="18">
        <f>VLOOKUP(B309,All!$B$4:$S$8977,13,FALSE)</f>
        <v>3</v>
      </c>
      <c r="O309" s="18">
        <f>VLOOKUP(B309,All!$B$4:$S$8977,14,FALSE)</f>
        <v>0</v>
      </c>
      <c r="P309" s="18">
        <f>VLOOKUP(B309,All!$B$4:$S$8977,15,FALSE)</f>
        <v>0</v>
      </c>
      <c r="Q309" s="18">
        <f>VLOOKUP(B309,All!$B$4:$S$8977,16,FALSE)</f>
        <v>0</v>
      </c>
      <c r="R309" s="18">
        <v>7</v>
      </c>
      <c r="S309" s="18">
        <v>10</v>
      </c>
      <c r="T309" s="550">
        <f t="shared" si="52"/>
        <v>212</v>
      </c>
      <c r="U309" s="568"/>
      <c r="V309" s="3"/>
      <c r="W309" s="3"/>
      <c r="X309" s="3"/>
      <c r="Y309" s="562"/>
      <c r="Z309" s="570">
        <f t="shared" si="53"/>
        <v>194</v>
      </c>
      <c r="AA309" s="18">
        <f t="shared" si="54"/>
        <v>3</v>
      </c>
      <c r="AB309" s="18">
        <f t="shared" si="55"/>
        <v>0</v>
      </c>
      <c r="AC309" s="18">
        <f t="shared" si="56"/>
        <v>0</v>
      </c>
      <c r="AD309" s="18">
        <f t="shared" si="57"/>
        <v>0</v>
      </c>
      <c r="AE309" s="18">
        <f t="shared" si="58"/>
        <v>7</v>
      </c>
      <c r="AF309" s="18">
        <f t="shared" si="58"/>
        <v>10</v>
      </c>
      <c r="AG309" s="550">
        <f t="shared" si="59"/>
        <v>214</v>
      </c>
      <c r="AH309" s="42">
        <v>2</v>
      </c>
      <c r="AI309" s="42"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2</v>
      </c>
    </row>
    <row r="310" spans="1:41" ht="24" customHeight="1">
      <c r="A310" s="11">
        <f t="shared" si="51"/>
        <v>307</v>
      </c>
      <c r="B310" s="390">
        <v>3890</v>
      </c>
      <c r="C310" s="478" t="str">
        <f>VLOOKUP(B310,All!$B$4:$S$8977,2,FALSE)</f>
        <v>គីត</v>
      </c>
      <c r="D310" s="479" t="str">
        <f>VLOOKUP(B310,All!$B$4:$S$89977,3,FALSE)</f>
        <v>ភឿន</v>
      </c>
      <c r="E310" s="478" t="str">
        <f>VLOOKUP(B310,All!$B$4:$S$8977,4,FALSE)</f>
        <v>KIT</v>
      </c>
      <c r="F310" s="479" t="str">
        <f>VLOOKUP(B310,All!$B$4:$S$8977,5,FALSE)</f>
        <v>PHOEURN</v>
      </c>
      <c r="G310" s="479" t="str">
        <f>VLOOKUP(B310,All!$B$4:$S$8977,6,FALSE)</f>
        <v>F</v>
      </c>
      <c r="H310" s="385">
        <f>VLOOKUP(B310,All!$B$4:$S$8977,7,FALSE)</f>
        <v>30848</v>
      </c>
      <c r="I310" s="154">
        <f>VLOOKUP(B310,All!$B$4:$S$8977,8,FALSE)</f>
        <v>43785</v>
      </c>
      <c r="J310" s="154" t="str">
        <f>VLOOKUP(B310,All!$B$4:$S$8977,9,FALSE)</f>
        <v>Production</v>
      </c>
      <c r="K310" s="154" t="str">
        <f>VLOOKUP(B310,All!$B$4:$S$8977,10,FALSE)</f>
        <v xml:space="preserve"> Line3</v>
      </c>
      <c r="L310" s="698" t="str">
        <f>VLOOKUP(B310,All!$B$4:$S$8977,11,FALSE)</f>
        <v>Sewing operator</v>
      </c>
      <c r="M310" s="570">
        <f>VLOOKUP(B310,All!$B$4:$S$8977,12,FALSE)</f>
        <v>192</v>
      </c>
      <c r="N310" s="18">
        <f>VLOOKUP(B310,All!$B$4:$S$8977,13,FALSE)</f>
        <v>3</v>
      </c>
      <c r="O310" s="18">
        <f>VLOOKUP(B310,All!$B$4:$S$8977,14,FALSE)</f>
        <v>0</v>
      </c>
      <c r="P310" s="18">
        <f>VLOOKUP(B310,All!$B$4:$S$8977,15,FALSE)</f>
        <v>0</v>
      </c>
      <c r="Q310" s="18">
        <f>VLOOKUP(B310,All!$B$4:$S$8977,16,FALSE)</f>
        <v>0</v>
      </c>
      <c r="R310" s="18">
        <v>7</v>
      </c>
      <c r="S310" s="18">
        <v>10</v>
      </c>
      <c r="T310" s="550">
        <f t="shared" si="52"/>
        <v>212</v>
      </c>
      <c r="U310" s="568"/>
      <c r="V310" s="3"/>
      <c r="W310" s="3"/>
      <c r="X310" s="3"/>
      <c r="Y310" s="562"/>
      <c r="Z310" s="570">
        <f t="shared" si="53"/>
        <v>194</v>
      </c>
      <c r="AA310" s="18">
        <f t="shared" si="54"/>
        <v>3</v>
      </c>
      <c r="AB310" s="18">
        <f t="shared" si="55"/>
        <v>0</v>
      </c>
      <c r="AC310" s="18">
        <f t="shared" si="56"/>
        <v>0</v>
      </c>
      <c r="AD310" s="18">
        <f t="shared" si="57"/>
        <v>0</v>
      </c>
      <c r="AE310" s="18">
        <f t="shared" si="58"/>
        <v>7</v>
      </c>
      <c r="AF310" s="18">
        <f t="shared" si="58"/>
        <v>10</v>
      </c>
      <c r="AG310" s="550">
        <f t="shared" si="59"/>
        <v>214</v>
      </c>
      <c r="AH310" s="42">
        <v>2</v>
      </c>
      <c r="AI310" s="42">
        <v>0</v>
      </c>
      <c r="AJ310" s="42">
        <v>0</v>
      </c>
      <c r="AK310" s="42">
        <v>0</v>
      </c>
      <c r="AL310" s="42">
        <v>0</v>
      </c>
      <c r="AM310" s="42">
        <v>0</v>
      </c>
      <c r="AN310" s="42">
        <v>0</v>
      </c>
      <c r="AO310" s="42">
        <v>2</v>
      </c>
    </row>
    <row r="311" spans="1:41" ht="24" customHeight="1">
      <c r="A311" s="11">
        <f t="shared" si="51"/>
        <v>308</v>
      </c>
      <c r="B311" s="390">
        <v>3465</v>
      </c>
      <c r="C311" s="478" t="str">
        <f>VLOOKUP(B311,All!$B$4:$S$8977,2,FALSE)</f>
        <v>កាក់</v>
      </c>
      <c r="D311" s="479" t="str">
        <f>VLOOKUP(B311,All!$B$4:$S$89977,3,FALSE)</f>
        <v>បឿន</v>
      </c>
      <c r="E311" s="478" t="str">
        <f>VLOOKUP(B311,All!$B$4:$S$8977,4,FALSE)</f>
        <v>KAK</v>
      </c>
      <c r="F311" s="479" t="str">
        <f>VLOOKUP(B311,All!$B$4:$S$8977,5,FALSE)</f>
        <v>BOEUN</v>
      </c>
      <c r="G311" s="479" t="str">
        <f>VLOOKUP(B311,All!$B$4:$S$8977,6,FALSE)</f>
        <v>F</v>
      </c>
      <c r="H311" s="385">
        <f>VLOOKUP(B311,All!$B$4:$S$8977,7,FALSE)</f>
        <v>29440</v>
      </c>
      <c r="I311" s="154">
        <f>VLOOKUP(B311,All!$B$4:$S$8977,8,FALSE)</f>
        <v>43772</v>
      </c>
      <c r="J311" s="154" t="str">
        <f>VLOOKUP(B311,All!$B$4:$S$8977,9,FALSE)</f>
        <v>Production</v>
      </c>
      <c r="K311" s="154" t="str">
        <f>VLOOKUP(B311,All!$B$4:$S$8977,10,FALSE)</f>
        <v>Line21</v>
      </c>
      <c r="L311" s="698" t="str">
        <f>VLOOKUP(B311,All!$B$4:$S$8977,11,FALSE)</f>
        <v>Sewing operator</v>
      </c>
      <c r="M311" s="570">
        <f>VLOOKUP(B311,All!$B$4:$S$8977,12,FALSE)</f>
        <v>192</v>
      </c>
      <c r="N311" s="18">
        <f>VLOOKUP(B311,All!$B$4:$S$8977,13,FALSE)</f>
        <v>3</v>
      </c>
      <c r="O311" s="18">
        <f>VLOOKUP(B311,All!$B$4:$S$8977,14,FALSE)</f>
        <v>0</v>
      </c>
      <c r="P311" s="18">
        <f>VLOOKUP(B311,All!$B$4:$S$8977,15,FALSE)</f>
        <v>0</v>
      </c>
      <c r="Q311" s="18">
        <f>VLOOKUP(B311,All!$B$4:$S$8977,16,FALSE)</f>
        <v>0</v>
      </c>
      <c r="R311" s="18">
        <v>7</v>
      </c>
      <c r="S311" s="18">
        <v>10</v>
      </c>
      <c r="T311" s="550">
        <f t="shared" si="52"/>
        <v>212</v>
      </c>
      <c r="U311" s="568"/>
      <c r="V311" s="3"/>
      <c r="W311" s="3"/>
      <c r="X311" s="3"/>
      <c r="Y311" s="562"/>
      <c r="Z311" s="570">
        <f t="shared" si="53"/>
        <v>194</v>
      </c>
      <c r="AA311" s="18">
        <f t="shared" si="54"/>
        <v>3</v>
      </c>
      <c r="AB311" s="18">
        <f t="shared" si="55"/>
        <v>0</v>
      </c>
      <c r="AC311" s="18">
        <f t="shared" si="56"/>
        <v>0</v>
      </c>
      <c r="AD311" s="18">
        <f t="shared" si="57"/>
        <v>0</v>
      </c>
      <c r="AE311" s="18">
        <f t="shared" si="58"/>
        <v>7</v>
      </c>
      <c r="AF311" s="18">
        <f t="shared" si="58"/>
        <v>10</v>
      </c>
      <c r="AG311" s="550">
        <f t="shared" si="59"/>
        <v>214</v>
      </c>
      <c r="AH311" s="42">
        <v>2</v>
      </c>
      <c r="AI311" s="42">
        <v>0</v>
      </c>
      <c r="AJ311" s="42">
        <v>0</v>
      </c>
      <c r="AK311" s="42">
        <v>0</v>
      </c>
      <c r="AL311" s="42">
        <v>0</v>
      </c>
      <c r="AM311" s="42">
        <v>0</v>
      </c>
      <c r="AN311" s="42">
        <v>0</v>
      </c>
      <c r="AO311" s="42">
        <v>2</v>
      </c>
    </row>
    <row r="312" spans="1:41" ht="24" customHeight="1">
      <c r="A312" s="11">
        <f t="shared" si="51"/>
        <v>309</v>
      </c>
      <c r="B312" s="390">
        <v>3488</v>
      </c>
      <c r="C312" s="478" t="str">
        <f>VLOOKUP(B312,All!$B$4:$S$8977,2,FALSE)</f>
        <v>វ៉ឹង</v>
      </c>
      <c r="D312" s="479" t="str">
        <f>VLOOKUP(B312,All!$B$4:$S$89977,3,FALSE)</f>
        <v>កែវ</v>
      </c>
      <c r="E312" s="478" t="str">
        <f>VLOOKUP(B312,All!$B$4:$S$8977,4,FALSE)</f>
        <v>VOENG</v>
      </c>
      <c r="F312" s="479" t="str">
        <f>VLOOKUP(B312,All!$B$4:$S$8977,5,FALSE)</f>
        <v>KEO</v>
      </c>
      <c r="G312" s="479" t="str">
        <f>VLOOKUP(B312,All!$B$4:$S$8977,6,FALSE)</f>
        <v>F</v>
      </c>
      <c r="H312" s="385">
        <f>VLOOKUP(B312,All!$B$4:$S$8977,7,FALSE)</f>
        <v>27357</v>
      </c>
      <c r="I312" s="154">
        <f>VLOOKUP(B312,All!$B$4:$S$8977,8,FALSE)</f>
        <v>43786</v>
      </c>
      <c r="J312" s="154" t="str">
        <f>VLOOKUP(B312,All!$B$4:$S$8977,9,FALSE)</f>
        <v>Production</v>
      </c>
      <c r="K312" s="154" t="str">
        <f>VLOOKUP(B312,All!$B$4:$S$8977,10,FALSE)</f>
        <v xml:space="preserve"> Line3</v>
      </c>
      <c r="L312" s="698" t="str">
        <f>VLOOKUP(B312,All!$B$4:$S$8977,11,FALSE)</f>
        <v>Sewing operator</v>
      </c>
      <c r="M312" s="570">
        <f>VLOOKUP(B312,All!$B$4:$S$8977,12,FALSE)</f>
        <v>192</v>
      </c>
      <c r="N312" s="18">
        <f>VLOOKUP(B312,All!$B$4:$S$8977,13,FALSE)</f>
        <v>3</v>
      </c>
      <c r="O312" s="18">
        <f>VLOOKUP(B312,All!$B$4:$S$8977,14,FALSE)</f>
        <v>0</v>
      </c>
      <c r="P312" s="18">
        <f>VLOOKUP(B312,All!$B$4:$S$8977,15,FALSE)</f>
        <v>0</v>
      </c>
      <c r="Q312" s="18">
        <f>VLOOKUP(B312,All!$B$4:$S$8977,16,FALSE)</f>
        <v>0</v>
      </c>
      <c r="R312" s="18">
        <v>7</v>
      </c>
      <c r="S312" s="18">
        <v>10</v>
      </c>
      <c r="T312" s="550">
        <f t="shared" si="52"/>
        <v>212</v>
      </c>
      <c r="U312" s="568"/>
      <c r="V312" s="3"/>
      <c r="W312" s="3"/>
      <c r="X312" s="3"/>
      <c r="Y312" s="562"/>
      <c r="Z312" s="570">
        <f t="shared" si="53"/>
        <v>194</v>
      </c>
      <c r="AA312" s="18">
        <f t="shared" si="54"/>
        <v>3</v>
      </c>
      <c r="AB312" s="18">
        <f t="shared" si="55"/>
        <v>0</v>
      </c>
      <c r="AC312" s="18">
        <f t="shared" si="56"/>
        <v>0</v>
      </c>
      <c r="AD312" s="18">
        <f t="shared" si="57"/>
        <v>0</v>
      </c>
      <c r="AE312" s="18">
        <f t="shared" si="58"/>
        <v>7</v>
      </c>
      <c r="AF312" s="18">
        <f t="shared" si="58"/>
        <v>10</v>
      </c>
      <c r="AG312" s="550">
        <f t="shared" si="59"/>
        <v>214</v>
      </c>
      <c r="AH312" s="42">
        <v>2</v>
      </c>
      <c r="AI312" s="42">
        <v>0</v>
      </c>
      <c r="AJ312" s="42">
        <v>0</v>
      </c>
      <c r="AK312" s="42">
        <v>0</v>
      </c>
      <c r="AL312" s="42">
        <v>0</v>
      </c>
      <c r="AM312" s="42">
        <v>0</v>
      </c>
      <c r="AN312" s="42">
        <v>0</v>
      </c>
      <c r="AO312" s="42">
        <v>2</v>
      </c>
    </row>
    <row r="313" spans="1:41" ht="24" customHeight="1">
      <c r="A313" s="11">
        <f t="shared" si="51"/>
        <v>310</v>
      </c>
      <c r="B313" s="390">
        <v>3484</v>
      </c>
      <c r="C313" s="478" t="str">
        <f>VLOOKUP(B313,All!$B$4:$S$8977,2,FALSE)</f>
        <v>វុន</v>
      </c>
      <c r="D313" s="479" t="str">
        <f>VLOOKUP(B313,All!$B$4:$S$89977,3,FALSE)</f>
        <v>ហៀង</v>
      </c>
      <c r="E313" s="478" t="str">
        <f>VLOOKUP(B313,All!$B$4:$S$8977,4,FALSE)</f>
        <v>VUN</v>
      </c>
      <c r="F313" s="479" t="str">
        <f>VLOOKUP(B313,All!$B$4:$S$8977,5,FALSE)</f>
        <v>HIENG</v>
      </c>
      <c r="G313" s="479" t="str">
        <f>VLOOKUP(B313,All!$B$4:$S$8977,6,FALSE)</f>
        <v>F</v>
      </c>
      <c r="H313" s="385">
        <f>VLOOKUP(B313,All!$B$4:$S$8977,7,FALSE)</f>
        <v>27853</v>
      </c>
      <c r="I313" s="154">
        <f>VLOOKUP(B313,All!$B$4:$S$8977,8,FALSE)</f>
        <v>43813</v>
      </c>
      <c r="J313" s="154" t="str">
        <f>VLOOKUP(B313,All!$B$4:$S$8977,9,FALSE)</f>
        <v>Production</v>
      </c>
      <c r="K313" s="154" t="str">
        <f>VLOOKUP(B313,All!$B$4:$S$8977,10,FALSE)</f>
        <v>Sample</v>
      </c>
      <c r="L313" s="698" t="str">
        <f>VLOOKUP(B313,All!$B$4:$S$8977,11,FALSE)</f>
        <v>SL sewer</v>
      </c>
      <c r="M313" s="570">
        <f>VLOOKUP(B313,All!$B$4:$S$8977,12,FALSE)</f>
        <v>192</v>
      </c>
      <c r="N313" s="18">
        <f>VLOOKUP(B313,All!$B$4:$S$8977,13,FALSE)</f>
        <v>3</v>
      </c>
      <c r="O313" s="18">
        <f>VLOOKUP(B313,All!$B$4:$S$8977,14,FALSE)</f>
        <v>0</v>
      </c>
      <c r="P313" s="18">
        <f>VLOOKUP(B313,All!$B$4:$S$8977,15,FALSE)</f>
        <v>0</v>
      </c>
      <c r="Q313" s="18">
        <f>VLOOKUP(B313,All!$B$4:$S$8977,16,FALSE)</f>
        <v>0</v>
      </c>
      <c r="R313" s="18">
        <v>7</v>
      </c>
      <c r="S313" s="18">
        <v>10</v>
      </c>
      <c r="T313" s="550">
        <f t="shared" si="52"/>
        <v>212</v>
      </c>
      <c r="U313" s="568"/>
      <c r="V313" s="3"/>
      <c r="W313" s="3"/>
      <c r="X313" s="3"/>
      <c r="Y313" s="562"/>
      <c r="Z313" s="570">
        <f t="shared" si="53"/>
        <v>194</v>
      </c>
      <c r="AA313" s="18">
        <f t="shared" si="54"/>
        <v>3</v>
      </c>
      <c r="AB313" s="18">
        <f t="shared" si="55"/>
        <v>0</v>
      </c>
      <c r="AC313" s="18">
        <f t="shared" si="56"/>
        <v>0</v>
      </c>
      <c r="AD313" s="18">
        <f t="shared" si="57"/>
        <v>0</v>
      </c>
      <c r="AE313" s="18">
        <f t="shared" si="58"/>
        <v>7</v>
      </c>
      <c r="AF313" s="18">
        <f t="shared" si="58"/>
        <v>10</v>
      </c>
      <c r="AG313" s="550">
        <f t="shared" si="59"/>
        <v>214</v>
      </c>
      <c r="AH313" s="42">
        <v>2</v>
      </c>
      <c r="AI313" s="42">
        <v>0</v>
      </c>
      <c r="AJ313" s="42">
        <v>0</v>
      </c>
      <c r="AK313" s="42">
        <v>0</v>
      </c>
      <c r="AL313" s="42">
        <v>0</v>
      </c>
      <c r="AM313" s="42">
        <v>0</v>
      </c>
      <c r="AN313" s="42">
        <v>0</v>
      </c>
      <c r="AO313" s="42">
        <v>2</v>
      </c>
    </row>
    <row r="314" spans="1:41" ht="24" customHeight="1">
      <c r="A314" s="11">
        <f t="shared" si="51"/>
        <v>311</v>
      </c>
      <c r="B314" s="390">
        <v>3904</v>
      </c>
      <c r="C314" s="478" t="str">
        <f>VLOOKUP(B314,All!$B$4:$S$8977,2,FALSE)</f>
        <v>ទែល</v>
      </c>
      <c r="D314" s="479" t="str">
        <f>VLOOKUP(B314,All!$B$4:$S$89977,3,FALSE)</f>
        <v>ឡៃ</v>
      </c>
      <c r="E314" s="478" t="str">
        <f>VLOOKUP(B314,All!$B$4:$S$8977,4,FALSE)</f>
        <v>TEL</v>
      </c>
      <c r="F314" s="479" t="str">
        <f>VLOOKUP(B314,All!$B$4:$S$8977,5,FALSE)</f>
        <v>LAI</v>
      </c>
      <c r="G314" s="479" t="str">
        <f>VLOOKUP(B314,All!$B$4:$S$8977,6,FALSE)</f>
        <v>F</v>
      </c>
      <c r="H314" s="385">
        <f>VLOOKUP(B314,All!$B$4:$S$8977,7,FALSE)</f>
        <v>30438</v>
      </c>
      <c r="I314" s="154">
        <f>VLOOKUP(B314,All!$B$4:$S$8977,8,FALSE)</f>
        <v>43801</v>
      </c>
      <c r="J314" s="154" t="str">
        <f>VLOOKUP(B314,All!$B$4:$S$8977,9,FALSE)</f>
        <v>Production</v>
      </c>
      <c r="K314" s="154" t="str">
        <f>VLOOKUP(B314,All!$B$4:$S$8977,10,FALSE)</f>
        <v>Line5</v>
      </c>
      <c r="L314" s="698" t="str">
        <f>VLOOKUP(B314,All!$B$4:$S$8977,11,FALSE)</f>
        <v>Sewing operator</v>
      </c>
      <c r="M314" s="570">
        <f>VLOOKUP(B314,All!$B$4:$S$8977,12,FALSE)</f>
        <v>192</v>
      </c>
      <c r="N314" s="18">
        <f>VLOOKUP(B314,All!$B$4:$S$8977,13,FALSE)</f>
        <v>3</v>
      </c>
      <c r="O314" s="18">
        <f>VLOOKUP(B314,All!$B$4:$S$8977,14,FALSE)</f>
        <v>0</v>
      </c>
      <c r="P314" s="18">
        <f>VLOOKUP(B314,All!$B$4:$S$8977,15,FALSE)</f>
        <v>0</v>
      </c>
      <c r="Q314" s="18">
        <f>VLOOKUP(B314,All!$B$4:$S$8977,16,FALSE)</f>
        <v>0</v>
      </c>
      <c r="R314" s="18">
        <v>7</v>
      </c>
      <c r="S314" s="18">
        <v>10</v>
      </c>
      <c r="T314" s="550">
        <f t="shared" si="52"/>
        <v>212</v>
      </c>
      <c r="U314" s="568"/>
      <c r="V314" s="3"/>
      <c r="W314" s="3"/>
      <c r="X314" s="3"/>
      <c r="Y314" s="562"/>
      <c r="Z314" s="570">
        <f t="shared" si="53"/>
        <v>194</v>
      </c>
      <c r="AA314" s="18">
        <f t="shared" si="54"/>
        <v>3</v>
      </c>
      <c r="AB314" s="18">
        <f t="shared" si="55"/>
        <v>0</v>
      </c>
      <c r="AC314" s="18">
        <f t="shared" si="56"/>
        <v>0</v>
      </c>
      <c r="AD314" s="18">
        <f t="shared" si="57"/>
        <v>0</v>
      </c>
      <c r="AE314" s="18">
        <f t="shared" si="58"/>
        <v>7</v>
      </c>
      <c r="AF314" s="18">
        <f t="shared" si="58"/>
        <v>10</v>
      </c>
      <c r="AG314" s="550">
        <f t="shared" si="59"/>
        <v>214</v>
      </c>
      <c r="AH314" s="42">
        <v>2</v>
      </c>
      <c r="AI314" s="42">
        <v>0</v>
      </c>
      <c r="AJ314" s="42">
        <v>0</v>
      </c>
      <c r="AK314" s="42">
        <v>0</v>
      </c>
      <c r="AL314" s="42">
        <v>0</v>
      </c>
      <c r="AM314" s="42">
        <v>0</v>
      </c>
      <c r="AN314" s="42">
        <v>0</v>
      </c>
      <c r="AO314" s="42">
        <v>2</v>
      </c>
    </row>
    <row r="315" spans="1:41" ht="24" customHeight="1">
      <c r="A315" s="11">
        <f t="shared" si="51"/>
        <v>312</v>
      </c>
      <c r="B315" s="390">
        <v>3915</v>
      </c>
      <c r="C315" s="478" t="str">
        <f>VLOOKUP(B315,All!$B$4:$S$8977,2,FALSE)</f>
        <v>សៅ</v>
      </c>
      <c r="D315" s="479" t="str">
        <f>VLOOKUP(B315,All!$B$4:$S$89977,3,FALSE)</f>
        <v>ស្រីពេជ</v>
      </c>
      <c r="E315" s="478" t="str">
        <f>VLOOKUP(B315,All!$B$4:$S$8977,4,FALSE)</f>
        <v>SAO</v>
      </c>
      <c r="F315" s="479" t="str">
        <f>VLOOKUP(B315,All!$B$4:$S$8977,5,FALSE)</f>
        <v>SREYPICH</v>
      </c>
      <c r="G315" s="479" t="str">
        <f>VLOOKUP(B315,All!$B$4:$S$8977,6,FALSE)</f>
        <v>F</v>
      </c>
      <c r="H315" s="385">
        <f>VLOOKUP(B315,All!$B$4:$S$8977,7,FALSE)</f>
        <v>35796</v>
      </c>
      <c r="I315" s="154">
        <f>VLOOKUP(B315,All!$B$4:$S$8977,8,FALSE)</f>
        <v>43802</v>
      </c>
      <c r="J315" s="154" t="str">
        <f>VLOOKUP(B315,All!$B$4:$S$8977,9,FALSE)</f>
        <v>Production</v>
      </c>
      <c r="K315" s="154" t="str">
        <f>VLOOKUP(B315,All!$B$4:$S$8977,10,FALSE)</f>
        <v xml:space="preserve"> Line3</v>
      </c>
      <c r="L315" s="698" t="str">
        <f>VLOOKUP(B315,All!$B$4:$S$8977,11,FALSE)</f>
        <v>Sewing operator</v>
      </c>
      <c r="M315" s="570">
        <f>VLOOKUP(B315,All!$B$4:$S$8977,12,FALSE)</f>
        <v>192</v>
      </c>
      <c r="N315" s="18">
        <f>VLOOKUP(B315,All!$B$4:$S$8977,13,FALSE)</f>
        <v>3</v>
      </c>
      <c r="O315" s="18">
        <f>VLOOKUP(B315,All!$B$4:$S$8977,14,FALSE)</f>
        <v>0</v>
      </c>
      <c r="P315" s="18">
        <f>VLOOKUP(B315,All!$B$4:$S$8977,15,FALSE)</f>
        <v>0</v>
      </c>
      <c r="Q315" s="18">
        <f>VLOOKUP(B315,All!$B$4:$S$8977,16,FALSE)</f>
        <v>0</v>
      </c>
      <c r="R315" s="18">
        <v>7</v>
      </c>
      <c r="S315" s="18">
        <v>10</v>
      </c>
      <c r="T315" s="550">
        <f t="shared" si="52"/>
        <v>212</v>
      </c>
      <c r="U315" s="568"/>
      <c r="V315" s="3"/>
      <c r="W315" s="3"/>
      <c r="X315" s="3"/>
      <c r="Y315" s="562"/>
      <c r="Z315" s="570">
        <f t="shared" si="53"/>
        <v>194</v>
      </c>
      <c r="AA315" s="18">
        <f t="shared" si="54"/>
        <v>3</v>
      </c>
      <c r="AB315" s="18">
        <f t="shared" si="55"/>
        <v>0</v>
      </c>
      <c r="AC315" s="18">
        <f t="shared" si="56"/>
        <v>0</v>
      </c>
      <c r="AD315" s="18">
        <f t="shared" si="57"/>
        <v>0</v>
      </c>
      <c r="AE315" s="18">
        <f t="shared" si="58"/>
        <v>7</v>
      </c>
      <c r="AF315" s="18">
        <f t="shared" si="58"/>
        <v>10</v>
      </c>
      <c r="AG315" s="550">
        <f t="shared" si="59"/>
        <v>214</v>
      </c>
      <c r="AH315" s="42">
        <v>2</v>
      </c>
      <c r="AI315" s="42">
        <v>0</v>
      </c>
      <c r="AJ315" s="42">
        <v>0</v>
      </c>
      <c r="AK315" s="42">
        <v>0</v>
      </c>
      <c r="AL315" s="42">
        <v>0</v>
      </c>
      <c r="AM315" s="42">
        <v>0</v>
      </c>
      <c r="AN315" s="42">
        <v>0</v>
      </c>
      <c r="AO315" s="42">
        <v>2</v>
      </c>
    </row>
    <row r="316" spans="1:41" ht="24" customHeight="1">
      <c r="A316" s="11">
        <f t="shared" si="51"/>
        <v>313</v>
      </c>
      <c r="B316" s="390">
        <v>3918</v>
      </c>
      <c r="C316" s="478" t="str">
        <f>VLOOKUP(B316,All!$B$4:$S$8977,2,FALSE)</f>
        <v>ញិល</v>
      </c>
      <c r="D316" s="479" t="str">
        <f>VLOOKUP(B316,All!$B$4:$S$89977,3,FALSE)</f>
        <v>ឆាំ</v>
      </c>
      <c r="E316" s="478" t="str">
        <f>VLOOKUP(B316,All!$B$4:$S$8977,4,FALSE)</f>
        <v>NHIL</v>
      </c>
      <c r="F316" s="479" t="str">
        <f>VLOOKUP(B316,All!$B$4:$S$8977,5,FALSE)</f>
        <v>CHHOM</v>
      </c>
      <c r="G316" s="479" t="str">
        <f>VLOOKUP(B316,All!$B$4:$S$8977,6,FALSE)</f>
        <v>F</v>
      </c>
      <c r="H316" s="385">
        <f>VLOOKUP(B316,All!$B$4:$S$8977,7,FALSE)</f>
        <v>33734</v>
      </c>
      <c r="I316" s="154">
        <f>VLOOKUP(B316,All!$B$4:$S$8977,8,FALSE)</f>
        <v>43802</v>
      </c>
      <c r="J316" s="154" t="str">
        <f>VLOOKUP(B316,All!$B$4:$S$8977,9,FALSE)</f>
        <v>Production</v>
      </c>
      <c r="K316" s="154" t="str">
        <f>VLOOKUP(B316,All!$B$4:$S$8977,10,FALSE)</f>
        <v xml:space="preserve"> Line6</v>
      </c>
      <c r="L316" s="698" t="str">
        <f>VLOOKUP(B316,All!$B$4:$S$8977,11,FALSE)</f>
        <v>Sewing operator</v>
      </c>
      <c r="M316" s="570">
        <f>VLOOKUP(B316,All!$B$4:$S$8977,12,FALSE)</f>
        <v>192</v>
      </c>
      <c r="N316" s="18">
        <f>VLOOKUP(B316,All!$B$4:$S$8977,13,FALSE)</f>
        <v>3</v>
      </c>
      <c r="O316" s="18">
        <f>VLOOKUP(B316,All!$B$4:$S$8977,14,FALSE)</f>
        <v>0</v>
      </c>
      <c r="P316" s="18">
        <f>VLOOKUP(B316,All!$B$4:$S$8977,15,FALSE)</f>
        <v>0</v>
      </c>
      <c r="Q316" s="18">
        <f>VLOOKUP(B316,All!$B$4:$S$8977,16,FALSE)</f>
        <v>0</v>
      </c>
      <c r="R316" s="18">
        <v>7</v>
      </c>
      <c r="S316" s="18">
        <v>10</v>
      </c>
      <c r="T316" s="550">
        <f t="shared" si="52"/>
        <v>212</v>
      </c>
      <c r="U316" s="568"/>
      <c r="V316" s="3"/>
      <c r="W316" s="3"/>
      <c r="X316" s="3"/>
      <c r="Y316" s="562"/>
      <c r="Z316" s="570">
        <f t="shared" si="53"/>
        <v>194</v>
      </c>
      <c r="AA316" s="18">
        <f t="shared" si="54"/>
        <v>3</v>
      </c>
      <c r="AB316" s="18">
        <f t="shared" si="55"/>
        <v>0</v>
      </c>
      <c r="AC316" s="18">
        <f t="shared" si="56"/>
        <v>0</v>
      </c>
      <c r="AD316" s="18">
        <f t="shared" si="57"/>
        <v>0</v>
      </c>
      <c r="AE316" s="18">
        <f t="shared" si="58"/>
        <v>7</v>
      </c>
      <c r="AF316" s="18">
        <f t="shared" si="58"/>
        <v>10</v>
      </c>
      <c r="AG316" s="550">
        <f t="shared" si="59"/>
        <v>214</v>
      </c>
      <c r="AH316" s="42">
        <v>2</v>
      </c>
      <c r="AI316" s="42">
        <v>0</v>
      </c>
      <c r="AJ316" s="42">
        <v>0</v>
      </c>
      <c r="AK316" s="42">
        <v>0</v>
      </c>
      <c r="AL316" s="42">
        <v>0</v>
      </c>
      <c r="AM316" s="42">
        <v>0</v>
      </c>
      <c r="AN316" s="42">
        <v>0</v>
      </c>
      <c r="AO316" s="42">
        <v>2</v>
      </c>
    </row>
    <row r="317" spans="1:41" ht="24" customHeight="1">
      <c r="A317" s="11">
        <f t="shared" si="51"/>
        <v>314</v>
      </c>
      <c r="B317" s="390">
        <v>3928</v>
      </c>
      <c r="C317" s="478" t="str">
        <f>VLOOKUP(B317,All!$B$4:$S$8977,2,FALSE)</f>
        <v>តឹក</v>
      </c>
      <c r="D317" s="479" t="str">
        <f>VLOOKUP(B317,All!$B$4:$S$89977,3,FALSE)</f>
        <v>សុខា</v>
      </c>
      <c r="E317" s="478" t="str">
        <f>VLOOKUP(B317,All!$B$4:$S$8977,4,FALSE)</f>
        <v>TOEK</v>
      </c>
      <c r="F317" s="479" t="str">
        <f>VLOOKUP(B317,All!$B$4:$S$8977,5,FALSE)</f>
        <v>SOKHA</v>
      </c>
      <c r="G317" s="479" t="str">
        <f>VLOOKUP(B317,All!$B$4:$S$8977,6,FALSE)</f>
        <v>F</v>
      </c>
      <c r="H317" s="385">
        <f>VLOOKUP(B317,All!$B$4:$S$8977,7,FALSE)</f>
        <v>28230</v>
      </c>
      <c r="I317" s="154">
        <f>VLOOKUP(B317,All!$B$4:$S$8977,8,FALSE)</f>
        <v>43808</v>
      </c>
      <c r="J317" s="154" t="str">
        <f>VLOOKUP(B317,All!$B$4:$S$8977,9,FALSE)</f>
        <v>Production</v>
      </c>
      <c r="K317" s="154" t="str">
        <f>VLOOKUP(B317,All!$B$4:$S$8977,10,FALSE)</f>
        <v xml:space="preserve"> Line6</v>
      </c>
      <c r="L317" s="698" t="str">
        <f>VLOOKUP(B317,All!$B$4:$S$8977,11,FALSE)</f>
        <v>Sewing operator</v>
      </c>
      <c r="M317" s="570">
        <f>VLOOKUP(B317,All!$B$4:$S$8977,12,FALSE)</f>
        <v>192</v>
      </c>
      <c r="N317" s="18">
        <f>VLOOKUP(B317,All!$B$4:$S$8977,13,FALSE)</f>
        <v>3</v>
      </c>
      <c r="O317" s="18">
        <f>VLOOKUP(B317,All!$B$4:$S$8977,14,FALSE)</f>
        <v>0</v>
      </c>
      <c r="P317" s="18">
        <f>VLOOKUP(B317,All!$B$4:$S$8977,15,FALSE)</f>
        <v>0</v>
      </c>
      <c r="Q317" s="18">
        <f>VLOOKUP(B317,All!$B$4:$S$8977,16,FALSE)</f>
        <v>0</v>
      </c>
      <c r="R317" s="18">
        <v>7</v>
      </c>
      <c r="S317" s="18">
        <v>10</v>
      </c>
      <c r="T317" s="550">
        <f t="shared" ref="T317:T350" si="60">SUM(M317:S317)</f>
        <v>212</v>
      </c>
      <c r="U317" s="568"/>
      <c r="V317" s="3"/>
      <c r="W317" s="3"/>
      <c r="X317" s="3"/>
      <c r="Y317" s="562"/>
      <c r="Z317" s="570">
        <f t="shared" si="53"/>
        <v>194</v>
      </c>
      <c r="AA317" s="18">
        <f t="shared" si="54"/>
        <v>3</v>
      </c>
      <c r="AB317" s="18">
        <f t="shared" si="55"/>
        <v>0</v>
      </c>
      <c r="AC317" s="18">
        <f t="shared" si="56"/>
        <v>0</v>
      </c>
      <c r="AD317" s="18">
        <f t="shared" si="57"/>
        <v>0</v>
      </c>
      <c r="AE317" s="18">
        <f t="shared" si="58"/>
        <v>7</v>
      </c>
      <c r="AF317" s="18">
        <f t="shared" si="58"/>
        <v>10</v>
      </c>
      <c r="AG317" s="550">
        <f t="shared" si="59"/>
        <v>214</v>
      </c>
      <c r="AH317" s="42">
        <v>2</v>
      </c>
      <c r="AI317" s="42">
        <v>0</v>
      </c>
      <c r="AJ317" s="42">
        <v>0</v>
      </c>
      <c r="AK317" s="42">
        <v>0</v>
      </c>
      <c r="AL317" s="42">
        <v>0</v>
      </c>
      <c r="AM317" s="42">
        <v>0</v>
      </c>
      <c r="AN317" s="42">
        <v>0</v>
      </c>
      <c r="AO317" s="42">
        <v>2</v>
      </c>
    </row>
    <row r="318" spans="1:41" ht="24" customHeight="1">
      <c r="A318" s="11">
        <f t="shared" si="51"/>
        <v>315</v>
      </c>
      <c r="B318" s="390">
        <v>3910</v>
      </c>
      <c r="C318" s="478" t="str">
        <f>VLOOKUP(B318,All!$B$4:$S$8977,2,FALSE)</f>
        <v>សៅ</v>
      </c>
      <c r="D318" s="479" t="str">
        <f>VLOOKUP(B318,All!$B$4:$S$89977,3,FALSE)</f>
        <v>ស្រីរ័ត្ន</v>
      </c>
      <c r="E318" s="478" t="str">
        <f>VLOOKUP(B318,All!$B$4:$S$8977,4,FALSE)</f>
        <v>SAO</v>
      </c>
      <c r="F318" s="479" t="str">
        <f>VLOOKUP(B318,All!$B$4:$S$8977,5,FALSE)</f>
        <v>SREYROTH</v>
      </c>
      <c r="G318" s="479" t="str">
        <f>VLOOKUP(B318,All!$B$4:$S$8977,6,FALSE)</f>
        <v>F</v>
      </c>
      <c r="H318" s="385">
        <f>VLOOKUP(B318,All!$B$4:$S$8977,7,FALSE)</f>
        <v>33092</v>
      </c>
      <c r="I318" s="154">
        <f>VLOOKUP(B318,All!$B$4:$S$8977,8,FALSE)</f>
        <v>43772</v>
      </c>
      <c r="J318" s="154" t="str">
        <f>VLOOKUP(B318,All!$B$4:$S$8977,9,FALSE)</f>
        <v>Production</v>
      </c>
      <c r="K318" s="154" t="str">
        <f>VLOOKUP(B318,All!$B$4:$S$8977,10,FALSE)</f>
        <v xml:space="preserve"> Line6</v>
      </c>
      <c r="L318" s="698" t="str">
        <f>VLOOKUP(B318,All!$B$4:$S$8977,11,FALSE)</f>
        <v>Sewing operator</v>
      </c>
      <c r="M318" s="570">
        <f>VLOOKUP(B318,All!$B$4:$S$8977,12,FALSE)</f>
        <v>192</v>
      </c>
      <c r="N318" s="18">
        <f>VLOOKUP(B318,All!$B$4:$S$8977,13,FALSE)</f>
        <v>3</v>
      </c>
      <c r="O318" s="18">
        <f>VLOOKUP(B318,All!$B$4:$S$8977,14,FALSE)</f>
        <v>0</v>
      </c>
      <c r="P318" s="18">
        <f>VLOOKUP(B318,All!$B$4:$S$8977,15,FALSE)</f>
        <v>0</v>
      </c>
      <c r="Q318" s="18">
        <f>VLOOKUP(B318,All!$B$4:$S$8977,16,FALSE)</f>
        <v>0</v>
      </c>
      <c r="R318" s="18">
        <v>7</v>
      </c>
      <c r="S318" s="18">
        <v>10</v>
      </c>
      <c r="T318" s="550">
        <f t="shared" si="60"/>
        <v>212</v>
      </c>
      <c r="U318" s="568"/>
      <c r="V318" s="3"/>
      <c r="W318" s="3"/>
      <c r="X318" s="3"/>
      <c r="Y318" s="562"/>
      <c r="Z318" s="570">
        <f t="shared" si="53"/>
        <v>194</v>
      </c>
      <c r="AA318" s="18">
        <f t="shared" si="54"/>
        <v>3</v>
      </c>
      <c r="AB318" s="18">
        <f t="shared" si="55"/>
        <v>0</v>
      </c>
      <c r="AC318" s="18">
        <f t="shared" si="56"/>
        <v>0</v>
      </c>
      <c r="AD318" s="18">
        <f t="shared" si="57"/>
        <v>0</v>
      </c>
      <c r="AE318" s="18">
        <f t="shared" si="58"/>
        <v>7</v>
      </c>
      <c r="AF318" s="18">
        <f t="shared" si="58"/>
        <v>10</v>
      </c>
      <c r="AG318" s="550">
        <f t="shared" si="59"/>
        <v>214</v>
      </c>
      <c r="AH318" s="42">
        <v>2</v>
      </c>
      <c r="AI318" s="42">
        <v>0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2</v>
      </c>
    </row>
    <row r="319" spans="1:41" ht="24" customHeight="1">
      <c r="A319" s="11">
        <f t="shared" si="51"/>
        <v>316</v>
      </c>
      <c r="B319" s="390">
        <v>4115</v>
      </c>
      <c r="C319" s="478" t="str">
        <f>VLOOKUP(B319,All!$B$4:$S$8977,2,FALSE)</f>
        <v>ង៉ោល</v>
      </c>
      <c r="D319" s="479" t="str">
        <f>VLOOKUP(B319,All!$B$4:$S$89977,3,FALSE)</f>
        <v>សុម៉ាលី</v>
      </c>
      <c r="E319" s="478" t="str">
        <f>VLOOKUP(B319,All!$B$4:$S$8977,4,FALSE)</f>
        <v>NGORL</v>
      </c>
      <c r="F319" s="479" t="str">
        <f>VLOOKUP(B319,All!$B$4:$S$8977,5,FALSE)</f>
        <v>SOMALY</v>
      </c>
      <c r="G319" s="479" t="str">
        <f>VLOOKUP(B319,All!$B$4:$S$8977,6,FALSE)</f>
        <v>F</v>
      </c>
      <c r="H319" s="385">
        <f>VLOOKUP(B319,All!$B$4:$S$8977,7,FALSE)</f>
        <v>30385</v>
      </c>
      <c r="I319" s="154">
        <f>VLOOKUP(B319,All!$B$4:$S$8977,8,FALSE)</f>
        <v>43803</v>
      </c>
      <c r="J319" s="154" t="str">
        <f>VLOOKUP(B319,All!$B$4:$S$8977,9,FALSE)</f>
        <v>Production</v>
      </c>
      <c r="K319" s="154" t="str">
        <f>VLOOKUP(B319,All!$B$4:$S$8977,10,FALSE)</f>
        <v>Line17</v>
      </c>
      <c r="L319" s="698" t="str">
        <f>VLOOKUP(B319,All!$B$4:$S$8977,11,FALSE)</f>
        <v>Sewing operator</v>
      </c>
      <c r="M319" s="570">
        <f>VLOOKUP(B319,All!$B$4:$S$8977,12,FALSE)</f>
        <v>192</v>
      </c>
      <c r="N319" s="18">
        <f>VLOOKUP(B319,All!$B$4:$S$8977,13,FALSE)</f>
        <v>3</v>
      </c>
      <c r="O319" s="18">
        <f>VLOOKUP(B319,All!$B$4:$S$8977,14,FALSE)</f>
        <v>0</v>
      </c>
      <c r="P319" s="18">
        <f>VLOOKUP(B319,All!$B$4:$S$8977,15,FALSE)</f>
        <v>0</v>
      </c>
      <c r="Q319" s="18">
        <f>VLOOKUP(B319,All!$B$4:$S$8977,16,FALSE)</f>
        <v>0</v>
      </c>
      <c r="R319" s="18">
        <v>7</v>
      </c>
      <c r="S319" s="18">
        <v>10</v>
      </c>
      <c r="T319" s="550">
        <f t="shared" si="60"/>
        <v>212</v>
      </c>
      <c r="U319" s="568"/>
      <c r="V319" s="3"/>
      <c r="W319" s="3"/>
      <c r="X319" s="3"/>
      <c r="Y319" s="562"/>
      <c r="Z319" s="570">
        <f t="shared" si="53"/>
        <v>194</v>
      </c>
      <c r="AA319" s="18">
        <f t="shared" si="54"/>
        <v>3</v>
      </c>
      <c r="AB319" s="18">
        <f t="shared" si="55"/>
        <v>0</v>
      </c>
      <c r="AC319" s="18">
        <f t="shared" si="56"/>
        <v>0</v>
      </c>
      <c r="AD319" s="18">
        <f t="shared" si="57"/>
        <v>0</v>
      </c>
      <c r="AE319" s="18">
        <f t="shared" si="58"/>
        <v>7</v>
      </c>
      <c r="AF319" s="18">
        <f t="shared" si="58"/>
        <v>10</v>
      </c>
      <c r="AG319" s="550">
        <f t="shared" si="59"/>
        <v>214</v>
      </c>
      <c r="AH319" s="42">
        <v>2</v>
      </c>
      <c r="AI319" s="42">
        <v>0</v>
      </c>
      <c r="AJ319" s="42">
        <v>0</v>
      </c>
      <c r="AK319" s="42">
        <v>0</v>
      </c>
      <c r="AL319" s="42">
        <v>0</v>
      </c>
      <c r="AM319" s="42">
        <v>0</v>
      </c>
      <c r="AN319" s="42">
        <v>0</v>
      </c>
      <c r="AO319" s="42">
        <v>2</v>
      </c>
    </row>
    <row r="320" spans="1:41" ht="24" customHeight="1">
      <c r="A320" s="11">
        <f t="shared" si="51"/>
        <v>317</v>
      </c>
      <c r="B320" s="390">
        <v>4112</v>
      </c>
      <c r="C320" s="478" t="str">
        <f>VLOOKUP(B320,All!$B$4:$S$8977,2,FALSE)</f>
        <v>យឿន</v>
      </c>
      <c r="D320" s="479" t="str">
        <f>VLOOKUP(B320,All!$B$4:$S$89977,3,FALSE)</f>
        <v>រ៉ា</v>
      </c>
      <c r="E320" s="478" t="str">
        <f>VLOOKUP(B320,All!$B$4:$S$8977,4,FALSE)</f>
        <v>YOEURN</v>
      </c>
      <c r="F320" s="479" t="str">
        <f>VLOOKUP(B320,All!$B$4:$S$8977,5,FALSE)</f>
        <v>RA</v>
      </c>
      <c r="G320" s="479" t="str">
        <f>VLOOKUP(B320,All!$B$4:$S$8977,6,FALSE)</f>
        <v>M</v>
      </c>
      <c r="H320" s="385">
        <f>VLOOKUP(B320,All!$B$4:$S$8977,7,FALSE)</f>
        <v>33513</v>
      </c>
      <c r="I320" s="154">
        <f>VLOOKUP(B320,All!$B$4:$S$8977,8,FALSE)</f>
        <v>43803</v>
      </c>
      <c r="J320" s="154" t="str">
        <f>VLOOKUP(B320,All!$B$4:$S$8977,9,FALSE)</f>
        <v>Production</v>
      </c>
      <c r="K320" s="154" t="str">
        <f>VLOOKUP(B320,All!$B$4:$S$8977,10,FALSE)</f>
        <v>QC  A</v>
      </c>
      <c r="L320" s="698" t="str">
        <f>VLOOKUP(B320,All!$B$4:$S$8977,11,FALSE)</f>
        <v>Inspector</v>
      </c>
      <c r="M320" s="570">
        <f>VLOOKUP(B320,All!$B$4:$S$8977,12,FALSE)</f>
        <v>192</v>
      </c>
      <c r="N320" s="18">
        <f>VLOOKUP(B320,All!$B$4:$S$8977,13,FALSE)</f>
        <v>3</v>
      </c>
      <c r="O320" s="18">
        <f>VLOOKUP(B320,All!$B$4:$S$8977,14,FALSE)</f>
        <v>0</v>
      </c>
      <c r="P320" s="18">
        <f>VLOOKUP(B320,All!$B$4:$S$8977,15,FALSE)</f>
        <v>0</v>
      </c>
      <c r="Q320" s="18">
        <f>VLOOKUP(B320,All!$B$4:$S$8977,16,FALSE)</f>
        <v>0</v>
      </c>
      <c r="R320" s="18">
        <v>7</v>
      </c>
      <c r="S320" s="18">
        <v>10</v>
      </c>
      <c r="T320" s="550">
        <f t="shared" si="60"/>
        <v>212</v>
      </c>
      <c r="U320" s="568"/>
      <c r="V320" s="3"/>
      <c r="W320" s="3"/>
      <c r="X320" s="3"/>
      <c r="Y320" s="562"/>
      <c r="Z320" s="570">
        <f t="shared" si="53"/>
        <v>194</v>
      </c>
      <c r="AA320" s="18">
        <f t="shared" si="54"/>
        <v>3</v>
      </c>
      <c r="AB320" s="18">
        <f t="shared" si="55"/>
        <v>0</v>
      </c>
      <c r="AC320" s="18">
        <f t="shared" si="56"/>
        <v>0</v>
      </c>
      <c r="AD320" s="18">
        <f t="shared" si="57"/>
        <v>0</v>
      </c>
      <c r="AE320" s="18">
        <f t="shared" si="58"/>
        <v>7</v>
      </c>
      <c r="AF320" s="18">
        <f t="shared" si="58"/>
        <v>10</v>
      </c>
      <c r="AG320" s="550">
        <f t="shared" si="59"/>
        <v>214</v>
      </c>
      <c r="AH320" s="42">
        <v>2</v>
      </c>
      <c r="AI320" s="42">
        <v>0</v>
      </c>
      <c r="AJ320" s="42">
        <v>0</v>
      </c>
      <c r="AK320" s="42">
        <v>0</v>
      </c>
      <c r="AL320" s="42">
        <v>0</v>
      </c>
      <c r="AM320" s="42">
        <v>0</v>
      </c>
      <c r="AN320" s="42">
        <v>0</v>
      </c>
      <c r="AO320" s="42">
        <v>2</v>
      </c>
    </row>
    <row r="321" spans="1:41" ht="24" customHeight="1">
      <c r="A321" s="11">
        <f t="shared" si="51"/>
        <v>318</v>
      </c>
      <c r="B321" s="390">
        <v>3945</v>
      </c>
      <c r="C321" s="478" t="str">
        <f>VLOOKUP(B321,All!$B$4:$S$8977,2,FALSE)</f>
        <v>រិត</v>
      </c>
      <c r="D321" s="479" t="str">
        <f>VLOOKUP(B321,All!$B$4:$S$89977,3,FALSE)</f>
        <v>ចាន់រ៉ែន</v>
      </c>
      <c r="E321" s="478" t="str">
        <f>VLOOKUP(B321,All!$B$4:$S$8977,4,FALSE)</f>
        <v>RET</v>
      </c>
      <c r="F321" s="479" t="str">
        <f>VLOOKUP(B321,All!$B$4:$S$8977,5,FALSE)</f>
        <v>CHANREN</v>
      </c>
      <c r="G321" s="479" t="str">
        <f>VLOOKUP(B321,All!$B$4:$S$8977,6,FALSE)</f>
        <v>F</v>
      </c>
      <c r="H321" s="385">
        <f>VLOOKUP(B321,All!$B$4:$S$8977,7,FALSE)</f>
        <v>33480</v>
      </c>
      <c r="I321" s="154">
        <f>VLOOKUP(B321,All!$B$4:$S$8977,8,FALSE)</f>
        <v>43814</v>
      </c>
      <c r="J321" s="154" t="str">
        <f>VLOOKUP(B321,All!$B$4:$S$8977,9,FALSE)</f>
        <v>Production</v>
      </c>
      <c r="K321" s="154" t="str">
        <f>VLOOKUP(B321,All!$B$4:$S$8977,10,FALSE)</f>
        <v>Line17</v>
      </c>
      <c r="L321" s="698" t="str">
        <f>VLOOKUP(B321,All!$B$4:$S$8977,11,FALSE)</f>
        <v>Sewing operator</v>
      </c>
      <c r="M321" s="570">
        <f>VLOOKUP(B321,All!$B$4:$S$8977,12,FALSE)</f>
        <v>192</v>
      </c>
      <c r="N321" s="18">
        <f>VLOOKUP(B321,All!$B$4:$S$8977,13,FALSE)</f>
        <v>3</v>
      </c>
      <c r="O321" s="18">
        <f>VLOOKUP(B321,All!$B$4:$S$8977,14,FALSE)</f>
        <v>0</v>
      </c>
      <c r="P321" s="18">
        <f>VLOOKUP(B321,All!$B$4:$S$8977,15,FALSE)</f>
        <v>0</v>
      </c>
      <c r="Q321" s="18">
        <f>VLOOKUP(B321,All!$B$4:$S$8977,16,FALSE)</f>
        <v>0</v>
      </c>
      <c r="R321" s="18">
        <v>7</v>
      </c>
      <c r="S321" s="18">
        <v>10</v>
      </c>
      <c r="T321" s="550">
        <f t="shared" si="60"/>
        <v>212</v>
      </c>
      <c r="U321" s="568"/>
      <c r="V321" s="3"/>
      <c r="W321" s="3"/>
      <c r="X321" s="3"/>
      <c r="Y321" s="562"/>
      <c r="Z321" s="570">
        <f t="shared" si="53"/>
        <v>194</v>
      </c>
      <c r="AA321" s="18">
        <f t="shared" si="54"/>
        <v>3</v>
      </c>
      <c r="AB321" s="18">
        <f t="shared" si="55"/>
        <v>0</v>
      </c>
      <c r="AC321" s="18">
        <f t="shared" si="56"/>
        <v>0</v>
      </c>
      <c r="AD321" s="18">
        <f t="shared" si="57"/>
        <v>0</v>
      </c>
      <c r="AE321" s="18">
        <f t="shared" si="58"/>
        <v>7</v>
      </c>
      <c r="AF321" s="18">
        <f t="shared" si="58"/>
        <v>10</v>
      </c>
      <c r="AG321" s="550">
        <f t="shared" si="59"/>
        <v>214</v>
      </c>
      <c r="AH321" s="42">
        <v>2</v>
      </c>
      <c r="AI321" s="42">
        <v>0</v>
      </c>
      <c r="AJ321" s="42">
        <v>0</v>
      </c>
      <c r="AK321" s="42">
        <v>0</v>
      </c>
      <c r="AL321" s="42">
        <v>0</v>
      </c>
      <c r="AM321" s="42">
        <v>0</v>
      </c>
      <c r="AN321" s="42">
        <v>0</v>
      </c>
      <c r="AO321" s="42">
        <v>2</v>
      </c>
    </row>
    <row r="322" spans="1:41" ht="24" customHeight="1">
      <c r="A322" s="11">
        <f t="shared" si="51"/>
        <v>319</v>
      </c>
      <c r="B322" s="390">
        <v>3958</v>
      </c>
      <c r="C322" s="478" t="str">
        <f>VLOOKUP(B322,All!$B$4:$S$8977,2,FALSE)</f>
        <v>មិន</v>
      </c>
      <c r="D322" s="479" t="str">
        <f>VLOOKUP(B322,All!$B$4:$S$89977,3,FALSE)</f>
        <v>សាវឿន</v>
      </c>
      <c r="E322" s="478" t="str">
        <f>VLOOKUP(B322,All!$B$4:$S$8977,4,FALSE)</f>
        <v>MIN</v>
      </c>
      <c r="F322" s="479" t="str">
        <f>VLOOKUP(B322,All!$B$4:$S$8977,5,FALSE)</f>
        <v>SAVOEUN</v>
      </c>
      <c r="G322" s="479" t="str">
        <f>VLOOKUP(B322,All!$B$4:$S$8977,6,FALSE)</f>
        <v>F</v>
      </c>
      <c r="H322" s="385">
        <f>VLOOKUP(B322,All!$B$4:$S$8977,7,FALSE)</f>
        <v>31766</v>
      </c>
      <c r="I322" s="154">
        <f>VLOOKUP(B322,All!$B$4:$S$8977,8,FALSE)</f>
        <v>43820</v>
      </c>
      <c r="J322" s="154" t="str">
        <f>VLOOKUP(B322,All!$B$4:$S$8977,9,FALSE)</f>
        <v>Production</v>
      </c>
      <c r="K322" s="154" t="str">
        <f>VLOOKUP(B322,All!$B$4:$S$8977,10,FALSE)</f>
        <v>Line17</v>
      </c>
      <c r="L322" s="698" t="str">
        <f>VLOOKUP(B322,All!$B$4:$S$8977,11,FALSE)</f>
        <v>Sewing operator</v>
      </c>
      <c r="M322" s="570">
        <f>VLOOKUP(B322,All!$B$4:$S$8977,12,FALSE)</f>
        <v>192</v>
      </c>
      <c r="N322" s="18">
        <f>VLOOKUP(B322,All!$B$4:$S$8977,13,FALSE)</f>
        <v>3</v>
      </c>
      <c r="O322" s="18">
        <f>VLOOKUP(B322,All!$B$4:$S$8977,14,FALSE)</f>
        <v>0</v>
      </c>
      <c r="P322" s="18">
        <f>VLOOKUP(B322,All!$B$4:$S$8977,15,FALSE)</f>
        <v>0</v>
      </c>
      <c r="Q322" s="18">
        <f>VLOOKUP(B322,All!$B$4:$S$8977,16,FALSE)</f>
        <v>0</v>
      </c>
      <c r="R322" s="18">
        <v>7</v>
      </c>
      <c r="S322" s="18">
        <v>10</v>
      </c>
      <c r="T322" s="550">
        <f t="shared" si="60"/>
        <v>212</v>
      </c>
      <c r="U322" s="568"/>
      <c r="V322" s="3"/>
      <c r="W322" s="3"/>
      <c r="X322" s="3"/>
      <c r="Y322" s="562"/>
      <c r="Z322" s="570">
        <f t="shared" si="53"/>
        <v>194</v>
      </c>
      <c r="AA322" s="18">
        <f t="shared" si="54"/>
        <v>3</v>
      </c>
      <c r="AB322" s="18">
        <f t="shared" si="55"/>
        <v>0</v>
      </c>
      <c r="AC322" s="18">
        <f t="shared" si="56"/>
        <v>0</v>
      </c>
      <c r="AD322" s="18">
        <f t="shared" si="57"/>
        <v>0</v>
      </c>
      <c r="AE322" s="18">
        <f t="shared" si="58"/>
        <v>7</v>
      </c>
      <c r="AF322" s="18">
        <f t="shared" si="58"/>
        <v>10</v>
      </c>
      <c r="AG322" s="550">
        <f t="shared" si="59"/>
        <v>214</v>
      </c>
      <c r="AH322" s="42">
        <v>2</v>
      </c>
      <c r="AI322" s="42">
        <v>0</v>
      </c>
      <c r="AJ322" s="42">
        <v>0</v>
      </c>
      <c r="AK322" s="42">
        <v>0</v>
      </c>
      <c r="AL322" s="42">
        <v>0</v>
      </c>
      <c r="AM322" s="42">
        <v>0</v>
      </c>
      <c r="AN322" s="42">
        <v>0</v>
      </c>
      <c r="AO322" s="42">
        <v>2</v>
      </c>
    </row>
    <row r="323" spans="1:41" ht="24" customHeight="1">
      <c r="A323" s="11">
        <f t="shared" si="51"/>
        <v>320</v>
      </c>
      <c r="B323" s="390">
        <v>3956</v>
      </c>
      <c r="C323" s="478" t="str">
        <f>VLOOKUP(B323,All!$B$4:$S$8977,2,FALSE)</f>
        <v>វ៉ិត</v>
      </c>
      <c r="D323" s="479" t="str">
        <f>VLOOKUP(B323,All!$B$4:$S$89977,3,FALSE)</f>
        <v>ផល្លី</v>
      </c>
      <c r="E323" s="478" t="str">
        <f>VLOOKUP(B323,All!$B$4:$S$8977,4,FALSE)</f>
        <v>VIT</v>
      </c>
      <c r="F323" s="479" t="str">
        <f>VLOOKUP(B323,All!$B$4:$S$8977,5,FALSE)</f>
        <v>PHALLY</v>
      </c>
      <c r="G323" s="479" t="str">
        <f>VLOOKUP(B323,All!$B$4:$S$8977,6,FALSE)</f>
        <v>F</v>
      </c>
      <c r="H323" s="385">
        <f>VLOOKUP(B323,All!$B$4:$S$8977,7,FALSE)</f>
        <v>36046</v>
      </c>
      <c r="I323" s="154">
        <f>VLOOKUP(B323,All!$B$4:$S$8977,8,FALSE)</f>
        <v>43820</v>
      </c>
      <c r="J323" s="154" t="str">
        <f>VLOOKUP(B323,All!$B$4:$S$8977,9,FALSE)</f>
        <v>Production</v>
      </c>
      <c r="K323" s="154" t="str">
        <f>VLOOKUP(B323,All!$B$4:$S$8977,10,FALSE)</f>
        <v>QC B</v>
      </c>
      <c r="L323" s="698" t="str">
        <f>VLOOKUP(B323,All!$B$4:$S$8977,11,FALSE)</f>
        <v>Inspector</v>
      </c>
      <c r="M323" s="570">
        <f>VLOOKUP(B323,All!$B$4:$S$8977,12,FALSE)</f>
        <v>192</v>
      </c>
      <c r="N323" s="18">
        <f>VLOOKUP(B323,All!$B$4:$S$8977,13,FALSE)</f>
        <v>3</v>
      </c>
      <c r="O323" s="18">
        <f>VLOOKUP(B323,All!$B$4:$S$8977,14,FALSE)</f>
        <v>0</v>
      </c>
      <c r="P323" s="18">
        <f>VLOOKUP(B323,All!$B$4:$S$8977,15,FALSE)</f>
        <v>0</v>
      </c>
      <c r="Q323" s="18">
        <f>VLOOKUP(B323,All!$B$4:$S$8977,16,FALSE)</f>
        <v>0</v>
      </c>
      <c r="R323" s="18">
        <v>7</v>
      </c>
      <c r="S323" s="18">
        <v>10</v>
      </c>
      <c r="T323" s="550">
        <f t="shared" si="60"/>
        <v>212</v>
      </c>
      <c r="U323" s="568"/>
      <c r="V323" s="3"/>
      <c r="W323" s="3"/>
      <c r="X323" s="3"/>
      <c r="Y323" s="562"/>
      <c r="Z323" s="570">
        <f t="shared" si="53"/>
        <v>194</v>
      </c>
      <c r="AA323" s="18">
        <f t="shared" si="54"/>
        <v>3</v>
      </c>
      <c r="AB323" s="18">
        <f t="shared" si="55"/>
        <v>0</v>
      </c>
      <c r="AC323" s="18">
        <f t="shared" si="56"/>
        <v>0</v>
      </c>
      <c r="AD323" s="18">
        <f t="shared" si="57"/>
        <v>0</v>
      </c>
      <c r="AE323" s="18">
        <f t="shared" si="58"/>
        <v>7</v>
      </c>
      <c r="AF323" s="18">
        <f t="shared" si="58"/>
        <v>10</v>
      </c>
      <c r="AG323" s="550">
        <f t="shared" si="59"/>
        <v>214</v>
      </c>
      <c r="AH323" s="42">
        <v>2</v>
      </c>
      <c r="AI323" s="42">
        <v>0</v>
      </c>
      <c r="AJ323" s="42">
        <v>0</v>
      </c>
      <c r="AK323" s="42">
        <v>0</v>
      </c>
      <c r="AL323" s="42">
        <v>0</v>
      </c>
      <c r="AM323" s="42">
        <v>0</v>
      </c>
      <c r="AN323" s="42">
        <v>0</v>
      </c>
      <c r="AO323" s="42">
        <v>2</v>
      </c>
    </row>
    <row r="324" spans="1:41" ht="24" customHeight="1">
      <c r="A324" s="11">
        <f t="shared" si="51"/>
        <v>321</v>
      </c>
      <c r="B324" s="390">
        <v>4121</v>
      </c>
      <c r="C324" s="478" t="str">
        <f>VLOOKUP(B324,All!$B$4:$S$8977,2,FALSE)</f>
        <v>នូ</v>
      </c>
      <c r="D324" s="479" t="str">
        <f>VLOOKUP(B324,All!$B$4:$S$89977,3,FALSE)</f>
        <v>ស៊ីណាត</v>
      </c>
      <c r="E324" s="478" t="str">
        <f>VLOOKUP(B324,All!$B$4:$S$8977,4,FALSE)</f>
        <v>NOV</v>
      </c>
      <c r="F324" s="479" t="str">
        <f>VLOOKUP(B324,All!$B$4:$S$8977,5,FALSE)</f>
        <v>SINATH</v>
      </c>
      <c r="G324" s="479" t="str">
        <f>VLOOKUP(B324,All!$B$4:$S$8977,6,FALSE)</f>
        <v>F</v>
      </c>
      <c r="H324" s="385">
        <f>VLOOKUP(B324,All!$B$4:$S$8977,7,FALSE)</f>
        <v>31665</v>
      </c>
      <c r="I324" s="154">
        <f>VLOOKUP(B324,All!$B$4:$S$8977,8,FALSE)</f>
        <v>43808</v>
      </c>
      <c r="J324" s="154" t="str">
        <f>VLOOKUP(B324,All!$B$4:$S$8977,9,FALSE)</f>
        <v>Production</v>
      </c>
      <c r="K324" s="154" t="str">
        <f>VLOOKUP(B324,All!$B$4:$S$8977,10,FALSE)</f>
        <v>Line20</v>
      </c>
      <c r="L324" s="698" t="str">
        <f>VLOOKUP(B324,All!$B$4:$S$8977,11,FALSE)</f>
        <v>Sewing operator</v>
      </c>
      <c r="M324" s="570">
        <f>VLOOKUP(B324,All!$B$4:$S$8977,12,FALSE)</f>
        <v>192</v>
      </c>
      <c r="N324" s="18">
        <f>VLOOKUP(B324,All!$B$4:$S$8977,13,FALSE)</f>
        <v>3</v>
      </c>
      <c r="O324" s="18">
        <f>VLOOKUP(B324,All!$B$4:$S$8977,14,FALSE)</f>
        <v>0</v>
      </c>
      <c r="P324" s="18">
        <f>VLOOKUP(B324,All!$B$4:$S$8977,15,FALSE)</f>
        <v>0</v>
      </c>
      <c r="Q324" s="18">
        <f>VLOOKUP(B324,All!$B$4:$S$8977,16,FALSE)</f>
        <v>0</v>
      </c>
      <c r="R324" s="18">
        <v>7</v>
      </c>
      <c r="S324" s="18">
        <v>10</v>
      </c>
      <c r="T324" s="550">
        <f t="shared" si="60"/>
        <v>212</v>
      </c>
      <c r="U324" s="568"/>
      <c r="V324" s="3"/>
      <c r="W324" s="3"/>
      <c r="X324" s="3"/>
      <c r="Y324" s="562"/>
      <c r="Z324" s="570">
        <f t="shared" si="53"/>
        <v>194</v>
      </c>
      <c r="AA324" s="18">
        <f t="shared" si="54"/>
        <v>3</v>
      </c>
      <c r="AB324" s="18">
        <f t="shared" si="55"/>
        <v>0</v>
      </c>
      <c r="AC324" s="18">
        <f t="shared" si="56"/>
        <v>0</v>
      </c>
      <c r="AD324" s="18">
        <f t="shared" si="57"/>
        <v>0</v>
      </c>
      <c r="AE324" s="18">
        <f t="shared" si="58"/>
        <v>7</v>
      </c>
      <c r="AF324" s="18">
        <f t="shared" si="58"/>
        <v>10</v>
      </c>
      <c r="AG324" s="550">
        <f t="shared" si="59"/>
        <v>214</v>
      </c>
      <c r="AH324" s="42">
        <v>2</v>
      </c>
      <c r="AI324" s="42">
        <v>0</v>
      </c>
      <c r="AJ324" s="42">
        <v>0</v>
      </c>
      <c r="AK324" s="42">
        <v>0</v>
      </c>
      <c r="AL324" s="42">
        <v>0</v>
      </c>
      <c r="AM324" s="42">
        <v>0</v>
      </c>
      <c r="AN324" s="42">
        <v>0</v>
      </c>
      <c r="AO324" s="42">
        <v>2</v>
      </c>
    </row>
    <row r="325" spans="1:41" ht="24" customHeight="1">
      <c r="A325" s="11">
        <f t="shared" si="51"/>
        <v>322</v>
      </c>
      <c r="B325" s="390">
        <v>4136</v>
      </c>
      <c r="C325" s="478" t="str">
        <f>VLOOKUP(B325,All!$B$4:$S$8977,2,FALSE)</f>
        <v>គង់</v>
      </c>
      <c r="D325" s="479" t="str">
        <f>VLOOKUP(B325,All!$B$4:$S$89977,3,FALSE)</f>
        <v>សុខណេង</v>
      </c>
      <c r="E325" s="478" t="str">
        <f>VLOOKUP(B325,All!$B$4:$S$8977,4,FALSE)</f>
        <v>KONG</v>
      </c>
      <c r="F325" s="479" t="str">
        <f>VLOOKUP(B325,All!$B$4:$S$8977,5,FALSE)</f>
        <v>SOKNANG</v>
      </c>
      <c r="G325" s="479" t="str">
        <f>VLOOKUP(B325,All!$B$4:$S$8977,6,FALSE)</f>
        <v>F</v>
      </c>
      <c r="H325" s="385">
        <f>VLOOKUP(B325,All!$B$4:$S$8977,7,FALSE)</f>
        <v>36597</v>
      </c>
      <c r="I325" s="154">
        <f>VLOOKUP(B325,All!$B$4:$S$8977,8,FALSE)</f>
        <v>43845</v>
      </c>
      <c r="J325" s="154" t="str">
        <f>VLOOKUP(B325,All!$B$4:$S$8977,9,FALSE)</f>
        <v>Production</v>
      </c>
      <c r="K325" s="154" t="str">
        <f>VLOOKUP(B325,All!$B$4:$S$8977,10,FALSE)</f>
        <v xml:space="preserve"> Line1</v>
      </c>
      <c r="L325" s="698" t="str">
        <f>VLOOKUP(B325,All!$B$4:$S$8977,11,FALSE)</f>
        <v>Sewing operator</v>
      </c>
      <c r="M325" s="570">
        <f>VLOOKUP(B325,All!$B$4:$S$8977,12,FALSE)</f>
        <v>192</v>
      </c>
      <c r="N325" s="18">
        <f>VLOOKUP(B325,All!$B$4:$S$8977,13,FALSE)</f>
        <v>3</v>
      </c>
      <c r="O325" s="18">
        <f>VLOOKUP(B325,All!$B$4:$S$8977,14,FALSE)</f>
        <v>0</v>
      </c>
      <c r="P325" s="18">
        <f>VLOOKUP(B325,All!$B$4:$S$8977,15,FALSE)</f>
        <v>0</v>
      </c>
      <c r="Q325" s="18">
        <f>VLOOKUP(B325,All!$B$4:$S$8977,16,FALSE)</f>
        <v>0</v>
      </c>
      <c r="R325" s="18">
        <v>7</v>
      </c>
      <c r="S325" s="18">
        <v>10</v>
      </c>
      <c r="T325" s="550">
        <f t="shared" si="60"/>
        <v>212</v>
      </c>
      <c r="U325" s="568"/>
      <c r="V325" s="3"/>
      <c r="W325" s="3"/>
      <c r="X325" s="3"/>
      <c r="Y325" s="562"/>
      <c r="Z325" s="570">
        <f t="shared" si="53"/>
        <v>194</v>
      </c>
      <c r="AA325" s="18">
        <f t="shared" si="54"/>
        <v>3</v>
      </c>
      <c r="AB325" s="18">
        <f t="shared" si="55"/>
        <v>0</v>
      </c>
      <c r="AC325" s="18">
        <f t="shared" si="56"/>
        <v>0</v>
      </c>
      <c r="AD325" s="18">
        <f t="shared" si="57"/>
        <v>0</v>
      </c>
      <c r="AE325" s="18">
        <f t="shared" si="58"/>
        <v>7</v>
      </c>
      <c r="AF325" s="18">
        <f t="shared" si="58"/>
        <v>10</v>
      </c>
      <c r="AG325" s="550">
        <f t="shared" si="59"/>
        <v>214</v>
      </c>
      <c r="AH325" s="42">
        <v>2</v>
      </c>
      <c r="AI325" s="42">
        <v>0</v>
      </c>
      <c r="AJ325" s="42">
        <v>0</v>
      </c>
      <c r="AK325" s="42">
        <v>0</v>
      </c>
      <c r="AL325" s="42">
        <v>0</v>
      </c>
      <c r="AM325" s="42">
        <v>0</v>
      </c>
      <c r="AN325" s="42">
        <v>0</v>
      </c>
      <c r="AO325" s="42">
        <v>2</v>
      </c>
    </row>
    <row r="326" spans="1:41" ht="24" customHeight="1">
      <c r="A326" s="11">
        <f t="shared" ref="A326:A389" si="61">1+A325</f>
        <v>323</v>
      </c>
      <c r="B326" s="390">
        <v>4120</v>
      </c>
      <c r="C326" s="478" t="str">
        <f>VLOOKUP(B326,All!$B$4:$S$8977,2,FALSE)</f>
        <v>ភួង</v>
      </c>
      <c r="D326" s="479" t="str">
        <f>VLOOKUP(B326,All!$B$4:$S$89977,3,FALSE)</f>
        <v>សន</v>
      </c>
      <c r="E326" s="478" t="str">
        <f>VLOOKUP(B326,All!$B$4:$S$8977,4,FALSE)</f>
        <v>POUNG</v>
      </c>
      <c r="F326" s="479" t="str">
        <f>VLOOKUP(B326,All!$B$4:$S$8977,5,FALSE)</f>
        <v>SORN</v>
      </c>
      <c r="G326" s="479" t="str">
        <f>VLOOKUP(B326,All!$B$4:$S$8977,6,FALSE)</f>
        <v>F</v>
      </c>
      <c r="H326" s="385">
        <f>VLOOKUP(B326,All!$B$4:$S$8977,7,FALSE)</f>
        <v>31521</v>
      </c>
      <c r="I326" s="154">
        <f>VLOOKUP(B326,All!$B$4:$S$8977,8,FALSE)</f>
        <v>43808</v>
      </c>
      <c r="J326" s="154" t="str">
        <f>VLOOKUP(B326,All!$B$4:$S$8977,9,FALSE)</f>
        <v>Production</v>
      </c>
      <c r="K326" s="154" t="str">
        <f>VLOOKUP(B326,All!$B$4:$S$8977,10,FALSE)</f>
        <v xml:space="preserve"> Line2</v>
      </c>
      <c r="L326" s="698" t="str">
        <f>VLOOKUP(B326,All!$B$4:$S$8977,11,FALSE)</f>
        <v>Sewing operator</v>
      </c>
      <c r="M326" s="570">
        <f>VLOOKUP(B326,All!$B$4:$S$8977,12,FALSE)</f>
        <v>192</v>
      </c>
      <c r="N326" s="18">
        <f>VLOOKUP(B326,All!$B$4:$S$8977,13,FALSE)</f>
        <v>3</v>
      </c>
      <c r="O326" s="18">
        <f>VLOOKUP(B326,All!$B$4:$S$8977,14,FALSE)</f>
        <v>0</v>
      </c>
      <c r="P326" s="18">
        <f>VLOOKUP(B326,All!$B$4:$S$8977,15,FALSE)</f>
        <v>0</v>
      </c>
      <c r="Q326" s="18">
        <f>VLOOKUP(B326,All!$B$4:$S$8977,16,FALSE)</f>
        <v>0</v>
      </c>
      <c r="R326" s="18">
        <v>7</v>
      </c>
      <c r="S326" s="18">
        <v>10</v>
      </c>
      <c r="T326" s="550">
        <f t="shared" si="60"/>
        <v>212</v>
      </c>
      <c r="U326" s="568"/>
      <c r="V326" s="3"/>
      <c r="W326" s="3"/>
      <c r="X326" s="3"/>
      <c r="Y326" s="562"/>
      <c r="Z326" s="570">
        <f t="shared" si="53"/>
        <v>194</v>
      </c>
      <c r="AA326" s="18">
        <f t="shared" si="54"/>
        <v>3</v>
      </c>
      <c r="AB326" s="18">
        <f t="shared" si="55"/>
        <v>0</v>
      </c>
      <c r="AC326" s="18">
        <f t="shared" si="56"/>
        <v>0</v>
      </c>
      <c r="AD326" s="18">
        <f t="shared" si="57"/>
        <v>0</v>
      </c>
      <c r="AE326" s="18">
        <f t="shared" si="58"/>
        <v>7</v>
      </c>
      <c r="AF326" s="18">
        <f t="shared" si="58"/>
        <v>10</v>
      </c>
      <c r="AG326" s="550">
        <f t="shared" si="59"/>
        <v>214</v>
      </c>
      <c r="AH326" s="42">
        <v>2</v>
      </c>
      <c r="AI326" s="42">
        <v>0</v>
      </c>
      <c r="AJ326" s="42">
        <v>0</v>
      </c>
      <c r="AK326" s="42">
        <v>0</v>
      </c>
      <c r="AL326" s="42">
        <v>0</v>
      </c>
      <c r="AM326" s="42">
        <v>0</v>
      </c>
      <c r="AN326" s="42">
        <v>0</v>
      </c>
      <c r="AO326" s="42">
        <v>2</v>
      </c>
    </row>
    <row r="327" spans="1:41" ht="24" customHeight="1">
      <c r="A327" s="11">
        <f t="shared" si="61"/>
        <v>324</v>
      </c>
      <c r="B327" s="390">
        <v>4133</v>
      </c>
      <c r="C327" s="478" t="str">
        <f>VLOOKUP(B327,All!$B$4:$S$8977,2,FALSE)</f>
        <v>គួន</v>
      </c>
      <c r="D327" s="479" t="str">
        <f>VLOOKUP(B327,All!$B$4:$S$89977,3,FALSE)</f>
        <v>គង្គា</v>
      </c>
      <c r="E327" s="478" t="str">
        <f>VLOOKUP(B327,All!$B$4:$S$8977,4,FALSE)</f>
        <v>KUON</v>
      </c>
      <c r="F327" s="479" t="str">
        <f>VLOOKUP(B327,All!$B$4:$S$8977,5,FALSE)</f>
        <v>KUNGKEA</v>
      </c>
      <c r="G327" s="479" t="str">
        <f>VLOOKUP(B327,All!$B$4:$S$8977,6,FALSE)</f>
        <v>F</v>
      </c>
      <c r="H327" s="385">
        <f>VLOOKUP(B327,All!$B$4:$S$8977,7,FALSE)</f>
        <v>34857</v>
      </c>
      <c r="I327" s="154">
        <f>VLOOKUP(B327,All!$B$4:$S$8977,8,FALSE)</f>
        <v>43813</v>
      </c>
      <c r="J327" s="154" t="str">
        <f>VLOOKUP(B327,All!$B$4:$S$8977,9,FALSE)</f>
        <v>Production</v>
      </c>
      <c r="K327" s="154" t="str">
        <f>VLOOKUP(B327,All!$B$4:$S$8977,10,FALSE)</f>
        <v xml:space="preserve"> Line18</v>
      </c>
      <c r="L327" s="698" t="str">
        <f>VLOOKUP(B327,All!$B$4:$S$8977,11,FALSE)</f>
        <v>Sewing operator</v>
      </c>
      <c r="M327" s="570">
        <f>VLOOKUP(B327,All!$B$4:$S$8977,12,FALSE)</f>
        <v>192</v>
      </c>
      <c r="N327" s="18">
        <f>VLOOKUP(B327,All!$B$4:$S$8977,13,FALSE)</f>
        <v>3</v>
      </c>
      <c r="O327" s="18">
        <f>VLOOKUP(B327,All!$B$4:$S$8977,14,FALSE)</f>
        <v>0</v>
      </c>
      <c r="P327" s="18">
        <f>VLOOKUP(B327,All!$B$4:$S$8977,15,FALSE)</f>
        <v>0</v>
      </c>
      <c r="Q327" s="18">
        <f>VLOOKUP(B327,All!$B$4:$S$8977,16,FALSE)</f>
        <v>0</v>
      </c>
      <c r="R327" s="18">
        <v>7</v>
      </c>
      <c r="S327" s="18">
        <v>10</v>
      </c>
      <c r="T327" s="550">
        <f t="shared" si="60"/>
        <v>212</v>
      </c>
      <c r="U327" s="568"/>
      <c r="V327" s="3"/>
      <c r="W327" s="3"/>
      <c r="X327" s="3"/>
      <c r="Y327" s="562"/>
      <c r="Z327" s="570">
        <f t="shared" si="53"/>
        <v>194</v>
      </c>
      <c r="AA327" s="18">
        <f t="shared" si="54"/>
        <v>3</v>
      </c>
      <c r="AB327" s="18">
        <f t="shared" si="55"/>
        <v>0</v>
      </c>
      <c r="AC327" s="18">
        <f t="shared" si="56"/>
        <v>0</v>
      </c>
      <c r="AD327" s="18">
        <f t="shared" si="57"/>
        <v>0</v>
      </c>
      <c r="AE327" s="18">
        <f t="shared" ref="AE327:AF350" si="62">R327</f>
        <v>7</v>
      </c>
      <c r="AF327" s="18">
        <f t="shared" si="62"/>
        <v>10</v>
      </c>
      <c r="AG327" s="550">
        <f t="shared" si="59"/>
        <v>214</v>
      </c>
      <c r="AH327" s="42">
        <v>2</v>
      </c>
      <c r="AI327" s="42">
        <v>0</v>
      </c>
      <c r="AJ327" s="42">
        <v>0</v>
      </c>
      <c r="AK327" s="42">
        <v>0</v>
      </c>
      <c r="AL327" s="42">
        <v>0</v>
      </c>
      <c r="AM327" s="42">
        <v>0</v>
      </c>
      <c r="AN327" s="42">
        <v>0</v>
      </c>
      <c r="AO327" s="42">
        <v>2</v>
      </c>
    </row>
    <row r="328" spans="1:41" ht="24" customHeight="1">
      <c r="A328" s="11">
        <f t="shared" si="61"/>
        <v>325</v>
      </c>
      <c r="B328" s="390">
        <v>3966</v>
      </c>
      <c r="C328" s="478" t="str">
        <f>VLOOKUP(B328,All!$B$4:$S$8977,2,FALSE)</f>
        <v>ផាត</v>
      </c>
      <c r="D328" s="479" t="str">
        <f>VLOOKUP(B328,All!$B$4:$S$89977,3,FALSE)</f>
        <v>សុភាព</v>
      </c>
      <c r="E328" s="478" t="str">
        <f>VLOOKUP(B328,All!$B$4:$S$8977,4,FALSE)</f>
        <v>PHAT</v>
      </c>
      <c r="F328" s="479" t="str">
        <f>VLOOKUP(B328,All!$B$4:$S$8977,5,FALSE)</f>
        <v>SOPHEAP</v>
      </c>
      <c r="G328" s="479" t="str">
        <f>VLOOKUP(B328,All!$B$4:$S$8977,6,FALSE)</f>
        <v>F</v>
      </c>
      <c r="H328" s="385">
        <f>VLOOKUP(B328,All!$B$4:$S$8977,7,FALSE)</f>
        <v>30143</v>
      </c>
      <c r="I328" s="154">
        <f>VLOOKUP(B328,All!$B$4:$S$8977,8,FALSE)</f>
        <v>43791</v>
      </c>
      <c r="J328" s="154" t="str">
        <f>VLOOKUP(B328,All!$B$4:$S$8977,9,FALSE)</f>
        <v>Production</v>
      </c>
      <c r="K328" s="154" t="str">
        <f>VLOOKUP(B328,All!$B$4:$S$8977,10,FALSE)</f>
        <v xml:space="preserve"> Line18</v>
      </c>
      <c r="L328" s="698" t="str">
        <f>VLOOKUP(B328,All!$B$4:$S$8977,11,FALSE)</f>
        <v>Sewing operator</v>
      </c>
      <c r="M328" s="570">
        <f>VLOOKUP(B328,All!$B$4:$S$8977,12,FALSE)</f>
        <v>192</v>
      </c>
      <c r="N328" s="18">
        <f>VLOOKUP(B328,All!$B$4:$S$8977,13,FALSE)</f>
        <v>3</v>
      </c>
      <c r="O328" s="18">
        <f>VLOOKUP(B328,All!$B$4:$S$8977,14,FALSE)</f>
        <v>0</v>
      </c>
      <c r="P328" s="18">
        <f>VLOOKUP(B328,All!$B$4:$S$8977,15,FALSE)</f>
        <v>0</v>
      </c>
      <c r="Q328" s="18">
        <f>VLOOKUP(B328,All!$B$4:$S$8977,16,FALSE)</f>
        <v>0</v>
      </c>
      <c r="R328" s="18">
        <v>7</v>
      </c>
      <c r="S328" s="18">
        <v>10</v>
      </c>
      <c r="T328" s="550">
        <f t="shared" si="60"/>
        <v>212</v>
      </c>
      <c r="U328" s="568"/>
      <c r="V328" s="3"/>
      <c r="W328" s="3"/>
      <c r="X328" s="3"/>
      <c r="Y328" s="562"/>
      <c r="Z328" s="570">
        <f t="shared" si="53"/>
        <v>194</v>
      </c>
      <c r="AA328" s="18">
        <f t="shared" si="54"/>
        <v>3</v>
      </c>
      <c r="AB328" s="18">
        <f t="shared" si="55"/>
        <v>0</v>
      </c>
      <c r="AC328" s="18">
        <f t="shared" si="56"/>
        <v>0</v>
      </c>
      <c r="AD328" s="18">
        <f t="shared" si="57"/>
        <v>0</v>
      </c>
      <c r="AE328" s="18">
        <f t="shared" si="62"/>
        <v>7</v>
      </c>
      <c r="AF328" s="18">
        <f t="shared" si="62"/>
        <v>10</v>
      </c>
      <c r="AG328" s="550">
        <f t="shared" si="59"/>
        <v>214</v>
      </c>
      <c r="AH328" s="42">
        <v>2</v>
      </c>
      <c r="AI328" s="42">
        <v>0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2</v>
      </c>
    </row>
    <row r="329" spans="1:41" ht="24" customHeight="1">
      <c r="A329" s="11">
        <f t="shared" si="61"/>
        <v>326</v>
      </c>
      <c r="B329" s="390">
        <v>3965</v>
      </c>
      <c r="C329" s="478" t="str">
        <f>VLOOKUP(B329,All!$B$4:$S$8977,2,FALSE)</f>
        <v>នី</v>
      </c>
      <c r="D329" s="479" t="str">
        <f>VLOOKUP(B329,All!$B$4:$S$89977,3,FALSE)</f>
        <v>ណៃយ៉ាន</v>
      </c>
      <c r="E329" s="478" t="str">
        <f>VLOOKUP(B329,All!$B$4:$S$8977,4,FALSE)</f>
        <v>NY</v>
      </c>
      <c r="F329" s="479" t="str">
        <f>VLOOKUP(B329,All!$B$4:$S$8977,5,FALSE)</f>
        <v>NAIYEAN</v>
      </c>
      <c r="G329" s="479" t="str">
        <f>VLOOKUP(B329,All!$B$4:$S$8977,6,FALSE)</f>
        <v>F</v>
      </c>
      <c r="H329" s="385">
        <f>VLOOKUP(B329,All!$B$4:$S$8977,7,FALSE)</f>
        <v>34263</v>
      </c>
      <c r="I329" s="154">
        <f>VLOOKUP(B329,All!$B$4:$S$8977,8,FALSE)</f>
        <v>43821</v>
      </c>
      <c r="J329" s="154" t="str">
        <f>VLOOKUP(B329,All!$B$4:$S$8977,9,FALSE)</f>
        <v>Production</v>
      </c>
      <c r="K329" s="154" t="str">
        <f>VLOOKUP(B329,All!$B$4:$S$8977,10,FALSE)</f>
        <v>Line17</v>
      </c>
      <c r="L329" s="698" t="str">
        <f>VLOOKUP(B329,All!$B$4:$S$8977,11,FALSE)</f>
        <v>Sewing operator</v>
      </c>
      <c r="M329" s="570">
        <f>VLOOKUP(B329,All!$B$4:$S$8977,12,FALSE)</f>
        <v>192</v>
      </c>
      <c r="N329" s="18">
        <f>VLOOKUP(B329,All!$B$4:$S$8977,13,FALSE)</f>
        <v>3</v>
      </c>
      <c r="O329" s="18">
        <f>VLOOKUP(B329,All!$B$4:$S$8977,14,FALSE)</f>
        <v>0</v>
      </c>
      <c r="P329" s="18">
        <f>VLOOKUP(B329,All!$B$4:$S$8977,15,FALSE)</f>
        <v>0</v>
      </c>
      <c r="Q329" s="18">
        <f>VLOOKUP(B329,All!$B$4:$S$8977,16,FALSE)</f>
        <v>0</v>
      </c>
      <c r="R329" s="18">
        <v>7</v>
      </c>
      <c r="S329" s="18">
        <v>10</v>
      </c>
      <c r="T329" s="550">
        <f t="shared" si="60"/>
        <v>212</v>
      </c>
      <c r="U329" s="568"/>
      <c r="V329" s="3"/>
      <c r="W329" s="3"/>
      <c r="X329" s="3"/>
      <c r="Y329" s="562"/>
      <c r="Z329" s="570">
        <f t="shared" si="53"/>
        <v>194</v>
      </c>
      <c r="AA329" s="18">
        <f t="shared" si="54"/>
        <v>3</v>
      </c>
      <c r="AB329" s="18">
        <f t="shared" si="55"/>
        <v>0</v>
      </c>
      <c r="AC329" s="18">
        <f t="shared" si="56"/>
        <v>0</v>
      </c>
      <c r="AD329" s="18">
        <f t="shared" si="57"/>
        <v>0</v>
      </c>
      <c r="AE329" s="18">
        <f t="shared" si="62"/>
        <v>7</v>
      </c>
      <c r="AF329" s="18">
        <f t="shared" si="62"/>
        <v>10</v>
      </c>
      <c r="AG329" s="550">
        <f t="shared" si="59"/>
        <v>214</v>
      </c>
      <c r="AH329" s="42">
        <v>2</v>
      </c>
      <c r="AI329" s="42">
        <v>0</v>
      </c>
      <c r="AJ329" s="42">
        <v>0</v>
      </c>
      <c r="AK329" s="42">
        <v>0</v>
      </c>
      <c r="AL329" s="42">
        <v>0</v>
      </c>
      <c r="AM329" s="42">
        <v>0</v>
      </c>
      <c r="AN329" s="42">
        <v>0</v>
      </c>
      <c r="AO329" s="42">
        <v>2</v>
      </c>
    </row>
    <row r="330" spans="1:41" ht="24" customHeight="1">
      <c r="A330" s="11">
        <f t="shared" si="61"/>
        <v>327</v>
      </c>
      <c r="B330" s="390">
        <v>3962</v>
      </c>
      <c r="C330" s="478" t="str">
        <f>VLOOKUP(B330,All!$B$4:$S$8977,2,FALSE)</f>
        <v>ហ៊ឹម</v>
      </c>
      <c r="D330" s="479" t="str">
        <f>VLOOKUP(B330,All!$B$4:$S$89977,3,FALSE)</f>
        <v>សុភី</v>
      </c>
      <c r="E330" s="478" t="str">
        <f>VLOOKUP(B330,All!$B$4:$S$8977,4,FALSE)</f>
        <v>HIM</v>
      </c>
      <c r="F330" s="479" t="str">
        <f>VLOOKUP(B330,All!$B$4:$S$8977,5,FALSE)</f>
        <v>SOPHY</v>
      </c>
      <c r="G330" s="479" t="str">
        <f>VLOOKUP(B330,All!$B$4:$S$8977,6,FALSE)</f>
        <v>F</v>
      </c>
      <c r="H330" s="385">
        <f>VLOOKUP(B330,All!$B$4:$S$8977,7,FALSE)</f>
        <v>30172</v>
      </c>
      <c r="I330" s="154">
        <f>VLOOKUP(B330,All!$B$4:$S$8977,8,FALSE)</f>
        <v>43821</v>
      </c>
      <c r="J330" s="154" t="str">
        <f>VLOOKUP(B330,All!$B$4:$S$8977,9,FALSE)</f>
        <v>Production</v>
      </c>
      <c r="K330" s="154" t="str">
        <f>VLOOKUP(B330,All!$B$4:$S$8977,10,FALSE)</f>
        <v>QC  A</v>
      </c>
      <c r="L330" s="698" t="str">
        <f>VLOOKUP(B330,All!$B$4:$S$8977,11,FALSE)</f>
        <v>Inspector</v>
      </c>
      <c r="M330" s="570">
        <f>VLOOKUP(B330,All!$B$4:$S$8977,12,FALSE)</f>
        <v>192</v>
      </c>
      <c r="N330" s="18">
        <f>VLOOKUP(B330,All!$B$4:$S$8977,13,FALSE)</f>
        <v>3</v>
      </c>
      <c r="O330" s="18">
        <f>VLOOKUP(B330,All!$B$4:$S$8977,14,FALSE)</f>
        <v>0</v>
      </c>
      <c r="P330" s="18">
        <f>VLOOKUP(B330,All!$B$4:$S$8977,15,FALSE)</f>
        <v>0</v>
      </c>
      <c r="Q330" s="18">
        <f>VLOOKUP(B330,All!$B$4:$S$8977,16,FALSE)</f>
        <v>0</v>
      </c>
      <c r="R330" s="18">
        <v>7</v>
      </c>
      <c r="S330" s="18">
        <v>10</v>
      </c>
      <c r="T330" s="550">
        <f t="shared" si="60"/>
        <v>212</v>
      </c>
      <c r="U330" s="568"/>
      <c r="V330" s="3"/>
      <c r="W330" s="3"/>
      <c r="X330" s="3"/>
      <c r="Y330" s="562"/>
      <c r="Z330" s="570">
        <f t="shared" si="53"/>
        <v>194</v>
      </c>
      <c r="AA330" s="18">
        <f t="shared" si="54"/>
        <v>3</v>
      </c>
      <c r="AB330" s="18">
        <f t="shared" si="55"/>
        <v>0</v>
      </c>
      <c r="AC330" s="18">
        <f t="shared" si="56"/>
        <v>0</v>
      </c>
      <c r="AD330" s="18">
        <f t="shared" si="57"/>
        <v>0</v>
      </c>
      <c r="AE330" s="18">
        <f t="shared" si="62"/>
        <v>7</v>
      </c>
      <c r="AF330" s="18">
        <f t="shared" si="62"/>
        <v>10</v>
      </c>
      <c r="AG330" s="550">
        <f t="shared" si="59"/>
        <v>214</v>
      </c>
      <c r="AH330" s="42">
        <v>2</v>
      </c>
      <c r="AI330" s="42">
        <v>0</v>
      </c>
      <c r="AJ330" s="42">
        <v>0</v>
      </c>
      <c r="AK330" s="42">
        <v>0</v>
      </c>
      <c r="AL330" s="42">
        <v>0</v>
      </c>
      <c r="AM330" s="42">
        <v>0</v>
      </c>
      <c r="AN330" s="42">
        <v>0</v>
      </c>
      <c r="AO330" s="42">
        <v>2</v>
      </c>
    </row>
    <row r="331" spans="1:41" ht="24" customHeight="1">
      <c r="A331" s="11">
        <f t="shared" si="61"/>
        <v>328</v>
      </c>
      <c r="B331" s="390">
        <v>4116</v>
      </c>
      <c r="C331" s="478" t="str">
        <f>VLOOKUP(B331,All!$B$4:$S$8977,2,FALSE)</f>
        <v>មឹក</v>
      </c>
      <c r="D331" s="479" t="str">
        <f>VLOOKUP(B331,All!$B$4:$S$89977,3,FALSE)</f>
        <v>អិត</v>
      </c>
      <c r="E331" s="478" t="str">
        <f>VLOOKUP(B331,All!$B$4:$S$8977,4,FALSE)</f>
        <v>MOEK</v>
      </c>
      <c r="F331" s="479" t="str">
        <f>VLOOKUP(B331,All!$B$4:$S$8977,5,FALSE)</f>
        <v>OET</v>
      </c>
      <c r="G331" s="479" t="str">
        <f>VLOOKUP(B331,All!$B$4:$S$8977,6,FALSE)</f>
        <v>F</v>
      </c>
      <c r="H331" s="385">
        <f>VLOOKUP(B331,All!$B$4:$S$8977,7,FALSE)</f>
        <v>30349</v>
      </c>
      <c r="I331" s="154">
        <f>VLOOKUP(B331,All!$B$4:$S$8977,8,FALSE)</f>
        <v>43803</v>
      </c>
      <c r="J331" s="154" t="str">
        <f>VLOOKUP(B331,All!$B$4:$S$8977,9,FALSE)</f>
        <v>Production</v>
      </c>
      <c r="K331" s="154" t="str">
        <f>VLOOKUP(B331,All!$B$4:$S$8977,10,FALSE)</f>
        <v>Line17</v>
      </c>
      <c r="L331" s="698" t="str">
        <f>VLOOKUP(B331,All!$B$4:$S$8977,11,FALSE)</f>
        <v>Sewing operator</v>
      </c>
      <c r="M331" s="570">
        <f>VLOOKUP(B331,All!$B$4:$S$8977,12,FALSE)</f>
        <v>192</v>
      </c>
      <c r="N331" s="18">
        <f>VLOOKUP(B331,All!$B$4:$S$8977,13,FALSE)</f>
        <v>3</v>
      </c>
      <c r="O331" s="18">
        <f>VLOOKUP(B331,All!$B$4:$S$8977,14,FALSE)</f>
        <v>0</v>
      </c>
      <c r="P331" s="18">
        <f>VLOOKUP(B331,All!$B$4:$S$8977,15,FALSE)</f>
        <v>0</v>
      </c>
      <c r="Q331" s="18">
        <f>VLOOKUP(B331,All!$B$4:$S$8977,16,FALSE)</f>
        <v>0</v>
      </c>
      <c r="R331" s="18">
        <v>7</v>
      </c>
      <c r="S331" s="18">
        <v>10</v>
      </c>
      <c r="T331" s="550">
        <f t="shared" si="60"/>
        <v>212</v>
      </c>
      <c r="U331" s="568"/>
      <c r="V331" s="3"/>
      <c r="W331" s="3"/>
      <c r="X331" s="3"/>
      <c r="Y331" s="562"/>
      <c r="Z331" s="570">
        <f t="shared" si="53"/>
        <v>194</v>
      </c>
      <c r="AA331" s="18">
        <f t="shared" si="54"/>
        <v>3</v>
      </c>
      <c r="AB331" s="18">
        <f t="shared" si="55"/>
        <v>0</v>
      </c>
      <c r="AC331" s="18">
        <f t="shared" si="56"/>
        <v>0</v>
      </c>
      <c r="AD331" s="18">
        <f t="shared" si="57"/>
        <v>0</v>
      </c>
      <c r="AE331" s="18">
        <f t="shared" si="62"/>
        <v>7</v>
      </c>
      <c r="AF331" s="18">
        <f t="shared" si="62"/>
        <v>10</v>
      </c>
      <c r="AG331" s="550">
        <f t="shared" si="59"/>
        <v>214</v>
      </c>
      <c r="AH331" s="42">
        <v>2</v>
      </c>
      <c r="AI331" s="42">
        <v>0</v>
      </c>
      <c r="AJ331" s="42">
        <v>0</v>
      </c>
      <c r="AK331" s="42">
        <v>0</v>
      </c>
      <c r="AL331" s="42">
        <v>0</v>
      </c>
      <c r="AM331" s="42">
        <v>0</v>
      </c>
      <c r="AN331" s="42">
        <v>0</v>
      </c>
      <c r="AO331" s="42">
        <v>2</v>
      </c>
    </row>
    <row r="332" spans="1:41" ht="24" customHeight="1">
      <c r="A332" s="11">
        <f t="shared" si="61"/>
        <v>329</v>
      </c>
      <c r="B332" s="390">
        <v>4041</v>
      </c>
      <c r="C332" s="478" t="str">
        <f>VLOOKUP(B332,All!$B$4:$S$8977,2,FALSE)</f>
        <v>សោម</v>
      </c>
      <c r="D332" s="479" t="str">
        <f>VLOOKUP(B332,All!$B$4:$S$89977,3,FALSE)</f>
        <v>សាម៉ុន</v>
      </c>
      <c r="E332" s="478" t="str">
        <f>VLOOKUP(B332,All!$B$4:$S$8977,4,FALSE)</f>
        <v>SORM</v>
      </c>
      <c r="F332" s="479" t="str">
        <f>VLOOKUP(B332,All!$B$4:$S$8977,5,FALSE)</f>
        <v>SAMON</v>
      </c>
      <c r="G332" s="479" t="str">
        <f>VLOOKUP(B332,All!$B$4:$S$8977,6,FALSE)</f>
        <v>F</v>
      </c>
      <c r="H332" s="385">
        <f>VLOOKUP(B332,All!$B$4:$S$8977,7,FALSE)</f>
        <v>32052</v>
      </c>
      <c r="I332" s="154">
        <f>VLOOKUP(B332,All!$B$4:$S$8977,8,FALSE)</f>
        <v>43833</v>
      </c>
      <c r="J332" s="154" t="str">
        <f>VLOOKUP(B332,All!$B$4:$S$8977,9,FALSE)</f>
        <v>Production</v>
      </c>
      <c r="K332" s="154" t="str">
        <f>VLOOKUP(B332,All!$B$4:$S$8977,10,FALSE)</f>
        <v>Line21</v>
      </c>
      <c r="L332" s="698" t="str">
        <f>VLOOKUP(B332,All!$B$4:$S$8977,11,FALSE)</f>
        <v>Sewing operator</v>
      </c>
      <c r="M332" s="570">
        <f>VLOOKUP(B332,All!$B$4:$S$8977,12,FALSE)</f>
        <v>192</v>
      </c>
      <c r="N332" s="18">
        <f>VLOOKUP(B332,All!$B$4:$S$8977,13,FALSE)</f>
        <v>3</v>
      </c>
      <c r="O332" s="18">
        <f>VLOOKUP(B332,All!$B$4:$S$8977,14,FALSE)</f>
        <v>0</v>
      </c>
      <c r="P332" s="18">
        <f>VLOOKUP(B332,All!$B$4:$S$8977,15,FALSE)</f>
        <v>0</v>
      </c>
      <c r="Q332" s="18">
        <f>VLOOKUP(B332,All!$B$4:$S$8977,16,FALSE)</f>
        <v>0</v>
      </c>
      <c r="R332" s="18">
        <v>7</v>
      </c>
      <c r="S332" s="18">
        <v>10</v>
      </c>
      <c r="T332" s="550">
        <f t="shared" si="60"/>
        <v>212</v>
      </c>
      <c r="U332" s="568"/>
      <c r="V332" s="3"/>
      <c r="W332" s="3"/>
      <c r="X332" s="3"/>
      <c r="Y332" s="562"/>
      <c r="Z332" s="570">
        <f t="shared" si="53"/>
        <v>194</v>
      </c>
      <c r="AA332" s="18">
        <f t="shared" si="54"/>
        <v>3</v>
      </c>
      <c r="AB332" s="18">
        <f t="shared" si="55"/>
        <v>0</v>
      </c>
      <c r="AC332" s="18">
        <f t="shared" si="56"/>
        <v>0</v>
      </c>
      <c r="AD332" s="18">
        <f t="shared" si="57"/>
        <v>0</v>
      </c>
      <c r="AE332" s="18">
        <f t="shared" si="62"/>
        <v>7</v>
      </c>
      <c r="AF332" s="18">
        <f t="shared" si="62"/>
        <v>10</v>
      </c>
      <c r="AG332" s="550">
        <f t="shared" si="59"/>
        <v>214</v>
      </c>
      <c r="AH332" s="42">
        <v>2</v>
      </c>
      <c r="AI332" s="42">
        <v>0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2</v>
      </c>
    </row>
    <row r="333" spans="1:41" ht="24" customHeight="1">
      <c r="A333" s="11">
        <f t="shared" si="61"/>
        <v>330</v>
      </c>
      <c r="B333" s="390">
        <v>3983</v>
      </c>
      <c r="C333" s="478" t="str">
        <f>VLOOKUP(B333,All!$B$4:$S$8977,2,FALSE)</f>
        <v>អ៊ុក</v>
      </c>
      <c r="D333" s="479" t="str">
        <f>VLOOKUP(B333,All!$B$4:$S$89977,3,FALSE)</f>
        <v>ស្រីម៉ៅ</v>
      </c>
      <c r="E333" s="478" t="str">
        <f>VLOOKUP(B333,All!$B$4:$S$8977,4,FALSE)</f>
        <v>UK</v>
      </c>
      <c r="F333" s="479" t="str">
        <f>VLOOKUP(B333,All!$B$4:$S$8977,5,FALSE)</f>
        <v>SREYMAO</v>
      </c>
      <c r="G333" s="479" t="str">
        <f>VLOOKUP(B333,All!$B$4:$S$8977,6,FALSE)</f>
        <v>F</v>
      </c>
      <c r="H333" s="385">
        <f>VLOOKUP(B333,All!$B$4:$S$8977,7,FALSE)</f>
        <v>31938</v>
      </c>
      <c r="I333" s="154">
        <f>VLOOKUP(B333,All!$B$4:$S$8977,8,FALSE)</f>
        <v>43831</v>
      </c>
      <c r="J333" s="154" t="str">
        <f>VLOOKUP(B333,All!$B$4:$S$8977,9,FALSE)</f>
        <v>Production</v>
      </c>
      <c r="K333" s="154" t="str">
        <f>VLOOKUP(B333,All!$B$4:$S$8977,10,FALSE)</f>
        <v xml:space="preserve"> Line8</v>
      </c>
      <c r="L333" s="698" t="str">
        <f>VLOOKUP(B333,All!$B$4:$S$8977,11,FALSE)</f>
        <v>Sewing operator</v>
      </c>
      <c r="M333" s="570">
        <f>VLOOKUP(B333,All!$B$4:$S$8977,12,FALSE)</f>
        <v>192</v>
      </c>
      <c r="N333" s="18">
        <f>VLOOKUP(B333,All!$B$4:$S$8977,13,FALSE)</f>
        <v>3</v>
      </c>
      <c r="O333" s="18">
        <f>VLOOKUP(B333,All!$B$4:$S$8977,14,FALSE)</f>
        <v>0</v>
      </c>
      <c r="P333" s="18">
        <f>VLOOKUP(B333,All!$B$4:$S$8977,15,FALSE)</f>
        <v>0</v>
      </c>
      <c r="Q333" s="18">
        <f>VLOOKUP(B333,All!$B$4:$S$8977,16,FALSE)</f>
        <v>0</v>
      </c>
      <c r="R333" s="18">
        <v>7</v>
      </c>
      <c r="S333" s="18">
        <v>10</v>
      </c>
      <c r="T333" s="550">
        <f t="shared" si="60"/>
        <v>212</v>
      </c>
      <c r="U333" s="568"/>
      <c r="V333" s="3"/>
      <c r="W333" s="3"/>
      <c r="X333" s="3"/>
      <c r="Y333" s="562"/>
      <c r="Z333" s="570">
        <f t="shared" si="53"/>
        <v>194</v>
      </c>
      <c r="AA333" s="18">
        <f t="shared" si="54"/>
        <v>3</v>
      </c>
      <c r="AB333" s="18">
        <f t="shared" si="55"/>
        <v>0</v>
      </c>
      <c r="AC333" s="18">
        <f t="shared" si="56"/>
        <v>0</v>
      </c>
      <c r="AD333" s="18">
        <f t="shared" si="57"/>
        <v>0</v>
      </c>
      <c r="AE333" s="18">
        <f t="shared" si="62"/>
        <v>7</v>
      </c>
      <c r="AF333" s="18">
        <f t="shared" si="62"/>
        <v>10</v>
      </c>
      <c r="AG333" s="550">
        <f t="shared" ref="AG333:AG350" si="63">SUM(Z333:AF333)</f>
        <v>214</v>
      </c>
      <c r="AH333" s="42">
        <v>2</v>
      </c>
      <c r="AI333" s="42">
        <v>0</v>
      </c>
      <c r="AJ333" s="42">
        <v>0</v>
      </c>
      <c r="AK333" s="42">
        <v>0</v>
      </c>
      <c r="AL333" s="42">
        <v>0</v>
      </c>
      <c r="AM333" s="42">
        <v>0</v>
      </c>
      <c r="AN333" s="42">
        <v>0</v>
      </c>
      <c r="AO333" s="42">
        <v>2</v>
      </c>
    </row>
    <row r="334" spans="1:41" ht="24" customHeight="1">
      <c r="A334" s="11">
        <f t="shared" si="61"/>
        <v>331</v>
      </c>
      <c r="B334" s="390">
        <v>4001</v>
      </c>
      <c r="C334" s="478" t="str">
        <f>VLOOKUP(B334,All!$B$4:$S$8977,2,FALSE)</f>
        <v>ធួក</v>
      </c>
      <c r="D334" s="479" t="str">
        <f>VLOOKUP(B334,All!$B$4:$S$89977,3,FALSE)</f>
        <v>ចន្រ្ទា</v>
      </c>
      <c r="E334" s="478" t="str">
        <f>VLOOKUP(B334,All!$B$4:$S$8977,4,FALSE)</f>
        <v>THUOK</v>
      </c>
      <c r="F334" s="479" t="str">
        <f>VLOOKUP(B334,All!$B$4:$S$8977,5,FALSE)</f>
        <v>CHANTREA</v>
      </c>
      <c r="G334" s="479" t="str">
        <f>VLOOKUP(B334,All!$B$4:$S$8977,6,FALSE)</f>
        <v>F</v>
      </c>
      <c r="H334" s="385">
        <f>VLOOKUP(B334,All!$B$4:$S$8977,7,FALSE)</f>
        <v>32568</v>
      </c>
      <c r="I334" s="154">
        <f>VLOOKUP(B334,All!$B$4:$S$8977,8,FALSE)</f>
        <v>43834</v>
      </c>
      <c r="J334" s="154" t="str">
        <f>VLOOKUP(B334,All!$B$4:$S$8977,9,FALSE)</f>
        <v>Production</v>
      </c>
      <c r="K334" s="154" t="str">
        <f>VLOOKUP(B334,All!$B$4:$S$8977,10,FALSE)</f>
        <v xml:space="preserve"> Line1</v>
      </c>
      <c r="L334" s="698" t="str">
        <f>VLOOKUP(B334,All!$B$4:$S$8977,11,FALSE)</f>
        <v>Sewing operator</v>
      </c>
      <c r="M334" s="570">
        <f>VLOOKUP(B334,All!$B$4:$S$8977,12,FALSE)</f>
        <v>192</v>
      </c>
      <c r="N334" s="18">
        <f>VLOOKUP(B334,All!$B$4:$S$8977,13,FALSE)</f>
        <v>3</v>
      </c>
      <c r="O334" s="18">
        <f>VLOOKUP(B334,All!$B$4:$S$8977,14,FALSE)</f>
        <v>0</v>
      </c>
      <c r="P334" s="18">
        <f>VLOOKUP(B334,All!$B$4:$S$8977,15,FALSE)</f>
        <v>0</v>
      </c>
      <c r="Q334" s="18">
        <f>VLOOKUP(B334,All!$B$4:$S$8977,16,FALSE)</f>
        <v>0</v>
      </c>
      <c r="R334" s="18">
        <v>7</v>
      </c>
      <c r="S334" s="18">
        <v>10</v>
      </c>
      <c r="T334" s="550">
        <f t="shared" si="60"/>
        <v>212</v>
      </c>
      <c r="U334" s="568"/>
      <c r="V334" s="3"/>
      <c r="W334" s="3"/>
      <c r="X334" s="3"/>
      <c r="Y334" s="562"/>
      <c r="Z334" s="570">
        <f t="shared" si="53"/>
        <v>194</v>
      </c>
      <c r="AA334" s="18">
        <f t="shared" si="54"/>
        <v>3</v>
      </c>
      <c r="AB334" s="18">
        <f t="shared" si="55"/>
        <v>0</v>
      </c>
      <c r="AC334" s="18">
        <f t="shared" si="56"/>
        <v>0</v>
      </c>
      <c r="AD334" s="18">
        <f t="shared" si="57"/>
        <v>0</v>
      </c>
      <c r="AE334" s="18">
        <f t="shared" si="62"/>
        <v>7</v>
      </c>
      <c r="AF334" s="18">
        <f t="shared" si="62"/>
        <v>10</v>
      </c>
      <c r="AG334" s="550">
        <f t="shared" si="63"/>
        <v>214</v>
      </c>
      <c r="AH334" s="42">
        <v>2</v>
      </c>
      <c r="AI334" s="42">
        <v>0</v>
      </c>
      <c r="AJ334" s="42">
        <v>0</v>
      </c>
      <c r="AK334" s="42">
        <v>0</v>
      </c>
      <c r="AL334" s="42">
        <v>0</v>
      </c>
      <c r="AM334" s="42">
        <v>0</v>
      </c>
      <c r="AN334" s="42">
        <v>0</v>
      </c>
      <c r="AO334" s="42">
        <v>2</v>
      </c>
    </row>
    <row r="335" spans="1:41" ht="24" customHeight="1">
      <c r="A335" s="11">
        <f t="shared" si="61"/>
        <v>332</v>
      </c>
      <c r="B335" s="390">
        <v>4027</v>
      </c>
      <c r="C335" s="478" t="str">
        <f>VLOOKUP(B335,All!$B$4:$S$8977,2,FALSE)</f>
        <v>ណាវ</v>
      </c>
      <c r="D335" s="479" t="str">
        <f>VLOOKUP(B335,All!$B$4:$S$89977,3,FALSE)</f>
        <v>គុន្ធា</v>
      </c>
      <c r="E335" s="478" t="str">
        <f>VLOOKUP(B335,All!$B$4:$S$8977,4,FALSE)</f>
        <v>NAV</v>
      </c>
      <c r="F335" s="479" t="str">
        <f>VLOOKUP(B335,All!$B$4:$S$8977,5,FALSE)</f>
        <v>KUNTHEA</v>
      </c>
      <c r="G335" s="479" t="str">
        <f>VLOOKUP(B335,All!$B$4:$S$8977,6,FALSE)</f>
        <v>F</v>
      </c>
      <c r="H335" s="385">
        <f>VLOOKUP(B335,All!$B$4:$S$8977,7,FALSE)</f>
        <v>36251</v>
      </c>
      <c r="I335" s="154">
        <f>VLOOKUP(B335,All!$B$4:$S$8977,8,FALSE)</f>
        <v>43848</v>
      </c>
      <c r="J335" s="154" t="str">
        <f>VLOOKUP(B335,All!$B$4:$S$8977,9,FALSE)</f>
        <v>Production</v>
      </c>
      <c r="K335" s="154" t="str">
        <f>VLOOKUP(B335,All!$B$4:$S$8977,10,FALSE)</f>
        <v>Sample</v>
      </c>
      <c r="L335" s="698" t="str">
        <f>VLOOKUP(B335,All!$B$4:$S$8977,11,FALSE)</f>
        <v>SL sewer</v>
      </c>
      <c r="M335" s="570">
        <f>VLOOKUP(B335,All!$B$4:$S$8977,12,FALSE)</f>
        <v>192</v>
      </c>
      <c r="N335" s="18">
        <f>VLOOKUP(B335,All!$B$4:$S$8977,13,FALSE)</f>
        <v>2</v>
      </c>
      <c r="O335" s="18">
        <f>VLOOKUP(B335,All!$B$4:$S$8977,14,FALSE)</f>
        <v>0</v>
      </c>
      <c r="P335" s="18">
        <f>VLOOKUP(B335,All!$B$4:$S$8977,15,FALSE)</f>
        <v>0</v>
      </c>
      <c r="Q335" s="18">
        <f>VLOOKUP(B335,All!$B$4:$S$8977,16,FALSE)</f>
        <v>0</v>
      </c>
      <c r="R335" s="18">
        <v>7</v>
      </c>
      <c r="S335" s="18">
        <v>10</v>
      </c>
      <c r="T335" s="550">
        <f t="shared" si="60"/>
        <v>211</v>
      </c>
      <c r="U335" s="568"/>
      <c r="V335" s="3"/>
      <c r="W335" s="3"/>
      <c r="X335" s="3"/>
      <c r="Y335" s="562"/>
      <c r="Z335" s="570">
        <f t="shared" si="53"/>
        <v>194</v>
      </c>
      <c r="AA335" s="18">
        <f t="shared" si="54"/>
        <v>2</v>
      </c>
      <c r="AB335" s="18">
        <f t="shared" si="55"/>
        <v>0</v>
      </c>
      <c r="AC335" s="18">
        <f t="shared" si="56"/>
        <v>0</v>
      </c>
      <c r="AD335" s="18">
        <f t="shared" si="57"/>
        <v>0</v>
      </c>
      <c r="AE335" s="18">
        <f t="shared" si="62"/>
        <v>7</v>
      </c>
      <c r="AF335" s="18">
        <f t="shared" si="62"/>
        <v>10</v>
      </c>
      <c r="AG335" s="550">
        <f t="shared" si="63"/>
        <v>213</v>
      </c>
      <c r="AH335" s="42">
        <v>2</v>
      </c>
      <c r="AI335" s="42">
        <v>0</v>
      </c>
      <c r="AJ335" s="42">
        <v>0</v>
      </c>
      <c r="AK335" s="42">
        <v>0</v>
      </c>
      <c r="AL335" s="42">
        <v>0</v>
      </c>
      <c r="AM335" s="42">
        <v>0</v>
      </c>
      <c r="AN335" s="42">
        <v>0</v>
      </c>
      <c r="AO335" s="42">
        <v>2</v>
      </c>
    </row>
    <row r="336" spans="1:41" ht="24" customHeight="1">
      <c r="A336" s="11">
        <f t="shared" si="61"/>
        <v>333</v>
      </c>
      <c r="B336" s="390">
        <v>4006</v>
      </c>
      <c r="C336" s="478" t="str">
        <f>VLOOKUP(B336,All!$B$4:$S$8977,2,FALSE)</f>
        <v>ណុង</v>
      </c>
      <c r="D336" s="479" t="str">
        <f>VLOOKUP(B336,All!$B$4:$S$89977,3,FALSE)</f>
        <v>សំអូន</v>
      </c>
      <c r="E336" s="478" t="str">
        <f>VLOOKUP(B336,All!$B$4:$S$8977,4,FALSE)</f>
        <v>NONG</v>
      </c>
      <c r="F336" s="479" t="str">
        <f>VLOOKUP(B336,All!$B$4:$S$8977,5,FALSE)</f>
        <v>SAM OUN</v>
      </c>
      <c r="G336" s="479" t="str">
        <f>VLOOKUP(B336,All!$B$4:$S$8977,6,FALSE)</f>
        <v>F</v>
      </c>
      <c r="H336" s="385">
        <f>VLOOKUP(B336,All!$B$4:$S$8977,7,FALSE)</f>
        <v>30900</v>
      </c>
      <c r="I336" s="154">
        <f>VLOOKUP(B336,All!$B$4:$S$8977,8,FALSE)</f>
        <v>43835</v>
      </c>
      <c r="J336" s="154" t="str">
        <f>VLOOKUP(B336,All!$B$4:$S$8977,9,FALSE)</f>
        <v>Production</v>
      </c>
      <c r="K336" s="154" t="str">
        <f>VLOOKUP(B336,All!$B$4:$S$8977,10,FALSE)</f>
        <v xml:space="preserve"> Line6</v>
      </c>
      <c r="L336" s="698" t="str">
        <f>VLOOKUP(B336,All!$B$4:$S$8977,11,FALSE)</f>
        <v>Sewing operator</v>
      </c>
      <c r="M336" s="570">
        <f>VLOOKUP(B336,All!$B$4:$S$8977,12,FALSE)</f>
        <v>192</v>
      </c>
      <c r="N336" s="18">
        <f>VLOOKUP(B336,All!$B$4:$S$8977,13,FALSE)</f>
        <v>3</v>
      </c>
      <c r="O336" s="18">
        <f>VLOOKUP(B336,All!$B$4:$S$8977,14,FALSE)</f>
        <v>0</v>
      </c>
      <c r="P336" s="18">
        <f>VLOOKUP(B336,All!$B$4:$S$8977,15,FALSE)</f>
        <v>0</v>
      </c>
      <c r="Q336" s="18">
        <f>VLOOKUP(B336,All!$B$4:$S$8977,16,FALSE)</f>
        <v>0</v>
      </c>
      <c r="R336" s="18">
        <v>7</v>
      </c>
      <c r="S336" s="18">
        <v>10</v>
      </c>
      <c r="T336" s="550">
        <f t="shared" si="60"/>
        <v>212</v>
      </c>
      <c r="U336" s="568"/>
      <c r="V336" s="3"/>
      <c r="W336" s="3"/>
      <c r="X336" s="3"/>
      <c r="Y336" s="562"/>
      <c r="Z336" s="570">
        <f t="shared" si="53"/>
        <v>194</v>
      </c>
      <c r="AA336" s="18">
        <f t="shared" si="54"/>
        <v>3</v>
      </c>
      <c r="AB336" s="18">
        <f t="shared" si="55"/>
        <v>0</v>
      </c>
      <c r="AC336" s="18">
        <f t="shared" si="56"/>
        <v>0</v>
      </c>
      <c r="AD336" s="18">
        <f t="shared" si="57"/>
        <v>0</v>
      </c>
      <c r="AE336" s="18">
        <f t="shared" si="62"/>
        <v>7</v>
      </c>
      <c r="AF336" s="18">
        <f t="shared" si="62"/>
        <v>10</v>
      </c>
      <c r="AG336" s="550">
        <f t="shared" si="63"/>
        <v>214</v>
      </c>
      <c r="AH336" s="42">
        <v>2</v>
      </c>
      <c r="AI336" s="42">
        <v>0</v>
      </c>
      <c r="AJ336" s="42">
        <v>0</v>
      </c>
      <c r="AK336" s="42">
        <v>0</v>
      </c>
      <c r="AL336" s="42">
        <v>0</v>
      </c>
      <c r="AM336" s="42">
        <v>0</v>
      </c>
      <c r="AN336" s="42">
        <v>0</v>
      </c>
      <c r="AO336" s="42">
        <v>2</v>
      </c>
    </row>
    <row r="337" spans="1:41" ht="24" customHeight="1">
      <c r="A337" s="11">
        <f t="shared" si="61"/>
        <v>334</v>
      </c>
      <c r="B337" s="390">
        <v>4141</v>
      </c>
      <c r="C337" s="478" t="str">
        <f>VLOOKUP(B337,All!$B$4:$S$8977,2,FALSE)</f>
        <v>កែវ</v>
      </c>
      <c r="D337" s="479" t="str">
        <f>VLOOKUP(B337,All!$B$4:$S$89977,3,FALSE)</f>
        <v>ចន្ធា</v>
      </c>
      <c r="E337" s="478" t="str">
        <f>VLOOKUP(B337,All!$B$4:$S$8977,4,FALSE)</f>
        <v>KEO</v>
      </c>
      <c r="F337" s="479" t="str">
        <f>VLOOKUP(B337,All!$B$4:$S$8977,5,FALSE)</f>
        <v>CHANTHEA</v>
      </c>
      <c r="G337" s="479" t="str">
        <f>VLOOKUP(B337,All!$B$4:$S$8977,6,FALSE)</f>
        <v>F</v>
      </c>
      <c r="H337" s="385">
        <f>VLOOKUP(B337,All!$B$4:$S$8977,7,FALSE)</f>
        <v>33791</v>
      </c>
      <c r="I337" s="154">
        <f>VLOOKUP(B337,All!$B$4:$S$8977,8,FALSE)</f>
        <v>43835</v>
      </c>
      <c r="J337" s="154" t="str">
        <f>VLOOKUP(B337,All!$B$4:$S$8977,9,FALSE)</f>
        <v>Production</v>
      </c>
      <c r="K337" s="154" t="str">
        <f>VLOOKUP(B337,All!$B$4:$S$8977,10,FALSE)</f>
        <v xml:space="preserve"> Line1</v>
      </c>
      <c r="L337" s="698" t="str">
        <f>VLOOKUP(B337,All!$B$4:$S$8977,11,FALSE)</f>
        <v>Sewing operator</v>
      </c>
      <c r="M337" s="570">
        <f>VLOOKUP(B337,All!$B$4:$S$8977,12,FALSE)</f>
        <v>192</v>
      </c>
      <c r="N337" s="18">
        <f>VLOOKUP(B337,All!$B$4:$S$8977,13,FALSE)</f>
        <v>3</v>
      </c>
      <c r="O337" s="18">
        <f>VLOOKUP(B337,All!$B$4:$S$8977,14,FALSE)</f>
        <v>0</v>
      </c>
      <c r="P337" s="18">
        <f>VLOOKUP(B337,All!$B$4:$S$8977,15,FALSE)</f>
        <v>0</v>
      </c>
      <c r="Q337" s="18">
        <f>VLOOKUP(B337,All!$B$4:$S$8977,16,FALSE)</f>
        <v>0</v>
      </c>
      <c r="R337" s="18">
        <v>7</v>
      </c>
      <c r="S337" s="18">
        <v>10</v>
      </c>
      <c r="T337" s="550">
        <f t="shared" si="60"/>
        <v>212</v>
      </c>
      <c r="U337" s="568"/>
      <c r="V337" s="3"/>
      <c r="W337" s="3"/>
      <c r="X337" s="3"/>
      <c r="Y337" s="562"/>
      <c r="Z337" s="570">
        <f t="shared" ref="Z337:Z397" si="64">M337+AH337</f>
        <v>194</v>
      </c>
      <c r="AA337" s="18">
        <f t="shared" ref="AA337:AA397" si="65">N337</f>
        <v>3</v>
      </c>
      <c r="AB337" s="18">
        <f t="shared" ref="AB337:AB397" si="66">O337</f>
        <v>0</v>
      </c>
      <c r="AC337" s="18">
        <f t="shared" ref="AC337:AC397" si="67">P337</f>
        <v>0</v>
      </c>
      <c r="AD337" s="18">
        <f t="shared" ref="AD337:AD397" si="68">Q337</f>
        <v>0</v>
      </c>
      <c r="AE337" s="18">
        <f t="shared" si="62"/>
        <v>7</v>
      </c>
      <c r="AF337" s="18">
        <f t="shared" si="62"/>
        <v>10</v>
      </c>
      <c r="AG337" s="550">
        <f t="shared" si="63"/>
        <v>214</v>
      </c>
      <c r="AH337" s="42">
        <v>2</v>
      </c>
      <c r="AI337" s="42">
        <v>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2</v>
      </c>
    </row>
    <row r="338" spans="1:41" ht="24" customHeight="1">
      <c r="A338" s="11">
        <f t="shared" si="61"/>
        <v>335</v>
      </c>
      <c r="B338" s="390">
        <v>4016</v>
      </c>
      <c r="C338" s="478" t="str">
        <f>VLOOKUP(B338,All!$B$4:$S$8977,2,FALSE)</f>
        <v>សេន</v>
      </c>
      <c r="D338" s="479" t="str">
        <f>VLOOKUP(B338,All!$B$4:$S$89977,3,FALSE)</f>
        <v>ធី</v>
      </c>
      <c r="E338" s="478" t="str">
        <f>VLOOKUP(B338,All!$B$4:$S$8977,4,FALSE)</f>
        <v>SEN</v>
      </c>
      <c r="F338" s="479" t="str">
        <f>VLOOKUP(B338,All!$B$4:$S$8977,5,FALSE)</f>
        <v>THY</v>
      </c>
      <c r="G338" s="479" t="str">
        <f>VLOOKUP(B338,All!$B$4:$S$8977,6,FALSE)</f>
        <v>F</v>
      </c>
      <c r="H338" s="385">
        <f>VLOOKUP(B338,All!$B$4:$S$8977,7,FALSE)</f>
        <v>31052</v>
      </c>
      <c r="I338" s="154">
        <f>VLOOKUP(B338,All!$B$4:$S$8977,8,FALSE)</f>
        <v>43836</v>
      </c>
      <c r="J338" s="154" t="str">
        <f>VLOOKUP(B338,All!$B$4:$S$8977,9,FALSE)</f>
        <v>Production</v>
      </c>
      <c r="K338" s="154" t="str">
        <f>VLOOKUP(B338,All!$B$4:$S$8977,10,FALSE)</f>
        <v xml:space="preserve"> Line1</v>
      </c>
      <c r="L338" s="698" t="str">
        <f>VLOOKUP(B338,All!$B$4:$S$8977,11,FALSE)</f>
        <v>Sewing operator</v>
      </c>
      <c r="M338" s="570">
        <f>VLOOKUP(B338,All!$B$4:$S$8977,12,FALSE)</f>
        <v>192</v>
      </c>
      <c r="N338" s="18">
        <f>VLOOKUP(B338,All!$B$4:$S$8977,13,FALSE)</f>
        <v>3</v>
      </c>
      <c r="O338" s="18">
        <f>VLOOKUP(B338,All!$B$4:$S$8977,14,FALSE)</f>
        <v>0</v>
      </c>
      <c r="P338" s="18">
        <f>VLOOKUP(B338,All!$B$4:$S$8977,15,FALSE)</f>
        <v>0</v>
      </c>
      <c r="Q338" s="18">
        <f>VLOOKUP(B338,All!$B$4:$S$8977,16,FALSE)</f>
        <v>0</v>
      </c>
      <c r="R338" s="18">
        <v>7</v>
      </c>
      <c r="S338" s="18">
        <v>10</v>
      </c>
      <c r="T338" s="550">
        <f t="shared" si="60"/>
        <v>212</v>
      </c>
      <c r="U338" s="568"/>
      <c r="V338" s="3"/>
      <c r="W338" s="3"/>
      <c r="X338" s="3"/>
      <c r="Y338" s="562"/>
      <c r="Z338" s="570">
        <f t="shared" si="64"/>
        <v>194</v>
      </c>
      <c r="AA338" s="18">
        <f t="shared" si="65"/>
        <v>3</v>
      </c>
      <c r="AB338" s="18">
        <f t="shared" si="66"/>
        <v>0</v>
      </c>
      <c r="AC338" s="18">
        <f t="shared" si="67"/>
        <v>0</v>
      </c>
      <c r="AD338" s="18">
        <f t="shared" si="68"/>
        <v>0</v>
      </c>
      <c r="AE338" s="18">
        <f t="shared" si="62"/>
        <v>7</v>
      </c>
      <c r="AF338" s="18">
        <f t="shared" si="62"/>
        <v>10</v>
      </c>
      <c r="AG338" s="550">
        <f t="shared" si="63"/>
        <v>214</v>
      </c>
      <c r="AH338" s="42">
        <v>2</v>
      </c>
      <c r="AI338" s="42">
        <v>0</v>
      </c>
      <c r="AJ338" s="42">
        <v>0</v>
      </c>
      <c r="AK338" s="42">
        <v>0</v>
      </c>
      <c r="AL338" s="42">
        <v>0</v>
      </c>
      <c r="AM338" s="42">
        <v>0</v>
      </c>
      <c r="AN338" s="42">
        <v>0</v>
      </c>
      <c r="AO338" s="42">
        <v>2</v>
      </c>
    </row>
    <row r="339" spans="1:41" ht="24" customHeight="1">
      <c r="A339" s="11">
        <f t="shared" si="61"/>
        <v>336</v>
      </c>
      <c r="B339" s="390">
        <v>3992</v>
      </c>
      <c r="C339" s="478" t="str">
        <f>VLOOKUP(B339,All!$B$4:$S$8977,2,FALSE)</f>
        <v>ស៊ន</v>
      </c>
      <c r="D339" s="479" t="str">
        <f>VLOOKUP(B339,All!$B$4:$S$89977,3,FALSE)</f>
        <v>សារិន</v>
      </c>
      <c r="E339" s="478" t="str">
        <f>VLOOKUP(B339,All!$B$4:$S$8977,4,FALSE)</f>
        <v>SORN</v>
      </c>
      <c r="F339" s="479" t="str">
        <f>VLOOKUP(B339,All!$B$4:$S$8977,5,FALSE)</f>
        <v>SARIN</v>
      </c>
      <c r="G339" s="479" t="str">
        <f>VLOOKUP(B339,All!$B$4:$S$8977,6,FALSE)</f>
        <v>F</v>
      </c>
      <c r="H339" s="385">
        <f>VLOOKUP(B339,All!$B$4:$S$8977,7,FALSE)</f>
        <v>33220</v>
      </c>
      <c r="I339" s="154">
        <f>VLOOKUP(B339,All!$B$4:$S$8977,8,FALSE)</f>
        <v>43834</v>
      </c>
      <c r="J339" s="154" t="str">
        <f>VLOOKUP(B339,All!$B$4:$S$8977,9,FALSE)</f>
        <v>Production</v>
      </c>
      <c r="K339" s="154" t="str">
        <f>VLOOKUP(B339,All!$B$4:$S$8977,10,FALSE)</f>
        <v>QC  A</v>
      </c>
      <c r="L339" s="698" t="str">
        <f>VLOOKUP(B339,All!$B$4:$S$8977,11,FALSE)</f>
        <v>Inspector</v>
      </c>
      <c r="M339" s="570">
        <f>VLOOKUP(B339,All!$B$4:$S$8977,12,FALSE)</f>
        <v>192</v>
      </c>
      <c r="N339" s="18">
        <f>VLOOKUP(B339,All!$B$4:$S$8977,13,FALSE)</f>
        <v>3</v>
      </c>
      <c r="O339" s="18">
        <f>VLOOKUP(B339,All!$B$4:$S$8977,14,FALSE)</f>
        <v>0</v>
      </c>
      <c r="P339" s="18">
        <f>VLOOKUP(B339,All!$B$4:$S$8977,15,FALSE)</f>
        <v>0</v>
      </c>
      <c r="Q339" s="18">
        <f>VLOOKUP(B339,All!$B$4:$S$8977,16,FALSE)</f>
        <v>0</v>
      </c>
      <c r="R339" s="18">
        <v>7</v>
      </c>
      <c r="S339" s="18">
        <v>10</v>
      </c>
      <c r="T339" s="550">
        <f t="shared" si="60"/>
        <v>212</v>
      </c>
      <c r="U339" s="568"/>
      <c r="V339" s="3"/>
      <c r="W339" s="3"/>
      <c r="X339" s="3"/>
      <c r="Y339" s="562"/>
      <c r="Z339" s="570">
        <f t="shared" si="64"/>
        <v>194</v>
      </c>
      <c r="AA339" s="18">
        <f t="shared" si="65"/>
        <v>3</v>
      </c>
      <c r="AB339" s="18">
        <f t="shared" si="66"/>
        <v>0</v>
      </c>
      <c r="AC339" s="18">
        <f t="shared" si="67"/>
        <v>0</v>
      </c>
      <c r="AD339" s="18">
        <f t="shared" si="68"/>
        <v>0</v>
      </c>
      <c r="AE339" s="18">
        <f t="shared" si="62"/>
        <v>7</v>
      </c>
      <c r="AF339" s="18">
        <f t="shared" si="62"/>
        <v>10</v>
      </c>
      <c r="AG339" s="550">
        <f t="shared" si="63"/>
        <v>214</v>
      </c>
      <c r="AH339" s="42">
        <v>2</v>
      </c>
      <c r="AI339" s="42">
        <v>0</v>
      </c>
      <c r="AJ339" s="42">
        <v>0</v>
      </c>
      <c r="AK339" s="42">
        <v>0</v>
      </c>
      <c r="AL339" s="42">
        <v>0</v>
      </c>
      <c r="AM339" s="42">
        <v>0</v>
      </c>
      <c r="AN339" s="42">
        <v>0</v>
      </c>
      <c r="AO339" s="42">
        <v>2</v>
      </c>
    </row>
    <row r="340" spans="1:41" ht="24" customHeight="1">
      <c r="A340" s="11">
        <f t="shared" si="61"/>
        <v>337</v>
      </c>
      <c r="B340" s="390">
        <v>4008</v>
      </c>
      <c r="C340" s="478" t="str">
        <f>VLOOKUP(B340,All!$B$4:$S$8977,2,FALSE)</f>
        <v>ប៊ុន</v>
      </c>
      <c r="D340" s="479" t="str">
        <f>VLOOKUP(B340,All!$B$4:$S$89977,3,FALSE)</f>
        <v>ស៊ីណាត</v>
      </c>
      <c r="E340" s="478" t="str">
        <f>VLOOKUP(B340,All!$B$4:$S$8977,4,FALSE)</f>
        <v>BUN</v>
      </c>
      <c r="F340" s="479" t="str">
        <f>VLOOKUP(B340,All!$B$4:$S$8977,5,FALSE)</f>
        <v>SENATH</v>
      </c>
      <c r="G340" s="479" t="str">
        <f>VLOOKUP(B340,All!$B$4:$S$8977,6,FALSE)</f>
        <v>F</v>
      </c>
      <c r="H340" s="385">
        <f>VLOOKUP(B340,All!$B$4:$S$8977,7,FALSE)</f>
        <v>28933</v>
      </c>
      <c r="I340" s="154">
        <f>VLOOKUP(B340,All!$B$4:$S$8977,8,FALSE)</f>
        <v>43835</v>
      </c>
      <c r="J340" s="154" t="str">
        <f>VLOOKUP(B340,All!$B$4:$S$8977,9,FALSE)</f>
        <v>Production</v>
      </c>
      <c r="K340" s="154" t="str">
        <f>VLOOKUP(B340,All!$B$4:$S$8977,10,FALSE)</f>
        <v>Line20</v>
      </c>
      <c r="L340" s="698" t="str">
        <f>VLOOKUP(B340,All!$B$4:$S$8977,11,FALSE)</f>
        <v>Sewing operator</v>
      </c>
      <c r="M340" s="570">
        <f>VLOOKUP(B340,All!$B$4:$S$8977,12,FALSE)</f>
        <v>192</v>
      </c>
      <c r="N340" s="18">
        <f>VLOOKUP(B340,All!$B$4:$S$8977,13,FALSE)</f>
        <v>3</v>
      </c>
      <c r="O340" s="18">
        <f>VLOOKUP(B340,All!$B$4:$S$8977,14,FALSE)</f>
        <v>0</v>
      </c>
      <c r="P340" s="18">
        <f>VLOOKUP(B340,All!$B$4:$S$8977,15,FALSE)</f>
        <v>0</v>
      </c>
      <c r="Q340" s="18">
        <f>VLOOKUP(B340,All!$B$4:$S$8977,16,FALSE)</f>
        <v>0</v>
      </c>
      <c r="R340" s="18">
        <v>7</v>
      </c>
      <c r="S340" s="18">
        <v>10</v>
      </c>
      <c r="T340" s="550">
        <f t="shared" si="60"/>
        <v>212</v>
      </c>
      <c r="U340" s="568"/>
      <c r="V340" s="3"/>
      <c r="W340" s="3"/>
      <c r="X340" s="3"/>
      <c r="Y340" s="562"/>
      <c r="Z340" s="570">
        <f t="shared" si="64"/>
        <v>194</v>
      </c>
      <c r="AA340" s="18">
        <f t="shared" si="65"/>
        <v>3</v>
      </c>
      <c r="AB340" s="18">
        <f t="shared" si="66"/>
        <v>0</v>
      </c>
      <c r="AC340" s="18">
        <f t="shared" si="67"/>
        <v>0</v>
      </c>
      <c r="AD340" s="18">
        <f t="shared" si="68"/>
        <v>0</v>
      </c>
      <c r="AE340" s="18">
        <f t="shared" si="62"/>
        <v>7</v>
      </c>
      <c r="AF340" s="18">
        <f t="shared" si="62"/>
        <v>10</v>
      </c>
      <c r="AG340" s="550">
        <f t="shared" si="63"/>
        <v>214</v>
      </c>
      <c r="AH340" s="42">
        <v>2</v>
      </c>
      <c r="AI340" s="42">
        <v>0</v>
      </c>
      <c r="AJ340" s="42">
        <v>0</v>
      </c>
      <c r="AK340" s="42">
        <v>0</v>
      </c>
      <c r="AL340" s="42">
        <v>0</v>
      </c>
      <c r="AM340" s="42">
        <v>0</v>
      </c>
      <c r="AN340" s="42">
        <v>0</v>
      </c>
      <c r="AO340" s="42">
        <v>2</v>
      </c>
    </row>
    <row r="341" spans="1:41" ht="24" customHeight="1">
      <c r="A341" s="11">
        <f t="shared" si="61"/>
        <v>338</v>
      </c>
      <c r="B341" s="390">
        <v>4028</v>
      </c>
      <c r="C341" s="478" t="str">
        <f>VLOOKUP(B341,All!$B$4:$S$8977,2,FALSE)</f>
        <v>អឿក</v>
      </c>
      <c r="D341" s="479" t="str">
        <f>VLOOKUP(B341,All!$B$4:$S$89977,3,FALSE)</f>
        <v>សំរិទ្ធិ</v>
      </c>
      <c r="E341" s="478" t="str">
        <f>VLOOKUP(B341,All!$B$4:$S$8977,4,FALSE)</f>
        <v>OEURK</v>
      </c>
      <c r="F341" s="479" t="str">
        <f>VLOOKUP(B341,All!$B$4:$S$8977,5,FALSE)</f>
        <v>SAMRITH</v>
      </c>
      <c r="G341" s="479" t="str">
        <f>VLOOKUP(B341,All!$B$4:$S$8977,6,FALSE)</f>
        <v>F</v>
      </c>
      <c r="H341" s="385">
        <f>VLOOKUP(B341,All!$B$4:$S$8977,7,FALSE)</f>
        <v>33760</v>
      </c>
      <c r="I341" s="154">
        <f>VLOOKUP(B341,All!$B$4:$S$8977,8,FALSE)</f>
        <v>43851</v>
      </c>
      <c r="J341" s="154" t="str">
        <f>VLOOKUP(B341,All!$B$4:$S$8977,9,FALSE)</f>
        <v>Production</v>
      </c>
      <c r="K341" s="154" t="str">
        <f>VLOOKUP(B341,All!$B$4:$S$8977,10,FALSE)</f>
        <v xml:space="preserve"> Line6</v>
      </c>
      <c r="L341" s="698" t="str">
        <f>VLOOKUP(B341,All!$B$4:$S$8977,11,FALSE)</f>
        <v>Sewing operator</v>
      </c>
      <c r="M341" s="570">
        <f>VLOOKUP(B341,All!$B$4:$S$8977,12,FALSE)</f>
        <v>192</v>
      </c>
      <c r="N341" s="18">
        <f>VLOOKUP(B341,All!$B$4:$S$8977,13,FALSE)</f>
        <v>2</v>
      </c>
      <c r="O341" s="18">
        <f>VLOOKUP(B341,All!$B$4:$S$8977,14,FALSE)</f>
        <v>0</v>
      </c>
      <c r="P341" s="18">
        <f>VLOOKUP(B341,All!$B$4:$S$8977,15,FALSE)</f>
        <v>0</v>
      </c>
      <c r="Q341" s="18">
        <f>VLOOKUP(B341,All!$B$4:$S$8977,16,FALSE)</f>
        <v>0</v>
      </c>
      <c r="R341" s="18">
        <v>7</v>
      </c>
      <c r="S341" s="18">
        <v>10</v>
      </c>
      <c r="T341" s="550">
        <f t="shared" si="60"/>
        <v>211</v>
      </c>
      <c r="U341" s="568"/>
      <c r="V341" s="3"/>
      <c r="W341" s="3"/>
      <c r="X341" s="3"/>
      <c r="Y341" s="562"/>
      <c r="Z341" s="570">
        <f t="shared" si="64"/>
        <v>194</v>
      </c>
      <c r="AA341" s="18">
        <f t="shared" si="65"/>
        <v>2</v>
      </c>
      <c r="AB341" s="18">
        <f t="shared" si="66"/>
        <v>0</v>
      </c>
      <c r="AC341" s="18">
        <f t="shared" si="67"/>
        <v>0</v>
      </c>
      <c r="AD341" s="18">
        <f t="shared" si="68"/>
        <v>0</v>
      </c>
      <c r="AE341" s="18">
        <f t="shared" si="62"/>
        <v>7</v>
      </c>
      <c r="AF341" s="18">
        <f t="shared" si="62"/>
        <v>10</v>
      </c>
      <c r="AG341" s="550">
        <f t="shared" si="63"/>
        <v>213</v>
      </c>
      <c r="AH341" s="42">
        <v>2</v>
      </c>
      <c r="AI341" s="42">
        <v>0</v>
      </c>
      <c r="AJ341" s="42">
        <v>0</v>
      </c>
      <c r="AK341" s="42">
        <v>0</v>
      </c>
      <c r="AL341" s="42">
        <v>0</v>
      </c>
      <c r="AM341" s="42">
        <v>0</v>
      </c>
      <c r="AN341" s="42">
        <v>0</v>
      </c>
      <c r="AO341" s="42">
        <v>2</v>
      </c>
    </row>
    <row r="342" spans="1:41" ht="24" customHeight="1">
      <c r="A342" s="11">
        <f t="shared" si="61"/>
        <v>339</v>
      </c>
      <c r="B342" s="390">
        <v>3999</v>
      </c>
      <c r="C342" s="478" t="str">
        <f>VLOOKUP(B342,All!$B$4:$S$8977,2,FALSE)</f>
        <v>ឆិល</v>
      </c>
      <c r="D342" s="479" t="str">
        <f>VLOOKUP(B342,All!$B$4:$S$89977,3,FALSE)</f>
        <v>អូន</v>
      </c>
      <c r="E342" s="478" t="str">
        <f>VLOOKUP(B342,All!$B$4:$S$8977,4,FALSE)</f>
        <v>CHHOEL</v>
      </c>
      <c r="F342" s="479" t="str">
        <f>VLOOKUP(B342,All!$B$4:$S$8977,5,FALSE)</f>
        <v>AUN</v>
      </c>
      <c r="G342" s="479" t="str">
        <f>VLOOKUP(B342,All!$B$4:$S$8977,6,FALSE)</f>
        <v>F</v>
      </c>
      <c r="H342" s="385">
        <f>VLOOKUP(B342,All!$B$4:$S$8977,7,FALSE)</f>
        <v>35488</v>
      </c>
      <c r="I342" s="154">
        <f>VLOOKUP(B342,All!$B$4:$S$8977,8,FALSE)</f>
        <v>43834</v>
      </c>
      <c r="J342" s="154" t="str">
        <f>VLOOKUP(B342,All!$B$4:$S$8977,9,FALSE)</f>
        <v>Production</v>
      </c>
      <c r="K342" s="154" t="str">
        <f>VLOOKUP(B342,All!$B$4:$S$8977,10,FALSE)</f>
        <v xml:space="preserve"> Line2</v>
      </c>
      <c r="L342" s="698" t="str">
        <f>VLOOKUP(B342,All!$B$4:$S$8977,11,FALSE)</f>
        <v>Sewing operator</v>
      </c>
      <c r="M342" s="570">
        <f>VLOOKUP(B342,All!$B$4:$S$8977,12,FALSE)</f>
        <v>192</v>
      </c>
      <c r="N342" s="18">
        <f>VLOOKUP(B342,All!$B$4:$S$8977,13,FALSE)</f>
        <v>3</v>
      </c>
      <c r="O342" s="18">
        <f>VLOOKUP(B342,All!$B$4:$S$8977,14,FALSE)</f>
        <v>0</v>
      </c>
      <c r="P342" s="18">
        <f>VLOOKUP(B342,All!$B$4:$S$8977,15,FALSE)</f>
        <v>0</v>
      </c>
      <c r="Q342" s="18">
        <f>VLOOKUP(B342,All!$B$4:$S$8977,16,FALSE)</f>
        <v>0</v>
      </c>
      <c r="R342" s="18">
        <v>7</v>
      </c>
      <c r="S342" s="18">
        <v>10</v>
      </c>
      <c r="T342" s="550">
        <f t="shared" si="60"/>
        <v>212</v>
      </c>
      <c r="U342" s="568"/>
      <c r="V342" s="3"/>
      <c r="W342" s="3"/>
      <c r="X342" s="3"/>
      <c r="Y342" s="562"/>
      <c r="Z342" s="570">
        <f t="shared" si="64"/>
        <v>194</v>
      </c>
      <c r="AA342" s="18">
        <f t="shared" si="65"/>
        <v>3</v>
      </c>
      <c r="AB342" s="18">
        <f t="shared" si="66"/>
        <v>0</v>
      </c>
      <c r="AC342" s="18">
        <f t="shared" si="67"/>
        <v>0</v>
      </c>
      <c r="AD342" s="18">
        <f t="shared" si="68"/>
        <v>0</v>
      </c>
      <c r="AE342" s="18">
        <f t="shared" si="62"/>
        <v>7</v>
      </c>
      <c r="AF342" s="18">
        <f t="shared" si="62"/>
        <v>10</v>
      </c>
      <c r="AG342" s="550">
        <f t="shared" si="63"/>
        <v>214</v>
      </c>
      <c r="AH342" s="42">
        <v>2</v>
      </c>
      <c r="AI342" s="42">
        <v>0</v>
      </c>
      <c r="AJ342" s="42">
        <v>0</v>
      </c>
      <c r="AK342" s="42">
        <v>0</v>
      </c>
      <c r="AL342" s="42">
        <v>0</v>
      </c>
      <c r="AM342" s="42">
        <v>0</v>
      </c>
      <c r="AN342" s="42">
        <v>0</v>
      </c>
      <c r="AO342" s="42">
        <v>2</v>
      </c>
    </row>
    <row r="343" spans="1:41" ht="24" customHeight="1">
      <c r="A343" s="11">
        <f t="shared" si="61"/>
        <v>340</v>
      </c>
      <c r="B343" s="390">
        <v>3995</v>
      </c>
      <c r="C343" s="478" t="str">
        <f>VLOOKUP(B343,All!$B$4:$S$8977,2,FALSE)</f>
        <v>ដួង</v>
      </c>
      <c r="D343" s="479" t="str">
        <f>VLOOKUP(B343,All!$B$4:$S$89977,3,FALSE)</f>
        <v>នី</v>
      </c>
      <c r="E343" s="478" t="str">
        <f>VLOOKUP(B343,All!$B$4:$S$8977,4,FALSE)</f>
        <v>DOUNG</v>
      </c>
      <c r="F343" s="479" t="str">
        <f>VLOOKUP(B343,All!$B$4:$S$8977,5,FALSE)</f>
        <v>NY</v>
      </c>
      <c r="G343" s="479" t="str">
        <f>VLOOKUP(B343,All!$B$4:$S$8977,6,FALSE)</f>
        <v>F</v>
      </c>
      <c r="H343" s="385">
        <f>VLOOKUP(B343,All!$B$4:$S$8977,7,FALSE)</f>
        <v>29830</v>
      </c>
      <c r="I343" s="154">
        <f>VLOOKUP(B343,All!$B$4:$S$8977,8,FALSE)</f>
        <v>43833</v>
      </c>
      <c r="J343" s="154" t="str">
        <f>VLOOKUP(B343,All!$B$4:$S$8977,9,FALSE)</f>
        <v>Production</v>
      </c>
      <c r="K343" s="154" t="str">
        <f>VLOOKUP(B343,All!$B$4:$S$8977,10,FALSE)</f>
        <v>Line17</v>
      </c>
      <c r="L343" s="698" t="str">
        <f>VLOOKUP(B343,All!$B$4:$S$8977,11,FALSE)</f>
        <v>Sewing operator</v>
      </c>
      <c r="M343" s="570">
        <f>VLOOKUP(B343,All!$B$4:$S$8977,12,FALSE)</f>
        <v>192</v>
      </c>
      <c r="N343" s="18">
        <f>VLOOKUP(B343,All!$B$4:$S$8977,13,FALSE)</f>
        <v>3</v>
      </c>
      <c r="O343" s="18">
        <f>VLOOKUP(B343,All!$B$4:$S$8977,14,FALSE)</f>
        <v>0</v>
      </c>
      <c r="P343" s="18">
        <f>VLOOKUP(B343,All!$B$4:$S$8977,15,FALSE)</f>
        <v>0</v>
      </c>
      <c r="Q343" s="18">
        <f>VLOOKUP(B343,All!$B$4:$S$8977,16,FALSE)</f>
        <v>0</v>
      </c>
      <c r="R343" s="18">
        <v>7</v>
      </c>
      <c r="S343" s="18">
        <v>10</v>
      </c>
      <c r="T343" s="550">
        <f t="shared" si="60"/>
        <v>212</v>
      </c>
      <c r="U343" s="568"/>
      <c r="V343" s="3"/>
      <c r="W343" s="3"/>
      <c r="X343" s="3"/>
      <c r="Y343" s="562"/>
      <c r="Z343" s="570">
        <f t="shared" si="64"/>
        <v>194</v>
      </c>
      <c r="AA343" s="18">
        <f t="shared" si="65"/>
        <v>3</v>
      </c>
      <c r="AB343" s="18">
        <f t="shared" si="66"/>
        <v>0</v>
      </c>
      <c r="AC343" s="18">
        <f t="shared" si="67"/>
        <v>0</v>
      </c>
      <c r="AD343" s="18">
        <f t="shared" si="68"/>
        <v>0</v>
      </c>
      <c r="AE343" s="18">
        <f t="shared" si="62"/>
        <v>7</v>
      </c>
      <c r="AF343" s="18">
        <f t="shared" si="62"/>
        <v>10</v>
      </c>
      <c r="AG343" s="550">
        <f t="shared" si="63"/>
        <v>214</v>
      </c>
      <c r="AH343" s="42">
        <v>2</v>
      </c>
      <c r="AI343" s="42">
        <v>0</v>
      </c>
      <c r="AJ343" s="42">
        <v>0</v>
      </c>
      <c r="AK343" s="42">
        <v>0</v>
      </c>
      <c r="AL343" s="42">
        <v>0</v>
      </c>
      <c r="AM343" s="42">
        <v>0</v>
      </c>
      <c r="AN343" s="42">
        <v>0</v>
      </c>
      <c r="AO343" s="42">
        <v>2</v>
      </c>
    </row>
    <row r="344" spans="1:41" ht="24" customHeight="1">
      <c r="A344" s="11">
        <f t="shared" si="61"/>
        <v>341</v>
      </c>
      <c r="B344" s="390">
        <v>3971</v>
      </c>
      <c r="C344" s="478" t="str">
        <f>VLOOKUP(B344,All!$B$4:$S$8977,2,FALSE)</f>
        <v>សរ</v>
      </c>
      <c r="D344" s="479" t="str">
        <f>VLOOKUP(B344,All!$B$4:$S$89977,3,FALSE)</f>
        <v>ភាព</v>
      </c>
      <c r="E344" s="478" t="str">
        <f>VLOOKUP(B344,All!$B$4:$S$8977,4,FALSE)</f>
        <v>SOR</v>
      </c>
      <c r="F344" s="479" t="str">
        <f>VLOOKUP(B344,All!$B$4:$S$8977,5,FALSE)</f>
        <v>PHEAP</v>
      </c>
      <c r="G344" s="479" t="str">
        <f>VLOOKUP(B344,All!$B$4:$S$8977,6,FALSE)</f>
        <v>M</v>
      </c>
      <c r="H344" s="385">
        <f>VLOOKUP(B344,All!$B$4:$S$8977,7,FALSE)</f>
        <v>32660</v>
      </c>
      <c r="I344" s="154">
        <f>VLOOKUP(B344,All!$B$4:$S$8977,8,FALSE)</f>
        <v>43831</v>
      </c>
      <c r="J344" s="154" t="str">
        <f>VLOOKUP(B344,All!$B$4:$S$8977,9,FALSE)</f>
        <v>Production</v>
      </c>
      <c r="K344" s="154" t="str">
        <f>VLOOKUP(B344,All!$B$4:$S$8977,10,FALSE)</f>
        <v>Line17</v>
      </c>
      <c r="L344" s="698" t="str">
        <f>VLOOKUP(B344,All!$B$4:$S$8977,11,FALSE)</f>
        <v>Sewing operator</v>
      </c>
      <c r="M344" s="570">
        <f>VLOOKUP(B344,All!$B$4:$S$8977,12,FALSE)</f>
        <v>192</v>
      </c>
      <c r="N344" s="18">
        <f>VLOOKUP(B344,All!$B$4:$S$8977,13,FALSE)</f>
        <v>3</v>
      </c>
      <c r="O344" s="18">
        <f>VLOOKUP(B344,All!$B$4:$S$8977,14,FALSE)</f>
        <v>0</v>
      </c>
      <c r="P344" s="18">
        <f>VLOOKUP(B344,All!$B$4:$S$8977,15,FALSE)</f>
        <v>0</v>
      </c>
      <c r="Q344" s="18">
        <f>VLOOKUP(B344,All!$B$4:$S$8977,16,FALSE)</f>
        <v>0</v>
      </c>
      <c r="R344" s="18">
        <v>7</v>
      </c>
      <c r="S344" s="18">
        <v>10</v>
      </c>
      <c r="T344" s="550">
        <f t="shared" si="60"/>
        <v>212</v>
      </c>
      <c r="U344" s="568"/>
      <c r="V344" s="3"/>
      <c r="W344" s="3"/>
      <c r="X344" s="3"/>
      <c r="Y344" s="562"/>
      <c r="Z344" s="570">
        <f t="shared" si="64"/>
        <v>194</v>
      </c>
      <c r="AA344" s="18">
        <f t="shared" si="65"/>
        <v>3</v>
      </c>
      <c r="AB344" s="18">
        <f t="shared" si="66"/>
        <v>0</v>
      </c>
      <c r="AC344" s="18">
        <f t="shared" si="67"/>
        <v>0</v>
      </c>
      <c r="AD344" s="18">
        <f t="shared" si="68"/>
        <v>0</v>
      </c>
      <c r="AE344" s="18">
        <f t="shared" si="62"/>
        <v>7</v>
      </c>
      <c r="AF344" s="18">
        <f t="shared" si="62"/>
        <v>10</v>
      </c>
      <c r="AG344" s="550">
        <f t="shared" si="63"/>
        <v>214</v>
      </c>
      <c r="AH344" s="42">
        <v>2</v>
      </c>
      <c r="AI344" s="42">
        <v>0</v>
      </c>
      <c r="AJ344" s="42">
        <v>0</v>
      </c>
      <c r="AK344" s="42">
        <v>0</v>
      </c>
      <c r="AL344" s="42">
        <v>0</v>
      </c>
      <c r="AM344" s="42">
        <v>0</v>
      </c>
      <c r="AN344" s="42">
        <v>0</v>
      </c>
      <c r="AO344" s="42">
        <v>2</v>
      </c>
    </row>
    <row r="345" spans="1:41" ht="24" customHeight="1">
      <c r="A345" s="11">
        <f t="shared" si="61"/>
        <v>342</v>
      </c>
      <c r="B345" s="390">
        <v>3977</v>
      </c>
      <c r="C345" s="478" t="str">
        <f>VLOOKUP(B345,All!$B$4:$S$8977,2,FALSE)</f>
        <v>ផ្លុង</v>
      </c>
      <c r="D345" s="479" t="str">
        <f>VLOOKUP(B345,All!$B$4:$S$89977,3,FALSE)</f>
        <v>សុខណាត</v>
      </c>
      <c r="E345" s="478" t="str">
        <f>VLOOKUP(B345,All!$B$4:$S$8977,4,FALSE)</f>
        <v>PHLONG</v>
      </c>
      <c r="F345" s="479" t="str">
        <f>VLOOKUP(B345,All!$B$4:$S$8977,5,FALSE)</f>
        <v>SOKNAT</v>
      </c>
      <c r="G345" s="479" t="str">
        <f>VLOOKUP(B345,All!$B$4:$S$8977,6,FALSE)</f>
        <v>F</v>
      </c>
      <c r="H345" s="385">
        <f>VLOOKUP(B345,All!$B$4:$S$8977,7,FALSE)</f>
        <v>31964</v>
      </c>
      <c r="I345" s="154">
        <f>VLOOKUP(B345,All!$B$4:$S$8977,8,FALSE)</f>
        <v>43831</v>
      </c>
      <c r="J345" s="154" t="str">
        <f>VLOOKUP(B345,All!$B$4:$S$8977,9,FALSE)</f>
        <v>Production</v>
      </c>
      <c r="K345" s="154" t="str">
        <f>VLOOKUP(B345,All!$B$4:$S$8977,10,FALSE)</f>
        <v>Line20</v>
      </c>
      <c r="L345" s="698" t="str">
        <f>VLOOKUP(B345,All!$B$4:$S$8977,11,FALSE)</f>
        <v>Sewing operator</v>
      </c>
      <c r="M345" s="570">
        <f>VLOOKUP(B345,All!$B$4:$S$8977,12,FALSE)</f>
        <v>192</v>
      </c>
      <c r="N345" s="18">
        <f>VLOOKUP(B345,All!$B$4:$S$8977,13,FALSE)</f>
        <v>3</v>
      </c>
      <c r="O345" s="18">
        <f>VLOOKUP(B345,All!$B$4:$S$8977,14,FALSE)</f>
        <v>0</v>
      </c>
      <c r="P345" s="18">
        <f>VLOOKUP(B345,All!$B$4:$S$8977,15,FALSE)</f>
        <v>0</v>
      </c>
      <c r="Q345" s="18">
        <f>VLOOKUP(B345,All!$B$4:$S$8977,16,FALSE)</f>
        <v>0</v>
      </c>
      <c r="R345" s="18">
        <v>7</v>
      </c>
      <c r="S345" s="18">
        <v>10</v>
      </c>
      <c r="T345" s="550">
        <f t="shared" si="60"/>
        <v>212</v>
      </c>
      <c r="U345" s="568"/>
      <c r="V345" s="3"/>
      <c r="W345" s="3"/>
      <c r="X345" s="3"/>
      <c r="Y345" s="562"/>
      <c r="Z345" s="570">
        <f t="shared" si="64"/>
        <v>194</v>
      </c>
      <c r="AA345" s="18">
        <f t="shared" si="65"/>
        <v>3</v>
      </c>
      <c r="AB345" s="18">
        <f t="shared" si="66"/>
        <v>0</v>
      </c>
      <c r="AC345" s="18">
        <f t="shared" si="67"/>
        <v>0</v>
      </c>
      <c r="AD345" s="18">
        <f t="shared" si="68"/>
        <v>0</v>
      </c>
      <c r="AE345" s="18">
        <f t="shared" si="62"/>
        <v>7</v>
      </c>
      <c r="AF345" s="18">
        <f t="shared" si="62"/>
        <v>10</v>
      </c>
      <c r="AG345" s="550">
        <f t="shared" si="63"/>
        <v>214</v>
      </c>
      <c r="AH345" s="42">
        <v>2</v>
      </c>
      <c r="AI345" s="42">
        <v>0</v>
      </c>
      <c r="AJ345" s="42">
        <v>0</v>
      </c>
      <c r="AK345" s="42">
        <v>0</v>
      </c>
      <c r="AL345" s="42">
        <v>0</v>
      </c>
      <c r="AM345" s="42">
        <v>0</v>
      </c>
      <c r="AN345" s="42">
        <v>0</v>
      </c>
      <c r="AO345" s="42">
        <v>2</v>
      </c>
    </row>
    <row r="346" spans="1:41" ht="24" customHeight="1">
      <c r="A346" s="11">
        <f t="shared" si="61"/>
        <v>343</v>
      </c>
      <c r="B346" s="390">
        <v>4066</v>
      </c>
      <c r="C346" s="478" t="str">
        <f>VLOOKUP(B346,All!$B$4:$S$8977,2,FALSE)</f>
        <v xml:space="preserve">ប៉ោក </v>
      </c>
      <c r="D346" s="479" t="str">
        <f>VLOOKUP(B346,All!$B$4:$S$89977,3,FALSE)</f>
        <v>អូន</v>
      </c>
      <c r="E346" s="478" t="str">
        <f>VLOOKUP(B346,All!$B$4:$S$8977,4,FALSE)</f>
        <v xml:space="preserve">POEK </v>
      </c>
      <c r="F346" s="479" t="str">
        <f>VLOOKUP(B346,All!$B$4:$S$8977,5,FALSE)</f>
        <v>AUN</v>
      </c>
      <c r="G346" s="479" t="str">
        <f>VLOOKUP(B346,All!$B$4:$S$8977,6,FALSE)</f>
        <v>F</v>
      </c>
      <c r="H346" s="385">
        <f>VLOOKUP(B346,All!$B$4:$S$8977,7,FALSE)</f>
        <v>31330</v>
      </c>
      <c r="I346" s="154">
        <f>VLOOKUP(B346,All!$B$4:$S$8977,8,FALSE)</f>
        <v>43842</v>
      </c>
      <c r="J346" s="154" t="str">
        <f>VLOOKUP(B346,All!$B$4:$S$8977,9,FALSE)</f>
        <v>Production</v>
      </c>
      <c r="K346" s="154" t="str">
        <f>VLOOKUP(B346,All!$B$4:$S$8977,10,FALSE)</f>
        <v xml:space="preserve"> Line6</v>
      </c>
      <c r="L346" s="698" t="str">
        <f>VLOOKUP(B346,All!$B$4:$S$8977,11,FALSE)</f>
        <v>Sewing operator</v>
      </c>
      <c r="M346" s="570">
        <f>VLOOKUP(B346,All!$B$4:$S$8977,12,FALSE)</f>
        <v>192</v>
      </c>
      <c r="N346" s="18">
        <f>VLOOKUP(B346,All!$B$4:$S$8977,13,FALSE)</f>
        <v>3</v>
      </c>
      <c r="O346" s="18">
        <f>VLOOKUP(B346,All!$B$4:$S$8977,14,FALSE)</f>
        <v>0</v>
      </c>
      <c r="P346" s="18">
        <f>VLOOKUP(B346,All!$B$4:$S$8977,15,FALSE)</f>
        <v>0</v>
      </c>
      <c r="Q346" s="18">
        <f>VLOOKUP(B346,All!$B$4:$S$8977,16,FALSE)</f>
        <v>0</v>
      </c>
      <c r="R346" s="18">
        <v>7</v>
      </c>
      <c r="S346" s="18">
        <v>10</v>
      </c>
      <c r="T346" s="550">
        <f t="shared" si="60"/>
        <v>212</v>
      </c>
      <c r="U346" s="568"/>
      <c r="V346" s="3"/>
      <c r="W346" s="3"/>
      <c r="X346" s="3"/>
      <c r="Y346" s="562"/>
      <c r="Z346" s="570">
        <f t="shared" si="64"/>
        <v>194</v>
      </c>
      <c r="AA346" s="18">
        <f t="shared" si="65"/>
        <v>3</v>
      </c>
      <c r="AB346" s="18">
        <f t="shared" si="66"/>
        <v>0</v>
      </c>
      <c r="AC346" s="18">
        <f t="shared" si="67"/>
        <v>0</v>
      </c>
      <c r="AD346" s="18">
        <f t="shared" si="68"/>
        <v>0</v>
      </c>
      <c r="AE346" s="18">
        <f t="shared" si="62"/>
        <v>7</v>
      </c>
      <c r="AF346" s="18">
        <f t="shared" si="62"/>
        <v>10</v>
      </c>
      <c r="AG346" s="550">
        <f t="shared" si="63"/>
        <v>214</v>
      </c>
      <c r="AH346" s="42">
        <v>2</v>
      </c>
      <c r="AI346" s="42">
        <v>0</v>
      </c>
      <c r="AJ346" s="42">
        <v>0</v>
      </c>
      <c r="AK346" s="42">
        <v>0</v>
      </c>
      <c r="AL346" s="42">
        <v>0</v>
      </c>
      <c r="AM346" s="42">
        <v>0</v>
      </c>
      <c r="AN346" s="42">
        <v>0</v>
      </c>
      <c r="AO346" s="42">
        <v>2</v>
      </c>
    </row>
    <row r="347" spans="1:41" ht="24" customHeight="1">
      <c r="A347" s="11">
        <f t="shared" si="61"/>
        <v>344</v>
      </c>
      <c r="B347" s="390">
        <v>4054</v>
      </c>
      <c r="C347" s="478" t="str">
        <f>VLOOKUP(B347,All!$B$4:$S$8977,2,FALSE)</f>
        <v>ម៉ន</v>
      </c>
      <c r="D347" s="479" t="str">
        <f>VLOOKUP(B347,All!$B$4:$S$89977,3,FALSE)</f>
        <v>ស្រីម៉ុច</v>
      </c>
      <c r="E347" s="478" t="str">
        <f>VLOOKUP(B347,All!$B$4:$S$8977,4,FALSE)</f>
        <v>MORN</v>
      </c>
      <c r="F347" s="479" t="str">
        <f>VLOOKUP(B347,All!$B$4:$S$8977,5,FALSE)</f>
        <v>SREYMOUCH</v>
      </c>
      <c r="G347" s="479" t="str">
        <f>VLOOKUP(B347,All!$B$4:$S$8977,6,FALSE)</f>
        <v>F</v>
      </c>
      <c r="H347" s="385">
        <f>VLOOKUP(B347,All!$B$4:$S$8977,7,FALSE)</f>
        <v>36201</v>
      </c>
      <c r="I347" s="154">
        <f>VLOOKUP(B347,All!$B$4:$S$8977,8,FALSE)</f>
        <v>43840</v>
      </c>
      <c r="J347" s="154" t="str">
        <f>VLOOKUP(B347,All!$B$4:$S$8977,9,FALSE)</f>
        <v>Production</v>
      </c>
      <c r="K347" s="154" t="str">
        <f>VLOOKUP(B347,All!$B$4:$S$8977,10,FALSE)</f>
        <v xml:space="preserve"> Line6</v>
      </c>
      <c r="L347" s="698" t="str">
        <f>VLOOKUP(B347,All!$B$4:$S$8977,11,FALSE)</f>
        <v>Sewing operator</v>
      </c>
      <c r="M347" s="570">
        <f>VLOOKUP(B347,All!$B$4:$S$8977,12,FALSE)</f>
        <v>192</v>
      </c>
      <c r="N347" s="18">
        <f>VLOOKUP(B347,All!$B$4:$S$8977,13,FALSE)</f>
        <v>3</v>
      </c>
      <c r="O347" s="18">
        <f>VLOOKUP(B347,All!$B$4:$S$8977,14,FALSE)</f>
        <v>0</v>
      </c>
      <c r="P347" s="18">
        <f>VLOOKUP(B347,All!$B$4:$S$8977,15,FALSE)</f>
        <v>0</v>
      </c>
      <c r="Q347" s="18">
        <f>VLOOKUP(B347,All!$B$4:$S$8977,16,FALSE)</f>
        <v>0</v>
      </c>
      <c r="R347" s="18">
        <v>7</v>
      </c>
      <c r="S347" s="18">
        <v>10</v>
      </c>
      <c r="T347" s="550">
        <f t="shared" si="60"/>
        <v>212</v>
      </c>
      <c r="U347" s="568"/>
      <c r="V347" s="3"/>
      <c r="W347" s="3"/>
      <c r="X347" s="3"/>
      <c r="Y347" s="562"/>
      <c r="Z347" s="570">
        <f t="shared" si="64"/>
        <v>194</v>
      </c>
      <c r="AA347" s="18">
        <f t="shared" si="65"/>
        <v>3</v>
      </c>
      <c r="AB347" s="18">
        <f t="shared" si="66"/>
        <v>0</v>
      </c>
      <c r="AC347" s="18">
        <f t="shared" si="67"/>
        <v>0</v>
      </c>
      <c r="AD347" s="18">
        <f t="shared" si="68"/>
        <v>0</v>
      </c>
      <c r="AE347" s="18">
        <f t="shared" si="62"/>
        <v>7</v>
      </c>
      <c r="AF347" s="18">
        <f t="shared" si="62"/>
        <v>10</v>
      </c>
      <c r="AG347" s="550">
        <f t="shared" si="63"/>
        <v>214</v>
      </c>
      <c r="AH347" s="42">
        <v>2</v>
      </c>
      <c r="AI347" s="42">
        <v>0</v>
      </c>
      <c r="AJ347" s="42">
        <v>0</v>
      </c>
      <c r="AK347" s="42">
        <v>0</v>
      </c>
      <c r="AL347" s="42">
        <v>0</v>
      </c>
      <c r="AM347" s="42">
        <v>0</v>
      </c>
      <c r="AN347" s="42">
        <v>0</v>
      </c>
      <c r="AO347" s="42">
        <v>2</v>
      </c>
    </row>
    <row r="348" spans="1:41" ht="24" customHeight="1">
      <c r="A348" s="11">
        <f t="shared" si="61"/>
        <v>345</v>
      </c>
      <c r="B348" s="390">
        <v>4044</v>
      </c>
      <c r="C348" s="478" t="str">
        <f>VLOOKUP(B348,All!$B$4:$S$8977,2,FALSE)</f>
        <v>យឹម</v>
      </c>
      <c r="D348" s="479" t="str">
        <f>VLOOKUP(B348,All!$B$4:$S$89977,3,FALSE)</f>
        <v>សាមេត</v>
      </c>
      <c r="E348" s="478" t="str">
        <f>VLOOKUP(B348,All!$B$4:$S$8977,4,FALSE)</f>
        <v>YOEM</v>
      </c>
      <c r="F348" s="479" t="str">
        <f>VLOOKUP(B348,All!$B$4:$S$8977,5,FALSE)</f>
        <v>SAMETH</v>
      </c>
      <c r="G348" s="479" t="str">
        <f>VLOOKUP(B348,All!$B$4:$S$8977,6,FALSE)</f>
        <v>F</v>
      </c>
      <c r="H348" s="385">
        <f>VLOOKUP(B348,All!$B$4:$S$8977,7,FALSE)</f>
        <v>33147</v>
      </c>
      <c r="I348" s="154">
        <f>VLOOKUP(B348,All!$B$4:$S$8977,8,FALSE)</f>
        <v>43841</v>
      </c>
      <c r="J348" s="154" t="str">
        <f>VLOOKUP(B348,All!$B$4:$S$8977,9,FALSE)</f>
        <v>Production</v>
      </c>
      <c r="K348" s="154" t="str">
        <f>VLOOKUP(B348,All!$B$4:$S$8977,10,FALSE)</f>
        <v xml:space="preserve"> Line2</v>
      </c>
      <c r="L348" s="698" t="str">
        <f>VLOOKUP(B348,All!$B$4:$S$8977,11,FALSE)</f>
        <v>Sewing operator</v>
      </c>
      <c r="M348" s="570">
        <f>VLOOKUP(B348,All!$B$4:$S$8977,12,FALSE)</f>
        <v>192</v>
      </c>
      <c r="N348" s="18">
        <f>VLOOKUP(B348,All!$B$4:$S$8977,13,FALSE)</f>
        <v>3</v>
      </c>
      <c r="O348" s="18">
        <f>VLOOKUP(B348,All!$B$4:$S$8977,14,FALSE)</f>
        <v>0</v>
      </c>
      <c r="P348" s="18">
        <f>VLOOKUP(B348,All!$B$4:$S$8977,15,FALSE)</f>
        <v>0</v>
      </c>
      <c r="Q348" s="18">
        <f>VLOOKUP(B348,All!$B$4:$S$8977,16,FALSE)</f>
        <v>0</v>
      </c>
      <c r="R348" s="18">
        <v>7</v>
      </c>
      <c r="S348" s="18">
        <v>10</v>
      </c>
      <c r="T348" s="550">
        <f t="shared" si="60"/>
        <v>212</v>
      </c>
      <c r="U348" s="568"/>
      <c r="V348" s="3"/>
      <c r="W348" s="3"/>
      <c r="X348" s="3"/>
      <c r="Y348" s="562"/>
      <c r="Z348" s="570">
        <f t="shared" si="64"/>
        <v>194</v>
      </c>
      <c r="AA348" s="18">
        <f t="shared" si="65"/>
        <v>3</v>
      </c>
      <c r="AB348" s="18">
        <f t="shared" si="66"/>
        <v>0</v>
      </c>
      <c r="AC348" s="18">
        <f t="shared" si="67"/>
        <v>0</v>
      </c>
      <c r="AD348" s="18">
        <f t="shared" si="68"/>
        <v>0</v>
      </c>
      <c r="AE348" s="18">
        <f t="shared" si="62"/>
        <v>7</v>
      </c>
      <c r="AF348" s="18">
        <f t="shared" si="62"/>
        <v>10</v>
      </c>
      <c r="AG348" s="550">
        <f t="shared" si="63"/>
        <v>214</v>
      </c>
      <c r="AH348" s="42">
        <v>2</v>
      </c>
      <c r="AI348" s="42">
        <v>0</v>
      </c>
      <c r="AJ348" s="42">
        <v>0</v>
      </c>
      <c r="AK348" s="42">
        <v>0</v>
      </c>
      <c r="AL348" s="42">
        <v>0</v>
      </c>
      <c r="AM348" s="42">
        <v>0</v>
      </c>
      <c r="AN348" s="42">
        <v>0</v>
      </c>
      <c r="AO348" s="42">
        <v>2</v>
      </c>
    </row>
    <row r="349" spans="1:41" ht="24" customHeight="1">
      <c r="A349" s="11">
        <f t="shared" si="61"/>
        <v>346</v>
      </c>
      <c r="B349" s="390">
        <v>4064</v>
      </c>
      <c r="C349" s="478" t="str">
        <f>VLOOKUP(B349,All!$B$4:$S$8977,2,FALSE)</f>
        <v>ឈុន</v>
      </c>
      <c r="D349" s="479" t="str">
        <f>VLOOKUP(B349,All!$B$4:$S$89977,3,FALSE)</f>
        <v>ស៊ីណាត</v>
      </c>
      <c r="E349" s="478" t="str">
        <f>VLOOKUP(B349,All!$B$4:$S$8977,4,FALSE)</f>
        <v>CHHUN</v>
      </c>
      <c r="F349" s="479" t="str">
        <f>VLOOKUP(B349,All!$B$4:$S$8977,5,FALSE)</f>
        <v>SINAT</v>
      </c>
      <c r="G349" s="479" t="str">
        <f>VLOOKUP(B349,All!$B$4:$S$8977,6,FALSE)</f>
        <v>F</v>
      </c>
      <c r="H349" s="385">
        <f>VLOOKUP(B349,All!$B$4:$S$8977,7,FALSE)</f>
        <v>31181</v>
      </c>
      <c r="I349" s="154">
        <f>VLOOKUP(B349,All!$B$4:$S$8977,8,FALSE)</f>
        <v>43843</v>
      </c>
      <c r="J349" s="154" t="str">
        <f>VLOOKUP(B349,All!$B$4:$S$8977,9,FALSE)</f>
        <v>Production</v>
      </c>
      <c r="K349" s="154" t="str">
        <f>VLOOKUP(B349,All!$B$4:$S$8977,10,FALSE)</f>
        <v>Line20</v>
      </c>
      <c r="L349" s="698" t="str">
        <f>VLOOKUP(B349,All!$B$4:$S$8977,11,FALSE)</f>
        <v>Sewing operator</v>
      </c>
      <c r="M349" s="570">
        <f>VLOOKUP(B349,All!$B$4:$S$8977,12,FALSE)</f>
        <v>192</v>
      </c>
      <c r="N349" s="18">
        <f>VLOOKUP(B349,All!$B$4:$S$8977,13,FALSE)</f>
        <v>3</v>
      </c>
      <c r="O349" s="18">
        <f>VLOOKUP(B349,All!$B$4:$S$8977,14,FALSE)</f>
        <v>0</v>
      </c>
      <c r="P349" s="18">
        <f>VLOOKUP(B349,All!$B$4:$S$8977,15,FALSE)</f>
        <v>0</v>
      </c>
      <c r="Q349" s="18">
        <f>VLOOKUP(B349,All!$B$4:$S$8977,16,FALSE)</f>
        <v>0</v>
      </c>
      <c r="R349" s="18">
        <v>7</v>
      </c>
      <c r="S349" s="18">
        <v>10</v>
      </c>
      <c r="T349" s="550">
        <f t="shared" si="60"/>
        <v>212</v>
      </c>
      <c r="U349" s="568"/>
      <c r="V349" s="3"/>
      <c r="W349" s="3"/>
      <c r="X349" s="3"/>
      <c r="Y349" s="562"/>
      <c r="Z349" s="570">
        <f t="shared" si="64"/>
        <v>194</v>
      </c>
      <c r="AA349" s="18">
        <f t="shared" si="65"/>
        <v>3</v>
      </c>
      <c r="AB349" s="18">
        <f t="shared" si="66"/>
        <v>0</v>
      </c>
      <c r="AC349" s="18">
        <f t="shared" si="67"/>
        <v>0</v>
      </c>
      <c r="AD349" s="18">
        <f t="shared" si="68"/>
        <v>0</v>
      </c>
      <c r="AE349" s="18">
        <f t="shared" si="62"/>
        <v>7</v>
      </c>
      <c r="AF349" s="18">
        <f t="shared" si="62"/>
        <v>10</v>
      </c>
      <c r="AG349" s="550">
        <f t="shared" si="63"/>
        <v>214</v>
      </c>
      <c r="AH349" s="42">
        <v>2</v>
      </c>
      <c r="AI349" s="42">
        <v>0</v>
      </c>
      <c r="AJ349" s="42">
        <v>0</v>
      </c>
      <c r="AK349" s="42">
        <v>0</v>
      </c>
      <c r="AL349" s="42">
        <v>0</v>
      </c>
      <c r="AM349" s="42">
        <v>0</v>
      </c>
      <c r="AN349" s="42">
        <v>0</v>
      </c>
      <c r="AO349" s="42">
        <v>2</v>
      </c>
    </row>
    <row r="350" spans="1:41" ht="24" customHeight="1">
      <c r="A350" s="11">
        <f t="shared" si="61"/>
        <v>347</v>
      </c>
      <c r="B350" s="390">
        <v>4062</v>
      </c>
      <c r="C350" s="478" t="str">
        <f>VLOOKUP(B350,All!$B$4:$S$8977,2,FALSE)</f>
        <v>ព្រំ</v>
      </c>
      <c r="D350" s="479" t="str">
        <f>VLOOKUP(B350,All!$B$4:$S$89977,3,FALSE)</f>
        <v>ចាន់ថារី</v>
      </c>
      <c r="E350" s="478" t="str">
        <f>VLOOKUP(B350,All!$B$4:$S$8977,4,FALSE)</f>
        <v>PROM</v>
      </c>
      <c r="F350" s="479" t="str">
        <f>VLOOKUP(B350,All!$B$4:$S$8977,5,FALSE)</f>
        <v>CHANTHARY</v>
      </c>
      <c r="G350" s="479" t="str">
        <f>VLOOKUP(B350,All!$B$4:$S$8977,6,FALSE)</f>
        <v>F</v>
      </c>
      <c r="H350" s="385">
        <f>VLOOKUP(B350,All!$B$4:$S$8977,7,FALSE)</f>
        <v>32045</v>
      </c>
      <c r="I350" s="154">
        <f>VLOOKUP(B350,All!$B$4:$S$8977,8,FALSE)</f>
        <v>43843</v>
      </c>
      <c r="J350" s="154" t="str">
        <f>VLOOKUP(B350,All!$B$4:$S$8977,9,FALSE)</f>
        <v>Production</v>
      </c>
      <c r="K350" s="154" t="str">
        <f>VLOOKUP(B350,All!$B$4:$S$8977,10,FALSE)</f>
        <v>Line 11</v>
      </c>
      <c r="L350" s="698" t="str">
        <f>VLOOKUP(B350,All!$B$4:$S$8977,11,FALSE)</f>
        <v>Sewing operator</v>
      </c>
      <c r="M350" s="570">
        <f>VLOOKUP(B350,All!$B$4:$S$8977,12,FALSE)</f>
        <v>192</v>
      </c>
      <c r="N350" s="18">
        <f>VLOOKUP(B350,All!$B$4:$S$8977,13,FALSE)</f>
        <v>3</v>
      </c>
      <c r="O350" s="18">
        <f>VLOOKUP(B350,All!$B$4:$S$8977,14,FALSE)</f>
        <v>0</v>
      </c>
      <c r="P350" s="18">
        <f>VLOOKUP(B350,All!$B$4:$S$8977,15,FALSE)</f>
        <v>0</v>
      </c>
      <c r="Q350" s="18">
        <f>VLOOKUP(B350,All!$B$4:$S$8977,16,FALSE)</f>
        <v>0</v>
      </c>
      <c r="R350" s="18">
        <v>7</v>
      </c>
      <c r="S350" s="18">
        <v>10</v>
      </c>
      <c r="T350" s="550">
        <f t="shared" si="60"/>
        <v>212</v>
      </c>
      <c r="U350" s="568"/>
      <c r="V350" s="3"/>
      <c r="W350" s="3"/>
      <c r="X350" s="3"/>
      <c r="Y350" s="562"/>
      <c r="Z350" s="570">
        <f t="shared" si="64"/>
        <v>194</v>
      </c>
      <c r="AA350" s="18">
        <f t="shared" si="65"/>
        <v>3</v>
      </c>
      <c r="AB350" s="18">
        <f t="shared" si="66"/>
        <v>0</v>
      </c>
      <c r="AC350" s="18">
        <f t="shared" si="67"/>
        <v>0</v>
      </c>
      <c r="AD350" s="18">
        <f t="shared" si="68"/>
        <v>0</v>
      </c>
      <c r="AE350" s="18">
        <f t="shared" si="62"/>
        <v>7</v>
      </c>
      <c r="AF350" s="18">
        <f t="shared" si="62"/>
        <v>10</v>
      </c>
      <c r="AG350" s="550">
        <f t="shared" si="63"/>
        <v>214</v>
      </c>
      <c r="AH350" s="42">
        <v>2</v>
      </c>
      <c r="AI350" s="42">
        <v>0</v>
      </c>
      <c r="AJ350" s="42">
        <v>0</v>
      </c>
      <c r="AK350" s="42">
        <v>0</v>
      </c>
      <c r="AL350" s="42">
        <v>0</v>
      </c>
      <c r="AM350" s="42">
        <v>0</v>
      </c>
      <c r="AN350" s="42">
        <v>0</v>
      </c>
      <c r="AO350" s="42">
        <v>2</v>
      </c>
    </row>
    <row r="351" spans="1:41" ht="24" customHeight="1">
      <c r="A351" s="11">
        <f t="shared" si="61"/>
        <v>348</v>
      </c>
      <c r="B351" s="390">
        <v>4050</v>
      </c>
      <c r="C351" s="478" t="str">
        <f>VLOOKUP(B351,All!$B$4:$S$8977,2,FALSE)</f>
        <v>ទូច</v>
      </c>
      <c r="D351" s="479" t="str">
        <f>VLOOKUP(B351,All!$B$4:$S$89977,3,FALSE)</f>
        <v>អឿយ</v>
      </c>
      <c r="E351" s="478" t="str">
        <f>VLOOKUP(B351,All!$B$4:$S$8977,4,FALSE)</f>
        <v>TOUCH</v>
      </c>
      <c r="F351" s="479" t="str">
        <f>VLOOKUP(B351,All!$B$4:$S$8977,5,FALSE)</f>
        <v>OEUY</v>
      </c>
      <c r="G351" s="479" t="str">
        <f>VLOOKUP(B351,All!$B$4:$S$8977,6,FALSE)</f>
        <v>F</v>
      </c>
      <c r="H351" s="385">
        <f>VLOOKUP(B351,All!$B$4:$S$8977,7,FALSE)</f>
        <v>34641</v>
      </c>
      <c r="I351" s="154">
        <f>VLOOKUP(B351,All!$B$4:$S$8977,8,FALSE)</f>
        <v>43841</v>
      </c>
      <c r="J351" s="154" t="str">
        <f>VLOOKUP(B351,All!$B$4:$S$8977,9,FALSE)</f>
        <v>Production</v>
      </c>
      <c r="K351" s="154" t="str">
        <f>VLOOKUP(B351,All!$B$4:$S$8977,10,FALSE)</f>
        <v xml:space="preserve"> Line2</v>
      </c>
      <c r="L351" s="698" t="str">
        <f>VLOOKUP(B351,All!$B$4:$S$8977,11,FALSE)</f>
        <v>Sewing operator</v>
      </c>
      <c r="M351" s="570">
        <f>VLOOKUP(B351,All!$B$4:$S$8977,12,FALSE)</f>
        <v>192</v>
      </c>
      <c r="N351" s="18">
        <f>VLOOKUP(B351,All!$B$4:$S$8977,13,FALSE)</f>
        <v>3</v>
      </c>
      <c r="O351" s="18">
        <f>VLOOKUP(B351,All!$B$4:$S$8977,14,FALSE)</f>
        <v>0</v>
      </c>
      <c r="P351" s="18">
        <f>VLOOKUP(B351,All!$B$4:$S$8977,15,FALSE)</f>
        <v>0</v>
      </c>
      <c r="Q351" s="18">
        <f>VLOOKUP(B351,All!$B$4:$S$8977,16,FALSE)</f>
        <v>0</v>
      </c>
      <c r="R351" s="18">
        <v>7</v>
      </c>
      <c r="S351" s="18">
        <v>10</v>
      </c>
      <c r="T351" s="550">
        <f t="shared" ref="T351:T393" si="69">SUM(M351:S351)</f>
        <v>212</v>
      </c>
      <c r="U351" s="568"/>
      <c r="V351" s="3"/>
      <c r="W351" s="3"/>
      <c r="X351" s="3"/>
      <c r="Y351" s="562"/>
      <c r="Z351" s="570">
        <f t="shared" si="64"/>
        <v>194</v>
      </c>
      <c r="AA351" s="18">
        <f t="shared" si="65"/>
        <v>3</v>
      </c>
      <c r="AB351" s="18">
        <f t="shared" si="66"/>
        <v>0</v>
      </c>
      <c r="AC351" s="18">
        <f t="shared" si="67"/>
        <v>0</v>
      </c>
      <c r="AD351" s="18">
        <f t="shared" si="68"/>
        <v>0</v>
      </c>
      <c r="AE351" s="18">
        <f t="shared" ref="AE351:AE393" si="70">R351</f>
        <v>7</v>
      </c>
      <c r="AF351" s="18">
        <f t="shared" ref="AF351:AF393" si="71">S351</f>
        <v>10</v>
      </c>
      <c r="AG351" s="550">
        <f t="shared" ref="AG351:AG393" si="72">SUM(Z351:AF351)</f>
        <v>214</v>
      </c>
      <c r="AH351" s="42">
        <v>2</v>
      </c>
      <c r="AI351" s="42">
        <v>0</v>
      </c>
      <c r="AJ351" s="42">
        <v>0</v>
      </c>
      <c r="AK351" s="42">
        <v>0</v>
      </c>
      <c r="AL351" s="42">
        <v>0</v>
      </c>
      <c r="AM351" s="42">
        <v>0</v>
      </c>
      <c r="AN351" s="42">
        <v>0</v>
      </c>
      <c r="AO351" s="42">
        <v>2</v>
      </c>
    </row>
    <row r="352" spans="1:41" ht="24" customHeight="1">
      <c r="A352" s="11">
        <f t="shared" si="61"/>
        <v>349</v>
      </c>
      <c r="B352" s="390">
        <v>4034</v>
      </c>
      <c r="C352" s="478" t="str">
        <f>VLOOKUP(B352,All!$B$4:$S$8977,2,FALSE)</f>
        <v>ហួត</v>
      </c>
      <c r="D352" s="479" t="str">
        <f>VLOOKUP(B352,All!$B$4:$S$89977,3,FALSE)</f>
        <v>សុគន្ធា</v>
      </c>
      <c r="E352" s="478" t="str">
        <f>VLOOKUP(B352,All!$B$4:$S$8977,4,FALSE)</f>
        <v>HOURT</v>
      </c>
      <c r="F352" s="479" t="str">
        <f>VLOOKUP(B352,All!$B$4:$S$8977,5,FALSE)</f>
        <v>SOKUNTHEA</v>
      </c>
      <c r="G352" s="479" t="str">
        <f>VLOOKUP(B352,All!$B$4:$S$8977,6,FALSE)</f>
        <v>F</v>
      </c>
      <c r="H352" s="385">
        <f>VLOOKUP(B352,All!$B$4:$S$8977,7,FALSE)</f>
        <v>32906</v>
      </c>
      <c r="I352" s="154">
        <f>VLOOKUP(B352,All!$B$4:$S$8977,8,FALSE)</f>
        <v>43837</v>
      </c>
      <c r="J352" s="154" t="str">
        <f>VLOOKUP(B352,All!$B$4:$S$8977,9,FALSE)</f>
        <v>Production</v>
      </c>
      <c r="K352" s="154" t="str">
        <f>VLOOKUP(B352,All!$B$4:$S$8977,10,FALSE)</f>
        <v xml:space="preserve"> Line15</v>
      </c>
      <c r="L352" s="698" t="str">
        <f>VLOOKUP(B352,All!$B$4:$S$8977,11,FALSE)</f>
        <v>Sewing operator</v>
      </c>
      <c r="M352" s="570">
        <f>VLOOKUP(B352,All!$B$4:$S$8977,12,FALSE)</f>
        <v>192</v>
      </c>
      <c r="N352" s="18">
        <f>VLOOKUP(B352,All!$B$4:$S$8977,13,FALSE)</f>
        <v>3</v>
      </c>
      <c r="O352" s="18">
        <f>VLOOKUP(B352,All!$B$4:$S$8977,14,FALSE)</f>
        <v>0</v>
      </c>
      <c r="P352" s="18">
        <f>VLOOKUP(B352,All!$B$4:$S$8977,15,FALSE)</f>
        <v>0</v>
      </c>
      <c r="Q352" s="18">
        <f>VLOOKUP(B352,All!$B$4:$S$8977,16,FALSE)</f>
        <v>0</v>
      </c>
      <c r="R352" s="18">
        <v>7</v>
      </c>
      <c r="S352" s="18">
        <v>10</v>
      </c>
      <c r="T352" s="550">
        <f t="shared" si="69"/>
        <v>212</v>
      </c>
      <c r="U352" s="568"/>
      <c r="V352" s="3"/>
      <c r="W352" s="3"/>
      <c r="X352" s="3"/>
      <c r="Y352" s="562"/>
      <c r="Z352" s="570">
        <f t="shared" si="64"/>
        <v>194</v>
      </c>
      <c r="AA352" s="18">
        <f t="shared" si="65"/>
        <v>3</v>
      </c>
      <c r="AB352" s="18">
        <f t="shared" si="66"/>
        <v>0</v>
      </c>
      <c r="AC352" s="18">
        <f t="shared" si="67"/>
        <v>0</v>
      </c>
      <c r="AD352" s="18">
        <f t="shared" si="68"/>
        <v>0</v>
      </c>
      <c r="AE352" s="18">
        <f t="shared" si="70"/>
        <v>7</v>
      </c>
      <c r="AF352" s="18">
        <f t="shared" si="71"/>
        <v>10</v>
      </c>
      <c r="AG352" s="550">
        <f t="shared" si="72"/>
        <v>214</v>
      </c>
      <c r="AH352" s="42">
        <v>2</v>
      </c>
      <c r="AI352" s="42">
        <v>0</v>
      </c>
      <c r="AJ352" s="42">
        <v>0</v>
      </c>
      <c r="AK352" s="42">
        <v>0</v>
      </c>
      <c r="AL352" s="42">
        <v>0</v>
      </c>
      <c r="AM352" s="42">
        <v>0</v>
      </c>
      <c r="AN352" s="42">
        <v>0</v>
      </c>
      <c r="AO352" s="42">
        <v>2</v>
      </c>
    </row>
    <row r="353" spans="1:41" ht="24" customHeight="1">
      <c r="A353" s="11">
        <f t="shared" si="61"/>
        <v>350</v>
      </c>
      <c r="B353" s="390">
        <v>4033</v>
      </c>
      <c r="C353" s="478" t="str">
        <f>VLOOKUP(B353,All!$B$4:$S$8977,2,FALSE)</f>
        <v>យ៉ាន់</v>
      </c>
      <c r="D353" s="479" t="str">
        <f>VLOOKUP(B353,All!$B$4:$S$89977,3,FALSE)</f>
        <v>ស៊ីដេត</v>
      </c>
      <c r="E353" s="478" t="str">
        <f>VLOOKUP(B353,All!$B$4:$S$8977,4,FALSE)</f>
        <v>YA</v>
      </c>
      <c r="F353" s="479" t="str">
        <f>VLOOKUP(B353,All!$B$4:$S$8977,5,FALSE)</f>
        <v>SIDETH</v>
      </c>
      <c r="G353" s="479" t="str">
        <f>VLOOKUP(B353,All!$B$4:$S$8977,6,FALSE)</f>
        <v>F</v>
      </c>
      <c r="H353" s="385">
        <f>VLOOKUP(B353,All!$B$4:$S$8977,7,FALSE)</f>
        <v>32587</v>
      </c>
      <c r="I353" s="154">
        <f>VLOOKUP(B353,All!$B$4:$S$8977,8,FALSE)</f>
        <v>43837</v>
      </c>
      <c r="J353" s="154" t="str">
        <f>VLOOKUP(B353,All!$B$4:$S$8977,9,FALSE)</f>
        <v>Production</v>
      </c>
      <c r="K353" s="154" t="str">
        <f>VLOOKUP(B353,All!$B$4:$S$8977,10,FALSE)</f>
        <v xml:space="preserve"> Line3</v>
      </c>
      <c r="L353" s="698" t="str">
        <f>VLOOKUP(B353,All!$B$4:$S$8977,11,FALSE)</f>
        <v>Sewing operator</v>
      </c>
      <c r="M353" s="570">
        <f>VLOOKUP(B353,All!$B$4:$S$8977,12,FALSE)</f>
        <v>192</v>
      </c>
      <c r="N353" s="18">
        <f>VLOOKUP(B353,All!$B$4:$S$8977,13,FALSE)</f>
        <v>3</v>
      </c>
      <c r="O353" s="18">
        <f>VLOOKUP(B353,All!$B$4:$S$8977,14,FALSE)</f>
        <v>0</v>
      </c>
      <c r="P353" s="18">
        <f>VLOOKUP(B353,All!$B$4:$S$8977,15,FALSE)</f>
        <v>0</v>
      </c>
      <c r="Q353" s="18">
        <f>VLOOKUP(B353,All!$B$4:$S$8977,16,FALSE)</f>
        <v>0</v>
      </c>
      <c r="R353" s="18">
        <v>7</v>
      </c>
      <c r="S353" s="18">
        <v>10</v>
      </c>
      <c r="T353" s="550">
        <f t="shared" si="69"/>
        <v>212</v>
      </c>
      <c r="U353" s="568"/>
      <c r="V353" s="3"/>
      <c r="W353" s="3"/>
      <c r="X353" s="3"/>
      <c r="Y353" s="562"/>
      <c r="Z353" s="570">
        <f t="shared" si="64"/>
        <v>194</v>
      </c>
      <c r="AA353" s="18">
        <f t="shared" si="65"/>
        <v>3</v>
      </c>
      <c r="AB353" s="18">
        <f t="shared" si="66"/>
        <v>0</v>
      </c>
      <c r="AC353" s="18">
        <f t="shared" si="67"/>
        <v>0</v>
      </c>
      <c r="AD353" s="18">
        <f t="shared" si="68"/>
        <v>0</v>
      </c>
      <c r="AE353" s="18">
        <f t="shared" si="70"/>
        <v>7</v>
      </c>
      <c r="AF353" s="18">
        <f t="shared" si="71"/>
        <v>10</v>
      </c>
      <c r="AG353" s="550">
        <f t="shared" si="72"/>
        <v>214</v>
      </c>
      <c r="AH353" s="42">
        <v>2</v>
      </c>
      <c r="AI353" s="42">
        <v>0</v>
      </c>
      <c r="AJ353" s="42">
        <v>0</v>
      </c>
      <c r="AK353" s="42">
        <v>0</v>
      </c>
      <c r="AL353" s="42">
        <v>0</v>
      </c>
      <c r="AM353" s="42">
        <v>0</v>
      </c>
      <c r="AN353" s="42">
        <v>0</v>
      </c>
      <c r="AO353" s="42">
        <v>2</v>
      </c>
    </row>
    <row r="354" spans="1:41" ht="24" customHeight="1">
      <c r="A354" s="11">
        <f t="shared" si="61"/>
        <v>351</v>
      </c>
      <c r="B354" s="390">
        <v>4048</v>
      </c>
      <c r="C354" s="478" t="str">
        <f>VLOOKUP(B354,All!$B$4:$S$8977,2,FALSE)</f>
        <v>សំអុល</v>
      </c>
      <c r="D354" s="479" t="str">
        <f>VLOOKUP(B354,All!$B$4:$S$89977,3,FALSE)</f>
        <v>សុដានី</v>
      </c>
      <c r="E354" s="478" t="str">
        <f>VLOOKUP(B354,All!$B$4:$S$8977,4,FALSE)</f>
        <v>SAMOL</v>
      </c>
      <c r="F354" s="479" t="str">
        <f>VLOOKUP(B354,All!$B$4:$S$8977,5,FALSE)</f>
        <v>SODANY</v>
      </c>
      <c r="G354" s="479" t="str">
        <f>VLOOKUP(B354,All!$B$4:$S$8977,6,FALSE)</f>
        <v>F</v>
      </c>
      <c r="H354" s="385">
        <f>VLOOKUP(B354,All!$B$4:$S$8977,7,FALSE)</f>
        <v>31934</v>
      </c>
      <c r="I354" s="154">
        <f>VLOOKUP(B354,All!$B$4:$S$8977,8,FALSE)</f>
        <v>43841</v>
      </c>
      <c r="J354" s="154" t="str">
        <f>VLOOKUP(B354,All!$B$4:$S$8977,9,FALSE)</f>
        <v>Production</v>
      </c>
      <c r="K354" s="154" t="str">
        <f>VLOOKUP(B354,All!$B$4:$S$8977,10,FALSE)</f>
        <v>Line15</v>
      </c>
      <c r="L354" s="698" t="str">
        <f>VLOOKUP(B354,All!$B$4:$S$8977,11,FALSE)</f>
        <v>Sewing operator</v>
      </c>
      <c r="M354" s="570">
        <f>VLOOKUP(B354,All!$B$4:$S$8977,12,FALSE)</f>
        <v>192</v>
      </c>
      <c r="N354" s="18">
        <f>VLOOKUP(B354,All!$B$4:$S$8977,13,FALSE)</f>
        <v>3</v>
      </c>
      <c r="O354" s="18">
        <f>VLOOKUP(B354,All!$B$4:$S$8977,14,FALSE)</f>
        <v>0</v>
      </c>
      <c r="P354" s="18">
        <f>VLOOKUP(B354,All!$B$4:$S$8977,15,FALSE)</f>
        <v>0</v>
      </c>
      <c r="Q354" s="18">
        <f>VLOOKUP(B354,All!$B$4:$S$8977,16,FALSE)</f>
        <v>0</v>
      </c>
      <c r="R354" s="18">
        <v>7</v>
      </c>
      <c r="S354" s="18">
        <v>10</v>
      </c>
      <c r="T354" s="550">
        <f t="shared" si="69"/>
        <v>212</v>
      </c>
      <c r="U354" s="568"/>
      <c r="V354" s="3"/>
      <c r="W354" s="3"/>
      <c r="X354" s="3"/>
      <c r="Y354" s="562"/>
      <c r="Z354" s="570">
        <f t="shared" si="64"/>
        <v>194</v>
      </c>
      <c r="AA354" s="18">
        <f t="shared" si="65"/>
        <v>3</v>
      </c>
      <c r="AB354" s="18">
        <f t="shared" si="66"/>
        <v>0</v>
      </c>
      <c r="AC354" s="18">
        <f t="shared" si="67"/>
        <v>0</v>
      </c>
      <c r="AD354" s="18">
        <f t="shared" si="68"/>
        <v>0</v>
      </c>
      <c r="AE354" s="18">
        <f t="shared" si="70"/>
        <v>7</v>
      </c>
      <c r="AF354" s="18">
        <f t="shared" si="71"/>
        <v>10</v>
      </c>
      <c r="AG354" s="550">
        <f t="shared" si="72"/>
        <v>214</v>
      </c>
      <c r="AH354" s="42">
        <v>2</v>
      </c>
      <c r="AI354" s="42">
        <v>0</v>
      </c>
      <c r="AJ354" s="42">
        <v>0</v>
      </c>
      <c r="AK354" s="42">
        <v>0</v>
      </c>
      <c r="AL354" s="42">
        <v>0</v>
      </c>
      <c r="AM354" s="42">
        <v>0</v>
      </c>
      <c r="AN354" s="42">
        <v>0</v>
      </c>
      <c r="AO354" s="42">
        <v>2</v>
      </c>
    </row>
    <row r="355" spans="1:41" ht="24" customHeight="1">
      <c r="A355" s="11">
        <f t="shared" si="61"/>
        <v>352</v>
      </c>
      <c r="B355" s="390">
        <v>4069</v>
      </c>
      <c r="C355" s="478" t="str">
        <f>VLOOKUP(B355,All!$B$4:$S$8977,2,FALSE)</f>
        <v>ជា</v>
      </c>
      <c r="D355" s="479" t="str">
        <f>VLOOKUP(B355,All!$B$4:$S$89977,3,FALSE)</f>
        <v>សុដា</v>
      </c>
      <c r="E355" s="478" t="str">
        <f>VLOOKUP(B355,All!$B$4:$S$8977,4,FALSE)</f>
        <v>CHEA</v>
      </c>
      <c r="F355" s="479" t="str">
        <f>VLOOKUP(B355,All!$B$4:$S$8977,5,FALSE)</f>
        <v>SODA</v>
      </c>
      <c r="G355" s="479" t="str">
        <f>VLOOKUP(B355,All!$B$4:$S$8977,6,FALSE)</f>
        <v>F</v>
      </c>
      <c r="H355" s="385">
        <f>VLOOKUP(B355,All!$B$4:$S$8977,7,FALSE)</f>
        <v>30147</v>
      </c>
      <c r="I355" s="154">
        <f>VLOOKUP(B355,All!$B$4:$S$8977,8,FALSE)</f>
        <v>43847</v>
      </c>
      <c r="J355" s="154" t="str">
        <f>VLOOKUP(B355,All!$B$4:$S$8977,9,FALSE)</f>
        <v>Production</v>
      </c>
      <c r="K355" s="154" t="str">
        <f>VLOOKUP(B355,All!$B$4:$S$8977,10,FALSE)</f>
        <v>Line 11</v>
      </c>
      <c r="L355" s="698" t="str">
        <f>VLOOKUP(B355,All!$B$4:$S$8977,11,FALSE)</f>
        <v>Sewing operator</v>
      </c>
      <c r="M355" s="570">
        <f>VLOOKUP(B355,All!$B$4:$S$8977,12,FALSE)</f>
        <v>192</v>
      </c>
      <c r="N355" s="18">
        <f>VLOOKUP(B355,All!$B$4:$S$8977,13,FALSE)</f>
        <v>2</v>
      </c>
      <c r="O355" s="18">
        <f>VLOOKUP(B355,All!$B$4:$S$8977,14,FALSE)</f>
        <v>0</v>
      </c>
      <c r="P355" s="18">
        <f>VLOOKUP(B355,All!$B$4:$S$8977,15,FALSE)</f>
        <v>0</v>
      </c>
      <c r="Q355" s="18">
        <f>VLOOKUP(B355,All!$B$4:$S$8977,16,FALSE)</f>
        <v>0</v>
      </c>
      <c r="R355" s="18">
        <v>7</v>
      </c>
      <c r="S355" s="18">
        <v>10</v>
      </c>
      <c r="T355" s="550">
        <f t="shared" si="69"/>
        <v>211</v>
      </c>
      <c r="U355" s="568"/>
      <c r="V355" s="3"/>
      <c r="W355" s="3"/>
      <c r="X355" s="3"/>
      <c r="Y355" s="562"/>
      <c r="Z355" s="570">
        <f t="shared" si="64"/>
        <v>194</v>
      </c>
      <c r="AA355" s="18">
        <f t="shared" si="65"/>
        <v>2</v>
      </c>
      <c r="AB355" s="18">
        <f t="shared" si="66"/>
        <v>0</v>
      </c>
      <c r="AC355" s="18">
        <f t="shared" si="67"/>
        <v>0</v>
      </c>
      <c r="AD355" s="18">
        <f t="shared" si="68"/>
        <v>0</v>
      </c>
      <c r="AE355" s="18">
        <f t="shared" si="70"/>
        <v>7</v>
      </c>
      <c r="AF355" s="18">
        <f t="shared" si="71"/>
        <v>10</v>
      </c>
      <c r="AG355" s="550">
        <f t="shared" si="72"/>
        <v>213</v>
      </c>
      <c r="AH355" s="42">
        <v>2</v>
      </c>
      <c r="AI355" s="42">
        <v>0</v>
      </c>
      <c r="AJ355" s="42">
        <v>0</v>
      </c>
      <c r="AK355" s="42">
        <v>0</v>
      </c>
      <c r="AL355" s="42">
        <v>0</v>
      </c>
      <c r="AM355" s="42">
        <v>0</v>
      </c>
      <c r="AN355" s="42">
        <v>0</v>
      </c>
      <c r="AO355" s="42">
        <v>2</v>
      </c>
    </row>
    <row r="356" spans="1:41" ht="24" customHeight="1">
      <c r="A356" s="11">
        <f t="shared" si="61"/>
        <v>353</v>
      </c>
      <c r="B356" s="390">
        <v>4093</v>
      </c>
      <c r="C356" s="478" t="str">
        <f>VLOOKUP(B356,All!$B$4:$S$8977,2,FALSE)</f>
        <v>ចាន់</v>
      </c>
      <c r="D356" s="479" t="str">
        <f>VLOOKUP(B356,All!$B$4:$S$89977,3,FALSE)</f>
        <v>ផាន់នី</v>
      </c>
      <c r="E356" s="478" t="str">
        <f>VLOOKUP(B356,All!$B$4:$S$8977,4,FALSE)</f>
        <v>CHAN</v>
      </c>
      <c r="F356" s="479" t="str">
        <f>VLOOKUP(B356,All!$B$4:$S$8977,5,FALSE)</f>
        <v>PHANNY</v>
      </c>
      <c r="G356" s="479" t="str">
        <f>VLOOKUP(B356,All!$B$4:$S$8977,6,FALSE)</f>
        <v>F</v>
      </c>
      <c r="H356" s="385">
        <f>VLOOKUP(B356,All!$B$4:$S$8977,7,FALSE)</f>
        <v>33073</v>
      </c>
      <c r="I356" s="154">
        <f>VLOOKUP(B356,All!$B$4:$S$8977,8,FALSE)</f>
        <v>44037</v>
      </c>
      <c r="J356" s="154" t="str">
        <f>VLOOKUP(B356,All!$B$4:$S$8977,9,FALSE)</f>
        <v>Production</v>
      </c>
      <c r="K356" s="154" t="str">
        <f>VLOOKUP(B356,All!$B$4:$S$8977,10,FALSE)</f>
        <v>Sample</v>
      </c>
      <c r="L356" s="698" t="str">
        <f>VLOOKUP(B356,All!$B$4:$S$8977,11,FALSE)</f>
        <v>SL sewer</v>
      </c>
      <c r="M356" s="570">
        <f>VLOOKUP(B356,All!$B$4:$S$8977,12,FALSE)</f>
        <v>192</v>
      </c>
      <c r="N356" s="18">
        <f>VLOOKUP(B356,All!$B$4:$S$8977,13,FALSE)</f>
        <v>2</v>
      </c>
      <c r="O356" s="18">
        <f>VLOOKUP(B356,All!$B$4:$S$8977,14,FALSE)</f>
        <v>0</v>
      </c>
      <c r="P356" s="18">
        <f>VLOOKUP(B356,All!$B$4:$S$8977,15,FALSE)</f>
        <v>0</v>
      </c>
      <c r="Q356" s="18">
        <f>VLOOKUP(B356,All!$B$4:$S$8977,16,FALSE)</f>
        <v>0</v>
      </c>
      <c r="R356" s="18">
        <v>7</v>
      </c>
      <c r="S356" s="18">
        <v>10</v>
      </c>
      <c r="T356" s="550">
        <f t="shared" si="69"/>
        <v>211</v>
      </c>
      <c r="U356" s="568"/>
      <c r="V356" s="3"/>
      <c r="W356" s="3"/>
      <c r="X356" s="3"/>
      <c r="Y356" s="562"/>
      <c r="Z356" s="570">
        <f t="shared" si="64"/>
        <v>194</v>
      </c>
      <c r="AA356" s="18">
        <f t="shared" si="65"/>
        <v>2</v>
      </c>
      <c r="AB356" s="18">
        <f t="shared" si="66"/>
        <v>0</v>
      </c>
      <c r="AC356" s="18">
        <f t="shared" si="67"/>
        <v>0</v>
      </c>
      <c r="AD356" s="18">
        <f t="shared" si="68"/>
        <v>0</v>
      </c>
      <c r="AE356" s="18">
        <f t="shared" si="70"/>
        <v>7</v>
      </c>
      <c r="AF356" s="18">
        <f t="shared" si="71"/>
        <v>10</v>
      </c>
      <c r="AG356" s="550">
        <f t="shared" si="72"/>
        <v>213</v>
      </c>
      <c r="AH356" s="42">
        <v>2</v>
      </c>
      <c r="AI356" s="42">
        <v>0</v>
      </c>
      <c r="AJ356" s="42">
        <v>0</v>
      </c>
      <c r="AK356" s="42">
        <v>0</v>
      </c>
      <c r="AL356" s="42">
        <v>0</v>
      </c>
      <c r="AM356" s="42">
        <v>0</v>
      </c>
      <c r="AN356" s="42">
        <v>0</v>
      </c>
      <c r="AO356" s="42">
        <v>2</v>
      </c>
    </row>
    <row r="357" spans="1:41" ht="24" customHeight="1">
      <c r="A357" s="11">
        <f t="shared" si="61"/>
        <v>354</v>
      </c>
      <c r="B357" s="390">
        <v>5038</v>
      </c>
      <c r="C357" s="478" t="str">
        <f>VLOOKUP(B357,All!$B$4:$S$8977,2,FALSE)</f>
        <v>ហៀំំម</v>
      </c>
      <c r="D357" s="479" t="str">
        <f>VLOOKUP(B357,All!$B$4:$S$89977,3,FALSE)</f>
        <v>លាងហ៊ី</v>
      </c>
      <c r="E357" s="478" t="str">
        <f>VLOOKUP(B357,All!$B$4:$S$8977,4,FALSE)</f>
        <v>HIEM</v>
      </c>
      <c r="F357" s="479" t="str">
        <f>VLOOKUP(B357,All!$B$4:$S$8977,5,FALSE)</f>
        <v>LEANGHY</v>
      </c>
      <c r="G357" s="479" t="str">
        <f>VLOOKUP(B357,All!$B$4:$S$8977,6,FALSE)</f>
        <v>F</v>
      </c>
      <c r="H357" s="385">
        <f>VLOOKUP(B357,All!$B$4:$S$8977,7,FALSE)</f>
        <v>33620</v>
      </c>
      <c r="I357" s="154">
        <f>VLOOKUP(B357,All!$B$4:$S$8977,8,FALSE)</f>
        <v>44141</v>
      </c>
      <c r="J357" s="154" t="str">
        <f>VLOOKUP(B357,All!$B$4:$S$8977,9,FALSE)</f>
        <v>Production</v>
      </c>
      <c r="K357" s="154" t="str">
        <f>VLOOKUP(B357,All!$B$4:$S$8977,10,FALSE)</f>
        <v>Line5</v>
      </c>
      <c r="L357" s="698" t="str">
        <f>VLOOKUP(B357,All!$B$4:$S$8977,11,FALSE)</f>
        <v>Sewing operator</v>
      </c>
      <c r="M357" s="570">
        <f>VLOOKUP(B357,All!$B$4:$S$8977,12,FALSE)</f>
        <v>192</v>
      </c>
      <c r="N357" s="18">
        <f>VLOOKUP(B357,All!$B$4:$S$8977,13,FALSE)</f>
        <v>2</v>
      </c>
      <c r="O357" s="18">
        <f>VLOOKUP(B357,All!$B$4:$S$8977,14,FALSE)</f>
        <v>0</v>
      </c>
      <c r="P357" s="18">
        <f>VLOOKUP(B357,All!$B$4:$S$8977,15,FALSE)</f>
        <v>0</v>
      </c>
      <c r="Q357" s="18">
        <f>VLOOKUP(B357,All!$B$4:$S$8977,16,FALSE)</f>
        <v>0</v>
      </c>
      <c r="R357" s="18">
        <v>7</v>
      </c>
      <c r="S357" s="18">
        <v>10</v>
      </c>
      <c r="T357" s="550">
        <f t="shared" si="69"/>
        <v>211</v>
      </c>
      <c r="U357" s="568"/>
      <c r="V357" s="3"/>
      <c r="W357" s="3"/>
      <c r="X357" s="3"/>
      <c r="Y357" s="562"/>
      <c r="Z357" s="570">
        <f t="shared" si="64"/>
        <v>194</v>
      </c>
      <c r="AA357" s="18">
        <f t="shared" si="65"/>
        <v>2</v>
      </c>
      <c r="AB357" s="18">
        <f t="shared" si="66"/>
        <v>0</v>
      </c>
      <c r="AC357" s="18">
        <f t="shared" si="67"/>
        <v>0</v>
      </c>
      <c r="AD357" s="18">
        <f t="shared" si="68"/>
        <v>0</v>
      </c>
      <c r="AE357" s="18">
        <f t="shared" si="70"/>
        <v>7</v>
      </c>
      <c r="AF357" s="18">
        <f t="shared" si="71"/>
        <v>10</v>
      </c>
      <c r="AG357" s="550">
        <f t="shared" si="72"/>
        <v>213</v>
      </c>
      <c r="AH357" s="42">
        <v>2</v>
      </c>
      <c r="AI357" s="42">
        <v>0</v>
      </c>
      <c r="AJ357" s="42">
        <v>0</v>
      </c>
      <c r="AK357" s="42">
        <v>0</v>
      </c>
      <c r="AL357" s="42">
        <v>0</v>
      </c>
      <c r="AM357" s="42">
        <v>0</v>
      </c>
      <c r="AN357" s="42">
        <v>0</v>
      </c>
      <c r="AO357" s="42">
        <v>2</v>
      </c>
    </row>
    <row r="358" spans="1:41" ht="24" customHeight="1">
      <c r="A358" s="11">
        <f t="shared" si="61"/>
        <v>355</v>
      </c>
      <c r="B358" s="390">
        <v>5053</v>
      </c>
      <c r="C358" s="478" t="str">
        <f>VLOOKUP(B358,All!$B$4:$S$8977,2,FALSE)</f>
        <v>តែម</v>
      </c>
      <c r="D358" s="479" t="str">
        <f>VLOOKUP(B358,All!$B$4:$S$89977,3,FALSE)</f>
        <v>ចរិយា</v>
      </c>
      <c r="E358" s="478" t="str">
        <f>VLOOKUP(B358,All!$B$4:$S$8977,4,FALSE)</f>
        <v>TEM</v>
      </c>
      <c r="F358" s="479" t="str">
        <f>VLOOKUP(B358,All!$B$4:$S$8977,5,FALSE)</f>
        <v>CHAKRIYA</v>
      </c>
      <c r="G358" s="479" t="str">
        <f>VLOOKUP(B358,All!$B$4:$S$8977,6,FALSE)</f>
        <v>F</v>
      </c>
      <c r="H358" s="385">
        <f>VLOOKUP(B358,All!$B$4:$S$8977,7,FALSE)</f>
        <v>34714</v>
      </c>
      <c r="I358" s="154">
        <f>VLOOKUP(B358,All!$B$4:$S$8977,8,FALSE)</f>
        <v>44145</v>
      </c>
      <c r="J358" s="154" t="str">
        <f>VLOOKUP(B358,All!$B$4:$S$8977,9,FALSE)</f>
        <v>Production</v>
      </c>
      <c r="K358" s="154" t="str">
        <f>VLOOKUP(B358,All!$B$4:$S$8977,10,FALSE)</f>
        <v xml:space="preserve"> Line19</v>
      </c>
      <c r="L358" s="698" t="str">
        <f>VLOOKUP(B358,All!$B$4:$S$8977,11,FALSE)</f>
        <v>Sewing operator</v>
      </c>
      <c r="M358" s="570">
        <f>VLOOKUP(B358,All!$B$4:$S$8977,12,FALSE)</f>
        <v>192</v>
      </c>
      <c r="N358" s="18">
        <f>VLOOKUP(B358,All!$B$4:$S$8977,13,FALSE)</f>
        <v>2</v>
      </c>
      <c r="O358" s="18">
        <f>VLOOKUP(B358,All!$B$4:$S$8977,14,FALSE)</f>
        <v>0</v>
      </c>
      <c r="P358" s="18">
        <f>VLOOKUP(B358,All!$B$4:$S$8977,15,FALSE)</f>
        <v>0</v>
      </c>
      <c r="Q358" s="18">
        <f>VLOOKUP(B358,All!$B$4:$S$8977,16,FALSE)</f>
        <v>0</v>
      </c>
      <c r="R358" s="18">
        <v>7</v>
      </c>
      <c r="S358" s="18">
        <v>10</v>
      </c>
      <c r="T358" s="550">
        <f t="shared" si="69"/>
        <v>211</v>
      </c>
      <c r="U358" s="568"/>
      <c r="V358" s="3"/>
      <c r="W358" s="3"/>
      <c r="X358" s="3"/>
      <c r="Y358" s="562"/>
      <c r="Z358" s="570">
        <f t="shared" si="64"/>
        <v>194</v>
      </c>
      <c r="AA358" s="18">
        <f t="shared" si="65"/>
        <v>2</v>
      </c>
      <c r="AB358" s="18">
        <f t="shared" si="66"/>
        <v>0</v>
      </c>
      <c r="AC358" s="18">
        <f t="shared" si="67"/>
        <v>0</v>
      </c>
      <c r="AD358" s="18">
        <f t="shared" si="68"/>
        <v>0</v>
      </c>
      <c r="AE358" s="18">
        <f t="shared" si="70"/>
        <v>7</v>
      </c>
      <c r="AF358" s="18">
        <f t="shared" si="71"/>
        <v>10</v>
      </c>
      <c r="AG358" s="550">
        <f t="shared" si="72"/>
        <v>213</v>
      </c>
      <c r="AH358" s="42">
        <v>2</v>
      </c>
      <c r="AI358" s="42">
        <v>0</v>
      </c>
      <c r="AJ358" s="42">
        <v>0</v>
      </c>
      <c r="AK358" s="42">
        <v>0</v>
      </c>
      <c r="AL358" s="42">
        <v>0</v>
      </c>
      <c r="AM358" s="42">
        <v>0</v>
      </c>
      <c r="AN358" s="42">
        <v>0</v>
      </c>
      <c r="AO358" s="42">
        <v>2</v>
      </c>
    </row>
    <row r="359" spans="1:41" ht="24" customHeight="1">
      <c r="A359" s="11">
        <f t="shared" si="61"/>
        <v>356</v>
      </c>
      <c r="B359" s="390">
        <v>5051</v>
      </c>
      <c r="C359" s="478" t="str">
        <f>VLOOKUP(B359,All!$B$4:$S$8977,2,FALSE)</f>
        <v>ព្រំ</v>
      </c>
      <c r="D359" s="479" t="str">
        <f>VLOOKUP(B359,All!$B$4:$S$89977,3,FALSE)</f>
        <v>ណោ</v>
      </c>
      <c r="E359" s="478" t="str">
        <f>VLOOKUP(B359,All!$B$4:$S$8977,4,FALSE)</f>
        <v>PRUM</v>
      </c>
      <c r="F359" s="479" t="str">
        <f>VLOOKUP(B359,All!$B$4:$S$8977,5,FALSE)</f>
        <v>NAO</v>
      </c>
      <c r="G359" s="479" t="str">
        <f>VLOOKUP(B359,All!$B$4:$S$8977,6,FALSE)</f>
        <v>F</v>
      </c>
      <c r="H359" s="385">
        <f>VLOOKUP(B359,All!$B$4:$S$8977,7,FALSE)</f>
        <v>32695</v>
      </c>
      <c r="I359" s="154">
        <f>VLOOKUP(B359,All!$B$4:$S$8977,8,FALSE)</f>
        <v>44142</v>
      </c>
      <c r="J359" s="154" t="str">
        <f>VLOOKUP(B359,All!$B$4:$S$8977,9,FALSE)</f>
        <v>Production</v>
      </c>
      <c r="K359" s="154" t="str">
        <f>VLOOKUP(B359,All!$B$4:$S$8977,10,FALSE)</f>
        <v xml:space="preserve"> Line8</v>
      </c>
      <c r="L359" s="698" t="str">
        <f>VLOOKUP(B359,All!$B$4:$S$8977,11,FALSE)</f>
        <v>Sewing operator</v>
      </c>
      <c r="M359" s="570">
        <f>VLOOKUP(B359,All!$B$4:$S$8977,12,FALSE)</f>
        <v>192</v>
      </c>
      <c r="N359" s="18">
        <f>VLOOKUP(B359,All!$B$4:$S$8977,13,FALSE)</f>
        <v>2</v>
      </c>
      <c r="O359" s="18">
        <f>VLOOKUP(B359,All!$B$4:$S$8977,14,FALSE)</f>
        <v>0</v>
      </c>
      <c r="P359" s="18">
        <f>VLOOKUP(B359,All!$B$4:$S$8977,15,FALSE)</f>
        <v>0</v>
      </c>
      <c r="Q359" s="18">
        <f>VLOOKUP(B359,All!$B$4:$S$8977,16,FALSE)</f>
        <v>0</v>
      </c>
      <c r="R359" s="18">
        <v>7</v>
      </c>
      <c r="S359" s="18">
        <v>10</v>
      </c>
      <c r="T359" s="550">
        <f t="shared" si="69"/>
        <v>211</v>
      </c>
      <c r="U359" s="568"/>
      <c r="V359" s="3"/>
      <c r="W359" s="3"/>
      <c r="X359" s="3"/>
      <c r="Y359" s="562"/>
      <c r="Z359" s="570">
        <f t="shared" si="64"/>
        <v>194</v>
      </c>
      <c r="AA359" s="18">
        <f t="shared" si="65"/>
        <v>2</v>
      </c>
      <c r="AB359" s="18">
        <f t="shared" si="66"/>
        <v>0</v>
      </c>
      <c r="AC359" s="18">
        <f t="shared" si="67"/>
        <v>0</v>
      </c>
      <c r="AD359" s="18">
        <f t="shared" si="68"/>
        <v>0</v>
      </c>
      <c r="AE359" s="18">
        <f t="shared" si="70"/>
        <v>7</v>
      </c>
      <c r="AF359" s="18">
        <f t="shared" si="71"/>
        <v>10</v>
      </c>
      <c r="AG359" s="550">
        <f t="shared" si="72"/>
        <v>213</v>
      </c>
      <c r="AH359" s="42">
        <v>2</v>
      </c>
      <c r="AI359" s="42">
        <v>0</v>
      </c>
      <c r="AJ359" s="42">
        <v>0</v>
      </c>
      <c r="AK359" s="42">
        <v>0</v>
      </c>
      <c r="AL359" s="42">
        <v>0</v>
      </c>
      <c r="AM359" s="42">
        <v>0</v>
      </c>
      <c r="AN359" s="42">
        <v>0</v>
      </c>
      <c r="AO359" s="42">
        <v>2</v>
      </c>
    </row>
    <row r="360" spans="1:41" ht="24" customHeight="1">
      <c r="A360" s="11">
        <f t="shared" si="61"/>
        <v>357</v>
      </c>
      <c r="B360" s="390">
        <v>5044</v>
      </c>
      <c r="C360" s="478" t="str">
        <f>VLOOKUP(B360,All!$B$4:$S$8977,2,FALSE)</f>
        <v>រិន</v>
      </c>
      <c r="D360" s="479" t="str">
        <f>VLOOKUP(B360,All!$B$4:$S$89977,3,FALSE)</f>
        <v>ស្រីឯម</v>
      </c>
      <c r="E360" s="478" t="str">
        <f>VLOOKUP(B360,All!$B$4:$S$8977,4,FALSE)</f>
        <v>RIN</v>
      </c>
      <c r="F360" s="479" t="str">
        <f>VLOOKUP(B360,All!$B$4:$S$8977,5,FALSE)</f>
        <v>SREY EM</v>
      </c>
      <c r="G360" s="479" t="str">
        <f>VLOOKUP(B360,All!$B$4:$S$8977,6,FALSE)</f>
        <v>F</v>
      </c>
      <c r="H360" s="385">
        <f>VLOOKUP(B360,All!$B$4:$S$8977,7,FALSE)</f>
        <v>35532</v>
      </c>
      <c r="I360" s="154">
        <f>VLOOKUP(B360,All!$B$4:$S$8977,8,FALSE)</f>
        <v>44141</v>
      </c>
      <c r="J360" s="154" t="str">
        <f>VLOOKUP(B360,All!$B$4:$S$8977,9,FALSE)</f>
        <v>Production</v>
      </c>
      <c r="K360" s="154" t="str">
        <f>VLOOKUP(B360,All!$B$4:$S$8977,10,FALSE)</f>
        <v xml:space="preserve"> Line8</v>
      </c>
      <c r="L360" s="698" t="str">
        <f>VLOOKUP(B360,All!$B$4:$S$8977,11,FALSE)</f>
        <v>Sewing operator</v>
      </c>
      <c r="M360" s="570">
        <f>VLOOKUP(B360,All!$B$4:$S$8977,12,FALSE)</f>
        <v>192</v>
      </c>
      <c r="N360" s="18">
        <f>VLOOKUP(B360,All!$B$4:$S$8977,13,FALSE)</f>
        <v>2</v>
      </c>
      <c r="O360" s="18">
        <f>VLOOKUP(B360,All!$B$4:$S$8977,14,FALSE)</f>
        <v>0</v>
      </c>
      <c r="P360" s="18">
        <f>VLOOKUP(B360,All!$B$4:$S$8977,15,FALSE)</f>
        <v>0</v>
      </c>
      <c r="Q360" s="18">
        <f>VLOOKUP(B360,All!$B$4:$S$8977,16,FALSE)</f>
        <v>0</v>
      </c>
      <c r="R360" s="18">
        <v>7</v>
      </c>
      <c r="S360" s="18">
        <v>10</v>
      </c>
      <c r="T360" s="550">
        <f t="shared" si="69"/>
        <v>211</v>
      </c>
      <c r="U360" s="568"/>
      <c r="V360" s="3"/>
      <c r="W360" s="3"/>
      <c r="X360" s="3"/>
      <c r="Y360" s="562"/>
      <c r="Z360" s="570">
        <f t="shared" si="64"/>
        <v>194</v>
      </c>
      <c r="AA360" s="18">
        <f t="shared" si="65"/>
        <v>2</v>
      </c>
      <c r="AB360" s="18">
        <f t="shared" si="66"/>
        <v>0</v>
      </c>
      <c r="AC360" s="18">
        <f t="shared" si="67"/>
        <v>0</v>
      </c>
      <c r="AD360" s="18">
        <f t="shared" si="68"/>
        <v>0</v>
      </c>
      <c r="AE360" s="18">
        <f t="shared" si="70"/>
        <v>7</v>
      </c>
      <c r="AF360" s="18">
        <f t="shared" si="71"/>
        <v>10</v>
      </c>
      <c r="AG360" s="550">
        <f t="shared" si="72"/>
        <v>213</v>
      </c>
      <c r="AH360" s="42">
        <v>2</v>
      </c>
      <c r="AI360" s="42">
        <v>0</v>
      </c>
      <c r="AJ360" s="42">
        <v>0</v>
      </c>
      <c r="AK360" s="42">
        <v>0</v>
      </c>
      <c r="AL360" s="42">
        <v>0</v>
      </c>
      <c r="AM360" s="42">
        <v>0</v>
      </c>
      <c r="AN360" s="42">
        <v>0</v>
      </c>
      <c r="AO360" s="42">
        <v>2</v>
      </c>
    </row>
    <row r="361" spans="1:41" ht="24" customHeight="1">
      <c r="A361" s="11">
        <f t="shared" si="61"/>
        <v>358</v>
      </c>
      <c r="B361" s="390">
        <v>5025</v>
      </c>
      <c r="C361" s="478" t="str">
        <f>VLOOKUP(B361,All!$B$4:$S$8977,2,FALSE)</f>
        <v>ឌុល</v>
      </c>
      <c r="D361" s="479" t="str">
        <f>VLOOKUP(B361,All!$B$4:$S$89977,3,FALSE)</f>
        <v>រីយ៉ាស់</v>
      </c>
      <c r="E361" s="478" t="str">
        <f>VLOOKUP(B361,All!$B$4:$S$8977,4,FALSE)</f>
        <v>DOI</v>
      </c>
      <c r="F361" s="479" t="str">
        <f>VLOOKUP(B361,All!$B$4:$S$8977,5,FALSE)</f>
        <v>RYYAS</v>
      </c>
      <c r="G361" s="479" t="str">
        <f>VLOOKUP(B361,All!$B$4:$S$8977,6,FALSE)</f>
        <v>F</v>
      </c>
      <c r="H361" s="385">
        <f>VLOOKUP(B361,All!$B$4:$S$8977,7,FALSE)</f>
        <v>32271</v>
      </c>
      <c r="I361" s="154">
        <f>VLOOKUP(B361,All!$B$4:$S$8977,8,FALSE)</f>
        <v>44140</v>
      </c>
      <c r="J361" s="154" t="str">
        <f>VLOOKUP(B361,All!$B$4:$S$8977,9,FALSE)</f>
        <v>Production</v>
      </c>
      <c r="K361" s="154" t="str">
        <f>VLOOKUP(B361,All!$B$4:$S$8977,10,FALSE)</f>
        <v xml:space="preserve"> Line8</v>
      </c>
      <c r="L361" s="698" t="str">
        <f>VLOOKUP(B361,All!$B$4:$S$8977,11,FALSE)</f>
        <v>Sewing operator</v>
      </c>
      <c r="M361" s="570">
        <f>VLOOKUP(B361,All!$B$4:$S$8977,12,FALSE)</f>
        <v>192</v>
      </c>
      <c r="N361" s="18">
        <f>VLOOKUP(B361,All!$B$4:$S$8977,13,FALSE)</f>
        <v>2</v>
      </c>
      <c r="O361" s="18">
        <f>VLOOKUP(B361,All!$B$4:$S$8977,14,FALSE)</f>
        <v>0</v>
      </c>
      <c r="P361" s="18">
        <f>VLOOKUP(B361,All!$B$4:$S$8977,15,FALSE)</f>
        <v>0</v>
      </c>
      <c r="Q361" s="18">
        <f>VLOOKUP(B361,All!$B$4:$S$8977,16,FALSE)</f>
        <v>0</v>
      </c>
      <c r="R361" s="18">
        <v>7</v>
      </c>
      <c r="S361" s="18">
        <v>10</v>
      </c>
      <c r="T361" s="550">
        <f t="shared" si="69"/>
        <v>211</v>
      </c>
      <c r="U361" s="568"/>
      <c r="V361" s="3"/>
      <c r="W361" s="3"/>
      <c r="X361" s="3"/>
      <c r="Y361" s="562"/>
      <c r="Z361" s="570">
        <f t="shared" si="64"/>
        <v>194</v>
      </c>
      <c r="AA361" s="18">
        <f t="shared" si="65"/>
        <v>2</v>
      </c>
      <c r="AB361" s="18">
        <f t="shared" si="66"/>
        <v>0</v>
      </c>
      <c r="AC361" s="18">
        <f t="shared" si="67"/>
        <v>0</v>
      </c>
      <c r="AD361" s="18">
        <f t="shared" si="68"/>
        <v>0</v>
      </c>
      <c r="AE361" s="18">
        <f t="shared" si="70"/>
        <v>7</v>
      </c>
      <c r="AF361" s="18">
        <f t="shared" si="71"/>
        <v>10</v>
      </c>
      <c r="AG361" s="550">
        <f t="shared" si="72"/>
        <v>213</v>
      </c>
      <c r="AH361" s="42">
        <v>2</v>
      </c>
      <c r="AI361" s="42">
        <v>0</v>
      </c>
      <c r="AJ361" s="42">
        <v>0</v>
      </c>
      <c r="AK361" s="42">
        <v>0</v>
      </c>
      <c r="AL361" s="42">
        <v>0</v>
      </c>
      <c r="AM361" s="42">
        <v>0</v>
      </c>
      <c r="AN361" s="42">
        <v>0</v>
      </c>
      <c r="AO361" s="42">
        <v>2</v>
      </c>
    </row>
    <row r="362" spans="1:41" ht="24" customHeight="1">
      <c r="A362" s="11">
        <f t="shared" si="61"/>
        <v>359</v>
      </c>
      <c r="B362" s="390">
        <v>5041</v>
      </c>
      <c r="C362" s="478" t="str">
        <f>VLOOKUP(B362,All!$B$4:$S$8977,2,FALSE)</f>
        <v>សុខ</v>
      </c>
      <c r="D362" s="479" t="str">
        <f>VLOOKUP(B362,All!$B$4:$S$89977,3,FALSE)</f>
        <v>សុផា</v>
      </c>
      <c r="E362" s="478" t="str">
        <f>VLOOKUP(B362,All!$B$4:$S$8977,4,FALSE)</f>
        <v>SONG</v>
      </c>
      <c r="F362" s="479" t="str">
        <f>VLOOKUP(B362,All!$B$4:$S$8977,5,FALSE)</f>
        <v>SOPHA</v>
      </c>
      <c r="G362" s="479" t="str">
        <f>VLOOKUP(B362,All!$B$4:$S$8977,6,FALSE)</f>
        <v>F</v>
      </c>
      <c r="H362" s="385">
        <f>VLOOKUP(B362,All!$B$4:$S$8977,7,FALSE)</f>
        <v>34440</v>
      </c>
      <c r="I362" s="154">
        <f>VLOOKUP(B362,All!$B$4:$S$8977,8,FALSE)</f>
        <v>44141</v>
      </c>
      <c r="J362" s="154" t="str">
        <f>VLOOKUP(B362,All!$B$4:$S$8977,9,FALSE)</f>
        <v>Production</v>
      </c>
      <c r="K362" s="154" t="str">
        <f>VLOOKUP(B362,All!$B$4:$S$8977,10,FALSE)</f>
        <v>Line20</v>
      </c>
      <c r="L362" s="698" t="str">
        <f>VLOOKUP(B362,All!$B$4:$S$8977,11,FALSE)</f>
        <v>Sewing operator</v>
      </c>
      <c r="M362" s="570">
        <f>VLOOKUP(B362,All!$B$4:$S$8977,12,FALSE)</f>
        <v>192</v>
      </c>
      <c r="N362" s="18">
        <f>VLOOKUP(B362,All!$B$4:$S$8977,13,FALSE)</f>
        <v>2</v>
      </c>
      <c r="O362" s="18">
        <f>VLOOKUP(B362,All!$B$4:$S$8977,14,FALSE)</f>
        <v>0</v>
      </c>
      <c r="P362" s="18">
        <f>VLOOKUP(B362,All!$B$4:$S$8977,15,FALSE)</f>
        <v>0</v>
      </c>
      <c r="Q362" s="18">
        <f>VLOOKUP(B362,All!$B$4:$S$8977,16,FALSE)</f>
        <v>0</v>
      </c>
      <c r="R362" s="18">
        <v>7</v>
      </c>
      <c r="S362" s="18">
        <v>10</v>
      </c>
      <c r="T362" s="550">
        <f t="shared" si="69"/>
        <v>211</v>
      </c>
      <c r="U362" s="568"/>
      <c r="V362" s="3"/>
      <c r="W362" s="3"/>
      <c r="X362" s="3"/>
      <c r="Y362" s="562"/>
      <c r="Z362" s="570">
        <f t="shared" si="64"/>
        <v>194</v>
      </c>
      <c r="AA362" s="18">
        <f t="shared" si="65"/>
        <v>2</v>
      </c>
      <c r="AB362" s="18">
        <f t="shared" si="66"/>
        <v>0</v>
      </c>
      <c r="AC362" s="18">
        <f t="shared" si="67"/>
        <v>0</v>
      </c>
      <c r="AD362" s="18">
        <f t="shared" si="68"/>
        <v>0</v>
      </c>
      <c r="AE362" s="18">
        <f t="shared" si="70"/>
        <v>7</v>
      </c>
      <c r="AF362" s="18">
        <f t="shared" si="71"/>
        <v>10</v>
      </c>
      <c r="AG362" s="550">
        <f t="shared" si="72"/>
        <v>213</v>
      </c>
      <c r="AH362" s="42">
        <v>2</v>
      </c>
      <c r="AI362" s="42">
        <v>0</v>
      </c>
      <c r="AJ362" s="42">
        <v>0</v>
      </c>
      <c r="AK362" s="42">
        <v>0</v>
      </c>
      <c r="AL362" s="42">
        <v>0</v>
      </c>
      <c r="AM362" s="42">
        <v>0</v>
      </c>
      <c r="AN362" s="42">
        <v>0</v>
      </c>
      <c r="AO362" s="42">
        <v>2</v>
      </c>
    </row>
    <row r="363" spans="1:41" ht="24" customHeight="1">
      <c r="A363" s="11">
        <f t="shared" si="61"/>
        <v>360</v>
      </c>
      <c r="B363" s="390">
        <v>5048</v>
      </c>
      <c r="C363" s="478" t="str">
        <f>VLOOKUP(B363,All!$B$4:$S$8977,2,FALSE)</f>
        <v>សឿន</v>
      </c>
      <c r="D363" s="479" t="str">
        <f>VLOOKUP(B363,All!$B$4:$S$89977,3,FALSE)</f>
        <v>រដ្ឋា</v>
      </c>
      <c r="E363" s="478" t="str">
        <f>VLOOKUP(B363,All!$B$4:$S$8977,4,FALSE)</f>
        <v>SEONG</v>
      </c>
      <c r="F363" s="479" t="str">
        <f>VLOOKUP(B363,All!$B$4:$S$8977,5,FALSE)</f>
        <v>ROTHA</v>
      </c>
      <c r="G363" s="479" t="str">
        <f>VLOOKUP(B363,All!$B$4:$S$8977,6,FALSE)</f>
        <v>F</v>
      </c>
      <c r="H363" s="385">
        <f>VLOOKUP(B363,All!$B$4:$S$8977,7,FALSE)</f>
        <v>31414</v>
      </c>
      <c r="I363" s="154">
        <f>VLOOKUP(B363,All!$B$4:$S$8977,8,FALSE)</f>
        <v>44142</v>
      </c>
      <c r="J363" s="154" t="str">
        <f>VLOOKUP(B363,All!$B$4:$S$8977,9,FALSE)</f>
        <v>Production</v>
      </c>
      <c r="K363" s="154" t="str">
        <f>VLOOKUP(B363,All!$B$4:$S$8977,10,FALSE)</f>
        <v>Sample</v>
      </c>
      <c r="L363" s="698" t="str">
        <f>VLOOKUP(B363,All!$B$4:$S$8977,11,FALSE)</f>
        <v>SL sewer</v>
      </c>
      <c r="M363" s="570">
        <f>VLOOKUP(B363,All!$B$4:$S$8977,12,FALSE)</f>
        <v>192</v>
      </c>
      <c r="N363" s="18">
        <f>VLOOKUP(B363,All!$B$4:$S$8977,13,FALSE)</f>
        <v>2</v>
      </c>
      <c r="O363" s="18">
        <f>VLOOKUP(B363,All!$B$4:$S$8977,14,FALSE)</f>
        <v>0</v>
      </c>
      <c r="P363" s="18">
        <f>VLOOKUP(B363,All!$B$4:$S$8977,15,FALSE)</f>
        <v>10</v>
      </c>
      <c r="Q363" s="18">
        <f>VLOOKUP(B363,All!$B$4:$S$8977,16,FALSE)</f>
        <v>0</v>
      </c>
      <c r="R363" s="18">
        <v>7</v>
      </c>
      <c r="S363" s="18">
        <v>10</v>
      </c>
      <c r="T363" s="550">
        <f t="shared" si="69"/>
        <v>221</v>
      </c>
      <c r="U363" s="568"/>
      <c r="V363" s="3"/>
      <c r="W363" s="3"/>
      <c r="X363" s="3"/>
      <c r="Y363" s="562"/>
      <c r="Z363" s="570">
        <f t="shared" si="64"/>
        <v>194</v>
      </c>
      <c r="AA363" s="18">
        <f t="shared" si="65"/>
        <v>2</v>
      </c>
      <c r="AB363" s="18">
        <f t="shared" si="66"/>
        <v>0</v>
      </c>
      <c r="AC363" s="18">
        <f t="shared" si="67"/>
        <v>10</v>
      </c>
      <c r="AD363" s="18">
        <f t="shared" si="68"/>
        <v>0</v>
      </c>
      <c r="AE363" s="18">
        <f t="shared" si="70"/>
        <v>7</v>
      </c>
      <c r="AF363" s="18">
        <f t="shared" si="71"/>
        <v>10</v>
      </c>
      <c r="AG363" s="550">
        <f t="shared" si="72"/>
        <v>223</v>
      </c>
      <c r="AH363" s="42">
        <v>2</v>
      </c>
      <c r="AI363" s="42">
        <v>0</v>
      </c>
      <c r="AJ363" s="42">
        <v>0</v>
      </c>
      <c r="AK363" s="42">
        <v>0</v>
      </c>
      <c r="AL363" s="42">
        <v>0</v>
      </c>
      <c r="AM363" s="42">
        <v>0</v>
      </c>
      <c r="AN363" s="42">
        <v>0</v>
      </c>
      <c r="AO363" s="42">
        <v>2</v>
      </c>
    </row>
    <row r="364" spans="1:41" ht="24" customHeight="1">
      <c r="A364" s="11">
        <f t="shared" si="61"/>
        <v>361</v>
      </c>
      <c r="B364" s="390">
        <v>5047</v>
      </c>
      <c r="C364" s="478" t="str">
        <f>VLOOKUP(B364,All!$B$4:$S$8977,2,FALSE)</f>
        <v>ឆេង</v>
      </c>
      <c r="D364" s="479" t="str">
        <f>VLOOKUP(B364,All!$B$4:$S$89977,3,FALSE)</f>
        <v>កុល</v>
      </c>
      <c r="E364" s="478" t="str">
        <f>VLOOKUP(B364,All!$B$4:$S$8977,4,FALSE)</f>
        <v>CHHENG</v>
      </c>
      <c r="F364" s="479" t="str">
        <f>VLOOKUP(B364,All!$B$4:$S$8977,5,FALSE)</f>
        <v>KOL</v>
      </c>
      <c r="G364" s="479" t="str">
        <f>VLOOKUP(B364,All!$B$4:$S$8977,6,FALSE)</f>
        <v>F</v>
      </c>
      <c r="H364" s="385">
        <f>VLOOKUP(B364,All!$B$4:$S$8977,7,FALSE)</f>
        <v>30110</v>
      </c>
      <c r="I364" s="154">
        <f>VLOOKUP(B364,All!$B$4:$S$8977,8,FALSE)</f>
        <v>44140</v>
      </c>
      <c r="J364" s="154" t="str">
        <f>VLOOKUP(B364,All!$B$4:$S$8977,9,FALSE)</f>
        <v>Production</v>
      </c>
      <c r="K364" s="154" t="str">
        <f>VLOOKUP(B364,All!$B$4:$S$8977,10,FALSE)</f>
        <v>Sample</v>
      </c>
      <c r="L364" s="698" t="str">
        <f>VLOOKUP(B364,All!$B$4:$S$8977,11,FALSE)</f>
        <v>SL sewer</v>
      </c>
      <c r="M364" s="570">
        <f>VLOOKUP(B364,All!$B$4:$S$8977,12,FALSE)</f>
        <v>192</v>
      </c>
      <c r="N364" s="18">
        <f>VLOOKUP(B364,All!$B$4:$S$8977,13,FALSE)</f>
        <v>2</v>
      </c>
      <c r="O364" s="18">
        <f>VLOOKUP(B364,All!$B$4:$S$8977,14,FALSE)</f>
        <v>0</v>
      </c>
      <c r="P364" s="18">
        <f>VLOOKUP(B364,All!$B$4:$S$8977,15,FALSE)</f>
        <v>10</v>
      </c>
      <c r="Q364" s="18">
        <f>VLOOKUP(B364,All!$B$4:$S$8977,16,FALSE)</f>
        <v>0</v>
      </c>
      <c r="R364" s="18">
        <v>7</v>
      </c>
      <c r="S364" s="18">
        <v>10</v>
      </c>
      <c r="T364" s="550">
        <f t="shared" si="69"/>
        <v>221</v>
      </c>
      <c r="U364" s="568"/>
      <c r="V364" s="3"/>
      <c r="W364" s="3"/>
      <c r="X364" s="3"/>
      <c r="Y364" s="562"/>
      <c r="Z364" s="570">
        <f t="shared" si="64"/>
        <v>194</v>
      </c>
      <c r="AA364" s="18">
        <f t="shared" si="65"/>
        <v>2</v>
      </c>
      <c r="AB364" s="18">
        <f t="shared" si="66"/>
        <v>0</v>
      </c>
      <c r="AC364" s="18">
        <f t="shared" si="67"/>
        <v>10</v>
      </c>
      <c r="AD364" s="18">
        <f t="shared" si="68"/>
        <v>0</v>
      </c>
      <c r="AE364" s="18">
        <f t="shared" si="70"/>
        <v>7</v>
      </c>
      <c r="AF364" s="18">
        <f t="shared" si="71"/>
        <v>10</v>
      </c>
      <c r="AG364" s="550">
        <f t="shared" si="72"/>
        <v>223</v>
      </c>
      <c r="AH364" s="42">
        <v>2</v>
      </c>
      <c r="AI364" s="42">
        <v>0</v>
      </c>
      <c r="AJ364" s="42">
        <v>0</v>
      </c>
      <c r="AK364" s="42">
        <v>0</v>
      </c>
      <c r="AL364" s="42">
        <v>0</v>
      </c>
      <c r="AM364" s="42">
        <v>0</v>
      </c>
      <c r="AN364" s="42">
        <v>0</v>
      </c>
      <c r="AO364" s="42">
        <v>2</v>
      </c>
    </row>
    <row r="365" spans="1:41" ht="24" customHeight="1">
      <c r="A365" s="11">
        <f t="shared" si="61"/>
        <v>362</v>
      </c>
      <c r="B365" s="390">
        <v>5049</v>
      </c>
      <c r="C365" s="478" t="str">
        <f>VLOOKUP(B365,All!$B$4:$S$8977,2,FALSE)</f>
        <v>ឃី</v>
      </c>
      <c r="D365" s="479" t="str">
        <f>VLOOKUP(B365,All!$B$4:$S$89977,3,FALSE)</f>
        <v>ស្រីភាព</v>
      </c>
      <c r="E365" s="478" t="str">
        <f>VLOOKUP(B365,All!$B$4:$S$8977,4,FALSE)</f>
        <v>KHY</v>
      </c>
      <c r="F365" s="479" t="str">
        <f>VLOOKUP(B365,All!$B$4:$S$8977,5,FALSE)</f>
        <v>SREYPHEAP</v>
      </c>
      <c r="G365" s="479" t="str">
        <f>VLOOKUP(B365,All!$B$4:$S$8977,6,FALSE)</f>
        <v>F</v>
      </c>
      <c r="H365" s="385">
        <f>VLOOKUP(B365,All!$B$4:$S$8977,7,FALSE)</f>
        <v>35494</v>
      </c>
      <c r="I365" s="154">
        <f>VLOOKUP(B365,All!$B$4:$S$8977,8,FALSE)</f>
        <v>44142</v>
      </c>
      <c r="J365" s="154" t="str">
        <f>VLOOKUP(B365,All!$B$4:$S$8977,9,FALSE)</f>
        <v>Production</v>
      </c>
      <c r="K365" s="154" t="str">
        <f>VLOOKUP(B365,All!$B$4:$S$8977,10,FALSE)</f>
        <v xml:space="preserve"> Line6</v>
      </c>
      <c r="L365" s="698" t="str">
        <f>VLOOKUP(B365,All!$B$4:$S$8977,11,FALSE)</f>
        <v>Sewing operator</v>
      </c>
      <c r="M365" s="570">
        <f>VLOOKUP(B365,All!$B$4:$S$8977,12,FALSE)</f>
        <v>192</v>
      </c>
      <c r="N365" s="18">
        <f>VLOOKUP(B365,All!$B$4:$S$8977,13,FALSE)</f>
        <v>2</v>
      </c>
      <c r="O365" s="18">
        <f>VLOOKUP(B365,All!$B$4:$S$8977,14,FALSE)</f>
        <v>0</v>
      </c>
      <c r="P365" s="18">
        <f>VLOOKUP(B365,All!$B$4:$S$8977,15,FALSE)</f>
        <v>0</v>
      </c>
      <c r="Q365" s="18">
        <f>VLOOKUP(B365,All!$B$4:$S$8977,16,FALSE)</f>
        <v>0</v>
      </c>
      <c r="R365" s="18">
        <v>7</v>
      </c>
      <c r="S365" s="18">
        <v>10</v>
      </c>
      <c r="T365" s="550">
        <f t="shared" si="69"/>
        <v>211</v>
      </c>
      <c r="U365" s="568"/>
      <c r="V365" s="3"/>
      <c r="W365" s="3"/>
      <c r="X365" s="3"/>
      <c r="Y365" s="562"/>
      <c r="Z365" s="570">
        <f t="shared" si="64"/>
        <v>194</v>
      </c>
      <c r="AA365" s="18">
        <f t="shared" si="65"/>
        <v>2</v>
      </c>
      <c r="AB365" s="18">
        <f t="shared" si="66"/>
        <v>0</v>
      </c>
      <c r="AC365" s="18">
        <f t="shared" si="67"/>
        <v>0</v>
      </c>
      <c r="AD365" s="18">
        <f t="shared" si="68"/>
        <v>0</v>
      </c>
      <c r="AE365" s="18">
        <f t="shared" si="70"/>
        <v>7</v>
      </c>
      <c r="AF365" s="18">
        <f t="shared" si="71"/>
        <v>10</v>
      </c>
      <c r="AG365" s="550">
        <f t="shared" si="72"/>
        <v>213</v>
      </c>
      <c r="AH365" s="42">
        <v>2</v>
      </c>
      <c r="AI365" s="42">
        <v>0</v>
      </c>
      <c r="AJ365" s="42">
        <v>0</v>
      </c>
      <c r="AK365" s="42">
        <v>0</v>
      </c>
      <c r="AL365" s="42">
        <v>0</v>
      </c>
      <c r="AM365" s="42">
        <v>0</v>
      </c>
      <c r="AN365" s="42">
        <v>0</v>
      </c>
      <c r="AO365" s="42">
        <v>2</v>
      </c>
    </row>
    <row r="366" spans="1:41" ht="24" customHeight="1">
      <c r="A366" s="11">
        <f t="shared" si="61"/>
        <v>363</v>
      </c>
      <c r="B366" s="390">
        <v>5028</v>
      </c>
      <c r="C366" s="478" t="str">
        <f>VLOOKUP(B366,All!$B$4:$S$8977,2,FALSE)</f>
        <v>ចែម</v>
      </c>
      <c r="D366" s="479" t="str">
        <f>VLOOKUP(B366,All!$B$4:$S$89977,3,FALSE)</f>
        <v>សុផាត</v>
      </c>
      <c r="E366" s="478" t="str">
        <f>VLOOKUP(B366,All!$B$4:$S$8977,4,FALSE)</f>
        <v>CHEM</v>
      </c>
      <c r="F366" s="479" t="str">
        <f>VLOOKUP(B366,All!$B$4:$S$8977,5,FALSE)</f>
        <v>SOPHAT</v>
      </c>
      <c r="G366" s="479" t="str">
        <f>VLOOKUP(B366,All!$B$4:$S$8977,6,FALSE)</f>
        <v>F</v>
      </c>
      <c r="H366" s="385">
        <f>VLOOKUP(B366,All!$B$4:$S$8977,7,FALSE)</f>
        <v>32402</v>
      </c>
      <c r="I366" s="154">
        <f>VLOOKUP(B366,All!$B$4:$S$8977,8,FALSE)</f>
        <v>44140</v>
      </c>
      <c r="J366" s="154" t="str">
        <f>VLOOKUP(B366,All!$B$4:$S$8977,9,FALSE)</f>
        <v>Production</v>
      </c>
      <c r="K366" s="154" t="str">
        <f>VLOOKUP(B366,All!$B$4:$S$8977,10,FALSE)</f>
        <v xml:space="preserve"> Line6</v>
      </c>
      <c r="L366" s="698" t="str">
        <f>VLOOKUP(B366,All!$B$4:$S$8977,11,FALSE)</f>
        <v>Sewing operator</v>
      </c>
      <c r="M366" s="570">
        <f>VLOOKUP(B366,All!$B$4:$S$8977,12,FALSE)</f>
        <v>192</v>
      </c>
      <c r="N366" s="18">
        <f>VLOOKUP(B366,All!$B$4:$S$8977,13,FALSE)</f>
        <v>2</v>
      </c>
      <c r="O366" s="18">
        <f>VLOOKUP(B366,All!$B$4:$S$8977,14,FALSE)</f>
        <v>0</v>
      </c>
      <c r="P366" s="18">
        <f>VLOOKUP(B366,All!$B$4:$S$8977,15,FALSE)</f>
        <v>0</v>
      </c>
      <c r="Q366" s="18">
        <f>VLOOKUP(B366,All!$B$4:$S$8977,16,FALSE)</f>
        <v>0</v>
      </c>
      <c r="R366" s="18">
        <v>7</v>
      </c>
      <c r="S366" s="18">
        <v>10</v>
      </c>
      <c r="T366" s="550">
        <f t="shared" si="69"/>
        <v>211</v>
      </c>
      <c r="U366" s="568"/>
      <c r="V366" s="3"/>
      <c r="W366" s="3"/>
      <c r="X366" s="3"/>
      <c r="Y366" s="562"/>
      <c r="Z366" s="570">
        <f t="shared" si="64"/>
        <v>194</v>
      </c>
      <c r="AA366" s="18">
        <f t="shared" si="65"/>
        <v>2</v>
      </c>
      <c r="AB366" s="18">
        <f t="shared" si="66"/>
        <v>0</v>
      </c>
      <c r="AC366" s="18">
        <f t="shared" si="67"/>
        <v>0</v>
      </c>
      <c r="AD366" s="18">
        <f t="shared" si="68"/>
        <v>0</v>
      </c>
      <c r="AE366" s="18">
        <f t="shared" si="70"/>
        <v>7</v>
      </c>
      <c r="AF366" s="18">
        <f t="shared" si="71"/>
        <v>10</v>
      </c>
      <c r="AG366" s="550">
        <f t="shared" si="72"/>
        <v>213</v>
      </c>
      <c r="AH366" s="42">
        <v>2</v>
      </c>
      <c r="AI366" s="42">
        <v>0</v>
      </c>
      <c r="AJ366" s="42">
        <v>0</v>
      </c>
      <c r="AK366" s="42">
        <v>0</v>
      </c>
      <c r="AL366" s="42">
        <v>0</v>
      </c>
      <c r="AM366" s="42">
        <v>0</v>
      </c>
      <c r="AN366" s="42">
        <v>0</v>
      </c>
      <c r="AO366" s="42">
        <v>2</v>
      </c>
    </row>
    <row r="367" spans="1:41" ht="24" customHeight="1">
      <c r="A367" s="11">
        <f t="shared" si="61"/>
        <v>364</v>
      </c>
      <c r="B367" s="390">
        <v>5014</v>
      </c>
      <c r="C367" s="478" t="str">
        <f>VLOOKUP(B367,All!$B$4:$S$8977,2,FALSE)</f>
        <v>ឡូ</v>
      </c>
      <c r="D367" s="479" t="str">
        <f>VLOOKUP(B367,All!$B$4:$S$89977,3,FALSE)</f>
        <v>សាវឿន</v>
      </c>
      <c r="E367" s="478" t="str">
        <f>VLOOKUP(B367,All!$B$4:$S$8977,4,FALSE)</f>
        <v>LO</v>
      </c>
      <c r="F367" s="479" t="str">
        <f>VLOOKUP(B367,All!$B$4:$S$8977,5,FALSE)</f>
        <v>SAVOEUN</v>
      </c>
      <c r="G367" s="479" t="str">
        <f>VLOOKUP(B367,All!$B$4:$S$8977,6,FALSE)</f>
        <v>F</v>
      </c>
      <c r="H367" s="385">
        <f>VLOOKUP(B367,All!$B$4:$S$8977,7,FALSE)</f>
        <v>30101</v>
      </c>
      <c r="I367" s="154">
        <f>VLOOKUP(B367,All!$B$4:$S$8977,8,FALSE)</f>
        <v>44140</v>
      </c>
      <c r="J367" s="154" t="str">
        <f>VLOOKUP(B367,All!$B$4:$S$8977,9,FALSE)</f>
        <v>Production</v>
      </c>
      <c r="K367" s="154" t="str">
        <f>VLOOKUP(B367,All!$B$4:$S$8977,10,FALSE)</f>
        <v>Line5</v>
      </c>
      <c r="L367" s="698" t="str">
        <f>VLOOKUP(B367,All!$B$4:$S$8977,11,FALSE)</f>
        <v>Sewing operator</v>
      </c>
      <c r="M367" s="570">
        <f>VLOOKUP(B367,All!$B$4:$S$8977,12,FALSE)</f>
        <v>192</v>
      </c>
      <c r="N367" s="18">
        <f>VLOOKUP(B367,All!$B$4:$S$8977,13,FALSE)</f>
        <v>2</v>
      </c>
      <c r="O367" s="18">
        <f>VLOOKUP(B367,All!$B$4:$S$8977,14,FALSE)</f>
        <v>0</v>
      </c>
      <c r="P367" s="18">
        <f>VLOOKUP(B367,All!$B$4:$S$8977,15,FALSE)</f>
        <v>0</v>
      </c>
      <c r="Q367" s="18">
        <f>VLOOKUP(B367,All!$B$4:$S$8977,16,FALSE)</f>
        <v>0</v>
      </c>
      <c r="R367" s="18">
        <v>7</v>
      </c>
      <c r="S367" s="18">
        <v>10</v>
      </c>
      <c r="T367" s="550">
        <f t="shared" si="69"/>
        <v>211</v>
      </c>
      <c r="U367" s="568"/>
      <c r="V367" s="3"/>
      <c r="W367" s="3"/>
      <c r="X367" s="3"/>
      <c r="Y367" s="562"/>
      <c r="Z367" s="570">
        <f t="shared" si="64"/>
        <v>194</v>
      </c>
      <c r="AA367" s="18">
        <f t="shared" si="65"/>
        <v>2</v>
      </c>
      <c r="AB367" s="18">
        <f t="shared" si="66"/>
        <v>0</v>
      </c>
      <c r="AC367" s="18">
        <f t="shared" si="67"/>
        <v>0</v>
      </c>
      <c r="AD367" s="18">
        <f t="shared" si="68"/>
        <v>0</v>
      </c>
      <c r="AE367" s="18">
        <f t="shared" si="70"/>
        <v>7</v>
      </c>
      <c r="AF367" s="18">
        <f t="shared" si="71"/>
        <v>10</v>
      </c>
      <c r="AG367" s="550">
        <f t="shared" si="72"/>
        <v>213</v>
      </c>
      <c r="AH367" s="42">
        <v>2</v>
      </c>
      <c r="AI367" s="42">
        <v>0</v>
      </c>
      <c r="AJ367" s="42">
        <v>0</v>
      </c>
      <c r="AK367" s="42">
        <v>0</v>
      </c>
      <c r="AL367" s="42">
        <v>0</v>
      </c>
      <c r="AM367" s="42">
        <v>0</v>
      </c>
      <c r="AN367" s="42">
        <v>0</v>
      </c>
      <c r="AO367" s="42">
        <v>2</v>
      </c>
    </row>
    <row r="368" spans="1:41" ht="24" customHeight="1">
      <c r="A368" s="11">
        <f t="shared" si="61"/>
        <v>365</v>
      </c>
      <c r="B368" s="390">
        <v>5019</v>
      </c>
      <c r="C368" s="478" t="str">
        <f>VLOOKUP(B368,All!$B$4:$S$8977,2,FALSE)</f>
        <v>មុំ</v>
      </c>
      <c r="D368" s="479" t="str">
        <f>VLOOKUP(B368,All!$B$4:$S$89977,3,FALSE)</f>
        <v>ស៊ីណេត</v>
      </c>
      <c r="E368" s="478" t="str">
        <f>VLOOKUP(B368,All!$B$4:$S$8977,4,FALSE)</f>
        <v>MOM</v>
      </c>
      <c r="F368" s="479" t="str">
        <f>VLOOKUP(B368,All!$B$4:$S$8977,5,FALSE)</f>
        <v>SYNET</v>
      </c>
      <c r="G368" s="479" t="str">
        <f>VLOOKUP(B368,All!$B$4:$S$8977,6,FALSE)</f>
        <v>F</v>
      </c>
      <c r="H368" s="385">
        <f>VLOOKUP(B368,All!$B$4:$S$8977,7,FALSE)</f>
        <v>31116</v>
      </c>
      <c r="I368" s="154">
        <f>VLOOKUP(B368,All!$B$4:$S$8977,8,FALSE)</f>
        <v>44140</v>
      </c>
      <c r="J368" s="154" t="str">
        <f>VLOOKUP(B368,All!$B$4:$S$8977,9,FALSE)</f>
        <v>Production</v>
      </c>
      <c r="K368" s="154" t="str">
        <f>VLOOKUP(B368,All!$B$4:$S$8977,10,FALSE)</f>
        <v>Line5</v>
      </c>
      <c r="L368" s="698" t="str">
        <f>VLOOKUP(B368,All!$B$4:$S$8977,11,FALSE)</f>
        <v>Sewing operator</v>
      </c>
      <c r="M368" s="570">
        <f>VLOOKUP(B368,All!$B$4:$S$8977,12,FALSE)</f>
        <v>192</v>
      </c>
      <c r="N368" s="18">
        <f>VLOOKUP(B368,All!$B$4:$S$8977,13,FALSE)</f>
        <v>2</v>
      </c>
      <c r="O368" s="18">
        <f>VLOOKUP(B368,All!$B$4:$S$8977,14,FALSE)</f>
        <v>0</v>
      </c>
      <c r="P368" s="18">
        <f>VLOOKUP(B368,All!$B$4:$S$8977,15,FALSE)</f>
        <v>0</v>
      </c>
      <c r="Q368" s="18">
        <f>VLOOKUP(B368,All!$B$4:$S$8977,16,FALSE)</f>
        <v>0</v>
      </c>
      <c r="R368" s="18">
        <v>7</v>
      </c>
      <c r="S368" s="18">
        <v>10</v>
      </c>
      <c r="T368" s="550">
        <f t="shared" si="69"/>
        <v>211</v>
      </c>
      <c r="U368" s="568"/>
      <c r="V368" s="3"/>
      <c r="W368" s="3"/>
      <c r="X368" s="3"/>
      <c r="Y368" s="562"/>
      <c r="Z368" s="570">
        <f t="shared" si="64"/>
        <v>194</v>
      </c>
      <c r="AA368" s="18">
        <f t="shared" si="65"/>
        <v>2</v>
      </c>
      <c r="AB368" s="18">
        <f t="shared" si="66"/>
        <v>0</v>
      </c>
      <c r="AC368" s="18">
        <f t="shared" si="67"/>
        <v>0</v>
      </c>
      <c r="AD368" s="18">
        <f t="shared" si="68"/>
        <v>0</v>
      </c>
      <c r="AE368" s="18">
        <f t="shared" si="70"/>
        <v>7</v>
      </c>
      <c r="AF368" s="18">
        <f t="shared" si="71"/>
        <v>10</v>
      </c>
      <c r="AG368" s="550">
        <f t="shared" si="72"/>
        <v>213</v>
      </c>
      <c r="AH368" s="42">
        <v>2</v>
      </c>
      <c r="AI368" s="42">
        <v>0</v>
      </c>
      <c r="AJ368" s="42">
        <v>0</v>
      </c>
      <c r="AK368" s="42">
        <v>0</v>
      </c>
      <c r="AL368" s="42">
        <v>0</v>
      </c>
      <c r="AM368" s="42">
        <v>0</v>
      </c>
      <c r="AN368" s="42">
        <v>0</v>
      </c>
      <c r="AO368" s="42">
        <v>2</v>
      </c>
    </row>
    <row r="369" spans="1:41" ht="24" customHeight="1">
      <c r="A369" s="11">
        <f t="shared" si="61"/>
        <v>366</v>
      </c>
      <c r="B369" s="390">
        <v>5030</v>
      </c>
      <c r="C369" s="478" t="str">
        <f>VLOOKUP(B369,All!$B$4:$S$8977,2,FALSE)</f>
        <v>ភី</v>
      </c>
      <c r="D369" s="479" t="str">
        <f>VLOOKUP(B369,All!$B$4:$S$89977,3,FALSE)</f>
        <v>សាវី</v>
      </c>
      <c r="E369" s="478" t="str">
        <f>VLOOKUP(B369,All!$B$4:$S$8977,4,FALSE)</f>
        <v>PHY</v>
      </c>
      <c r="F369" s="479" t="str">
        <f>VLOOKUP(B369,All!$B$4:$S$8977,5,FALSE)</f>
        <v>SAVY</v>
      </c>
      <c r="G369" s="479" t="str">
        <f>VLOOKUP(B369,All!$B$4:$S$8977,6,FALSE)</f>
        <v>F</v>
      </c>
      <c r="H369" s="385">
        <f>VLOOKUP(B369,All!$B$4:$S$8977,7,FALSE)</f>
        <v>32614</v>
      </c>
      <c r="I369" s="154">
        <f>VLOOKUP(B369,All!$B$4:$S$8977,8,FALSE)</f>
        <v>44140</v>
      </c>
      <c r="J369" s="154" t="str">
        <f>VLOOKUP(B369,All!$B$4:$S$8977,9,FALSE)</f>
        <v>Production</v>
      </c>
      <c r="K369" s="154" t="str">
        <f>VLOOKUP(B369,All!$B$4:$S$8977,10,FALSE)</f>
        <v xml:space="preserve"> Line1</v>
      </c>
      <c r="L369" s="698" t="str">
        <f>VLOOKUP(B369,All!$B$4:$S$8977,11,FALSE)</f>
        <v>Sewing operator</v>
      </c>
      <c r="M369" s="570">
        <f>VLOOKUP(B369,All!$B$4:$S$8977,12,FALSE)</f>
        <v>192</v>
      </c>
      <c r="N369" s="18">
        <f>VLOOKUP(B369,All!$B$4:$S$8977,13,FALSE)</f>
        <v>2</v>
      </c>
      <c r="O369" s="18">
        <f>VLOOKUP(B369,All!$B$4:$S$8977,14,FALSE)</f>
        <v>0</v>
      </c>
      <c r="P369" s="18">
        <f>VLOOKUP(B369,All!$B$4:$S$8977,15,FALSE)</f>
        <v>0</v>
      </c>
      <c r="Q369" s="18">
        <f>VLOOKUP(B369,All!$B$4:$S$8977,16,FALSE)</f>
        <v>0</v>
      </c>
      <c r="R369" s="18">
        <v>7</v>
      </c>
      <c r="S369" s="18">
        <v>10</v>
      </c>
      <c r="T369" s="550">
        <f t="shared" si="69"/>
        <v>211</v>
      </c>
      <c r="U369" s="568"/>
      <c r="V369" s="3"/>
      <c r="W369" s="3"/>
      <c r="X369" s="3"/>
      <c r="Y369" s="562"/>
      <c r="Z369" s="570">
        <f t="shared" si="64"/>
        <v>194</v>
      </c>
      <c r="AA369" s="18">
        <f t="shared" si="65"/>
        <v>2</v>
      </c>
      <c r="AB369" s="18">
        <f t="shared" si="66"/>
        <v>0</v>
      </c>
      <c r="AC369" s="18">
        <f t="shared" si="67"/>
        <v>0</v>
      </c>
      <c r="AD369" s="18">
        <f t="shared" si="68"/>
        <v>0</v>
      </c>
      <c r="AE369" s="18">
        <f t="shared" si="70"/>
        <v>7</v>
      </c>
      <c r="AF369" s="18">
        <f t="shared" si="71"/>
        <v>10</v>
      </c>
      <c r="AG369" s="550">
        <f t="shared" si="72"/>
        <v>213</v>
      </c>
      <c r="AH369" s="42">
        <v>2</v>
      </c>
      <c r="AI369" s="42">
        <v>0</v>
      </c>
      <c r="AJ369" s="42">
        <v>0</v>
      </c>
      <c r="AK369" s="42">
        <v>0</v>
      </c>
      <c r="AL369" s="42">
        <v>0</v>
      </c>
      <c r="AM369" s="42">
        <v>0</v>
      </c>
      <c r="AN369" s="42">
        <v>0</v>
      </c>
      <c r="AO369" s="42">
        <v>2</v>
      </c>
    </row>
    <row r="370" spans="1:41" ht="24" customHeight="1">
      <c r="A370" s="11">
        <f t="shared" si="61"/>
        <v>367</v>
      </c>
      <c r="B370" s="390">
        <v>5039</v>
      </c>
      <c r="C370" s="478" t="str">
        <f>VLOOKUP(B370,All!$B$4:$S$8977,2,FALSE)</f>
        <v>ទ្រី</v>
      </c>
      <c r="D370" s="479" t="str">
        <f>VLOOKUP(B370,All!$B$4:$S$89977,3,FALSE)</f>
        <v>ឃុនលេង</v>
      </c>
      <c r="E370" s="478" t="str">
        <f>VLOOKUP(B370,All!$B$4:$S$8977,4,FALSE)</f>
        <v>TRY</v>
      </c>
      <c r="F370" s="479" t="str">
        <f>VLOOKUP(B370,All!$B$4:$S$8977,5,FALSE)</f>
        <v>KHUNIENG</v>
      </c>
      <c r="G370" s="479" t="str">
        <f>VLOOKUP(B370,All!$B$4:$S$8977,6,FALSE)</f>
        <v>F</v>
      </c>
      <c r="H370" s="385">
        <f>VLOOKUP(B370,All!$B$4:$S$8977,7,FALSE)</f>
        <v>30959</v>
      </c>
      <c r="I370" s="154">
        <f>VLOOKUP(B370,All!$B$4:$S$8977,8,FALSE)</f>
        <v>44141</v>
      </c>
      <c r="J370" s="154" t="str">
        <f>VLOOKUP(B370,All!$B$4:$S$8977,9,FALSE)</f>
        <v>Production</v>
      </c>
      <c r="K370" s="154" t="str">
        <f>VLOOKUP(B370,All!$B$4:$S$8977,10,FALSE)</f>
        <v>Line17</v>
      </c>
      <c r="L370" s="698" t="str">
        <f>VLOOKUP(B370,All!$B$4:$S$8977,11,FALSE)</f>
        <v>Sewing operator</v>
      </c>
      <c r="M370" s="570">
        <f>VLOOKUP(B370,All!$B$4:$S$8977,12,FALSE)</f>
        <v>192</v>
      </c>
      <c r="N370" s="18">
        <f>VLOOKUP(B370,All!$B$4:$S$8977,13,FALSE)</f>
        <v>2</v>
      </c>
      <c r="O370" s="18">
        <f>VLOOKUP(B370,All!$B$4:$S$8977,14,FALSE)</f>
        <v>0</v>
      </c>
      <c r="P370" s="18">
        <f>VLOOKUP(B370,All!$B$4:$S$8977,15,FALSE)</f>
        <v>0</v>
      </c>
      <c r="Q370" s="18">
        <f>VLOOKUP(B370,All!$B$4:$S$8977,16,FALSE)</f>
        <v>0</v>
      </c>
      <c r="R370" s="18">
        <v>7</v>
      </c>
      <c r="S370" s="18">
        <v>10</v>
      </c>
      <c r="T370" s="550">
        <f t="shared" si="69"/>
        <v>211</v>
      </c>
      <c r="U370" s="568"/>
      <c r="V370" s="3"/>
      <c r="W370" s="3"/>
      <c r="X370" s="3"/>
      <c r="Y370" s="562"/>
      <c r="Z370" s="570">
        <f t="shared" si="64"/>
        <v>194</v>
      </c>
      <c r="AA370" s="18">
        <f t="shared" si="65"/>
        <v>2</v>
      </c>
      <c r="AB370" s="18">
        <f t="shared" si="66"/>
        <v>0</v>
      </c>
      <c r="AC370" s="18">
        <f t="shared" si="67"/>
        <v>0</v>
      </c>
      <c r="AD370" s="18">
        <f t="shared" si="68"/>
        <v>0</v>
      </c>
      <c r="AE370" s="18">
        <f t="shared" si="70"/>
        <v>7</v>
      </c>
      <c r="AF370" s="18">
        <f t="shared" si="71"/>
        <v>10</v>
      </c>
      <c r="AG370" s="550">
        <f t="shared" si="72"/>
        <v>213</v>
      </c>
      <c r="AH370" s="42">
        <v>2</v>
      </c>
      <c r="AI370" s="42">
        <v>0</v>
      </c>
      <c r="AJ370" s="42">
        <v>0</v>
      </c>
      <c r="AK370" s="42">
        <v>0</v>
      </c>
      <c r="AL370" s="42">
        <v>0</v>
      </c>
      <c r="AM370" s="42">
        <v>0</v>
      </c>
      <c r="AN370" s="42">
        <v>0</v>
      </c>
      <c r="AO370" s="42">
        <v>2</v>
      </c>
    </row>
    <row r="371" spans="1:41" ht="24" customHeight="1">
      <c r="A371" s="11">
        <f t="shared" si="61"/>
        <v>368</v>
      </c>
      <c r="B371" s="390">
        <v>5043</v>
      </c>
      <c r="C371" s="478" t="str">
        <f>VLOOKUP(B371,All!$B$4:$S$8977,2,FALSE)</f>
        <v>អ៊ាត</v>
      </c>
      <c r="D371" s="479" t="str">
        <f>VLOOKUP(B371,All!$B$4:$S$89977,3,FALSE)</f>
        <v>ឈុនហេង</v>
      </c>
      <c r="E371" s="478" t="str">
        <f>VLOOKUP(B371,All!$B$4:$S$8977,4,FALSE)</f>
        <v>ART</v>
      </c>
      <c r="F371" s="479" t="str">
        <f>VLOOKUP(B371,All!$B$4:$S$8977,5,FALSE)</f>
        <v>CHHUNHENG</v>
      </c>
      <c r="G371" s="479" t="str">
        <f>VLOOKUP(B371,All!$B$4:$S$8977,6,FALSE)</f>
        <v>F</v>
      </c>
      <c r="H371" s="385">
        <f>VLOOKUP(B371,All!$B$4:$S$8977,7,FALSE)</f>
        <v>30602</v>
      </c>
      <c r="I371" s="154">
        <f>VLOOKUP(B371,All!$B$4:$S$8977,8,FALSE)</f>
        <v>44140</v>
      </c>
      <c r="J371" s="154" t="str">
        <f>VLOOKUP(B371,All!$B$4:$S$8977,9,FALSE)</f>
        <v>Production</v>
      </c>
      <c r="K371" s="154" t="str">
        <f>VLOOKUP(B371,All!$B$4:$S$8977,10,FALSE)</f>
        <v xml:space="preserve"> Line3</v>
      </c>
      <c r="L371" s="698" t="str">
        <f>VLOOKUP(B371,All!$B$4:$S$8977,11,FALSE)</f>
        <v>Sewing operator</v>
      </c>
      <c r="M371" s="570">
        <f>VLOOKUP(B371,All!$B$4:$S$8977,12,FALSE)</f>
        <v>192</v>
      </c>
      <c r="N371" s="18">
        <f>VLOOKUP(B371,All!$B$4:$S$8977,13,FALSE)</f>
        <v>2</v>
      </c>
      <c r="O371" s="18">
        <f>VLOOKUP(B371,All!$B$4:$S$8977,14,FALSE)</f>
        <v>0</v>
      </c>
      <c r="P371" s="18">
        <f>VLOOKUP(B371,All!$B$4:$S$8977,15,FALSE)</f>
        <v>0</v>
      </c>
      <c r="Q371" s="18">
        <f>VLOOKUP(B371,All!$B$4:$S$8977,16,FALSE)</f>
        <v>0</v>
      </c>
      <c r="R371" s="18">
        <v>7</v>
      </c>
      <c r="S371" s="18">
        <v>10</v>
      </c>
      <c r="T371" s="550">
        <f t="shared" si="69"/>
        <v>211</v>
      </c>
      <c r="U371" s="568"/>
      <c r="V371" s="3"/>
      <c r="W371" s="3"/>
      <c r="X371" s="3"/>
      <c r="Y371" s="562"/>
      <c r="Z371" s="570">
        <f t="shared" si="64"/>
        <v>194</v>
      </c>
      <c r="AA371" s="18">
        <f t="shared" si="65"/>
        <v>2</v>
      </c>
      <c r="AB371" s="18">
        <f t="shared" si="66"/>
        <v>0</v>
      </c>
      <c r="AC371" s="18">
        <f t="shared" si="67"/>
        <v>0</v>
      </c>
      <c r="AD371" s="18">
        <f t="shared" si="68"/>
        <v>0</v>
      </c>
      <c r="AE371" s="18">
        <f t="shared" si="70"/>
        <v>7</v>
      </c>
      <c r="AF371" s="18">
        <f t="shared" si="71"/>
        <v>10</v>
      </c>
      <c r="AG371" s="550">
        <f t="shared" si="72"/>
        <v>213</v>
      </c>
      <c r="AH371" s="42">
        <v>2</v>
      </c>
      <c r="AI371" s="42">
        <v>0</v>
      </c>
      <c r="AJ371" s="42">
        <v>0</v>
      </c>
      <c r="AK371" s="42">
        <v>0</v>
      </c>
      <c r="AL371" s="42">
        <v>0</v>
      </c>
      <c r="AM371" s="42">
        <v>0</v>
      </c>
      <c r="AN371" s="42">
        <v>0</v>
      </c>
      <c r="AO371" s="42">
        <v>2</v>
      </c>
    </row>
    <row r="372" spans="1:41" ht="24" customHeight="1">
      <c r="A372" s="11">
        <f t="shared" si="61"/>
        <v>369</v>
      </c>
      <c r="B372" s="390">
        <v>5045</v>
      </c>
      <c r="C372" s="478" t="str">
        <f>VLOOKUP(B372,All!$B$4:$S$8977,2,FALSE)</f>
        <v>អ៊ុក</v>
      </c>
      <c r="D372" s="479" t="str">
        <f>VLOOKUP(B372,All!$B$4:$S$89977,3,FALSE)</f>
        <v>ផាត</v>
      </c>
      <c r="E372" s="478" t="str">
        <f>VLOOKUP(B372,All!$B$4:$S$8977,4,FALSE)</f>
        <v>UK</v>
      </c>
      <c r="F372" s="479" t="str">
        <f>VLOOKUP(B372,All!$B$4:$S$8977,5,FALSE)</f>
        <v>PHATH</v>
      </c>
      <c r="G372" s="479" t="str">
        <f>VLOOKUP(B372,All!$B$4:$S$8977,6,FALSE)</f>
        <v>F</v>
      </c>
      <c r="H372" s="385">
        <f>VLOOKUP(B372,All!$B$4:$S$8977,7,FALSE)</f>
        <v>32527</v>
      </c>
      <c r="I372" s="154">
        <f>VLOOKUP(B372,All!$B$4:$S$8977,8,FALSE)</f>
        <v>44140</v>
      </c>
      <c r="J372" s="154" t="str">
        <f>VLOOKUP(B372,All!$B$4:$S$8977,9,FALSE)</f>
        <v>Production</v>
      </c>
      <c r="K372" s="154" t="str">
        <f>VLOOKUP(B372,All!$B$4:$S$8977,10,FALSE)</f>
        <v xml:space="preserve"> Line15</v>
      </c>
      <c r="L372" s="698" t="str">
        <f>VLOOKUP(B372,All!$B$4:$S$8977,11,FALSE)</f>
        <v>Sewing operator</v>
      </c>
      <c r="M372" s="570">
        <f>VLOOKUP(B372,All!$B$4:$S$8977,12,FALSE)</f>
        <v>192</v>
      </c>
      <c r="N372" s="18">
        <f>VLOOKUP(B372,All!$B$4:$S$8977,13,FALSE)</f>
        <v>2</v>
      </c>
      <c r="O372" s="18">
        <f>VLOOKUP(B372,All!$B$4:$S$8977,14,FALSE)</f>
        <v>0</v>
      </c>
      <c r="P372" s="18">
        <f>VLOOKUP(B372,All!$B$4:$S$8977,15,FALSE)</f>
        <v>0</v>
      </c>
      <c r="Q372" s="18">
        <f>VLOOKUP(B372,All!$B$4:$S$8977,16,FALSE)</f>
        <v>0</v>
      </c>
      <c r="R372" s="18">
        <v>7</v>
      </c>
      <c r="S372" s="18">
        <v>10</v>
      </c>
      <c r="T372" s="550">
        <f t="shared" si="69"/>
        <v>211</v>
      </c>
      <c r="U372" s="568"/>
      <c r="V372" s="3"/>
      <c r="W372" s="3"/>
      <c r="X372" s="3"/>
      <c r="Y372" s="562"/>
      <c r="Z372" s="570">
        <f t="shared" si="64"/>
        <v>194</v>
      </c>
      <c r="AA372" s="18">
        <f t="shared" si="65"/>
        <v>2</v>
      </c>
      <c r="AB372" s="18">
        <f t="shared" si="66"/>
        <v>0</v>
      </c>
      <c r="AC372" s="18">
        <f t="shared" si="67"/>
        <v>0</v>
      </c>
      <c r="AD372" s="18">
        <f t="shared" si="68"/>
        <v>0</v>
      </c>
      <c r="AE372" s="18">
        <f t="shared" si="70"/>
        <v>7</v>
      </c>
      <c r="AF372" s="18">
        <f t="shared" si="71"/>
        <v>10</v>
      </c>
      <c r="AG372" s="550">
        <f t="shared" si="72"/>
        <v>213</v>
      </c>
      <c r="AH372" s="42">
        <v>2</v>
      </c>
      <c r="AI372" s="42">
        <v>0</v>
      </c>
      <c r="AJ372" s="42">
        <v>0</v>
      </c>
      <c r="AK372" s="42">
        <v>0</v>
      </c>
      <c r="AL372" s="42">
        <v>0</v>
      </c>
      <c r="AM372" s="42">
        <v>0</v>
      </c>
      <c r="AN372" s="42">
        <v>0</v>
      </c>
      <c r="AO372" s="42">
        <v>2</v>
      </c>
    </row>
    <row r="373" spans="1:41" ht="24" customHeight="1">
      <c r="A373" s="11">
        <f t="shared" si="61"/>
        <v>370</v>
      </c>
      <c r="B373" s="390">
        <v>5029</v>
      </c>
      <c r="C373" s="478" t="str">
        <f>VLOOKUP(B373,All!$B$4:$S$8977,2,FALSE)</f>
        <v>វ៉ាន់</v>
      </c>
      <c r="D373" s="479" t="str">
        <f>VLOOKUP(B373,All!$B$4:$S$89977,3,FALSE)</f>
        <v>ស៊ឹម</v>
      </c>
      <c r="E373" s="478" t="str">
        <f>VLOOKUP(B373,All!$B$4:$S$8977,4,FALSE)</f>
        <v>VANN</v>
      </c>
      <c r="F373" s="479" t="str">
        <f>VLOOKUP(B373,All!$B$4:$S$8977,5,FALSE)</f>
        <v>SIM</v>
      </c>
      <c r="G373" s="479" t="str">
        <f>VLOOKUP(B373,All!$B$4:$S$8977,6,FALSE)</f>
        <v>F</v>
      </c>
      <c r="H373" s="385">
        <f>VLOOKUP(B373,All!$B$4:$S$8977,7,FALSE)</f>
        <v>31533</v>
      </c>
      <c r="I373" s="154">
        <f>VLOOKUP(B373,All!$B$4:$S$8977,8,FALSE)</f>
        <v>44140</v>
      </c>
      <c r="J373" s="154" t="str">
        <f>VLOOKUP(B373,All!$B$4:$S$8977,9,FALSE)</f>
        <v>Production</v>
      </c>
      <c r="K373" s="154" t="str">
        <f>VLOOKUP(B373,All!$B$4:$S$8977,10,FALSE)</f>
        <v>Line20</v>
      </c>
      <c r="L373" s="698" t="str">
        <f>VLOOKUP(B373,All!$B$4:$S$8977,11,FALSE)</f>
        <v>Sewing operator</v>
      </c>
      <c r="M373" s="570">
        <f>VLOOKUP(B373,All!$B$4:$S$8977,12,FALSE)</f>
        <v>192</v>
      </c>
      <c r="N373" s="18">
        <f>VLOOKUP(B373,All!$B$4:$S$8977,13,FALSE)</f>
        <v>2</v>
      </c>
      <c r="O373" s="18">
        <f>VLOOKUP(B373,All!$B$4:$S$8977,14,FALSE)</f>
        <v>0</v>
      </c>
      <c r="P373" s="18">
        <f>VLOOKUP(B373,All!$B$4:$S$8977,15,FALSE)</f>
        <v>0</v>
      </c>
      <c r="Q373" s="18">
        <f>VLOOKUP(B373,All!$B$4:$S$8977,16,FALSE)</f>
        <v>0</v>
      </c>
      <c r="R373" s="18">
        <v>7</v>
      </c>
      <c r="S373" s="18">
        <v>10</v>
      </c>
      <c r="T373" s="550">
        <f t="shared" si="69"/>
        <v>211</v>
      </c>
      <c r="U373" s="568"/>
      <c r="V373" s="3"/>
      <c r="W373" s="3"/>
      <c r="X373" s="3"/>
      <c r="Y373" s="562"/>
      <c r="Z373" s="570">
        <f t="shared" si="64"/>
        <v>194</v>
      </c>
      <c r="AA373" s="18">
        <f t="shared" si="65"/>
        <v>2</v>
      </c>
      <c r="AB373" s="18">
        <f t="shared" si="66"/>
        <v>0</v>
      </c>
      <c r="AC373" s="18">
        <f t="shared" si="67"/>
        <v>0</v>
      </c>
      <c r="AD373" s="18">
        <f t="shared" si="68"/>
        <v>0</v>
      </c>
      <c r="AE373" s="18">
        <f t="shared" si="70"/>
        <v>7</v>
      </c>
      <c r="AF373" s="18">
        <f t="shared" si="71"/>
        <v>10</v>
      </c>
      <c r="AG373" s="550">
        <f t="shared" si="72"/>
        <v>213</v>
      </c>
      <c r="AH373" s="42">
        <v>2</v>
      </c>
      <c r="AI373" s="42">
        <v>0</v>
      </c>
      <c r="AJ373" s="42">
        <v>0</v>
      </c>
      <c r="AK373" s="42">
        <v>0</v>
      </c>
      <c r="AL373" s="42">
        <v>0</v>
      </c>
      <c r="AM373" s="42">
        <v>0</v>
      </c>
      <c r="AN373" s="42">
        <v>0</v>
      </c>
      <c r="AO373" s="42">
        <v>2</v>
      </c>
    </row>
    <row r="374" spans="1:41" ht="24" customHeight="1">
      <c r="A374" s="11">
        <f t="shared" si="61"/>
        <v>371</v>
      </c>
      <c r="B374" s="390">
        <v>5022</v>
      </c>
      <c r="C374" s="478" t="str">
        <f>VLOOKUP(B374,All!$B$4:$S$8977,2,FALSE)</f>
        <v>ម៉ៃ</v>
      </c>
      <c r="D374" s="479" t="str">
        <f>VLOOKUP(B374,All!$B$4:$S$89977,3,FALSE)</f>
        <v>ស្រី</v>
      </c>
      <c r="E374" s="478" t="str">
        <f>VLOOKUP(B374,All!$B$4:$S$8977,4,FALSE)</f>
        <v>MAI</v>
      </c>
      <c r="F374" s="479" t="str">
        <f>VLOOKUP(B374,All!$B$4:$S$8977,5,FALSE)</f>
        <v>SREY</v>
      </c>
      <c r="G374" s="479" t="str">
        <f>VLOOKUP(B374,All!$B$4:$S$8977,6,FALSE)</f>
        <v>F</v>
      </c>
      <c r="H374" s="385">
        <f>VLOOKUP(B374,All!$B$4:$S$8977,7,FALSE)</f>
        <v>31415</v>
      </c>
      <c r="I374" s="154">
        <f>VLOOKUP(B374,All!$B$4:$S$8977,8,FALSE)</f>
        <v>44140</v>
      </c>
      <c r="J374" s="154" t="str">
        <f>VLOOKUP(B374,All!$B$4:$S$8977,9,FALSE)</f>
        <v>Production</v>
      </c>
      <c r="K374" s="154" t="str">
        <f>VLOOKUP(B374,All!$B$4:$S$8977,10,FALSE)</f>
        <v>Line10</v>
      </c>
      <c r="L374" s="698" t="str">
        <f>VLOOKUP(B374,All!$B$4:$S$8977,11,FALSE)</f>
        <v>Sewing operator</v>
      </c>
      <c r="M374" s="570">
        <f>VLOOKUP(B374,All!$B$4:$S$8977,12,FALSE)</f>
        <v>192</v>
      </c>
      <c r="N374" s="18">
        <f>VLOOKUP(B374,All!$B$4:$S$8977,13,FALSE)</f>
        <v>2</v>
      </c>
      <c r="O374" s="18">
        <f>VLOOKUP(B374,All!$B$4:$S$8977,14,FALSE)</f>
        <v>0</v>
      </c>
      <c r="P374" s="18">
        <f>VLOOKUP(B374,All!$B$4:$S$8977,15,FALSE)</f>
        <v>0</v>
      </c>
      <c r="Q374" s="18">
        <f>VLOOKUP(B374,All!$B$4:$S$8977,16,FALSE)</f>
        <v>0</v>
      </c>
      <c r="R374" s="18">
        <v>7</v>
      </c>
      <c r="S374" s="18">
        <v>10</v>
      </c>
      <c r="T374" s="550">
        <f t="shared" si="69"/>
        <v>211</v>
      </c>
      <c r="U374" s="568"/>
      <c r="V374" s="3"/>
      <c r="W374" s="3"/>
      <c r="X374" s="3"/>
      <c r="Y374" s="562"/>
      <c r="Z374" s="570">
        <f t="shared" si="64"/>
        <v>194</v>
      </c>
      <c r="AA374" s="18">
        <f t="shared" si="65"/>
        <v>2</v>
      </c>
      <c r="AB374" s="18">
        <f t="shared" si="66"/>
        <v>0</v>
      </c>
      <c r="AC374" s="18">
        <f t="shared" si="67"/>
        <v>0</v>
      </c>
      <c r="AD374" s="18">
        <f t="shared" si="68"/>
        <v>0</v>
      </c>
      <c r="AE374" s="18">
        <f t="shared" si="70"/>
        <v>7</v>
      </c>
      <c r="AF374" s="18">
        <f t="shared" si="71"/>
        <v>10</v>
      </c>
      <c r="AG374" s="550">
        <f t="shared" si="72"/>
        <v>213</v>
      </c>
      <c r="AH374" s="42">
        <v>2</v>
      </c>
      <c r="AI374" s="42">
        <v>0</v>
      </c>
      <c r="AJ374" s="42">
        <v>0</v>
      </c>
      <c r="AK374" s="42">
        <v>0</v>
      </c>
      <c r="AL374" s="42">
        <v>0</v>
      </c>
      <c r="AM374" s="42">
        <v>0</v>
      </c>
      <c r="AN374" s="42">
        <v>0</v>
      </c>
      <c r="AO374" s="42">
        <v>2</v>
      </c>
    </row>
    <row r="375" spans="1:41" ht="24" customHeight="1">
      <c r="A375" s="11">
        <f t="shared" si="61"/>
        <v>372</v>
      </c>
      <c r="B375" s="390">
        <v>5031</v>
      </c>
      <c r="C375" s="478" t="str">
        <f>VLOOKUP(B375,All!$B$4:$S$8977,2,FALSE)</f>
        <v>ភិន</v>
      </c>
      <c r="D375" s="479" t="str">
        <f>VLOOKUP(B375,All!$B$4:$S$89977,3,FALSE)</f>
        <v>សុភ័ក្រ</v>
      </c>
      <c r="E375" s="478" t="str">
        <f>VLOOKUP(B375,All!$B$4:$S$8977,4,FALSE)</f>
        <v>PHIN</v>
      </c>
      <c r="F375" s="479" t="str">
        <f>VLOOKUP(B375,All!$B$4:$S$8977,5,FALSE)</f>
        <v>SOPHEAK</v>
      </c>
      <c r="G375" s="479" t="str">
        <f>VLOOKUP(B375,All!$B$4:$S$8977,6,FALSE)</f>
        <v>F</v>
      </c>
      <c r="H375" s="385">
        <f>VLOOKUP(B375,All!$B$4:$S$8977,7,FALSE)</f>
        <v>31999</v>
      </c>
      <c r="I375" s="154">
        <f>VLOOKUP(B375,All!$B$4:$S$8977,8,FALSE)</f>
        <v>44140</v>
      </c>
      <c r="J375" s="154" t="str">
        <f>VLOOKUP(B375,All!$B$4:$S$8977,9,FALSE)</f>
        <v>Production</v>
      </c>
      <c r="K375" s="154" t="str">
        <f>VLOOKUP(B375,All!$B$4:$S$8977,10,FALSE)</f>
        <v>Line 11</v>
      </c>
      <c r="L375" s="698" t="str">
        <f>VLOOKUP(B375,All!$B$4:$S$8977,11,FALSE)</f>
        <v>Sewing operator</v>
      </c>
      <c r="M375" s="570">
        <f>VLOOKUP(B375,All!$B$4:$S$8977,12,FALSE)</f>
        <v>192</v>
      </c>
      <c r="N375" s="18">
        <f>VLOOKUP(B375,All!$B$4:$S$8977,13,FALSE)</f>
        <v>2</v>
      </c>
      <c r="O375" s="18">
        <f>VLOOKUP(B375,All!$B$4:$S$8977,14,FALSE)</f>
        <v>0</v>
      </c>
      <c r="P375" s="18">
        <f>VLOOKUP(B375,All!$B$4:$S$8977,15,FALSE)</f>
        <v>0</v>
      </c>
      <c r="Q375" s="18">
        <f>VLOOKUP(B375,All!$B$4:$S$8977,16,FALSE)</f>
        <v>0</v>
      </c>
      <c r="R375" s="18">
        <v>7</v>
      </c>
      <c r="S375" s="18">
        <v>10</v>
      </c>
      <c r="T375" s="550">
        <f t="shared" si="69"/>
        <v>211</v>
      </c>
      <c r="U375" s="568"/>
      <c r="V375" s="3"/>
      <c r="W375" s="3"/>
      <c r="X375" s="3"/>
      <c r="Y375" s="562"/>
      <c r="Z375" s="570">
        <f t="shared" si="64"/>
        <v>194</v>
      </c>
      <c r="AA375" s="18">
        <f t="shared" si="65"/>
        <v>2</v>
      </c>
      <c r="AB375" s="18">
        <f t="shared" si="66"/>
        <v>0</v>
      </c>
      <c r="AC375" s="18">
        <f t="shared" si="67"/>
        <v>0</v>
      </c>
      <c r="AD375" s="18">
        <f t="shared" si="68"/>
        <v>0</v>
      </c>
      <c r="AE375" s="18">
        <f t="shared" si="70"/>
        <v>7</v>
      </c>
      <c r="AF375" s="18">
        <f t="shared" si="71"/>
        <v>10</v>
      </c>
      <c r="AG375" s="550">
        <f t="shared" si="72"/>
        <v>213</v>
      </c>
      <c r="AH375" s="42">
        <v>2</v>
      </c>
      <c r="AI375" s="42">
        <v>0</v>
      </c>
      <c r="AJ375" s="42">
        <v>0</v>
      </c>
      <c r="AK375" s="42">
        <v>0</v>
      </c>
      <c r="AL375" s="42">
        <v>0</v>
      </c>
      <c r="AM375" s="42">
        <v>0</v>
      </c>
      <c r="AN375" s="42">
        <v>0</v>
      </c>
      <c r="AO375" s="42">
        <v>2</v>
      </c>
    </row>
    <row r="376" spans="1:41" ht="24" customHeight="1">
      <c r="A376" s="11">
        <f t="shared" si="61"/>
        <v>373</v>
      </c>
      <c r="B376" s="390">
        <v>5009</v>
      </c>
      <c r="C376" s="478" t="str">
        <f>VLOOKUP(B376,All!$B$4:$S$8977,2,FALSE)</f>
        <v>ទិត្យ</v>
      </c>
      <c r="D376" s="479" t="str">
        <f>VLOOKUP(B376,All!$B$4:$S$89977,3,FALSE)</f>
        <v>សារ៉ែន</v>
      </c>
      <c r="E376" s="478" t="str">
        <f>VLOOKUP(B376,All!$B$4:$S$8977,4,FALSE)</f>
        <v>TET</v>
      </c>
      <c r="F376" s="479" t="str">
        <f>VLOOKUP(B376,All!$B$4:$S$8977,5,FALSE)</f>
        <v>SAREN</v>
      </c>
      <c r="G376" s="479" t="str">
        <f>VLOOKUP(B376,All!$B$4:$S$8977,6,FALSE)</f>
        <v>F</v>
      </c>
      <c r="H376" s="385">
        <f>VLOOKUP(B376,All!$B$4:$S$8977,7,FALSE)</f>
        <v>27135</v>
      </c>
      <c r="I376" s="154">
        <f>VLOOKUP(B376,All!$B$4:$S$8977,8,FALSE)</f>
        <v>44140</v>
      </c>
      <c r="J376" s="154" t="str">
        <f>VLOOKUP(B376,All!$B$4:$S$8977,9,FALSE)</f>
        <v>Production</v>
      </c>
      <c r="K376" s="154" t="str">
        <f>VLOOKUP(B376,All!$B$4:$S$8977,10,FALSE)</f>
        <v xml:space="preserve"> Line6</v>
      </c>
      <c r="L376" s="698" t="str">
        <f>VLOOKUP(B376,All!$B$4:$S$8977,11,FALSE)</f>
        <v>Sewing operator</v>
      </c>
      <c r="M376" s="570">
        <f>VLOOKUP(B376,All!$B$4:$S$8977,12,FALSE)</f>
        <v>192</v>
      </c>
      <c r="N376" s="18">
        <f>VLOOKUP(B376,All!$B$4:$S$8977,13,FALSE)</f>
        <v>2</v>
      </c>
      <c r="O376" s="18">
        <f>VLOOKUP(B376,All!$B$4:$S$8977,14,FALSE)</f>
        <v>0</v>
      </c>
      <c r="P376" s="18">
        <f>VLOOKUP(B376,All!$B$4:$S$8977,15,FALSE)</f>
        <v>0</v>
      </c>
      <c r="Q376" s="18">
        <f>VLOOKUP(B376,All!$B$4:$S$8977,16,FALSE)</f>
        <v>0</v>
      </c>
      <c r="R376" s="18">
        <v>7</v>
      </c>
      <c r="S376" s="18">
        <v>10</v>
      </c>
      <c r="T376" s="550">
        <f t="shared" si="69"/>
        <v>211</v>
      </c>
      <c r="U376" s="568"/>
      <c r="V376" s="3"/>
      <c r="W376" s="3"/>
      <c r="X376" s="3"/>
      <c r="Y376" s="562"/>
      <c r="Z376" s="570">
        <f t="shared" si="64"/>
        <v>194</v>
      </c>
      <c r="AA376" s="18">
        <f t="shared" si="65"/>
        <v>2</v>
      </c>
      <c r="AB376" s="18">
        <f t="shared" si="66"/>
        <v>0</v>
      </c>
      <c r="AC376" s="18">
        <f t="shared" si="67"/>
        <v>0</v>
      </c>
      <c r="AD376" s="18">
        <f t="shared" si="68"/>
        <v>0</v>
      </c>
      <c r="AE376" s="18">
        <f t="shared" si="70"/>
        <v>7</v>
      </c>
      <c r="AF376" s="18">
        <f t="shared" si="71"/>
        <v>10</v>
      </c>
      <c r="AG376" s="550">
        <f t="shared" si="72"/>
        <v>213</v>
      </c>
      <c r="AH376" s="42">
        <v>2</v>
      </c>
      <c r="AI376" s="42">
        <v>0</v>
      </c>
      <c r="AJ376" s="42">
        <v>0</v>
      </c>
      <c r="AK376" s="42">
        <v>0</v>
      </c>
      <c r="AL376" s="42">
        <v>0</v>
      </c>
      <c r="AM376" s="42">
        <v>0</v>
      </c>
      <c r="AN376" s="42">
        <v>0</v>
      </c>
      <c r="AO376" s="42">
        <v>2</v>
      </c>
    </row>
    <row r="377" spans="1:41" ht="24" customHeight="1">
      <c r="A377" s="11">
        <f t="shared" si="61"/>
        <v>374</v>
      </c>
      <c r="B377" s="390">
        <v>5010</v>
      </c>
      <c r="C377" s="478" t="str">
        <f>VLOOKUP(B377,All!$B$4:$S$8977,2,FALSE)</f>
        <v>ញ៉ោន</v>
      </c>
      <c r="D377" s="479" t="str">
        <f>VLOOKUP(B377,All!$B$4:$S$89977,3,FALSE)</f>
        <v>ស្រីខ្លឹង</v>
      </c>
      <c r="E377" s="478" t="str">
        <f>VLOOKUP(B377,All!$B$4:$S$8977,4,FALSE)</f>
        <v>NHEN</v>
      </c>
      <c r="F377" s="479" t="str">
        <f>VLOOKUP(B377,All!$B$4:$S$8977,5,FALSE)</f>
        <v>SREYKHLOENG</v>
      </c>
      <c r="G377" s="479" t="str">
        <f>VLOOKUP(B377,All!$B$4:$S$8977,6,FALSE)</f>
        <v>F</v>
      </c>
      <c r="H377" s="385">
        <f>VLOOKUP(B377,All!$B$4:$S$8977,7,FALSE)</f>
        <v>30850</v>
      </c>
      <c r="I377" s="154">
        <f>VLOOKUP(B377,All!$B$4:$S$8977,8,FALSE)</f>
        <v>44139</v>
      </c>
      <c r="J377" s="154" t="str">
        <f>VLOOKUP(B377,All!$B$4:$S$8977,9,FALSE)</f>
        <v>Production</v>
      </c>
      <c r="K377" s="154" t="str">
        <f>VLOOKUP(B377,All!$B$4:$S$8977,10,FALSE)</f>
        <v>Line20</v>
      </c>
      <c r="L377" s="698" t="str">
        <f>VLOOKUP(B377,All!$B$4:$S$8977,11,FALSE)</f>
        <v>Sewing operator</v>
      </c>
      <c r="M377" s="570">
        <f>VLOOKUP(B377,All!$B$4:$S$8977,12,FALSE)</f>
        <v>192</v>
      </c>
      <c r="N377" s="18">
        <f>VLOOKUP(B377,All!$B$4:$S$8977,13,FALSE)</f>
        <v>2</v>
      </c>
      <c r="O377" s="18">
        <f>VLOOKUP(B377,All!$B$4:$S$8977,14,FALSE)</f>
        <v>0</v>
      </c>
      <c r="P377" s="18">
        <f>VLOOKUP(B377,All!$B$4:$S$8977,15,FALSE)</f>
        <v>0</v>
      </c>
      <c r="Q377" s="18">
        <f>VLOOKUP(B377,All!$B$4:$S$8977,16,FALSE)</f>
        <v>0</v>
      </c>
      <c r="R377" s="18">
        <v>7</v>
      </c>
      <c r="S377" s="18">
        <v>10</v>
      </c>
      <c r="T377" s="550">
        <f t="shared" si="69"/>
        <v>211</v>
      </c>
      <c r="U377" s="568"/>
      <c r="V377" s="3"/>
      <c r="W377" s="3"/>
      <c r="X377" s="3"/>
      <c r="Y377" s="562"/>
      <c r="Z377" s="570">
        <f t="shared" si="64"/>
        <v>194</v>
      </c>
      <c r="AA377" s="18">
        <f t="shared" si="65"/>
        <v>2</v>
      </c>
      <c r="AB377" s="18">
        <f t="shared" si="66"/>
        <v>0</v>
      </c>
      <c r="AC377" s="18">
        <f t="shared" si="67"/>
        <v>0</v>
      </c>
      <c r="AD377" s="18">
        <f t="shared" si="68"/>
        <v>0</v>
      </c>
      <c r="AE377" s="18">
        <f t="shared" si="70"/>
        <v>7</v>
      </c>
      <c r="AF377" s="18">
        <f t="shared" si="71"/>
        <v>10</v>
      </c>
      <c r="AG377" s="550">
        <f t="shared" si="72"/>
        <v>213</v>
      </c>
      <c r="AH377" s="42">
        <v>2</v>
      </c>
      <c r="AI377" s="42">
        <v>0</v>
      </c>
      <c r="AJ377" s="42">
        <v>0</v>
      </c>
      <c r="AK377" s="42">
        <v>0</v>
      </c>
      <c r="AL377" s="42">
        <v>0</v>
      </c>
      <c r="AM377" s="42">
        <v>0</v>
      </c>
      <c r="AN377" s="42">
        <v>0</v>
      </c>
      <c r="AO377" s="42">
        <v>2</v>
      </c>
    </row>
    <row r="378" spans="1:41" ht="24" customHeight="1">
      <c r="A378" s="11">
        <f t="shared" si="61"/>
        <v>375</v>
      </c>
      <c r="B378" s="390">
        <v>5017</v>
      </c>
      <c r="C378" s="478" t="str">
        <f>VLOOKUP(B378,All!$B$4:$S$8977,2,FALSE)</f>
        <v>វុត</v>
      </c>
      <c r="D378" s="479" t="str">
        <f>VLOOKUP(B378,All!$B$4:$S$89977,3,FALSE)</f>
        <v>រត្ថា</v>
      </c>
      <c r="E378" s="478" t="str">
        <f>VLOOKUP(B378,All!$B$4:$S$8977,4,FALSE)</f>
        <v>VIT</v>
      </c>
      <c r="F378" s="479" t="str">
        <f>VLOOKUP(B378,All!$B$4:$S$8977,5,FALSE)</f>
        <v>RATHA</v>
      </c>
      <c r="G378" s="479" t="str">
        <f>VLOOKUP(B378,All!$B$4:$S$8977,6,FALSE)</f>
        <v>F</v>
      </c>
      <c r="H378" s="385">
        <f>VLOOKUP(B378,All!$B$4:$S$8977,7,FALSE)</f>
        <v>33457</v>
      </c>
      <c r="I378" s="154">
        <f>VLOOKUP(B378,All!$B$4:$S$8977,8,FALSE)</f>
        <v>44140</v>
      </c>
      <c r="J378" s="154" t="str">
        <f>VLOOKUP(B378,All!$B$4:$S$8977,9,FALSE)</f>
        <v>Production</v>
      </c>
      <c r="K378" s="154" t="str">
        <f>VLOOKUP(B378,All!$B$4:$S$8977,10,FALSE)</f>
        <v xml:space="preserve"> Line5</v>
      </c>
      <c r="L378" s="698" t="str">
        <f>VLOOKUP(B378,All!$B$4:$S$8977,11,FALSE)</f>
        <v>Sewing operator</v>
      </c>
      <c r="M378" s="570">
        <f>VLOOKUP(B378,All!$B$4:$S$8977,12,FALSE)</f>
        <v>192</v>
      </c>
      <c r="N378" s="18">
        <f>VLOOKUP(B378,All!$B$4:$S$8977,13,FALSE)</f>
        <v>2</v>
      </c>
      <c r="O378" s="18">
        <f>VLOOKUP(B378,All!$B$4:$S$8977,14,FALSE)</f>
        <v>0</v>
      </c>
      <c r="P378" s="18">
        <f>VLOOKUP(B378,All!$B$4:$S$8977,15,FALSE)</f>
        <v>0</v>
      </c>
      <c r="Q378" s="18">
        <f>VLOOKUP(B378,All!$B$4:$S$8977,16,FALSE)</f>
        <v>0</v>
      </c>
      <c r="R378" s="18">
        <v>7</v>
      </c>
      <c r="S378" s="18">
        <v>10</v>
      </c>
      <c r="T378" s="550">
        <f t="shared" si="69"/>
        <v>211</v>
      </c>
      <c r="U378" s="568"/>
      <c r="V378" s="3"/>
      <c r="W378" s="3"/>
      <c r="X378" s="3"/>
      <c r="Y378" s="562"/>
      <c r="Z378" s="570">
        <f t="shared" si="64"/>
        <v>194</v>
      </c>
      <c r="AA378" s="18">
        <f t="shared" si="65"/>
        <v>2</v>
      </c>
      <c r="AB378" s="18">
        <f t="shared" si="66"/>
        <v>0</v>
      </c>
      <c r="AC378" s="18">
        <f t="shared" si="67"/>
        <v>0</v>
      </c>
      <c r="AD378" s="18">
        <f t="shared" si="68"/>
        <v>0</v>
      </c>
      <c r="AE378" s="18">
        <f t="shared" si="70"/>
        <v>7</v>
      </c>
      <c r="AF378" s="18">
        <f t="shared" si="71"/>
        <v>10</v>
      </c>
      <c r="AG378" s="550">
        <f t="shared" si="72"/>
        <v>213</v>
      </c>
      <c r="AH378" s="42">
        <v>2</v>
      </c>
      <c r="AI378" s="42">
        <v>0</v>
      </c>
      <c r="AJ378" s="42">
        <v>0</v>
      </c>
      <c r="AK378" s="42">
        <v>0</v>
      </c>
      <c r="AL378" s="42">
        <v>0</v>
      </c>
      <c r="AM378" s="42">
        <v>0</v>
      </c>
      <c r="AN378" s="42">
        <v>0</v>
      </c>
      <c r="AO378" s="42">
        <v>2</v>
      </c>
    </row>
    <row r="379" spans="1:41" ht="24" customHeight="1">
      <c r="A379" s="11">
        <f t="shared" si="61"/>
        <v>376</v>
      </c>
      <c r="B379" s="390">
        <v>5020</v>
      </c>
      <c r="C379" s="478" t="str">
        <f>VLOOKUP(B379,All!$B$4:$S$8977,2,FALSE)</f>
        <v>វ៉ង</v>
      </c>
      <c r="D379" s="479" t="str">
        <f>VLOOKUP(B379,All!$B$4:$S$89977,3,FALSE)</f>
        <v>ថាយ</v>
      </c>
      <c r="E379" s="478" t="str">
        <f>VLOOKUP(B379,All!$B$4:$S$8977,4,FALSE)</f>
        <v>VANG</v>
      </c>
      <c r="F379" s="479" t="str">
        <f>VLOOKUP(B379,All!$B$4:$S$8977,5,FALSE)</f>
        <v>THAY</v>
      </c>
      <c r="G379" s="479" t="str">
        <f>VLOOKUP(B379,All!$B$4:$S$8977,6,FALSE)</f>
        <v>F</v>
      </c>
      <c r="H379" s="385">
        <f>VLOOKUP(B379,All!$B$4:$S$8977,7,FALSE)</f>
        <v>34366</v>
      </c>
      <c r="I379" s="154">
        <f>VLOOKUP(B379,All!$B$4:$S$8977,8,FALSE)</f>
        <v>44140</v>
      </c>
      <c r="J379" s="154" t="str">
        <f>VLOOKUP(B379,All!$B$4:$S$8977,9,FALSE)</f>
        <v>Production</v>
      </c>
      <c r="K379" s="154" t="str">
        <f>VLOOKUP(B379,All!$B$4:$S$8977,10,FALSE)</f>
        <v xml:space="preserve"> Line6</v>
      </c>
      <c r="L379" s="698" t="str">
        <f>VLOOKUP(B379,All!$B$4:$S$8977,11,FALSE)</f>
        <v>Sewing operator</v>
      </c>
      <c r="M379" s="570">
        <f>VLOOKUP(B379,All!$B$4:$S$8977,12,FALSE)</f>
        <v>192</v>
      </c>
      <c r="N379" s="18">
        <f>VLOOKUP(B379,All!$B$4:$S$8977,13,FALSE)</f>
        <v>2</v>
      </c>
      <c r="O379" s="18">
        <f>VLOOKUP(B379,All!$B$4:$S$8977,14,FALSE)</f>
        <v>0</v>
      </c>
      <c r="P379" s="18">
        <f>VLOOKUP(B379,All!$B$4:$S$8977,15,FALSE)</f>
        <v>0</v>
      </c>
      <c r="Q379" s="18">
        <f>VLOOKUP(B379,All!$B$4:$S$8977,16,FALSE)</f>
        <v>0</v>
      </c>
      <c r="R379" s="18">
        <v>7</v>
      </c>
      <c r="S379" s="18">
        <v>10</v>
      </c>
      <c r="T379" s="550">
        <f t="shared" si="69"/>
        <v>211</v>
      </c>
      <c r="U379" s="568"/>
      <c r="V379" s="3"/>
      <c r="W379" s="3"/>
      <c r="X379" s="3"/>
      <c r="Y379" s="562"/>
      <c r="Z379" s="570">
        <f t="shared" si="64"/>
        <v>194</v>
      </c>
      <c r="AA379" s="18">
        <f t="shared" si="65"/>
        <v>2</v>
      </c>
      <c r="AB379" s="18">
        <f t="shared" si="66"/>
        <v>0</v>
      </c>
      <c r="AC379" s="18">
        <f t="shared" si="67"/>
        <v>0</v>
      </c>
      <c r="AD379" s="18">
        <f t="shared" si="68"/>
        <v>0</v>
      </c>
      <c r="AE379" s="18">
        <f t="shared" si="70"/>
        <v>7</v>
      </c>
      <c r="AF379" s="18">
        <f t="shared" si="71"/>
        <v>10</v>
      </c>
      <c r="AG379" s="550">
        <f t="shared" si="72"/>
        <v>213</v>
      </c>
      <c r="AH379" s="42">
        <v>2</v>
      </c>
      <c r="AI379" s="42">
        <v>0</v>
      </c>
      <c r="AJ379" s="42">
        <v>0</v>
      </c>
      <c r="AK379" s="42">
        <v>0</v>
      </c>
      <c r="AL379" s="42">
        <v>0</v>
      </c>
      <c r="AM379" s="42">
        <v>0</v>
      </c>
      <c r="AN379" s="42">
        <v>0</v>
      </c>
      <c r="AO379" s="42">
        <v>2</v>
      </c>
    </row>
    <row r="380" spans="1:41" ht="24" customHeight="1">
      <c r="A380" s="11">
        <f t="shared" si="61"/>
        <v>377</v>
      </c>
      <c r="B380" s="390">
        <v>5016</v>
      </c>
      <c r="C380" s="478" t="str">
        <f>VLOOKUP(B380,All!$B$4:$S$8977,2,FALSE)</f>
        <v>នាង</v>
      </c>
      <c r="D380" s="479" t="str">
        <f>VLOOKUP(B380,All!$B$4:$S$89977,3,FALSE)</f>
        <v>ចន្រ្ទា</v>
      </c>
      <c r="E380" s="478" t="str">
        <f>VLOOKUP(B380,All!$B$4:$S$8977,4,FALSE)</f>
        <v>NEANG</v>
      </c>
      <c r="F380" s="479" t="str">
        <f>VLOOKUP(B380,All!$B$4:$S$8977,5,FALSE)</f>
        <v>CHANTREA</v>
      </c>
      <c r="G380" s="479" t="str">
        <f>VLOOKUP(B380,All!$B$4:$S$8977,6,FALSE)</f>
        <v>F</v>
      </c>
      <c r="H380" s="385">
        <f>VLOOKUP(B380,All!$B$4:$S$8977,7,FALSE)</f>
        <v>35309</v>
      </c>
      <c r="I380" s="154">
        <f>VLOOKUP(B380,All!$B$4:$S$8977,8,FALSE)</f>
        <v>44140</v>
      </c>
      <c r="J380" s="154" t="str">
        <f>VLOOKUP(B380,All!$B$4:$S$8977,9,FALSE)</f>
        <v>Production</v>
      </c>
      <c r="K380" s="154" t="str">
        <f>VLOOKUP(B380,All!$B$4:$S$8977,10,FALSE)</f>
        <v>Line21</v>
      </c>
      <c r="L380" s="698" t="str">
        <f>VLOOKUP(B380,All!$B$4:$S$8977,11,FALSE)</f>
        <v>Sewing operator</v>
      </c>
      <c r="M380" s="570">
        <f>VLOOKUP(B380,All!$B$4:$S$8977,12,FALSE)</f>
        <v>192</v>
      </c>
      <c r="N380" s="18">
        <f>VLOOKUP(B380,All!$B$4:$S$8977,13,FALSE)</f>
        <v>2</v>
      </c>
      <c r="O380" s="18">
        <f>VLOOKUP(B380,All!$B$4:$S$8977,14,FALSE)</f>
        <v>0</v>
      </c>
      <c r="P380" s="18">
        <f>VLOOKUP(B380,All!$B$4:$S$8977,15,FALSE)</f>
        <v>0</v>
      </c>
      <c r="Q380" s="18">
        <f>VLOOKUP(B380,All!$B$4:$S$8977,16,FALSE)</f>
        <v>0</v>
      </c>
      <c r="R380" s="18">
        <v>7</v>
      </c>
      <c r="S380" s="18">
        <v>10</v>
      </c>
      <c r="T380" s="550">
        <f t="shared" si="69"/>
        <v>211</v>
      </c>
      <c r="U380" s="568"/>
      <c r="V380" s="3"/>
      <c r="W380" s="3"/>
      <c r="X380" s="3"/>
      <c r="Y380" s="562"/>
      <c r="Z380" s="570">
        <f t="shared" si="64"/>
        <v>194</v>
      </c>
      <c r="AA380" s="18">
        <f t="shared" si="65"/>
        <v>2</v>
      </c>
      <c r="AB380" s="18">
        <f t="shared" si="66"/>
        <v>0</v>
      </c>
      <c r="AC380" s="18">
        <f t="shared" si="67"/>
        <v>0</v>
      </c>
      <c r="AD380" s="18">
        <f t="shared" si="68"/>
        <v>0</v>
      </c>
      <c r="AE380" s="18">
        <f t="shared" si="70"/>
        <v>7</v>
      </c>
      <c r="AF380" s="18">
        <f t="shared" si="71"/>
        <v>10</v>
      </c>
      <c r="AG380" s="550">
        <f t="shared" si="72"/>
        <v>213</v>
      </c>
      <c r="AH380" s="42">
        <v>2</v>
      </c>
      <c r="AI380" s="42">
        <v>0</v>
      </c>
      <c r="AJ380" s="42">
        <v>0</v>
      </c>
      <c r="AK380" s="42">
        <v>0</v>
      </c>
      <c r="AL380" s="42">
        <v>0</v>
      </c>
      <c r="AM380" s="42">
        <v>0</v>
      </c>
      <c r="AN380" s="42">
        <v>0</v>
      </c>
      <c r="AO380" s="42">
        <v>2</v>
      </c>
    </row>
    <row r="381" spans="1:41" ht="24" customHeight="1">
      <c r="A381" s="11">
        <f t="shared" si="61"/>
        <v>378</v>
      </c>
      <c r="B381" s="390">
        <v>5027</v>
      </c>
      <c r="C381" s="478" t="str">
        <f>VLOOKUP(B381,All!$B$4:$S$8977,2,FALSE)</f>
        <v>ស៊ាន</v>
      </c>
      <c r="D381" s="479" t="str">
        <f>VLOOKUP(B381,All!$B$4:$S$89977,3,FALSE)</f>
        <v>ប៉ែត</v>
      </c>
      <c r="E381" s="478" t="str">
        <f>VLOOKUP(B381,All!$B$4:$S$8977,4,FALSE)</f>
        <v>SEAN</v>
      </c>
      <c r="F381" s="479" t="str">
        <f>VLOOKUP(B381,All!$B$4:$S$8977,5,FALSE)</f>
        <v>PET</v>
      </c>
      <c r="G381" s="479" t="str">
        <f>VLOOKUP(B381,All!$B$4:$S$8977,6,FALSE)</f>
        <v>F</v>
      </c>
      <c r="H381" s="385">
        <f>VLOOKUP(B381,All!$B$4:$S$8977,7,FALSE)</f>
        <v>35319</v>
      </c>
      <c r="I381" s="154">
        <f>VLOOKUP(B381,All!$B$4:$S$8977,8,FALSE)</f>
        <v>44140</v>
      </c>
      <c r="J381" s="154" t="str">
        <f>VLOOKUP(B381,All!$B$4:$S$8977,9,FALSE)</f>
        <v>Production</v>
      </c>
      <c r="K381" s="154" t="str">
        <f>VLOOKUP(B381,All!$B$4:$S$8977,10,FALSE)</f>
        <v xml:space="preserve"> Line8</v>
      </c>
      <c r="L381" s="698" t="str">
        <f>VLOOKUP(B381,All!$B$4:$S$8977,11,FALSE)</f>
        <v>Sewing operator</v>
      </c>
      <c r="M381" s="570">
        <f>VLOOKUP(B381,All!$B$4:$S$8977,12,FALSE)</f>
        <v>192</v>
      </c>
      <c r="N381" s="18">
        <f>VLOOKUP(B381,All!$B$4:$S$8977,13,FALSE)</f>
        <v>2</v>
      </c>
      <c r="O381" s="18">
        <f>VLOOKUP(B381,All!$B$4:$S$8977,14,FALSE)</f>
        <v>0</v>
      </c>
      <c r="P381" s="18">
        <f>VLOOKUP(B381,All!$B$4:$S$8977,15,FALSE)</f>
        <v>0</v>
      </c>
      <c r="Q381" s="18">
        <f>VLOOKUP(B381,All!$B$4:$S$8977,16,FALSE)</f>
        <v>0</v>
      </c>
      <c r="R381" s="18">
        <v>7</v>
      </c>
      <c r="S381" s="18">
        <v>10</v>
      </c>
      <c r="T381" s="550">
        <f t="shared" si="69"/>
        <v>211</v>
      </c>
      <c r="U381" s="568"/>
      <c r="V381" s="3"/>
      <c r="W381" s="3"/>
      <c r="X381" s="3"/>
      <c r="Y381" s="562"/>
      <c r="Z381" s="570">
        <f t="shared" si="64"/>
        <v>194</v>
      </c>
      <c r="AA381" s="18">
        <f t="shared" si="65"/>
        <v>2</v>
      </c>
      <c r="AB381" s="18">
        <f t="shared" si="66"/>
        <v>0</v>
      </c>
      <c r="AC381" s="18">
        <f t="shared" si="67"/>
        <v>0</v>
      </c>
      <c r="AD381" s="18">
        <f t="shared" si="68"/>
        <v>0</v>
      </c>
      <c r="AE381" s="18">
        <f t="shared" si="70"/>
        <v>7</v>
      </c>
      <c r="AF381" s="18">
        <f t="shared" si="71"/>
        <v>10</v>
      </c>
      <c r="AG381" s="550">
        <f t="shared" si="72"/>
        <v>213</v>
      </c>
      <c r="AH381" s="42">
        <v>2</v>
      </c>
      <c r="AI381" s="42">
        <v>0</v>
      </c>
      <c r="AJ381" s="42">
        <v>0</v>
      </c>
      <c r="AK381" s="42">
        <v>0</v>
      </c>
      <c r="AL381" s="42">
        <v>0</v>
      </c>
      <c r="AM381" s="42">
        <v>0</v>
      </c>
      <c r="AN381" s="42">
        <v>0</v>
      </c>
      <c r="AO381" s="42">
        <v>2</v>
      </c>
    </row>
    <row r="382" spans="1:41" ht="24" customHeight="1">
      <c r="A382" s="11">
        <f t="shared" si="61"/>
        <v>379</v>
      </c>
      <c r="B382" s="390">
        <v>5023</v>
      </c>
      <c r="C382" s="478" t="str">
        <f>VLOOKUP(B382,All!$B$4:$S$8977,2,FALSE)</f>
        <v>ផាន</v>
      </c>
      <c r="D382" s="479" t="str">
        <f>VLOOKUP(B382,All!$B$4:$S$89977,3,FALSE)</f>
        <v>និមល</v>
      </c>
      <c r="E382" s="478" t="str">
        <f>VLOOKUP(B382,All!$B$4:$S$8977,4,FALSE)</f>
        <v>PHAN</v>
      </c>
      <c r="F382" s="479" t="str">
        <f>VLOOKUP(B382,All!$B$4:$S$8977,5,FALSE)</f>
        <v>NIMOL</v>
      </c>
      <c r="G382" s="479" t="str">
        <f>VLOOKUP(B382,All!$B$4:$S$8977,6,FALSE)</f>
        <v>F</v>
      </c>
      <c r="H382" s="385">
        <f>VLOOKUP(B382,All!$B$4:$S$8977,7,FALSE)</f>
        <v>35278</v>
      </c>
      <c r="I382" s="154">
        <f>VLOOKUP(B382,All!$B$4:$S$8977,8,FALSE)</f>
        <v>44140</v>
      </c>
      <c r="J382" s="154" t="str">
        <f>VLOOKUP(B382,All!$B$4:$S$8977,9,FALSE)</f>
        <v>Production</v>
      </c>
      <c r="K382" s="154" t="str">
        <f>VLOOKUP(B382,All!$B$4:$S$8977,10,FALSE)</f>
        <v xml:space="preserve"> Line8</v>
      </c>
      <c r="L382" s="698" t="str">
        <f>VLOOKUP(B382,All!$B$4:$S$8977,11,FALSE)</f>
        <v>Sewing operator</v>
      </c>
      <c r="M382" s="570">
        <f>VLOOKUP(B382,All!$B$4:$S$8977,12,FALSE)</f>
        <v>192</v>
      </c>
      <c r="N382" s="18">
        <f>VLOOKUP(B382,All!$B$4:$S$8977,13,FALSE)</f>
        <v>2</v>
      </c>
      <c r="O382" s="18">
        <f>VLOOKUP(B382,All!$B$4:$S$8977,14,FALSE)</f>
        <v>0</v>
      </c>
      <c r="P382" s="18">
        <f>VLOOKUP(B382,All!$B$4:$S$8977,15,FALSE)</f>
        <v>0</v>
      </c>
      <c r="Q382" s="18">
        <f>VLOOKUP(B382,All!$B$4:$S$8977,16,FALSE)</f>
        <v>0</v>
      </c>
      <c r="R382" s="18">
        <v>7</v>
      </c>
      <c r="S382" s="18">
        <v>10</v>
      </c>
      <c r="T382" s="550">
        <f t="shared" si="69"/>
        <v>211</v>
      </c>
      <c r="U382" s="568"/>
      <c r="V382" s="3"/>
      <c r="W382" s="3"/>
      <c r="X382" s="3"/>
      <c r="Y382" s="562"/>
      <c r="Z382" s="570">
        <f t="shared" si="64"/>
        <v>194</v>
      </c>
      <c r="AA382" s="18">
        <f t="shared" si="65"/>
        <v>2</v>
      </c>
      <c r="AB382" s="18">
        <f t="shared" si="66"/>
        <v>0</v>
      </c>
      <c r="AC382" s="18">
        <f t="shared" si="67"/>
        <v>0</v>
      </c>
      <c r="AD382" s="18">
        <f t="shared" si="68"/>
        <v>0</v>
      </c>
      <c r="AE382" s="18">
        <f t="shared" si="70"/>
        <v>7</v>
      </c>
      <c r="AF382" s="18">
        <f t="shared" si="71"/>
        <v>10</v>
      </c>
      <c r="AG382" s="550">
        <f t="shared" si="72"/>
        <v>213</v>
      </c>
      <c r="AH382" s="42">
        <v>2</v>
      </c>
      <c r="AI382" s="42">
        <v>0</v>
      </c>
      <c r="AJ382" s="42">
        <v>0</v>
      </c>
      <c r="AK382" s="42">
        <v>0</v>
      </c>
      <c r="AL382" s="42">
        <v>0</v>
      </c>
      <c r="AM382" s="42">
        <v>0</v>
      </c>
      <c r="AN382" s="42">
        <v>0</v>
      </c>
      <c r="AO382" s="42">
        <v>2</v>
      </c>
    </row>
    <row r="383" spans="1:41" ht="24" customHeight="1">
      <c r="A383" s="11">
        <f t="shared" si="61"/>
        <v>380</v>
      </c>
      <c r="B383" s="390">
        <v>5037</v>
      </c>
      <c r="C383" s="478" t="str">
        <f>VLOOKUP(B383,All!$B$4:$S$8977,2,FALSE)</f>
        <v>អ៊ុក</v>
      </c>
      <c r="D383" s="479" t="str">
        <f>VLOOKUP(B383,All!$B$4:$S$89977,3,FALSE)</f>
        <v>ច័ន្ទប៊ុកថេង</v>
      </c>
      <c r="E383" s="478" t="str">
        <f>VLOOKUP(B383,All!$B$4:$S$8977,4,FALSE)</f>
        <v>OUK</v>
      </c>
      <c r="F383" s="479" t="str">
        <f>VLOOKUP(B383,All!$B$4:$S$8977,5,FALSE)</f>
        <v>CHANBUKTHENG</v>
      </c>
      <c r="G383" s="479" t="str">
        <f>VLOOKUP(B383,All!$B$4:$S$8977,6,FALSE)</f>
        <v>F</v>
      </c>
      <c r="H383" s="385">
        <f>VLOOKUP(B383,All!$B$4:$S$8977,7,FALSE)</f>
        <v>37375</v>
      </c>
      <c r="I383" s="154">
        <f>VLOOKUP(B383,All!$B$4:$S$8977,8,FALSE)</f>
        <v>44140</v>
      </c>
      <c r="J383" s="154" t="str">
        <f>VLOOKUP(B383,All!$B$4:$S$8977,9,FALSE)</f>
        <v>Production</v>
      </c>
      <c r="K383" s="154" t="str">
        <f>VLOOKUP(B383,All!$B$4:$S$8977,10,FALSE)</f>
        <v>Packing   A</v>
      </c>
      <c r="L383" s="698" t="str">
        <f>VLOOKUP(B383,All!$B$4:$S$8977,11,FALSE)</f>
        <v>Packer</v>
      </c>
      <c r="M383" s="570">
        <f>VLOOKUP(B383,All!$B$4:$S$8977,12,FALSE)</f>
        <v>192</v>
      </c>
      <c r="N383" s="18">
        <f>VLOOKUP(B383,All!$B$4:$S$8977,13,FALSE)</f>
        <v>2</v>
      </c>
      <c r="O383" s="18">
        <f>VLOOKUP(B383,All!$B$4:$S$8977,14,FALSE)</f>
        <v>0</v>
      </c>
      <c r="P383" s="18">
        <f>VLOOKUP(B383,All!$B$4:$S$8977,15,FALSE)</f>
        <v>0</v>
      </c>
      <c r="Q383" s="18">
        <f>VLOOKUP(B383,All!$B$4:$S$8977,16,FALSE)</f>
        <v>0</v>
      </c>
      <c r="R383" s="18">
        <v>7</v>
      </c>
      <c r="S383" s="18">
        <v>10</v>
      </c>
      <c r="T383" s="550">
        <f t="shared" si="69"/>
        <v>211</v>
      </c>
      <c r="U383" s="568"/>
      <c r="V383" s="3"/>
      <c r="W383" s="3"/>
      <c r="X383" s="3"/>
      <c r="Y383" s="562"/>
      <c r="Z383" s="570">
        <f t="shared" si="64"/>
        <v>194</v>
      </c>
      <c r="AA383" s="18">
        <f t="shared" si="65"/>
        <v>2</v>
      </c>
      <c r="AB383" s="18">
        <f t="shared" si="66"/>
        <v>0</v>
      </c>
      <c r="AC383" s="18">
        <f t="shared" si="67"/>
        <v>0</v>
      </c>
      <c r="AD383" s="18">
        <f t="shared" si="68"/>
        <v>0</v>
      </c>
      <c r="AE383" s="18">
        <f t="shared" si="70"/>
        <v>7</v>
      </c>
      <c r="AF383" s="18">
        <f t="shared" si="71"/>
        <v>10</v>
      </c>
      <c r="AG383" s="550">
        <f t="shared" si="72"/>
        <v>213</v>
      </c>
      <c r="AH383" s="42">
        <v>2</v>
      </c>
      <c r="AI383" s="42">
        <v>0</v>
      </c>
      <c r="AJ383" s="42">
        <v>0</v>
      </c>
      <c r="AK383" s="42">
        <v>0</v>
      </c>
      <c r="AL383" s="42">
        <v>0</v>
      </c>
      <c r="AM383" s="42">
        <v>0</v>
      </c>
      <c r="AN383" s="42">
        <v>0</v>
      </c>
      <c r="AO383" s="42">
        <v>2</v>
      </c>
    </row>
    <row r="384" spans="1:41" ht="24" customHeight="1">
      <c r="A384" s="11">
        <f t="shared" si="61"/>
        <v>381</v>
      </c>
      <c r="B384" s="390">
        <v>5011</v>
      </c>
      <c r="C384" s="478" t="str">
        <f>VLOOKUP(B384,All!$B$4:$S$8977,2,FALSE)</f>
        <v>ញ៉ោន</v>
      </c>
      <c r="D384" s="479" t="str">
        <f>VLOOKUP(B384,All!$B$4:$S$89977,3,FALSE)</f>
        <v>ស្រីដា</v>
      </c>
      <c r="E384" s="478" t="str">
        <f>VLOOKUP(B384,All!$B$4:$S$8977,4,FALSE)</f>
        <v>NHEN</v>
      </c>
      <c r="F384" s="479" t="str">
        <f>VLOOKUP(B384,All!$B$4:$S$8977,5,FALSE)</f>
        <v>SREYDA</v>
      </c>
      <c r="G384" s="479" t="str">
        <f>VLOOKUP(B384,All!$B$4:$S$8977,6,FALSE)</f>
        <v>F</v>
      </c>
      <c r="H384" s="385">
        <f>VLOOKUP(B384,All!$B$4:$S$8977,7,FALSE)</f>
        <v>34961</v>
      </c>
      <c r="I384" s="154">
        <f>VLOOKUP(B384,All!$B$4:$S$8977,8,FALSE)</f>
        <v>44139</v>
      </c>
      <c r="J384" s="154" t="str">
        <f>VLOOKUP(B384,All!$B$4:$S$8977,9,FALSE)</f>
        <v>Production</v>
      </c>
      <c r="K384" s="154" t="str">
        <f>VLOOKUP(B384,All!$B$4:$S$8977,10,FALSE)</f>
        <v>Line21</v>
      </c>
      <c r="L384" s="698" t="str">
        <f>VLOOKUP(B384,All!$B$4:$S$8977,11,FALSE)</f>
        <v>Sewing operator</v>
      </c>
      <c r="M384" s="570">
        <f>VLOOKUP(B384,All!$B$4:$S$8977,12,FALSE)</f>
        <v>192</v>
      </c>
      <c r="N384" s="18">
        <f>VLOOKUP(B384,All!$B$4:$S$8977,13,FALSE)</f>
        <v>2</v>
      </c>
      <c r="O384" s="18">
        <f>VLOOKUP(B384,All!$B$4:$S$8977,14,FALSE)</f>
        <v>0</v>
      </c>
      <c r="P384" s="18">
        <f>VLOOKUP(B384,All!$B$4:$S$8977,15,FALSE)</f>
        <v>0</v>
      </c>
      <c r="Q384" s="18">
        <f>VLOOKUP(B384,All!$B$4:$S$8977,16,FALSE)</f>
        <v>0</v>
      </c>
      <c r="R384" s="18">
        <v>7</v>
      </c>
      <c r="S384" s="18">
        <v>10</v>
      </c>
      <c r="T384" s="550">
        <f t="shared" si="69"/>
        <v>211</v>
      </c>
      <c r="U384" s="568"/>
      <c r="V384" s="3"/>
      <c r="W384" s="3"/>
      <c r="X384" s="3"/>
      <c r="Y384" s="562"/>
      <c r="Z384" s="570">
        <f t="shared" si="64"/>
        <v>194</v>
      </c>
      <c r="AA384" s="18">
        <f t="shared" si="65"/>
        <v>2</v>
      </c>
      <c r="AB384" s="18">
        <f t="shared" si="66"/>
        <v>0</v>
      </c>
      <c r="AC384" s="18">
        <f t="shared" si="67"/>
        <v>0</v>
      </c>
      <c r="AD384" s="18">
        <f t="shared" si="68"/>
        <v>0</v>
      </c>
      <c r="AE384" s="18">
        <f t="shared" si="70"/>
        <v>7</v>
      </c>
      <c r="AF384" s="18">
        <f t="shared" si="71"/>
        <v>10</v>
      </c>
      <c r="AG384" s="550">
        <f t="shared" si="72"/>
        <v>213</v>
      </c>
      <c r="AH384" s="42">
        <v>2</v>
      </c>
      <c r="AI384" s="42">
        <v>0</v>
      </c>
      <c r="AJ384" s="42">
        <v>0</v>
      </c>
      <c r="AK384" s="42">
        <v>0</v>
      </c>
      <c r="AL384" s="42">
        <v>0</v>
      </c>
      <c r="AM384" s="42">
        <v>0</v>
      </c>
      <c r="AN384" s="42">
        <v>0</v>
      </c>
      <c r="AO384" s="42">
        <v>2</v>
      </c>
    </row>
    <row r="385" spans="1:41" ht="24" customHeight="1">
      <c r="A385" s="11">
        <f t="shared" si="61"/>
        <v>382</v>
      </c>
      <c r="B385" s="390">
        <v>5056</v>
      </c>
      <c r="C385" s="478" t="str">
        <f>VLOOKUP(B385,All!$B$4:$S$8977,2,FALSE)</f>
        <v>គុយ</v>
      </c>
      <c r="D385" s="479" t="str">
        <f>VLOOKUP(B385,All!$B$4:$S$89977,3,FALSE)</f>
        <v>ចាន់សុខ</v>
      </c>
      <c r="E385" s="478" t="str">
        <f>VLOOKUP(B385,All!$B$4:$S$8977,4,FALSE)</f>
        <v>KUY</v>
      </c>
      <c r="F385" s="479" t="str">
        <f>VLOOKUP(B385,All!$B$4:$S$8977,5,FALSE)</f>
        <v>CHANSOK</v>
      </c>
      <c r="G385" s="479" t="str">
        <f>VLOOKUP(B385,All!$B$4:$S$8977,6,FALSE)</f>
        <v>M</v>
      </c>
      <c r="H385" s="385">
        <f>VLOOKUP(B385,All!$B$4:$S$8977,7,FALSE)</f>
        <v>30486</v>
      </c>
      <c r="I385" s="154">
        <f>VLOOKUP(B385,All!$B$4:$S$8977,8,FALSE)</f>
        <v>44153</v>
      </c>
      <c r="J385" s="154" t="str">
        <f>VLOOKUP(B385,All!$B$4:$S$8977,9,FALSE)</f>
        <v>Production</v>
      </c>
      <c r="K385" s="154" t="str">
        <f>VLOOKUP(B385,All!$B$4:$S$8977,10,FALSE)</f>
        <v>Packing   A</v>
      </c>
      <c r="L385" s="698" t="str">
        <f>VLOOKUP(B385,All!$B$4:$S$8977,11,FALSE)</f>
        <v>Packer</v>
      </c>
      <c r="M385" s="570">
        <f>VLOOKUP(B385,All!$B$4:$S$8977,12,FALSE)</f>
        <v>192</v>
      </c>
      <c r="N385" s="18">
        <f>VLOOKUP(B385,All!$B$4:$S$8977,13,FALSE)</f>
        <v>0</v>
      </c>
      <c r="O385" s="18">
        <f>VLOOKUP(B385,All!$B$4:$S$8977,14,FALSE)</f>
        <v>0</v>
      </c>
      <c r="P385" s="18">
        <f>VLOOKUP(B385,All!$B$4:$S$8977,15,FALSE)</f>
        <v>0</v>
      </c>
      <c r="Q385" s="18">
        <f>VLOOKUP(B385,All!$B$4:$S$8977,16,FALSE)</f>
        <v>0</v>
      </c>
      <c r="R385" s="18">
        <v>7</v>
      </c>
      <c r="S385" s="18">
        <v>10</v>
      </c>
      <c r="T385" s="550">
        <f t="shared" si="69"/>
        <v>209</v>
      </c>
      <c r="U385" s="568"/>
      <c r="V385" s="3"/>
      <c r="W385" s="3"/>
      <c r="X385" s="3"/>
      <c r="Y385" s="562"/>
      <c r="Z385" s="570">
        <f t="shared" si="64"/>
        <v>194</v>
      </c>
      <c r="AA385" s="18">
        <f t="shared" si="65"/>
        <v>0</v>
      </c>
      <c r="AB385" s="18">
        <f t="shared" si="66"/>
        <v>0</v>
      </c>
      <c r="AC385" s="18">
        <f t="shared" si="67"/>
        <v>0</v>
      </c>
      <c r="AD385" s="18">
        <f t="shared" si="68"/>
        <v>0</v>
      </c>
      <c r="AE385" s="18">
        <f t="shared" si="70"/>
        <v>7</v>
      </c>
      <c r="AF385" s="18">
        <f t="shared" si="71"/>
        <v>10</v>
      </c>
      <c r="AG385" s="550">
        <f t="shared" si="72"/>
        <v>211</v>
      </c>
      <c r="AH385" s="42">
        <v>2</v>
      </c>
      <c r="AI385" s="42">
        <v>0</v>
      </c>
      <c r="AJ385" s="42">
        <v>0</v>
      </c>
      <c r="AK385" s="42">
        <v>0</v>
      </c>
      <c r="AL385" s="42">
        <v>0</v>
      </c>
      <c r="AM385" s="42">
        <v>0</v>
      </c>
      <c r="AN385" s="42">
        <v>0</v>
      </c>
      <c r="AO385" s="42">
        <v>2</v>
      </c>
    </row>
    <row r="386" spans="1:41" ht="24" customHeight="1">
      <c r="A386" s="11">
        <f t="shared" si="61"/>
        <v>383</v>
      </c>
      <c r="B386" s="390">
        <v>5062</v>
      </c>
      <c r="C386" s="478" t="str">
        <f>VLOOKUP(B386,All!$B$4:$S$8977,2,FALSE)</f>
        <v>យឹម</v>
      </c>
      <c r="D386" s="479" t="str">
        <f>VLOOKUP(B386,All!$B$4:$S$89977,3,FALSE)</f>
        <v>រ៉ាន</v>
      </c>
      <c r="E386" s="478" t="str">
        <f>VLOOKUP(B386,All!$B$4:$S$8977,4,FALSE)</f>
        <v>YOEM</v>
      </c>
      <c r="F386" s="479" t="str">
        <f>VLOOKUP(B386,All!$B$4:$S$8977,5,FALSE)</f>
        <v>RAN</v>
      </c>
      <c r="G386" s="479" t="str">
        <f>VLOOKUP(B386,All!$B$4:$S$8977,6,FALSE)</f>
        <v>F</v>
      </c>
      <c r="H386" s="385">
        <f>VLOOKUP(B386,All!$B$4:$S$8977,7,FALSE)</f>
        <v>34188</v>
      </c>
      <c r="I386" s="154">
        <f>VLOOKUP(B386,All!$B$4:$S$8977,8,FALSE)</f>
        <v>44166</v>
      </c>
      <c r="J386" s="154" t="str">
        <f>VLOOKUP(B386,All!$B$4:$S$8977,9,FALSE)</f>
        <v>Production</v>
      </c>
      <c r="K386" s="154" t="str">
        <f>VLOOKUP(B386,All!$B$4:$S$8977,10,FALSE)</f>
        <v>Line5</v>
      </c>
      <c r="L386" s="698" t="str">
        <f>VLOOKUP(B386,All!$B$4:$S$8977,11,FALSE)</f>
        <v>Sewing operator</v>
      </c>
      <c r="M386" s="570">
        <f>VLOOKUP(B386,All!$B$4:$S$8977,12,FALSE)</f>
        <v>192</v>
      </c>
      <c r="N386" s="18">
        <f>VLOOKUP(B386,All!$B$4:$S$8977,13,FALSE)</f>
        <v>0</v>
      </c>
      <c r="O386" s="18">
        <f>VLOOKUP(B386,All!$B$4:$S$8977,14,FALSE)</f>
        <v>0</v>
      </c>
      <c r="P386" s="18">
        <f>VLOOKUP(B386,All!$B$4:$S$8977,15,FALSE)</f>
        <v>0</v>
      </c>
      <c r="Q386" s="18">
        <f>VLOOKUP(B386,All!$B$4:$S$8977,16,FALSE)</f>
        <v>0</v>
      </c>
      <c r="R386" s="18">
        <v>7</v>
      </c>
      <c r="S386" s="18">
        <v>10</v>
      </c>
      <c r="T386" s="550">
        <f t="shared" si="69"/>
        <v>209</v>
      </c>
      <c r="U386" s="568"/>
      <c r="V386" s="3"/>
      <c r="W386" s="3"/>
      <c r="X386" s="3"/>
      <c r="Y386" s="562"/>
      <c r="Z386" s="565">
        <f t="shared" si="64"/>
        <v>194</v>
      </c>
      <c r="AA386" s="18">
        <f t="shared" si="65"/>
        <v>0</v>
      </c>
      <c r="AB386" s="18">
        <f t="shared" si="66"/>
        <v>0</v>
      </c>
      <c r="AC386" s="18">
        <f t="shared" si="67"/>
        <v>0</v>
      </c>
      <c r="AD386" s="18">
        <f t="shared" si="68"/>
        <v>0</v>
      </c>
      <c r="AE386" s="18">
        <f t="shared" si="70"/>
        <v>7</v>
      </c>
      <c r="AF386" s="18">
        <f t="shared" si="71"/>
        <v>10</v>
      </c>
      <c r="AG386" s="550">
        <f t="shared" si="72"/>
        <v>211</v>
      </c>
      <c r="AH386" s="42">
        <v>2</v>
      </c>
      <c r="AI386" s="42">
        <v>0</v>
      </c>
      <c r="AJ386" s="42">
        <v>0</v>
      </c>
      <c r="AK386" s="42">
        <v>0</v>
      </c>
      <c r="AL386" s="42">
        <v>0</v>
      </c>
      <c r="AM386" s="42">
        <v>0</v>
      </c>
      <c r="AN386" s="42">
        <v>0</v>
      </c>
      <c r="AO386" s="42">
        <v>2</v>
      </c>
    </row>
    <row r="387" spans="1:41" ht="24" customHeight="1">
      <c r="A387" s="11">
        <f t="shared" si="61"/>
        <v>384</v>
      </c>
      <c r="B387" s="390">
        <v>5081</v>
      </c>
      <c r="C387" s="478" t="str">
        <f>VLOOKUP(B387,All!$B$4:$S$8977,2,FALSE)</f>
        <v>លុន</v>
      </c>
      <c r="D387" s="479" t="str">
        <f>VLOOKUP(B387,All!$B$4:$S$89977,3,FALSE)</f>
        <v>ស្រីតូច</v>
      </c>
      <c r="E387" s="478" t="str">
        <f>VLOOKUP(B387,All!$B$4:$S$8977,4,FALSE)</f>
        <v>LUN</v>
      </c>
      <c r="F387" s="479" t="str">
        <f>VLOOKUP(B387,All!$B$4:$S$8977,5,FALSE)</f>
        <v>SREYTOCH</v>
      </c>
      <c r="G387" s="479" t="str">
        <f>VLOOKUP(B387,All!$B$4:$S$8977,6,FALSE)</f>
        <v>F</v>
      </c>
      <c r="H387" s="385">
        <f>VLOOKUP(B387,All!$B$4:$S$8977,7,FALSE)</f>
        <v>32217</v>
      </c>
      <c r="I387" s="154">
        <f>VLOOKUP(B387,All!$B$4:$S$8977,8,FALSE)</f>
        <v>44167</v>
      </c>
      <c r="J387" s="154" t="str">
        <f>VLOOKUP(B387,All!$B$4:$S$8977,9,FALSE)</f>
        <v>Production</v>
      </c>
      <c r="K387" s="154" t="str">
        <f>VLOOKUP(B387,All!$B$4:$S$8977,10,FALSE)</f>
        <v>Line15</v>
      </c>
      <c r="L387" s="698" t="str">
        <f>VLOOKUP(B387,All!$B$4:$S$8977,11,FALSE)</f>
        <v>Sewing operator</v>
      </c>
      <c r="M387" s="570">
        <f>VLOOKUP(B387,All!$B$4:$S$8977,12,FALSE)</f>
        <v>192</v>
      </c>
      <c r="N387" s="18">
        <f>VLOOKUP(B387,All!$B$4:$S$8977,13,FALSE)</f>
        <v>0</v>
      </c>
      <c r="O387" s="18">
        <f>VLOOKUP(B387,All!$B$4:$S$8977,14,FALSE)</f>
        <v>0</v>
      </c>
      <c r="P387" s="18">
        <f>VLOOKUP(B387,All!$B$4:$S$8977,15,FALSE)</f>
        <v>0</v>
      </c>
      <c r="Q387" s="18">
        <f>VLOOKUP(B387,All!$B$4:$S$8977,16,FALSE)</f>
        <v>0</v>
      </c>
      <c r="R387" s="18">
        <v>7</v>
      </c>
      <c r="S387" s="18">
        <v>10</v>
      </c>
      <c r="T387" s="550">
        <f t="shared" si="69"/>
        <v>209</v>
      </c>
      <c r="U387" s="568"/>
      <c r="V387" s="3"/>
      <c r="W387" s="3"/>
      <c r="X387" s="3"/>
      <c r="Y387" s="562"/>
      <c r="Z387" s="565">
        <f t="shared" si="64"/>
        <v>194</v>
      </c>
      <c r="AA387" s="18">
        <f t="shared" si="65"/>
        <v>0</v>
      </c>
      <c r="AB387" s="18">
        <f t="shared" si="66"/>
        <v>0</v>
      </c>
      <c r="AC387" s="18">
        <f t="shared" si="67"/>
        <v>0</v>
      </c>
      <c r="AD387" s="18">
        <f t="shared" si="68"/>
        <v>0</v>
      </c>
      <c r="AE387" s="18">
        <f t="shared" si="70"/>
        <v>7</v>
      </c>
      <c r="AF387" s="18">
        <f t="shared" si="71"/>
        <v>10</v>
      </c>
      <c r="AG387" s="550">
        <f t="shared" si="72"/>
        <v>211</v>
      </c>
      <c r="AH387" s="42">
        <v>2</v>
      </c>
      <c r="AI387" s="42">
        <v>0</v>
      </c>
      <c r="AJ387" s="42">
        <v>0</v>
      </c>
      <c r="AK387" s="42">
        <v>0</v>
      </c>
      <c r="AL387" s="42">
        <v>0</v>
      </c>
      <c r="AM387" s="42">
        <v>0</v>
      </c>
      <c r="AN387" s="42">
        <v>0</v>
      </c>
      <c r="AO387" s="42">
        <v>2</v>
      </c>
    </row>
    <row r="388" spans="1:41" ht="24" customHeight="1">
      <c r="A388" s="11">
        <f t="shared" si="61"/>
        <v>385</v>
      </c>
      <c r="B388" s="390">
        <v>5073</v>
      </c>
      <c r="C388" s="478" t="str">
        <f>VLOOKUP(B388,All!$B$4:$S$8977,2,FALSE)</f>
        <v>ចាយ</v>
      </c>
      <c r="D388" s="479" t="str">
        <f>VLOOKUP(B388,All!$B$4:$S$89977,3,FALSE)</f>
        <v>ស</v>
      </c>
      <c r="E388" s="478" t="str">
        <f>VLOOKUP(B388,All!$B$4:$S$8977,4,FALSE)</f>
        <v>CHAY</v>
      </c>
      <c r="F388" s="479" t="str">
        <f>VLOOKUP(B388,All!$B$4:$S$8977,5,FALSE)</f>
        <v>SORN</v>
      </c>
      <c r="G388" s="479" t="str">
        <f>VLOOKUP(B388,All!$B$4:$S$8977,6,FALSE)</f>
        <v>F</v>
      </c>
      <c r="H388" s="385">
        <f>VLOOKUP(B388,All!$B$4:$S$8977,7,FALSE)</f>
        <v>29683</v>
      </c>
      <c r="I388" s="154">
        <f>VLOOKUP(B388,All!$B$4:$S$8977,8,FALSE)</f>
        <v>44167</v>
      </c>
      <c r="J388" s="154" t="str">
        <f>VLOOKUP(B388,All!$B$4:$S$8977,9,FALSE)</f>
        <v>Production</v>
      </c>
      <c r="K388" s="154" t="str">
        <f>VLOOKUP(B388,All!$B$4:$S$8977,10,FALSE)</f>
        <v xml:space="preserve"> Line15</v>
      </c>
      <c r="L388" s="698" t="str">
        <f>VLOOKUP(B388,All!$B$4:$S$8977,11,FALSE)</f>
        <v>Sewing operator</v>
      </c>
      <c r="M388" s="570">
        <f>VLOOKUP(B388,All!$B$4:$S$8977,12,FALSE)</f>
        <v>192</v>
      </c>
      <c r="N388" s="18">
        <f>VLOOKUP(B388,All!$B$4:$S$8977,13,FALSE)</f>
        <v>0</v>
      </c>
      <c r="O388" s="18">
        <f>VLOOKUP(B388,All!$B$4:$S$8977,14,FALSE)</f>
        <v>0</v>
      </c>
      <c r="P388" s="18">
        <f>VLOOKUP(B388,All!$B$4:$S$8977,15,FALSE)</f>
        <v>0</v>
      </c>
      <c r="Q388" s="18">
        <f>VLOOKUP(B388,All!$B$4:$S$8977,16,FALSE)</f>
        <v>0</v>
      </c>
      <c r="R388" s="18">
        <v>7</v>
      </c>
      <c r="S388" s="18">
        <v>10</v>
      </c>
      <c r="T388" s="550">
        <f t="shared" si="69"/>
        <v>209</v>
      </c>
      <c r="U388" s="568"/>
      <c r="V388" s="3"/>
      <c r="W388" s="3"/>
      <c r="X388" s="3"/>
      <c r="Y388" s="562"/>
      <c r="Z388" s="565">
        <f t="shared" si="64"/>
        <v>194</v>
      </c>
      <c r="AA388" s="18">
        <f t="shared" si="65"/>
        <v>0</v>
      </c>
      <c r="AB388" s="18">
        <f t="shared" si="66"/>
        <v>0</v>
      </c>
      <c r="AC388" s="18">
        <f t="shared" si="67"/>
        <v>0</v>
      </c>
      <c r="AD388" s="18">
        <f t="shared" si="68"/>
        <v>0</v>
      </c>
      <c r="AE388" s="18">
        <f t="shared" si="70"/>
        <v>7</v>
      </c>
      <c r="AF388" s="18">
        <f t="shared" si="71"/>
        <v>10</v>
      </c>
      <c r="AG388" s="550">
        <f t="shared" si="72"/>
        <v>211</v>
      </c>
      <c r="AH388" s="42">
        <v>2</v>
      </c>
      <c r="AI388" s="42">
        <v>0</v>
      </c>
      <c r="AJ388" s="42">
        <v>0</v>
      </c>
      <c r="AK388" s="42">
        <v>0</v>
      </c>
      <c r="AL388" s="42">
        <v>0</v>
      </c>
      <c r="AM388" s="42">
        <v>0</v>
      </c>
      <c r="AN388" s="42">
        <v>0</v>
      </c>
      <c r="AO388" s="42">
        <v>2</v>
      </c>
    </row>
    <row r="389" spans="1:41" ht="24" customHeight="1">
      <c r="A389" s="11">
        <f t="shared" si="61"/>
        <v>386</v>
      </c>
      <c r="B389" s="390">
        <v>5080</v>
      </c>
      <c r="C389" s="478" t="str">
        <f>VLOOKUP(B389,All!$B$4:$S$8977,2,FALSE)</f>
        <v>ថន</v>
      </c>
      <c r="D389" s="479" t="str">
        <f>VLOOKUP(B389,All!$B$4:$S$89977,3,FALSE)</f>
        <v>ផាន្នី</v>
      </c>
      <c r="E389" s="478" t="str">
        <f>VLOOKUP(B389,All!$B$4:$S$8977,4,FALSE)</f>
        <v>THAN</v>
      </c>
      <c r="F389" s="479" t="str">
        <f>VLOOKUP(B389,All!$B$4:$S$8977,5,FALSE)</f>
        <v>PHANNY</v>
      </c>
      <c r="G389" s="479" t="str">
        <f>VLOOKUP(B389,All!$B$4:$S$8977,6,FALSE)</f>
        <v>F</v>
      </c>
      <c r="H389" s="385">
        <f>VLOOKUP(B389,All!$B$4:$S$8977,7,FALSE)</f>
        <v>36442</v>
      </c>
      <c r="I389" s="154">
        <f>VLOOKUP(B389,All!$B$4:$S$8977,8,FALSE)</f>
        <v>44167</v>
      </c>
      <c r="J389" s="154" t="str">
        <f>VLOOKUP(B389,All!$B$4:$S$8977,9,FALSE)</f>
        <v>Production</v>
      </c>
      <c r="K389" s="154" t="str">
        <f>VLOOKUP(B389,All!$B$4:$S$8977,10,FALSE)</f>
        <v xml:space="preserve"> Line18</v>
      </c>
      <c r="L389" s="698" t="str">
        <f>VLOOKUP(B389,All!$B$4:$S$8977,11,FALSE)</f>
        <v>Sewing operator</v>
      </c>
      <c r="M389" s="570">
        <f>VLOOKUP(B389,All!$B$4:$S$8977,12,FALSE)</f>
        <v>192</v>
      </c>
      <c r="N389" s="18">
        <f>VLOOKUP(B389,All!$B$4:$S$8977,13,FALSE)</f>
        <v>0</v>
      </c>
      <c r="O389" s="18">
        <f>VLOOKUP(B389,All!$B$4:$S$8977,14,FALSE)</f>
        <v>0</v>
      </c>
      <c r="P389" s="18">
        <f>VLOOKUP(B389,All!$B$4:$S$8977,15,FALSE)</f>
        <v>0</v>
      </c>
      <c r="Q389" s="18">
        <f>VLOOKUP(B389,All!$B$4:$S$8977,16,FALSE)</f>
        <v>0</v>
      </c>
      <c r="R389" s="18">
        <v>7</v>
      </c>
      <c r="S389" s="18">
        <v>10</v>
      </c>
      <c r="T389" s="550">
        <f t="shared" si="69"/>
        <v>209</v>
      </c>
      <c r="U389" s="568"/>
      <c r="V389" s="3"/>
      <c r="W389" s="3"/>
      <c r="X389" s="3"/>
      <c r="Y389" s="562"/>
      <c r="Z389" s="565">
        <f t="shared" si="64"/>
        <v>194</v>
      </c>
      <c r="AA389" s="18">
        <f t="shared" si="65"/>
        <v>0</v>
      </c>
      <c r="AB389" s="18">
        <f t="shared" si="66"/>
        <v>0</v>
      </c>
      <c r="AC389" s="18">
        <f t="shared" si="67"/>
        <v>0</v>
      </c>
      <c r="AD389" s="18">
        <f t="shared" si="68"/>
        <v>0</v>
      </c>
      <c r="AE389" s="18">
        <f t="shared" si="70"/>
        <v>7</v>
      </c>
      <c r="AF389" s="18">
        <f t="shared" si="71"/>
        <v>10</v>
      </c>
      <c r="AG389" s="550">
        <f t="shared" si="72"/>
        <v>211</v>
      </c>
      <c r="AH389" s="42">
        <v>2</v>
      </c>
      <c r="AI389" s="42">
        <v>0</v>
      </c>
      <c r="AJ389" s="42">
        <v>0</v>
      </c>
      <c r="AK389" s="42">
        <v>0</v>
      </c>
      <c r="AL389" s="42">
        <v>0</v>
      </c>
      <c r="AM389" s="42">
        <v>0</v>
      </c>
      <c r="AN389" s="42">
        <v>0</v>
      </c>
      <c r="AO389" s="42">
        <v>2</v>
      </c>
    </row>
    <row r="390" spans="1:41" ht="24" customHeight="1">
      <c r="A390" s="11">
        <f t="shared" ref="A390:A453" si="73">1+A389</f>
        <v>387</v>
      </c>
      <c r="B390" s="390">
        <v>5063</v>
      </c>
      <c r="C390" s="478" t="str">
        <f>VLOOKUP(B390,All!$B$4:$S$8977,2,FALSE)</f>
        <v>ប៊ាន</v>
      </c>
      <c r="D390" s="479" t="str">
        <f>VLOOKUP(B390,All!$B$4:$S$89977,3,FALSE)</f>
        <v>សុដានី</v>
      </c>
      <c r="E390" s="478" t="str">
        <f>VLOOKUP(B390,All!$B$4:$S$8977,4,FALSE)</f>
        <v>BEAN</v>
      </c>
      <c r="F390" s="479" t="str">
        <f>VLOOKUP(B390,All!$B$4:$S$8977,5,FALSE)</f>
        <v>SODANY</v>
      </c>
      <c r="G390" s="479" t="str">
        <f>VLOOKUP(B390,All!$B$4:$S$8977,6,FALSE)</f>
        <v>F</v>
      </c>
      <c r="H390" s="385">
        <f>VLOOKUP(B390,All!$B$4:$S$8977,7,FALSE)</f>
        <v>31797</v>
      </c>
      <c r="I390" s="154">
        <f>VLOOKUP(B390,All!$B$4:$S$8977,8,FALSE)</f>
        <v>44166</v>
      </c>
      <c r="J390" s="154" t="str">
        <f>VLOOKUP(B390,All!$B$4:$S$8977,9,FALSE)</f>
        <v>Production</v>
      </c>
      <c r="K390" s="154" t="str">
        <f>VLOOKUP(B390,All!$B$4:$S$8977,10,FALSE)</f>
        <v>Line5</v>
      </c>
      <c r="L390" s="698" t="str">
        <f>VLOOKUP(B390,All!$B$4:$S$8977,11,FALSE)</f>
        <v>Sewing operator</v>
      </c>
      <c r="M390" s="570">
        <f>VLOOKUP(B390,All!$B$4:$S$8977,12,FALSE)</f>
        <v>192</v>
      </c>
      <c r="N390" s="18">
        <f>VLOOKUP(B390,All!$B$4:$S$8977,13,FALSE)</f>
        <v>0</v>
      </c>
      <c r="O390" s="18">
        <f>VLOOKUP(B390,All!$B$4:$S$8977,14,FALSE)</f>
        <v>0</v>
      </c>
      <c r="P390" s="18">
        <f>VLOOKUP(B390,All!$B$4:$S$8977,15,FALSE)</f>
        <v>0</v>
      </c>
      <c r="Q390" s="18">
        <f>VLOOKUP(B390,All!$B$4:$S$8977,16,FALSE)</f>
        <v>0</v>
      </c>
      <c r="R390" s="18">
        <v>7</v>
      </c>
      <c r="S390" s="18">
        <v>10</v>
      </c>
      <c r="T390" s="550">
        <f t="shared" si="69"/>
        <v>209</v>
      </c>
      <c r="U390" s="568"/>
      <c r="V390" s="3"/>
      <c r="W390" s="3"/>
      <c r="X390" s="3"/>
      <c r="Y390" s="562"/>
      <c r="Z390" s="565">
        <f t="shared" si="64"/>
        <v>194</v>
      </c>
      <c r="AA390" s="18">
        <f t="shared" si="65"/>
        <v>0</v>
      </c>
      <c r="AB390" s="18">
        <f t="shared" si="66"/>
        <v>0</v>
      </c>
      <c r="AC390" s="18">
        <f t="shared" si="67"/>
        <v>0</v>
      </c>
      <c r="AD390" s="18">
        <f t="shared" si="68"/>
        <v>0</v>
      </c>
      <c r="AE390" s="18">
        <f t="shared" si="70"/>
        <v>7</v>
      </c>
      <c r="AF390" s="18">
        <f t="shared" si="71"/>
        <v>10</v>
      </c>
      <c r="AG390" s="550">
        <f t="shared" si="72"/>
        <v>211</v>
      </c>
      <c r="AH390" s="42">
        <v>2</v>
      </c>
      <c r="AI390" s="42">
        <v>0</v>
      </c>
      <c r="AJ390" s="42">
        <v>0</v>
      </c>
      <c r="AK390" s="42">
        <v>0</v>
      </c>
      <c r="AL390" s="42">
        <v>0</v>
      </c>
      <c r="AM390" s="42">
        <v>0</v>
      </c>
      <c r="AN390" s="42">
        <v>0</v>
      </c>
      <c r="AO390" s="42">
        <v>2</v>
      </c>
    </row>
    <row r="391" spans="1:41" ht="24" customHeight="1">
      <c r="A391" s="11">
        <f t="shared" si="73"/>
        <v>388</v>
      </c>
      <c r="B391" s="390">
        <v>5075</v>
      </c>
      <c r="C391" s="478" t="str">
        <f>VLOOKUP(B391,All!$B$4:$S$8977,2,FALSE)</f>
        <v>ងួន</v>
      </c>
      <c r="D391" s="479" t="str">
        <f>VLOOKUP(B391,All!$B$4:$S$89977,3,FALSE)</f>
        <v>ចាន់ដារ៉ា</v>
      </c>
      <c r="E391" s="478" t="str">
        <f>VLOOKUP(B391,All!$B$4:$S$8977,4,FALSE)</f>
        <v>NGOUN</v>
      </c>
      <c r="F391" s="479" t="str">
        <f>VLOOKUP(B391,All!$B$4:$S$8977,5,FALSE)</f>
        <v>CHANDARA</v>
      </c>
      <c r="G391" s="479" t="str">
        <f>VLOOKUP(B391,All!$B$4:$S$8977,6,FALSE)</f>
        <v>F</v>
      </c>
      <c r="H391" s="385">
        <f>VLOOKUP(B391,All!$B$4:$S$8977,7,FALSE)</f>
        <v>28063</v>
      </c>
      <c r="I391" s="154">
        <f>VLOOKUP(B391,All!$B$4:$S$8977,8,FALSE)</f>
        <v>44167</v>
      </c>
      <c r="J391" s="154" t="str">
        <f>VLOOKUP(B391,All!$B$4:$S$8977,9,FALSE)</f>
        <v>Production</v>
      </c>
      <c r="K391" s="154" t="str">
        <f>VLOOKUP(B391,All!$B$4:$S$8977,10,FALSE)</f>
        <v>Line10</v>
      </c>
      <c r="L391" s="698" t="str">
        <f>VLOOKUP(B391,All!$B$4:$S$8977,11,FALSE)</f>
        <v>Sewing operator</v>
      </c>
      <c r="M391" s="570">
        <f>VLOOKUP(B391,All!$B$4:$S$8977,12,FALSE)</f>
        <v>192</v>
      </c>
      <c r="N391" s="18">
        <f>VLOOKUP(B391,All!$B$4:$S$8977,13,FALSE)</f>
        <v>0</v>
      </c>
      <c r="O391" s="18">
        <f>VLOOKUP(B391,All!$B$4:$S$8977,14,FALSE)</f>
        <v>0</v>
      </c>
      <c r="P391" s="18">
        <f>VLOOKUP(B391,All!$B$4:$S$8977,15,FALSE)</f>
        <v>0</v>
      </c>
      <c r="Q391" s="18">
        <f>VLOOKUP(B391,All!$B$4:$S$8977,16,FALSE)</f>
        <v>0</v>
      </c>
      <c r="R391" s="18">
        <v>7</v>
      </c>
      <c r="S391" s="18">
        <v>10</v>
      </c>
      <c r="T391" s="550">
        <f t="shared" si="69"/>
        <v>209</v>
      </c>
      <c r="U391" s="568"/>
      <c r="V391" s="3"/>
      <c r="W391" s="3"/>
      <c r="X391" s="3"/>
      <c r="Y391" s="562"/>
      <c r="Z391" s="565">
        <f t="shared" si="64"/>
        <v>194</v>
      </c>
      <c r="AA391" s="18">
        <f t="shared" si="65"/>
        <v>0</v>
      </c>
      <c r="AB391" s="18">
        <f t="shared" si="66"/>
        <v>0</v>
      </c>
      <c r="AC391" s="18">
        <f t="shared" si="67"/>
        <v>0</v>
      </c>
      <c r="AD391" s="18">
        <f t="shared" si="68"/>
        <v>0</v>
      </c>
      <c r="AE391" s="18">
        <f t="shared" si="70"/>
        <v>7</v>
      </c>
      <c r="AF391" s="18">
        <f t="shared" si="71"/>
        <v>10</v>
      </c>
      <c r="AG391" s="550">
        <f t="shared" si="72"/>
        <v>211</v>
      </c>
      <c r="AH391" s="42">
        <v>2</v>
      </c>
      <c r="AI391" s="42">
        <v>0</v>
      </c>
      <c r="AJ391" s="42">
        <v>0</v>
      </c>
      <c r="AK391" s="42">
        <v>0</v>
      </c>
      <c r="AL391" s="42">
        <v>0</v>
      </c>
      <c r="AM391" s="42">
        <v>0</v>
      </c>
      <c r="AN391" s="42">
        <v>0</v>
      </c>
      <c r="AO391" s="42">
        <v>2</v>
      </c>
    </row>
    <row r="392" spans="1:41" ht="24" customHeight="1">
      <c r="A392" s="11">
        <f t="shared" si="73"/>
        <v>389</v>
      </c>
      <c r="B392" s="390">
        <v>5066</v>
      </c>
      <c r="C392" s="478" t="str">
        <f>VLOOKUP(B392,All!$B$4:$S$8977,2,FALSE)</f>
        <v>ទូច</v>
      </c>
      <c r="D392" s="479" t="str">
        <f>VLOOKUP(B392,All!$B$4:$S$89977,3,FALSE)</f>
        <v>ស្រីម៉ក់</v>
      </c>
      <c r="E392" s="478" t="str">
        <f>VLOOKUP(B392,All!$B$4:$S$8977,4,FALSE)</f>
        <v>TOUCH</v>
      </c>
      <c r="F392" s="479" t="str">
        <f>VLOOKUP(B392,All!$B$4:$S$8977,5,FALSE)</f>
        <v>SREYMORK</v>
      </c>
      <c r="G392" s="479" t="str">
        <f>VLOOKUP(B392,All!$B$4:$S$8977,6,FALSE)</f>
        <v>F</v>
      </c>
      <c r="H392" s="385">
        <f>VLOOKUP(B392,All!$B$4:$S$8977,7,FALSE)</f>
        <v>33786</v>
      </c>
      <c r="I392" s="154">
        <f>VLOOKUP(B392,All!$B$4:$S$8977,8,FALSE)</f>
        <v>44166</v>
      </c>
      <c r="J392" s="154" t="str">
        <f>VLOOKUP(B392,All!$B$4:$S$8977,9,FALSE)</f>
        <v>Production</v>
      </c>
      <c r="K392" s="154" t="str">
        <f>VLOOKUP(B392,All!$B$4:$S$8977,10,FALSE)</f>
        <v xml:space="preserve"> Line8</v>
      </c>
      <c r="L392" s="698" t="str">
        <f>VLOOKUP(B392,All!$B$4:$S$8977,11,FALSE)</f>
        <v>Sewing operator</v>
      </c>
      <c r="M392" s="570">
        <f>VLOOKUP(B392,All!$B$4:$S$8977,12,FALSE)</f>
        <v>192</v>
      </c>
      <c r="N392" s="18">
        <f>VLOOKUP(B392,All!$B$4:$S$8977,13,FALSE)</f>
        <v>0</v>
      </c>
      <c r="O392" s="18">
        <f>VLOOKUP(B392,All!$B$4:$S$8977,14,FALSE)</f>
        <v>0</v>
      </c>
      <c r="P392" s="18">
        <f>VLOOKUP(B392,All!$B$4:$S$8977,15,FALSE)</f>
        <v>0</v>
      </c>
      <c r="Q392" s="18">
        <f>VLOOKUP(B392,All!$B$4:$S$8977,16,FALSE)</f>
        <v>0</v>
      </c>
      <c r="R392" s="18">
        <v>7</v>
      </c>
      <c r="S392" s="18">
        <v>10</v>
      </c>
      <c r="T392" s="550">
        <f t="shared" si="69"/>
        <v>209</v>
      </c>
      <c r="U392" s="568"/>
      <c r="V392" s="3"/>
      <c r="W392" s="3"/>
      <c r="X392" s="3"/>
      <c r="Y392" s="562"/>
      <c r="Z392" s="565">
        <f t="shared" si="64"/>
        <v>194</v>
      </c>
      <c r="AA392" s="18">
        <f t="shared" si="65"/>
        <v>0</v>
      </c>
      <c r="AB392" s="18">
        <f t="shared" si="66"/>
        <v>0</v>
      </c>
      <c r="AC392" s="18">
        <f t="shared" si="67"/>
        <v>0</v>
      </c>
      <c r="AD392" s="18">
        <f t="shared" si="68"/>
        <v>0</v>
      </c>
      <c r="AE392" s="18">
        <f t="shared" si="70"/>
        <v>7</v>
      </c>
      <c r="AF392" s="18">
        <f t="shared" si="71"/>
        <v>10</v>
      </c>
      <c r="AG392" s="550">
        <f t="shared" si="72"/>
        <v>211</v>
      </c>
      <c r="AH392" s="42">
        <v>2</v>
      </c>
      <c r="AI392" s="42">
        <v>0</v>
      </c>
      <c r="AJ392" s="42">
        <v>0</v>
      </c>
      <c r="AK392" s="42">
        <v>0</v>
      </c>
      <c r="AL392" s="42">
        <v>0</v>
      </c>
      <c r="AM392" s="42">
        <v>0</v>
      </c>
      <c r="AN392" s="42">
        <v>0</v>
      </c>
      <c r="AO392" s="42">
        <v>2</v>
      </c>
    </row>
    <row r="393" spans="1:41" ht="24" customHeight="1">
      <c r="A393" s="11">
        <f t="shared" si="73"/>
        <v>390</v>
      </c>
      <c r="B393" s="390">
        <v>5061</v>
      </c>
      <c r="C393" s="478" t="str">
        <f>VLOOKUP(B393,All!$B$4:$S$8977,2,FALSE)</f>
        <v>គឹម</v>
      </c>
      <c r="D393" s="479" t="str">
        <f>VLOOKUP(B393,All!$B$4:$S$89977,3,FALSE)</f>
        <v>សុខន</v>
      </c>
      <c r="E393" s="478" t="str">
        <f>VLOOKUP(B393,All!$B$4:$S$8977,4,FALSE)</f>
        <v>KOEM</v>
      </c>
      <c r="F393" s="479" t="str">
        <f>VLOOKUP(B393,All!$B$4:$S$8977,5,FALSE)</f>
        <v>SOKHORN</v>
      </c>
      <c r="G393" s="479" t="str">
        <f>VLOOKUP(B393,All!$B$4:$S$8977,6,FALSE)</f>
        <v>F</v>
      </c>
      <c r="H393" s="385">
        <f>VLOOKUP(B393,All!$B$4:$S$8977,7,FALSE)</f>
        <v>30357</v>
      </c>
      <c r="I393" s="154">
        <f>VLOOKUP(B393,All!$B$4:$S$8977,8,FALSE)</f>
        <v>44166</v>
      </c>
      <c r="J393" s="154" t="str">
        <f>VLOOKUP(B393,All!$B$4:$S$8977,9,FALSE)</f>
        <v>Production</v>
      </c>
      <c r="K393" s="154" t="str">
        <f>VLOOKUP(B393,All!$B$4:$S$8977,10,FALSE)</f>
        <v xml:space="preserve"> Line3</v>
      </c>
      <c r="L393" s="698" t="str">
        <f>VLOOKUP(B393,All!$B$4:$S$8977,11,FALSE)</f>
        <v>Sewing operator</v>
      </c>
      <c r="M393" s="570">
        <f>VLOOKUP(B393,All!$B$4:$S$8977,12,FALSE)</f>
        <v>192</v>
      </c>
      <c r="N393" s="18">
        <f>VLOOKUP(B393,All!$B$4:$S$8977,13,FALSE)</f>
        <v>0</v>
      </c>
      <c r="O393" s="18">
        <f>VLOOKUP(B393,All!$B$4:$S$8977,14,FALSE)</f>
        <v>0</v>
      </c>
      <c r="P393" s="18">
        <f>VLOOKUP(B393,All!$B$4:$S$8977,15,FALSE)</f>
        <v>0</v>
      </c>
      <c r="Q393" s="18">
        <f>VLOOKUP(B393,All!$B$4:$S$8977,16,FALSE)</f>
        <v>0</v>
      </c>
      <c r="R393" s="18">
        <v>7</v>
      </c>
      <c r="S393" s="18">
        <v>10</v>
      </c>
      <c r="T393" s="550">
        <f t="shared" si="69"/>
        <v>209</v>
      </c>
      <c r="U393" s="568"/>
      <c r="V393" s="3"/>
      <c r="W393" s="3"/>
      <c r="X393" s="3"/>
      <c r="Y393" s="562"/>
      <c r="Z393" s="565">
        <f t="shared" si="64"/>
        <v>194</v>
      </c>
      <c r="AA393" s="18">
        <f t="shared" si="65"/>
        <v>0</v>
      </c>
      <c r="AB393" s="18">
        <f t="shared" si="66"/>
        <v>0</v>
      </c>
      <c r="AC393" s="18">
        <f t="shared" si="67"/>
        <v>0</v>
      </c>
      <c r="AD393" s="18">
        <f t="shared" si="68"/>
        <v>0</v>
      </c>
      <c r="AE393" s="18">
        <f t="shared" si="70"/>
        <v>7</v>
      </c>
      <c r="AF393" s="18">
        <f t="shared" si="71"/>
        <v>10</v>
      </c>
      <c r="AG393" s="550">
        <f t="shared" si="72"/>
        <v>211</v>
      </c>
      <c r="AH393" s="42">
        <v>2</v>
      </c>
      <c r="AI393" s="42">
        <v>0</v>
      </c>
      <c r="AJ393" s="42">
        <v>0</v>
      </c>
      <c r="AK393" s="42">
        <v>0</v>
      </c>
      <c r="AL393" s="42">
        <v>0</v>
      </c>
      <c r="AM393" s="42">
        <v>0</v>
      </c>
      <c r="AN393" s="42">
        <v>0</v>
      </c>
      <c r="AO393" s="42">
        <v>2</v>
      </c>
    </row>
    <row r="394" spans="1:41" ht="24" customHeight="1">
      <c r="A394" s="11">
        <f t="shared" si="73"/>
        <v>391</v>
      </c>
      <c r="B394" s="390">
        <v>5094</v>
      </c>
      <c r="C394" s="478" t="str">
        <f>VLOOKUP(B394,All!$B$4:$S$8977,2,FALSE)</f>
        <v>វ៉ែន</v>
      </c>
      <c r="D394" s="479" t="str">
        <f>VLOOKUP(B394,All!$B$4:$S$89977,3,FALSE)</f>
        <v>ដា</v>
      </c>
      <c r="E394" s="478" t="str">
        <f>VLOOKUP(B394,All!$B$4:$S$8977,4,FALSE)</f>
        <v>VAIN</v>
      </c>
      <c r="F394" s="479" t="str">
        <f>VLOOKUP(B394,All!$B$4:$S$8977,5,FALSE)</f>
        <v>DA</v>
      </c>
      <c r="G394" s="479" t="str">
        <f>VLOOKUP(B394,All!$B$4:$S$8977,6,FALSE)</f>
        <v>F</v>
      </c>
      <c r="H394" s="385">
        <f>VLOOKUP(B394,All!$B$4:$S$8977,7,FALSE)</f>
        <v>33003</v>
      </c>
      <c r="I394" s="154">
        <f>VLOOKUP(B394,All!$B$4:$S$8977,8,FALSE)</f>
        <v>44440</v>
      </c>
      <c r="J394" s="154" t="str">
        <f>VLOOKUP(B394,All!$B$4:$S$8977,9,FALSE)</f>
        <v>Production</v>
      </c>
      <c r="K394" s="154" t="str">
        <f>VLOOKUP(B394,All!$B$4:$S$8977,10,FALSE)</f>
        <v>QC  A</v>
      </c>
      <c r="L394" s="698" t="str">
        <f>VLOOKUP(B394,All!$B$4:$S$8977,11,FALSE)</f>
        <v>Inspector</v>
      </c>
      <c r="M394" s="570">
        <f>VLOOKUP(B394,All!$B$4:$S$8977,12,FALSE)</f>
        <v>192</v>
      </c>
      <c r="N394" s="18">
        <f>VLOOKUP(B394,All!$B$4:$S$8977,13,FALSE)</f>
        <v>0</v>
      </c>
      <c r="O394" s="18">
        <f>VLOOKUP(B394,All!$B$4:$S$8977,14,FALSE)</f>
        <v>0</v>
      </c>
      <c r="P394" s="18">
        <f>VLOOKUP(B394,All!$B$4:$S$8977,15,FALSE)</f>
        <v>0</v>
      </c>
      <c r="Q394" s="18">
        <f>VLOOKUP(B394,All!$B$4:$S$8977,16,FALSE)</f>
        <v>0</v>
      </c>
      <c r="R394" s="18">
        <v>7</v>
      </c>
      <c r="S394" s="18">
        <v>10</v>
      </c>
      <c r="T394" s="550">
        <f t="shared" ref="T394:T444" si="74">SUM(M394:S394)</f>
        <v>209</v>
      </c>
      <c r="U394" s="568"/>
      <c r="V394" s="3"/>
      <c r="W394" s="3"/>
      <c r="X394" s="3"/>
      <c r="Y394" s="562"/>
      <c r="Z394" s="565">
        <f t="shared" si="64"/>
        <v>194</v>
      </c>
      <c r="AA394" s="18">
        <f t="shared" si="65"/>
        <v>0</v>
      </c>
      <c r="AB394" s="18">
        <f t="shared" si="66"/>
        <v>0</v>
      </c>
      <c r="AC394" s="18">
        <f t="shared" si="67"/>
        <v>0</v>
      </c>
      <c r="AD394" s="18">
        <f t="shared" si="68"/>
        <v>0</v>
      </c>
      <c r="AE394" s="18">
        <f t="shared" ref="AE394:AE444" si="75">R394</f>
        <v>7</v>
      </c>
      <c r="AF394" s="18">
        <f t="shared" ref="AF394:AF444" si="76">S394</f>
        <v>10</v>
      </c>
      <c r="AG394" s="550">
        <f t="shared" ref="AG394:AG444" si="77">SUM(Z394:AF394)</f>
        <v>211</v>
      </c>
      <c r="AH394" s="42">
        <v>2</v>
      </c>
      <c r="AI394" s="42">
        <v>0</v>
      </c>
      <c r="AJ394" s="42">
        <v>0</v>
      </c>
      <c r="AK394" s="42">
        <v>0</v>
      </c>
      <c r="AL394" s="42">
        <v>0</v>
      </c>
      <c r="AM394" s="42">
        <v>0</v>
      </c>
      <c r="AN394" s="42">
        <v>0</v>
      </c>
      <c r="AO394" s="42">
        <v>2</v>
      </c>
    </row>
    <row r="395" spans="1:41" ht="24" customHeight="1">
      <c r="A395" s="11">
        <f t="shared" si="73"/>
        <v>392</v>
      </c>
      <c r="B395" s="390">
        <v>5095</v>
      </c>
      <c r="C395" s="478" t="str">
        <f>VLOOKUP(B395,All!$B$4:$S$8977,2,FALSE)</f>
        <v>សុខ</v>
      </c>
      <c r="D395" s="479" t="str">
        <f>VLOOKUP(B395,All!$B$4:$S$89977,3,FALSE)</f>
        <v>សំណាង</v>
      </c>
      <c r="E395" s="478" t="str">
        <f>VLOOKUP(B395,All!$B$4:$S$8977,4,FALSE)</f>
        <v>SOK</v>
      </c>
      <c r="F395" s="479" t="str">
        <f>VLOOKUP(B395,All!$B$4:$S$8977,5,FALSE)</f>
        <v>SAMNANG</v>
      </c>
      <c r="G395" s="479" t="str">
        <f>VLOOKUP(B395,All!$B$4:$S$8977,6,FALSE)</f>
        <v>F</v>
      </c>
      <c r="H395" s="385">
        <f>VLOOKUP(B395,All!$B$4:$S$8977,7,FALSE)</f>
        <v>36171</v>
      </c>
      <c r="I395" s="154">
        <f>VLOOKUP(B395,All!$B$4:$S$8977,8,FALSE)</f>
        <v>44440</v>
      </c>
      <c r="J395" s="154" t="str">
        <f>VLOOKUP(B395,All!$B$4:$S$8977,9,FALSE)</f>
        <v>Production</v>
      </c>
      <c r="K395" s="154" t="str">
        <f>VLOOKUP(B395,All!$B$4:$S$8977,10,FALSE)</f>
        <v>QC  A</v>
      </c>
      <c r="L395" s="698" t="str">
        <f>VLOOKUP(B395,All!$B$4:$S$8977,11,FALSE)</f>
        <v>Inspector</v>
      </c>
      <c r="M395" s="570">
        <f>VLOOKUP(B395,All!$B$4:$S$8977,12,FALSE)</f>
        <v>192</v>
      </c>
      <c r="N395" s="18">
        <f>VLOOKUP(B395,All!$B$4:$S$8977,13,FALSE)</f>
        <v>0</v>
      </c>
      <c r="O395" s="18">
        <f>VLOOKUP(B395,All!$B$4:$S$8977,14,FALSE)</f>
        <v>0</v>
      </c>
      <c r="P395" s="18">
        <f>VLOOKUP(B395,All!$B$4:$S$8977,15,FALSE)</f>
        <v>0</v>
      </c>
      <c r="Q395" s="18">
        <f>VLOOKUP(B395,All!$B$4:$S$8977,16,FALSE)</f>
        <v>0</v>
      </c>
      <c r="R395" s="18">
        <v>7</v>
      </c>
      <c r="S395" s="18">
        <v>10</v>
      </c>
      <c r="T395" s="550">
        <f t="shared" si="74"/>
        <v>209</v>
      </c>
      <c r="U395" s="568"/>
      <c r="V395" s="3"/>
      <c r="W395" s="3"/>
      <c r="X395" s="3"/>
      <c r="Y395" s="562"/>
      <c r="Z395" s="565">
        <f t="shared" si="64"/>
        <v>194</v>
      </c>
      <c r="AA395" s="18">
        <f t="shared" si="65"/>
        <v>0</v>
      </c>
      <c r="AB395" s="18">
        <f t="shared" si="66"/>
        <v>0</v>
      </c>
      <c r="AC395" s="18">
        <f t="shared" si="67"/>
        <v>0</v>
      </c>
      <c r="AD395" s="18">
        <f t="shared" si="68"/>
        <v>0</v>
      </c>
      <c r="AE395" s="18">
        <f t="shared" si="75"/>
        <v>7</v>
      </c>
      <c r="AF395" s="18">
        <f t="shared" si="76"/>
        <v>10</v>
      </c>
      <c r="AG395" s="550">
        <f t="shared" si="77"/>
        <v>211</v>
      </c>
      <c r="AH395" s="42">
        <v>2</v>
      </c>
      <c r="AI395" s="42">
        <v>0</v>
      </c>
      <c r="AJ395" s="42">
        <v>0</v>
      </c>
      <c r="AK395" s="42">
        <v>0</v>
      </c>
      <c r="AL395" s="42">
        <v>0</v>
      </c>
      <c r="AM395" s="42">
        <v>0</v>
      </c>
      <c r="AN395" s="42">
        <v>0</v>
      </c>
      <c r="AO395" s="42">
        <v>2</v>
      </c>
    </row>
    <row r="396" spans="1:41" ht="24" customHeight="1">
      <c r="A396" s="11">
        <f t="shared" si="73"/>
        <v>393</v>
      </c>
      <c r="B396" s="390">
        <v>5099</v>
      </c>
      <c r="C396" s="478" t="str">
        <f>VLOOKUP(B396,All!$B$4:$S$8977,2,FALSE)</f>
        <v>វ៉ិត</v>
      </c>
      <c r="D396" s="479" t="str">
        <f>VLOOKUP(B396,All!$B$4:$S$89977,3,FALSE)</f>
        <v>វន្លី</v>
      </c>
      <c r="E396" s="478" t="str">
        <f>VLOOKUP(B396,All!$B$4:$S$8977,4,FALSE)</f>
        <v>VET</v>
      </c>
      <c r="F396" s="479" t="str">
        <f>VLOOKUP(B396,All!$B$4:$S$8977,5,FALSE)</f>
        <v>VANNY</v>
      </c>
      <c r="G396" s="479" t="str">
        <f>VLOOKUP(B396,All!$B$4:$S$8977,6,FALSE)</f>
        <v>F</v>
      </c>
      <c r="H396" s="385">
        <f>VLOOKUP(B396,All!$B$4:$S$8977,7,FALSE)</f>
        <v>33244</v>
      </c>
      <c r="I396" s="154">
        <f>VLOOKUP(B396,All!$B$4:$S$8977,8,FALSE)</f>
        <v>44447</v>
      </c>
      <c r="J396" s="154" t="str">
        <f>VLOOKUP(B396,All!$B$4:$S$8977,9,FALSE)</f>
        <v>Production</v>
      </c>
      <c r="K396" s="154" t="str">
        <f>VLOOKUP(B396,All!$B$4:$S$8977,10,FALSE)</f>
        <v>Line18</v>
      </c>
      <c r="L396" s="698" t="str">
        <f>VLOOKUP(B396,All!$B$4:$S$8977,11,FALSE)</f>
        <v>Sewing operator</v>
      </c>
      <c r="M396" s="570">
        <f>VLOOKUP(B396,All!$B$4:$S$8977,12,FALSE)</f>
        <v>192</v>
      </c>
      <c r="N396" s="18">
        <f>VLOOKUP(B396,All!$B$4:$S$8977,13,FALSE)</f>
        <v>0</v>
      </c>
      <c r="O396" s="18">
        <f>VLOOKUP(B396,All!$B$4:$S$8977,14,FALSE)</f>
        <v>0</v>
      </c>
      <c r="P396" s="18">
        <f>VLOOKUP(B396,All!$B$4:$S$8977,15,FALSE)</f>
        <v>0</v>
      </c>
      <c r="Q396" s="18">
        <f>VLOOKUP(B396,All!$B$4:$S$8977,16,FALSE)</f>
        <v>0</v>
      </c>
      <c r="R396" s="18">
        <v>7</v>
      </c>
      <c r="S396" s="18">
        <v>10</v>
      </c>
      <c r="T396" s="550">
        <f t="shared" si="74"/>
        <v>209</v>
      </c>
      <c r="U396" s="568"/>
      <c r="V396" s="3"/>
      <c r="W396" s="3"/>
      <c r="X396" s="3"/>
      <c r="Y396" s="562"/>
      <c r="Z396" s="565">
        <f t="shared" si="64"/>
        <v>194</v>
      </c>
      <c r="AA396" s="18">
        <f t="shared" si="65"/>
        <v>0</v>
      </c>
      <c r="AB396" s="18">
        <f t="shared" si="66"/>
        <v>0</v>
      </c>
      <c r="AC396" s="18">
        <f t="shared" si="67"/>
        <v>0</v>
      </c>
      <c r="AD396" s="18">
        <f t="shared" si="68"/>
        <v>0</v>
      </c>
      <c r="AE396" s="18">
        <f t="shared" si="75"/>
        <v>7</v>
      </c>
      <c r="AF396" s="18">
        <f t="shared" si="76"/>
        <v>10</v>
      </c>
      <c r="AG396" s="550">
        <f t="shared" si="77"/>
        <v>211</v>
      </c>
      <c r="AH396" s="42">
        <v>2</v>
      </c>
      <c r="AI396" s="42">
        <v>0</v>
      </c>
      <c r="AJ396" s="42">
        <v>0</v>
      </c>
      <c r="AK396" s="42">
        <v>0</v>
      </c>
      <c r="AL396" s="42">
        <v>0</v>
      </c>
      <c r="AM396" s="42">
        <v>0</v>
      </c>
      <c r="AN396" s="42">
        <v>0</v>
      </c>
      <c r="AO396" s="42">
        <v>2</v>
      </c>
    </row>
    <row r="397" spans="1:41" ht="24" customHeight="1">
      <c r="A397" s="11">
        <f t="shared" si="73"/>
        <v>394</v>
      </c>
      <c r="B397" s="390">
        <v>5100</v>
      </c>
      <c r="C397" s="478" t="str">
        <f>VLOOKUP(B397,All!$B$4:$S$8977,2,FALSE)</f>
        <v>តឹប</v>
      </c>
      <c r="D397" s="479" t="str">
        <f>VLOOKUP(B397,All!$B$4:$S$89977,3,FALSE)</f>
        <v>ចង្រិត</v>
      </c>
      <c r="E397" s="478" t="str">
        <f>VLOOKUP(B397,All!$B$4:$S$8977,4,FALSE)</f>
        <v>TOEM</v>
      </c>
      <c r="F397" s="479" t="str">
        <f>VLOOKUP(B397,All!$B$4:$S$8977,5,FALSE)</f>
        <v>CHNGRIT</v>
      </c>
      <c r="G397" s="479" t="str">
        <f>VLOOKUP(B397,All!$B$4:$S$8977,6,FALSE)</f>
        <v>F</v>
      </c>
      <c r="H397" s="385">
        <f>VLOOKUP(B397,All!$B$4:$S$8977,7,FALSE)</f>
        <v>33396</v>
      </c>
      <c r="I397" s="154">
        <f>VLOOKUP(B397,All!$B$4:$S$8977,8,FALSE)</f>
        <v>44447</v>
      </c>
      <c r="J397" s="154" t="str">
        <f>VLOOKUP(B397,All!$B$4:$S$8977,9,FALSE)</f>
        <v>Production</v>
      </c>
      <c r="K397" s="154" t="str">
        <f>VLOOKUP(B397,All!$B$4:$S$8977,10,FALSE)</f>
        <v>Line17</v>
      </c>
      <c r="L397" s="698" t="str">
        <f>VLOOKUP(B397,All!$B$4:$S$8977,11,FALSE)</f>
        <v>Sewing operator</v>
      </c>
      <c r="M397" s="570">
        <f>VLOOKUP(B397,All!$B$4:$S$8977,12,FALSE)</f>
        <v>192</v>
      </c>
      <c r="N397" s="18">
        <f>VLOOKUP(B397,All!$B$4:$S$8977,13,FALSE)</f>
        <v>0</v>
      </c>
      <c r="O397" s="18">
        <f>VLOOKUP(B397,All!$B$4:$S$8977,14,FALSE)</f>
        <v>0</v>
      </c>
      <c r="P397" s="18">
        <f>VLOOKUP(B397,All!$B$4:$S$8977,15,FALSE)</f>
        <v>0</v>
      </c>
      <c r="Q397" s="18">
        <f>VLOOKUP(B397,All!$B$4:$S$8977,16,FALSE)</f>
        <v>0</v>
      </c>
      <c r="R397" s="18">
        <v>7</v>
      </c>
      <c r="S397" s="18">
        <v>10</v>
      </c>
      <c r="T397" s="550">
        <f t="shared" si="74"/>
        <v>209</v>
      </c>
      <c r="U397" s="568"/>
      <c r="V397" s="3"/>
      <c r="W397" s="3"/>
      <c r="X397" s="3"/>
      <c r="Y397" s="562"/>
      <c r="Z397" s="565">
        <f t="shared" si="64"/>
        <v>194</v>
      </c>
      <c r="AA397" s="18">
        <f t="shared" si="65"/>
        <v>0</v>
      </c>
      <c r="AB397" s="18">
        <f t="shared" si="66"/>
        <v>0</v>
      </c>
      <c r="AC397" s="18">
        <f t="shared" si="67"/>
        <v>0</v>
      </c>
      <c r="AD397" s="18">
        <f t="shared" si="68"/>
        <v>0</v>
      </c>
      <c r="AE397" s="18">
        <f t="shared" si="75"/>
        <v>7</v>
      </c>
      <c r="AF397" s="18">
        <f t="shared" si="76"/>
        <v>10</v>
      </c>
      <c r="AG397" s="550">
        <f t="shared" si="77"/>
        <v>211</v>
      </c>
      <c r="AH397" s="42">
        <v>2</v>
      </c>
      <c r="AI397" s="42">
        <v>0</v>
      </c>
      <c r="AJ397" s="42">
        <v>0</v>
      </c>
      <c r="AK397" s="42">
        <v>0</v>
      </c>
      <c r="AL397" s="42">
        <v>0</v>
      </c>
      <c r="AM397" s="42">
        <v>0</v>
      </c>
      <c r="AN397" s="42">
        <v>0</v>
      </c>
      <c r="AO397" s="42">
        <v>2</v>
      </c>
    </row>
    <row r="398" spans="1:41" ht="24" customHeight="1">
      <c r="A398" s="11">
        <f t="shared" si="73"/>
        <v>395</v>
      </c>
      <c r="B398" s="390">
        <v>5101</v>
      </c>
      <c r="C398" s="478" t="str">
        <f>VLOOKUP(B398,All!$B$4:$S$8977,2,FALSE)</f>
        <v>ស្រៀង</v>
      </c>
      <c r="D398" s="479" t="str">
        <f>VLOOKUP(B398,All!$B$4:$S$89977,3,FALSE)</f>
        <v>ស្រីតូច</v>
      </c>
      <c r="E398" s="478" t="str">
        <f>VLOOKUP(B398,All!$B$4:$S$8977,4,FALSE)</f>
        <v>SRENG</v>
      </c>
      <c r="F398" s="479" t="str">
        <f>VLOOKUP(B398,All!$B$4:$S$8977,5,FALSE)</f>
        <v>SREYTOCH</v>
      </c>
      <c r="G398" s="479" t="str">
        <f>VLOOKUP(B398,All!$B$4:$S$8977,6,FALSE)</f>
        <v>F</v>
      </c>
      <c r="H398" s="385">
        <f>VLOOKUP(B398,All!$B$4:$S$8977,7,FALSE)</f>
        <v>33760</v>
      </c>
      <c r="I398" s="154">
        <f>VLOOKUP(B398,All!$B$4:$S$8977,8,FALSE)</f>
        <v>44447</v>
      </c>
      <c r="J398" s="154" t="str">
        <f>VLOOKUP(B398,All!$B$4:$S$8977,9,FALSE)</f>
        <v>Production</v>
      </c>
      <c r="K398" s="154" t="str">
        <f>VLOOKUP(B398,All!$B$4:$S$8977,10,FALSE)</f>
        <v>Line5</v>
      </c>
      <c r="L398" s="698" t="str">
        <f>VLOOKUP(B398,All!$B$4:$S$8977,11,FALSE)</f>
        <v>Sewing operator</v>
      </c>
      <c r="M398" s="570">
        <f>VLOOKUP(B398,All!$B$4:$S$8977,12,FALSE)</f>
        <v>192</v>
      </c>
      <c r="N398" s="18">
        <f>VLOOKUP(B398,All!$B$4:$S$8977,13,FALSE)</f>
        <v>0</v>
      </c>
      <c r="O398" s="18">
        <f>VLOOKUP(B398,All!$B$4:$S$8977,14,FALSE)</f>
        <v>0</v>
      </c>
      <c r="P398" s="18">
        <f>VLOOKUP(B398,All!$B$4:$S$8977,15,FALSE)</f>
        <v>0</v>
      </c>
      <c r="Q398" s="18">
        <f>VLOOKUP(B398,All!$B$4:$S$8977,16,FALSE)</f>
        <v>0</v>
      </c>
      <c r="R398" s="18">
        <v>7</v>
      </c>
      <c r="S398" s="18">
        <v>10</v>
      </c>
      <c r="T398" s="550">
        <f t="shared" si="74"/>
        <v>209</v>
      </c>
      <c r="U398" s="568"/>
      <c r="V398" s="3"/>
      <c r="W398" s="3"/>
      <c r="X398" s="3"/>
      <c r="Y398" s="562"/>
      <c r="Z398" s="565">
        <f t="shared" ref="Z398:Z442" si="78">M398+AH398</f>
        <v>194</v>
      </c>
      <c r="AA398" s="18">
        <f t="shared" ref="AA398:AA451" si="79">N398</f>
        <v>0</v>
      </c>
      <c r="AB398" s="18">
        <f t="shared" ref="AB398:AB451" si="80">O398</f>
        <v>0</v>
      </c>
      <c r="AC398" s="18">
        <f t="shared" ref="AC398:AC451" si="81">P398</f>
        <v>0</v>
      </c>
      <c r="AD398" s="18">
        <f t="shared" ref="AD398:AD451" si="82">Q398</f>
        <v>0</v>
      </c>
      <c r="AE398" s="18">
        <f t="shared" si="75"/>
        <v>7</v>
      </c>
      <c r="AF398" s="18">
        <f t="shared" si="76"/>
        <v>10</v>
      </c>
      <c r="AG398" s="550">
        <f t="shared" si="77"/>
        <v>211</v>
      </c>
      <c r="AH398" s="42">
        <v>2</v>
      </c>
      <c r="AI398" s="42">
        <v>0</v>
      </c>
      <c r="AJ398" s="42">
        <v>0</v>
      </c>
      <c r="AK398" s="42">
        <v>0</v>
      </c>
      <c r="AL398" s="42">
        <v>0</v>
      </c>
      <c r="AM398" s="42">
        <v>0</v>
      </c>
      <c r="AN398" s="42">
        <v>0</v>
      </c>
      <c r="AO398" s="42">
        <v>2</v>
      </c>
    </row>
    <row r="399" spans="1:41" ht="24" customHeight="1">
      <c r="A399" s="11">
        <f t="shared" si="73"/>
        <v>396</v>
      </c>
      <c r="B399" s="390">
        <v>5102</v>
      </c>
      <c r="C399" s="478" t="str">
        <f>VLOOKUP(B399,All!$B$4:$S$8977,2,FALSE)</f>
        <v>រ៉េត</v>
      </c>
      <c r="D399" s="479" t="str">
        <f>VLOOKUP(B399,All!$B$4:$S$89977,3,FALSE)</f>
        <v>ស្រីស</v>
      </c>
      <c r="E399" s="478" t="str">
        <f>VLOOKUP(B399,All!$B$4:$S$8977,4,FALSE)</f>
        <v>RET</v>
      </c>
      <c r="F399" s="479" t="str">
        <f>VLOOKUP(B399,All!$B$4:$S$8977,5,FALSE)</f>
        <v>SREYSOR</v>
      </c>
      <c r="G399" s="479" t="str">
        <f>VLOOKUP(B399,All!$B$4:$S$8977,6,FALSE)</f>
        <v>F</v>
      </c>
      <c r="H399" s="385">
        <f>VLOOKUP(B399,All!$B$4:$S$8977,7,FALSE)</f>
        <v>31598</v>
      </c>
      <c r="I399" s="154">
        <f>VLOOKUP(B399,All!$B$4:$S$8977,8,FALSE)</f>
        <v>44447</v>
      </c>
      <c r="J399" s="154" t="str">
        <f>VLOOKUP(B399,All!$B$4:$S$8977,9,FALSE)</f>
        <v>Production</v>
      </c>
      <c r="K399" s="154" t="str">
        <f>VLOOKUP(B399,All!$B$4:$S$8977,10,FALSE)</f>
        <v>Line5</v>
      </c>
      <c r="L399" s="698" t="str">
        <f>VLOOKUP(B399,All!$B$4:$S$8977,11,FALSE)</f>
        <v>Sewing operator</v>
      </c>
      <c r="M399" s="570">
        <f>VLOOKUP(B399,All!$B$4:$S$8977,12,FALSE)</f>
        <v>192</v>
      </c>
      <c r="N399" s="18">
        <f>VLOOKUP(B399,All!$B$4:$S$8977,13,FALSE)</f>
        <v>0</v>
      </c>
      <c r="O399" s="18">
        <f>VLOOKUP(B399,All!$B$4:$S$8977,14,FALSE)</f>
        <v>0</v>
      </c>
      <c r="P399" s="18">
        <f>VLOOKUP(B399,All!$B$4:$S$8977,15,FALSE)</f>
        <v>0</v>
      </c>
      <c r="Q399" s="18">
        <f>VLOOKUP(B399,All!$B$4:$S$8977,16,FALSE)</f>
        <v>0</v>
      </c>
      <c r="R399" s="18">
        <v>7</v>
      </c>
      <c r="S399" s="18">
        <v>10</v>
      </c>
      <c r="T399" s="550">
        <f t="shared" si="74"/>
        <v>209</v>
      </c>
      <c r="U399" s="568"/>
      <c r="V399" s="3"/>
      <c r="W399" s="3"/>
      <c r="X399" s="3"/>
      <c r="Y399" s="562"/>
      <c r="Z399" s="565">
        <f t="shared" si="78"/>
        <v>194</v>
      </c>
      <c r="AA399" s="18">
        <f t="shared" si="79"/>
        <v>0</v>
      </c>
      <c r="AB399" s="18">
        <f t="shared" si="80"/>
        <v>0</v>
      </c>
      <c r="AC399" s="18">
        <f t="shared" si="81"/>
        <v>0</v>
      </c>
      <c r="AD399" s="18">
        <f t="shared" si="82"/>
        <v>0</v>
      </c>
      <c r="AE399" s="18">
        <f t="shared" si="75"/>
        <v>7</v>
      </c>
      <c r="AF399" s="18">
        <f t="shared" si="76"/>
        <v>10</v>
      </c>
      <c r="AG399" s="550">
        <f t="shared" si="77"/>
        <v>211</v>
      </c>
      <c r="AH399" s="42">
        <v>2</v>
      </c>
      <c r="AI399" s="42">
        <v>0</v>
      </c>
      <c r="AJ399" s="42">
        <v>0</v>
      </c>
      <c r="AK399" s="42">
        <v>0</v>
      </c>
      <c r="AL399" s="42">
        <v>0</v>
      </c>
      <c r="AM399" s="42">
        <v>0</v>
      </c>
      <c r="AN399" s="42">
        <v>0</v>
      </c>
      <c r="AO399" s="42">
        <v>2</v>
      </c>
    </row>
    <row r="400" spans="1:41" ht="24" customHeight="1">
      <c r="A400" s="11">
        <f t="shared" si="73"/>
        <v>397</v>
      </c>
      <c r="B400" s="390">
        <v>5103</v>
      </c>
      <c r="C400" s="478" t="str">
        <f>VLOOKUP(B400,All!$B$4:$S$8977,2,FALSE)</f>
        <v>មាឃ</v>
      </c>
      <c r="D400" s="479" t="str">
        <f>VLOOKUP(B400,All!$B$4:$S$89977,3,FALSE)</f>
        <v>ចិន</v>
      </c>
      <c r="E400" s="478" t="str">
        <f>VLOOKUP(B400,All!$B$4:$S$8977,4,FALSE)</f>
        <v>MEAK</v>
      </c>
      <c r="F400" s="479" t="str">
        <f>VLOOKUP(B400,All!$B$4:$S$8977,5,FALSE)</f>
        <v>CHIN</v>
      </c>
      <c r="G400" s="479" t="str">
        <f>VLOOKUP(B400,All!$B$4:$S$8977,6,FALSE)</f>
        <v>F</v>
      </c>
      <c r="H400" s="385">
        <f>VLOOKUP(B400,All!$B$4:$S$8977,7,FALSE)</f>
        <v>33044</v>
      </c>
      <c r="I400" s="154">
        <f>VLOOKUP(B400,All!$B$4:$S$8977,8,FALSE)</f>
        <v>44447</v>
      </c>
      <c r="J400" s="154" t="str">
        <f>VLOOKUP(B400,All!$B$4:$S$8977,9,FALSE)</f>
        <v>Production</v>
      </c>
      <c r="K400" s="154" t="str">
        <f>VLOOKUP(B400,All!$B$4:$S$8977,10,FALSE)</f>
        <v>Line 7</v>
      </c>
      <c r="L400" s="698" t="str">
        <f>VLOOKUP(B400,All!$B$4:$S$8977,11,FALSE)</f>
        <v>Sewing operator</v>
      </c>
      <c r="M400" s="570">
        <f>VLOOKUP(B400,All!$B$4:$S$8977,12,FALSE)</f>
        <v>192</v>
      </c>
      <c r="N400" s="18">
        <f>VLOOKUP(B400,All!$B$4:$S$8977,13,FALSE)</f>
        <v>0</v>
      </c>
      <c r="O400" s="18">
        <f>VLOOKUP(B400,All!$B$4:$S$8977,14,FALSE)</f>
        <v>0</v>
      </c>
      <c r="P400" s="18">
        <f>VLOOKUP(B400,All!$B$4:$S$8977,15,FALSE)</f>
        <v>0</v>
      </c>
      <c r="Q400" s="18">
        <f>VLOOKUP(B400,All!$B$4:$S$8977,16,FALSE)</f>
        <v>0</v>
      </c>
      <c r="R400" s="18">
        <v>7</v>
      </c>
      <c r="S400" s="18">
        <v>10</v>
      </c>
      <c r="T400" s="550">
        <f t="shared" si="74"/>
        <v>209</v>
      </c>
      <c r="U400" s="568"/>
      <c r="V400" s="3"/>
      <c r="W400" s="3"/>
      <c r="X400" s="3"/>
      <c r="Y400" s="562"/>
      <c r="Z400" s="565">
        <f t="shared" si="78"/>
        <v>194</v>
      </c>
      <c r="AA400" s="18">
        <f t="shared" si="79"/>
        <v>0</v>
      </c>
      <c r="AB400" s="18">
        <f t="shared" si="80"/>
        <v>0</v>
      </c>
      <c r="AC400" s="18">
        <f t="shared" si="81"/>
        <v>0</v>
      </c>
      <c r="AD400" s="18">
        <f t="shared" si="82"/>
        <v>0</v>
      </c>
      <c r="AE400" s="18">
        <f t="shared" si="75"/>
        <v>7</v>
      </c>
      <c r="AF400" s="18">
        <f t="shared" si="76"/>
        <v>10</v>
      </c>
      <c r="AG400" s="550">
        <f t="shared" si="77"/>
        <v>211</v>
      </c>
      <c r="AH400" s="42">
        <v>2</v>
      </c>
      <c r="AI400" s="42">
        <v>0</v>
      </c>
      <c r="AJ400" s="42">
        <v>0</v>
      </c>
      <c r="AK400" s="42">
        <v>0</v>
      </c>
      <c r="AL400" s="42">
        <v>0</v>
      </c>
      <c r="AM400" s="42">
        <v>0</v>
      </c>
      <c r="AN400" s="42">
        <v>0</v>
      </c>
      <c r="AO400" s="42">
        <v>2</v>
      </c>
    </row>
    <row r="401" spans="1:41" ht="24" customHeight="1">
      <c r="A401" s="11">
        <f t="shared" si="73"/>
        <v>398</v>
      </c>
      <c r="B401" s="390">
        <v>5104</v>
      </c>
      <c r="C401" s="478" t="str">
        <f>VLOOKUP(B401,All!$B$4:$S$8977,2,FALSE)</f>
        <v>ជុន</v>
      </c>
      <c r="D401" s="479" t="str">
        <f>VLOOKUP(B401,All!$B$4:$S$89977,3,FALSE)</f>
        <v>ស្រីម៉ៅ</v>
      </c>
      <c r="E401" s="478" t="str">
        <f>VLOOKUP(B401,All!$B$4:$S$8977,4,FALSE)</f>
        <v>CHUN</v>
      </c>
      <c r="F401" s="479" t="str">
        <f>VLOOKUP(B401,All!$B$4:$S$8977,5,FALSE)</f>
        <v>SREYMAO</v>
      </c>
      <c r="G401" s="479" t="str">
        <f>VLOOKUP(B401,All!$B$4:$S$8977,6,FALSE)</f>
        <v>F</v>
      </c>
      <c r="H401" s="385">
        <f>VLOOKUP(B401,All!$B$4:$S$8977,7,FALSE)</f>
        <v>30744</v>
      </c>
      <c r="I401" s="154">
        <f>VLOOKUP(B401,All!$B$4:$S$8977,8,FALSE)</f>
        <v>44447</v>
      </c>
      <c r="J401" s="154" t="str">
        <f>VLOOKUP(B401,All!$B$4:$S$8977,9,FALSE)</f>
        <v>Production</v>
      </c>
      <c r="K401" s="154" t="str">
        <f>VLOOKUP(B401,All!$B$4:$S$8977,10,FALSE)</f>
        <v>Line 7</v>
      </c>
      <c r="L401" s="698" t="str">
        <f>VLOOKUP(B401,All!$B$4:$S$8977,11,FALSE)</f>
        <v>Sewing operator</v>
      </c>
      <c r="M401" s="570">
        <f>VLOOKUP(B401,All!$B$4:$S$8977,12,FALSE)</f>
        <v>192</v>
      </c>
      <c r="N401" s="18">
        <f>VLOOKUP(B401,All!$B$4:$S$8977,13,FALSE)</f>
        <v>0</v>
      </c>
      <c r="O401" s="18">
        <f>VLOOKUP(B401,All!$B$4:$S$8977,14,FALSE)</f>
        <v>0</v>
      </c>
      <c r="P401" s="18">
        <f>VLOOKUP(B401,All!$B$4:$S$8977,15,FALSE)</f>
        <v>0</v>
      </c>
      <c r="Q401" s="18">
        <f>VLOOKUP(B401,All!$B$4:$S$8977,16,FALSE)</f>
        <v>0</v>
      </c>
      <c r="R401" s="18">
        <v>7</v>
      </c>
      <c r="S401" s="18">
        <v>10</v>
      </c>
      <c r="T401" s="550">
        <f t="shared" si="74"/>
        <v>209</v>
      </c>
      <c r="U401" s="568"/>
      <c r="V401" s="3"/>
      <c r="W401" s="3"/>
      <c r="X401" s="3"/>
      <c r="Y401" s="562"/>
      <c r="Z401" s="565">
        <f t="shared" si="78"/>
        <v>194</v>
      </c>
      <c r="AA401" s="18">
        <f t="shared" si="79"/>
        <v>0</v>
      </c>
      <c r="AB401" s="18">
        <f t="shared" si="80"/>
        <v>0</v>
      </c>
      <c r="AC401" s="18">
        <f t="shared" si="81"/>
        <v>0</v>
      </c>
      <c r="AD401" s="18">
        <f t="shared" si="82"/>
        <v>0</v>
      </c>
      <c r="AE401" s="18">
        <f t="shared" si="75"/>
        <v>7</v>
      </c>
      <c r="AF401" s="18">
        <f t="shared" si="76"/>
        <v>10</v>
      </c>
      <c r="AG401" s="550">
        <f t="shared" si="77"/>
        <v>211</v>
      </c>
      <c r="AH401" s="42">
        <v>2</v>
      </c>
      <c r="AI401" s="42">
        <v>0</v>
      </c>
      <c r="AJ401" s="42">
        <v>0</v>
      </c>
      <c r="AK401" s="42">
        <v>0</v>
      </c>
      <c r="AL401" s="42">
        <v>0</v>
      </c>
      <c r="AM401" s="42">
        <v>0</v>
      </c>
      <c r="AN401" s="42">
        <v>0</v>
      </c>
      <c r="AO401" s="42">
        <v>2</v>
      </c>
    </row>
    <row r="402" spans="1:41" ht="24" customHeight="1">
      <c r="A402" s="11">
        <f t="shared" si="73"/>
        <v>399</v>
      </c>
      <c r="B402" s="390">
        <v>5105</v>
      </c>
      <c r="C402" s="478" t="str">
        <f>VLOOKUP(B402,All!$B$4:$S$8977,2,FALSE)</f>
        <v>ច្រឹង</v>
      </c>
      <c r="D402" s="479" t="str">
        <f>VLOOKUP(B402,All!$B$4:$S$89977,3,FALSE)</f>
        <v>ស្រីភ័ស</v>
      </c>
      <c r="E402" s="478" t="str">
        <f>VLOOKUP(B402,All!$B$4:$S$8977,4,FALSE)</f>
        <v>CHOENG</v>
      </c>
      <c r="F402" s="479" t="str">
        <f>VLOOKUP(B402,All!$B$4:$S$8977,5,FALSE)</f>
        <v>SREYPHOS</v>
      </c>
      <c r="G402" s="479" t="str">
        <f>VLOOKUP(B402,All!$B$4:$S$8977,6,FALSE)</f>
        <v>F</v>
      </c>
      <c r="H402" s="385">
        <f>VLOOKUP(B402,All!$B$4:$S$8977,7,FALSE)</f>
        <v>36008</v>
      </c>
      <c r="I402" s="154">
        <f>VLOOKUP(B402,All!$B$4:$S$8977,8,FALSE)</f>
        <v>44447</v>
      </c>
      <c r="J402" s="154" t="str">
        <f>VLOOKUP(B402,All!$B$4:$S$8977,9,FALSE)</f>
        <v>Production</v>
      </c>
      <c r="K402" s="154" t="str">
        <f>VLOOKUP(B402,All!$B$4:$S$8977,10,FALSE)</f>
        <v>Line 7</v>
      </c>
      <c r="L402" s="698" t="str">
        <f>VLOOKUP(B402,All!$B$4:$S$8977,11,FALSE)</f>
        <v>Sewing operator</v>
      </c>
      <c r="M402" s="570">
        <f>VLOOKUP(B402,All!$B$4:$S$8977,12,FALSE)</f>
        <v>192</v>
      </c>
      <c r="N402" s="18">
        <f>VLOOKUP(B402,All!$B$4:$S$8977,13,FALSE)</f>
        <v>0</v>
      </c>
      <c r="O402" s="18">
        <f>VLOOKUP(B402,All!$B$4:$S$8977,14,FALSE)</f>
        <v>0</v>
      </c>
      <c r="P402" s="18">
        <f>VLOOKUP(B402,All!$B$4:$S$8977,15,FALSE)</f>
        <v>0</v>
      </c>
      <c r="Q402" s="18">
        <f>VLOOKUP(B402,All!$B$4:$S$8977,16,FALSE)</f>
        <v>0</v>
      </c>
      <c r="R402" s="18">
        <v>7</v>
      </c>
      <c r="S402" s="18">
        <v>10</v>
      </c>
      <c r="T402" s="550">
        <f t="shared" si="74"/>
        <v>209</v>
      </c>
      <c r="U402" s="568"/>
      <c r="V402" s="3"/>
      <c r="W402" s="3"/>
      <c r="X402" s="3"/>
      <c r="Y402" s="562"/>
      <c r="Z402" s="565">
        <f t="shared" si="78"/>
        <v>194</v>
      </c>
      <c r="AA402" s="18">
        <f t="shared" si="79"/>
        <v>0</v>
      </c>
      <c r="AB402" s="18">
        <f t="shared" si="80"/>
        <v>0</v>
      </c>
      <c r="AC402" s="18">
        <f t="shared" si="81"/>
        <v>0</v>
      </c>
      <c r="AD402" s="18">
        <f t="shared" si="82"/>
        <v>0</v>
      </c>
      <c r="AE402" s="18">
        <f t="shared" si="75"/>
        <v>7</v>
      </c>
      <c r="AF402" s="18">
        <f t="shared" si="76"/>
        <v>10</v>
      </c>
      <c r="AG402" s="550">
        <f t="shared" si="77"/>
        <v>211</v>
      </c>
      <c r="AH402" s="42">
        <v>2</v>
      </c>
      <c r="AI402" s="42">
        <v>0</v>
      </c>
      <c r="AJ402" s="42">
        <v>0</v>
      </c>
      <c r="AK402" s="42">
        <v>0</v>
      </c>
      <c r="AL402" s="42">
        <v>0</v>
      </c>
      <c r="AM402" s="42">
        <v>0</v>
      </c>
      <c r="AN402" s="42">
        <v>0</v>
      </c>
      <c r="AO402" s="42">
        <v>2</v>
      </c>
    </row>
    <row r="403" spans="1:41" ht="24" customHeight="1">
      <c r="A403" s="11">
        <f t="shared" si="73"/>
        <v>400</v>
      </c>
      <c r="B403" s="390">
        <v>5109</v>
      </c>
      <c r="C403" s="478" t="str">
        <f>VLOOKUP(B403,All!$B$4:$S$8977,2,FALSE)</f>
        <v>សៀន</v>
      </c>
      <c r="D403" s="479" t="str">
        <f>VLOOKUP(B403,All!$B$4:$S$89977,3,FALSE)</f>
        <v>តូច</v>
      </c>
      <c r="E403" s="478" t="str">
        <f>VLOOKUP(B403,All!$B$4:$S$8977,4,FALSE)</f>
        <v>SEAN</v>
      </c>
      <c r="F403" s="479" t="str">
        <f>VLOOKUP(B403,All!$B$4:$S$8977,5,FALSE)</f>
        <v>TOCH</v>
      </c>
      <c r="G403" s="479" t="str">
        <f>VLOOKUP(B403,All!$B$4:$S$8977,6,FALSE)</f>
        <v>F</v>
      </c>
      <c r="H403" s="385">
        <f>VLOOKUP(B403,All!$B$4:$S$8977,7,FALSE)</f>
        <v>32454</v>
      </c>
      <c r="I403" s="154">
        <f>VLOOKUP(B403,All!$B$4:$S$8977,8,FALSE)</f>
        <v>44447</v>
      </c>
      <c r="J403" s="154" t="str">
        <f>VLOOKUP(B403,All!$B$4:$S$8977,9,FALSE)</f>
        <v>Production</v>
      </c>
      <c r="K403" s="154" t="str">
        <f>VLOOKUP(B403,All!$B$4:$S$8977,10,FALSE)</f>
        <v>Line1</v>
      </c>
      <c r="L403" s="698" t="str">
        <f>VLOOKUP(B403,All!$B$4:$S$8977,11,FALSE)</f>
        <v>Sewing operator</v>
      </c>
      <c r="M403" s="570">
        <f>VLOOKUP(B403,All!$B$4:$S$8977,12,FALSE)</f>
        <v>192</v>
      </c>
      <c r="N403" s="18">
        <f>VLOOKUP(B403,All!$B$4:$S$8977,13,FALSE)</f>
        <v>0</v>
      </c>
      <c r="O403" s="18">
        <f>VLOOKUP(B403,All!$B$4:$S$8977,14,FALSE)</f>
        <v>0</v>
      </c>
      <c r="P403" s="18">
        <f>VLOOKUP(B403,All!$B$4:$S$8977,15,FALSE)</f>
        <v>0</v>
      </c>
      <c r="Q403" s="18">
        <f>VLOOKUP(B403,All!$B$4:$S$8977,16,FALSE)</f>
        <v>0</v>
      </c>
      <c r="R403" s="18">
        <v>7</v>
      </c>
      <c r="S403" s="18">
        <v>10</v>
      </c>
      <c r="T403" s="550">
        <f t="shared" si="74"/>
        <v>209</v>
      </c>
      <c r="U403" s="568"/>
      <c r="V403" s="3"/>
      <c r="W403" s="3"/>
      <c r="X403" s="3"/>
      <c r="Y403" s="562"/>
      <c r="Z403" s="565">
        <f t="shared" si="78"/>
        <v>194</v>
      </c>
      <c r="AA403" s="18">
        <f t="shared" si="79"/>
        <v>0</v>
      </c>
      <c r="AB403" s="18">
        <f t="shared" si="80"/>
        <v>0</v>
      </c>
      <c r="AC403" s="18">
        <f t="shared" si="81"/>
        <v>0</v>
      </c>
      <c r="AD403" s="18">
        <f t="shared" si="82"/>
        <v>0</v>
      </c>
      <c r="AE403" s="18">
        <f t="shared" si="75"/>
        <v>7</v>
      </c>
      <c r="AF403" s="18">
        <f t="shared" si="76"/>
        <v>10</v>
      </c>
      <c r="AG403" s="550">
        <f t="shared" si="77"/>
        <v>211</v>
      </c>
      <c r="AH403" s="42">
        <v>2</v>
      </c>
      <c r="AI403" s="42">
        <v>0</v>
      </c>
      <c r="AJ403" s="42">
        <v>0</v>
      </c>
      <c r="AK403" s="42">
        <v>0</v>
      </c>
      <c r="AL403" s="42">
        <v>0</v>
      </c>
      <c r="AM403" s="42">
        <v>0</v>
      </c>
      <c r="AN403" s="42">
        <v>0</v>
      </c>
      <c r="AO403" s="42">
        <v>2</v>
      </c>
    </row>
    <row r="404" spans="1:41" ht="24" customHeight="1">
      <c r="A404" s="11">
        <f t="shared" si="73"/>
        <v>401</v>
      </c>
      <c r="B404" s="390">
        <v>5110</v>
      </c>
      <c r="C404" s="478" t="str">
        <f>VLOOKUP(B404,All!$B$4:$S$8977,2,FALSE)</f>
        <v>សុខ</v>
      </c>
      <c r="D404" s="479" t="str">
        <f>VLOOKUP(B404,All!$B$4:$S$89977,3,FALSE)</f>
        <v>លីដា</v>
      </c>
      <c r="E404" s="478" t="str">
        <f>VLOOKUP(B404,All!$B$4:$S$8977,4,FALSE)</f>
        <v>SOK</v>
      </c>
      <c r="F404" s="479" t="str">
        <f>VLOOKUP(B404,All!$B$4:$S$8977,5,FALSE)</f>
        <v>LEDA</v>
      </c>
      <c r="G404" s="479" t="str">
        <f>VLOOKUP(B404,All!$B$4:$S$8977,6,FALSE)</f>
        <v>F</v>
      </c>
      <c r="H404" s="385">
        <f>VLOOKUP(B404,All!$B$4:$S$8977,7,FALSE)</f>
        <v>35613</v>
      </c>
      <c r="I404" s="154">
        <f>VLOOKUP(B404,All!$B$4:$S$8977,8,FALSE)</f>
        <v>44447</v>
      </c>
      <c r="J404" s="154" t="str">
        <f>VLOOKUP(B404,All!$B$4:$S$8977,9,FALSE)</f>
        <v>Production</v>
      </c>
      <c r="K404" s="154" t="str">
        <f>VLOOKUP(B404,All!$B$4:$S$8977,10,FALSE)</f>
        <v>Line3</v>
      </c>
      <c r="L404" s="698" t="str">
        <f>VLOOKUP(B404,All!$B$4:$S$8977,11,FALSE)</f>
        <v>Sewing operator</v>
      </c>
      <c r="M404" s="570">
        <f>VLOOKUP(B404,All!$B$4:$S$8977,12,FALSE)</f>
        <v>192</v>
      </c>
      <c r="N404" s="18">
        <f>VLOOKUP(B404,All!$B$4:$S$8977,13,FALSE)</f>
        <v>0</v>
      </c>
      <c r="O404" s="18">
        <f>VLOOKUP(B404,All!$B$4:$S$8977,14,FALSE)</f>
        <v>0</v>
      </c>
      <c r="P404" s="18">
        <f>VLOOKUP(B404,All!$B$4:$S$8977,15,FALSE)</f>
        <v>0</v>
      </c>
      <c r="Q404" s="18">
        <f>VLOOKUP(B404,All!$B$4:$S$8977,16,FALSE)</f>
        <v>0</v>
      </c>
      <c r="R404" s="18">
        <v>7</v>
      </c>
      <c r="S404" s="18">
        <v>10</v>
      </c>
      <c r="T404" s="550">
        <f t="shared" si="74"/>
        <v>209</v>
      </c>
      <c r="U404" s="568"/>
      <c r="V404" s="3"/>
      <c r="W404" s="3"/>
      <c r="X404" s="3"/>
      <c r="Y404" s="562"/>
      <c r="Z404" s="565">
        <f t="shared" si="78"/>
        <v>194</v>
      </c>
      <c r="AA404" s="18">
        <f t="shared" si="79"/>
        <v>0</v>
      </c>
      <c r="AB404" s="18">
        <f t="shared" si="80"/>
        <v>0</v>
      </c>
      <c r="AC404" s="18">
        <f t="shared" si="81"/>
        <v>0</v>
      </c>
      <c r="AD404" s="18">
        <f t="shared" si="82"/>
        <v>0</v>
      </c>
      <c r="AE404" s="18">
        <f t="shared" si="75"/>
        <v>7</v>
      </c>
      <c r="AF404" s="18">
        <f t="shared" si="76"/>
        <v>10</v>
      </c>
      <c r="AG404" s="550">
        <f t="shared" si="77"/>
        <v>211</v>
      </c>
      <c r="AH404" s="42">
        <v>2</v>
      </c>
      <c r="AI404" s="42">
        <v>0</v>
      </c>
      <c r="AJ404" s="42">
        <v>0</v>
      </c>
      <c r="AK404" s="42">
        <v>0</v>
      </c>
      <c r="AL404" s="42">
        <v>0</v>
      </c>
      <c r="AM404" s="42">
        <v>0</v>
      </c>
      <c r="AN404" s="42">
        <v>0</v>
      </c>
      <c r="AO404" s="42">
        <v>2</v>
      </c>
    </row>
    <row r="405" spans="1:41" ht="24" customHeight="1">
      <c r="A405" s="11">
        <f t="shared" si="73"/>
        <v>402</v>
      </c>
      <c r="B405" s="390">
        <v>5111</v>
      </c>
      <c r="C405" s="478" t="str">
        <f>VLOOKUP(B405,All!$B$4:$S$8977,2,FALSE)</f>
        <v>សួង</v>
      </c>
      <c r="D405" s="479" t="str">
        <f>VLOOKUP(B405,All!$B$4:$S$89977,3,FALSE)</f>
        <v>រតនា</v>
      </c>
      <c r="E405" s="478" t="str">
        <f>VLOOKUP(B405,All!$B$4:$S$8977,4,FALSE)</f>
        <v>SUONG</v>
      </c>
      <c r="F405" s="479" t="str">
        <f>VLOOKUP(B405,All!$B$4:$S$8977,5,FALSE)</f>
        <v>RATANA</v>
      </c>
      <c r="G405" s="479" t="str">
        <f>VLOOKUP(B405,All!$B$4:$S$8977,6,FALSE)</f>
        <v>F</v>
      </c>
      <c r="H405" s="385">
        <f>VLOOKUP(B405,All!$B$4:$S$8977,7,FALSE)</f>
        <v>31628</v>
      </c>
      <c r="I405" s="154">
        <f>VLOOKUP(B405,All!$B$4:$S$8977,8,FALSE)</f>
        <v>44447</v>
      </c>
      <c r="J405" s="154" t="str">
        <f>VLOOKUP(B405,All!$B$4:$S$8977,9,FALSE)</f>
        <v>Production</v>
      </c>
      <c r="K405" s="154" t="str">
        <f>VLOOKUP(B405,All!$B$4:$S$8977,10,FALSE)</f>
        <v>Line19</v>
      </c>
      <c r="L405" s="698" t="str">
        <f>VLOOKUP(B405,All!$B$4:$S$8977,11,FALSE)</f>
        <v>Sewing operator</v>
      </c>
      <c r="M405" s="570">
        <f>VLOOKUP(B405,All!$B$4:$S$8977,12,FALSE)</f>
        <v>192</v>
      </c>
      <c r="N405" s="18">
        <f>VLOOKUP(B405,All!$B$4:$S$8977,13,FALSE)</f>
        <v>0</v>
      </c>
      <c r="O405" s="18">
        <f>VLOOKUP(B405,All!$B$4:$S$8977,14,FALSE)</f>
        <v>0</v>
      </c>
      <c r="P405" s="18">
        <f>VLOOKUP(B405,All!$B$4:$S$8977,15,FALSE)</f>
        <v>0</v>
      </c>
      <c r="Q405" s="18">
        <f>VLOOKUP(B405,All!$B$4:$S$8977,16,FALSE)</f>
        <v>0</v>
      </c>
      <c r="R405" s="18">
        <v>7</v>
      </c>
      <c r="S405" s="18">
        <v>10</v>
      </c>
      <c r="T405" s="550">
        <f t="shared" si="74"/>
        <v>209</v>
      </c>
      <c r="U405" s="568"/>
      <c r="V405" s="3"/>
      <c r="W405" s="3"/>
      <c r="X405" s="3"/>
      <c r="Y405" s="562"/>
      <c r="Z405" s="565">
        <f t="shared" si="78"/>
        <v>194</v>
      </c>
      <c r="AA405" s="18">
        <f t="shared" si="79"/>
        <v>0</v>
      </c>
      <c r="AB405" s="18">
        <f t="shared" si="80"/>
        <v>0</v>
      </c>
      <c r="AC405" s="18">
        <f t="shared" si="81"/>
        <v>0</v>
      </c>
      <c r="AD405" s="18">
        <f t="shared" si="82"/>
        <v>0</v>
      </c>
      <c r="AE405" s="18">
        <f t="shared" si="75"/>
        <v>7</v>
      </c>
      <c r="AF405" s="18">
        <f t="shared" si="76"/>
        <v>10</v>
      </c>
      <c r="AG405" s="550">
        <f t="shared" si="77"/>
        <v>211</v>
      </c>
      <c r="AH405" s="42">
        <v>2</v>
      </c>
      <c r="AI405" s="42">
        <v>0</v>
      </c>
      <c r="AJ405" s="42">
        <v>0</v>
      </c>
      <c r="AK405" s="42">
        <v>0</v>
      </c>
      <c r="AL405" s="42">
        <v>0</v>
      </c>
      <c r="AM405" s="42">
        <v>0</v>
      </c>
      <c r="AN405" s="42">
        <v>0</v>
      </c>
      <c r="AO405" s="42">
        <v>2</v>
      </c>
    </row>
    <row r="406" spans="1:41" ht="24" customHeight="1">
      <c r="A406" s="11">
        <f t="shared" si="73"/>
        <v>403</v>
      </c>
      <c r="B406" s="390">
        <v>5113</v>
      </c>
      <c r="C406" s="478" t="str">
        <f>VLOOKUP(B406,All!$B$4:$S$8977,2,FALSE)</f>
        <v>ស៊ង</v>
      </c>
      <c r="D406" s="479" t="str">
        <f>VLOOKUP(B406,All!$B$4:$S$89977,3,FALSE)</f>
        <v>វណ្ណា</v>
      </c>
      <c r="E406" s="478" t="str">
        <f>VLOOKUP(B406,All!$B$4:$S$8977,4,FALSE)</f>
        <v>SORNG</v>
      </c>
      <c r="F406" s="479" t="str">
        <f>VLOOKUP(B406,All!$B$4:$S$8977,5,FALSE)</f>
        <v>VANNA</v>
      </c>
      <c r="G406" s="479" t="str">
        <f>VLOOKUP(B406,All!$B$4:$S$8977,6,FALSE)</f>
        <v>F</v>
      </c>
      <c r="H406" s="385">
        <f>VLOOKUP(B406,All!$B$4:$S$8977,7,FALSE)</f>
        <v>32549</v>
      </c>
      <c r="I406" s="154">
        <f>VLOOKUP(B406,All!$B$4:$S$8977,8,FALSE)</f>
        <v>44448</v>
      </c>
      <c r="J406" s="154" t="str">
        <f>VLOOKUP(B406,All!$B$4:$S$8977,9,FALSE)</f>
        <v>Production</v>
      </c>
      <c r="K406" s="154" t="str">
        <f>VLOOKUP(B406,All!$B$4:$S$8977,10,FALSE)</f>
        <v>Line 7</v>
      </c>
      <c r="L406" s="698" t="str">
        <f>VLOOKUP(B406,All!$B$4:$S$8977,11,FALSE)</f>
        <v>Sewing operator</v>
      </c>
      <c r="M406" s="570">
        <f>VLOOKUP(B406,All!$B$4:$S$8977,12,FALSE)</f>
        <v>192</v>
      </c>
      <c r="N406" s="18">
        <f>VLOOKUP(B406,All!$B$4:$S$8977,13,FALSE)</f>
        <v>0</v>
      </c>
      <c r="O406" s="18">
        <f>VLOOKUP(B406,All!$B$4:$S$8977,14,FALSE)</f>
        <v>0</v>
      </c>
      <c r="P406" s="18">
        <f>VLOOKUP(B406,All!$B$4:$S$8977,15,FALSE)</f>
        <v>0</v>
      </c>
      <c r="Q406" s="18">
        <f>VLOOKUP(B406,All!$B$4:$S$8977,16,FALSE)</f>
        <v>0</v>
      </c>
      <c r="R406" s="18">
        <v>7</v>
      </c>
      <c r="S406" s="18">
        <v>10</v>
      </c>
      <c r="T406" s="550">
        <f t="shared" si="74"/>
        <v>209</v>
      </c>
      <c r="U406" s="568"/>
      <c r="V406" s="3"/>
      <c r="W406" s="3"/>
      <c r="X406" s="3"/>
      <c r="Y406" s="562"/>
      <c r="Z406" s="565">
        <f t="shared" si="78"/>
        <v>194</v>
      </c>
      <c r="AA406" s="18">
        <f t="shared" si="79"/>
        <v>0</v>
      </c>
      <c r="AB406" s="18">
        <f t="shared" si="80"/>
        <v>0</v>
      </c>
      <c r="AC406" s="18">
        <f t="shared" si="81"/>
        <v>0</v>
      </c>
      <c r="AD406" s="18">
        <f t="shared" si="82"/>
        <v>0</v>
      </c>
      <c r="AE406" s="18">
        <f t="shared" si="75"/>
        <v>7</v>
      </c>
      <c r="AF406" s="18">
        <f t="shared" si="76"/>
        <v>10</v>
      </c>
      <c r="AG406" s="550">
        <f t="shared" si="77"/>
        <v>211</v>
      </c>
      <c r="AH406" s="42">
        <v>2</v>
      </c>
      <c r="AI406" s="42">
        <v>0</v>
      </c>
      <c r="AJ406" s="42">
        <v>0</v>
      </c>
      <c r="AK406" s="42">
        <v>0</v>
      </c>
      <c r="AL406" s="42">
        <v>0</v>
      </c>
      <c r="AM406" s="42">
        <v>0</v>
      </c>
      <c r="AN406" s="42">
        <v>0</v>
      </c>
      <c r="AO406" s="42">
        <v>2</v>
      </c>
    </row>
    <row r="407" spans="1:41" ht="24" customHeight="1">
      <c r="A407" s="11">
        <f t="shared" si="73"/>
        <v>404</v>
      </c>
      <c r="B407" s="390">
        <v>5114</v>
      </c>
      <c r="C407" s="478" t="str">
        <f>VLOOKUP(B407,All!$B$4:$S$8977,2,FALSE)</f>
        <v>ប៉ុក</v>
      </c>
      <c r="D407" s="479" t="str">
        <f>VLOOKUP(B407,All!$B$4:$S$89977,3,FALSE)</f>
        <v>សារ៉េត</v>
      </c>
      <c r="E407" s="478" t="str">
        <f>VLOOKUP(B407,All!$B$4:$S$8977,4,FALSE)</f>
        <v>POK</v>
      </c>
      <c r="F407" s="479" t="str">
        <f>VLOOKUP(B407,All!$B$4:$S$8977,5,FALSE)</f>
        <v>SARETH</v>
      </c>
      <c r="G407" s="479" t="str">
        <f>VLOOKUP(B407,All!$B$4:$S$8977,6,FALSE)</f>
        <v>F</v>
      </c>
      <c r="H407" s="385">
        <f>VLOOKUP(B407,All!$B$4:$S$8977,7,FALSE)</f>
        <v>28549</v>
      </c>
      <c r="I407" s="154">
        <f>VLOOKUP(B407,All!$B$4:$S$8977,8,FALSE)</f>
        <v>44448</v>
      </c>
      <c r="J407" s="154" t="str">
        <f>VLOOKUP(B407,All!$B$4:$S$8977,9,FALSE)</f>
        <v>Production</v>
      </c>
      <c r="K407" s="154" t="str">
        <f>VLOOKUP(B407,All!$B$4:$S$8977,10,FALSE)</f>
        <v>Line5</v>
      </c>
      <c r="L407" s="698" t="str">
        <f>VLOOKUP(B407,All!$B$4:$S$8977,11,FALSE)</f>
        <v>Sewing operator</v>
      </c>
      <c r="M407" s="570">
        <f>VLOOKUP(B407,All!$B$4:$S$8977,12,FALSE)</f>
        <v>192</v>
      </c>
      <c r="N407" s="18">
        <f>VLOOKUP(B407,All!$B$4:$S$8977,13,FALSE)</f>
        <v>0</v>
      </c>
      <c r="O407" s="18">
        <f>VLOOKUP(B407,All!$B$4:$S$8977,14,FALSE)</f>
        <v>0</v>
      </c>
      <c r="P407" s="18">
        <f>VLOOKUP(B407,All!$B$4:$S$8977,15,FALSE)</f>
        <v>0</v>
      </c>
      <c r="Q407" s="18">
        <f>VLOOKUP(B407,All!$B$4:$S$8977,16,FALSE)</f>
        <v>0</v>
      </c>
      <c r="R407" s="18">
        <v>7</v>
      </c>
      <c r="S407" s="18">
        <v>10</v>
      </c>
      <c r="T407" s="550">
        <f t="shared" si="74"/>
        <v>209</v>
      </c>
      <c r="U407" s="568"/>
      <c r="V407" s="3"/>
      <c r="W407" s="3"/>
      <c r="X407" s="3"/>
      <c r="Y407" s="562"/>
      <c r="Z407" s="565">
        <f t="shared" si="78"/>
        <v>194</v>
      </c>
      <c r="AA407" s="18">
        <f t="shared" si="79"/>
        <v>0</v>
      </c>
      <c r="AB407" s="18">
        <f t="shared" si="80"/>
        <v>0</v>
      </c>
      <c r="AC407" s="18">
        <f t="shared" si="81"/>
        <v>0</v>
      </c>
      <c r="AD407" s="18">
        <f t="shared" si="82"/>
        <v>0</v>
      </c>
      <c r="AE407" s="18">
        <f t="shared" si="75"/>
        <v>7</v>
      </c>
      <c r="AF407" s="18">
        <f t="shared" si="76"/>
        <v>10</v>
      </c>
      <c r="AG407" s="550">
        <f t="shared" si="77"/>
        <v>211</v>
      </c>
      <c r="AH407" s="42">
        <v>2</v>
      </c>
      <c r="AI407" s="42">
        <v>0</v>
      </c>
      <c r="AJ407" s="42">
        <v>0</v>
      </c>
      <c r="AK407" s="42">
        <v>0</v>
      </c>
      <c r="AL407" s="42">
        <v>0</v>
      </c>
      <c r="AM407" s="42">
        <v>0</v>
      </c>
      <c r="AN407" s="42">
        <v>0</v>
      </c>
      <c r="AO407" s="42">
        <v>2</v>
      </c>
    </row>
    <row r="408" spans="1:41" ht="24" customHeight="1">
      <c r="A408" s="11">
        <f t="shared" si="73"/>
        <v>405</v>
      </c>
      <c r="B408" s="390">
        <v>5115</v>
      </c>
      <c r="C408" s="478" t="str">
        <f>VLOOKUP(B408,All!$B$4:$S$8977,2,FALSE)</f>
        <v>ពេជ្រ</v>
      </c>
      <c r="D408" s="479" t="str">
        <f>VLOOKUP(B408,All!$B$4:$S$89977,3,FALSE)</f>
        <v>ឡៃហេង</v>
      </c>
      <c r="E408" s="478" t="str">
        <f>VLOOKUP(B408,All!$B$4:$S$8977,4,FALSE)</f>
        <v>PECH</v>
      </c>
      <c r="F408" s="479" t="str">
        <f>VLOOKUP(B408,All!$B$4:$S$8977,5,FALSE)</f>
        <v>LAYHENG</v>
      </c>
      <c r="G408" s="479" t="str">
        <f>VLOOKUP(B408,All!$B$4:$S$8977,6,FALSE)</f>
        <v>F</v>
      </c>
      <c r="H408" s="385">
        <f>VLOOKUP(B408,All!$B$4:$S$8977,7,FALSE)</f>
        <v>29465</v>
      </c>
      <c r="I408" s="154">
        <f>VLOOKUP(B408,All!$B$4:$S$8977,8,FALSE)</f>
        <v>44448</v>
      </c>
      <c r="J408" s="154" t="str">
        <f>VLOOKUP(B408,All!$B$4:$S$8977,9,FALSE)</f>
        <v>Production</v>
      </c>
      <c r="K408" s="154" t="str">
        <f>VLOOKUP(B408,All!$B$4:$S$8977,10,FALSE)</f>
        <v>Line 7</v>
      </c>
      <c r="L408" s="698" t="str">
        <f>VLOOKUP(B408,All!$B$4:$S$8977,11,FALSE)</f>
        <v>Sewing operator</v>
      </c>
      <c r="M408" s="570">
        <f>VLOOKUP(B408,All!$B$4:$S$8977,12,FALSE)</f>
        <v>192</v>
      </c>
      <c r="N408" s="18">
        <f>VLOOKUP(B408,All!$B$4:$S$8977,13,FALSE)</f>
        <v>0</v>
      </c>
      <c r="O408" s="18">
        <f>VLOOKUP(B408,All!$B$4:$S$8977,14,FALSE)</f>
        <v>0</v>
      </c>
      <c r="P408" s="18">
        <f>VLOOKUP(B408,All!$B$4:$S$8977,15,FALSE)</f>
        <v>0</v>
      </c>
      <c r="Q408" s="18">
        <f>VLOOKUP(B408,All!$B$4:$S$8977,16,FALSE)</f>
        <v>0</v>
      </c>
      <c r="R408" s="18">
        <v>7</v>
      </c>
      <c r="S408" s="18">
        <v>10</v>
      </c>
      <c r="T408" s="550">
        <f t="shared" si="74"/>
        <v>209</v>
      </c>
      <c r="U408" s="568"/>
      <c r="V408" s="3"/>
      <c r="W408" s="3"/>
      <c r="X408" s="3"/>
      <c r="Y408" s="562"/>
      <c r="Z408" s="565">
        <f t="shared" si="78"/>
        <v>194</v>
      </c>
      <c r="AA408" s="18">
        <f t="shared" si="79"/>
        <v>0</v>
      </c>
      <c r="AB408" s="18">
        <f t="shared" si="80"/>
        <v>0</v>
      </c>
      <c r="AC408" s="18">
        <f t="shared" si="81"/>
        <v>0</v>
      </c>
      <c r="AD408" s="18">
        <f t="shared" si="82"/>
        <v>0</v>
      </c>
      <c r="AE408" s="18">
        <f t="shared" si="75"/>
        <v>7</v>
      </c>
      <c r="AF408" s="18">
        <f t="shared" si="76"/>
        <v>10</v>
      </c>
      <c r="AG408" s="550">
        <f t="shared" si="77"/>
        <v>211</v>
      </c>
      <c r="AH408" s="42">
        <v>2</v>
      </c>
      <c r="AI408" s="42">
        <v>0</v>
      </c>
      <c r="AJ408" s="42">
        <v>0</v>
      </c>
      <c r="AK408" s="42">
        <v>0</v>
      </c>
      <c r="AL408" s="42">
        <v>0</v>
      </c>
      <c r="AM408" s="42">
        <v>0</v>
      </c>
      <c r="AN408" s="42">
        <v>0</v>
      </c>
      <c r="AO408" s="42">
        <v>2</v>
      </c>
    </row>
    <row r="409" spans="1:41" ht="24" customHeight="1">
      <c r="A409" s="11">
        <f t="shared" si="73"/>
        <v>406</v>
      </c>
      <c r="B409" s="390">
        <v>5120</v>
      </c>
      <c r="C409" s="478" t="str">
        <f>VLOOKUP(B409,All!$B$4:$S$8977,2,FALSE)</f>
        <v>យ៉ុង</v>
      </c>
      <c r="D409" s="479" t="str">
        <f>VLOOKUP(B409,All!$B$4:$S$89977,3,FALSE)</f>
        <v>ស្រីពៅ</v>
      </c>
      <c r="E409" s="478" t="str">
        <f>VLOOKUP(B409,All!$B$4:$S$8977,4,FALSE)</f>
        <v>YON</v>
      </c>
      <c r="F409" s="479" t="str">
        <f>VLOOKUP(B409,All!$B$4:$S$8977,5,FALSE)</f>
        <v>SREYPOV</v>
      </c>
      <c r="G409" s="479" t="str">
        <f>VLOOKUP(B409,All!$B$4:$S$8977,6,FALSE)</f>
        <v>F</v>
      </c>
      <c r="H409" s="385">
        <f>VLOOKUP(B409,All!$B$4:$S$8977,7,FALSE)</f>
        <v>34100</v>
      </c>
      <c r="I409" s="154">
        <f>VLOOKUP(B409,All!$B$4:$S$8977,8,FALSE)</f>
        <v>44450</v>
      </c>
      <c r="J409" s="154" t="str">
        <f>VLOOKUP(B409,All!$B$4:$S$8977,9,FALSE)</f>
        <v>Production</v>
      </c>
      <c r="K409" s="154" t="str">
        <f>VLOOKUP(B409,All!$B$4:$S$8977,10,FALSE)</f>
        <v>Line 7</v>
      </c>
      <c r="L409" s="698" t="str">
        <f>VLOOKUP(B409,All!$B$4:$S$8977,11,FALSE)</f>
        <v>Sewing operator</v>
      </c>
      <c r="M409" s="570">
        <f>VLOOKUP(B409,All!$B$4:$S$8977,12,FALSE)</f>
        <v>192</v>
      </c>
      <c r="N409" s="18">
        <f>VLOOKUP(B409,All!$B$4:$S$8977,13,FALSE)</f>
        <v>0</v>
      </c>
      <c r="O409" s="18">
        <f>VLOOKUP(B409,All!$B$4:$S$8977,14,FALSE)</f>
        <v>0</v>
      </c>
      <c r="P409" s="18">
        <f>VLOOKUP(B409,All!$B$4:$S$8977,15,FALSE)</f>
        <v>0</v>
      </c>
      <c r="Q409" s="18">
        <f>VLOOKUP(B409,All!$B$4:$S$8977,16,FALSE)</f>
        <v>0</v>
      </c>
      <c r="R409" s="18">
        <v>7</v>
      </c>
      <c r="S409" s="18">
        <v>10</v>
      </c>
      <c r="T409" s="550">
        <f t="shared" si="74"/>
        <v>209</v>
      </c>
      <c r="U409" s="568"/>
      <c r="V409" s="3"/>
      <c r="W409" s="3"/>
      <c r="X409" s="3"/>
      <c r="Y409" s="562"/>
      <c r="Z409" s="565">
        <f t="shared" si="78"/>
        <v>194</v>
      </c>
      <c r="AA409" s="18">
        <f t="shared" si="79"/>
        <v>0</v>
      </c>
      <c r="AB409" s="18">
        <f t="shared" si="80"/>
        <v>0</v>
      </c>
      <c r="AC409" s="18">
        <f t="shared" si="81"/>
        <v>0</v>
      </c>
      <c r="AD409" s="18">
        <f t="shared" si="82"/>
        <v>0</v>
      </c>
      <c r="AE409" s="18">
        <f t="shared" si="75"/>
        <v>7</v>
      </c>
      <c r="AF409" s="18">
        <f t="shared" si="76"/>
        <v>10</v>
      </c>
      <c r="AG409" s="550">
        <f t="shared" si="77"/>
        <v>211</v>
      </c>
      <c r="AH409" s="42">
        <v>2</v>
      </c>
      <c r="AI409" s="42">
        <v>0</v>
      </c>
      <c r="AJ409" s="42">
        <v>0</v>
      </c>
      <c r="AK409" s="42">
        <v>0</v>
      </c>
      <c r="AL409" s="42">
        <v>0</v>
      </c>
      <c r="AM409" s="42">
        <v>0</v>
      </c>
      <c r="AN409" s="42">
        <v>0</v>
      </c>
      <c r="AO409" s="42">
        <v>2</v>
      </c>
    </row>
    <row r="410" spans="1:41" ht="24" customHeight="1">
      <c r="A410" s="11">
        <f t="shared" si="73"/>
        <v>407</v>
      </c>
      <c r="B410" s="390">
        <v>5123</v>
      </c>
      <c r="C410" s="478" t="str">
        <f>VLOOKUP(B410,All!$B$4:$S$8977,2,FALSE)</f>
        <v>ជុន</v>
      </c>
      <c r="D410" s="479" t="str">
        <f>VLOOKUP(B410,All!$B$4:$S$89977,3,FALSE)</f>
        <v>ស្រីវីន</v>
      </c>
      <c r="E410" s="478" t="str">
        <f>VLOOKUP(B410,All!$B$4:$S$8977,4,FALSE)</f>
        <v>CHUN</v>
      </c>
      <c r="F410" s="479" t="str">
        <f>VLOOKUP(B410,All!$B$4:$S$8977,5,FALSE)</f>
        <v>SREYVIN</v>
      </c>
      <c r="G410" s="479" t="str">
        <f>VLOOKUP(B410,All!$B$4:$S$8977,6,FALSE)</f>
        <v>F</v>
      </c>
      <c r="H410" s="385">
        <f>VLOOKUP(B410,All!$B$4:$S$8977,7,FALSE)</f>
        <v>33970</v>
      </c>
      <c r="I410" s="154">
        <f>VLOOKUP(B410,All!$B$4:$S$8977,8,FALSE)</f>
        <v>44450</v>
      </c>
      <c r="J410" s="154" t="str">
        <f>VLOOKUP(B410,All!$B$4:$S$8977,9,FALSE)</f>
        <v>Production</v>
      </c>
      <c r="K410" s="154" t="str">
        <f>VLOOKUP(B410,All!$B$4:$S$8977,10,FALSE)</f>
        <v>Line19</v>
      </c>
      <c r="L410" s="698" t="str">
        <f>VLOOKUP(B410,All!$B$4:$S$8977,11,FALSE)</f>
        <v>Sewing operator</v>
      </c>
      <c r="M410" s="570">
        <f>VLOOKUP(B410,All!$B$4:$S$8977,12,FALSE)</f>
        <v>192</v>
      </c>
      <c r="N410" s="18">
        <f>VLOOKUP(B410,All!$B$4:$S$8977,13,FALSE)</f>
        <v>0</v>
      </c>
      <c r="O410" s="18">
        <f>VLOOKUP(B410,All!$B$4:$S$8977,14,FALSE)</f>
        <v>0</v>
      </c>
      <c r="P410" s="18">
        <f>VLOOKUP(B410,All!$B$4:$S$8977,15,FALSE)</f>
        <v>0</v>
      </c>
      <c r="Q410" s="18">
        <f>VLOOKUP(B410,All!$B$4:$S$8977,16,FALSE)</f>
        <v>0</v>
      </c>
      <c r="R410" s="18">
        <v>7</v>
      </c>
      <c r="S410" s="18">
        <v>10</v>
      </c>
      <c r="T410" s="550">
        <f t="shared" si="74"/>
        <v>209</v>
      </c>
      <c r="U410" s="568"/>
      <c r="V410" s="3"/>
      <c r="W410" s="3"/>
      <c r="X410" s="3"/>
      <c r="Y410" s="562"/>
      <c r="Z410" s="565">
        <f t="shared" si="78"/>
        <v>194</v>
      </c>
      <c r="AA410" s="18">
        <f t="shared" si="79"/>
        <v>0</v>
      </c>
      <c r="AB410" s="18">
        <f t="shared" si="80"/>
        <v>0</v>
      </c>
      <c r="AC410" s="18">
        <f t="shared" si="81"/>
        <v>0</v>
      </c>
      <c r="AD410" s="18">
        <f t="shared" si="82"/>
        <v>0</v>
      </c>
      <c r="AE410" s="18">
        <f t="shared" si="75"/>
        <v>7</v>
      </c>
      <c r="AF410" s="18">
        <f t="shared" si="76"/>
        <v>10</v>
      </c>
      <c r="AG410" s="550">
        <f t="shared" si="77"/>
        <v>211</v>
      </c>
      <c r="AH410" s="42">
        <v>2</v>
      </c>
      <c r="AI410" s="42">
        <v>0</v>
      </c>
      <c r="AJ410" s="42">
        <v>0</v>
      </c>
      <c r="AK410" s="42">
        <v>0</v>
      </c>
      <c r="AL410" s="42">
        <v>0</v>
      </c>
      <c r="AM410" s="42">
        <v>0</v>
      </c>
      <c r="AN410" s="42">
        <v>0</v>
      </c>
      <c r="AO410" s="42">
        <v>2</v>
      </c>
    </row>
    <row r="411" spans="1:41" ht="24" customHeight="1">
      <c r="A411" s="11">
        <f t="shared" si="73"/>
        <v>408</v>
      </c>
      <c r="B411" s="390">
        <v>5124</v>
      </c>
      <c r="C411" s="478" t="str">
        <f>VLOOKUP(B411,All!$B$4:$S$8977,2,FALSE)</f>
        <v>នាង</v>
      </c>
      <c r="D411" s="479" t="str">
        <f>VLOOKUP(B411,All!$B$4:$S$89977,3,FALSE)</f>
        <v>សាលីន</v>
      </c>
      <c r="E411" s="478" t="str">
        <f>VLOOKUP(B411,All!$B$4:$S$8977,4,FALSE)</f>
        <v>NEANG</v>
      </c>
      <c r="F411" s="479" t="str">
        <f>VLOOKUP(B411,All!$B$4:$S$8977,5,FALSE)</f>
        <v>SALIN</v>
      </c>
      <c r="G411" s="479" t="str">
        <f>VLOOKUP(B411,All!$B$4:$S$8977,6,FALSE)</f>
        <v>F</v>
      </c>
      <c r="H411" s="385">
        <f>VLOOKUP(B411,All!$B$4:$S$8977,7,FALSE)</f>
        <v>28187</v>
      </c>
      <c r="I411" s="154">
        <f>VLOOKUP(B411,All!$B$4:$S$8977,8,FALSE)</f>
        <v>44450</v>
      </c>
      <c r="J411" s="154" t="str">
        <f>VLOOKUP(B411,All!$B$4:$S$8977,9,FALSE)</f>
        <v>Production</v>
      </c>
      <c r="K411" s="154" t="str">
        <f>VLOOKUP(B411,All!$B$4:$S$8977,10,FALSE)</f>
        <v>Line 7</v>
      </c>
      <c r="L411" s="698" t="str">
        <f>VLOOKUP(B411,All!$B$4:$S$8977,11,FALSE)</f>
        <v>Sewing operator</v>
      </c>
      <c r="M411" s="570">
        <f>VLOOKUP(B411,All!$B$4:$S$8977,12,FALSE)</f>
        <v>192</v>
      </c>
      <c r="N411" s="18">
        <f>VLOOKUP(B411,All!$B$4:$S$8977,13,FALSE)</f>
        <v>0</v>
      </c>
      <c r="O411" s="18">
        <f>VLOOKUP(B411,All!$B$4:$S$8977,14,FALSE)</f>
        <v>0</v>
      </c>
      <c r="P411" s="18">
        <f>VLOOKUP(B411,All!$B$4:$S$8977,15,FALSE)</f>
        <v>0</v>
      </c>
      <c r="Q411" s="18">
        <f>VLOOKUP(B411,All!$B$4:$S$8977,16,FALSE)</f>
        <v>0</v>
      </c>
      <c r="R411" s="18">
        <v>7</v>
      </c>
      <c r="S411" s="18">
        <v>10</v>
      </c>
      <c r="T411" s="550">
        <f t="shared" si="74"/>
        <v>209</v>
      </c>
      <c r="U411" s="568"/>
      <c r="V411" s="3"/>
      <c r="W411" s="3"/>
      <c r="X411" s="3"/>
      <c r="Y411" s="562"/>
      <c r="Z411" s="565">
        <f t="shared" si="78"/>
        <v>194</v>
      </c>
      <c r="AA411" s="18">
        <f t="shared" si="79"/>
        <v>0</v>
      </c>
      <c r="AB411" s="18">
        <f t="shared" si="80"/>
        <v>0</v>
      </c>
      <c r="AC411" s="18">
        <f t="shared" si="81"/>
        <v>0</v>
      </c>
      <c r="AD411" s="18">
        <f t="shared" si="82"/>
        <v>0</v>
      </c>
      <c r="AE411" s="18">
        <f t="shared" si="75"/>
        <v>7</v>
      </c>
      <c r="AF411" s="18">
        <f t="shared" si="76"/>
        <v>10</v>
      </c>
      <c r="AG411" s="550">
        <f t="shared" si="77"/>
        <v>211</v>
      </c>
      <c r="AH411" s="42">
        <v>2</v>
      </c>
      <c r="AI411" s="42">
        <v>0</v>
      </c>
      <c r="AJ411" s="42">
        <v>0</v>
      </c>
      <c r="AK411" s="42">
        <v>0</v>
      </c>
      <c r="AL411" s="42">
        <v>0</v>
      </c>
      <c r="AM411" s="42">
        <v>0</v>
      </c>
      <c r="AN411" s="42">
        <v>0</v>
      </c>
      <c r="AO411" s="42">
        <v>2</v>
      </c>
    </row>
    <row r="412" spans="1:41" ht="24" customHeight="1">
      <c r="A412" s="11">
        <f t="shared" si="73"/>
        <v>409</v>
      </c>
      <c r="B412" s="390">
        <v>5126</v>
      </c>
      <c r="C412" s="478" t="str">
        <f>VLOOKUP(B412,All!$B$4:$S$8977,2,FALSE)</f>
        <v>អាន</v>
      </c>
      <c r="D412" s="479" t="str">
        <f>VLOOKUP(B412,All!$B$4:$S$89977,3,FALSE)</f>
        <v>ចិន្តា</v>
      </c>
      <c r="E412" s="478" t="str">
        <f>VLOOKUP(B412,All!$B$4:$S$8977,4,FALSE)</f>
        <v>AN</v>
      </c>
      <c r="F412" s="479" t="str">
        <f>VLOOKUP(B412,All!$B$4:$S$8977,5,FALSE)</f>
        <v>CHINDA</v>
      </c>
      <c r="G412" s="479" t="str">
        <f>VLOOKUP(B412,All!$B$4:$S$8977,6,FALSE)</f>
        <v>F</v>
      </c>
      <c r="H412" s="385">
        <f>VLOOKUP(B412,All!$B$4:$S$8977,7,FALSE)</f>
        <v>32924</v>
      </c>
      <c r="I412" s="154">
        <f>VLOOKUP(B412,All!$B$4:$S$8977,8,FALSE)</f>
        <v>44454</v>
      </c>
      <c r="J412" s="154" t="str">
        <f>VLOOKUP(B412,All!$B$4:$S$8977,9,FALSE)</f>
        <v>Production</v>
      </c>
      <c r="K412" s="154" t="str">
        <f>VLOOKUP(B412,All!$B$4:$S$8977,10,FALSE)</f>
        <v>Line 7</v>
      </c>
      <c r="L412" s="698" t="str">
        <f>VLOOKUP(B412,All!$B$4:$S$8977,11,FALSE)</f>
        <v>Sewing operator</v>
      </c>
      <c r="M412" s="570">
        <f>VLOOKUP(B412,All!$B$4:$S$8977,12,FALSE)</f>
        <v>192</v>
      </c>
      <c r="N412" s="18">
        <f>VLOOKUP(B412,All!$B$4:$S$8977,13,FALSE)</f>
        <v>0</v>
      </c>
      <c r="O412" s="18">
        <f>VLOOKUP(B412,All!$B$4:$S$8977,14,FALSE)</f>
        <v>0</v>
      </c>
      <c r="P412" s="18">
        <f>VLOOKUP(B412,All!$B$4:$S$8977,15,FALSE)</f>
        <v>0</v>
      </c>
      <c r="Q412" s="18">
        <f>VLOOKUP(B412,All!$B$4:$S$8977,16,FALSE)</f>
        <v>0</v>
      </c>
      <c r="R412" s="18">
        <v>7</v>
      </c>
      <c r="S412" s="18">
        <v>10</v>
      </c>
      <c r="T412" s="550">
        <f t="shared" si="74"/>
        <v>209</v>
      </c>
      <c r="U412" s="568"/>
      <c r="V412" s="3"/>
      <c r="W412" s="3"/>
      <c r="X412" s="3"/>
      <c r="Y412" s="562"/>
      <c r="Z412" s="565">
        <f t="shared" si="78"/>
        <v>194</v>
      </c>
      <c r="AA412" s="18">
        <f t="shared" si="79"/>
        <v>0</v>
      </c>
      <c r="AB412" s="18">
        <f t="shared" si="80"/>
        <v>0</v>
      </c>
      <c r="AC412" s="18">
        <f t="shared" si="81"/>
        <v>0</v>
      </c>
      <c r="AD412" s="18">
        <f t="shared" si="82"/>
        <v>0</v>
      </c>
      <c r="AE412" s="18">
        <f t="shared" si="75"/>
        <v>7</v>
      </c>
      <c r="AF412" s="18">
        <f t="shared" si="76"/>
        <v>10</v>
      </c>
      <c r="AG412" s="550">
        <f t="shared" si="77"/>
        <v>211</v>
      </c>
      <c r="AH412" s="42">
        <v>2</v>
      </c>
      <c r="AI412" s="42">
        <v>0</v>
      </c>
      <c r="AJ412" s="42">
        <v>0</v>
      </c>
      <c r="AK412" s="42">
        <v>0</v>
      </c>
      <c r="AL412" s="42">
        <v>0</v>
      </c>
      <c r="AM412" s="42">
        <v>0</v>
      </c>
      <c r="AN412" s="42">
        <v>0</v>
      </c>
      <c r="AO412" s="42">
        <v>2</v>
      </c>
    </row>
    <row r="413" spans="1:41" ht="24" customHeight="1">
      <c r="A413" s="11">
        <f t="shared" si="73"/>
        <v>410</v>
      </c>
      <c r="B413" s="390">
        <v>5127</v>
      </c>
      <c r="C413" s="478" t="str">
        <f>VLOOKUP(B413,All!$B$4:$S$8977,2,FALSE)</f>
        <v>អូន</v>
      </c>
      <c r="D413" s="479" t="str">
        <f>VLOOKUP(B413,All!$B$4:$S$89977,3,FALSE)</f>
        <v>ស្រីទូច</v>
      </c>
      <c r="E413" s="478" t="str">
        <f>VLOOKUP(B413,All!$B$4:$S$8977,4,FALSE)</f>
        <v>AUN</v>
      </c>
      <c r="F413" s="479" t="str">
        <f>VLOOKUP(B413,All!$B$4:$S$8977,5,FALSE)</f>
        <v>SREYTOUCH</v>
      </c>
      <c r="G413" s="479" t="str">
        <f>VLOOKUP(B413,All!$B$4:$S$8977,6,FALSE)</f>
        <v>F</v>
      </c>
      <c r="H413" s="385">
        <f>VLOOKUP(B413,All!$B$4:$S$8977,7,FALSE)</f>
        <v>34613</v>
      </c>
      <c r="I413" s="154">
        <f>VLOOKUP(B413,All!$B$4:$S$8977,8,FALSE)</f>
        <v>44453</v>
      </c>
      <c r="J413" s="154" t="str">
        <f>VLOOKUP(B413,All!$B$4:$S$8977,9,FALSE)</f>
        <v>Production</v>
      </c>
      <c r="K413" s="154" t="str">
        <f>VLOOKUP(B413,All!$B$4:$S$8977,10,FALSE)</f>
        <v>Line3</v>
      </c>
      <c r="L413" s="698" t="str">
        <f>VLOOKUP(B413,All!$B$4:$S$8977,11,FALSE)</f>
        <v>Sewing operator</v>
      </c>
      <c r="M413" s="570">
        <f>VLOOKUP(B413,All!$B$4:$S$8977,12,FALSE)</f>
        <v>192</v>
      </c>
      <c r="N413" s="18">
        <f>VLOOKUP(B413,All!$B$4:$S$8977,13,FALSE)</f>
        <v>0</v>
      </c>
      <c r="O413" s="18">
        <f>VLOOKUP(B413,All!$B$4:$S$8977,14,FALSE)</f>
        <v>0</v>
      </c>
      <c r="P413" s="18">
        <f>VLOOKUP(B413,All!$B$4:$S$8977,15,FALSE)</f>
        <v>0</v>
      </c>
      <c r="Q413" s="18">
        <f>VLOOKUP(B413,All!$B$4:$S$8977,16,FALSE)</f>
        <v>0</v>
      </c>
      <c r="R413" s="18">
        <v>7</v>
      </c>
      <c r="S413" s="18">
        <v>10</v>
      </c>
      <c r="T413" s="550">
        <f t="shared" si="74"/>
        <v>209</v>
      </c>
      <c r="U413" s="568"/>
      <c r="V413" s="3"/>
      <c r="W413" s="3"/>
      <c r="X413" s="3"/>
      <c r="Y413" s="562"/>
      <c r="Z413" s="565">
        <f t="shared" si="78"/>
        <v>194</v>
      </c>
      <c r="AA413" s="18">
        <f t="shared" si="79"/>
        <v>0</v>
      </c>
      <c r="AB413" s="18">
        <f t="shared" si="80"/>
        <v>0</v>
      </c>
      <c r="AC413" s="18">
        <f t="shared" si="81"/>
        <v>0</v>
      </c>
      <c r="AD413" s="18">
        <f t="shared" si="82"/>
        <v>0</v>
      </c>
      <c r="AE413" s="18">
        <f t="shared" si="75"/>
        <v>7</v>
      </c>
      <c r="AF413" s="18">
        <f t="shared" si="76"/>
        <v>10</v>
      </c>
      <c r="AG413" s="550">
        <f t="shared" si="77"/>
        <v>211</v>
      </c>
      <c r="AH413" s="42">
        <v>2</v>
      </c>
      <c r="AI413" s="42">
        <v>0</v>
      </c>
      <c r="AJ413" s="42">
        <v>0</v>
      </c>
      <c r="AK413" s="42">
        <v>0</v>
      </c>
      <c r="AL413" s="42">
        <v>0</v>
      </c>
      <c r="AM413" s="42">
        <v>0</v>
      </c>
      <c r="AN413" s="42">
        <v>0</v>
      </c>
      <c r="AO413" s="42">
        <v>2</v>
      </c>
    </row>
    <row r="414" spans="1:41" ht="24" customHeight="1">
      <c r="A414" s="11">
        <f t="shared" si="73"/>
        <v>411</v>
      </c>
      <c r="B414" s="390">
        <v>5128</v>
      </c>
      <c r="C414" s="478" t="str">
        <f>VLOOKUP(B414,All!$B$4:$S$8977,2,FALSE)</f>
        <v>ស</v>
      </c>
      <c r="D414" s="479" t="str">
        <f>VLOOKUP(B414,All!$B$4:$S$89977,3,FALSE)</f>
        <v>ស្រីនួន</v>
      </c>
      <c r="E414" s="478" t="str">
        <f>VLOOKUP(B414,All!$B$4:$S$8977,4,FALSE)</f>
        <v>SAR</v>
      </c>
      <c r="F414" s="479" t="str">
        <f>VLOOKUP(B414,All!$B$4:$S$8977,5,FALSE)</f>
        <v>SREYNOUN</v>
      </c>
      <c r="G414" s="479" t="str">
        <f>VLOOKUP(B414,All!$B$4:$S$8977,6,FALSE)</f>
        <v>F</v>
      </c>
      <c r="H414" s="385">
        <f>VLOOKUP(B414,All!$B$4:$S$8977,7,FALSE)</f>
        <v>32615</v>
      </c>
      <c r="I414" s="154">
        <f>VLOOKUP(B414,All!$B$4:$S$8977,8,FALSE)</f>
        <v>44453</v>
      </c>
      <c r="J414" s="154" t="str">
        <f>VLOOKUP(B414,All!$B$4:$S$8977,9,FALSE)</f>
        <v>Production</v>
      </c>
      <c r="K414" s="154" t="str">
        <f>VLOOKUP(B414,All!$B$4:$S$8977,10,FALSE)</f>
        <v>Line3</v>
      </c>
      <c r="L414" s="698" t="str">
        <f>VLOOKUP(B414,All!$B$4:$S$8977,11,FALSE)</f>
        <v>Sewing operator</v>
      </c>
      <c r="M414" s="570">
        <f>VLOOKUP(B414,All!$B$4:$S$8977,12,FALSE)</f>
        <v>192</v>
      </c>
      <c r="N414" s="18">
        <f>VLOOKUP(B414,All!$B$4:$S$8977,13,FALSE)</f>
        <v>0</v>
      </c>
      <c r="O414" s="18">
        <f>VLOOKUP(B414,All!$B$4:$S$8977,14,FALSE)</f>
        <v>0</v>
      </c>
      <c r="P414" s="18">
        <f>VLOOKUP(B414,All!$B$4:$S$8977,15,FALSE)</f>
        <v>0</v>
      </c>
      <c r="Q414" s="18">
        <f>VLOOKUP(B414,All!$B$4:$S$8977,16,FALSE)</f>
        <v>0</v>
      </c>
      <c r="R414" s="18">
        <v>7</v>
      </c>
      <c r="S414" s="18">
        <v>10</v>
      </c>
      <c r="T414" s="550">
        <f t="shared" si="74"/>
        <v>209</v>
      </c>
      <c r="U414" s="568"/>
      <c r="V414" s="3"/>
      <c r="W414" s="3"/>
      <c r="X414" s="3"/>
      <c r="Y414" s="562"/>
      <c r="Z414" s="565">
        <f t="shared" si="78"/>
        <v>194</v>
      </c>
      <c r="AA414" s="18">
        <f t="shared" si="79"/>
        <v>0</v>
      </c>
      <c r="AB414" s="18">
        <f t="shared" si="80"/>
        <v>0</v>
      </c>
      <c r="AC414" s="18">
        <f t="shared" si="81"/>
        <v>0</v>
      </c>
      <c r="AD414" s="18">
        <f t="shared" si="82"/>
        <v>0</v>
      </c>
      <c r="AE414" s="18">
        <f t="shared" si="75"/>
        <v>7</v>
      </c>
      <c r="AF414" s="18">
        <f t="shared" si="76"/>
        <v>10</v>
      </c>
      <c r="AG414" s="550">
        <f t="shared" si="77"/>
        <v>211</v>
      </c>
      <c r="AH414" s="42">
        <v>2</v>
      </c>
      <c r="AI414" s="42">
        <v>0</v>
      </c>
      <c r="AJ414" s="42">
        <v>0</v>
      </c>
      <c r="AK414" s="42">
        <v>0</v>
      </c>
      <c r="AL414" s="42">
        <v>0</v>
      </c>
      <c r="AM414" s="42">
        <v>0</v>
      </c>
      <c r="AN414" s="42">
        <v>0</v>
      </c>
      <c r="AO414" s="42">
        <v>2</v>
      </c>
    </row>
    <row r="415" spans="1:41" ht="24" customHeight="1">
      <c r="A415" s="11">
        <f t="shared" si="73"/>
        <v>412</v>
      </c>
      <c r="B415" s="390">
        <v>5130</v>
      </c>
      <c r="C415" s="478" t="str">
        <f>VLOOKUP(B415,All!$B$4:$S$8977,2,FALSE)</f>
        <v>ម៉ាក់</v>
      </c>
      <c r="D415" s="479" t="str">
        <f>VLOOKUP(B415,All!$B$4:$S$89977,3,FALSE)</f>
        <v>ស៊ានម៉ី</v>
      </c>
      <c r="E415" s="478" t="str">
        <f>VLOOKUP(B415,All!$B$4:$S$8977,4,FALSE)</f>
        <v>MANN</v>
      </c>
      <c r="F415" s="479" t="str">
        <f>VLOOKUP(B415,All!$B$4:$S$8977,5,FALSE)</f>
        <v>SEANGMEY</v>
      </c>
      <c r="G415" s="479" t="str">
        <f>VLOOKUP(B415,All!$B$4:$S$8977,6,FALSE)</f>
        <v>F</v>
      </c>
      <c r="H415" s="385">
        <f>VLOOKUP(B415,All!$B$4:$S$8977,7,FALSE)</f>
        <v>35053</v>
      </c>
      <c r="I415" s="154">
        <f>VLOOKUP(B415,All!$B$4:$S$8977,8,FALSE)</f>
        <v>44453</v>
      </c>
      <c r="J415" s="154" t="str">
        <f>VLOOKUP(B415,All!$B$4:$S$8977,9,FALSE)</f>
        <v>Production</v>
      </c>
      <c r="K415" s="154" t="str">
        <f>VLOOKUP(B415,All!$B$4:$S$8977,10,FALSE)</f>
        <v>Line 7</v>
      </c>
      <c r="L415" s="698" t="str">
        <f>VLOOKUP(B415,All!$B$4:$S$8977,11,FALSE)</f>
        <v>Sewing operator</v>
      </c>
      <c r="M415" s="570">
        <f>VLOOKUP(B415,All!$B$4:$S$8977,12,FALSE)</f>
        <v>192</v>
      </c>
      <c r="N415" s="18">
        <f>VLOOKUP(B415,All!$B$4:$S$8977,13,FALSE)</f>
        <v>0</v>
      </c>
      <c r="O415" s="18">
        <f>VLOOKUP(B415,All!$B$4:$S$8977,14,FALSE)</f>
        <v>0</v>
      </c>
      <c r="P415" s="18">
        <f>VLOOKUP(B415,All!$B$4:$S$8977,15,FALSE)</f>
        <v>0</v>
      </c>
      <c r="Q415" s="18">
        <f>VLOOKUP(B415,All!$B$4:$S$8977,16,FALSE)</f>
        <v>0</v>
      </c>
      <c r="R415" s="18">
        <v>7</v>
      </c>
      <c r="S415" s="18">
        <v>10</v>
      </c>
      <c r="T415" s="550">
        <f t="shared" si="74"/>
        <v>209</v>
      </c>
      <c r="U415" s="568"/>
      <c r="V415" s="3"/>
      <c r="W415" s="3"/>
      <c r="X415" s="3"/>
      <c r="Y415" s="562"/>
      <c r="Z415" s="565">
        <f t="shared" si="78"/>
        <v>194</v>
      </c>
      <c r="AA415" s="18">
        <f t="shared" si="79"/>
        <v>0</v>
      </c>
      <c r="AB415" s="18">
        <f t="shared" si="80"/>
        <v>0</v>
      </c>
      <c r="AC415" s="18">
        <f t="shared" si="81"/>
        <v>0</v>
      </c>
      <c r="AD415" s="18">
        <f t="shared" si="82"/>
        <v>0</v>
      </c>
      <c r="AE415" s="18">
        <f t="shared" si="75"/>
        <v>7</v>
      </c>
      <c r="AF415" s="18">
        <f t="shared" si="76"/>
        <v>10</v>
      </c>
      <c r="AG415" s="550">
        <f t="shared" si="77"/>
        <v>211</v>
      </c>
      <c r="AH415" s="42">
        <v>2</v>
      </c>
      <c r="AI415" s="42">
        <v>0</v>
      </c>
      <c r="AJ415" s="42">
        <v>0</v>
      </c>
      <c r="AK415" s="42">
        <v>0</v>
      </c>
      <c r="AL415" s="42">
        <v>0</v>
      </c>
      <c r="AM415" s="42">
        <v>0</v>
      </c>
      <c r="AN415" s="42">
        <v>0</v>
      </c>
      <c r="AO415" s="42">
        <v>2</v>
      </c>
    </row>
    <row r="416" spans="1:41" ht="24" customHeight="1">
      <c r="A416" s="11">
        <f t="shared" si="73"/>
        <v>413</v>
      </c>
      <c r="B416" s="390">
        <v>5131</v>
      </c>
      <c r="C416" s="478" t="str">
        <f>VLOOKUP(B416,All!$B$4:$S$8977,2,FALSE)</f>
        <v>អ៊ិន</v>
      </c>
      <c r="D416" s="479" t="str">
        <f>VLOOKUP(B416,All!$B$4:$S$89977,3,FALSE)</f>
        <v>គឹមស៊ីវ</v>
      </c>
      <c r="E416" s="478" t="str">
        <f>VLOOKUP(B416,All!$B$4:$S$8977,4,FALSE)</f>
        <v>IN</v>
      </c>
      <c r="F416" s="479" t="str">
        <f>VLOOKUP(B416,All!$B$4:$S$8977,5,FALSE)</f>
        <v>KOEMSIV</v>
      </c>
      <c r="G416" s="479" t="str">
        <f>VLOOKUP(B416,All!$B$4:$S$8977,6,FALSE)</f>
        <v>F</v>
      </c>
      <c r="H416" s="385">
        <f>VLOOKUP(B416,All!$B$4:$S$8977,7,FALSE)</f>
        <v>29683</v>
      </c>
      <c r="I416" s="154">
        <f>VLOOKUP(B416,All!$B$4:$S$8977,8,FALSE)</f>
        <v>44453</v>
      </c>
      <c r="J416" s="154" t="str">
        <f>VLOOKUP(B416,All!$B$4:$S$8977,9,FALSE)</f>
        <v>Production</v>
      </c>
      <c r="K416" s="154" t="str">
        <f>VLOOKUP(B416,All!$B$4:$S$8977,10,FALSE)</f>
        <v>Line 7</v>
      </c>
      <c r="L416" s="698" t="str">
        <f>VLOOKUP(B416,All!$B$4:$S$8977,11,FALSE)</f>
        <v>Sewing operator</v>
      </c>
      <c r="M416" s="570">
        <f>VLOOKUP(B416,All!$B$4:$S$8977,12,FALSE)</f>
        <v>192</v>
      </c>
      <c r="N416" s="18">
        <f>VLOOKUP(B416,All!$B$4:$S$8977,13,FALSE)</f>
        <v>0</v>
      </c>
      <c r="O416" s="18">
        <f>VLOOKUP(B416,All!$B$4:$S$8977,14,FALSE)</f>
        <v>0</v>
      </c>
      <c r="P416" s="18">
        <f>VLOOKUP(B416,All!$B$4:$S$8977,15,FALSE)</f>
        <v>0</v>
      </c>
      <c r="Q416" s="18">
        <f>VLOOKUP(B416,All!$B$4:$S$8977,16,FALSE)</f>
        <v>0</v>
      </c>
      <c r="R416" s="18">
        <v>7</v>
      </c>
      <c r="S416" s="18">
        <v>10</v>
      </c>
      <c r="T416" s="550">
        <f t="shared" si="74"/>
        <v>209</v>
      </c>
      <c r="U416" s="568"/>
      <c r="V416" s="3"/>
      <c r="W416" s="3"/>
      <c r="X416" s="3"/>
      <c r="Y416" s="562"/>
      <c r="Z416" s="565">
        <f t="shared" si="78"/>
        <v>194</v>
      </c>
      <c r="AA416" s="18">
        <f t="shared" si="79"/>
        <v>0</v>
      </c>
      <c r="AB416" s="18">
        <f t="shared" si="80"/>
        <v>0</v>
      </c>
      <c r="AC416" s="18">
        <f t="shared" si="81"/>
        <v>0</v>
      </c>
      <c r="AD416" s="18">
        <f t="shared" si="82"/>
        <v>0</v>
      </c>
      <c r="AE416" s="18">
        <f t="shared" si="75"/>
        <v>7</v>
      </c>
      <c r="AF416" s="18">
        <f t="shared" si="76"/>
        <v>10</v>
      </c>
      <c r="AG416" s="550">
        <f t="shared" si="77"/>
        <v>211</v>
      </c>
      <c r="AH416" s="42">
        <v>2</v>
      </c>
      <c r="AI416" s="42">
        <v>0</v>
      </c>
      <c r="AJ416" s="42">
        <v>0</v>
      </c>
      <c r="AK416" s="42">
        <v>0</v>
      </c>
      <c r="AL416" s="42">
        <v>0</v>
      </c>
      <c r="AM416" s="42">
        <v>0</v>
      </c>
      <c r="AN416" s="42">
        <v>0</v>
      </c>
      <c r="AO416" s="42">
        <v>2</v>
      </c>
    </row>
    <row r="417" spans="1:41" ht="24" customHeight="1">
      <c r="A417" s="11">
        <f t="shared" si="73"/>
        <v>414</v>
      </c>
      <c r="B417" s="390">
        <v>5132</v>
      </c>
      <c r="C417" s="478" t="str">
        <f>VLOOKUP(B417,All!$B$4:$S$8977,2,FALSE)</f>
        <v>សំ</v>
      </c>
      <c r="D417" s="479" t="str">
        <f>VLOOKUP(B417,All!$B$4:$S$89977,3,FALSE)</f>
        <v>ដាវ៉ាន់ផារី</v>
      </c>
      <c r="E417" s="478" t="str">
        <f>VLOOKUP(B417,All!$B$4:$S$8977,4,FALSE)</f>
        <v>SAM</v>
      </c>
      <c r="F417" s="479" t="str">
        <f>VLOOKUP(B417,All!$B$4:$S$8977,5,FALSE)</f>
        <v>DAVANTHARY</v>
      </c>
      <c r="G417" s="479" t="str">
        <f>VLOOKUP(B417,All!$B$4:$S$8977,6,FALSE)</f>
        <v>F</v>
      </c>
      <c r="H417" s="385">
        <f>VLOOKUP(B417,All!$B$4:$S$8977,7,FALSE)</f>
        <v>29847</v>
      </c>
      <c r="I417" s="154">
        <f>VLOOKUP(B417,All!$B$4:$S$8977,8,FALSE)</f>
        <v>44453</v>
      </c>
      <c r="J417" s="154" t="str">
        <f>VLOOKUP(B417,All!$B$4:$S$8977,9,FALSE)</f>
        <v>Production</v>
      </c>
      <c r="K417" s="154" t="str">
        <f>VLOOKUP(B417,All!$B$4:$S$8977,10,FALSE)</f>
        <v>Line19</v>
      </c>
      <c r="L417" s="698" t="str">
        <f>VLOOKUP(B417,All!$B$4:$S$8977,11,FALSE)</f>
        <v>Sewing operator</v>
      </c>
      <c r="M417" s="570">
        <f>VLOOKUP(B417,All!$B$4:$S$8977,12,FALSE)</f>
        <v>192</v>
      </c>
      <c r="N417" s="18">
        <f>VLOOKUP(B417,All!$B$4:$S$8977,13,FALSE)</f>
        <v>0</v>
      </c>
      <c r="O417" s="18">
        <f>VLOOKUP(B417,All!$B$4:$S$8977,14,FALSE)</f>
        <v>0</v>
      </c>
      <c r="P417" s="18">
        <f>VLOOKUP(B417,All!$B$4:$S$8977,15,FALSE)</f>
        <v>0</v>
      </c>
      <c r="Q417" s="18">
        <f>VLOOKUP(B417,All!$B$4:$S$8977,16,FALSE)</f>
        <v>0</v>
      </c>
      <c r="R417" s="18">
        <v>7</v>
      </c>
      <c r="S417" s="18">
        <v>10</v>
      </c>
      <c r="T417" s="550">
        <f t="shared" si="74"/>
        <v>209</v>
      </c>
      <c r="U417" s="568"/>
      <c r="V417" s="3"/>
      <c r="W417" s="3"/>
      <c r="X417" s="3"/>
      <c r="Y417" s="562"/>
      <c r="Z417" s="565">
        <f t="shared" si="78"/>
        <v>194</v>
      </c>
      <c r="AA417" s="18">
        <f t="shared" si="79"/>
        <v>0</v>
      </c>
      <c r="AB417" s="18">
        <f t="shared" si="80"/>
        <v>0</v>
      </c>
      <c r="AC417" s="18">
        <f t="shared" si="81"/>
        <v>0</v>
      </c>
      <c r="AD417" s="18">
        <f t="shared" si="82"/>
        <v>0</v>
      </c>
      <c r="AE417" s="18">
        <f t="shared" si="75"/>
        <v>7</v>
      </c>
      <c r="AF417" s="18">
        <f t="shared" si="76"/>
        <v>10</v>
      </c>
      <c r="AG417" s="550">
        <f t="shared" si="77"/>
        <v>211</v>
      </c>
      <c r="AH417" s="42">
        <v>2</v>
      </c>
      <c r="AI417" s="42">
        <v>0</v>
      </c>
      <c r="AJ417" s="42">
        <v>0</v>
      </c>
      <c r="AK417" s="42">
        <v>0</v>
      </c>
      <c r="AL417" s="42">
        <v>0</v>
      </c>
      <c r="AM417" s="42">
        <v>0</v>
      </c>
      <c r="AN417" s="42">
        <v>0</v>
      </c>
      <c r="AO417" s="42">
        <v>2</v>
      </c>
    </row>
    <row r="418" spans="1:41" ht="24" customHeight="1">
      <c r="A418" s="11">
        <f t="shared" si="73"/>
        <v>415</v>
      </c>
      <c r="B418" s="390">
        <v>5133</v>
      </c>
      <c r="C418" s="478" t="str">
        <f>VLOOKUP(B418,All!$B$4:$S$8977,2,FALSE)</f>
        <v>ឆេង</v>
      </c>
      <c r="D418" s="479" t="str">
        <f>VLOOKUP(B418,All!$B$4:$S$89977,3,FALSE)</f>
        <v>ជ្រៀន</v>
      </c>
      <c r="E418" s="478" t="str">
        <f>VLOOKUP(B418,All!$B$4:$S$8977,4,FALSE)</f>
        <v>CHHENG</v>
      </c>
      <c r="F418" s="479" t="str">
        <f>VLOOKUP(B418,All!$B$4:$S$8977,5,FALSE)</f>
        <v>CHROEUN</v>
      </c>
      <c r="G418" s="479" t="str">
        <f>VLOOKUP(B418,All!$B$4:$S$8977,6,FALSE)</f>
        <v>F</v>
      </c>
      <c r="H418" s="385">
        <f>VLOOKUP(B418,All!$B$4:$S$8977,7,FALSE)</f>
        <v>37532</v>
      </c>
      <c r="I418" s="154">
        <f>VLOOKUP(B418,All!$B$4:$S$8977,8,FALSE)</f>
        <v>44454</v>
      </c>
      <c r="J418" s="154" t="str">
        <f>VLOOKUP(B418,All!$B$4:$S$8977,9,FALSE)</f>
        <v>Production</v>
      </c>
      <c r="K418" s="154" t="str">
        <f>VLOOKUP(B418,All!$B$4:$S$8977,10,FALSE)</f>
        <v>QC  A</v>
      </c>
      <c r="L418" s="698" t="str">
        <f>VLOOKUP(B418,All!$B$4:$S$8977,11,FALSE)</f>
        <v>Inspector</v>
      </c>
      <c r="M418" s="570">
        <f>VLOOKUP(B418,All!$B$4:$S$8977,12,FALSE)</f>
        <v>192</v>
      </c>
      <c r="N418" s="18">
        <f>VLOOKUP(B418,All!$B$4:$S$8977,13,FALSE)</f>
        <v>0</v>
      </c>
      <c r="O418" s="18">
        <f>VLOOKUP(B418,All!$B$4:$S$8977,14,FALSE)</f>
        <v>0</v>
      </c>
      <c r="P418" s="18">
        <f>VLOOKUP(B418,All!$B$4:$S$8977,15,FALSE)</f>
        <v>0</v>
      </c>
      <c r="Q418" s="18">
        <f>VLOOKUP(B418,All!$B$4:$S$8977,16,FALSE)</f>
        <v>0</v>
      </c>
      <c r="R418" s="18">
        <v>7</v>
      </c>
      <c r="S418" s="18">
        <v>10</v>
      </c>
      <c r="T418" s="550">
        <f t="shared" si="74"/>
        <v>209</v>
      </c>
      <c r="U418" s="568"/>
      <c r="V418" s="3"/>
      <c r="W418" s="3"/>
      <c r="X418" s="3"/>
      <c r="Y418" s="562"/>
      <c r="Z418" s="565">
        <f t="shared" si="78"/>
        <v>194</v>
      </c>
      <c r="AA418" s="18">
        <f t="shared" si="79"/>
        <v>0</v>
      </c>
      <c r="AB418" s="18">
        <f t="shared" si="80"/>
        <v>0</v>
      </c>
      <c r="AC418" s="18">
        <f t="shared" si="81"/>
        <v>0</v>
      </c>
      <c r="AD418" s="18">
        <f t="shared" si="82"/>
        <v>0</v>
      </c>
      <c r="AE418" s="18">
        <f t="shared" si="75"/>
        <v>7</v>
      </c>
      <c r="AF418" s="18">
        <f t="shared" si="76"/>
        <v>10</v>
      </c>
      <c r="AG418" s="550">
        <f t="shared" si="77"/>
        <v>211</v>
      </c>
      <c r="AH418" s="42">
        <v>2</v>
      </c>
      <c r="AI418" s="42">
        <v>0</v>
      </c>
      <c r="AJ418" s="42">
        <v>0</v>
      </c>
      <c r="AK418" s="42">
        <v>0</v>
      </c>
      <c r="AL418" s="42">
        <v>0</v>
      </c>
      <c r="AM418" s="42">
        <v>0</v>
      </c>
      <c r="AN418" s="42">
        <v>0</v>
      </c>
      <c r="AO418" s="42">
        <v>2</v>
      </c>
    </row>
    <row r="419" spans="1:41" ht="24" customHeight="1">
      <c r="A419" s="11">
        <f t="shared" si="73"/>
        <v>416</v>
      </c>
      <c r="B419" s="390">
        <v>5137</v>
      </c>
      <c r="C419" s="478" t="str">
        <f>VLOOKUP(B419,All!$B$4:$S$8977,2,FALSE)</f>
        <v>សុខ</v>
      </c>
      <c r="D419" s="479" t="str">
        <f>VLOOKUP(B419,All!$B$4:$S$89977,3,FALSE)</f>
        <v>ស្រីពៅ</v>
      </c>
      <c r="E419" s="478" t="str">
        <f>VLOOKUP(B419,All!$B$4:$S$8977,4,FALSE)</f>
        <v>SONG</v>
      </c>
      <c r="F419" s="479" t="str">
        <f>VLOOKUP(B419,All!$B$4:$S$8977,5,FALSE)</f>
        <v>SREYPOV</v>
      </c>
      <c r="G419" s="479" t="str">
        <f>VLOOKUP(B419,All!$B$4:$S$8977,6,FALSE)</f>
        <v>F</v>
      </c>
      <c r="H419" s="385">
        <f>VLOOKUP(B419,All!$B$4:$S$8977,7,FALSE)</f>
        <v>35134</v>
      </c>
      <c r="I419" s="154">
        <f>VLOOKUP(B419,All!$B$4:$S$8977,8,FALSE)</f>
        <v>44454</v>
      </c>
      <c r="J419" s="154" t="str">
        <f>VLOOKUP(B419,All!$B$4:$S$8977,9,FALSE)</f>
        <v>Production</v>
      </c>
      <c r="K419" s="154" t="str">
        <f>VLOOKUP(B419,All!$B$4:$S$8977,10,FALSE)</f>
        <v>Line 7</v>
      </c>
      <c r="L419" s="698" t="str">
        <f>VLOOKUP(B419,All!$B$4:$S$8977,11,FALSE)</f>
        <v>Sewing operator</v>
      </c>
      <c r="M419" s="570">
        <f>VLOOKUP(B419,All!$B$4:$S$8977,12,FALSE)</f>
        <v>192</v>
      </c>
      <c r="N419" s="18">
        <f>VLOOKUP(B419,All!$B$4:$S$8977,13,FALSE)</f>
        <v>0</v>
      </c>
      <c r="O419" s="18">
        <f>VLOOKUP(B419,All!$B$4:$S$8977,14,FALSE)</f>
        <v>0</v>
      </c>
      <c r="P419" s="18">
        <f>VLOOKUP(B419,All!$B$4:$S$8977,15,FALSE)</f>
        <v>0</v>
      </c>
      <c r="Q419" s="18">
        <f>VLOOKUP(B419,All!$B$4:$S$8977,16,FALSE)</f>
        <v>0</v>
      </c>
      <c r="R419" s="18">
        <v>7</v>
      </c>
      <c r="S419" s="18">
        <v>10</v>
      </c>
      <c r="T419" s="550">
        <f t="shared" si="74"/>
        <v>209</v>
      </c>
      <c r="U419" s="568"/>
      <c r="V419" s="3"/>
      <c r="W419" s="3"/>
      <c r="X419" s="3"/>
      <c r="Y419" s="562"/>
      <c r="Z419" s="565">
        <f t="shared" si="78"/>
        <v>194</v>
      </c>
      <c r="AA419" s="18">
        <f t="shared" si="79"/>
        <v>0</v>
      </c>
      <c r="AB419" s="18">
        <f t="shared" si="80"/>
        <v>0</v>
      </c>
      <c r="AC419" s="18">
        <f t="shared" si="81"/>
        <v>0</v>
      </c>
      <c r="AD419" s="18">
        <f t="shared" si="82"/>
        <v>0</v>
      </c>
      <c r="AE419" s="18">
        <f t="shared" si="75"/>
        <v>7</v>
      </c>
      <c r="AF419" s="18">
        <f t="shared" si="76"/>
        <v>10</v>
      </c>
      <c r="AG419" s="550">
        <f t="shared" si="77"/>
        <v>211</v>
      </c>
      <c r="AH419" s="42">
        <v>2</v>
      </c>
      <c r="AI419" s="42">
        <v>0</v>
      </c>
      <c r="AJ419" s="42">
        <v>0</v>
      </c>
      <c r="AK419" s="42">
        <v>0</v>
      </c>
      <c r="AL419" s="42">
        <v>0</v>
      </c>
      <c r="AM419" s="42">
        <v>0</v>
      </c>
      <c r="AN419" s="42">
        <v>0</v>
      </c>
      <c r="AO419" s="42">
        <v>2</v>
      </c>
    </row>
    <row r="420" spans="1:41" ht="24" customHeight="1">
      <c r="A420" s="11">
        <f t="shared" si="73"/>
        <v>417</v>
      </c>
      <c r="B420" s="390">
        <v>5138</v>
      </c>
      <c r="C420" s="478" t="str">
        <f>VLOOKUP(B420,All!$B$4:$S$8977,2,FALSE)</f>
        <v>សុខ</v>
      </c>
      <c r="D420" s="479" t="str">
        <f>VLOOKUP(B420,All!$B$4:$S$89977,3,FALSE)</f>
        <v>ដានី</v>
      </c>
      <c r="E420" s="478" t="str">
        <f>VLOOKUP(B420,All!$B$4:$S$8977,4,FALSE)</f>
        <v>SOK</v>
      </c>
      <c r="F420" s="479" t="str">
        <f>VLOOKUP(B420,All!$B$4:$S$8977,5,FALSE)</f>
        <v>DANY</v>
      </c>
      <c r="G420" s="479" t="str">
        <f>VLOOKUP(B420,All!$B$4:$S$8977,6,FALSE)</f>
        <v>F</v>
      </c>
      <c r="H420" s="385">
        <f>VLOOKUP(B420,All!$B$4:$S$8977,7,FALSE)</f>
        <v>36134</v>
      </c>
      <c r="I420" s="154">
        <f>VLOOKUP(B420,All!$B$4:$S$8977,8,FALSE)</f>
        <v>44455</v>
      </c>
      <c r="J420" s="154" t="str">
        <f>VLOOKUP(B420,All!$B$4:$S$8977,9,FALSE)</f>
        <v>Production</v>
      </c>
      <c r="K420" s="154" t="str">
        <f>VLOOKUP(B420,All!$B$4:$S$8977,10,FALSE)</f>
        <v>Line 7</v>
      </c>
      <c r="L420" s="698" t="str">
        <f>VLOOKUP(B420,All!$B$4:$S$8977,11,FALSE)</f>
        <v>Sewing operator</v>
      </c>
      <c r="M420" s="570">
        <f>VLOOKUP(B420,All!$B$4:$S$8977,12,FALSE)</f>
        <v>192</v>
      </c>
      <c r="N420" s="18">
        <f>VLOOKUP(B420,All!$B$4:$S$8977,13,FALSE)</f>
        <v>0</v>
      </c>
      <c r="O420" s="18">
        <f>VLOOKUP(B420,All!$B$4:$S$8977,14,FALSE)</f>
        <v>0</v>
      </c>
      <c r="P420" s="18">
        <f>VLOOKUP(B420,All!$B$4:$S$8977,15,FALSE)</f>
        <v>0</v>
      </c>
      <c r="Q420" s="18">
        <f>VLOOKUP(B420,All!$B$4:$S$8977,16,FALSE)</f>
        <v>0</v>
      </c>
      <c r="R420" s="18">
        <v>7</v>
      </c>
      <c r="S420" s="18">
        <v>10</v>
      </c>
      <c r="T420" s="550">
        <f t="shared" si="74"/>
        <v>209</v>
      </c>
      <c r="U420" s="568"/>
      <c r="V420" s="3"/>
      <c r="W420" s="3"/>
      <c r="X420" s="3"/>
      <c r="Y420" s="562"/>
      <c r="Z420" s="565">
        <f t="shared" si="78"/>
        <v>194</v>
      </c>
      <c r="AA420" s="18">
        <f t="shared" si="79"/>
        <v>0</v>
      </c>
      <c r="AB420" s="18">
        <f t="shared" si="80"/>
        <v>0</v>
      </c>
      <c r="AC420" s="18">
        <f t="shared" si="81"/>
        <v>0</v>
      </c>
      <c r="AD420" s="18">
        <f t="shared" si="82"/>
        <v>0</v>
      </c>
      <c r="AE420" s="18">
        <f t="shared" si="75"/>
        <v>7</v>
      </c>
      <c r="AF420" s="18">
        <f t="shared" si="76"/>
        <v>10</v>
      </c>
      <c r="AG420" s="550">
        <f t="shared" si="77"/>
        <v>211</v>
      </c>
      <c r="AH420" s="42">
        <v>2</v>
      </c>
      <c r="AI420" s="42">
        <v>0</v>
      </c>
      <c r="AJ420" s="42">
        <v>0</v>
      </c>
      <c r="AK420" s="42">
        <v>0</v>
      </c>
      <c r="AL420" s="42">
        <v>0</v>
      </c>
      <c r="AM420" s="42">
        <v>0</v>
      </c>
      <c r="AN420" s="42">
        <v>0</v>
      </c>
      <c r="AO420" s="42">
        <v>2</v>
      </c>
    </row>
    <row r="421" spans="1:41" ht="24" customHeight="1">
      <c r="A421" s="11">
        <f t="shared" si="73"/>
        <v>418</v>
      </c>
      <c r="B421" s="390">
        <v>5140</v>
      </c>
      <c r="C421" s="478" t="str">
        <f>VLOOKUP(B421,All!$B$4:$S$8977,2,FALSE)</f>
        <v>ឌី</v>
      </c>
      <c r="D421" s="479" t="str">
        <f>VLOOKUP(B421,All!$B$4:$S$89977,3,FALSE)</f>
        <v>សុខឡៅ</v>
      </c>
      <c r="E421" s="478" t="str">
        <f>VLOOKUP(B421,All!$B$4:$S$8977,4,FALSE)</f>
        <v>DY</v>
      </c>
      <c r="F421" s="479" t="str">
        <f>VLOOKUP(B421,All!$B$4:$S$8977,5,FALSE)</f>
        <v>SOKLAO</v>
      </c>
      <c r="G421" s="479" t="str">
        <f>VLOOKUP(B421,All!$B$4:$S$8977,6,FALSE)</f>
        <v>F</v>
      </c>
      <c r="H421" s="385">
        <f>VLOOKUP(B421,All!$B$4:$S$8977,7,FALSE)</f>
        <v>35353</v>
      </c>
      <c r="I421" s="154">
        <f>VLOOKUP(B421,All!$B$4:$S$8977,8,FALSE)</f>
        <v>44455</v>
      </c>
      <c r="J421" s="154" t="str">
        <f>VLOOKUP(B421,All!$B$4:$S$8977,9,FALSE)</f>
        <v>Production</v>
      </c>
      <c r="K421" s="154" t="str">
        <f>VLOOKUP(B421,All!$B$4:$S$8977,10,FALSE)</f>
        <v>Line5</v>
      </c>
      <c r="L421" s="698" t="str">
        <f>VLOOKUP(B421,All!$B$4:$S$8977,11,FALSE)</f>
        <v>Sewing operator</v>
      </c>
      <c r="M421" s="570">
        <f>VLOOKUP(B421,All!$B$4:$S$8977,12,FALSE)</f>
        <v>187</v>
      </c>
      <c r="N421" s="18">
        <f>VLOOKUP(B421,All!$B$4:$S$8977,13,FALSE)</f>
        <v>0</v>
      </c>
      <c r="O421" s="18">
        <f>VLOOKUP(B421,All!$B$4:$S$8977,14,FALSE)</f>
        <v>0</v>
      </c>
      <c r="P421" s="18">
        <f>VLOOKUP(B421,All!$B$4:$S$8977,15,FALSE)</f>
        <v>0</v>
      </c>
      <c r="Q421" s="18">
        <f>VLOOKUP(B421,All!$B$4:$S$8977,16,FALSE)</f>
        <v>0</v>
      </c>
      <c r="R421" s="18">
        <v>7</v>
      </c>
      <c r="S421" s="18">
        <v>10</v>
      </c>
      <c r="T421" s="550">
        <f t="shared" si="74"/>
        <v>204</v>
      </c>
      <c r="U421" s="568"/>
      <c r="V421" s="3"/>
      <c r="W421" s="3"/>
      <c r="X421" s="3"/>
      <c r="Y421" s="562"/>
      <c r="Z421" s="565">
        <f>M421+AH421+5</f>
        <v>194</v>
      </c>
      <c r="AA421" s="18">
        <f t="shared" si="79"/>
        <v>0</v>
      </c>
      <c r="AB421" s="18">
        <f t="shared" si="80"/>
        <v>0</v>
      </c>
      <c r="AC421" s="18">
        <f t="shared" si="81"/>
        <v>0</v>
      </c>
      <c r="AD421" s="18">
        <f t="shared" si="82"/>
        <v>0</v>
      </c>
      <c r="AE421" s="18">
        <f t="shared" si="75"/>
        <v>7</v>
      </c>
      <c r="AF421" s="18">
        <f t="shared" si="76"/>
        <v>10</v>
      </c>
      <c r="AG421" s="550">
        <f t="shared" si="77"/>
        <v>211</v>
      </c>
      <c r="AH421" s="42">
        <v>2</v>
      </c>
      <c r="AI421" s="42">
        <v>0</v>
      </c>
      <c r="AJ421" s="42">
        <v>0</v>
      </c>
      <c r="AK421" s="42">
        <v>0</v>
      </c>
      <c r="AL421" s="42">
        <v>0</v>
      </c>
      <c r="AM421" s="42">
        <v>0</v>
      </c>
      <c r="AN421" s="42">
        <v>0</v>
      </c>
      <c r="AO421" s="42">
        <v>2</v>
      </c>
    </row>
    <row r="422" spans="1:41" ht="24" customHeight="1">
      <c r="A422" s="11">
        <f t="shared" si="73"/>
        <v>419</v>
      </c>
      <c r="B422" s="390">
        <v>5142</v>
      </c>
      <c r="C422" s="478" t="str">
        <f>VLOOKUP(B422,All!$B$4:$S$8977,2,FALSE)</f>
        <v>ស៊ុត</v>
      </c>
      <c r="D422" s="479" t="str">
        <f>VLOOKUP(B422,All!$B$4:$S$89977,3,FALSE)</f>
        <v>សុផន</v>
      </c>
      <c r="E422" s="478" t="str">
        <f>VLOOKUP(B422,All!$B$4:$S$8977,4,FALSE)</f>
        <v>SOTH</v>
      </c>
      <c r="F422" s="479" t="str">
        <f>VLOOKUP(B422,All!$B$4:$S$8977,5,FALSE)</f>
        <v>SOPHORN</v>
      </c>
      <c r="G422" s="479" t="str">
        <f>VLOOKUP(B422,All!$B$4:$S$8977,6,FALSE)</f>
        <v>F</v>
      </c>
      <c r="H422" s="385">
        <f>VLOOKUP(B422,All!$B$4:$S$8977,7,FALSE)</f>
        <v>31481</v>
      </c>
      <c r="I422" s="154">
        <f>VLOOKUP(B422,All!$B$4:$S$8977,8,FALSE)</f>
        <v>44457</v>
      </c>
      <c r="J422" s="154" t="str">
        <f>VLOOKUP(B422,All!$B$4:$S$8977,9,FALSE)</f>
        <v>Production</v>
      </c>
      <c r="K422" s="154" t="str">
        <f>VLOOKUP(B422,All!$B$4:$S$8977,10,FALSE)</f>
        <v>QC B</v>
      </c>
      <c r="L422" s="698" t="str">
        <f>VLOOKUP(B422,All!$B$4:$S$8977,11,FALSE)</f>
        <v>Inspector</v>
      </c>
      <c r="M422" s="570">
        <f>VLOOKUP(B422,All!$B$4:$S$8977,12,FALSE)</f>
        <v>187</v>
      </c>
      <c r="N422" s="18">
        <f>VLOOKUP(B422,All!$B$4:$S$8977,13,FALSE)</f>
        <v>0</v>
      </c>
      <c r="O422" s="18">
        <f>VLOOKUP(B422,All!$B$4:$S$8977,14,FALSE)</f>
        <v>0</v>
      </c>
      <c r="P422" s="18">
        <f>VLOOKUP(B422,All!$B$4:$S$8977,15,FALSE)</f>
        <v>0</v>
      </c>
      <c r="Q422" s="18">
        <f>VLOOKUP(B422,All!$B$4:$S$8977,16,FALSE)</f>
        <v>0</v>
      </c>
      <c r="R422" s="18">
        <v>7</v>
      </c>
      <c r="S422" s="18">
        <v>10</v>
      </c>
      <c r="T422" s="550">
        <f t="shared" si="74"/>
        <v>204</v>
      </c>
      <c r="U422" s="568"/>
      <c r="V422" s="3"/>
      <c r="W422" s="3"/>
      <c r="X422" s="3"/>
      <c r="Y422" s="562"/>
      <c r="Z422" s="565">
        <f t="shared" ref="Z422:Z424" si="83">M422+AH422+5</f>
        <v>194</v>
      </c>
      <c r="AA422" s="18">
        <f t="shared" si="79"/>
        <v>0</v>
      </c>
      <c r="AB422" s="18">
        <f t="shared" si="80"/>
        <v>0</v>
      </c>
      <c r="AC422" s="18">
        <f t="shared" si="81"/>
        <v>0</v>
      </c>
      <c r="AD422" s="18">
        <f t="shared" si="82"/>
        <v>0</v>
      </c>
      <c r="AE422" s="18">
        <f t="shared" si="75"/>
        <v>7</v>
      </c>
      <c r="AF422" s="18">
        <f t="shared" si="76"/>
        <v>10</v>
      </c>
      <c r="AG422" s="550">
        <f t="shared" si="77"/>
        <v>211</v>
      </c>
      <c r="AH422" s="42">
        <v>2</v>
      </c>
      <c r="AI422" s="42">
        <v>0</v>
      </c>
      <c r="AJ422" s="42">
        <v>0</v>
      </c>
      <c r="AK422" s="42">
        <v>0</v>
      </c>
      <c r="AL422" s="42">
        <v>0</v>
      </c>
      <c r="AM422" s="42">
        <v>0</v>
      </c>
      <c r="AN422" s="42">
        <v>0</v>
      </c>
      <c r="AO422" s="42">
        <v>2</v>
      </c>
    </row>
    <row r="423" spans="1:41" ht="24" customHeight="1">
      <c r="A423" s="11">
        <f t="shared" si="73"/>
        <v>420</v>
      </c>
      <c r="B423" s="390">
        <v>5143</v>
      </c>
      <c r="C423" s="478" t="str">
        <f>VLOOKUP(B423,All!$B$4:$S$8977,2,FALSE)</f>
        <v>ផូន</v>
      </c>
      <c r="D423" s="479" t="str">
        <f>VLOOKUP(B423,All!$B$4:$S$89977,3,FALSE)</f>
        <v>អេន</v>
      </c>
      <c r="E423" s="478" t="str">
        <f>VLOOKUP(B423,All!$B$4:$S$8977,4,FALSE)</f>
        <v>PHAUN</v>
      </c>
      <c r="F423" s="479" t="str">
        <f>VLOOKUP(B423,All!$B$4:$S$8977,5,FALSE)</f>
        <v>EN</v>
      </c>
      <c r="G423" s="479" t="str">
        <f>VLOOKUP(B423,All!$B$4:$S$8977,6,FALSE)</f>
        <v>F</v>
      </c>
      <c r="H423" s="385">
        <f>VLOOKUP(B423,All!$B$4:$S$8977,7,FALSE)</f>
        <v>33094</v>
      </c>
      <c r="I423" s="154">
        <f>VLOOKUP(B423,All!$B$4:$S$8977,8,FALSE)</f>
        <v>44457</v>
      </c>
      <c r="J423" s="154" t="str">
        <f>VLOOKUP(B423,All!$B$4:$S$8977,9,FALSE)</f>
        <v>Production</v>
      </c>
      <c r="K423" s="154" t="str">
        <f>VLOOKUP(B423,All!$B$4:$S$8977,10,FALSE)</f>
        <v>Line 7</v>
      </c>
      <c r="L423" s="698" t="str">
        <f>VLOOKUP(B423,All!$B$4:$S$8977,11,FALSE)</f>
        <v>Sewing operator</v>
      </c>
      <c r="M423" s="570">
        <f>VLOOKUP(B423,All!$B$4:$S$8977,12,FALSE)</f>
        <v>187</v>
      </c>
      <c r="N423" s="18">
        <f>VLOOKUP(B423,All!$B$4:$S$8977,13,FALSE)</f>
        <v>0</v>
      </c>
      <c r="O423" s="18">
        <f>VLOOKUP(B423,All!$B$4:$S$8977,14,FALSE)</f>
        <v>0</v>
      </c>
      <c r="P423" s="18">
        <f>VLOOKUP(B423,All!$B$4:$S$8977,15,FALSE)</f>
        <v>0</v>
      </c>
      <c r="Q423" s="18">
        <f>VLOOKUP(B423,All!$B$4:$S$8977,16,FALSE)</f>
        <v>0</v>
      </c>
      <c r="R423" s="18">
        <v>7</v>
      </c>
      <c r="S423" s="18">
        <v>10</v>
      </c>
      <c r="T423" s="550">
        <f t="shared" si="74"/>
        <v>204</v>
      </c>
      <c r="U423" s="568"/>
      <c r="V423" s="3"/>
      <c r="W423" s="3"/>
      <c r="X423" s="3"/>
      <c r="Y423" s="562"/>
      <c r="Z423" s="565">
        <f t="shared" si="83"/>
        <v>194</v>
      </c>
      <c r="AA423" s="18">
        <f t="shared" si="79"/>
        <v>0</v>
      </c>
      <c r="AB423" s="18">
        <f t="shared" si="80"/>
        <v>0</v>
      </c>
      <c r="AC423" s="18">
        <f t="shared" si="81"/>
        <v>0</v>
      </c>
      <c r="AD423" s="18">
        <f t="shared" si="82"/>
        <v>0</v>
      </c>
      <c r="AE423" s="18">
        <f t="shared" si="75"/>
        <v>7</v>
      </c>
      <c r="AF423" s="18">
        <f t="shared" si="76"/>
        <v>10</v>
      </c>
      <c r="AG423" s="550">
        <f t="shared" si="77"/>
        <v>211</v>
      </c>
      <c r="AH423" s="42">
        <v>2</v>
      </c>
      <c r="AI423" s="42">
        <v>0</v>
      </c>
      <c r="AJ423" s="42">
        <v>0</v>
      </c>
      <c r="AK423" s="42">
        <v>0</v>
      </c>
      <c r="AL423" s="42">
        <v>0</v>
      </c>
      <c r="AM423" s="42">
        <v>0</v>
      </c>
      <c r="AN423" s="42">
        <v>0</v>
      </c>
      <c r="AO423" s="42">
        <v>2</v>
      </c>
    </row>
    <row r="424" spans="1:41" ht="24" customHeight="1">
      <c r="A424" s="11">
        <f t="shared" si="73"/>
        <v>421</v>
      </c>
      <c r="B424" s="390">
        <v>5144</v>
      </c>
      <c r="C424" s="478" t="str">
        <f>VLOOKUP(B424,All!$B$4:$S$8977,2,FALSE)</f>
        <v>ម៉ិក</v>
      </c>
      <c r="D424" s="479" t="str">
        <f>VLOOKUP(B424,All!$B$4:$S$89977,3,FALSE)</f>
        <v>ស្រីកែវ</v>
      </c>
      <c r="E424" s="478" t="str">
        <f>VLOOKUP(B424,All!$B$4:$S$8977,4,FALSE)</f>
        <v>MIK</v>
      </c>
      <c r="F424" s="479" t="str">
        <f>VLOOKUP(B424,All!$B$4:$S$8977,5,FALSE)</f>
        <v>SREY KEO</v>
      </c>
      <c r="G424" s="479" t="str">
        <f>VLOOKUP(B424,All!$B$4:$S$8977,6,FALSE)</f>
        <v>F</v>
      </c>
      <c r="H424" s="385">
        <f>VLOOKUP(B424,All!$B$4:$S$8977,7,FALSE)</f>
        <v>35433</v>
      </c>
      <c r="I424" s="154">
        <f>VLOOKUP(B424,All!$B$4:$S$8977,8,FALSE)</f>
        <v>44457</v>
      </c>
      <c r="J424" s="154" t="str">
        <f>VLOOKUP(B424,All!$B$4:$S$8977,9,FALSE)</f>
        <v>Production</v>
      </c>
      <c r="K424" s="154" t="str">
        <f>VLOOKUP(B424,All!$B$4:$S$8977,10,FALSE)</f>
        <v>Line 7</v>
      </c>
      <c r="L424" s="698" t="str">
        <f>VLOOKUP(B424,All!$B$4:$S$8977,11,FALSE)</f>
        <v>Sewing operator</v>
      </c>
      <c r="M424" s="570">
        <f>VLOOKUP(B424,All!$B$4:$S$8977,12,FALSE)</f>
        <v>187</v>
      </c>
      <c r="N424" s="18">
        <f>VLOOKUP(B424,All!$B$4:$S$8977,13,FALSE)</f>
        <v>0</v>
      </c>
      <c r="O424" s="18">
        <f>VLOOKUP(B424,All!$B$4:$S$8977,14,FALSE)</f>
        <v>0</v>
      </c>
      <c r="P424" s="18">
        <f>VLOOKUP(B424,All!$B$4:$S$8977,15,FALSE)</f>
        <v>0</v>
      </c>
      <c r="Q424" s="18">
        <f>VLOOKUP(B424,All!$B$4:$S$8977,16,FALSE)</f>
        <v>0</v>
      </c>
      <c r="R424" s="18">
        <v>7</v>
      </c>
      <c r="S424" s="18">
        <v>10</v>
      </c>
      <c r="T424" s="550">
        <f t="shared" si="74"/>
        <v>204</v>
      </c>
      <c r="U424" s="568"/>
      <c r="V424" s="3"/>
      <c r="W424" s="3"/>
      <c r="X424" s="3"/>
      <c r="Y424" s="562"/>
      <c r="Z424" s="565">
        <f t="shared" si="83"/>
        <v>194</v>
      </c>
      <c r="AA424" s="18">
        <f t="shared" si="79"/>
        <v>0</v>
      </c>
      <c r="AB424" s="18">
        <f t="shared" si="80"/>
        <v>0</v>
      </c>
      <c r="AC424" s="18">
        <f t="shared" si="81"/>
        <v>0</v>
      </c>
      <c r="AD424" s="18">
        <f t="shared" si="82"/>
        <v>0</v>
      </c>
      <c r="AE424" s="18">
        <f t="shared" si="75"/>
        <v>7</v>
      </c>
      <c r="AF424" s="18">
        <f t="shared" si="76"/>
        <v>10</v>
      </c>
      <c r="AG424" s="550">
        <f t="shared" si="77"/>
        <v>211</v>
      </c>
      <c r="AH424" s="42">
        <v>2</v>
      </c>
      <c r="AI424" s="42">
        <v>0</v>
      </c>
      <c r="AJ424" s="42">
        <v>0</v>
      </c>
      <c r="AK424" s="42">
        <v>0</v>
      </c>
      <c r="AL424" s="42">
        <v>0</v>
      </c>
      <c r="AM424" s="42">
        <v>0</v>
      </c>
      <c r="AN424" s="42">
        <v>0</v>
      </c>
      <c r="AO424" s="42">
        <v>2</v>
      </c>
    </row>
    <row r="425" spans="1:41" ht="24" customHeight="1">
      <c r="A425" s="11">
        <f t="shared" si="73"/>
        <v>422</v>
      </c>
      <c r="B425" s="390">
        <v>5145</v>
      </c>
      <c r="C425" s="478" t="str">
        <f>VLOOKUP(B425,All!$B$4:$S$8977,2,FALSE)</f>
        <v>ភាន</v>
      </c>
      <c r="D425" s="479" t="str">
        <f>VLOOKUP(B425,All!$B$4:$S$89977,3,FALSE)</f>
        <v>ភីរ៉ា</v>
      </c>
      <c r="E425" s="478" t="str">
        <f>VLOOKUP(B425,All!$B$4:$S$8977,4,FALSE)</f>
        <v>PHEAN</v>
      </c>
      <c r="F425" s="479" t="str">
        <f>VLOOKUP(B425,All!$B$4:$S$8977,5,FALSE)</f>
        <v>PHIRA</v>
      </c>
      <c r="G425" s="479" t="str">
        <f>VLOOKUP(B425,All!$B$4:$S$8977,6,FALSE)</f>
        <v>F</v>
      </c>
      <c r="H425" s="385">
        <f>VLOOKUP(B425,All!$B$4:$S$8977,7,FALSE)</f>
        <v>30773</v>
      </c>
      <c r="I425" s="154">
        <f>VLOOKUP(B425,All!$B$4:$S$8977,8,FALSE)</f>
        <v>44459</v>
      </c>
      <c r="J425" s="154" t="str">
        <f>VLOOKUP(B425,All!$B$4:$S$8977,9,FALSE)</f>
        <v>Production</v>
      </c>
      <c r="K425" s="154" t="str">
        <f>VLOOKUP(B425,All!$B$4:$S$8977,10,FALSE)</f>
        <v>Line 12</v>
      </c>
      <c r="L425" s="698" t="str">
        <f>VLOOKUP(B425,All!$B$4:$S$8977,11,FALSE)</f>
        <v>Sewing operator</v>
      </c>
      <c r="M425" s="570">
        <f>VLOOKUP(B425,All!$B$4:$S$8977,12,FALSE)</f>
        <v>192</v>
      </c>
      <c r="N425" s="18">
        <f>VLOOKUP(B425,All!$B$4:$S$8977,13,FALSE)</f>
        <v>0</v>
      </c>
      <c r="O425" s="18">
        <f>VLOOKUP(B425,All!$B$4:$S$8977,14,FALSE)</f>
        <v>0</v>
      </c>
      <c r="P425" s="18">
        <f>VLOOKUP(B425,All!$B$4:$S$8977,15,FALSE)</f>
        <v>0</v>
      </c>
      <c r="Q425" s="18">
        <f>VLOOKUP(B425,All!$B$4:$S$8977,16,FALSE)</f>
        <v>0</v>
      </c>
      <c r="R425" s="18">
        <v>7</v>
      </c>
      <c r="S425" s="18">
        <v>10</v>
      </c>
      <c r="T425" s="550">
        <f t="shared" si="74"/>
        <v>209</v>
      </c>
      <c r="U425" s="568"/>
      <c r="V425" s="3"/>
      <c r="W425" s="3"/>
      <c r="X425" s="3"/>
      <c r="Y425" s="562"/>
      <c r="Z425" s="565">
        <f t="shared" si="78"/>
        <v>194</v>
      </c>
      <c r="AA425" s="18">
        <f t="shared" si="79"/>
        <v>0</v>
      </c>
      <c r="AB425" s="18">
        <f t="shared" si="80"/>
        <v>0</v>
      </c>
      <c r="AC425" s="18">
        <f t="shared" si="81"/>
        <v>0</v>
      </c>
      <c r="AD425" s="18">
        <f t="shared" si="82"/>
        <v>0</v>
      </c>
      <c r="AE425" s="18">
        <f t="shared" si="75"/>
        <v>7</v>
      </c>
      <c r="AF425" s="18">
        <f t="shared" si="76"/>
        <v>10</v>
      </c>
      <c r="AG425" s="550">
        <f t="shared" si="77"/>
        <v>211</v>
      </c>
      <c r="AH425" s="42">
        <v>2</v>
      </c>
      <c r="AI425" s="42">
        <v>0</v>
      </c>
      <c r="AJ425" s="42">
        <v>0</v>
      </c>
      <c r="AK425" s="42">
        <v>0</v>
      </c>
      <c r="AL425" s="42">
        <v>0</v>
      </c>
      <c r="AM425" s="42">
        <v>0</v>
      </c>
      <c r="AN425" s="42">
        <v>0</v>
      </c>
      <c r="AO425" s="42">
        <v>2</v>
      </c>
    </row>
    <row r="426" spans="1:41" ht="24" customHeight="1">
      <c r="A426" s="11">
        <f t="shared" si="73"/>
        <v>423</v>
      </c>
      <c r="B426" s="390">
        <v>5146</v>
      </c>
      <c r="C426" s="478" t="str">
        <f>VLOOKUP(B426,All!$B$4:$S$8977,2,FALSE)</f>
        <v>សារីម</v>
      </c>
      <c r="D426" s="479" t="str">
        <f>VLOOKUP(B426,All!$B$4:$S$89977,3,FALSE)</f>
        <v>មិថុនា</v>
      </c>
      <c r="E426" s="478" t="str">
        <f>VLOOKUP(B426,All!$B$4:$S$8977,4,FALSE)</f>
        <v>SARIM</v>
      </c>
      <c r="F426" s="479" t="str">
        <f>VLOOKUP(B426,All!$B$4:$S$8977,5,FALSE)</f>
        <v>MITHONA</v>
      </c>
      <c r="G426" s="479" t="str">
        <f>VLOOKUP(B426,All!$B$4:$S$8977,6,FALSE)</f>
        <v>F</v>
      </c>
      <c r="H426" s="385">
        <f>VLOOKUP(B426,All!$B$4:$S$8977,7,FALSE)</f>
        <v>37775</v>
      </c>
      <c r="I426" s="154">
        <f>VLOOKUP(B426,All!$B$4:$S$8977,8,FALSE)</f>
        <v>44460</v>
      </c>
      <c r="J426" s="154" t="str">
        <f>VLOOKUP(B426,All!$B$4:$S$8977,9,FALSE)</f>
        <v>Production</v>
      </c>
      <c r="K426" s="154" t="str">
        <f>VLOOKUP(B426,All!$B$4:$S$8977,10,FALSE)</f>
        <v>QC  A</v>
      </c>
      <c r="L426" s="698" t="str">
        <f>VLOOKUP(B426,All!$B$4:$S$8977,11,FALSE)</f>
        <v>Inspector</v>
      </c>
      <c r="M426" s="570">
        <f>VLOOKUP(B426,All!$B$4:$S$8977,12,FALSE)</f>
        <v>187</v>
      </c>
      <c r="N426" s="18">
        <f>VLOOKUP(B426,All!$B$4:$S$8977,13,FALSE)</f>
        <v>0</v>
      </c>
      <c r="O426" s="18">
        <f>VLOOKUP(B426,All!$B$4:$S$8977,14,FALSE)</f>
        <v>0</v>
      </c>
      <c r="P426" s="18">
        <f>VLOOKUP(B426,All!$B$4:$S$8977,15,FALSE)</f>
        <v>0</v>
      </c>
      <c r="Q426" s="18">
        <f>VLOOKUP(B426,All!$B$4:$S$8977,16,FALSE)</f>
        <v>0</v>
      </c>
      <c r="R426" s="18">
        <v>7</v>
      </c>
      <c r="S426" s="18">
        <v>10</v>
      </c>
      <c r="T426" s="550">
        <f t="shared" si="74"/>
        <v>204</v>
      </c>
      <c r="U426" s="568"/>
      <c r="V426" s="3"/>
      <c r="W426" s="3"/>
      <c r="X426" s="3"/>
      <c r="Y426" s="562"/>
      <c r="Z426" s="565">
        <f t="shared" ref="Z426:Z438" si="84">M426+AH426+5</f>
        <v>194</v>
      </c>
      <c r="AA426" s="18">
        <f t="shared" si="79"/>
        <v>0</v>
      </c>
      <c r="AB426" s="18">
        <f t="shared" si="80"/>
        <v>0</v>
      </c>
      <c r="AC426" s="18">
        <f t="shared" si="81"/>
        <v>0</v>
      </c>
      <c r="AD426" s="18">
        <f t="shared" si="82"/>
        <v>0</v>
      </c>
      <c r="AE426" s="18">
        <f t="shared" si="75"/>
        <v>7</v>
      </c>
      <c r="AF426" s="18">
        <f t="shared" si="76"/>
        <v>10</v>
      </c>
      <c r="AG426" s="550">
        <f t="shared" si="77"/>
        <v>211</v>
      </c>
      <c r="AH426" s="42">
        <v>2</v>
      </c>
      <c r="AI426" s="42">
        <v>0</v>
      </c>
      <c r="AJ426" s="42">
        <v>0</v>
      </c>
      <c r="AK426" s="42">
        <v>0</v>
      </c>
      <c r="AL426" s="42">
        <v>0</v>
      </c>
      <c r="AM426" s="42">
        <v>0</v>
      </c>
      <c r="AN426" s="42">
        <v>0</v>
      </c>
      <c r="AO426" s="42">
        <v>2</v>
      </c>
    </row>
    <row r="427" spans="1:41" ht="24" customHeight="1">
      <c r="A427" s="11">
        <f t="shared" si="73"/>
        <v>424</v>
      </c>
      <c r="B427" s="390">
        <v>5148</v>
      </c>
      <c r="C427" s="478" t="str">
        <f>VLOOKUP(B427,All!$B$4:$S$8977,2,FALSE)</f>
        <v>ព្រែក</v>
      </c>
      <c r="D427" s="479" t="str">
        <f>VLOOKUP(B427,All!$B$4:$S$89977,3,FALSE)</f>
        <v>ដាលីន</v>
      </c>
      <c r="E427" s="478" t="str">
        <f>VLOOKUP(B427,All!$B$4:$S$8977,4,FALSE)</f>
        <v>PREK</v>
      </c>
      <c r="F427" s="479" t="str">
        <f>VLOOKUP(B427,All!$B$4:$S$8977,5,FALSE)</f>
        <v>DALIN</v>
      </c>
      <c r="G427" s="479" t="str">
        <f>VLOOKUP(B427,All!$B$4:$S$8977,6,FALSE)</f>
        <v>F</v>
      </c>
      <c r="H427" s="385">
        <f>VLOOKUP(B427,All!$B$4:$S$8977,7,FALSE)</f>
        <v>35804</v>
      </c>
      <c r="I427" s="154">
        <f>VLOOKUP(B427,All!$B$4:$S$8977,8,FALSE)</f>
        <v>44461</v>
      </c>
      <c r="J427" s="154" t="str">
        <f>VLOOKUP(B427,All!$B$4:$S$8977,9,FALSE)</f>
        <v>Production</v>
      </c>
      <c r="K427" s="154" t="str">
        <f>VLOOKUP(B427,All!$B$4:$S$8977,10,FALSE)</f>
        <v>Line 12</v>
      </c>
      <c r="L427" s="698" t="str">
        <f>VLOOKUP(B427,All!$B$4:$S$8977,11,FALSE)</f>
        <v>Sewing operator</v>
      </c>
      <c r="M427" s="570">
        <f>VLOOKUP(B427,All!$B$4:$S$8977,12,FALSE)</f>
        <v>187</v>
      </c>
      <c r="N427" s="18">
        <f>VLOOKUP(B427,All!$B$4:$S$8977,13,FALSE)</f>
        <v>0</v>
      </c>
      <c r="O427" s="18">
        <f>VLOOKUP(B427,All!$B$4:$S$8977,14,FALSE)</f>
        <v>0</v>
      </c>
      <c r="P427" s="18">
        <f>VLOOKUP(B427,All!$B$4:$S$8977,15,FALSE)</f>
        <v>0</v>
      </c>
      <c r="Q427" s="18">
        <f>VLOOKUP(B427,All!$B$4:$S$8977,16,FALSE)</f>
        <v>0</v>
      </c>
      <c r="R427" s="18">
        <v>7</v>
      </c>
      <c r="S427" s="18">
        <v>10</v>
      </c>
      <c r="T427" s="550">
        <f t="shared" si="74"/>
        <v>204</v>
      </c>
      <c r="U427" s="568"/>
      <c r="V427" s="3"/>
      <c r="W427" s="3"/>
      <c r="X427" s="3"/>
      <c r="Y427" s="562"/>
      <c r="Z427" s="565">
        <f t="shared" si="84"/>
        <v>194</v>
      </c>
      <c r="AA427" s="18">
        <f t="shared" si="79"/>
        <v>0</v>
      </c>
      <c r="AB427" s="18">
        <f t="shared" si="80"/>
        <v>0</v>
      </c>
      <c r="AC427" s="18">
        <f t="shared" si="81"/>
        <v>0</v>
      </c>
      <c r="AD427" s="18">
        <f t="shared" si="82"/>
        <v>0</v>
      </c>
      <c r="AE427" s="18">
        <f t="shared" si="75"/>
        <v>7</v>
      </c>
      <c r="AF427" s="18">
        <f t="shared" si="76"/>
        <v>10</v>
      </c>
      <c r="AG427" s="550">
        <f t="shared" si="77"/>
        <v>211</v>
      </c>
      <c r="AH427" s="42">
        <v>2</v>
      </c>
      <c r="AI427" s="42">
        <v>0</v>
      </c>
      <c r="AJ427" s="42">
        <v>0</v>
      </c>
      <c r="AK427" s="42">
        <v>0</v>
      </c>
      <c r="AL427" s="42">
        <v>0</v>
      </c>
      <c r="AM427" s="42">
        <v>0</v>
      </c>
      <c r="AN427" s="42">
        <v>0</v>
      </c>
      <c r="AO427" s="42">
        <v>2</v>
      </c>
    </row>
    <row r="428" spans="1:41" ht="24" customHeight="1">
      <c r="A428" s="11">
        <f t="shared" si="73"/>
        <v>425</v>
      </c>
      <c r="B428" s="390">
        <v>5149</v>
      </c>
      <c r="C428" s="478" t="str">
        <f>VLOOKUP(B428,All!$B$4:$S$8977,2,FALSE)</f>
        <v xml:space="preserve">ឈឺន </v>
      </c>
      <c r="D428" s="479" t="str">
        <f>VLOOKUP(B428,All!$B$4:$S$89977,3,FALSE)</f>
        <v>កូឡាប</v>
      </c>
      <c r="E428" s="478" t="str">
        <f>VLOOKUP(B428,All!$B$4:$S$8977,4,FALSE)</f>
        <v xml:space="preserve">CHHEUN </v>
      </c>
      <c r="F428" s="479" t="str">
        <f>VLOOKUP(B428,All!$B$4:$S$8977,5,FALSE)</f>
        <v>KOLAB</v>
      </c>
      <c r="G428" s="479" t="str">
        <f>VLOOKUP(B428,All!$B$4:$S$8977,6,FALSE)</f>
        <v>F</v>
      </c>
      <c r="H428" s="385">
        <f>VLOOKUP(B428,All!$B$4:$S$8977,7,FALSE)</f>
        <v>34111</v>
      </c>
      <c r="I428" s="154">
        <f>VLOOKUP(B428,All!$B$4:$S$8977,8,FALSE)</f>
        <v>44461</v>
      </c>
      <c r="J428" s="154" t="str">
        <f>VLOOKUP(B428,All!$B$4:$S$8977,9,FALSE)</f>
        <v>Production</v>
      </c>
      <c r="K428" s="154" t="str">
        <f>VLOOKUP(B428,All!$B$4:$S$8977,10,FALSE)</f>
        <v>Line 7</v>
      </c>
      <c r="L428" s="698" t="str">
        <f>VLOOKUP(B428,All!$B$4:$S$8977,11,FALSE)</f>
        <v>Sewing operator</v>
      </c>
      <c r="M428" s="570">
        <f>VLOOKUP(B428,All!$B$4:$S$8977,12,FALSE)</f>
        <v>187</v>
      </c>
      <c r="N428" s="18">
        <f>VLOOKUP(B428,All!$B$4:$S$8977,13,FALSE)</f>
        <v>0</v>
      </c>
      <c r="O428" s="18">
        <f>VLOOKUP(B428,All!$B$4:$S$8977,14,FALSE)</f>
        <v>0</v>
      </c>
      <c r="P428" s="18">
        <f>VLOOKUP(B428,All!$B$4:$S$8977,15,FALSE)</f>
        <v>0</v>
      </c>
      <c r="Q428" s="18">
        <f>VLOOKUP(B428,All!$B$4:$S$8977,16,FALSE)</f>
        <v>0</v>
      </c>
      <c r="R428" s="18">
        <v>7</v>
      </c>
      <c r="S428" s="18">
        <v>10</v>
      </c>
      <c r="T428" s="550">
        <f t="shared" si="74"/>
        <v>204</v>
      </c>
      <c r="U428" s="568"/>
      <c r="V428" s="3"/>
      <c r="W428" s="3"/>
      <c r="X428" s="3"/>
      <c r="Y428" s="562"/>
      <c r="Z428" s="565">
        <f t="shared" si="84"/>
        <v>194</v>
      </c>
      <c r="AA428" s="18">
        <f t="shared" si="79"/>
        <v>0</v>
      </c>
      <c r="AB428" s="18">
        <f t="shared" si="80"/>
        <v>0</v>
      </c>
      <c r="AC428" s="18">
        <f t="shared" si="81"/>
        <v>0</v>
      </c>
      <c r="AD428" s="18">
        <f t="shared" si="82"/>
        <v>0</v>
      </c>
      <c r="AE428" s="18">
        <f t="shared" si="75"/>
        <v>7</v>
      </c>
      <c r="AF428" s="18">
        <f t="shared" si="76"/>
        <v>10</v>
      </c>
      <c r="AG428" s="550">
        <f t="shared" si="77"/>
        <v>211</v>
      </c>
      <c r="AH428" s="42">
        <v>2</v>
      </c>
      <c r="AI428" s="42">
        <v>0</v>
      </c>
      <c r="AJ428" s="42">
        <v>0</v>
      </c>
      <c r="AK428" s="42">
        <v>0</v>
      </c>
      <c r="AL428" s="42">
        <v>0</v>
      </c>
      <c r="AM428" s="42">
        <v>0</v>
      </c>
      <c r="AN428" s="42">
        <v>0</v>
      </c>
      <c r="AO428" s="42">
        <v>2</v>
      </c>
    </row>
    <row r="429" spans="1:41" ht="24" customHeight="1">
      <c r="A429" s="11">
        <f t="shared" si="73"/>
        <v>426</v>
      </c>
      <c r="B429" s="390">
        <v>5150</v>
      </c>
      <c r="C429" s="478" t="str">
        <f>VLOOKUP(B429,All!$B$4:$S$8977,2,FALSE)</f>
        <v>យ៉ុង</v>
      </c>
      <c r="D429" s="479" t="str">
        <f>VLOOKUP(B429,All!$B$4:$S$89977,3,FALSE)</f>
        <v>ចន្លា</v>
      </c>
      <c r="E429" s="478" t="str">
        <f>VLOOKUP(B429,All!$B$4:$S$8977,4,FALSE)</f>
        <v>YONG</v>
      </c>
      <c r="F429" s="479" t="str">
        <f>VLOOKUP(B429,All!$B$4:$S$8977,5,FALSE)</f>
        <v>CHANNA</v>
      </c>
      <c r="G429" s="479" t="str">
        <f>VLOOKUP(B429,All!$B$4:$S$8977,6,FALSE)</f>
        <v>F</v>
      </c>
      <c r="H429" s="385">
        <f>VLOOKUP(B429,All!$B$4:$S$8977,7,FALSE)</f>
        <v>36381</v>
      </c>
      <c r="I429" s="154">
        <f>VLOOKUP(B429,All!$B$4:$S$8977,8,FALSE)</f>
        <v>44461</v>
      </c>
      <c r="J429" s="154" t="str">
        <f>VLOOKUP(B429,All!$B$4:$S$8977,9,FALSE)</f>
        <v>Production</v>
      </c>
      <c r="K429" s="154" t="str">
        <f>VLOOKUP(B429,All!$B$4:$S$8977,10,FALSE)</f>
        <v>Line 7</v>
      </c>
      <c r="L429" s="698" t="str">
        <f>VLOOKUP(B429,All!$B$4:$S$8977,11,FALSE)</f>
        <v>Sewing operator</v>
      </c>
      <c r="M429" s="570">
        <f>VLOOKUP(B429,All!$B$4:$S$8977,12,FALSE)</f>
        <v>187</v>
      </c>
      <c r="N429" s="18">
        <f>VLOOKUP(B429,All!$B$4:$S$8977,13,FALSE)</f>
        <v>0</v>
      </c>
      <c r="O429" s="18">
        <f>VLOOKUP(B429,All!$B$4:$S$8977,14,FALSE)</f>
        <v>0</v>
      </c>
      <c r="P429" s="18">
        <f>VLOOKUP(B429,All!$B$4:$S$8977,15,FALSE)</f>
        <v>0</v>
      </c>
      <c r="Q429" s="18">
        <f>VLOOKUP(B429,All!$B$4:$S$8977,16,FALSE)</f>
        <v>0</v>
      </c>
      <c r="R429" s="18">
        <v>7</v>
      </c>
      <c r="S429" s="18">
        <v>10</v>
      </c>
      <c r="T429" s="550">
        <f t="shared" si="74"/>
        <v>204</v>
      </c>
      <c r="U429" s="568"/>
      <c r="V429" s="3"/>
      <c r="W429" s="3"/>
      <c r="X429" s="3"/>
      <c r="Y429" s="562"/>
      <c r="Z429" s="565">
        <f t="shared" si="84"/>
        <v>194</v>
      </c>
      <c r="AA429" s="18">
        <f t="shared" si="79"/>
        <v>0</v>
      </c>
      <c r="AB429" s="18">
        <f t="shared" si="80"/>
        <v>0</v>
      </c>
      <c r="AC429" s="18">
        <f t="shared" si="81"/>
        <v>0</v>
      </c>
      <c r="AD429" s="18">
        <f t="shared" si="82"/>
        <v>0</v>
      </c>
      <c r="AE429" s="18">
        <f t="shared" si="75"/>
        <v>7</v>
      </c>
      <c r="AF429" s="18">
        <f t="shared" si="76"/>
        <v>10</v>
      </c>
      <c r="AG429" s="550">
        <f t="shared" si="77"/>
        <v>211</v>
      </c>
      <c r="AH429" s="42">
        <v>2</v>
      </c>
      <c r="AI429" s="42">
        <v>0</v>
      </c>
      <c r="AJ429" s="42">
        <v>0</v>
      </c>
      <c r="AK429" s="42">
        <v>0</v>
      </c>
      <c r="AL429" s="42">
        <v>0</v>
      </c>
      <c r="AM429" s="42">
        <v>0</v>
      </c>
      <c r="AN429" s="42">
        <v>0</v>
      </c>
      <c r="AO429" s="42">
        <v>2</v>
      </c>
    </row>
    <row r="430" spans="1:41" ht="24" customHeight="1">
      <c r="A430" s="11">
        <f t="shared" si="73"/>
        <v>427</v>
      </c>
      <c r="B430" s="390">
        <v>5151</v>
      </c>
      <c r="C430" s="478" t="str">
        <f>VLOOKUP(B430,All!$B$4:$S$8977,2,FALSE)</f>
        <v>ជោត</v>
      </c>
      <c r="D430" s="479" t="str">
        <f>VLOOKUP(B430,All!$B$4:$S$89977,3,FALSE)</f>
        <v>ឡេង</v>
      </c>
      <c r="E430" s="478" t="str">
        <f>VLOOKUP(B430,All!$B$4:$S$8977,4,FALSE)</f>
        <v>CHORT</v>
      </c>
      <c r="F430" s="479" t="str">
        <f>VLOOKUP(B430,All!$B$4:$S$8977,5,FALSE)</f>
        <v>LENG</v>
      </c>
      <c r="G430" s="479" t="str">
        <f>VLOOKUP(B430,All!$B$4:$S$8977,6,FALSE)</f>
        <v>F</v>
      </c>
      <c r="H430" s="385">
        <f>VLOOKUP(B430,All!$B$4:$S$8977,7,FALSE)</f>
        <v>34885</v>
      </c>
      <c r="I430" s="154">
        <f>VLOOKUP(B430,All!$B$4:$S$8977,8,FALSE)</f>
        <v>44481</v>
      </c>
      <c r="J430" s="154" t="str">
        <f>VLOOKUP(B430,All!$B$4:$S$8977,9,FALSE)</f>
        <v>Production</v>
      </c>
      <c r="K430" s="154" t="str">
        <f>VLOOKUP(B430,All!$B$4:$S$8977,10,FALSE)</f>
        <v>Line 12</v>
      </c>
      <c r="L430" s="698" t="str">
        <f>VLOOKUP(B430,All!$B$4:$S$8977,11,FALSE)</f>
        <v>Sewing operator</v>
      </c>
      <c r="M430" s="570">
        <f>VLOOKUP(B430,All!$B$4:$S$8977,12,FALSE)</f>
        <v>187</v>
      </c>
      <c r="N430" s="18">
        <f>VLOOKUP(B430,All!$B$4:$S$8977,13,FALSE)</f>
        <v>0</v>
      </c>
      <c r="O430" s="18">
        <f>VLOOKUP(B430,All!$B$4:$S$8977,14,FALSE)</f>
        <v>0</v>
      </c>
      <c r="P430" s="18">
        <f>VLOOKUP(B430,All!$B$4:$S$8977,15,FALSE)</f>
        <v>0</v>
      </c>
      <c r="Q430" s="18">
        <f>VLOOKUP(B430,All!$B$4:$S$8977,16,FALSE)</f>
        <v>0</v>
      </c>
      <c r="R430" s="18">
        <v>7</v>
      </c>
      <c r="S430" s="18">
        <v>10</v>
      </c>
      <c r="T430" s="550">
        <f t="shared" si="74"/>
        <v>204</v>
      </c>
      <c r="U430" s="568"/>
      <c r="V430" s="3"/>
      <c r="W430" s="3"/>
      <c r="X430" s="3"/>
      <c r="Y430" s="562"/>
      <c r="Z430" s="565">
        <f t="shared" si="84"/>
        <v>194</v>
      </c>
      <c r="AA430" s="18">
        <f t="shared" si="79"/>
        <v>0</v>
      </c>
      <c r="AB430" s="18">
        <f t="shared" si="80"/>
        <v>0</v>
      </c>
      <c r="AC430" s="18">
        <f t="shared" si="81"/>
        <v>0</v>
      </c>
      <c r="AD430" s="18">
        <f t="shared" si="82"/>
        <v>0</v>
      </c>
      <c r="AE430" s="18">
        <f t="shared" si="75"/>
        <v>7</v>
      </c>
      <c r="AF430" s="18">
        <f t="shared" si="76"/>
        <v>10</v>
      </c>
      <c r="AG430" s="550">
        <f t="shared" si="77"/>
        <v>211</v>
      </c>
      <c r="AH430" s="42">
        <v>2</v>
      </c>
      <c r="AI430" s="42">
        <v>0</v>
      </c>
      <c r="AJ430" s="42">
        <v>0</v>
      </c>
      <c r="AK430" s="42">
        <v>0</v>
      </c>
      <c r="AL430" s="42">
        <v>0</v>
      </c>
      <c r="AM430" s="42">
        <v>0</v>
      </c>
      <c r="AN430" s="42">
        <v>0</v>
      </c>
      <c r="AO430" s="42">
        <v>2</v>
      </c>
    </row>
    <row r="431" spans="1:41" ht="24" customHeight="1">
      <c r="A431" s="11">
        <f t="shared" si="73"/>
        <v>428</v>
      </c>
      <c r="B431" s="390">
        <v>5152</v>
      </c>
      <c r="C431" s="478" t="str">
        <f>VLOOKUP(B431,All!$B$4:$S$8977,2,FALSE)</f>
        <v>ថុន</v>
      </c>
      <c r="D431" s="479" t="str">
        <f>VLOOKUP(B431,All!$B$4:$S$89977,3,FALSE)</f>
        <v>តុប</v>
      </c>
      <c r="E431" s="478" t="str">
        <f>VLOOKUP(B431,All!$B$4:$S$8977,4,FALSE)</f>
        <v>THON</v>
      </c>
      <c r="F431" s="479" t="str">
        <f>VLOOKUP(B431,All!$B$4:$S$8977,5,FALSE)</f>
        <v>TOR</v>
      </c>
      <c r="G431" s="479" t="str">
        <f>VLOOKUP(B431,All!$B$4:$S$8977,6,FALSE)</f>
        <v>F</v>
      </c>
      <c r="H431" s="385">
        <f>VLOOKUP(B431,All!$B$4:$S$8977,7,FALSE)</f>
        <v>37264</v>
      </c>
      <c r="I431" s="154">
        <f>VLOOKUP(B431,All!$B$4:$S$8977,8,FALSE)</f>
        <v>44481</v>
      </c>
      <c r="J431" s="154" t="str">
        <f>VLOOKUP(B431,All!$B$4:$S$8977,9,FALSE)</f>
        <v>Production</v>
      </c>
      <c r="K431" s="154" t="str">
        <f>VLOOKUP(B431,All!$B$4:$S$8977,10,FALSE)</f>
        <v>Line 12</v>
      </c>
      <c r="L431" s="698" t="str">
        <f>VLOOKUP(B431,All!$B$4:$S$8977,11,FALSE)</f>
        <v>Sewing operator</v>
      </c>
      <c r="M431" s="570">
        <f>VLOOKUP(B431,All!$B$4:$S$8977,12,FALSE)</f>
        <v>187</v>
      </c>
      <c r="N431" s="18">
        <f>VLOOKUP(B431,All!$B$4:$S$8977,13,FALSE)</f>
        <v>0</v>
      </c>
      <c r="O431" s="18">
        <f>VLOOKUP(B431,All!$B$4:$S$8977,14,FALSE)</f>
        <v>0</v>
      </c>
      <c r="P431" s="18">
        <f>VLOOKUP(B431,All!$B$4:$S$8977,15,FALSE)</f>
        <v>0</v>
      </c>
      <c r="Q431" s="18">
        <f>VLOOKUP(B431,All!$B$4:$S$8977,16,FALSE)</f>
        <v>0</v>
      </c>
      <c r="R431" s="18">
        <v>7</v>
      </c>
      <c r="S431" s="18">
        <v>10</v>
      </c>
      <c r="T431" s="550">
        <f t="shared" si="74"/>
        <v>204</v>
      </c>
      <c r="U431" s="568"/>
      <c r="V431" s="3"/>
      <c r="W431" s="3"/>
      <c r="X431" s="3"/>
      <c r="Y431" s="562"/>
      <c r="Z431" s="565">
        <f t="shared" si="84"/>
        <v>194</v>
      </c>
      <c r="AA431" s="18">
        <f t="shared" si="79"/>
        <v>0</v>
      </c>
      <c r="AB431" s="18">
        <f t="shared" si="80"/>
        <v>0</v>
      </c>
      <c r="AC431" s="18">
        <f t="shared" si="81"/>
        <v>0</v>
      </c>
      <c r="AD431" s="18">
        <f t="shared" si="82"/>
        <v>0</v>
      </c>
      <c r="AE431" s="18">
        <f t="shared" si="75"/>
        <v>7</v>
      </c>
      <c r="AF431" s="18">
        <f t="shared" si="76"/>
        <v>10</v>
      </c>
      <c r="AG431" s="550">
        <f t="shared" si="77"/>
        <v>211</v>
      </c>
      <c r="AH431" s="42">
        <v>2</v>
      </c>
      <c r="AI431" s="42">
        <v>0</v>
      </c>
      <c r="AJ431" s="42">
        <v>0</v>
      </c>
      <c r="AK431" s="42">
        <v>0</v>
      </c>
      <c r="AL431" s="42">
        <v>0</v>
      </c>
      <c r="AM431" s="42">
        <v>0</v>
      </c>
      <c r="AN431" s="42">
        <v>0</v>
      </c>
      <c r="AO431" s="42">
        <v>2</v>
      </c>
    </row>
    <row r="432" spans="1:41" ht="24" customHeight="1">
      <c r="A432" s="11">
        <f t="shared" si="73"/>
        <v>429</v>
      </c>
      <c r="B432" s="390">
        <v>5153</v>
      </c>
      <c r="C432" s="478" t="str">
        <f>VLOOKUP(B432,All!$B$4:$S$8977,2,FALSE)</f>
        <v>ភួង</v>
      </c>
      <c r="D432" s="479" t="str">
        <f>VLOOKUP(B432,All!$B$4:$S$89977,3,FALSE)</f>
        <v>ស៊ីម</v>
      </c>
      <c r="E432" s="478" t="str">
        <f>VLOOKUP(B432,All!$B$4:$S$8977,4,FALSE)</f>
        <v>PHOUNG</v>
      </c>
      <c r="F432" s="479" t="str">
        <f>VLOOKUP(B432,All!$B$4:$S$8977,5,FALSE)</f>
        <v>SIM</v>
      </c>
      <c r="G432" s="479" t="str">
        <f>VLOOKUP(B432,All!$B$4:$S$8977,6,FALSE)</f>
        <v>F</v>
      </c>
      <c r="H432" s="385">
        <f>VLOOKUP(B432,All!$B$4:$S$8977,7,FALSE)</f>
        <v>32295</v>
      </c>
      <c r="I432" s="154">
        <f>VLOOKUP(B432,All!$B$4:$S$8977,8,FALSE)</f>
        <v>44481</v>
      </c>
      <c r="J432" s="154" t="str">
        <f>VLOOKUP(B432,All!$B$4:$S$8977,9,FALSE)</f>
        <v>Production</v>
      </c>
      <c r="K432" s="154" t="str">
        <f>VLOOKUP(B432,All!$B$4:$S$8977,10,FALSE)</f>
        <v>Line 12</v>
      </c>
      <c r="L432" s="698" t="str">
        <f>VLOOKUP(B432,All!$B$4:$S$8977,11,FALSE)</f>
        <v>Sewing operator</v>
      </c>
      <c r="M432" s="570">
        <f>VLOOKUP(B432,All!$B$4:$S$8977,12,FALSE)</f>
        <v>187</v>
      </c>
      <c r="N432" s="18">
        <f>VLOOKUP(B432,All!$B$4:$S$8977,13,FALSE)</f>
        <v>0</v>
      </c>
      <c r="O432" s="18">
        <f>VLOOKUP(B432,All!$B$4:$S$8977,14,FALSE)</f>
        <v>0</v>
      </c>
      <c r="P432" s="18">
        <f>VLOOKUP(B432,All!$B$4:$S$8977,15,FALSE)</f>
        <v>0</v>
      </c>
      <c r="Q432" s="18">
        <f>VLOOKUP(B432,All!$B$4:$S$8977,16,FALSE)</f>
        <v>0</v>
      </c>
      <c r="R432" s="18">
        <v>7</v>
      </c>
      <c r="S432" s="18">
        <v>10</v>
      </c>
      <c r="T432" s="550">
        <f t="shared" si="74"/>
        <v>204</v>
      </c>
      <c r="U432" s="568"/>
      <c r="V432" s="3"/>
      <c r="W432" s="3"/>
      <c r="X432" s="3"/>
      <c r="Y432" s="562"/>
      <c r="Z432" s="565">
        <f t="shared" si="84"/>
        <v>194</v>
      </c>
      <c r="AA432" s="18">
        <f t="shared" si="79"/>
        <v>0</v>
      </c>
      <c r="AB432" s="18">
        <f t="shared" si="80"/>
        <v>0</v>
      </c>
      <c r="AC432" s="18">
        <f t="shared" si="81"/>
        <v>0</v>
      </c>
      <c r="AD432" s="18">
        <f t="shared" si="82"/>
        <v>0</v>
      </c>
      <c r="AE432" s="18">
        <f t="shared" si="75"/>
        <v>7</v>
      </c>
      <c r="AF432" s="18">
        <f t="shared" si="76"/>
        <v>10</v>
      </c>
      <c r="AG432" s="550">
        <f t="shared" si="77"/>
        <v>211</v>
      </c>
      <c r="AH432" s="42">
        <v>2</v>
      </c>
      <c r="AI432" s="42">
        <v>0</v>
      </c>
      <c r="AJ432" s="42">
        <v>0</v>
      </c>
      <c r="AK432" s="42">
        <v>0</v>
      </c>
      <c r="AL432" s="42">
        <v>0</v>
      </c>
      <c r="AM432" s="42">
        <v>0</v>
      </c>
      <c r="AN432" s="42">
        <v>0</v>
      </c>
      <c r="AO432" s="42">
        <v>2</v>
      </c>
    </row>
    <row r="433" spans="1:41" ht="24" customHeight="1">
      <c r="A433" s="11">
        <f t="shared" si="73"/>
        <v>430</v>
      </c>
      <c r="B433" s="390">
        <v>5154</v>
      </c>
      <c r="C433" s="478" t="str">
        <f>VLOOKUP(B433,All!$B$4:$S$8977,2,FALSE)</f>
        <v>ជ</v>
      </c>
      <c r="D433" s="479" t="str">
        <f>VLOOKUP(B433,All!$B$4:$S$89977,3,FALSE)</f>
        <v>ម៉ាន់ឌីន</v>
      </c>
      <c r="E433" s="478" t="str">
        <f>VLOOKUP(B433,All!$B$4:$S$8977,4,FALSE)</f>
        <v>CHOR</v>
      </c>
      <c r="F433" s="479" t="str">
        <f>VLOOKUP(B433,All!$B$4:$S$8977,5,FALSE)</f>
        <v>MANDIN</v>
      </c>
      <c r="G433" s="479" t="str">
        <f>VLOOKUP(B433,All!$B$4:$S$8977,6,FALSE)</f>
        <v>F</v>
      </c>
      <c r="H433" s="385">
        <f>VLOOKUP(B433,All!$B$4:$S$8977,7,FALSE)</f>
        <v>32676</v>
      </c>
      <c r="I433" s="154">
        <f>VLOOKUP(B433,All!$B$4:$S$8977,8,FALSE)</f>
        <v>44481</v>
      </c>
      <c r="J433" s="154" t="str">
        <f>VLOOKUP(B433,All!$B$4:$S$8977,9,FALSE)</f>
        <v>Production</v>
      </c>
      <c r="K433" s="154" t="str">
        <f>VLOOKUP(B433,All!$B$4:$S$8977,10,FALSE)</f>
        <v>Line 12</v>
      </c>
      <c r="L433" s="698" t="str">
        <f>VLOOKUP(B433,All!$B$4:$S$8977,11,FALSE)</f>
        <v>Sewing operator</v>
      </c>
      <c r="M433" s="570">
        <f>VLOOKUP(B433,All!$B$4:$S$8977,12,FALSE)</f>
        <v>187</v>
      </c>
      <c r="N433" s="18">
        <f>VLOOKUP(B433,All!$B$4:$S$8977,13,FALSE)</f>
        <v>0</v>
      </c>
      <c r="O433" s="18">
        <f>VLOOKUP(B433,All!$B$4:$S$8977,14,FALSE)</f>
        <v>0</v>
      </c>
      <c r="P433" s="18">
        <f>VLOOKUP(B433,All!$B$4:$S$8977,15,FALSE)</f>
        <v>0</v>
      </c>
      <c r="Q433" s="18">
        <f>VLOOKUP(B433,All!$B$4:$S$8977,16,FALSE)</f>
        <v>0</v>
      </c>
      <c r="R433" s="18">
        <v>7</v>
      </c>
      <c r="S433" s="18">
        <v>10</v>
      </c>
      <c r="T433" s="550">
        <f t="shared" si="74"/>
        <v>204</v>
      </c>
      <c r="U433" s="568"/>
      <c r="V433" s="3"/>
      <c r="W433" s="3"/>
      <c r="X433" s="3"/>
      <c r="Y433" s="562"/>
      <c r="Z433" s="565">
        <f t="shared" si="84"/>
        <v>194</v>
      </c>
      <c r="AA433" s="18">
        <f t="shared" si="79"/>
        <v>0</v>
      </c>
      <c r="AB433" s="18">
        <f t="shared" si="80"/>
        <v>0</v>
      </c>
      <c r="AC433" s="18">
        <f t="shared" si="81"/>
        <v>0</v>
      </c>
      <c r="AD433" s="18">
        <f t="shared" si="82"/>
        <v>0</v>
      </c>
      <c r="AE433" s="18">
        <f t="shared" si="75"/>
        <v>7</v>
      </c>
      <c r="AF433" s="18">
        <f t="shared" si="76"/>
        <v>10</v>
      </c>
      <c r="AG433" s="550">
        <f t="shared" si="77"/>
        <v>211</v>
      </c>
      <c r="AH433" s="42">
        <v>2</v>
      </c>
      <c r="AI433" s="42">
        <v>0</v>
      </c>
      <c r="AJ433" s="42">
        <v>0</v>
      </c>
      <c r="AK433" s="42">
        <v>0</v>
      </c>
      <c r="AL433" s="42">
        <v>0</v>
      </c>
      <c r="AM433" s="42">
        <v>0</v>
      </c>
      <c r="AN433" s="42">
        <v>0</v>
      </c>
      <c r="AO433" s="42">
        <v>2</v>
      </c>
    </row>
    <row r="434" spans="1:41" ht="24" customHeight="1">
      <c r="A434" s="11">
        <f t="shared" si="73"/>
        <v>431</v>
      </c>
      <c r="B434" s="390">
        <v>5155</v>
      </c>
      <c r="C434" s="478" t="str">
        <f>VLOOKUP(B434,All!$B$4:$S$8977,2,FALSE)</f>
        <v>ទុយ</v>
      </c>
      <c r="D434" s="479" t="str">
        <f>VLOOKUP(B434,All!$B$4:$S$89977,3,FALSE)</f>
        <v>អ៊ីម</v>
      </c>
      <c r="E434" s="478" t="str">
        <f>VLOOKUP(B434,All!$B$4:$S$8977,4,FALSE)</f>
        <v>TUY</v>
      </c>
      <c r="F434" s="479" t="str">
        <f>VLOOKUP(B434,All!$B$4:$S$8977,5,FALSE)</f>
        <v>IM</v>
      </c>
      <c r="G434" s="479" t="str">
        <f>VLOOKUP(B434,All!$B$4:$S$8977,6,FALSE)</f>
        <v>F</v>
      </c>
      <c r="H434" s="385">
        <f>VLOOKUP(B434,All!$B$4:$S$8977,7,FALSE)</f>
        <v>31825</v>
      </c>
      <c r="I434" s="154">
        <f>VLOOKUP(B434,All!$B$4:$S$8977,8,FALSE)</f>
        <v>44481</v>
      </c>
      <c r="J434" s="154" t="str">
        <f>VLOOKUP(B434,All!$B$4:$S$8977,9,FALSE)</f>
        <v>Production</v>
      </c>
      <c r="K434" s="154" t="str">
        <f>VLOOKUP(B434,All!$B$4:$S$8977,10,FALSE)</f>
        <v>Line 12</v>
      </c>
      <c r="L434" s="698" t="str">
        <f>VLOOKUP(B434,All!$B$4:$S$8977,11,FALSE)</f>
        <v>Sewing operator</v>
      </c>
      <c r="M434" s="570">
        <f>VLOOKUP(B434,All!$B$4:$S$8977,12,FALSE)</f>
        <v>187</v>
      </c>
      <c r="N434" s="18">
        <f>VLOOKUP(B434,All!$B$4:$S$8977,13,FALSE)</f>
        <v>0</v>
      </c>
      <c r="O434" s="18">
        <f>VLOOKUP(B434,All!$B$4:$S$8977,14,FALSE)</f>
        <v>0</v>
      </c>
      <c r="P434" s="18">
        <f>VLOOKUP(B434,All!$B$4:$S$8977,15,FALSE)</f>
        <v>0</v>
      </c>
      <c r="Q434" s="18">
        <f>VLOOKUP(B434,All!$B$4:$S$8977,16,FALSE)</f>
        <v>0</v>
      </c>
      <c r="R434" s="18">
        <v>7</v>
      </c>
      <c r="S434" s="18">
        <v>10</v>
      </c>
      <c r="T434" s="550">
        <f t="shared" si="74"/>
        <v>204</v>
      </c>
      <c r="U434" s="568"/>
      <c r="V434" s="3"/>
      <c r="W434" s="3"/>
      <c r="X434" s="3"/>
      <c r="Y434" s="562"/>
      <c r="Z434" s="565">
        <f t="shared" si="84"/>
        <v>194</v>
      </c>
      <c r="AA434" s="18">
        <f t="shared" si="79"/>
        <v>0</v>
      </c>
      <c r="AB434" s="18">
        <f t="shared" si="80"/>
        <v>0</v>
      </c>
      <c r="AC434" s="18">
        <f t="shared" si="81"/>
        <v>0</v>
      </c>
      <c r="AD434" s="18">
        <f t="shared" si="82"/>
        <v>0</v>
      </c>
      <c r="AE434" s="18">
        <f t="shared" si="75"/>
        <v>7</v>
      </c>
      <c r="AF434" s="18">
        <f t="shared" si="76"/>
        <v>10</v>
      </c>
      <c r="AG434" s="550">
        <f t="shared" si="77"/>
        <v>211</v>
      </c>
      <c r="AH434" s="42">
        <v>2</v>
      </c>
      <c r="AI434" s="42">
        <v>0</v>
      </c>
      <c r="AJ434" s="42">
        <v>0</v>
      </c>
      <c r="AK434" s="42">
        <v>0</v>
      </c>
      <c r="AL434" s="42">
        <v>0</v>
      </c>
      <c r="AM434" s="42">
        <v>0</v>
      </c>
      <c r="AN434" s="42">
        <v>0</v>
      </c>
      <c r="AO434" s="42">
        <v>2</v>
      </c>
    </row>
    <row r="435" spans="1:41" ht="24" customHeight="1">
      <c r="A435" s="11">
        <f t="shared" si="73"/>
        <v>432</v>
      </c>
      <c r="B435" s="390">
        <v>5156</v>
      </c>
      <c r="C435" s="478" t="str">
        <f>VLOOKUP(B435,All!$B$4:$S$8977,2,FALSE)</f>
        <v>វង</v>
      </c>
      <c r="D435" s="479" t="str">
        <f>VLOOKUP(B435,All!$B$4:$S$89977,3,FALSE)</f>
        <v>រស្មី</v>
      </c>
      <c r="E435" s="478" t="str">
        <f>VLOOKUP(B435,All!$B$4:$S$8977,4,FALSE)</f>
        <v>VONG</v>
      </c>
      <c r="F435" s="479" t="str">
        <f>VLOOKUP(B435,All!$B$4:$S$8977,5,FALSE)</f>
        <v>RAKSMEY</v>
      </c>
      <c r="G435" s="479" t="str">
        <f>VLOOKUP(B435,All!$B$4:$S$8977,6,FALSE)</f>
        <v>F</v>
      </c>
      <c r="H435" s="385">
        <f>VLOOKUP(B435,All!$B$4:$S$8977,7,FALSE)</f>
        <v>32618</v>
      </c>
      <c r="I435" s="154">
        <f>VLOOKUP(B435,All!$B$4:$S$8977,8,FALSE)</f>
        <v>44481</v>
      </c>
      <c r="J435" s="154" t="str">
        <f>VLOOKUP(B435,All!$B$4:$S$8977,9,FALSE)</f>
        <v>Production</v>
      </c>
      <c r="K435" s="154" t="str">
        <f>VLOOKUP(B435,All!$B$4:$S$8977,10,FALSE)</f>
        <v>Line 12</v>
      </c>
      <c r="L435" s="698" t="str">
        <f>VLOOKUP(B435,All!$B$4:$S$8977,11,FALSE)</f>
        <v>Sewing operator</v>
      </c>
      <c r="M435" s="570">
        <f>VLOOKUP(B435,All!$B$4:$S$8977,12,FALSE)</f>
        <v>187</v>
      </c>
      <c r="N435" s="18">
        <f>VLOOKUP(B435,All!$B$4:$S$8977,13,FALSE)</f>
        <v>0</v>
      </c>
      <c r="O435" s="18">
        <f>VLOOKUP(B435,All!$B$4:$S$8977,14,FALSE)</f>
        <v>0</v>
      </c>
      <c r="P435" s="18">
        <f>VLOOKUP(B435,All!$B$4:$S$8977,15,FALSE)</f>
        <v>0</v>
      </c>
      <c r="Q435" s="18">
        <f>VLOOKUP(B435,All!$B$4:$S$8977,16,FALSE)</f>
        <v>0</v>
      </c>
      <c r="R435" s="18">
        <v>7</v>
      </c>
      <c r="S435" s="18">
        <v>10</v>
      </c>
      <c r="T435" s="550">
        <f t="shared" si="74"/>
        <v>204</v>
      </c>
      <c r="U435" s="568"/>
      <c r="V435" s="3"/>
      <c r="W435" s="3"/>
      <c r="X435" s="3"/>
      <c r="Y435" s="562"/>
      <c r="Z435" s="565">
        <f t="shared" si="84"/>
        <v>194</v>
      </c>
      <c r="AA435" s="18">
        <f t="shared" si="79"/>
        <v>0</v>
      </c>
      <c r="AB435" s="18">
        <f t="shared" si="80"/>
        <v>0</v>
      </c>
      <c r="AC435" s="18">
        <f t="shared" si="81"/>
        <v>0</v>
      </c>
      <c r="AD435" s="18">
        <f t="shared" si="82"/>
        <v>0</v>
      </c>
      <c r="AE435" s="18">
        <f t="shared" si="75"/>
        <v>7</v>
      </c>
      <c r="AF435" s="18">
        <f t="shared" si="76"/>
        <v>10</v>
      </c>
      <c r="AG435" s="550">
        <f t="shared" si="77"/>
        <v>211</v>
      </c>
      <c r="AH435" s="42">
        <v>2</v>
      </c>
      <c r="AI435" s="42">
        <v>0</v>
      </c>
      <c r="AJ435" s="42">
        <v>0</v>
      </c>
      <c r="AK435" s="42">
        <v>0</v>
      </c>
      <c r="AL435" s="42">
        <v>0</v>
      </c>
      <c r="AM435" s="42">
        <v>0</v>
      </c>
      <c r="AN435" s="42">
        <v>0</v>
      </c>
      <c r="AO435" s="42">
        <v>2</v>
      </c>
    </row>
    <row r="436" spans="1:41" ht="24" customHeight="1">
      <c r="A436" s="11">
        <f t="shared" si="73"/>
        <v>433</v>
      </c>
      <c r="B436" s="390">
        <v>5157</v>
      </c>
      <c r="C436" s="478" t="str">
        <f>VLOOKUP(B436,All!$B$4:$S$8977,2,FALSE)</f>
        <v>ចុន</v>
      </c>
      <c r="D436" s="479" t="str">
        <f>VLOOKUP(B436,All!$B$4:$S$89977,3,FALSE)</f>
        <v>រដ្ឋា</v>
      </c>
      <c r="E436" s="478" t="str">
        <f>VLOOKUP(B436,All!$B$4:$S$8977,4,FALSE)</f>
        <v>CHON</v>
      </c>
      <c r="F436" s="479" t="str">
        <f>VLOOKUP(B436,All!$B$4:$S$8977,5,FALSE)</f>
        <v>RATHA</v>
      </c>
      <c r="G436" s="479" t="str">
        <f>VLOOKUP(B436,All!$B$4:$S$8977,6,FALSE)</f>
        <v>F</v>
      </c>
      <c r="H436" s="385">
        <f>VLOOKUP(B436,All!$B$4:$S$8977,7,FALSE)</f>
        <v>34423</v>
      </c>
      <c r="I436" s="154">
        <f>VLOOKUP(B436,All!$B$4:$S$8977,8,FALSE)</f>
        <v>44481</v>
      </c>
      <c r="J436" s="154" t="str">
        <f>VLOOKUP(B436,All!$B$4:$S$8977,9,FALSE)</f>
        <v>Production</v>
      </c>
      <c r="K436" s="154" t="str">
        <f>VLOOKUP(B436,All!$B$4:$S$8977,10,FALSE)</f>
        <v>Line 12</v>
      </c>
      <c r="L436" s="698" t="str">
        <f>VLOOKUP(B436,All!$B$4:$S$8977,11,FALSE)</f>
        <v>Sewing operator</v>
      </c>
      <c r="M436" s="570">
        <f>VLOOKUP(B436,All!$B$4:$S$8977,12,FALSE)</f>
        <v>187</v>
      </c>
      <c r="N436" s="18">
        <f>VLOOKUP(B436,All!$B$4:$S$8977,13,FALSE)</f>
        <v>0</v>
      </c>
      <c r="O436" s="18">
        <f>VLOOKUP(B436,All!$B$4:$S$8977,14,FALSE)</f>
        <v>0</v>
      </c>
      <c r="P436" s="18">
        <f>VLOOKUP(B436,All!$B$4:$S$8977,15,FALSE)</f>
        <v>0</v>
      </c>
      <c r="Q436" s="18">
        <f>VLOOKUP(B436,All!$B$4:$S$8977,16,FALSE)</f>
        <v>0</v>
      </c>
      <c r="R436" s="18">
        <v>7</v>
      </c>
      <c r="S436" s="18">
        <v>10</v>
      </c>
      <c r="T436" s="550">
        <f t="shared" si="74"/>
        <v>204</v>
      </c>
      <c r="U436" s="568"/>
      <c r="V436" s="3"/>
      <c r="W436" s="3"/>
      <c r="X436" s="3"/>
      <c r="Y436" s="562"/>
      <c r="Z436" s="565">
        <f t="shared" si="84"/>
        <v>194</v>
      </c>
      <c r="AA436" s="18">
        <f t="shared" si="79"/>
        <v>0</v>
      </c>
      <c r="AB436" s="18">
        <f t="shared" si="80"/>
        <v>0</v>
      </c>
      <c r="AC436" s="18">
        <f t="shared" si="81"/>
        <v>0</v>
      </c>
      <c r="AD436" s="18">
        <f t="shared" si="82"/>
        <v>0</v>
      </c>
      <c r="AE436" s="18">
        <f t="shared" si="75"/>
        <v>7</v>
      </c>
      <c r="AF436" s="18">
        <f t="shared" si="76"/>
        <v>10</v>
      </c>
      <c r="AG436" s="550">
        <f t="shared" si="77"/>
        <v>211</v>
      </c>
      <c r="AH436" s="42">
        <v>2</v>
      </c>
      <c r="AI436" s="42">
        <v>0</v>
      </c>
      <c r="AJ436" s="42">
        <v>0</v>
      </c>
      <c r="AK436" s="42">
        <v>0</v>
      </c>
      <c r="AL436" s="42">
        <v>0</v>
      </c>
      <c r="AM436" s="42">
        <v>0</v>
      </c>
      <c r="AN436" s="42">
        <v>0</v>
      </c>
      <c r="AO436" s="42">
        <v>2</v>
      </c>
    </row>
    <row r="437" spans="1:41" ht="24" customHeight="1">
      <c r="A437" s="11">
        <f t="shared" si="73"/>
        <v>434</v>
      </c>
      <c r="B437" s="390">
        <v>5158</v>
      </c>
      <c r="C437" s="478" t="str">
        <f>VLOOKUP(B437,All!$B$4:$S$8977,2,FALSE)</f>
        <v>ជួប</v>
      </c>
      <c r="D437" s="479" t="str">
        <f>VLOOKUP(B437,All!$B$4:$S$89977,3,FALSE)</f>
        <v>រឹម</v>
      </c>
      <c r="E437" s="478" t="str">
        <f>VLOOKUP(B437,All!$B$4:$S$8977,4,FALSE)</f>
        <v>CHOB</v>
      </c>
      <c r="F437" s="479" t="str">
        <f>VLOOKUP(B437,All!$B$4:$S$8977,5,FALSE)</f>
        <v>REM</v>
      </c>
      <c r="G437" s="479" t="str">
        <f>VLOOKUP(B437,All!$B$4:$S$8977,6,FALSE)</f>
        <v>F</v>
      </c>
      <c r="H437" s="385">
        <f>VLOOKUP(B437,All!$B$4:$S$8977,7,FALSE)</f>
        <v>34180</v>
      </c>
      <c r="I437" s="154">
        <f>VLOOKUP(B437,All!$B$4:$S$8977,8,FALSE)</f>
        <v>44481</v>
      </c>
      <c r="J437" s="154" t="str">
        <f>VLOOKUP(B437,All!$B$4:$S$8977,9,FALSE)</f>
        <v>Production</v>
      </c>
      <c r="K437" s="154" t="str">
        <f>VLOOKUP(B437,All!$B$4:$S$8977,10,FALSE)</f>
        <v>Line 7</v>
      </c>
      <c r="L437" s="698" t="str">
        <f>VLOOKUP(B437,All!$B$4:$S$8977,11,FALSE)</f>
        <v>Sewing operator</v>
      </c>
      <c r="M437" s="570">
        <f>VLOOKUP(B437,All!$B$4:$S$8977,12,FALSE)</f>
        <v>187</v>
      </c>
      <c r="N437" s="18">
        <f>VLOOKUP(B437,All!$B$4:$S$8977,13,FALSE)</f>
        <v>0</v>
      </c>
      <c r="O437" s="18">
        <f>VLOOKUP(B437,All!$B$4:$S$8977,14,FALSE)</f>
        <v>0</v>
      </c>
      <c r="P437" s="18">
        <f>VLOOKUP(B437,All!$B$4:$S$8977,15,FALSE)</f>
        <v>0</v>
      </c>
      <c r="Q437" s="18">
        <f>VLOOKUP(B437,All!$B$4:$S$8977,16,FALSE)</f>
        <v>0</v>
      </c>
      <c r="R437" s="18">
        <v>7</v>
      </c>
      <c r="S437" s="18">
        <v>10</v>
      </c>
      <c r="T437" s="550">
        <f t="shared" si="74"/>
        <v>204</v>
      </c>
      <c r="U437" s="568"/>
      <c r="V437" s="3"/>
      <c r="W437" s="3"/>
      <c r="X437" s="3"/>
      <c r="Y437" s="562"/>
      <c r="Z437" s="565">
        <f t="shared" si="84"/>
        <v>194</v>
      </c>
      <c r="AA437" s="18">
        <f t="shared" si="79"/>
        <v>0</v>
      </c>
      <c r="AB437" s="18">
        <f t="shared" si="80"/>
        <v>0</v>
      </c>
      <c r="AC437" s="18">
        <f t="shared" si="81"/>
        <v>0</v>
      </c>
      <c r="AD437" s="18">
        <f t="shared" si="82"/>
        <v>0</v>
      </c>
      <c r="AE437" s="18">
        <f t="shared" si="75"/>
        <v>7</v>
      </c>
      <c r="AF437" s="18">
        <f t="shared" si="76"/>
        <v>10</v>
      </c>
      <c r="AG437" s="550">
        <f t="shared" si="77"/>
        <v>211</v>
      </c>
      <c r="AH437" s="42">
        <v>2</v>
      </c>
      <c r="AI437" s="42">
        <v>0</v>
      </c>
      <c r="AJ437" s="42">
        <v>0</v>
      </c>
      <c r="AK437" s="42">
        <v>0</v>
      </c>
      <c r="AL437" s="42">
        <v>0</v>
      </c>
      <c r="AM437" s="42">
        <v>0</v>
      </c>
      <c r="AN437" s="42">
        <v>0</v>
      </c>
      <c r="AO437" s="42">
        <v>2</v>
      </c>
    </row>
    <row r="438" spans="1:41" ht="24" customHeight="1">
      <c r="A438" s="11">
        <f t="shared" si="73"/>
        <v>435</v>
      </c>
      <c r="B438" s="390">
        <v>5159</v>
      </c>
      <c r="C438" s="478" t="str">
        <f>VLOOKUP(B438,All!$B$4:$S$8977,2,FALSE)</f>
        <v>ហាក់</v>
      </c>
      <c r="D438" s="479" t="str">
        <f>VLOOKUP(B438,All!$B$4:$S$89977,3,FALSE)</f>
        <v>ស្រីពេជ</v>
      </c>
      <c r="E438" s="478" t="str">
        <f>VLOOKUP(B438,All!$B$4:$S$8977,4,FALSE)</f>
        <v>HAK</v>
      </c>
      <c r="F438" s="479" t="str">
        <f>VLOOKUP(B438,All!$B$4:$S$8977,5,FALSE)</f>
        <v>SREYPECH</v>
      </c>
      <c r="G438" s="479" t="str">
        <f>VLOOKUP(B438,All!$B$4:$S$8977,6,FALSE)</f>
        <v>F</v>
      </c>
      <c r="H438" s="385">
        <f>VLOOKUP(B438,All!$B$4:$S$8977,7,FALSE)</f>
        <v>36872</v>
      </c>
      <c r="I438" s="154">
        <f>VLOOKUP(B438,All!$B$4:$S$8977,8,FALSE)</f>
        <v>44482</v>
      </c>
      <c r="J438" s="154" t="str">
        <f>VLOOKUP(B438,All!$B$4:$S$8977,9,FALSE)</f>
        <v>Production</v>
      </c>
      <c r="K438" s="154" t="str">
        <f>VLOOKUP(B438,All!$B$4:$S$8977,10,FALSE)</f>
        <v>Line 12</v>
      </c>
      <c r="L438" s="698" t="str">
        <f>VLOOKUP(B438,All!$B$4:$S$8977,11,FALSE)</f>
        <v>Sewing operator</v>
      </c>
      <c r="M438" s="570">
        <f>VLOOKUP(B438,All!$B$4:$S$8977,12,FALSE)</f>
        <v>187</v>
      </c>
      <c r="N438" s="18">
        <f>VLOOKUP(B438,All!$B$4:$S$8977,13,FALSE)</f>
        <v>0</v>
      </c>
      <c r="O438" s="18">
        <f>VLOOKUP(B438,All!$B$4:$S$8977,14,FALSE)</f>
        <v>0</v>
      </c>
      <c r="P438" s="18">
        <f>VLOOKUP(B438,All!$B$4:$S$8977,15,FALSE)</f>
        <v>0</v>
      </c>
      <c r="Q438" s="18">
        <f>VLOOKUP(B438,All!$B$4:$S$8977,16,FALSE)</f>
        <v>0</v>
      </c>
      <c r="R438" s="18">
        <v>7</v>
      </c>
      <c r="S438" s="18">
        <v>10</v>
      </c>
      <c r="T438" s="550">
        <f t="shared" si="74"/>
        <v>204</v>
      </c>
      <c r="U438" s="568"/>
      <c r="V438" s="3"/>
      <c r="W438" s="3"/>
      <c r="X438" s="3"/>
      <c r="Y438" s="562"/>
      <c r="Z438" s="565">
        <f t="shared" si="84"/>
        <v>194</v>
      </c>
      <c r="AA438" s="18">
        <f t="shared" si="79"/>
        <v>0</v>
      </c>
      <c r="AB438" s="18">
        <f t="shared" si="80"/>
        <v>0</v>
      </c>
      <c r="AC438" s="18">
        <f t="shared" si="81"/>
        <v>0</v>
      </c>
      <c r="AD438" s="18">
        <f t="shared" si="82"/>
        <v>0</v>
      </c>
      <c r="AE438" s="18">
        <f t="shared" si="75"/>
        <v>7</v>
      </c>
      <c r="AF438" s="18">
        <f t="shared" si="76"/>
        <v>10</v>
      </c>
      <c r="AG438" s="550">
        <f t="shared" si="77"/>
        <v>211</v>
      </c>
      <c r="AH438" s="42">
        <v>2</v>
      </c>
      <c r="AI438" s="42">
        <v>0</v>
      </c>
      <c r="AJ438" s="42">
        <v>0</v>
      </c>
      <c r="AK438" s="42">
        <v>0</v>
      </c>
      <c r="AL438" s="42">
        <v>0</v>
      </c>
      <c r="AM438" s="42">
        <v>0</v>
      </c>
      <c r="AN438" s="42">
        <v>0</v>
      </c>
      <c r="AO438" s="42">
        <v>2</v>
      </c>
    </row>
    <row r="439" spans="1:41" ht="24" customHeight="1">
      <c r="A439" s="11">
        <f t="shared" si="73"/>
        <v>436</v>
      </c>
      <c r="B439" s="390">
        <v>5160</v>
      </c>
      <c r="C439" s="478" t="str">
        <f>VLOOKUP(B439,All!$B$4:$S$8977,2,FALSE)</f>
        <v>គង់</v>
      </c>
      <c r="D439" s="479" t="str">
        <f>VLOOKUP(B439,All!$B$4:$S$89977,3,FALSE)</f>
        <v>សុបិន</v>
      </c>
      <c r="E439" s="478" t="str">
        <f>VLOOKUP(B439,All!$B$4:$S$8977,4,FALSE)</f>
        <v>KONG</v>
      </c>
      <c r="F439" s="479" t="str">
        <f>VLOOKUP(B439,All!$B$4:$S$8977,5,FALSE)</f>
        <v>SOBIN</v>
      </c>
      <c r="G439" s="479" t="str">
        <f>VLOOKUP(B439,All!$B$4:$S$8977,6,FALSE)</f>
        <v>F</v>
      </c>
      <c r="H439" s="385">
        <f>VLOOKUP(B439,All!$B$4:$S$8977,7,FALSE)</f>
        <v>33854</v>
      </c>
      <c r="I439" s="154">
        <f>VLOOKUP(B439,All!$B$4:$S$8977,8,FALSE)</f>
        <v>44482</v>
      </c>
      <c r="J439" s="154" t="str">
        <f>VLOOKUP(B439,All!$B$4:$S$8977,9,FALSE)</f>
        <v>Production</v>
      </c>
      <c r="K439" s="154" t="str">
        <f>VLOOKUP(B439,All!$B$4:$S$8977,10,FALSE)</f>
        <v>Line 12</v>
      </c>
      <c r="L439" s="698" t="str">
        <f>VLOOKUP(B439,All!$B$4:$S$8977,11,FALSE)</f>
        <v>Sewing operator</v>
      </c>
      <c r="M439" s="570">
        <f>VLOOKUP(B439,All!$B$4:$S$8977,12,FALSE)</f>
        <v>192</v>
      </c>
      <c r="N439" s="18">
        <f>VLOOKUP(B439,All!$B$4:$S$8977,13,FALSE)</f>
        <v>0</v>
      </c>
      <c r="O439" s="18">
        <f>VLOOKUP(B439,All!$B$4:$S$8977,14,FALSE)</f>
        <v>0</v>
      </c>
      <c r="P439" s="18">
        <f>VLOOKUP(B439,All!$B$4:$S$8977,15,FALSE)</f>
        <v>0</v>
      </c>
      <c r="Q439" s="18">
        <f>VLOOKUP(B439,All!$B$4:$S$8977,16,FALSE)</f>
        <v>0</v>
      </c>
      <c r="R439" s="18">
        <v>7</v>
      </c>
      <c r="S439" s="18">
        <v>10</v>
      </c>
      <c r="T439" s="550">
        <f t="shared" si="74"/>
        <v>209</v>
      </c>
      <c r="U439" s="568"/>
      <c r="V439" s="3"/>
      <c r="W439" s="3"/>
      <c r="X439" s="3"/>
      <c r="Y439" s="562"/>
      <c r="Z439" s="565">
        <f t="shared" si="78"/>
        <v>194</v>
      </c>
      <c r="AA439" s="18">
        <f t="shared" si="79"/>
        <v>0</v>
      </c>
      <c r="AB439" s="18">
        <f t="shared" si="80"/>
        <v>0</v>
      </c>
      <c r="AC439" s="18">
        <f t="shared" si="81"/>
        <v>0</v>
      </c>
      <c r="AD439" s="18">
        <f t="shared" si="82"/>
        <v>0</v>
      </c>
      <c r="AE439" s="18">
        <f t="shared" si="75"/>
        <v>7</v>
      </c>
      <c r="AF439" s="18">
        <f t="shared" si="76"/>
        <v>10</v>
      </c>
      <c r="AG439" s="550">
        <f t="shared" si="77"/>
        <v>211</v>
      </c>
      <c r="AH439" s="42">
        <v>2</v>
      </c>
      <c r="AI439" s="42">
        <v>0</v>
      </c>
      <c r="AJ439" s="42">
        <v>0</v>
      </c>
      <c r="AK439" s="42">
        <v>0</v>
      </c>
      <c r="AL439" s="42">
        <v>0</v>
      </c>
      <c r="AM439" s="42">
        <v>0</v>
      </c>
      <c r="AN439" s="42">
        <v>0</v>
      </c>
      <c r="AO439" s="42">
        <v>2</v>
      </c>
    </row>
    <row r="440" spans="1:41" ht="24" customHeight="1">
      <c r="A440" s="11">
        <f t="shared" si="73"/>
        <v>437</v>
      </c>
      <c r="B440" s="390">
        <v>5161</v>
      </c>
      <c r="C440" s="478" t="str">
        <f>VLOOKUP(B440,All!$B$4:$S$8977,2,FALSE)</f>
        <v>ឌី</v>
      </c>
      <c r="D440" s="479" t="str">
        <f>VLOOKUP(B440,All!$B$4:$S$89977,3,FALSE)</f>
        <v>អ៊ួក</v>
      </c>
      <c r="E440" s="478" t="str">
        <f>VLOOKUP(B440,All!$B$4:$S$8977,4,FALSE)</f>
        <v>DY</v>
      </c>
      <c r="F440" s="479" t="str">
        <f>VLOOKUP(B440,All!$B$4:$S$8977,5,FALSE)</f>
        <v>OUK</v>
      </c>
      <c r="G440" s="479" t="str">
        <f>VLOOKUP(B440,All!$B$4:$S$8977,6,FALSE)</f>
        <v>F</v>
      </c>
      <c r="H440" s="385">
        <f>VLOOKUP(B440,All!$B$4:$S$8977,7,FALSE)</f>
        <v>33019</v>
      </c>
      <c r="I440" s="154">
        <f>VLOOKUP(B440,All!$B$4:$S$8977,8,FALSE)</f>
        <v>44482</v>
      </c>
      <c r="J440" s="154" t="str">
        <f>VLOOKUP(B440,All!$B$4:$S$8977,9,FALSE)</f>
        <v>Production</v>
      </c>
      <c r="K440" s="154" t="str">
        <f>VLOOKUP(B440,All!$B$4:$S$8977,10,FALSE)</f>
        <v>Line 12</v>
      </c>
      <c r="L440" s="698" t="str">
        <f>VLOOKUP(B440,All!$B$4:$S$8977,11,FALSE)</f>
        <v>Sewing operator</v>
      </c>
      <c r="M440" s="570">
        <f>VLOOKUP(B440,All!$B$4:$S$8977,12,FALSE)</f>
        <v>187</v>
      </c>
      <c r="N440" s="18">
        <f>VLOOKUP(B440,All!$B$4:$S$8977,13,FALSE)</f>
        <v>0</v>
      </c>
      <c r="O440" s="18">
        <f>VLOOKUP(B440,All!$B$4:$S$8977,14,FALSE)</f>
        <v>0</v>
      </c>
      <c r="P440" s="18">
        <f>VLOOKUP(B440,All!$B$4:$S$8977,15,FALSE)</f>
        <v>0</v>
      </c>
      <c r="Q440" s="18">
        <f>VLOOKUP(B440,All!$B$4:$S$8977,16,FALSE)</f>
        <v>0</v>
      </c>
      <c r="R440" s="18">
        <v>7</v>
      </c>
      <c r="S440" s="18">
        <v>10</v>
      </c>
      <c r="T440" s="550">
        <f t="shared" si="74"/>
        <v>204</v>
      </c>
      <c r="U440" s="568"/>
      <c r="V440" s="3"/>
      <c r="W440" s="3"/>
      <c r="X440" s="3"/>
      <c r="Y440" s="562"/>
      <c r="Z440" s="565">
        <f>M440+AH440+5</f>
        <v>194</v>
      </c>
      <c r="AA440" s="18">
        <f t="shared" si="79"/>
        <v>0</v>
      </c>
      <c r="AB440" s="18">
        <f t="shared" si="80"/>
        <v>0</v>
      </c>
      <c r="AC440" s="18">
        <f t="shared" si="81"/>
        <v>0</v>
      </c>
      <c r="AD440" s="18">
        <f t="shared" si="82"/>
        <v>0</v>
      </c>
      <c r="AE440" s="18">
        <f t="shared" si="75"/>
        <v>7</v>
      </c>
      <c r="AF440" s="18">
        <f t="shared" si="76"/>
        <v>10</v>
      </c>
      <c r="AG440" s="550">
        <f t="shared" si="77"/>
        <v>211</v>
      </c>
      <c r="AH440" s="42">
        <v>2</v>
      </c>
      <c r="AI440" s="42">
        <v>0</v>
      </c>
      <c r="AJ440" s="42">
        <v>0</v>
      </c>
      <c r="AK440" s="42">
        <v>0</v>
      </c>
      <c r="AL440" s="42">
        <v>0</v>
      </c>
      <c r="AM440" s="42">
        <v>0</v>
      </c>
      <c r="AN440" s="42">
        <v>0</v>
      </c>
      <c r="AO440" s="42">
        <v>2</v>
      </c>
    </row>
    <row r="441" spans="1:41" ht="24" customHeight="1">
      <c r="A441" s="11">
        <f t="shared" si="73"/>
        <v>438</v>
      </c>
      <c r="B441" s="390">
        <v>5162</v>
      </c>
      <c r="C441" s="478" t="str">
        <f>VLOOKUP(B441,All!$B$4:$S$8977,2,FALSE)</f>
        <v>កោះ</v>
      </c>
      <c r="D441" s="479" t="str">
        <f>VLOOKUP(B441,All!$B$4:$S$89977,3,FALSE)</f>
        <v>ឌិន</v>
      </c>
      <c r="E441" s="478" t="str">
        <f>VLOOKUP(B441,All!$B$4:$S$8977,4,FALSE)</f>
        <v>KOH</v>
      </c>
      <c r="F441" s="479" t="str">
        <f>VLOOKUP(B441,All!$B$4:$S$8977,5,FALSE)</f>
        <v>DIN</v>
      </c>
      <c r="G441" s="479" t="str">
        <f>VLOOKUP(B441,All!$B$4:$S$8977,6,FALSE)</f>
        <v>F</v>
      </c>
      <c r="H441" s="385">
        <f>VLOOKUP(B441,All!$B$4:$S$8977,7,FALSE)</f>
        <v>28991</v>
      </c>
      <c r="I441" s="154">
        <f>VLOOKUP(B441,All!$B$4:$S$8977,8,FALSE)</f>
        <v>44482</v>
      </c>
      <c r="J441" s="154" t="str">
        <f>VLOOKUP(B441,All!$B$4:$S$8977,9,FALSE)</f>
        <v>Production</v>
      </c>
      <c r="K441" s="154" t="str">
        <f>VLOOKUP(B441,All!$B$4:$S$8977,10,FALSE)</f>
        <v>Line 12</v>
      </c>
      <c r="L441" s="698" t="str">
        <f>VLOOKUP(B441,All!$B$4:$S$8977,11,FALSE)</f>
        <v>Sewing operator</v>
      </c>
      <c r="M441" s="570">
        <f>VLOOKUP(B441,All!$B$4:$S$8977,12,FALSE)</f>
        <v>192</v>
      </c>
      <c r="N441" s="18">
        <f>VLOOKUP(B441,All!$B$4:$S$8977,13,FALSE)</f>
        <v>0</v>
      </c>
      <c r="O441" s="18">
        <f>VLOOKUP(B441,All!$B$4:$S$8977,14,FALSE)</f>
        <v>0</v>
      </c>
      <c r="P441" s="18">
        <f>VLOOKUP(B441,All!$B$4:$S$8977,15,FALSE)</f>
        <v>0</v>
      </c>
      <c r="Q441" s="18">
        <f>VLOOKUP(B441,All!$B$4:$S$8977,16,FALSE)</f>
        <v>0</v>
      </c>
      <c r="R441" s="18">
        <v>7</v>
      </c>
      <c r="S441" s="18">
        <v>10</v>
      </c>
      <c r="T441" s="550">
        <f t="shared" si="74"/>
        <v>209</v>
      </c>
      <c r="U441" s="568"/>
      <c r="V441" s="3"/>
      <c r="W441" s="3"/>
      <c r="X441" s="3"/>
      <c r="Y441" s="562"/>
      <c r="Z441" s="565">
        <f t="shared" si="78"/>
        <v>194</v>
      </c>
      <c r="AA441" s="18">
        <f t="shared" si="79"/>
        <v>0</v>
      </c>
      <c r="AB441" s="18">
        <f t="shared" si="80"/>
        <v>0</v>
      </c>
      <c r="AC441" s="18">
        <f t="shared" si="81"/>
        <v>0</v>
      </c>
      <c r="AD441" s="18">
        <f t="shared" si="82"/>
        <v>0</v>
      </c>
      <c r="AE441" s="18">
        <f t="shared" si="75"/>
        <v>7</v>
      </c>
      <c r="AF441" s="18">
        <f t="shared" si="76"/>
        <v>10</v>
      </c>
      <c r="AG441" s="550">
        <f t="shared" si="77"/>
        <v>211</v>
      </c>
      <c r="AH441" s="42">
        <v>2</v>
      </c>
      <c r="AI441" s="42">
        <v>0</v>
      </c>
      <c r="AJ441" s="42">
        <v>0</v>
      </c>
      <c r="AK441" s="42">
        <v>0</v>
      </c>
      <c r="AL441" s="42">
        <v>0</v>
      </c>
      <c r="AM441" s="42">
        <v>0</v>
      </c>
      <c r="AN441" s="42">
        <v>0</v>
      </c>
      <c r="AO441" s="42">
        <v>2</v>
      </c>
    </row>
    <row r="442" spans="1:41" ht="24" customHeight="1">
      <c r="A442" s="11">
        <f t="shared" si="73"/>
        <v>439</v>
      </c>
      <c r="B442" s="390">
        <v>5163</v>
      </c>
      <c r="C442" s="478" t="str">
        <f>VLOOKUP(B442,All!$B$4:$S$8977,2,FALSE)</f>
        <v>សេន</v>
      </c>
      <c r="D442" s="479" t="str">
        <f>VLOOKUP(B442,All!$B$4:$S$89977,3,FALSE)</f>
        <v>សារ៉េត</v>
      </c>
      <c r="E442" s="478" t="str">
        <f>VLOOKUP(B442,All!$B$4:$S$8977,4,FALSE)</f>
        <v>SEN</v>
      </c>
      <c r="F442" s="479" t="str">
        <f>VLOOKUP(B442,All!$B$4:$S$8977,5,FALSE)</f>
        <v>SARETH</v>
      </c>
      <c r="G442" s="479" t="str">
        <f>VLOOKUP(B442,All!$B$4:$S$8977,6,FALSE)</f>
        <v>F</v>
      </c>
      <c r="H442" s="385">
        <f>VLOOKUP(B442,All!$B$4:$S$8977,7,FALSE)</f>
        <v>31566</v>
      </c>
      <c r="I442" s="154">
        <f>VLOOKUP(B442,All!$B$4:$S$8977,8,FALSE)</f>
        <v>44483</v>
      </c>
      <c r="J442" s="154" t="str">
        <f>VLOOKUP(B442,All!$B$4:$S$8977,9,FALSE)</f>
        <v>Production</v>
      </c>
      <c r="K442" s="154" t="str">
        <f>VLOOKUP(B442,All!$B$4:$S$8977,10,FALSE)</f>
        <v>Line 7</v>
      </c>
      <c r="L442" s="698" t="str">
        <f>VLOOKUP(B442,All!$B$4:$S$8977,11,FALSE)</f>
        <v>Sewing operator</v>
      </c>
      <c r="M442" s="570">
        <f>VLOOKUP(B442,All!$B$4:$S$8977,12,FALSE)</f>
        <v>192</v>
      </c>
      <c r="N442" s="18">
        <f>VLOOKUP(B442,All!$B$4:$S$8977,13,FALSE)</f>
        <v>0</v>
      </c>
      <c r="O442" s="18">
        <f>VLOOKUP(B442,All!$B$4:$S$8977,14,FALSE)</f>
        <v>0</v>
      </c>
      <c r="P442" s="18">
        <f>VLOOKUP(B442,All!$B$4:$S$8977,15,FALSE)</f>
        <v>0</v>
      </c>
      <c r="Q442" s="18">
        <f>VLOOKUP(B442,All!$B$4:$S$8977,16,FALSE)</f>
        <v>0</v>
      </c>
      <c r="R442" s="18">
        <v>7</v>
      </c>
      <c r="S442" s="18">
        <v>10</v>
      </c>
      <c r="T442" s="550">
        <f t="shared" si="74"/>
        <v>209</v>
      </c>
      <c r="U442" s="568"/>
      <c r="V442" s="3"/>
      <c r="W442" s="3"/>
      <c r="X442" s="3"/>
      <c r="Y442" s="562"/>
      <c r="Z442" s="565">
        <f t="shared" si="78"/>
        <v>194</v>
      </c>
      <c r="AA442" s="18">
        <f t="shared" si="79"/>
        <v>0</v>
      </c>
      <c r="AB442" s="18">
        <f t="shared" si="80"/>
        <v>0</v>
      </c>
      <c r="AC442" s="18">
        <f t="shared" si="81"/>
        <v>0</v>
      </c>
      <c r="AD442" s="18">
        <f t="shared" si="82"/>
        <v>0</v>
      </c>
      <c r="AE442" s="18">
        <f t="shared" si="75"/>
        <v>7</v>
      </c>
      <c r="AF442" s="18">
        <f t="shared" si="76"/>
        <v>10</v>
      </c>
      <c r="AG442" s="550">
        <f t="shared" si="77"/>
        <v>211</v>
      </c>
      <c r="AH442" s="42">
        <v>2</v>
      </c>
      <c r="AI442" s="42">
        <v>0</v>
      </c>
      <c r="AJ442" s="42">
        <v>0</v>
      </c>
      <c r="AK442" s="42">
        <v>0</v>
      </c>
      <c r="AL442" s="42">
        <v>0</v>
      </c>
      <c r="AM442" s="42">
        <v>0</v>
      </c>
      <c r="AN442" s="42">
        <v>0</v>
      </c>
      <c r="AO442" s="42">
        <v>2</v>
      </c>
    </row>
    <row r="443" spans="1:41" ht="24" customHeight="1">
      <c r="A443" s="11">
        <f t="shared" si="73"/>
        <v>440</v>
      </c>
      <c r="B443" s="390">
        <v>5164</v>
      </c>
      <c r="C443" s="478" t="str">
        <f>VLOOKUP(B443,All!$B$4:$S$8977,2,FALSE)</f>
        <v>ស៊ី</v>
      </c>
      <c r="D443" s="479" t="str">
        <f>VLOOKUP(B443,All!$B$4:$S$89977,3,FALSE)</f>
        <v>ស្រីលាក់</v>
      </c>
      <c r="E443" s="478" t="str">
        <f>VLOOKUP(B443,All!$B$4:$S$8977,4,FALSE)</f>
        <v>SI</v>
      </c>
      <c r="F443" s="479" t="str">
        <f>VLOOKUP(B443,All!$B$4:$S$8977,5,FALSE)</f>
        <v>SREYLEAK</v>
      </c>
      <c r="G443" s="479" t="str">
        <f>VLOOKUP(B443,All!$B$4:$S$8977,6,FALSE)</f>
        <v>F</v>
      </c>
      <c r="H443" s="385">
        <f>VLOOKUP(B443,All!$B$4:$S$8977,7,FALSE)</f>
        <v>34736</v>
      </c>
      <c r="I443" s="154">
        <f>VLOOKUP(B443,All!$B$4:$S$8977,8,FALSE)</f>
        <v>44483</v>
      </c>
      <c r="J443" s="154" t="str">
        <f>VLOOKUP(B443,All!$B$4:$S$8977,9,FALSE)</f>
        <v>Production</v>
      </c>
      <c r="K443" s="154" t="str">
        <f>VLOOKUP(B443,All!$B$4:$S$8977,10,FALSE)</f>
        <v>Line 12</v>
      </c>
      <c r="L443" s="698" t="str">
        <f>VLOOKUP(B443,All!$B$4:$S$8977,11,FALSE)</f>
        <v>Sewing operator</v>
      </c>
      <c r="M443" s="570">
        <f>VLOOKUP(B443,All!$B$4:$S$8977,12,FALSE)</f>
        <v>187</v>
      </c>
      <c r="N443" s="18">
        <f>VLOOKUP(B443,All!$B$4:$S$8977,13,FALSE)</f>
        <v>0</v>
      </c>
      <c r="O443" s="18">
        <f>VLOOKUP(B443,All!$B$4:$S$8977,14,FALSE)</f>
        <v>0</v>
      </c>
      <c r="P443" s="18">
        <f>VLOOKUP(B443,All!$B$4:$S$8977,15,FALSE)</f>
        <v>0</v>
      </c>
      <c r="Q443" s="18">
        <f>VLOOKUP(B443,All!$B$4:$S$8977,16,FALSE)</f>
        <v>0</v>
      </c>
      <c r="R443" s="18">
        <v>7</v>
      </c>
      <c r="S443" s="18">
        <v>10</v>
      </c>
      <c r="T443" s="550">
        <f t="shared" si="74"/>
        <v>204</v>
      </c>
      <c r="U443" s="568"/>
      <c r="V443" s="3"/>
      <c r="W443" s="3"/>
      <c r="X443" s="3"/>
      <c r="Y443" s="562"/>
      <c r="Z443" s="565">
        <f t="shared" ref="Z443:Z453" si="85">M443+AH443+5</f>
        <v>194</v>
      </c>
      <c r="AA443" s="18">
        <f t="shared" si="79"/>
        <v>0</v>
      </c>
      <c r="AB443" s="18">
        <f t="shared" si="80"/>
        <v>0</v>
      </c>
      <c r="AC443" s="18">
        <f t="shared" si="81"/>
        <v>0</v>
      </c>
      <c r="AD443" s="18">
        <f t="shared" si="82"/>
        <v>0</v>
      </c>
      <c r="AE443" s="18">
        <f t="shared" si="75"/>
        <v>7</v>
      </c>
      <c r="AF443" s="18">
        <f t="shared" si="76"/>
        <v>10</v>
      </c>
      <c r="AG443" s="550">
        <f t="shared" si="77"/>
        <v>211</v>
      </c>
      <c r="AH443" s="42">
        <v>2</v>
      </c>
      <c r="AI443" s="42">
        <v>0</v>
      </c>
      <c r="AJ443" s="42">
        <v>0</v>
      </c>
      <c r="AK443" s="42">
        <v>0</v>
      </c>
      <c r="AL443" s="42">
        <v>0</v>
      </c>
      <c r="AM443" s="42">
        <v>0</v>
      </c>
      <c r="AN443" s="42">
        <v>0</v>
      </c>
      <c r="AO443" s="42">
        <v>2</v>
      </c>
    </row>
    <row r="444" spans="1:41" ht="24" customHeight="1">
      <c r="A444" s="11">
        <f t="shared" si="73"/>
        <v>441</v>
      </c>
      <c r="B444" s="390">
        <v>5165</v>
      </c>
      <c r="C444" s="478" t="str">
        <f>VLOOKUP(B444,All!$B$4:$S$8977,2,FALSE)</f>
        <v>ណែត</v>
      </c>
      <c r="D444" s="479" t="str">
        <f>VLOOKUP(B444,All!$B$4:$S$89977,3,FALSE)</f>
        <v>នីសា</v>
      </c>
      <c r="E444" s="478" t="str">
        <f>VLOOKUP(B444,All!$B$4:$S$8977,4,FALSE)</f>
        <v>NETH</v>
      </c>
      <c r="F444" s="479" t="str">
        <f>VLOOKUP(B444,All!$B$4:$S$8977,5,FALSE)</f>
        <v>NISA</v>
      </c>
      <c r="G444" s="479" t="str">
        <f>VLOOKUP(B444,All!$B$4:$S$8977,6,FALSE)</f>
        <v>F</v>
      </c>
      <c r="H444" s="385">
        <f>VLOOKUP(B444,All!$B$4:$S$8977,7,FALSE)</f>
        <v>37416</v>
      </c>
      <c r="I444" s="154">
        <f>VLOOKUP(B444,All!$B$4:$S$8977,8,FALSE)</f>
        <v>44483</v>
      </c>
      <c r="J444" s="154" t="str">
        <f>VLOOKUP(B444,All!$B$4:$S$8977,9,FALSE)</f>
        <v>Production</v>
      </c>
      <c r="K444" s="154" t="str">
        <f>VLOOKUP(B444,All!$B$4:$S$8977,10,FALSE)</f>
        <v>Line 12</v>
      </c>
      <c r="L444" s="698" t="str">
        <f>VLOOKUP(B444,All!$B$4:$S$8977,11,FALSE)</f>
        <v>Sewing operator</v>
      </c>
      <c r="M444" s="570">
        <f>VLOOKUP(B444,All!$B$4:$S$8977,12,FALSE)</f>
        <v>187</v>
      </c>
      <c r="N444" s="18">
        <f>VLOOKUP(B444,All!$B$4:$S$8977,13,FALSE)</f>
        <v>0</v>
      </c>
      <c r="O444" s="18">
        <f>VLOOKUP(B444,All!$B$4:$S$8977,14,FALSE)</f>
        <v>0</v>
      </c>
      <c r="P444" s="18">
        <f>VLOOKUP(B444,All!$B$4:$S$8977,15,FALSE)</f>
        <v>0</v>
      </c>
      <c r="Q444" s="18">
        <f>VLOOKUP(B444,All!$B$4:$S$8977,16,FALSE)</f>
        <v>0</v>
      </c>
      <c r="R444" s="18">
        <v>7</v>
      </c>
      <c r="S444" s="18">
        <v>10</v>
      </c>
      <c r="T444" s="550">
        <f t="shared" si="74"/>
        <v>204</v>
      </c>
      <c r="U444" s="568"/>
      <c r="V444" s="3"/>
      <c r="W444" s="3"/>
      <c r="X444" s="3"/>
      <c r="Y444" s="562"/>
      <c r="Z444" s="565">
        <f t="shared" si="85"/>
        <v>194</v>
      </c>
      <c r="AA444" s="18">
        <f t="shared" si="79"/>
        <v>0</v>
      </c>
      <c r="AB444" s="18">
        <f t="shared" si="80"/>
        <v>0</v>
      </c>
      <c r="AC444" s="18">
        <f t="shared" si="81"/>
        <v>0</v>
      </c>
      <c r="AD444" s="18">
        <f t="shared" si="82"/>
        <v>0</v>
      </c>
      <c r="AE444" s="18">
        <f t="shared" si="75"/>
        <v>7</v>
      </c>
      <c r="AF444" s="18">
        <f t="shared" si="76"/>
        <v>10</v>
      </c>
      <c r="AG444" s="550">
        <f t="shared" si="77"/>
        <v>211</v>
      </c>
      <c r="AH444" s="42">
        <v>2</v>
      </c>
      <c r="AI444" s="42">
        <v>0</v>
      </c>
      <c r="AJ444" s="42">
        <v>0</v>
      </c>
      <c r="AK444" s="42">
        <v>0</v>
      </c>
      <c r="AL444" s="42">
        <v>0</v>
      </c>
      <c r="AM444" s="42">
        <v>0</v>
      </c>
      <c r="AN444" s="42">
        <v>0</v>
      </c>
      <c r="AO444" s="42">
        <v>2</v>
      </c>
    </row>
    <row r="445" spans="1:41" ht="24" customHeight="1">
      <c r="A445" s="11">
        <f t="shared" si="73"/>
        <v>442</v>
      </c>
      <c r="B445" s="390">
        <v>5168</v>
      </c>
      <c r="C445" s="478" t="str">
        <f>VLOOKUP(B445,All!$B$4:$S$8977,2,FALSE)</f>
        <v>អ៊ុង</v>
      </c>
      <c r="D445" s="479" t="str">
        <f>VLOOKUP(B445,All!$B$4:$S$89977,3,FALSE)</f>
        <v>ណា</v>
      </c>
      <c r="E445" s="478" t="str">
        <f>VLOOKUP(B445,All!$B$4:$S$8977,4,FALSE)</f>
        <v>ING</v>
      </c>
      <c r="F445" s="479" t="str">
        <f>VLOOKUP(B445,All!$B$4:$S$8977,5,FALSE)</f>
        <v>NA</v>
      </c>
      <c r="G445" s="479" t="str">
        <f>VLOOKUP(B445,All!$B$4:$S$8977,6,FALSE)</f>
        <v>F</v>
      </c>
      <c r="H445" s="385">
        <f>VLOOKUP(B445,All!$B$4:$S$8977,7,FALSE)</f>
        <v>33728</v>
      </c>
      <c r="I445" s="154">
        <f>VLOOKUP(B445,All!$B$4:$S$8977,8,FALSE)</f>
        <v>44485</v>
      </c>
      <c r="J445" s="154" t="str">
        <f>VLOOKUP(B445,All!$B$4:$S$8977,9,FALSE)</f>
        <v>Production</v>
      </c>
      <c r="K445" s="154" t="str">
        <f>VLOOKUP(B445,All!$B$4:$S$8977,10,FALSE)</f>
        <v>Line 12</v>
      </c>
      <c r="L445" s="698" t="str">
        <f>VLOOKUP(B445,All!$B$4:$S$8977,11,FALSE)</f>
        <v>Sewing operator</v>
      </c>
      <c r="M445" s="570">
        <f>VLOOKUP(B445,All!$B$4:$S$8977,12,FALSE)</f>
        <v>187</v>
      </c>
      <c r="N445" s="18">
        <f>VLOOKUP(B445,All!$B$4:$S$8977,13,FALSE)</f>
        <v>0</v>
      </c>
      <c r="O445" s="18">
        <f>VLOOKUP(B445,All!$B$4:$S$8977,14,FALSE)</f>
        <v>0</v>
      </c>
      <c r="P445" s="18">
        <f>VLOOKUP(B445,All!$B$4:$S$8977,15,FALSE)</f>
        <v>0</v>
      </c>
      <c r="Q445" s="18">
        <f>VLOOKUP(B445,All!$B$4:$S$8977,16,FALSE)</f>
        <v>0</v>
      </c>
      <c r="R445" s="18">
        <v>7</v>
      </c>
      <c r="S445" s="18">
        <v>10</v>
      </c>
      <c r="T445" s="550">
        <f t="shared" ref="T445:T467" si="86">SUM(M445:S445)</f>
        <v>204</v>
      </c>
      <c r="U445" s="568"/>
      <c r="V445" s="3"/>
      <c r="W445" s="3"/>
      <c r="X445" s="3"/>
      <c r="Y445" s="562"/>
      <c r="Z445" s="565">
        <f t="shared" si="85"/>
        <v>194</v>
      </c>
      <c r="AA445" s="18">
        <f t="shared" si="79"/>
        <v>0</v>
      </c>
      <c r="AB445" s="18">
        <f t="shared" si="80"/>
        <v>0</v>
      </c>
      <c r="AC445" s="18">
        <f t="shared" si="81"/>
        <v>0</v>
      </c>
      <c r="AD445" s="18">
        <f t="shared" si="82"/>
        <v>0</v>
      </c>
      <c r="AE445" s="18">
        <f t="shared" ref="AE445:AE466" si="87">R445</f>
        <v>7</v>
      </c>
      <c r="AF445" s="18">
        <f t="shared" ref="AF445:AF466" si="88">S445</f>
        <v>10</v>
      </c>
      <c r="AG445" s="550">
        <f t="shared" ref="AG445:AG467" si="89">SUM(Z445:AF445)</f>
        <v>211</v>
      </c>
      <c r="AH445" s="42">
        <v>2</v>
      </c>
      <c r="AI445" s="42">
        <v>0</v>
      </c>
      <c r="AJ445" s="42">
        <v>0</v>
      </c>
      <c r="AK445" s="42">
        <v>0</v>
      </c>
      <c r="AL445" s="42">
        <v>0</v>
      </c>
      <c r="AM445" s="42">
        <v>0</v>
      </c>
      <c r="AN445" s="42">
        <v>0</v>
      </c>
      <c r="AO445" s="42">
        <v>2</v>
      </c>
    </row>
    <row r="446" spans="1:41" ht="24" customHeight="1">
      <c r="A446" s="11">
        <f t="shared" si="73"/>
        <v>443</v>
      </c>
      <c r="B446" s="390">
        <v>5169</v>
      </c>
      <c r="C446" s="478" t="str">
        <f>VLOOKUP(B446,All!$B$4:$S$8977,2,FALSE)</f>
        <v>រស់</v>
      </c>
      <c r="D446" s="479" t="str">
        <f>VLOOKUP(B446,All!$B$4:$S$89977,3,FALSE)</f>
        <v>លាងហ៊ី</v>
      </c>
      <c r="E446" s="478" t="str">
        <f>VLOOKUP(B446,All!$B$4:$S$8977,4,FALSE)</f>
        <v>ROS</v>
      </c>
      <c r="F446" s="479" t="str">
        <f>VLOOKUP(B446,All!$B$4:$S$8977,5,FALSE)</f>
        <v>LEANGHE</v>
      </c>
      <c r="G446" s="479" t="str">
        <f>VLOOKUP(B446,All!$B$4:$S$8977,6,FALSE)</f>
        <v>F</v>
      </c>
      <c r="H446" s="385">
        <f>VLOOKUP(B446,All!$B$4:$S$8977,7,FALSE)</f>
        <v>35940</v>
      </c>
      <c r="I446" s="154">
        <f>VLOOKUP(B446,All!$B$4:$S$8977,8,FALSE)</f>
        <v>44485</v>
      </c>
      <c r="J446" s="154" t="str">
        <f>VLOOKUP(B446,All!$B$4:$S$8977,9,FALSE)</f>
        <v>Production</v>
      </c>
      <c r="K446" s="154" t="str">
        <f>VLOOKUP(B446,All!$B$4:$S$8977,10,FALSE)</f>
        <v>Line 12</v>
      </c>
      <c r="L446" s="698" t="str">
        <f>VLOOKUP(B446,All!$B$4:$S$8977,11,FALSE)</f>
        <v>Sewing operator</v>
      </c>
      <c r="M446" s="570">
        <f>VLOOKUP(B446,All!$B$4:$S$8977,12,FALSE)</f>
        <v>187</v>
      </c>
      <c r="N446" s="18">
        <f>VLOOKUP(B446,All!$B$4:$S$8977,13,FALSE)</f>
        <v>0</v>
      </c>
      <c r="O446" s="18">
        <f>VLOOKUP(B446,All!$B$4:$S$8977,14,FALSE)</f>
        <v>0</v>
      </c>
      <c r="P446" s="18">
        <f>VLOOKUP(B446,All!$B$4:$S$8977,15,FALSE)</f>
        <v>0</v>
      </c>
      <c r="Q446" s="18">
        <f>VLOOKUP(B446,All!$B$4:$S$8977,16,FALSE)</f>
        <v>0</v>
      </c>
      <c r="R446" s="18">
        <v>7</v>
      </c>
      <c r="S446" s="18">
        <v>10</v>
      </c>
      <c r="T446" s="550">
        <f t="shared" si="86"/>
        <v>204</v>
      </c>
      <c r="U446" s="568"/>
      <c r="V446" s="3"/>
      <c r="W446" s="3"/>
      <c r="X446" s="3"/>
      <c r="Y446" s="562"/>
      <c r="Z446" s="565">
        <f t="shared" si="85"/>
        <v>194</v>
      </c>
      <c r="AA446" s="18">
        <f t="shared" si="79"/>
        <v>0</v>
      </c>
      <c r="AB446" s="18">
        <f t="shared" si="80"/>
        <v>0</v>
      </c>
      <c r="AC446" s="18">
        <f t="shared" si="81"/>
        <v>0</v>
      </c>
      <c r="AD446" s="18">
        <f t="shared" si="82"/>
        <v>0</v>
      </c>
      <c r="AE446" s="18">
        <f t="shared" si="87"/>
        <v>7</v>
      </c>
      <c r="AF446" s="18">
        <f t="shared" si="88"/>
        <v>10</v>
      </c>
      <c r="AG446" s="550">
        <f t="shared" si="89"/>
        <v>211</v>
      </c>
      <c r="AH446" s="42">
        <v>2</v>
      </c>
      <c r="AI446" s="42">
        <v>0</v>
      </c>
      <c r="AJ446" s="42">
        <v>0</v>
      </c>
      <c r="AK446" s="42">
        <v>0</v>
      </c>
      <c r="AL446" s="42">
        <v>0</v>
      </c>
      <c r="AM446" s="42">
        <v>0</v>
      </c>
      <c r="AN446" s="42">
        <v>0</v>
      </c>
      <c r="AO446" s="42">
        <v>2</v>
      </c>
    </row>
    <row r="447" spans="1:41" ht="24" customHeight="1">
      <c r="A447" s="11">
        <f t="shared" si="73"/>
        <v>444</v>
      </c>
      <c r="B447" s="390">
        <v>5170</v>
      </c>
      <c r="C447" s="478" t="str">
        <f>VLOOKUP(B447,All!$B$4:$S$8977,2,FALSE)</f>
        <v>ស៊ាង</v>
      </c>
      <c r="D447" s="479" t="str">
        <f>VLOOKUP(B447,All!$B$4:$S$89977,3,FALSE)</f>
        <v>រិត</v>
      </c>
      <c r="E447" s="478" t="str">
        <f>VLOOKUP(B447,All!$B$4:$S$8977,4,FALSE)</f>
        <v>SEANG</v>
      </c>
      <c r="F447" s="479" t="str">
        <f>VLOOKUP(B447,All!$B$4:$S$8977,5,FALSE)</f>
        <v>RIT</v>
      </c>
      <c r="G447" s="479" t="str">
        <f>VLOOKUP(B447,All!$B$4:$S$8977,6,FALSE)</f>
        <v>F</v>
      </c>
      <c r="H447" s="385">
        <f>VLOOKUP(B447,All!$B$4:$S$8977,7,FALSE)</f>
        <v>35432</v>
      </c>
      <c r="I447" s="154">
        <f>VLOOKUP(B447,All!$B$4:$S$8977,8,FALSE)</f>
        <v>44485</v>
      </c>
      <c r="J447" s="154" t="str">
        <f>VLOOKUP(B447,All!$B$4:$S$8977,9,FALSE)</f>
        <v>Production</v>
      </c>
      <c r="K447" s="154" t="str">
        <f>VLOOKUP(B447,All!$B$4:$S$8977,10,FALSE)</f>
        <v>Line 12</v>
      </c>
      <c r="L447" s="698" t="str">
        <f>VLOOKUP(B447,All!$B$4:$S$8977,11,FALSE)</f>
        <v>Sewing operator</v>
      </c>
      <c r="M447" s="570">
        <f>VLOOKUP(B447,All!$B$4:$S$8977,12,FALSE)</f>
        <v>187</v>
      </c>
      <c r="N447" s="18">
        <f>VLOOKUP(B447,All!$B$4:$S$8977,13,FALSE)</f>
        <v>0</v>
      </c>
      <c r="O447" s="18">
        <f>VLOOKUP(B447,All!$B$4:$S$8977,14,FALSE)</f>
        <v>0</v>
      </c>
      <c r="P447" s="18">
        <f>VLOOKUP(B447,All!$B$4:$S$8977,15,FALSE)</f>
        <v>0</v>
      </c>
      <c r="Q447" s="18">
        <f>VLOOKUP(B447,All!$B$4:$S$8977,16,FALSE)</f>
        <v>0</v>
      </c>
      <c r="R447" s="18">
        <v>7</v>
      </c>
      <c r="S447" s="18">
        <v>10</v>
      </c>
      <c r="T447" s="550">
        <f t="shared" si="86"/>
        <v>204</v>
      </c>
      <c r="U447" s="568"/>
      <c r="V447" s="3"/>
      <c r="W447" s="3"/>
      <c r="X447" s="3"/>
      <c r="Y447" s="562"/>
      <c r="Z447" s="565">
        <f t="shared" si="85"/>
        <v>194</v>
      </c>
      <c r="AA447" s="18">
        <f t="shared" si="79"/>
        <v>0</v>
      </c>
      <c r="AB447" s="18">
        <f t="shared" si="80"/>
        <v>0</v>
      </c>
      <c r="AC447" s="18">
        <f t="shared" si="81"/>
        <v>0</v>
      </c>
      <c r="AD447" s="18">
        <f t="shared" si="82"/>
        <v>0</v>
      </c>
      <c r="AE447" s="18">
        <f t="shared" si="87"/>
        <v>7</v>
      </c>
      <c r="AF447" s="18">
        <f t="shared" si="88"/>
        <v>10</v>
      </c>
      <c r="AG447" s="550">
        <f t="shared" si="89"/>
        <v>211</v>
      </c>
      <c r="AH447" s="42">
        <v>2</v>
      </c>
      <c r="AI447" s="42">
        <v>0</v>
      </c>
      <c r="AJ447" s="42">
        <v>0</v>
      </c>
      <c r="AK447" s="42">
        <v>0</v>
      </c>
      <c r="AL447" s="42">
        <v>0</v>
      </c>
      <c r="AM447" s="42">
        <v>0</v>
      </c>
      <c r="AN447" s="42">
        <v>0</v>
      </c>
      <c r="AO447" s="42">
        <v>2</v>
      </c>
    </row>
    <row r="448" spans="1:41" ht="24" customHeight="1">
      <c r="A448" s="11">
        <f t="shared" si="73"/>
        <v>445</v>
      </c>
      <c r="B448" s="390">
        <v>5171</v>
      </c>
      <c r="C448" s="478" t="str">
        <f>VLOOKUP(B448,All!$B$4:$S$8977,2,FALSE)</f>
        <v>ជួន</v>
      </c>
      <c r="D448" s="479" t="str">
        <f>VLOOKUP(B448,All!$B$4:$S$89977,3,FALSE)</f>
        <v>ស្រីកា</v>
      </c>
      <c r="E448" s="478" t="str">
        <f>VLOOKUP(B448,All!$B$4:$S$8977,4,FALSE)</f>
        <v>CHOUN</v>
      </c>
      <c r="F448" s="479" t="str">
        <f>VLOOKUP(B448,All!$B$4:$S$8977,5,FALSE)</f>
        <v>SREYKA</v>
      </c>
      <c r="G448" s="479" t="str">
        <f>VLOOKUP(B448,All!$B$4:$S$8977,6,FALSE)</f>
        <v>F</v>
      </c>
      <c r="H448" s="385">
        <f>VLOOKUP(B448,All!$B$4:$S$8977,7,FALSE)</f>
        <v>35836</v>
      </c>
      <c r="I448" s="154">
        <f>VLOOKUP(B448,All!$B$4:$S$8977,8,FALSE)</f>
        <v>44485</v>
      </c>
      <c r="J448" s="154" t="str">
        <f>VLOOKUP(B448,All!$B$4:$S$8977,9,FALSE)</f>
        <v>Production</v>
      </c>
      <c r="K448" s="154" t="str">
        <f>VLOOKUP(B448,All!$B$4:$S$8977,10,FALSE)</f>
        <v>Line 7</v>
      </c>
      <c r="L448" s="698" t="str">
        <f>VLOOKUP(B448,All!$B$4:$S$8977,11,FALSE)</f>
        <v>Sewing operator</v>
      </c>
      <c r="M448" s="570">
        <f>VLOOKUP(B448,All!$B$4:$S$8977,12,FALSE)</f>
        <v>187</v>
      </c>
      <c r="N448" s="18">
        <f>VLOOKUP(B448,All!$B$4:$S$8977,13,FALSE)</f>
        <v>0</v>
      </c>
      <c r="O448" s="18">
        <f>VLOOKUP(B448,All!$B$4:$S$8977,14,FALSE)</f>
        <v>0</v>
      </c>
      <c r="P448" s="18">
        <f>VLOOKUP(B448,All!$B$4:$S$8977,15,FALSE)</f>
        <v>0</v>
      </c>
      <c r="Q448" s="18">
        <f>VLOOKUP(B448,All!$B$4:$S$8977,16,FALSE)</f>
        <v>0</v>
      </c>
      <c r="R448" s="18">
        <v>7</v>
      </c>
      <c r="S448" s="18">
        <v>10</v>
      </c>
      <c r="T448" s="550">
        <f t="shared" si="86"/>
        <v>204</v>
      </c>
      <c r="U448" s="568"/>
      <c r="V448" s="3"/>
      <c r="W448" s="3"/>
      <c r="X448" s="3"/>
      <c r="Y448" s="562"/>
      <c r="Z448" s="565">
        <f t="shared" si="85"/>
        <v>194</v>
      </c>
      <c r="AA448" s="18">
        <f t="shared" si="79"/>
        <v>0</v>
      </c>
      <c r="AB448" s="18">
        <f t="shared" si="80"/>
        <v>0</v>
      </c>
      <c r="AC448" s="18">
        <f t="shared" si="81"/>
        <v>0</v>
      </c>
      <c r="AD448" s="18">
        <f t="shared" si="82"/>
        <v>0</v>
      </c>
      <c r="AE448" s="18">
        <f t="shared" si="87"/>
        <v>7</v>
      </c>
      <c r="AF448" s="18">
        <f t="shared" si="88"/>
        <v>10</v>
      </c>
      <c r="AG448" s="550">
        <f t="shared" si="89"/>
        <v>211</v>
      </c>
      <c r="AH448" s="42">
        <v>2</v>
      </c>
      <c r="AI448" s="42"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2</v>
      </c>
    </row>
    <row r="449" spans="1:41" ht="24" customHeight="1">
      <c r="A449" s="11">
        <f t="shared" si="73"/>
        <v>446</v>
      </c>
      <c r="B449" s="390">
        <v>5174</v>
      </c>
      <c r="C449" s="478" t="str">
        <f>VLOOKUP(B449,All!$B$4:$S$8977,2,FALSE)</f>
        <v>ឃួន</v>
      </c>
      <c r="D449" s="479" t="str">
        <f>VLOOKUP(B449,All!$B$4:$S$89977,3,FALSE)</f>
        <v>វាណ្ណា</v>
      </c>
      <c r="E449" s="478" t="str">
        <f>VLOOKUP(B449,All!$B$4:$S$8977,4,FALSE)</f>
        <v>KHOUN</v>
      </c>
      <c r="F449" s="479" t="str">
        <f>VLOOKUP(B449,All!$B$4:$S$8977,5,FALSE)</f>
        <v>VANNA</v>
      </c>
      <c r="G449" s="479" t="str">
        <f>VLOOKUP(B449,All!$B$4:$S$8977,6,FALSE)</f>
        <v>M</v>
      </c>
      <c r="H449" s="385">
        <f>VLOOKUP(B449,All!$B$4:$S$8977,7,FALSE)</f>
        <v>31564</v>
      </c>
      <c r="I449" s="154">
        <f>VLOOKUP(B449,All!$B$4:$S$8977,8,FALSE)</f>
        <v>44485</v>
      </c>
      <c r="J449" s="154" t="str">
        <f>VLOOKUP(B449,All!$B$4:$S$8977,9,FALSE)</f>
        <v>Production</v>
      </c>
      <c r="K449" s="154" t="str">
        <f>VLOOKUP(B449,All!$B$4:$S$8977,10,FALSE)</f>
        <v>Warehouse Trims</v>
      </c>
      <c r="L449" s="698" t="str">
        <f>VLOOKUP(B449,All!$B$4:$S$8977,11,FALSE)</f>
        <v>accessory assistant</v>
      </c>
      <c r="M449" s="570">
        <f>VLOOKUP(B449,All!$B$4:$S$8977,12,FALSE)</f>
        <v>187</v>
      </c>
      <c r="N449" s="18">
        <f>VLOOKUP(B449,All!$B$4:$S$8977,13,FALSE)</f>
        <v>0</v>
      </c>
      <c r="O449" s="18">
        <f>VLOOKUP(B449,All!$B$4:$S$8977,14,FALSE)</f>
        <v>0</v>
      </c>
      <c r="P449" s="18">
        <f>VLOOKUP(B449,All!$B$4:$S$8977,15,FALSE)</f>
        <v>0</v>
      </c>
      <c r="Q449" s="18">
        <f>VLOOKUP(B449,All!$B$4:$S$8977,16,FALSE)</f>
        <v>0</v>
      </c>
      <c r="R449" s="18">
        <v>7</v>
      </c>
      <c r="S449" s="18">
        <v>10</v>
      </c>
      <c r="T449" s="550">
        <f t="shared" si="86"/>
        <v>204</v>
      </c>
      <c r="U449" s="568"/>
      <c r="V449" s="3"/>
      <c r="W449" s="3"/>
      <c r="X449" s="3"/>
      <c r="Y449" s="562"/>
      <c r="Z449" s="565">
        <f t="shared" si="85"/>
        <v>194</v>
      </c>
      <c r="AA449" s="18">
        <f t="shared" si="79"/>
        <v>0</v>
      </c>
      <c r="AB449" s="18">
        <f t="shared" si="80"/>
        <v>0</v>
      </c>
      <c r="AC449" s="18">
        <f t="shared" si="81"/>
        <v>0</v>
      </c>
      <c r="AD449" s="18">
        <f t="shared" si="82"/>
        <v>0</v>
      </c>
      <c r="AE449" s="18">
        <f t="shared" si="87"/>
        <v>7</v>
      </c>
      <c r="AF449" s="18">
        <f t="shared" si="88"/>
        <v>10</v>
      </c>
      <c r="AG449" s="550">
        <f t="shared" si="89"/>
        <v>211</v>
      </c>
      <c r="AH449" s="42">
        <v>2</v>
      </c>
      <c r="AI449" s="42"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0</v>
      </c>
      <c r="AO449" s="42">
        <v>2</v>
      </c>
    </row>
    <row r="450" spans="1:41" ht="24" customHeight="1">
      <c r="A450" s="11">
        <f t="shared" si="73"/>
        <v>447</v>
      </c>
      <c r="B450" s="390">
        <v>5175</v>
      </c>
      <c r="C450" s="478" t="str">
        <f>VLOOKUP(B450,All!$B$4:$S$8977,2,FALSE)</f>
        <v>សុខ</v>
      </c>
      <c r="D450" s="479" t="str">
        <f>VLOOKUP(B450,All!$B$4:$S$89977,3,FALSE)</f>
        <v>សុះស្តែន</v>
      </c>
      <c r="E450" s="478" t="str">
        <f>VLOOKUP(B450,All!$B$4:$S$8977,4,FALSE)</f>
        <v>SOKH</v>
      </c>
      <c r="F450" s="479" t="str">
        <f>VLOOKUP(B450,All!$B$4:$S$8977,5,FALSE)</f>
        <v>SOSSTEN</v>
      </c>
      <c r="G450" s="479" t="str">
        <f>VLOOKUP(B450,All!$B$4:$S$8977,6,FALSE)</f>
        <v>M</v>
      </c>
      <c r="H450" s="385">
        <f>VLOOKUP(B450,All!$B$4:$S$8977,7,FALSE)</f>
        <v>32424</v>
      </c>
      <c r="I450" s="154">
        <f>VLOOKUP(B450,All!$B$4:$S$8977,8,FALSE)</f>
        <v>44488</v>
      </c>
      <c r="J450" s="154" t="str">
        <f>VLOOKUP(B450,All!$B$4:$S$8977,9,FALSE)</f>
        <v>Production</v>
      </c>
      <c r="K450" s="154" t="str">
        <f>VLOOKUP(B450,All!$B$4:$S$8977,10,FALSE)</f>
        <v xml:space="preserve">Cutting  </v>
      </c>
      <c r="L450" s="698" t="str">
        <f>VLOOKUP(B450,All!$B$4:$S$8977,11,FALSE)</f>
        <v>spreader</v>
      </c>
      <c r="M450" s="570">
        <f>VLOOKUP(B450,All!$B$4:$S$8977,12,FALSE)</f>
        <v>187</v>
      </c>
      <c r="N450" s="18">
        <f>VLOOKUP(B450,All!$B$4:$S$8977,13,FALSE)</f>
        <v>0</v>
      </c>
      <c r="O450" s="18">
        <f>VLOOKUP(B450,All!$B$4:$S$8977,14,FALSE)</f>
        <v>0</v>
      </c>
      <c r="P450" s="18">
        <f>VLOOKUP(B450,All!$B$4:$S$8977,15,FALSE)</f>
        <v>0</v>
      </c>
      <c r="Q450" s="18">
        <f>VLOOKUP(B450,All!$B$4:$S$8977,16,FALSE)</f>
        <v>0</v>
      </c>
      <c r="R450" s="18">
        <v>7</v>
      </c>
      <c r="S450" s="18">
        <v>10</v>
      </c>
      <c r="T450" s="550">
        <f t="shared" si="86"/>
        <v>204</v>
      </c>
      <c r="U450" s="568"/>
      <c r="V450" s="3"/>
      <c r="W450" s="3"/>
      <c r="X450" s="3"/>
      <c r="Y450" s="562"/>
      <c r="Z450" s="565">
        <f t="shared" si="85"/>
        <v>194</v>
      </c>
      <c r="AA450" s="18">
        <f t="shared" si="79"/>
        <v>0</v>
      </c>
      <c r="AB450" s="18">
        <f t="shared" si="80"/>
        <v>0</v>
      </c>
      <c r="AC450" s="18">
        <f t="shared" si="81"/>
        <v>0</v>
      </c>
      <c r="AD450" s="18">
        <f t="shared" si="82"/>
        <v>0</v>
      </c>
      <c r="AE450" s="18">
        <f t="shared" si="87"/>
        <v>7</v>
      </c>
      <c r="AF450" s="18">
        <f t="shared" si="88"/>
        <v>10</v>
      </c>
      <c r="AG450" s="550">
        <f t="shared" si="89"/>
        <v>211</v>
      </c>
      <c r="AH450" s="42">
        <v>2</v>
      </c>
      <c r="AI450" s="42">
        <v>0</v>
      </c>
      <c r="AJ450" s="42">
        <v>0</v>
      </c>
      <c r="AK450" s="42">
        <v>0</v>
      </c>
      <c r="AL450" s="42">
        <v>0</v>
      </c>
      <c r="AM450" s="42">
        <v>0</v>
      </c>
      <c r="AN450" s="42">
        <v>0</v>
      </c>
      <c r="AO450" s="42">
        <v>2</v>
      </c>
    </row>
    <row r="451" spans="1:41" ht="24" customHeight="1">
      <c r="A451" s="11">
        <f t="shared" si="73"/>
        <v>448</v>
      </c>
      <c r="B451" s="390">
        <v>5176</v>
      </c>
      <c r="C451" s="478" t="str">
        <f>VLOOKUP(B451,All!$B$4:$S$8977,2,FALSE)</f>
        <v>គ្រុត</v>
      </c>
      <c r="D451" s="479" t="str">
        <f>VLOOKUP(B451,All!$B$4:$S$89977,3,FALSE)</f>
        <v>សុខគា</v>
      </c>
      <c r="E451" s="478" t="str">
        <f>VLOOKUP(B451,All!$B$4:$S$8977,4,FALSE)</f>
        <v>KROT</v>
      </c>
      <c r="F451" s="479" t="str">
        <f>VLOOKUP(B451,All!$B$4:$S$8977,5,FALSE)</f>
        <v>SOKEA</v>
      </c>
      <c r="G451" s="479" t="str">
        <f>VLOOKUP(B451,All!$B$4:$S$8977,6,FALSE)</f>
        <v>M</v>
      </c>
      <c r="H451" s="385">
        <f>VLOOKUP(B451,All!$B$4:$S$8977,7,FALSE)</f>
        <v>35492</v>
      </c>
      <c r="I451" s="154">
        <f>VLOOKUP(B451,All!$B$4:$S$8977,8,FALSE)</f>
        <v>44488</v>
      </c>
      <c r="J451" s="154" t="str">
        <f>VLOOKUP(B451,All!$B$4:$S$8977,9,FALSE)</f>
        <v>Production</v>
      </c>
      <c r="K451" s="154" t="str">
        <f>VLOOKUP(B451,All!$B$4:$S$8977,10,FALSE)</f>
        <v xml:space="preserve">Cutting  </v>
      </c>
      <c r="L451" s="698" t="str">
        <f>VLOOKUP(B451,All!$B$4:$S$8977,11,FALSE)</f>
        <v>spreader</v>
      </c>
      <c r="M451" s="570">
        <f>VLOOKUP(B451,All!$B$4:$S$8977,12,FALSE)</f>
        <v>187</v>
      </c>
      <c r="N451" s="18">
        <f>VLOOKUP(B451,All!$B$4:$S$8977,13,FALSE)</f>
        <v>0</v>
      </c>
      <c r="O451" s="18">
        <f>VLOOKUP(B451,All!$B$4:$S$8977,14,FALSE)</f>
        <v>0</v>
      </c>
      <c r="P451" s="18">
        <f>VLOOKUP(B451,All!$B$4:$S$8977,15,FALSE)</f>
        <v>0</v>
      </c>
      <c r="Q451" s="18">
        <f>VLOOKUP(B451,All!$B$4:$S$8977,16,FALSE)</f>
        <v>0</v>
      </c>
      <c r="R451" s="18">
        <v>7</v>
      </c>
      <c r="S451" s="18">
        <v>10</v>
      </c>
      <c r="T451" s="550">
        <f t="shared" si="86"/>
        <v>204</v>
      </c>
      <c r="U451" s="568"/>
      <c r="V451" s="3"/>
      <c r="W451" s="3"/>
      <c r="X451" s="3"/>
      <c r="Y451" s="562"/>
      <c r="Z451" s="565">
        <f t="shared" si="85"/>
        <v>194</v>
      </c>
      <c r="AA451" s="18">
        <f t="shared" si="79"/>
        <v>0</v>
      </c>
      <c r="AB451" s="18">
        <f t="shared" si="80"/>
        <v>0</v>
      </c>
      <c r="AC451" s="18">
        <f t="shared" si="81"/>
        <v>0</v>
      </c>
      <c r="AD451" s="18">
        <f t="shared" si="82"/>
        <v>0</v>
      </c>
      <c r="AE451" s="18">
        <f t="shared" si="87"/>
        <v>7</v>
      </c>
      <c r="AF451" s="18">
        <f t="shared" si="88"/>
        <v>10</v>
      </c>
      <c r="AG451" s="550">
        <f t="shared" si="89"/>
        <v>211</v>
      </c>
      <c r="AH451" s="42">
        <v>2</v>
      </c>
      <c r="AI451" s="42">
        <v>0</v>
      </c>
      <c r="AJ451" s="42">
        <v>0</v>
      </c>
      <c r="AK451" s="42">
        <v>0</v>
      </c>
      <c r="AL451" s="42">
        <v>0</v>
      </c>
      <c r="AM451" s="42">
        <v>0</v>
      </c>
      <c r="AN451" s="42">
        <v>0</v>
      </c>
      <c r="AO451" s="42">
        <v>2</v>
      </c>
    </row>
    <row r="452" spans="1:41" ht="24" customHeight="1">
      <c r="A452" s="11">
        <f t="shared" si="73"/>
        <v>449</v>
      </c>
      <c r="B452" s="390">
        <v>5177</v>
      </c>
      <c r="C452" s="478" t="str">
        <f>VLOOKUP(B452,All!$B$4:$S$8977,2,FALSE)</f>
        <v>ប៉ន</v>
      </c>
      <c r="D452" s="479" t="str">
        <f>VLOOKUP(B452,All!$B$4:$S$89977,3,FALSE)</f>
        <v>លុច</v>
      </c>
      <c r="E452" s="478" t="str">
        <f>VLOOKUP(B452,All!$B$4:$S$8977,4,FALSE)</f>
        <v>PORN</v>
      </c>
      <c r="F452" s="479" t="str">
        <f>VLOOKUP(B452,All!$B$4:$S$8977,5,FALSE)</f>
        <v>LOCH</v>
      </c>
      <c r="G452" s="479" t="str">
        <f>VLOOKUP(B452,All!$B$4:$S$8977,6,FALSE)</f>
        <v>M</v>
      </c>
      <c r="H452" s="385">
        <f>VLOOKUP(B452,All!$B$4:$S$8977,7,FALSE)</f>
        <v>31631</v>
      </c>
      <c r="I452" s="154">
        <f>VLOOKUP(B452,All!$B$4:$S$8977,8,FALSE)</f>
        <v>44488</v>
      </c>
      <c r="J452" s="154" t="str">
        <f>VLOOKUP(B452,All!$B$4:$S$8977,9,FALSE)</f>
        <v>Production</v>
      </c>
      <c r="K452" s="154" t="str">
        <f>VLOOKUP(B452,All!$B$4:$S$8977,10,FALSE)</f>
        <v xml:space="preserve">Cutting  </v>
      </c>
      <c r="L452" s="698" t="str">
        <f>VLOOKUP(B452,All!$B$4:$S$8977,11,FALSE)</f>
        <v>spreader</v>
      </c>
      <c r="M452" s="570">
        <f>VLOOKUP(B452,All!$B$4:$S$8977,12,FALSE)</f>
        <v>187</v>
      </c>
      <c r="N452" s="18">
        <f>VLOOKUP(B452,All!$B$4:$S$8977,13,FALSE)</f>
        <v>0</v>
      </c>
      <c r="O452" s="18">
        <f>VLOOKUP(B452,All!$B$4:$S$8977,14,FALSE)</f>
        <v>0</v>
      </c>
      <c r="P452" s="18">
        <f>VLOOKUP(B452,All!$B$4:$S$8977,15,FALSE)</f>
        <v>0</v>
      </c>
      <c r="Q452" s="18">
        <f>VLOOKUP(B452,All!$B$4:$S$8977,16,FALSE)</f>
        <v>0</v>
      </c>
      <c r="R452" s="18">
        <v>7</v>
      </c>
      <c r="S452" s="18">
        <v>10</v>
      </c>
      <c r="T452" s="550">
        <f t="shared" si="86"/>
        <v>204</v>
      </c>
      <c r="U452" s="568"/>
      <c r="V452" s="3"/>
      <c r="W452" s="3"/>
      <c r="X452" s="3"/>
      <c r="Y452" s="562"/>
      <c r="Z452" s="565">
        <f t="shared" si="85"/>
        <v>194</v>
      </c>
      <c r="AA452" s="18">
        <f t="shared" ref="AA452:AF467" si="90">N452</f>
        <v>0</v>
      </c>
      <c r="AB452" s="18">
        <f t="shared" ref="AB452:AB466" si="91">O452</f>
        <v>0</v>
      </c>
      <c r="AC452" s="18">
        <f t="shared" ref="AC452:AC467" si="92">P452</f>
        <v>0</v>
      </c>
      <c r="AD452" s="18">
        <f t="shared" ref="AD452:AD466" si="93">Q452</f>
        <v>0</v>
      </c>
      <c r="AE452" s="18">
        <f t="shared" si="87"/>
        <v>7</v>
      </c>
      <c r="AF452" s="18">
        <f t="shared" si="88"/>
        <v>10</v>
      </c>
      <c r="AG452" s="550">
        <f t="shared" si="89"/>
        <v>211</v>
      </c>
      <c r="AH452" s="42">
        <v>2</v>
      </c>
      <c r="AI452" s="42">
        <v>0</v>
      </c>
      <c r="AJ452" s="42">
        <v>0</v>
      </c>
      <c r="AK452" s="42">
        <v>0</v>
      </c>
      <c r="AL452" s="42">
        <v>0</v>
      </c>
      <c r="AM452" s="42">
        <v>0</v>
      </c>
      <c r="AN452" s="42">
        <v>0</v>
      </c>
      <c r="AO452" s="42">
        <v>2</v>
      </c>
    </row>
    <row r="453" spans="1:41" ht="24" customHeight="1">
      <c r="A453" s="11">
        <f t="shared" si="73"/>
        <v>450</v>
      </c>
      <c r="B453" s="390">
        <v>5178</v>
      </c>
      <c r="C453" s="478" t="str">
        <f>VLOOKUP(B453,All!$B$4:$S$8977,2,FALSE)</f>
        <v>ឌឿប</v>
      </c>
      <c r="D453" s="479" t="str">
        <f>VLOOKUP(B453,All!$B$4:$S$89977,3,FALSE)</f>
        <v>មុំហឿន</v>
      </c>
      <c r="E453" s="478" t="str">
        <f>VLOOKUP(B453,All!$B$4:$S$8977,4,FALSE)</f>
        <v>DIEB</v>
      </c>
      <c r="F453" s="479" t="str">
        <f>VLOOKUP(B453,All!$B$4:$S$8977,5,FALSE)</f>
        <v>MOMHOEUN</v>
      </c>
      <c r="G453" s="479" t="str">
        <f>VLOOKUP(B453,All!$B$4:$S$8977,6,FALSE)</f>
        <v>M</v>
      </c>
      <c r="H453" s="385">
        <f>VLOOKUP(B453,All!$B$4:$S$8977,7,FALSE)</f>
        <v>33865</v>
      </c>
      <c r="I453" s="154">
        <f>VLOOKUP(B453,All!$B$4:$S$8977,8,FALSE)</f>
        <v>44488</v>
      </c>
      <c r="J453" s="154" t="str">
        <f>VLOOKUP(B453,All!$B$4:$S$8977,9,FALSE)</f>
        <v>Production</v>
      </c>
      <c r="K453" s="154" t="str">
        <f>VLOOKUP(B453,All!$B$4:$S$8977,10,FALSE)</f>
        <v xml:space="preserve">Cutting  </v>
      </c>
      <c r="L453" s="698" t="str">
        <f>VLOOKUP(B453,All!$B$4:$S$8977,11,FALSE)</f>
        <v>spreader</v>
      </c>
      <c r="M453" s="570">
        <f>VLOOKUP(B453,All!$B$4:$S$8977,12,FALSE)</f>
        <v>187</v>
      </c>
      <c r="N453" s="18">
        <f>VLOOKUP(B453,All!$B$4:$S$8977,13,FALSE)</f>
        <v>0</v>
      </c>
      <c r="O453" s="18">
        <f>VLOOKUP(B453,All!$B$4:$S$8977,14,FALSE)</f>
        <v>0</v>
      </c>
      <c r="P453" s="18">
        <f>VLOOKUP(B453,All!$B$4:$S$8977,15,FALSE)</f>
        <v>0</v>
      </c>
      <c r="Q453" s="18">
        <f>VLOOKUP(B453,All!$B$4:$S$8977,16,FALSE)</f>
        <v>0</v>
      </c>
      <c r="R453" s="18">
        <v>7</v>
      </c>
      <c r="S453" s="18">
        <v>10</v>
      </c>
      <c r="T453" s="550">
        <f t="shared" si="86"/>
        <v>204</v>
      </c>
      <c r="U453" s="568"/>
      <c r="V453" s="3"/>
      <c r="W453" s="3"/>
      <c r="X453" s="3"/>
      <c r="Y453" s="562"/>
      <c r="Z453" s="565">
        <f t="shared" si="85"/>
        <v>194</v>
      </c>
      <c r="AA453" s="18">
        <f t="shared" si="90"/>
        <v>0</v>
      </c>
      <c r="AB453" s="18">
        <f t="shared" si="91"/>
        <v>0</v>
      </c>
      <c r="AC453" s="18">
        <f t="shared" si="92"/>
        <v>0</v>
      </c>
      <c r="AD453" s="18">
        <f t="shared" si="93"/>
        <v>0</v>
      </c>
      <c r="AE453" s="18">
        <f t="shared" si="87"/>
        <v>7</v>
      </c>
      <c r="AF453" s="18">
        <f t="shared" si="88"/>
        <v>10</v>
      </c>
      <c r="AG453" s="550">
        <f t="shared" si="89"/>
        <v>211</v>
      </c>
      <c r="AH453" s="42">
        <v>2</v>
      </c>
      <c r="AI453" s="42">
        <v>0</v>
      </c>
      <c r="AJ453" s="42">
        <v>0</v>
      </c>
      <c r="AK453" s="42">
        <v>0</v>
      </c>
      <c r="AL453" s="42">
        <v>0</v>
      </c>
      <c r="AM453" s="42">
        <v>0</v>
      </c>
      <c r="AN453" s="42">
        <v>0</v>
      </c>
      <c r="AO453" s="42">
        <v>2</v>
      </c>
    </row>
    <row r="454" spans="1:41" ht="24" customHeight="1">
      <c r="A454" s="11">
        <f t="shared" ref="A454:A461" si="94">1+A453</f>
        <v>451</v>
      </c>
      <c r="B454" s="390">
        <v>5181</v>
      </c>
      <c r="C454" s="478" t="str">
        <f>VLOOKUP(B454,All!$B$4:$S$8977,2,FALSE)</f>
        <v>ស៊ីម</v>
      </c>
      <c r="D454" s="479" t="str">
        <f>VLOOKUP(B454,All!$B$4:$S$89977,3,FALSE)</f>
        <v>ច័ន្ទពៅ</v>
      </c>
      <c r="E454" s="478" t="str">
        <f>VLOOKUP(B454,All!$B$4:$S$8977,4,FALSE)</f>
        <v>SIM</v>
      </c>
      <c r="F454" s="479" t="str">
        <f>VLOOKUP(B454,All!$B$4:$S$8977,5,FALSE)</f>
        <v>CHANPOV</v>
      </c>
      <c r="G454" s="479" t="str">
        <f>VLOOKUP(B454,All!$B$4:$S$8977,6,FALSE)</f>
        <v>F</v>
      </c>
      <c r="H454" s="385">
        <f>VLOOKUP(B454,All!$B$4:$S$8977,7,FALSE)</f>
        <v>30579</v>
      </c>
      <c r="I454" s="154">
        <f>VLOOKUP(B454,All!$B$4:$S$8977,8,FALSE)</f>
        <v>44488</v>
      </c>
      <c r="J454" s="154" t="str">
        <f>VLOOKUP(B454,All!$B$4:$S$8977,9,FALSE)</f>
        <v>Production</v>
      </c>
      <c r="K454" s="154" t="str">
        <f>VLOOKUP(B454,All!$B$4:$S$8977,10,FALSE)</f>
        <v>Line 12</v>
      </c>
      <c r="L454" s="698" t="str">
        <f>VLOOKUP(B454,All!$B$4:$S$8977,11,FALSE)</f>
        <v>Sewing operator</v>
      </c>
      <c r="M454" s="570">
        <f>VLOOKUP(B454,All!$B$4:$S$8977,12,FALSE)</f>
        <v>192</v>
      </c>
      <c r="N454" s="18">
        <f>VLOOKUP(B454,All!$B$4:$S$8977,13,FALSE)</f>
        <v>0</v>
      </c>
      <c r="O454" s="18">
        <f>VLOOKUP(B454,All!$B$4:$S$8977,14,FALSE)</f>
        <v>0</v>
      </c>
      <c r="P454" s="18">
        <f>VLOOKUP(B454,All!$B$4:$S$8977,15,FALSE)</f>
        <v>0</v>
      </c>
      <c r="Q454" s="18">
        <f>VLOOKUP(B454,All!$B$4:$S$8977,16,FALSE)</f>
        <v>0</v>
      </c>
      <c r="R454" s="18">
        <v>7</v>
      </c>
      <c r="S454" s="18">
        <v>10</v>
      </c>
      <c r="T454" s="550">
        <f t="shared" si="86"/>
        <v>209</v>
      </c>
      <c r="U454" s="568"/>
      <c r="V454" s="3"/>
      <c r="W454" s="3"/>
      <c r="X454" s="3"/>
      <c r="Y454" s="562"/>
      <c r="Z454" s="565">
        <f t="shared" ref="Z454:Z464" si="95">M454+AH454</f>
        <v>194</v>
      </c>
      <c r="AA454" s="18">
        <f t="shared" si="90"/>
        <v>0</v>
      </c>
      <c r="AB454" s="18">
        <f t="shared" si="91"/>
        <v>0</v>
      </c>
      <c r="AC454" s="18">
        <f t="shared" si="92"/>
        <v>0</v>
      </c>
      <c r="AD454" s="18">
        <f t="shared" si="93"/>
        <v>0</v>
      </c>
      <c r="AE454" s="18">
        <f t="shared" si="87"/>
        <v>7</v>
      </c>
      <c r="AF454" s="18">
        <f t="shared" si="88"/>
        <v>10</v>
      </c>
      <c r="AG454" s="550">
        <f t="shared" si="89"/>
        <v>211</v>
      </c>
      <c r="AH454" s="42">
        <v>2</v>
      </c>
      <c r="AI454" s="42">
        <v>0</v>
      </c>
      <c r="AJ454" s="42">
        <v>0</v>
      </c>
      <c r="AK454" s="42">
        <v>0</v>
      </c>
      <c r="AL454" s="42">
        <v>0</v>
      </c>
      <c r="AM454" s="42">
        <v>0</v>
      </c>
      <c r="AN454" s="42">
        <v>0</v>
      </c>
      <c r="AO454" s="42">
        <v>2</v>
      </c>
    </row>
    <row r="455" spans="1:41" ht="24" customHeight="1">
      <c r="A455" s="11">
        <f t="shared" si="94"/>
        <v>452</v>
      </c>
      <c r="B455" s="390">
        <v>5182</v>
      </c>
      <c r="C455" s="478" t="str">
        <f>VLOOKUP(B455,All!$B$4:$S$8977,2,FALSE)</f>
        <v>គុយ</v>
      </c>
      <c r="D455" s="479" t="str">
        <f>VLOOKUP(B455,All!$B$4:$S$89977,3,FALSE)</f>
        <v>សុឃា</v>
      </c>
      <c r="E455" s="478" t="str">
        <f>VLOOKUP(B455,All!$B$4:$S$8977,4,FALSE)</f>
        <v>KUY</v>
      </c>
      <c r="F455" s="479" t="str">
        <f>VLOOKUP(B455,All!$B$4:$S$8977,5,FALSE)</f>
        <v>SOKHEA</v>
      </c>
      <c r="G455" s="479" t="str">
        <f>VLOOKUP(B455,All!$B$4:$S$8977,6,FALSE)</f>
        <v>F</v>
      </c>
      <c r="H455" s="385">
        <f>VLOOKUP(B455,All!$B$4:$S$8977,7,FALSE)</f>
        <v>30933</v>
      </c>
      <c r="I455" s="154">
        <f>VLOOKUP(B455,All!$B$4:$S$8977,8,FALSE)</f>
        <v>44488</v>
      </c>
      <c r="J455" s="154" t="str">
        <f>VLOOKUP(B455,All!$B$4:$S$8977,9,FALSE)</f>
        <v>Production</v>
      </c>
      <c r="K455" s="154" t="str">
        <f>VLOOKUP(B455,All!$B$4:$S$8977,10,FALSE)</f>
        <v>Line 12</v>
      </c>
      <c r="L455" s="698" t="str">
        <f>VLOOKUP(B455,All!$B$4:$S$8977,11,FALSE)</f>
        <v>Sewing operator</v>
      </c>
      <c r="M455" s="570">
        <f>VLOOKUP(B455,All!$B$4:$S$8977,12,FALSE)</f>
        <v>187</v>
      </c>
      <c r="N455" s="18">
        <f>VLOOKUP(B455,All!$B$4:$S$8977,13,FALSE)</f>
        <v>0</v>
      </c>
      <c r="O455" s="18">
        <f>VLOOKUP(B455,All!$B$4:$S$8977,14,FALSE)</f>
        <v>0</v>
      </c>
      <c r="P455" s="18">
        <f>VLOOKUP(B455,All!$B$4:$S$8977,15,FALSE)</f>
        <v>0</v>
      </c>
      <c r="Q455" s="18">
        <f>VLOOKUP(B455,All!$B$4:$S$8977,16,FALSE)</f>
        <v>0</v>
      </c>
      <c r="R455" s="18">
        <v>7</v>
      </c>
      <c r="S455" s="18">
        <v>10</v>
      </c>
      <c r="T455" s="550">
        <f t="shared" si="86"/>
        <v>204</v>
      </c>
      <c r="U455" s="568"/>
      <c r="V455" s="3"/>
      <c r="W455" s="3"/>
      <c r="X455" s="3"/>
      <c r="Y455" s="562"/>
      <c r="Z455" s="565">
        <f t="shared" ref="Z455:Z457" si="96">M455+AH455+5</f>
        <v>194</v>
      </c>
      <c r="AA455" s="18">
        <f t="shared" si="90"/>
        <v>0</v>
      </c>
      <c r="AB455" s="18">
        <f t="shared" si="91"/>
        <v>0</v>
      </c>
      <c r="AC455" s="18">
        <f t="shared" si="92"/>
        <v>0</v>
      </c>
      <c r="AD455" s="18">
        <f t="shared" si="93"/>
        <v>0</v>
      </c>
      <c r="AE455" s="18">
        <f t="shared" si="87"/>
        <v>7</v>
      </c>
      <c r="AF455" s="18">
        <f t="shared" si="88"/>
        <v>10</v>
      </c>
      <c r="AG455" s="550">
        <f t="shared" si="89"/>
        <v>211</v>
      </c>
      <c r="AH455" s="42">
        <v>2</v>
      </c>
      <c r="AI455" s="42">
        <v>0</v>
      </c>
      <c r="AJ455" s="42">
        <v>0</v>
      </c>
      <c r="AK455" s="42">
        <v>0</v>
      </c>
      <c r="AL455" s="42">
        <v>0</v>
      </c>
      <c r="AM455" s="42">
        <v>0</v>
      </c>
      <c r="AN455" s="42">
        <v>0</v>
      </c>
      <c r="AO455" s="42">
        <v>2</v>
      </c>
    </row>
    <row r="456" spans="1:41" ht="24" customHeight="1">
      <c r="A456" s="11">
        <f t="shared" si="94"/>
        <v>453</v>
      </c>
      <c r="B456" s="390">
        <v>5183</v>
      </c>
      <c r="C456" s="478" t="str">
        <f>VLOOKUP(B456,All!$B$4:$S$8977,2,FALSE)</f>
        <v>ម៉ូវ</v>
      </c>
      <c r="D456" s="479" t="str">
        <f>VLOOKUP(B456,All!$B$4:$S$89977,3,FALSE)</f>
        <v>សារ៉េត</v>
      </c>
      <c r="E456" s="478" t="str">
        <f>VLOOKUP(B456,All!$B$4:$S$8977,4,FALSE)</f>
        <v>MOV</v>
      </c>
      <c r="F456" s="479" t="str">
        <f>VLOOKUP(B456,All!$B$4:$S$8977,5,FALSE)</f>
        <v>SARETH</v>
      </c>
      <c r="G456" s="479" t="str">
        <f>VLOOKUP(B456,All!$B$4:$S$8977,6,FALSE)</f>
        <v>F</v>
      </c>
      <c r="H456" s="385">
        <f>VLOOKUP(B456,All!$B$4:$S$8977,7,FALSE)</f>
        <v>31140</v>
      </c>
      <c r="I456" s="154">
        <f>VLOOKUP(B456,All!$B$4:$S$8977,8,FALSE)</f>
        <v>44488</v>
      </c>
      <c r="J456" s="154" t="str">
        <f>VLOOKUP(B456,All!$B$4:$S$8977,9,FALSE)</f>
        <v>Production</v>
      </c>
      <c r="K456" s="154" t="str">
        <f>VLOOKUP(B456,All!$B$4:$S$8977,10,FALSE)</f>
        <v>Line 7</v>
      </c>
      <c r="L456" s="698" t="str">
        <f>VLOOKUP(B456,All!$B$4:$S$8977,11,FALSE)</f>
        <v>Sewing operator</v>
      </c>
      <c r="M456" s="570">
        <f>VLOOKUP(B456,All!$B$4:$S$8977,12,FALSE)</f>
        <v>187</v>
      </c>
      <c r="N456" s="18">
        <f>VLOOKUP(B456,All!$B$4:$S$8977,13,FALSE)</f>
        <v>0</v>
      </c>
      <c r="O456" s="18">
        <f>VLOOKUP(B456,All!$B$4:$S$8977,14,FALSE)</f>
        <v>0</v>
      </c>
      <c r="P456" s="18">
        <f>VLOOKUP(B456,All!$B$4:$S$8977,15,FALSE)</f>
        <v>0</v>
      </c>
      <c r="Q456" s="18">
        <f>VLOOKUP(B456,All!$B$4:$S$8977,16,FALSE)</f>
        <v>0</v>
      </c>
      <c r="R456" s="18">
        <v>7</v>
      </c>
      <c r="S456" s="18">
        <v>10</v>
      </c>
      <c r="T456" s="550">
        <f t="shared" si="86"/>
        <v>204</v>
      </c>
      <c r="U456" s="568"/>
      <c r="V456" s="3"/>
      <c r="W456" s="3"/>
      <c r="X456" s="3"/>
      <c r="Y456" s="562"/>
      <c r="Z456" s="565">
        <f t="shared" si="96"/>
        <v>194</v>
      </c>
      <c r="AA456" s="18">
        <f t="shared" si="90"/>
        <v>0</v>
      </c>
      <c r="AB456" s="18">
        <f t="shared" si="91"/>
        <v>0</v>
      </c>
      <c r="AC456" s="18">
        <f t="shared" si="92"/>
        <v>0</v>
      </c>
      <c r="AD456" s="18">
        <f t="shared" si="93"/>
        <v>0</v>
      </c>
      <c r="AE456" s="18">
        <f t="shared" si="87"/>
        <v>7</v>
      </c>
      <c r="AF456" s="18">
        <f t="shared" si="88"/>
        <v>10</v>
      </c>
      <c r="AG456" s="550">
        <f t="shared" si="89"/>
        <v>211</v>
      </c>
      <c r="AH456" s="42">
        <v>2</v>
      </c>
      <c r="AI456" s="42">
        <v>0</v>
      </c>
      <c r="AJ456" s="42">
        <v>0</v>
      </c>
      <c r="AK456" s="42">
        <v>0</v>
      </c>
      <c r="AL456" s="42">
        <v>0</v>
      </c>
      <c r="AM456" s="42">
        <v>0</v>
      </c>
      <c r="AN456" s="42">
        <v>0</v>
      </c>
      <c r="AO456" s="42">
        <v>2</v>
      </c>
    </row>
    <row r="457" spans="1:41" ht="24" customHeight="1">
      <c r="A457" s="11">
        <f t="shared" si="94"/>
        <v>454</v>
      </c>
      <c r="B457" s="390">
        <v>5184</v>
      </c>
      <c r="C457" s="478" t="str">
        <f>VLOOKUP(B457,All!$B$4:$S$8977,2,FALSE)</f>
        <v>យឺម</v>
      </c>
      <c r="D457" s="479" t="str">
        <f>VLOOKUP(B457,All!$B$4:$S$89977,3,FALSE)</f>
        <v>សារី</v>
      </c>
      <c r="E457" s="478" t="str">
        <f>VLOOKUP(B457,All!$B$4:$S$8977,4,FALSE)</f>
        <v>YIM</v>
      </c>
      <c r="F457" s="479" t="str">
        <f>VLOOKUP(B457,All!$B$4:$S$8977,5,FALSE)</f>
        <v>SARY</v>
      </c>
      <c r="G457" s="479" t="str">
        <f>VLOOKUP(B457,All!$B$4:$S$8977,6,FALSE)</f>
        <v>F</v>
      </c>
      <c r="H457" s="385">
        <f>VLOOKUP(B457,All!$B$4:$S$8977,7,FALSE)</f>
        <v>34442</v>
      </c>
      <c r="I457" s="154">
        <f>VLOOKUP(B457,All!$B$4:$S$8977,8,FALSE)</f>
        <v>44488</v>
      </c>
      <c r="J457" s="154" t="str">
        <f>VLOOKUP(B457,All!$B$4:$S$8977,9,FALSE)</f>
        <v>Production</v>
      </c>
      <c r="K457" s="154" t="str">
        <f>VLOOKUP(B457,All!$B$4:$S$8977,10,FALSE)</f>
        <v>Line 12</v>
      </c>
      <c r="L457" s="698" t="str">
        <f>VLOOKUP(B457,All!$B$4:$S$8977,11,FALSE)</f>
        <v>Sewing operator</v>
      </c>
      <c r="M457" s="570">
        <f>VLOOKUP(B457,All!$B$4:$S$8977,12,FALSE)</f>
        <v>187</v>
      </c>
      <c r="N457" s="18">
        <f>VLOOKUP(B457,All!$B$4:$S$8977,13,FALSE)</f>
        <v>0</v>
      </c>
      <c r="O457" s="18">
        <f>VLOOKUP(B457,All!$B$4:$S$8977,14,FALSE)</f>
        <v>0</v>
      </c>
      <c r="P457" s="18">
        <f>VLOOKUP(B457,All!$B$4:$S$8977,15,FALSE)</f>
        <v>0</v>
      </c>
      <c r="Q457" s="18">
        <f>VLOOKUP(B457,All!$B$4:$S$8977,16,FALSE)</f>
        <v>0</v>
      </c>
      <c r="R457" s="18">
        <v>7</v>
      </c>
      <c r="S457" s="18">
        <v>10</v>
      </c>
      <c r="T457" s="550">
        <f t="shared" si="86"/>
        <v>204</v>
      </c>
      <c r="U457" s="568"/>
      <c r="V457" s="3"/>
      <c r="W457" s="3"/>
      <c r="X457" s="3"/>
      <c r="Y457" s="562"/>
      <c r="Z457" s="565">
        <f t="shared" si="96"/>
        <v>194</v>
      </c>
      <c r="AA457" s="18">
        <f t="shared" si="90"/>
        <v>0</v>
      </c>
      <c r="AB457" s="18">
        <f t="shared" si="91"/>
        <v>0</v>
      </c>
      <c r="AC457" s="18">
        <f t="shared" si="92"/>
        <v>0</v>
      </c>
      <c r="AD457" s="18">
        <f t="shared" si="93"/>
        <v>0</v>
      </c>
      <c r="AE457" s="18">
        <f t="shared" si="87"/>
        <v>7</v>
      </c>
      <c r="AF457" s="18">
        <f t="shared" si="88"/>
        <v>10</v>
      </c>
      <c r="AG457" s="550">
        <f t="shared" si="89"/>
        <v>211</v>
      </c>
      <c r="AH457" s="42">
        <v>2</v>
      </c>
      <c r="AI457" s="42">
        <v>0</v>
      </c>
      <c r="AJ457" s="42">
        <v>0</v>
      </c>
      <c r="AK457" s="42">
        <v>0</v>
      </c>
      <c r="AL457" s="42">
        <v>0</v>
      </c>
      <c r="AM457" s="42">
        <v>0</v>
      </c>
      <c r="AN457" s="42">
        <v>0</v>
      </c>
      <c r="AO457" s="42">
        <v>2</v>
      </c>
    </row>
    <row r="458" spans="1:41" ht="24" customHeight="1">
      <c r="A458" s="11">
        <f t="shared" si="94"/>
        <v>455</v>
      </c>
      <c r="B458" s="390">
        <v>5185</v>
      </c>
      <c r="C458" s="478" t="str">
        <f>VLOOKUP(B458,All!$B$4:$S$8977,2,FALSE)</f>
        <v>នី</v>
      </c>
      <c r="D458" s="479" t="str">
        <f>VLOOKUP(B458,All!$B$4:$S$89977,3,FALSE)</f>
        <v>ស៊ីណា</v>
      </c>
      <c r="E458" s="478" t="str">
        <f>VLOOKUP(B458,All!$B$4:$S$8977,4,FALSE)</f>
        <v>NY</v>
      </c>
      <c r="F458" s="479" t="str">
        <f>VLOOKUP(B458,All!$B$4:$S$8977,5,FALSE)</f>
        <v>SINA</v>
      </c>
      <c r="G458" s="479" t="str">
        <f>VLOOKUP(B458,All!$B$4:$S$8977,6,FALSE)</f>
        <v>F</v>
      </c>
      <c r="H458" s="385">
        <f>VLOOKUP(B458,All!$B$4:$S$8977,7,FALSE)</f>
        <v>31510</v>
      </c>
      <c r="I458" s="154">
        <f>VLOOKUP(B458,All!$B$4:$S$8977,8,FALSE)</f>
        <v>44488</v>
      </c>
      <c r="J458" s="154" t="str">
        <f>VLOOKUP(B458,All!$B$4:$S$8977,9,FALSE)</f>
        <v>Production</v>
      </c>
      <c r="K458" s="154" t="str">
        <f>VLOOKUP(B458,All!$B$4:$S$8977,10,FALSE)</f>
        <v>Line 12</v>
      </c>
      <c r="L458" s="698" t="str">
        <f>VLOOKUP(B458,All!$B$4:$S$8977,11,FALSE)</f>
        <v>Sewing operator</v>
      </c>
      <c r="M458" s="570">
        <f>VLOOKUP(B458,All!$B$4:$S$8977,12,FALSE)</f>
        <v>192</v>
      </c>
      <c r="N458" s="18">
        <f>VLOOKUP(B458,All!$B$4:$S$8977,13,FALSE)</f>
        <v>0</v>
      </c>
      <c r="O458" s="18">
        <f>VLOOKUP(B458,All!$B$4:$S$8977,14,FALSE)</f>
        <v>0</v>
      </c>
      <c r="P458" s="18">
        <f>VLOOKUP(B458,All!$B$4:$S$8977,15,FALSE)</f>
        <v>0</v>
      </c>
      <c r="Q458" s="18">
        <f>VLOOKUP(B458,All!$B$4:$S$8977,16,FALSE)</f>
        <v>0</v>
      </c>
      <c r="R458" s="18">
        <v>7</v>
      </c>
      <c r="S458" s="18">
        <v>10</v>
      </c>
      <c r="T458" s="550">
        <f t="shared" si="86"/>
        <v>209</v>
      </c>
      <c r="U458" s="568"/>
      <c r="V458" s="3"/>
      <c r="W458" s="3"/>
      <c r="X458" s="3"/>
      <c r="Y458" s="562"/>
      <c r="Z458" s="565">
        <f t="shared" si="95"/>
        <v>194</v>
      </c>
      <c r="AA458" s="18">
        <f t="shared" si="90"/>
        <v>0</v>
      </c>
      <c r="AB458" s="18">
        <f t="shared" si="91"/>
        <v>0</v>
      </c>
      <c r="AC458" s="18">
        <f t="shared" si="92"/>
        <v>0</v>
      </c>
      <c r="AD458" s="18">
        <f t="shared" si="93"/>
        <v>0</v>
      </c>
      <c r="AE458" s="18">
        <f t="shared" si="87"/>
        <v>7</v>
      </c>
      <c r="AF458" s="18">
        <f t="shared" si="88"/>
        <v>10</v>
      </c>
      <c r="AG458" s="550">
        <f t="shared" si="89"/>
        <v>211</v>
      </c>
      <c r="AH458" s="42">
        <v>2</v>
      </c>
      <c r="AI458" s="42">
        <v>0</v>
      </c>
      <c r="AJ458" s="42">
        <v>0</v>
      </c>
      <c r="AK458" s="42">
        <v>0</v>
      </c>
      <c r="AL458" s="42">
        <v>0</v>
      </c>
      <c r="AM458" s="42">
        <v>0</v>
      </c>
      <c r="AN458" s="42">
        <v>0</v>
      </c>
      <c r="AO458" s="42">
        <v>2</v>
      </c>
    </row>
    <row r="459" spans="1:41" ht="24" customHeight="1">
      <c r="A459" s="11">
        <f t="shared" si="94"/>
        <v>456</v>
      </c>
      <c r="B459" s="390">
        <v>5186</v>
      </c>
      <c r="C459" s="478" t="str">
        <f>VLOOKUP(B459,All!$B$4:$S$8977,2,FALSE)</f>
        <v>ចាន់</v>
      </c>
      <c r="D459" s="479" t="str">
        <f>VLOOKUP(B459,All!$B$4:$S$89977,3,FALSE)</f>
        <v>ស</v>
      </c>
      <c r="E459" s="478" t="str">
        <f>VLOOKUP(B459,All!$B$4:$S$8977,4,FALSE)</f>
        <v>CHAN</v>
      </c>
      <c r="F459" s="479" t="str">
        <f>VLOOKUP(B459,All!$B$4:$S$8977,5,FALSE)</f>
        <v>SAR</v>
      </c>
      <c r="G459" s="479" t="str">
        <f>VLOOKUP(B459,All!$B$4:$S$8977,6,FALSE)</f>
        <v>F</v>
      </c>
      <c r="H459" s="385">
        <f>VLOOKUP(B459,All!$B$4:$S$8977,7,FALSE)</f>
        <v>30257</v>
      </c>
      <c r="I459" s="154">
        <f>VLOOKUP(B459,All!$B$4:$S$8977,8,FALSE)</f>
        <v>44488</v>
      </c>
      <c r="J459" s="154" t="str">
        <f>VLOOKUP(B459,All!$B$4:$S$8977,9,FALSE)</f>
        <v>Production</v>
      </c>
      <c r="K459" s="154" t="str">
        <f>VLOOKUP(B459,All!$B$4:$S$8977,10,FALSE)</f>
        <v>Line 7</v>
      </c>
      <c r="L459" s="698" t="str">
        <f>VLOOKUP(B459,All!$B$4:$S$8977,11,FALSE)</f>
        <v>Sewing operator</v>
      </c>
      <c r="M459" s="570">
        <f>VLOOKUP(B459,All!$B$4:$S$8977,12,FALSE)</f>
        <v>192</v>
      </c>
      <c r="N459" s="18">
        <f>VLOOKUP(B459,All!$B$4:$S$8977,13,FALSE)</f>
        <v>0</v>
      </c>
      <c r="O459" s="18">
        <f>VLOOKUP(B459,All!$B$4:$S$8977,14,FALSE)</f>
        <v>0</v>
      </c>
      <c r="P459" s="18">
        <f>VLOOKUP(B459,All!$B$4:$S$8977,15,FALSE)</f>
        <v>0</v>
      </c>
      <c r="Q459" s="18">
        <f>VLOOKUP(B459,All!$B$4:$S$8977,16,FALSE)</f>
        <v>0</v>
      </c>
      <c r="R459" s="18">
        <v>7</v>
      </c>
      <c r="S459" s="18">
        <v>10</v>
      </c>
      <c r="T459" s="550">
        <f t="shared" si="86"/>
        <v>209</v>
      </c>
      <c r="U459" s="568"/>
      <c r="V459" s="3"/>
      <c r="W459" s="3"/>
      <c r="X459" s="3"/>
      <c r="Y459" s="562"/>
      <c r="Z459" s="565">
        <f t="shared" si="95"/>
        <v>194</v>
      </c>
      <c r="AA459" s="18">
        <f t="shared" si="90"/>
        <v>0</v>
      </c>
      <c r="AB459" s="18">
        <f t="shared" si="91"/>
        <v>0</v>
      </c>
      <c r="AC459" s="18">
        <f t="shared" si="92"/>
        <v>0</v>
      </c>
      <c r="AD459" s="18">
        <f t="shared" si="93"/>
        <v>0</v>
      </c>
      <c r="AE459" s="18">
        <f t="shared" si="87"/>
        <v>7</v>
      </c>
      <c r="AF459" s="18">
        <f t="shared" si="88"/>
        <v>10</v>
      </c>
      <c r="AG459" s="550">
        <f t="shared" si="89"/>
        <v>211</v>
      </c>
      <c r="AH459" s="42">
        <v>2</v>
      </c>
      <c r="AI459" s="42">
        <v>0</v>
      </c>
      <c r="AJ459" s="42">
        <v>0</v>
      </c>
      <c r="AK459" s="42">
        <v>0</v>
      </c>
      <c r="AL459" s="42">
        <v>0</v>
      </c>
      <c r="AM459" s="42">
        <v>0</v>
      </c>
      <c r="AN459" s="42">
        <v>0</v>
      </c>
      <c r="AO459" s="42">
        <v>2</v>
      </c>
    </row>
    <row r="460" spans="1:41" ht="24" customHeight="1">
      <c r="A460" s="11">
        <f t="shared" si="94"/>
        <v>457</v>
      </c>
      <c r="B460" s="390">
        <v>5187</v>
      </c>
      <c r="C460" s="478" t="str">
        <f>VLOOKUP(B460,All!$B$4:$S$8977,2,FALSE)</f>
        <v>ឌុយ</v>
      </c>
      <c r="D460" s="479" t="str">
        <f>VLOOKUP(B460,All!$B$4:$S$89977,3,FALSE)</f>
        <v>និមុល</v>
      </c>
      <c r="E460" s="478" t="str">
        <f>VLOOKUP(B460,All!$B$4:$S$8977,4,FALSE)</f>
        <v>DUY</v>
      </c>
      <c r="F460" s="479" t="str">
        <f>VLOOKUP(B460,All!$B$4:$S$8977,5,FALSE)</f>
        <v>NIMOL</v>
      </c>
      <c r="G460" s="479" t="str">
        <f>VLOOKUP(B460,All!$B$4:$S$8977,6,FALSE)</f>
        <v>F</v>
      </c>
      <c r="H460" s="385">
        <f>VLOOKUP(B460,All!$B$4:$S$8977,7,FALSE)</f>
        <v>34004</v>
      </c>
      <c r="I460" s="154">
        <f>VLOOKUP(B460,All!$B$4:$S$8977,8,FALSE)</f>
        <v>44488</v>
      </c>
      <c r="J460" s="154" t="str">
        <f>VLOOKUP(B460,All!$B$4:$S$8977,9,FALSE)</f>
        <v>Production</v>
      </c>
      <c r="K460" s="154" t="str">
        <f>VLOOKUP(B460,All!$B$4:$S$8977,10,FALSE)</f>
        <v>Line 12</v>
      </c>
      <c r="L460" s="698" t="str">
        <f>VLOOKUP(B460,All!$B$4:$S$8977,11,FALSE)</f>
        <v>Sewing operator</v>
      </c>
      <c r="M460" s="570">
        <f>VLOOKUP(B460,All!$B$4:$S$8977,12,FALSE)</f>
        <v>187</v>
      </c>
      <c r="N460" s="18">
        <f>VLOOKUP(B460,All!$B$4:$S$8977,13,FALSE)</f>
        <v>0</v>
      </c>
      <c r="O460" s="18">
        <f>VLOOKUP(B460,All!$B$4:$S$8977,14,FALSE)</f>
        <v>0</v>
      </c>
      <c r="P460" s="18">
        <f>VLOOKUP(B460,All!$B$4:$S$8977,15,FALSE)</f>
        <v>0</v>
      </c>
      <c r="Q460" s="18">
        <f>VLOOKUP(B460,All!$B$4:$S$8977,16,FALSE)</f>
        <v>0</v>
      </c>
      <c r="R460" s="18">
        <v>7</v>
      </c>
      <c r="S460" s="18">
        <v>10</v>
      </c>
      <c r="T460" s="550">
        <f t="shared" si="86"/>
        <v>204</v>
      </c>
      <c r="U460" s="568"/>
      <c r="V460" s="3"/>
      <c r="W460" s="3"/>
      <c r="X460" s="3"/>
      <c r="Y460" s="562"/>
      <c r="Z460" s="565">
        <f t="shared" ref="Z460:Z463" si="97">M460+AH460+5</f>
        <v>194</v>
      </c>
      <c r="AA460" s="18">
        <f t="shared" si="90"/>
        <v>0</v>
      </c>
      <c r="AB460" s="18">
        <f t="shared" si="91"/>
        <v>0</v>
      </c>
      <c r="AC460" s="18">
        <f t="shared" si="92"/>
        <v>0</v>
      </c>
      <c r="AD460" s="18">
        <f t="shared" si="93"/>
        <v>0</v>
      </c>
      <c r="AE460" s="18">
        <f t="shared" si="87"/>
        <v>7</v>
      </c>
      <c r="AF460" s="18">
        <f t="shared" si="88"/>
        <v>10</v>
      </c>
      <c r="AG460" s="550">
        <f t="shared" si="89"/>
        <v>211</v>
      </c>
      <c r="AH460" s="42">
        <v>2</v>
      </c>
      <c r="AI460" s="42">
        <v>0</v>
      </c>
      <c r="AJ460" s="42">
        <v>0</v>
      </c>
      <c r="AK460" s="42">
        <v>0</v>
      </c>
      <c r="AL460" s="42">
        <v>0</v>
      </c>
      <c r="AM460" s="42">
        <v>0</v>
      </c>
      <c r="AN460" s="42">
        <v>0</v>
      </c>
      <c r="AO460" s="42">
        <v>2</v>
      </c>
    </row>
    <row r="461" spans="1:41" ht="24" customHeight="1">
      <c r="A461" s="11">
        <f t="shared" si="94"/>
        <v>458</v>
      </c>
      <c r="B461" s="390">
        <v>5188</v>
      </c>
      <c r="C461" s="478" t="str">
        <f>VLOOKUP(B461,All!$B$4:$S$8977,2,FALSE)</f>
        <v>ហុង</v>
      </c>
      <c r="D461" s="479" t="str">
        <f>VLOOKUP(B461,All!$B$4:$S$89977,3,FALSE)</f>
        <v>សុខហៀង</v>
      </c>
      <c r="E461" s="478" t="str">
        <f>VLOOKUP(B461,All!$B$4:$S$8977,4,FALSE)</f>
        <v>HONG</v>
      </c>
      <c r="F461" s="479" t="str">
        <f>VLOOKUP(B461,All!$B$4:$S$8977,5,FALSE)</f>
        <v>SOKHHIENG</v>
      </c>
      <c r="G461" s="479" t="str">
        <f>VLOOKUP(B461,All!$B$4:$S$8977,6,FALSE)</f>
        <v>F</v>
      </c>
      <c r="H461" s="385">
        <f>VLOOKUP(B461,All!$B$4:$S$8977,7,FALSE)</f>
        <v>30349</v>
      </c>
      <c r="I461" s="154">
        <f>VLOOKUP(B461,All!$B$4:$S$8977,8,FALSE)</f>
        <v>44489</v>
      </c>
      <c r="J461" s="154" t="str">
        <f>VLOOKUP(B461,All!$B$4:$S$8977,9,FALSE)</f>
        <v>Production</v>
      </c>
      <c r="K461" s="154" t="str">
        <f>VLOOKUP(B461,All!$B$4:$S$8977,10,FALSE)</f>
        <v>Line 12</v>
      </c>
      <c r="L461" s="698" t="str">
        <f>VLOOKUP(B461,All!$B$4:$S$8977,11,FALSE)</f>
        <v>Sewing operator</v>
      </c>
      <c r="M461" s="570">
        <f>VLOOKUP(B461,All!$B$4:$S$8977,12,FALSE)</f>
        <v>187</v>
      </c>
      <c r="N461" s="18">
        <f>VLOOKUP(B461,All!$B$4:$S$8977,13,FALSE)</f>
        <v>0</v>
      </c>
      <c r="O461" s="18">
        <f>VLOOKUP(B461,All!$B$4:$S$8977,14,FALSE)</f>
        <v>0</v>
      </c>
      <c r="P461" s="18">
        <f>VLOOKUP(B461,All!$B$4:$S$8977,15,FALSE)</f>
        <v>0</v>
      </c>
      <c r="Q461" s="18">
        <f>VLOOKUP(B461,All!$B$4:$S$8977,16,FALSE)</f>
        <v>0</v>
      </c>
      <c r="R461" s="18">
        <v>7</v>
      </c>
      <c r="S461" s="18">
        <v>10</v>
      </c>
      <c r="T461" s="550">
        <f t="shared" si="86"/>
        <v>204</v>
      </c>
      <c r="U461" s="568"/>
      <c r="V461" s="3"/>
      <c r="W461" s="3"/>
      <c r="X461" s="3"/>
      <c r="Y461" s="562"/>
      <c r="Z461" s="565">
        <f t="shared" si="97"/>
        <v>194</v>
      </c>
      <c r="AA461" s="18">
        <f t="shared" si="90"/>
        <v>0</v>
      </c>
      <c r="AB461" s="18">
        <f t="shared" si="91"/>
        <v>0</v>
      </c>
      <c r="AC461" s="18">
        <f t="shared" si="92"/>
        <v>0</v>
      </c>
      <c r="AD461" s="18">
        <f t="shared" si="93"/>
        <v>0</v>
      </c>
      <c r="AE461" s="18">
        <f t="shared" si="87"/>
        <v>7</v>
      </c>
      <c r="AF461" s="18">
        <f t="shared" si="88"/>
        <v>10</v>
      </c>
      <c r="AG461" s="550">
        <f t="shared" si="89"/>
        <v>211</v>
      </c>
      <c r="AH461" s="42">
        <v>2</v>
      </c>
      <c r="AI461" s="42">
        <v>0</v>
      </c>
      <c r="AJ461" s="42">
        <v>0</v>
      </c>
      <c r="AK461" s="42">
        <v>0</v>
      </c>
      <c r="AL461" s="42">
        <v>0</v>
      </c>
      <c r="AM461" s="42">
        <v>0</v>
      </c>
      <c r="AN461" s="42">
        <v>0</v>
      </c>
      <c r="AO461" s="42">
        <v>2</v>
      </c>
    </row>
    <row r="462" spans="1:41" ht="24" customHeight="1">
      <c r="A462" s="11">
        <f t="shared" ref="A462:A467" si="98">1+A461</f>
        <v>459</v>
      </c>
      <c r="B462" s="390">
        <v>5189</v>
      </c>
      <c r="C462" s="478" t="str">
        <f>VLOOKUP(B462,All!$B$4:$S$8977,2,FALSE)</f>
        <v>ឯម</v>
      </c>
      <c r="D462" s="479" t="str">
        <f>VLOOKUP(B462,All!$B$4:$S$89977,3,FALSE)</f>
        <v>ឡាម</v>
      </c>
      <c r="E462" s="478" t="str">
        <f>VLOOKUP(B462,All!$B$4:$S$8977,4,FALSE)</f>
        <v>EM</v>
      </c>
      <c r="F462" s="479" t="str">
        <f>VLOOKUP(B462,All!$B$4:$S$8977,5,FALSE)</f>
        <v>LAM</v>
      </c>
      <c r="G462" s="479" t="str">
        <f>VLOOKUP(B462,All!$B$4:$S$8977,6,FALSE)</f>
        <v>F</v>
      </c>
      <c r="H462" s="385">
        <f>VLOOKUP(B462,All!$B$4:$S$8977,7,FALSE)</f>
        <v>26760</v>
      </c>
      <c r="I462" s="154">
        <f>VLOOKUP(B462,All!$B$4:$S$8977,8,FALSE)</f>
        <v>44489</v>
      </c>
      <c r="J462" s="154" t="str">
        <f>VLOOKUP(B462,All!$B$4:$S$8977,9,FALSE)</f>
        <v>Production</v>
      </c>
      <c r="K462" s="154" t="str">
        <f>VLOOKUP(B462,All!$B$4:$S$8977,10,FALSE)</f>
        <v>Line 12</v>
      </c>
      <c r="L462" s="698" t="str">
        <f>VLOOKUP(B462,All!$B$4:$S$8977,11,FALSE)</f>
        <v>Sewing operator</v>
      </c>
      <c r="M462" s="570">
        <f>VLOOKUP(B462,All!$B$4:$S$8977,12,FALSE)</f>
        <v>187</v>
      </c>
      <c r="N462" s="18">
        <f>VLOOKUP(B462,All!$B$4:$S$8977,13,FALSE)</f>
        <v>0</v>
      </c>
      <c r="O462" s="18">
        <f>VLOOKUP(B462,All!$B$4:$S$8977,14,FALSE)</f>
        <v>0</v>
      </c>
      <c r="P462" s="18">
        <f>VLOOKUP(B462,All!$B$4:$S$8977,15,FALSE)</f>
        <v>0</v>
      </c>
      <c r="Q462" s="18">
        <f>VLOOKUP(B462,All!$B$4:$S$8977,16,FALSE)</f>
        <v>0</v>
      </c>
      <c r="R462" s="18">
        <v>7</v>
      </c>
      <c r="S462" s="18">
        <v>10</v>
      </c>
      <c r="T462" s="550">
        <f t="shared" si="86"/>
        <v>204</v>
      </c>
      <c r="U462" s="568"/>
      <c r="V462" s="3"/>
      <c r="W462" s="3"/>
      <c r="X462" s="3"/>
      <c r="Y462" s="562"/>
      <c r="Z462" s="565">
        <f t="shared" si="97"/>
        <v>194</v>
      </c>
      <c r="AA462" s="18">
        <f t="shared" si="90"/>
        <v>0</v>
      </c>
      <c r="AB462" s="18">
        <f t="shared" si="91"/>
        <v>0</v>
      </c>
      <c r="AC462" s="18">
        <f t="shared" si="92"/>
        <v>0</v>
      </c>
      <c r="AD462" s="18">
        <f t="shared" si="93"/>
        <v>0</v>
      </c>
      <c r="AE462" s="18">
        <f t="shared" si="87"/>
        <v>7</v>
      </c>
      <c r="AF462" s="18">
        <f t="shared" si="88"/>
        <v>10</v>
      </c>
      <c r="AG462" s="550">
        <f t="shared" si="89"/>
        <v>211</v>
      </c>
      <c r="AH462" s="42">
        <v>2</v>
      </c>
      <c r="AI462" s="42">
        <v>0</v>
      </c>
      <c r="AJ462" s="42">
        <v>0</v>
      </c>
      <c r="AK462" s="42">
        <v>0</v>
      </c>
      <c r="AL462" s="42">
        <v>0</v>
      </c>
      <c r="AM462" s="42">
        <v>0</v>
      </c>
      <c r="AN462" s="42">
        <v>0</v>
      </c>
      <c r="AO462" s="42">
        <v>2</v>
      </c>
    </row>
    <row r="463" spans="1:41" ht="24" customHeight="1">
      <c r="A463" s="11">
        <f t="shared" si="98"/>
        <v>460</v>
      </c>
      <c r="B463" s="390">
        <v>5190</v>
      </c>
      <c r="C463" s="478" t="str">
        <f>VLOOKUP(B463,All!$B$4:$S$8977,2,FALSE)</f>
        <v>ញ៉េ</v>
      </c>
      <c r="D463" s="479" t="str">
        <f>VLOOKUP(B463,All!$B$4:$S$89977,3,FALSE)</f>
        <v>ធារី</v>
      </c>
      <c r="E463" s="478" t="str">
        <f>VLOOKUP(B463,All!$B$4:$S$8977,4,FALSE)</f>
        <v>NHE</v>
      </c>
      <c r="F463" s="479" t="str">
        <f>VLOOKUP(B463,All!$B$4:$S$8977,5,FALSE)</f>
        <v>THEARY</v>
      </c>
      <c r="G463" s="479" t="str">
        <f>VLOOKUP(B463,All!$B$4:$S$8977,6,FALSE)</f>
        <v>F</v>
      </c>
      <c r="H463" s="385">
        <f>VLOOKUP(B463,All!$B$4:$S$8977,7,FALSE)</f>
        <v>37413</v>
      </c>
      <c r="I463" s="154">
        <f>VLOOKUP(B463,All!$B$4:$S$8977,8,FALSE)</f>
        <v>44489</v>
      </c>
      <c r="J463" s="154" t="str">
        <f>VLOOKUP(B463,All!$B$4:$S$8977,9,FALSE)</f>
        <v>Production</v>
      </c>
      <c r="K463" s="154" t="str">
        <f>VLOOKUP(B463,All!$B$4:$S$8977,10,FALSE)</f>
        <v>Line 12</v>
      </c>
      <c r="L463" s="698" t="str">
        <f>VLOOKUP(B463,All!$B$4:$S$8977,11,FALSE)</f>
        <v>Sewing operator</v>
      </c>
      <c r="M463" s="570">
        <f>VLOOKUP(B463,All!$B$4:$S$8977,12,FALSE)</f>
        <v>187</v>
      </c>
      <c r="N463" s="18">
        <f>VLOOKUP(B463,All!$B$4:$S$8977,13,FALSE)</f>
        <v>0</v>
      </c>
      <c r="O463" s="18">
        <f>VLOOKUP(B463,All!$B$4:$S$8977,14,FALSE)</f>
        <v>0</v>
      </c>
      <c r="P463" s="18">
        <f>VLOOKUP(B463,All!$B$4:$S$8977,15,FALSE)</f>
        <v>0</v>
      </c>
      <c r="Q463" s="18">
        <f>VLOOKUP(B463,All!$B$4:$S$8977,16,FALSE)</f>
        <v>0</v>
      </c>
      <c r="R463" s="18">
        <v>7</v>
      </c>
      <c r="S463" s="18">
        <v>10</v>
      </c>
      <c r="T463" s="550">
        <f t="shared" si="86"/>
        <v>204</v>
      </c>
      <c r="U463" s="568"/>
      <c r="V463" s="3"/>
      <c r="W463" s="3"/>
      <c r="X463" s="3"/>
      <c r="Y463" s="562"/>
      <c r="Z463" s="565">
        <f t="shared" si="97"/>
        <v>194</v>
      </c>
      <c r="AA463" s="18">
        <f t="shared" si="90"/>
        <v>0</v>
      </c>
      <c r="AB463" s="18">
        <f t="shared" si="91"/>
        <v>0</v>
      </c>
      <c r="AC463" s="18">
        <f t="shared" si="92"/>
        <v>0</v>
      </c>
      <c r="AD463" s="18">
        <f t="shared" si="93"/>
        <v>0</v>
      </c>
      <c r="AE463" s="18">
        <f t="shared" si="87"/>
        <v>7</v>
      </c>
      <c r="AF463" s="18">
        <f t="shared" si="88"/>
        <v>10</v>
      </c>
      <c r="AG463" s="550">
        <f t="shared" si="89"/>
        <v>211</v>
      </c>
      <c r="AH463" s="42">
        <v>2</v>
      </c>
      <c r="AI463" s="42">
        <v>0</v>
      </c>
      <c r="AJ463" s="42">
        <v>0</v>
      </c>
      <c r="AK463" s="42">
        <v>0</v>
      </c>
      <c r="AL463" s="42">
        <v>0</v>
      </c>
      <c r="AM463" s="42">
        <v>0</v>
      </c>
      <c r="AN463" s="42">
        <v>0</v>
      </c>
      <c r="AO463" s="42">
        <v>2</v>
      </c>
    </row>
    <row r="464" spans="1:41" ht="24" customHeight="1">
      <c r="A464" s="11">
        <f t="shared" si="98"/>
        <v>461</v>
      </c>
      <c r="B464" s="400">
        <v>5192</v>
      </c>
      <c r="C464" s="478" t="str">
        <f>VLOOKUP(B464,All!$B$4:$S$8977,2,FALSE)</f>
        <v>មុំ</v>
      </c>
      <c r="D464" s="479" t="str">
        <f>VLOOKUP(B464,All!$B$4:$S$89977,3,FALSE)</f>
        <v>សាភាន់</v>
      </c>
      <c r="E464" s="478" t="str">
        <f>VLOOKUP(B464,All!$B$4:$S$8977,4,FALSE)</f>
        <v xml:space="preserve">MUM </v>
      </c>
      <c r="F464" s="479" t="str">
        <f>VLOOKUP(B464,All!$B$4:$S$8977,5,FALSE)</f>
        <v>SAPHORN</v>
      </c>
      <c r="G464" s="479" t="str">
        <f>VLOOKUP(B464,All!$B$4:$S$8977,6,FALSE)</f>
        <v>F</v>
      </c>
      <c r="H464" s="385">
        <f>VLOOKUP(B464,All!$B$4:$S$8977,7,FALSE)</f>
        <v>31965</v>
      </c>
      <c r="I464" s="154">
        <f>VLOOKUP(B464,All!$B$4:$S$8977,8,FALSE)</f>
        <v>44491</v>
      </c>
      <c r="J464" s="154" t="str">
        <f>VLOOKUP(B464,All!$B$4:$S$8977,9,FALSE)</f>
        <v>Production</v>
      </c>
      <c r="K464" s="154" t="str">
        <f>VLOOKUP(B464,All!$B$4:$S$8977,10,FALSE)</f>
        <v>Line 12</v>
      </c>
      <c r="L464" s="698" t="str">
        <f>VLOOKUP(B464,All!$B$4:$S$8977,11,FALSE)</f>
        <v>Sewing operator</v>
      </c>
      <c r="M464" s="570">
        <f>VLOOKUP(B464,All!$B$4:$S$8977,12,FALSE)</f>
        <v>192</v>
      </c>
      <c r="N464" s="18">
        <f>VLOOKUP(B464,All!$B$4:$S$8977,13,FALSE)</f>
        <v>0</v>
      </c>
      <c r="O464" s="18">
        <f>VLOOKUP(B464,All!$B$4:$S$8977,14,FALSE)</f>
        <v>0</v>
      </c>
      <c r="P464" s="18">
        <f>VLOOKUP(B464,All!$B$4:$S$8977,15,FALSE)</f>
        <v>0</v>
      </c>
      <c r="Q464" s="18">
        <f>VLOOKUP(B464,All!$B$4:$S$8977,16,FALSE)</f>
        <v>0</v>
      </c>
      <c r="R464" s="18">
        <v>7</v>
      </c>
      <c r="S464" s="18">
        <v>10</v>
      </c>
      <c r="T464" s="550">
        <f t="shared" si="86"/>
        <v>209</v>
      </c>
      <c r="U464" s="568"/>
      <c r="V464" s="3"/>
      <c r="W464" s="3"/>
      <c r="X464" s="3"/>
      <c r="Y464" s="562"/>
      <c r="Z464" s="565">
        <f t="shared" si="95"/>
        <v>194</v>
      </c>
      <c r="AA464" s="18">
        <f t="shared" si="90"/>
        <v>0</v>
      </c>
      <c r="AB464" s="18">
        <f t="shared" si="91"/>
        <v>0</v>
      </c>
      <c r="AC464" s="18">
        <f t="shared" si="92"/>
        <v>0</v>
      </c>
      <c r="AD464" s="18">
        <f t="shared" si="93"/>
        <v>0</v>
      </c>
      <c r="AE464" s="18">
        <f t="shared" si="87"/>
        <v>7</v>
      </c>
      <c r="AF464" s="18">
        <f t="shared" si="88"/>
        <v>10</v>
      </c>
      <c r="AG464" s="550">
        <f t="shared" si="89"/>
        <v>211</v>
      </c>
      <c r="AH464" s="42">
        <v>2</v>
      </c>
      <c r="AI464" s="42">
        <v>0</v>
      </c>
      <c r="AJ464" s="42">
        <v>0</v>
      </c>
      <c r="AK464" s="42">
        <v>0</v>
      </c>
      <c r="AL464" s="42">
        <v>0</v>
      </c>
      <c r="AM464" s="42">
        <v>0</v>
      </c>
      <c r="AN464" s="42">
        <v>0</v>
      </c>
      <c r="AO464" s="42">
        <v>2</v>
      </c>
    </row>
    <row r="465" spans="1:42" ht="24" customHeight="1">
      <c r="A465" s="11">
        <f t="shared" si="98"/>
        <v>462</v>
      </c>
      <c r="B465" s="400">
        <v>5194</v>
      </c>
      <c r="C465" s="478" t="str">
        <f>VLOOKUP(B465,All!$B$4:$S$8977,2,FALSE)</f>
        <v>រើន</v>
      </c>
      <c r="D465" s="479" t="str">
        <f>VLOOKUP(B465,All!$B$4:$S$89977,3,FALSE)</f>
        <v>ធារះ</v>
      </c>
      <c r="E465" s="478" t="str">
        <f>VLOOKUP(B465,All!$B$4:$S$8977,4,FALSE)</f>
        <v>ROEUN</v>
      </c>
      <c r="F465" s="479" t="str">
        <f>VLOOKUP(B465,All!$B$4:$S$8977,5,FALSE)</f>
        <v>THEARAK</v>
      </c>
      <c r="G465" s="479" t="str">
        <f>VLOOKUP(B465,All!$B$4:$S$8977,6,FALSE)</f>
        <v>M</v>
      </c>
      <c r="H465" s="385">
        <f>VLOOKUP(B465,All!$B$4:$S$8977,7,FALSE)</f>
        <v>37534</v>
      </c>
      <c r="I465" s="154">
        <f>VLOOKUP(B465,All!$B$4:$S$8977,8,FALSE)</f>
        <v>44502</v>
      </c>
      <c r="J465" s="154" t="str">
        <f>VLOOKUP(B465,All!$B$4:$S$8977,9,FALSE)</f>
        <v>Production</v>
      </c>
      <c r="K465" s="154" t="str">
        <f>VLOOKUP(B465,All!$B$4:$S$8977,10,FALSE)</f>
        <v>Packing   A</v>
      </c>
      <c r="L465" s="698" t="str">
        <f>VLOOKUP(B465,All!$B$4:$S$8977,11,FALSE)</f>
        <v>Packer</v>
      </c>
      <c r="M465" s="570">
        <f>VLOOKUP(B465,All!$B$4:$S$8977,12,FALSE)</f>
        <v>187</v>
      </c>
      <c r="N465" s="18">
        <f>VLOOKUP(B465,All!$B$4:$S$8977,13,FALSE)</f>
        <v>0</v>
      </c>
      <c r="O465" s="18">
        <f>VLOOKUP(B465,All!$B$4:$S$8977,14,FALSE)</f>
        <v>0</v>
      </c>
      <c r="P465" s="18">
        <f>VLOOKUP(B465,All!$B$4:$S$8977,15,FALSE)</f>
        <v>0</v>
      </c>
      <c r="Q465" s="18">
        <f>VLOOKUP(B465,All!$B$4:$S$8977,16,FALSE)</f>
        <v>0</v>
      </c>
      <c r="R465" s="18">
        <v>7</v>
      </c>
      <c r="S465" s="18">
        <v>10</v>
      </c>
      <c r="T465" s="550">
        <f t="shared" si="86"/>
        <v>204</v>
      </c>
      <c r="U465" s="568"/>
      <c r="V465" s="3"/>
      <c r="W465" s="3"/>
      <c r="X465" s="3"/>
      <c r="Y465" s="562"/>
      <c r="Z465" s="565">
        <f t="shared" ref="Z465:Z466" si="99">M465+AH465+5</f>
        <v>194</v>
      </c>
      <c r="AA465" s="18">
        <f t="shared" si="90"/>
        <v>0</v>
      </c>
      <c r="AB465" s="18">
        <f t="shared" si="91"/>
        <v>0</v>
      </c>
      <c r="AC465" s="18">
        <f t="shared" si="92"/>
        <v>0</v>
      </c>
      <c r="AD465" s="18">
        <f t="shared" si="93"/>
        <v>0</v>
      </c>
      <c r="AE465" s="18">
        <f t="shared" si="87"/>
        <v>7</v>
      </c>
      <c r="AF465" s="18">
        <f t="shared" si="88"/>
        <v>10</v>
      </c>
      <c r="AG465" s="550">
        <f t="shared" si="89"/>
        <v>211</v>
      </c>
      <c r="AH465" s="42">
        <v>2</v>
      </c>
      <c r="AI465" s="42">
        <v>0</v>
      </c>
      <c r="AJ465" s="42">
        <v>0</v>
      </c>
      <c r="AK465" s="42">
        <v>0</v>
      </c>
      <c r="AL465" s="42">
        <v>0</v>
      </c>
      <c r="AM465" s="42">
        <v>0</v>
      </c>
      <c r="AN465" s="42">
        <v>0</v>
      </c>
      <c r="AO465" s="42">
        <v>2</v>
      </c>
    </row>
    <row r="466" spans="1:42" ht="24" customHeight="1">
      <c r="A466" s="11">
        <f t="shared" si="98"/>
        <v>463</v>
      </c>
      <c r="B466" s="400">
        <v>5195</v>
      </c>
      <c r="C466" s="478" t="str">
        <f>VLOOKUP(B466,All!$B$4:$S$8977,2,FALSE)</f>
        <v>សំ</v>
      </c>
      <c r="D466" s="479" t="str">
        <f>VLOOKUP(B466,All!$B$4:$S$89977,3,FALSE)</f>
        <v>ពៅ</v>
      </c>
      <c r="E466" s="478" t="str">
        <f>VLOOKUP(B466,All!$B$4:$S$8977,4,FALSE)</f>
        <v>SOM</v>
      </c>
      <c r="F466" s="479" t="str">
        <f>VLOOKUP(B466,All!$B$4:$S$8977,5,FALSE)</f>
        <v>POV</v>
      </c>
      <c r="G466" s="479" t="str">
        <f>VLOOKUP(B466,All!$B$4:$S$8977,6,FALSE)</f>
        <v>M</v>
      </c>
      <c r="H466" s="385">
        <f>VLOOKUP(B466,All!$B$4:$S$8977,7,FALSE)</f>
        <v>36713</v>
      </c>
      <c r="I466" s="154">
        <f>VLOOKUP(B466,All!$B$4:$S$8977,8,FALSE)</f>
        <v>44502</v>
      </c>
      <c r="J466" s="154" t="str">
        <f>VLOOKUP(B466,All!$B$4:$S$8977,9,FALSE)</f>
        <v>Production</v>
      </c>
      <c r="K466" s="154" t="str">
        <f>VLOOKUP(B466,All!$B$4:$S$8977,10,FALSE)</f>
        <v>Packing   B</v>
      </c>
      <c r="L466" s="698" t="str">
        <f>VLOOKUP(B466,All!$B$4:$S$8977,11,FALSE)</f>
        <v>Packer</v>
      </c>
      <c r="M466" s="570">
        <f>VLOOKUP(B466,All!$B$4:$S$8977,12,FALSE)</f>
        <v>187</v>
      </c>
      <c r="N466" s="18">
        <f>VLOOKUP(B466,All!$B$4:$S$8977,13,FALSE)</f>
        <v>0</v>
      </c>
      <c r="O466" s="18">
        <f>VLOOKUP(B466,All!$B$4:$S$8977,14,FALSE)</f>
        <v>0</v>
      </c>
      <c r="P466" s="18">
        <f>VLOOKUP(B466,All!$B$4:$S$8977,15,FALSE)</f>
        <v>0</v>
      </c>
      <c r="Q466" s="18">
        <f>VLOOKUP(B466,All!$B$4:$S$8977,16,FALSE)</f>
        <v>0</v>
      </c>
      <c r="R466" s="18">
        <v>7</v>
      </c>
      <c r="S466" s="18">
        <v>10</v>
      </c>
      <c r="T466" s="550">
        <f t="shared" si="86"/>
        <v>204</v>
      </c>
      <c r="U466" s="568"/>
      <c r="V466" s="3"/>
      <c r="W466" s="3"/>
      <c r="X466" s="3"/>
      <c r="Y466" s="562"/>
      <c r="Z466" s="565">
        <f t="shared" si="99"/>
        <v>194</v>
      </c>
      <c r="AA466" s="18">
        <f t="shared" si="90"/>
        <v>0</v>
      </c>
      <c r="AB466" s="18">
        <f t="shared" si="91"/>
        <v>0</v>
      </c>
      <c r="AC466" s="18">
        <f t="shared" si="92"/>
        <v>0</v>
      </c>
      <c r="AD466" s="18">
        <f t="shared" si="93"/>
        <v>0</v>
      </c>
      <c r="AE466" s="18">
        <f t="shared" si="87"/>
        <v>7</v>
      </c>
      <c r="AF466" s="18">
        <f t="shared" si="88"/>
        <v>10</v>
      </c>
      <c r="AG466" s="550">
        <f t="shared" si="89"/>
        <v>211</v>
      </c>
      <c r="AH466" s="42">
        <v>2</v>
      </c>
      <c r="AI466" s="42">
        <v>0</v>
      </c>
      <c r="AJ466" s="42">
        <v>0</v>
      </c>
      <c r="AK466" s="42">
        <v>0</v>
      </c>
      <c r="AL466" s="42">
        <v>0</v>
      </c>
      <c r="AM466" s="42">
        <v>0</v>
      </c>
      <c r="AN466" s="42">
        <v>0</v>
      </c>
      <c r="AO466" s="42">
        <v>2</v>
      </c>
    </row>
    <row r="467" spans="1:42" s="7" customFormat="1" ht="25.5" customHeight="1" thickBot="1">
      <c r="A467" s="11">
        <f t="shared" si="98"/>
        <v>464</v>
      </c>
      <c r="B467" s="433">
        <v>3423</v>
      </c>
      <c r="C467" s="484" t="str">
        <f>VLOOKUP(B467,All!$B$4:$S$8977,2,FALSE)</f>
        <v>នូវ</v>
      </c>
      <c r="D467" s="482" t="str">
        <f>VLOOKUP(B467,All!$B$4:$S$89977,3,FALSE)</f>
        <v>ចាន់សុភា</v>
      </c>
      <c r="E467" s="484" t="str">
        <f>VLOOKUP(B467,All!$B$4:$S$8977,4,FALSE)</f>
        <v>NOV</v>
      </c>
      <c r="F467" s="482" t="str">
        <f>VLOOKUP(B467,All!$B$4:$S$8977,5,FALSE)</f>
        <v>CHANSOPHEA</v>
      </c>
      <c r="G467" s="482" t="str">
        <f>VLOOKUP(B467,All!$B$4:$S$8977,6,FALSE)</f>
        <v>M</v>
      </c>
      <c r="H467" s="486">
        <f>VLOOKUP(B467,All!$B$4:$S$8977,7,FALSE)</f>
        <v>33640</v>
      </c>
      <c r="I467" s="494">
        <f>VLOOKUP(B467,All!$B$4:$S$8977,8,FALSE)</f>
        <v>43771</v>
      </c>
      <c r="J467" s="430" t="s">
        <v>6293</v>
      </c>
      <c r="K467" s="411" t="s">
        <v>6454</v>
      </c>
      <c r="L467" s="698" t="str">
        <f>VLOOKUP(B467,All!$B$4:$S$8977,11,FALSE)</f>
        <v>Sewing operator</v>
      </c>
      <c r="M467" s="588">
        <f>VLOOKUP(B467,All!$B$4:$S$8977,12,FALSE)</f>
        <v>192</v>
      </c>
      <c r="N467" s="559">
        <f>VLOOKUP(B467,All!$B$4:$S$8977,13,FALSE)</f>
        <v>3</v>
      </c>
      <c r="O467" s="559">
        <f>VLOOKUP(B467,All!$B$4:$S$8977,14,FALSE)</f>
        <v>0</v>
      </c>
      <c r="P467" s="559">
        <f>VLOOKUP(B467,All!$B$4:$S$8977,15,FALSE)</f>
        <v>0</v>
      </c>
      <c r="Q467" s="589">
        <f>VLOOKUP(B467,All!$B$4:$S$8977,16,FALSE)</f>
        <v>0</v>
      </c>
      <c r="R467" s="559">
        <v>7</v>
      </c>
      <c r="S467" s="559">
        <v>10</v>
      </c>
      <c r="T467" s="560">
        <f t="shared" si="86"/>
        <v>212</v>
      </c>
      <c r="U467" s="568"/>
      <c r="V467" s="472"/>
      <c r="W467" s="492"/>
      <c r="X467" s="347"/>
      <c r="Y467" s="484"/>
      <c r="Z467" s="591">
        <f t="shared" ref="Z467" si="100">M467+2</f>
        <v>194</v>
      </c>
      <c r="AA467" s="559">
        <f t="shared" si="90"/>
        <v>3</v>
      </c>
      <c r="AB467" s="559">
        <f t="shared" ref="AB467" si="101">O467+U467</f>
        <v>0</v>
      </c>
      <c r="AC467" s="559">
        <f t="shared" si="92"/>
        <v>0</v>
      </c>
      <c r="AD467" s="589">
        <f t="shared" si="90"/>
        <v>0</v>
      </c>
      <c r="AE467" s="559">
        <f t="shared" si="90"/>
        <v>7</v>
      </c>
      <c r="AF467" s="559">
        <f t="shared" si="90"/>
        <v>10</v>
      </c>
      <c r="AG467" s="590">
        <f t="shared" si="89"/>
        <v>214</v>
      </c>
      <c r="AH467" s="409">
        <f t="shared" ref="AH467:AO467" si="102">Z467-M467</f>
        <v>2</v>
      </c>
      <c r="AI467" s="409">
        <f t="shared" si="102"/>
        <v>0</v>
      </c>
      <c r="AJ467" s="409">
        <f t="shared" si="102"/>
        <v>0</v>
      </c>
      <c r="AK467" s="409">
        <f t="shared" si="102"/>
        <v>0</v>
      </c>
      <c r="AL467" s="409">
        <f t="shared" si="102"/>
        <v>0</v>
      </c>
      <c r="AM467" s="409">
        <f t="shared" si="102"/>
        <v>0</v>
      </c>
      <c r="AN467" s="409">
        <f t="shared" si="102"/>
        <v>0</v>
      </c>
      <c r="AO467" s="409">
        <f t="shared" si="102"/>
        <v>2</v>
      </c>
      <c r="AP467" s="584"/>
    </row>
    <row r="469" spans="1:42" ht="24" customHeight="1">
      <c r="T469" s="42">
        <f>SUM(T4:T467)</f>
        <v>101469</v>
      </c>
      <c r="Z469" s="42"/>
      <c r="AA469" s="42"/>
      <c r="AB469" s="42"/>
      <c r="AC469" s="42"/>
      <c r="AD469" s="42"/>
      <c r="AE469" s="42"/>
      <c r="AF469" s="42"/>
      <c r="AG469" s="42">
        <f>SUM(AG4:AG467)</f>
        <v>102587</v>
      </c>
      <c r="AH469" s="42">
        <f>SUM(AH4:AH468)</f>
        <v>928</v>
      </c>
    </row>
    <row r="471" spans="1:42" ht="24" customHeight="1">
      <c r="AG471" s="521"/>
    </row>
  </sheetData>
  <mergeCells count="3">
    <mergeCell ref="E3:F3"/>
    <mergeCell ref="M1:T1"/>
    <mergeCell ref="Z1:AG1"/>
  </mergeCells>
  <phoneticPr fontId="8" type="noConversion"/>
  <conditionalFormatting sqref="M468:N1048576">
    <cfRule type="duplicateValues" dxfId="581" priority="599"/>
  </conditionalFormatting>
  <conditionalFormatting sqref="AJ1:AJ3">
    <cfRule type="duplicateValues" dxfId="580" priority="501"/>
  </conditionalFormatting>
  <conditionalFormatting sqref="C468:C1048576">
    <cfRule type="duplicateValues" dxfId="579" priority="600"/>
  </conditionalFormatting>
  <conditionalFormatting sqref="M468:N1048576">
    <cfRule type="duplicateValues" dxfId="578" priority="602"/>
    <cfRule type="duplicateValues" dxfId="577" priority="603"/>
  </conditionalFormatting>
  <conditionalFormatting sqref="M468:N1048576">
    <cfRule type="duplicateValues" dxfId="576" priority="604"/>
    <cfRule type="duplicateValues" dxfId="575" priority="605"/>
    <cfRule type="duplicateValues" dxfId="574" priority="606"/>
    <cfRule type="duplicateValues" dxfId="573" priority="607"/>
  </conditionalFormatting>
  <conditionalFormatting sqref="M468:N1048576">
    <cfRule type="duplicateValues" dxfId="572" priority="608"/>
    <cfRule type="duplicateValues" dxfId="571" priority="609"/>
    <cfRule type="duplicateValues" dxfId="570" priority="610"/>
    <cfRule type="duplicateValues" dxfId="569" priority="611"/>
    <cfRule type="duplicateValues" dxfId="568" priority="612"/>
  </conditionalFormatting>
  <conditionalFormatting sqref="B468:B1048576 B4:B466">
    <cfRule type="duplicateValues" dxfId="567" priority="238"/>
  </conditionalFormatting>
  <conditionalFormatting sqref="B470:B1048576">
    <cfRule type="duplicateValues" dxfId="566" priority="12833"/>
  </conditionalFormatting>
  <conditionalFormatting sqref="B470:B1048576">
    <cfRule type="duplicateValues" dxfId="565" priority="12836"/>
  </conditionalFormatting>
  <conditionalFormatting sqref="B470:B1048576 B4:B466">
    <cfRule type="duplicateValues" dxfId="564" priority="12838"/>
  </conditionalFormatting>
  <conditionalFormatting sqref="B468:B1048576">
    <cfRule type="duplicateValues" dxfId="563" priority="15384"/>
  </conditionalFormatting>
  <conditionalFormatting sqref="B467">
    <cfRule type="duplicateValues" dxfId="562" priority="97"/>
  </conditionalFormatting>
  <conditionalFormatting sqref="B467">
    <cfRule type="duplicateValues" dxfId="561" priority="98"/>
  </conditionalFormatting>
  <conditionalFormatting sqref="B467">
    <cfRule type="duplicateValues" dxfId="560" priority="96"/>
  </conditionalFormatting>
  <conditionalFormatting sqref="B4:B1048576">
    <cfRule type="duplicateValues" dxfId="559" priority="94"/>
  </conditionalFormatting>
  <conditionalFormatting sqref="B464:B466">
    <cfRule type="duplicateValues" dxfId="558" priority="15532"/>
  </conditionalFormatting>
  <conditionalFormatting sqref="B4:B463">
    <cfRule type="duplicateValues" dxfId="557" priority="15533"/>
  </conditionalFormatting>
  <conditionalFormatting sqref="B4:B466">
    <cfRule type="duplicateValues" dxfId="556" priority="15539"/>
  </conditionalFormatting>
  <conditionalFormatting sqref="B3">
    <cfRule type="duplicateValues" dxfId="555" priority="92"/>
  </conditionalFormatting>
  <conditionalFormatting sqref="B3">
    <cfRule type="duplicateValues" dxfId="554" priority="91"/>
  </conditionalFormatting>
  <conditionalFormatting sqref="B3">
    <cfRule type="duplicateValues" dxfId="553" priority="90"/>
  </conditionalFormatting>
  <conditionalFormatting sqref="B3">
    <cfRule type="duplicateValues" dxfId="552" priority="88"/>
    <cfRule type="duplicateValues" dxfId="551" priority="89"/>
  </conditionalFormatting>
  <conditionalFormatting sqref="B3">
    <cfRule type="duplicateValues" dxfId="550" priority="87"/>
  </conditionalFormatting>
  <conditionalFormatting sqref="B3">
    <cfRule type="duplicateValues" dxfId="549" priority="83"/>
    <cfRule type="duplicateValues" dxfId="548" priority="84"/>
    <cfRule type="duplicateValues" dxfId="547" priority="85"/>
    <cfRule type="duplicateValues" dxfId="546" priority="86"/>
  </conditionalFormatting>
  <conditionalFormatting sqref="B3">
    <cfRule type="duplicateValues" dxfId="545" priority="82"/>
  </conditionalFormatting>
  <conditionalFormatting sqref="B3">
    <cfRule type="duplicateValues" dxfId="544" priority="77"/>
    <cfRule type="duplicateValues" dxfId="543" priority="78"/>
    <cfRule type="duplicateValues" dxfId="542" priority="79"/>
    <cfRule type="duplicateValues" dxfId="541" priority="80"/>
    <cfRule type="duplicateValues" dxfId="540" priority="81"/>
  </conditionalFormatting>
  <conditionalFormatting sqref="B3">
    <cfRule type="duplicateValues" dxfId="539" priority="76"/>
  </conditionalFormatting>
  <conditionalFormatting sqref="B3">
    <cfRule type="duplicateValues" dxfId="538" priority="75"/>
  </conditionalFormatting>
  <conditionalFormatting sqref="B3">
    <cfRule type="duplicateValues" dxfId="537" priority="73"/>
    <cfRule type="duplicateValues" dxfId="536" priority="74"/>
  </conditionalFormatting>
  <conditionalFormatting sqref="B3">
    <cfRule type="duplicateValues" dxfId="535" priority="68"/>
    <cfRule type="duplicateValues" dxfId="534" priority="69"/>
    <cfRule type="duplicateValues" dxfId="533" priority="70"/>
    <cfRule type="duplicateValues" dxfId="532" priority="71"/>
    <cfRule type="duplicateValues" dxfId="531" priority="72"/>
  </conditionalFormatting>
  <conditionalFormatting sqref="B3">
    <cfRule type="duplicateValues" dxfId="530" priority="67"/>
  </conditionalFormatting>
  <conditionalFormatting sqref="B3">
    <cfRule type="duplicateValues" dxfId="529" priority="66"/>
  </conditionalFormatting>
  <conditionalFormatting sqref="B3">
    <cfRule type="duplicateValues" dxfId="528" priority="64"/>
    <cfRule type="duplicateValues" dxfId="527" priority="65"/>
  </conditionalFormatting>
  <conditionalFormatting sqref="B3">
    <cfRule type="duplicateValues" dxfId="526" priority="60"/>
    <cfRule type="duplicateValues" dxfId="525" priority="61"/>
    <cfRule type="duplicateValues" dxfId="524" priority="62"/>
    <cfRule type="duplicateValues" dxfId="523" priority="63"/>
  </conditionalFormatting>
  <conditionalFormatting sqref="B3">
    <cfRule type="duplicateValues" dxfId="522" priority="59"/>
  </conditionalFormatting>
  <conditionalFormatting sqref="B3">
    <cfRule type="duplicateValues" dxfId="521" priority="54"/>
    <cfRule type="duplicateValues" dxfId="520" priority="55"/>
    <cfRule type="duplicateValues" dxfId="519" priority="56"/>
    <cfRule type="duplicateValues" dxfId="518" priority="57"/>
    <cfRule type="duplicateValues" dxfId="517" priority="58"/>
  </conditionalFormatting>
  <conditionalFormatting sqref="B3">
    <cfRule type="duplicateValues" dxfId="516" priority="53"/>
  </conditionalFormatting>
  <conditionalFormatting sqref="B3">
    <cfRule type="duplicateValues" dxfId="515" priority="52"/>
  </conditionalFormatting>
  <conditionalFormatting sqref="B3">
    <cfRule type="duplicateValues" dxfId="514" priority="51"/>
  </conditionalFormatting>
  <conditionalFormatting sqref="B3">
    <cfRule type="duplicateValues" dxfId="513" priority="49"/>
    <cfRule type="duplicateValues" dxfId="512" priority="50"/>
  </conditionalFormatting>
  <conditionalFormatting sqref="B3">
    <cfRule type="duplicateValues" dxfId="511" priority="48"/>
  </conditionalFormatting>
  <conditionalFormatting sqref="B3">
    <cfRule type="duplicateValues" dxfId="510" priority="93"/>
  </conditionalFormatting>
  <conditionalFormatting sqref="E3">
    <cfRule type="duplicateValues" dxfId="509" priority="47"/>
  </conditionalFormatting>
  <conditionalFormatting sqref="E3">
    <cfRule type="duplicateValues" dxfId="508" priority="46"/>
  </conditionalFormatting>
  <conditionalFormatting sqref="E3">
    <cfRule type="duplicateValues" dxfId="507" priority="45"/>
  </conditionalFormatting>
  <conditionalFormatting sqref="E3">
    <cfRule type="duplicateValues" dxfId="506" priority="43"/>
    <cfRule type="duplicateValues" dxfId="505" priority="44"/>
  </conditionalFormatting>
  <conditionalFormatting sqref="E3">
    <cfRule type="duplicateValues" dxfId="504" priority="42"/>
  </conditionalFormatting>
  <conditionalFormatting sqref="E3">
    <cfRule type="duplicateValues" dxfId="503" priority="38"/>
    <cfRule type="duplicateValues" dxfId="502" priority="39"/>
    <cfRule type="duplicateValues" dxfId="501" priority="40"/>
    <cfRule type="duplicateValues" dxfId="500" priority="41"/>
  </conditionalFormatting>
  <conditionalFormatting sqref="E3">
    <cfRule type="duplicateValues" dxfId="499" priority="37"/>
  </conditionalFormatting>
  <conditionalFormatting sqref="E3">
    <cfRule type="duplicateValues" dxfId="498" priority="32"/>
    <cfRule type="duplicateValues" dxfId="497" priority="33"/>
    <cfRule type="duplicateValues" dxfId="496" priority="34"/>
    <cfRule type="duplicateValues" dxfId="495" priority="35"/>
    <cfRule type="duplicateValues" dxfId="494" priority="36"/>
  </conditionalFormatting>
  <conditionalFormatting sqref="E3">
    <cfRule type="duplicateValues" dxfId="493" priority="31"/>
  </conditionalFormatting>
  <conditionalFormatting sqref="E3">
    <cfRule type="duplicateValues" dxfId="492" priority="30"/>
  </conditionalFormatting>
  <conditionalFormatting sqref="E3">
    <cfRule type="duplicateValues" dxfId="491" priority="28"/>
    <cfRule type="duplicateValues" dxfId="490" priority="29"/>
  </conditionalFormatting>
  <conditionalFormatting sqref="E3">
    <cfRule type="duplicateValues" dxfId="489" priority="23"/>
    <cfRule type="duplicateValues" dxfId="488" priority="24"/>
    <cfRule type="duplicateValues" dxfId="487" priority="25"/>
    <cfRule type="duplicateValues" dxfId="486" priority="26"/>
    <cfRule type="duplicateValues" dxfId="485" priority="27"/>
  </conditionalFormatting>
  <conditionalFormatting sqref="E3">
    <cfRule type="duplicateValues" dxfId="484" priority="22"/>
  </conditionalFormatting>
  <conditionalFormatting sqref="E3">
    <cfRule type="duplicateValues" dxfId="483" priority="21"/>
  </conditionalFormatting>
  <conditionalFormatting sqref="E3">
    <cfRule type="duplicateValues" dxfId="482" priority="19"/>
    <cfRule type="duplicateValues" dxfId="481" priority="20"/>
  </conditionalFormatting>
  <conditionalFormatting sqref="E3">
    <cfRule type="duplicateValues" dxfId="480" priority="15"/>
    <cfRule type="duplicateValues" dxfId="479" priority="16"/>
    <cfRule type="duplicateValues" dxfId="478" priority="17"/>
    <cfRule type="duplicateValues" dxfId="477" priority="18"/>
  </conditionalFormatting>
  <conditionalFormatting sqref="E3">
    <cfRule type="duplicateValues" dxfId="476" priority="14"/>
  </conditionalFormatting>
  <conditionalFormatting sqref="E3">
    <cfRule type="duplicateValues" dxfId="475" priority="9"/>
    <cfRule type="duplicateValues" dxfId="474" priority="10"/>
    <cfRule type="duplicateValues" dxfId="473" priority="11"/>
    <cfRule type="duplicateValues" dxfId="472" priority="12"/>
    <cfRule type="duplicateValues" dxfId="471" priority="13"/>
  </conditionalFormatting>
  <conditionalFormatting sqref="E3">
    <cfRule type="duplicateValues" dxfId="470" priority="8"/>
  </conditionalFormatting>
  <conditionalFormatting sqref="E3">
    <cfRule type="duplicateValues" dxfId="469" priority="7"/>
  </conditionalFormatting>
  <conditionalFormatting sqref="E3">
    <cfRule type="duplicateValues" dxfId="468" priority="6"/>
  </conditionalFormatting>
  <conditionalFormatting sqref="E3">
    <cfRule type="duplicateValues" dxfId="467" priority="4"/>
    <cfRule type="duplicateValues" dxfId="466" priority="5"/>
  </conditionalFormatting>
  <conditionalFormatting sqref="E3">
    <cfRule type="duplicateValues" dxfId="465" priority="3"/>
  </conditionalFormatting>
  <conditionalFormatting sqref="B3">
    <cfRule type="duplicateValues" dxfId="464" priority="2"/>
  </conditionalFormatting>
  <conditionalFormatting sqref="B3">
    <cfRule type="duplicateValues" dxfId="463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079"/>
  <sheetViews>
    <sheetView workbookViewId="0">
      <pane xSplit="39" ySplit="2" topLeftCell="AW1069" activePane="bottomRight" state="frozen"/>
      <selection pane="topRight" activeCell="AN1" sqref="AN1"/>
      <selection pane="bottomLeft" activeCell="A3" sqref="A3"/>
      <selection pane="bottomRight" activeCell="A1078" sqref="A1078"/>
    </sheetView>
  </sheetViews>
  <sheetFormatPr defaultRowHeight="27" customHeight="1"/>
  <cols>
    <col min="2" max="2" width="0" hidden="1" customWidth="1"/>
    <col min="4" max="7" width="0" hidden="1" customWidth="1"/>
    <col min="11" max="12" width="0" hidden="1" customWidth="1"/>
    <col min="13" max="13" width="12.7109375" customWidth="1"/>
    <col min="14" max="14" width="0" hidden="1" customWidth="1"/>
    <col min="15" max="15" width="12.28515625" hidden="1" customWidth="1"/>
    <col min="16" max="16" width="17.28515625" customWidth="1"/>
    <col min="18" max="39" width="0" hidden="1" customWidth="1"/>
    <col min="45" max="45" width="11" customWidth="1"/>
    <col min="47" max="47" width="13.28515625" style="301" customWidth="1"/>
    <col min="53" max="53" width="11" customWidth="1"/>
    <col min="55" max="55" width="13.7109375" style="301" bestFit="1" customWidth="1"/>
    <col min="56" max="56" width="11.42578125" bestFit="1" customWidth="1"/>
    <col min="63" max="63" width="11" customWidth="1"/>
  </cols>
  <sheetData>
    <row r="1" spans="1:63" ht="27" customHeight="1">
      <c r="A1" s="27" t="s">
        <v>60</v>
      </c>
      <c r="B1" s="28" t="s">
        <v>125</v>
      </c>
      <c r="C1" s="28" t="s">
        <v>68</v>
      </c>
      <c r="D1" s="27" t="s">
        <v>126</v>
      </c>
      <c r="E1" s="47" t="s">
        <v>127</v>
      </c>
      <c r="F1" s="29" t="s">
        <v>128</v>
      </c>
      <c r="G1" s="46" t="s">
        <v>129</v>
      </c>
      <c r="H1" s="29" t="s">
        <v>61</v>
      </c>
      <c r="I1" s="46" t="s">
        <v>62</v>
      </c>
      <c r="J1" s="48" t="s">
        <v>130</v>
      </c>
      <c r="K1" s="30" t="s">
        <v>63</v>
      </c>
      <c r="L1" s="46" t="s">
        <v>131</v>
      </c>
      <c r="M1" s="46" t="s">
        <v>64</v>
      </c>
      <c r="N1" s="46" t="s">
        <v>132</v>
      </c>
      <c r="O1" s="46" t="s">
        <v>65</v>
      </c>
      <c r="P1" s="46" t="s">
        <v>66</v>
      </c>
      <c r="Q1" s="49" t="s">
        <v>133</v>
      </c>
      <c r="R1" s="46" t="s">
        <v>134</v>
      </c>
      <c r="S1" s="50" t="s">
        <v>135</v>
      </c>
      <c r="T1" s="734" t="s">
        <v>136</v>
      </c>
      <c r="U1" s="735" t="s">
        <v>137</v>
      </c>
      <c r="V1" s="728" t="s">
        <v>138</v>
      </c>
      <c r="W1" s="728" t="s">
        <v>139</v>
      </c>
      <c r="X1" s="728" t="s">
        <v>140</v>
      </c>
      <c r="Y1" s="733" t="s">
        <v>141</v>
      </c>
      <c r="Z1" s="727" t="s">
        <v>142</v>
      </c>
      <c r="AA1" s="727"/>
      <c r="AB1" s="727"/>
      <c r="AC1" s="727"/>
      <c r="AD1" s="727"/>
      <c r="AE1" s="727"/>
      <c r="AF1" s="727"/>
      <c r="AG1" s="727"/>
      <c r="AH1" s="727"/>
      <c r="AI1" s="727"/>
      <c r="AJ1" s="728" t="s">
        <v>143</v>
      </c>
      <c r="AK1" s="728" t="s">
        <v>144</v>
      </c>
      <c r="AL1" s="728" t="s">
        <v>145</v>
      </c>
      <c r="AM1" s="731" t="s">
        <v>146</v>
      </c>
      <c r="AN1" s="713" t="s">
        <v>116</v>
      </c>
      <c r="AO1" s="713"/>
      <c r="AP1" s="713"/>
      <c r="AQ1" s="713"/>
      <c r="AR1" s="713"/>
      <c r="AS1" s="713"/>
      <c r="AT1" s="713"/>
      <c r="AU1" s="713"/>
      <c r="AV1" s="714" t="s">
        <v>6009</v>
      </c>
      <c r="AW1" s="714"/>
      <c r="AX1" s="714"/>
      <c r="AY1" s="714"/>
      <c r="AZ1" s="714"/>
      <c r="BA1" s="714"/>
      <c r="BB1" s="714"/>
      <c r="BC1" s="714"/>
    </row>
    <row r="2" spans="1:63" ht="27" customHeight="1">
      <c r="A2" s="31" t="s">
        <v>67</v>
      </c>
      <c r="B2" s="51" t="s">
        <v>147</v>
      </c>
      <c r="C2" s="32" t="s">
        <v>68</v>
      </c>
      <c r="D2" s="31" t="s">
        <v>148</v>
      </c>
      <c r="E2" s="52" t="s">
        <v>149</v>
      </c>
      <c r="F2" s="44" t="s">
        <v>150</v>
      </c>
      <c r="G2" s="45" t="s">
        <v>69</v>
      </c>
      <c r="H2" s="44" t="s">
        <v>70</v>
      </c>
      <c r="I2" s="45" t="s">
        <v>69</v>
      </c>
      <c r="J2" s="53" t="s">
        <v>151</v>
      </c>
      <c r="K2" s="33" t="s">
        <v>71</v>
      </c>
      <c r="L2" s="45" t="s">
        <v>152</v>
      </c>
      <c r="M2" s="45" t="s">
        <v>1</v>
      </c>
      <c r="N2" s="45" t="s">
        <v>153</v>
      </c>
      <c r="O2" s="45" t="s">
        <v>72</v>
      </c>
      <c r="P2" s="45" t="s">
        <v>0</v>
      </c>
      <c r="Q2" s="54" t="s">
        <v>154</v>
      </c>
      <c r="R2" s="45" t="s">
        <v>155</v>
      </c>
      <c r="S2" s="55" t="s">
        <v>156</v>
      </c>
      <c r="T2" s="730"/>
      <c r="U2" s="730"/>
      <c r="V2" s="730"/>
      <c r="W2" s="730"/>
      <c r="X2" s="730"/>
      <c r="Y2" s="733"/>
      <c r="Z2" s="56" t="s">
        <v>157</v>
      </c>
      <c r="AA2" s="56" t="s">
        <v>158</v>
      </c>
      <c r="AB2" s="56" t="s">
        <v>159</v>
      </c>
      <c r="AC2" s="57" t="s">
        <v>160</v>
      </c>
      <c r="AD2" s="58" t="s">
        <v>161</v>
      </c>
      <c r="AE2" s="58" t="s">
        <v>162</v>
      </c>
      <c r="AF2" s="58" t="s">
        <v>163</v>
      </c>
      <c r="AG2" s="58" t="s">
        <v>164</v>
      </c>
      <c r="AH2" s="58" t="s">
        <v>165</v>
      </c>
      <c r="AI2" s="58" t="s">
        <v>166</v>
      </c>
      <c r="AJ2" s="729"/>
      <c r="AK2" s="730"/>
      <c r="AL2" s="730"/>
      <c r="AM2" s="732"/>
      <c r="AN2" s="59" t="s">
        <v>73</v>
      </c>
      <c r="AO2" s="59" t="s">
        <v>2</v>
      </c>
      <c r="AP2" s="59" t="s">
        <v>3</v>
      </c>
      <c r="AQ2" s="59" t="s">
        <v>0</v>
      </c>
      <c r="AR2" s="59" t="s">
        <v>4</v>
      </c>
      <c r="AS2" s="298" t="s">
        <v>74</v>
      </c>
      <c r="AT2" s="59" t="s">
        <v>75</v>
      </c>
      <c r="AU2" s="299" t="s">
        <v>76</v>
      </c>
      <c r="AV2" s="302" t="s">
        <v>73</v>
      </c>
      <c r="AW2" s="302" t="s">
        <v>2</v>
      </c>
      <c r="AX2" s="302" t="s">
        <v>3</v>
      </c>
      <c r="AY2" s="302" t="s">
        <v>0</v>
      </c>
      <c r="AZ2" s="302" t="s">
        <v>4</v>
      </c>
      <c r="BA2" s="303" t="s">
        <v>74</v>
      </c>
      <c r="BB2" s="302" t="s">
        <v>75</v>
      </c>
      <c r="BC2" s="302" t="s">
        <v>76</v>
      </c>
    </row>
    <row r="3" spans="1:63" ht="27" customHeight="1">
      <c r="A3" s="11">
        <v>1</v>
      </c>
      <c r="B3" s="12" t="s">
        <v>167</v>
      </c>
      <c r="C3" s="8">
        <v>10</v>
      </c>
      <c r="D3" s="60" t="s">
        <v>168</v>
      </c>
      <c r="E3" s="61">
        <v>130083359</v>
      </c>
      <c r="F3" s="62" t="s">
        <v>169</v>
      </c>
      <c r="G3" s="63" t="s">
        <v>170</v>
      </c>
      <c r="H3" s="13" t="s">
        <v>171</v>
      </c>
      <c r="I3" s="14" t="s">
        <v>172</v>
      </c>
      <c r="J3" s="64" t="s">
        <v>173</v>
      </c>
      <c r="K3" s="65">
        <v>30135</v>
      </c>
      <c r="L3" s="66" t="s">
        <v>174</v>
      </c>
      <c r="M3" s="67">
        <v>41575</v>
      </c>
      <c r="N3" s="67"/>
      <c r="O3" s="15" t="s">
        <v>32</v>
      </c>
      <c r="P3" s="16" t="s">
        <v>175</v>
      </c>
      <c r="Q3" s="16" t="s">
        <v>176</v>
      </c>
      <c r="R3" s="17" t="s">
        <v>177</v>
      </c>
      <c r="S3" s="17" t="s">
        <v>178</v>
      </c>
      <c r="T3" s="18"/>
      <c r="U3" s="18"/>
      <c r="V3" s="68" t="s">
        <v>179</v>
      </c>
      <c r="W3" s="68">
        <v>130</v>
      </c>
      <c r="X3" s="68">
        <v>5</v>
      </c>
      <c r="Y3" s="69" t="s">
        <v>180</v>
      </c>
      <c r="Z3" s="43"/>
      <c r="AA3" s="70" t="s">
        <v>181</v>
      </c>
      <c r="AB3" s="43"/>
      <c r="AC3" s="19" t="s">
        <v>182</v>
      </c>
      <c r="AD3" s="19" t="s">
        <v>183</v>
      </c>
      <c r="AE3" s="19" t="s">
        <v>184</v>
      </c>
      <c r="AF3" s="71"/>
      <c r="AG3" s="43"/>
      <c r="AH3" s="43"/>
      <c r="AI3" s="43"/>
      <c r="AJ3" s="19" t="s">
        <v>185</v>
      </c>
      <c r="AK3" s="19" t="s">
        <v>185</v>
      </c>
      <c r="AL3" s="19" t="s">
        <v>186</v>
      </c>
      <c r="AM3" s="72" t="s">
        <v>187</v>
      </c>
      <c r="AN3" s="20">
        <v>182</v>
      </c>
      <c r="AO3" s="20">
        <v>7</v>
      </c>
      <c r="AP3" s="20">
        <v>0</v>
      </c>
      <c r="AQ3" s="20">
        <v>170</v>
      </c>
      <c r="AR3" s="20">
        <v>75</v>
      </c>
      <c r="AS3" s="20">
        <v>7</v>
      </c>
      <c r="AT3" s="20">
        <v>10</v>
      </c>
      <c r="AU3" s="300">
        <f>SUM(AN3:AT3)</f>
        <v>451</v>
      </c>
      <c r="AV3" s="20">
        <v>190</v>
      </c>
      <c r="AW3" s="20">
        <v>7</v>
      </c>
      <c r="AX3" s="20">
        <v>0</v>
      </c>
      <c r="AY3" s="20">
        <v>170</v>
      </c>
      <c r="AZ3" s="20">
        <v>75</v>
      </c>
      <c r="BA3" s="20">
        <v>7</v>
      </c>
      <c r="BB3" s="20">
        <v>10</v>
      </c>
      <c r="BC3" s="300">
        <f>SUM(AV3:BB3)</f>
        <v>459</v>
      </c>
      <c r="BD3" s="42">
        <f t="shared" ref="BD3:BK3" si="0">AV3-AN3</f>
        <v>8</v>
      </c>
      <c r="BE3" s="42">
        <f t="shared" si="0"/>
        <v>0</v>
      </c>
      <c r="BF3" s="42">
        <f t="shared" si="0"/>
        <v>0</v>
      </c>
      <c r="BG3" s="42">
        <f t="shared" si="0"/>
        <v>0</v>
      </c>
      <c r="BH3" s="42">
        <f t="shared" si="0"/>
        <v>0</v>
      </c>
      <c r="BI3" s="42">
        <f t="shared" si="0"/>
        <v>0</v>
      </c>
      <c r="BJ3" s="42">
        <f t="shared" si="0"/>
        <v>0</v>
      </c>
      <c r="BK3" s="42">
        <f t="shared" si="0"/>
        <v>8</v>
      </c>
    </row>
    <row r="4" spans="1:63" ht="27" customHeight="1">
      <c r="A4" s="11">
        <f>1+A3</f>
        <v>2</v>
      </c>
      <c r="B4" s="12" t="s">
        <v>188</v>
      </c>
      <c r="C4" s="8">
        <v>14</v>
      </c>
      <c r="D4" s="60" t="s">
        <v>189</v>
      </c>
      <c r="E4" s="61">
        <v>60289486</v>
      </c>
      <c r="F4" s="62" t="s">
        <v>190</v>
      </c>
      <c r="G4" s="63" t="s">
        <v>191</v>
      </c>
      <c r="H4" s="13" t="s">
        <v>192</v>
      </c>
      <c r="I4" s="14" t="s">
        <v>193</v>
      </c>
      <c r="J4" s="64" t="s">
        <v>173</v>
      </c>
      <c r="K4" s="65">
        <v>27490</v>
      </c>
      <c r="L4" s="66" t="s">
        <v>174</v>
      </c>
      <c r="M4" s="67">
        <v>41573</v>
      </c>
      <c r="N4" s="67"/>
      <c r="O4" s="15" t="s">
        <v>79</v>
      </c>
      <c r="P4" s="16" t="s">
        <v>194</v>
      </c>
      <c r="Q4" s="16" t="s">
        <v>176</v>
      </c>
      <c r="R4" s="17" t="s">
        <v>177</v>
      </c>
      <c r="S4" s="17" t="s">
        <v>178</v>
      </c>
      <c r="T4" s="18"/>
      <c r="U4" s="18"/>
      <c r="V4" s="68" t="s">
        <v>195</v>
      </c>
      <c r="W4" s="68">
        <v>3060</v>
      </c>
      <c r="X4" s="68">
        <v>10</v>
      </c>
      <c r="Y4" s="69" t="s">
        <v>196</v>
      </c>
      <c r="Z4" s="43"/>
      <c r="AA4" s="70" t="s">
        <v>181</v>
      </c>
      <c r="AB4" s="43"/>
      <c r="AC4" s="19" t="s">
        <v>197</v>
      </c>
      <c r="AD4" s="19" t="s">
        <v>183</v>
      </c>
      <c r="AE4" s="19" t="s">
        <v>183</v>
      </c>
      <c r="AF4" s="71"/>
      <c r="AG4" s="43"/>
      <c r="AH4" s="43"/>
      <c r="AI4" s="43"/>
      <c r="AJ4" s="19" t="s">
        <v>185</v>
      </c>
      <c r="AK4" s="19" t="s">
        <v>185</v>
      </c>
      <c r="AL4" s="19" t="s">
        <v>198</v>
      </c>
      <c r="AM4" s="72" t="s">
        <v>199</v>
      </c>
      <c r="AN4" s="20">
        <v>182</v>
      </c>
      <c r="AO4" s="20">
        <v>7</v>
      </c>
      <c r="AP4" s="20">
        <v>0</v>
      </c>
      <c r="AQ4" s="20">
        <v>50</v>
      </c>
      <c r="AR4" s="20">
        <v>0</v>
      </c>
      <c r="AS4" s="20">
        <v>7</v>
      </c>
      <c r="AT4" s="20">
        <v>10</v>
      </c>
      <c r="AU4" s="300">
        <f t="shared" ref="AU4:AU67" si="1">SUM(AN4:AT4)</f>
        <v>256</v>
      </c>
      <c r="AV4" s="20">
        <v>190</v>
      </c>
      <c r="AW4" s="20">
        <v>7</v>
      </c>
      <c r="AX4" s="20">
        <v>0</v>
      </c>
      <c r="AY4" s="20">
        <v>50</v>
      </c>
      <c r="AZ4" s="20">
        <v>0</v>
      </c>
      <c r="BA4" s="20">
        <v>7</v>
      </c>
      <c r="BB4" s="20">
        <v>10</v>
      </c>
      <c r="BC4" s="300">
        <f t="shared" ref="BC4:BC67" si="2">SUM(AV4:BB4)</f>
        <v>264</v>
      </c>
      <c r="BD4" s="42">
        <f t="shared" ref="BD4:BD67" si="3">AV4-AN4</f>
        <v>8</v>
      </c>
      <c r="BE4" s="42">
        <f t="shared" ref="BE4:BE67" si="4">AW4-AO4</f>
        <v>0</v>
      </c>
      <c r="BF4" s="42">
        <f t="shared" ref="BF4:BF67" si="5">AX4-AP4</f>
        <v>0</v>
      </c>
      <c r="BG4" s="42">
        <f t="shared" ref="BG4:BG67" si="6">AY4-AQ4</f>
        <v>0</v>
      </c>
      <c r="BH4" s="42">
        <f t="shared" ref="BH4:BH67" si="7">AZ4-AR4</f>
        <v>0</v>
      </c>
      <c r="BI4" s="42">
        <f t="shared" ref="BI4:BI67" si="8">BA4-AS4</f>
        <v>0</v>
      </c>
      <c r="BJ4" s="42">
        <f t="shared" ref="BJ4:BJ67" si="9">BB4-AT4</f>
        <v>0</v>
      </c>
      <c r="BK4" s="42">
        <f t="shared" ref="BK4:BK67" si="10">BC4-AU4</f>
        <v>8</v>
      </c>
    </row>
    <row r="5" spans="1:63" ht="27" customHeight="1">
      <c r="A5" s="11">
        <f t="shared" ref="A5:A68" si="11">1+A4</f>
        <v>3</v>
      </c>
      <c r="B5" s="12" t="s">
        <v>200</v>
      </c>
      <c r="C5" s="8">
        <v>18</v>
      </c>
      <c r="D5" s="60" t="s">
        <v>201</v>
      </c>
      <c r="E5" s="61">
        <v>130097677</v>
      </c>
      <c r="F5" s="62" t="s">
        <v>173</v>
      </c>
      <c r="G5" s="63" t="s">
        <v>202</v>
      </c>
      <c r="H5" s="13" t="s">
        <v>93</v>
      </c>
      <c r="I5" s="14" t="s">
        <v>203</v>
      </c>
      <c r="J5" s="64" t="s">
        <v>204</v>
      </c>
      <c r="K5" s="65">
        <v>33771</v>
      </c>
      <c r="L5" s="66" t="s">
        <v>174</v>
      </c>
      <c r="M5" s="67">
        <v>41577</v>
      </c>
      <c r="N5" s="67"/>
      <c r="O5" s="15" t="s">
        <v>12</v>
      </c>
      <c r="P5" s="16" t="s">
        <v>205</v>
      </c>
      <c r="Q5" s="16" t="s">
        <v>176</v>
      </c>
      <c r="R5" s="17" t="s">
        <v>177</v>
      </c>
      <c r="S5" s="17" t="s">
        <v>206</v>
      </c>
      <c r="T5" s="18"/>
      <c r="U5" s="18"/>
      <c r="V5" s="68" t="s">
        <v>179</v>
      </c>
      <c r="W5" s="68">
        <v>1542</v>
      </c>
      <c r="X5" s="68">
        <v>9</v>
      </c>
      <c r="Y5" s="69" t="s">
        <v>207</v>
      </c>
      <c r="Z5" s="70"/>
      <c r="AA5" s="70" t="s">
        <v>181</v>
      </c>
      <c r="AB5" s="19"/>
      <c r="AC5" s="19" t="s">
        <v>208</v>
      </c>
      <c r="AD5" s="19" t="s">
        <v>183</v>
      </c>
      <c r="AE5" s="19"/>
      <c r="AF5" s="73"/>
      <c r="AG5" s="19"/>
      <c r="AH5" s="19"/>
      <c r="AI5" s="19"/>
      <c r="AJ5" s="19" t="s">
        <v>185</v>
      </c>
      <c r="AK5" s="19" t="s">
        <v>185</v>
      </c>
      <c r="AL5" s="19" t="s">
        <v>198</v>
      </c>
      <c r="AM5" s="72" t="s">
        <v>209</v>
      </c>
      <c r="AN5" s="20">
        <v>260</v>
      </c>
      <c r="AO5" s="20">
        <v>7</v>
      </c>
      <c r="AP5" s="20">
        <v>0</v>
      </c>
      <c r="AQ5" s="20">
        <v>52</v>
      </c>
      <c r="AR5" s="20">
        <v>66</v>
      </c>
      <c r="AS5" s="20">
        <v>7</v>
      </c>
      <c r="AT5" s="20">
        <v>10</v>
      </c>
      <c r="AU5" s="300">
        <f t="shared" si="1"/>
        <v>402</v>
      </c>
      <c r="AV5" s="20">
        <v>260</v>
      </c>
      <c r="AW5" s="20">
        <v>7</v>
      </c>
      <c r="AX5" s="20">
        <v>0</v>
      </c>
      <c r="AY5" s="20">
        <v>52</v>
      </c>
      <c r="AZ5" s="20">
        <v>66</v>
      </c>
      <c r="BA5" s="20">
        <v>7</v>
      </c>
      <c r="BB5" s="20">
        <v>10</v>
      </c>
      <c r="BC5" s="300">
        <f t="shared" si="2"/>
        <v>402</v>
      </c>
      <c r="BD5" s="42">
        <f t="shared" si="3"/>
        <v>0</v>
      </c>
      <c r="BE5" s="42">
        <f t="shared" si="4"/>
        <v>0</v>
      </c>
      <c r="BF5" s="42">
        <f t="shared" si="5"/>
        <v>0</v>
      </c>
      <c r="BG5" s="42">
        <f t="shared" si="6"/>
        <v>0</v>
      </c>
      <c r="BH5" s="42">
        <f t="shared" si="7"/>
        <v>0</v>
      </c>
      <c r="BI5" s="42">
        <f t="shared" si="8"/>
        <v>0</v>
      </c>
      <c r="BJ5" s="42">
        <f t="shared" si="9"/>
        <v>0</v>
      </c>
      <c r="BK5" s="42">
        <f t="shared" si="10"/>
        <v>0</v>
      </c>
    </row>
    <row r="6" spans="1:63" ht="27" customHeight="1">
      <c r="A6" s="11">
        <f t="shared" si="11"/>
        <v>4</v>
      </c>
      <c r="B6" s="12" t="s">
        <v>210</v>
      </c>
      <c r="C6" s="8">
        <v>20</v>
      </c>
      <c r="D6" s="74" t="s">
        <v>211</v>
      </c>
      <c r="E6" s="61">
        <v>50444045</v>
      </c>
      <c r="F6" s="62" t="s">
        <v>212</v>
      </c>
      <c r="G6" s="63" t="s">
        <v>213</v>
      </c>
      <c r="H6" s="13" t="s">
        <v>10</v>
      </c>
      <c r="I6" s="14" t="s">
        <v>11</v>
      </c>
      <c r="J6" s="64" t="s">
        <v>204</v>
      </c>
      <c r="K6" s="65">
        <v>31525</v>
      </c>
      <c r="L6" s="66" t="s">
        <v>174</v>
      </c>
      <c r="M6" s="67">
        <v>41577</v>
      </c>
      <c r="N6" s="67"/>
      <c r="O6" s="15" t="s">
        <v>12</v>
      </c>
      <c r="P6" s="16" t="s">
        <v>13</v>
      </c>
      <c r="Q6" s="16" t="s">
        <v>176</v>
      </c>
      <c r="R6" s="17" t="s">
        <v>177</v>
      </c>
      <c r="S6" s="17" t="s">
        <v>214</v>
      </c>
      <c r="T6" s="18"/>
      <c r="U6" s="18"/>
      <c r="V6" s="68" t="s">
        <v>179</v>
      </c>
      <c r="W6" s="68">
        <v>474</v>
      </c>
      <c r="X6" s="68">
        <v>2</v>
      </c>
      <c r="Y6" s="69" t="s">
        <v>179</v>
      </c>
      <c r="Z6" s="43"/>
      <c r="AA6" s="70" t="s">
        <v>181</v>
      </c>
      <c r="AB6" s="43"/>
      <c r="AC6" s="19" t="s">
        <v>208</v>
      </c>
      <c r="AD6" s="43"/>
      <c r="AE6" s="43"/>
      <c r="AF6" s="71"/>
      <c r="AG6" s="43"/>
      <c r="AH6" s="43"/>
      <c r="AI6" s="43"/>
      <c r="AJ6" s="19" t="s">
        <v>185</v>
      </c>
      <c r="AK6" s="19" t="s">
        <v>185</v>
      </c>
      <c r="AL6" s="19" t="s">
        <v>198</v>
      </c>
      <c r="AM6" s="72" t="s">
        <v>215</v>
      </c>
      <c r="AN6" s="20">
        <v>182</v>
      </c>
      <c r="AO6" s="20">
        <v>7</v>
      </c>
      <c r="AP6" s="20">
        <v>0</v>
      </c>
      <c r="AQ6" s="20">
        <v>97</v>
      </c>
      <c r="AR6" s="20">
        <v>25</v>
      </c>
      <c r="AS6" s="20">
        <v>7</v>
      </c>
      <c r="AT6" s="20">
        <v>10</v>
      </c>
      <c r="AU6" s="300">
        <f t="shared" si="1"/>
        <v>328</v>
      </c>
      <c r="AV6" s="20">
        <v>190</v>
      </c>
      <c r="AW6" s="20">
        <v>7</v>
      </c>
      <c r="AX6" s="20">
        <v>0</v>
      </c>
      <c r="AY6" s="20">
        <v>97</v>
      </c>
      <c r="AZ6" s="20">
        <v>25</v>
      </c>
      <c r="BA6" s="20">
        <v>7</v>
      </c>
      <c r="BB6" s="20">
        <v>10</v>
      </c>
      <c r="BC6" s="300">
        <f t="shared" si="2"/>
        <v>336</v>
      </c>
      <c r="BD6" s="42">
        <f t="shared" si="3"/>
        <v>8</v>
      </c>
      <c r="BE6" s="42">
        <f t="shared" si="4"/>
        <v>0</v>
      </c>
      <c r="BF6" s="42">
        <f t="shared" si="5"/>
        <v>0</v>
      </c>
      <c r="BG6" s="42">
        <f t="shared" si="6"/>
        <v>0</v>
      </c>
      <c r="BH6" s="42">
        <f t="shared" si="7"/>
        <v>0</v>
      </c>
      <c r="BI6" s="42">
        <f t="shared" si="8"/>
        <v>0</v>
      </c>
      <c r="BJ6" s="42">
        <f t="shared" si="9"/>
        <v>0</v>
      </c>
      <c r="BK6" s="42">
        <f t="shared" si="10"/>
        <v>8</v>
      </c>
    </row>
    <row r="7" spans="1:63" ht="27" customHeight="1">
      <c r="A7" s="11">
        <f t="shared" si="11"/>
        <v>5</v>
      </c>
      <c r="B7" s="12" t="s">
        <v>216</v>
      </c>
      <c r="C7" s="8">
        <v>24</v>
      </c>
      <c r="D7" s="75" t="s">
        <v>217</v>
      </c>
      <c r="E7" s="76"/>
      <c r="F7" s="62" t="s">
        <v>218</v>
      </c>
      <c r="G7" s="63" t="s">
        <v>219</v>
      </c>
      <c r="H7" s="13" t="s">
        <v>220</v>
      </c>
      <c r="I7" s="14" t="s">
        <v>221</v>
      </c>
      <c r="J7" s="64" t="s">
        <v>173</v>
      </c>
      <c r="K7" s="65">
        <v>30165</v>
      </c>
      <c r="L7" s="77" t="s">
        <v>174</v>
      </c>
      <c r="M7" s="34">
        <v>41579</v>
      </c>
      <c r="N7" s="34"/>
      <c r="O7" s="15" t="s">
        <v>32</v>
      </c>
      <c r="P7" s="16" t="s">
        <v>222</v>
      </c>
      <c r="Q7" s="16" t="s">
        <v>176</v>
      </c>
      <c r="R7" s="17" t="s">
        <v>177</v>
      </c>
      <c r="S7" s="17" t="s">
        <v>223</v>
      </c>
      <c r="T7" s="18"/>
      <c r="U7" s="18"/>
      <c r="V7" s="68" t="s">
        <v>179</v>
      </c>
      <c r="W7" s="68" t="s">
        <v>195</v>
      </c>
      <c r="X7" s="17">
        <v>4</v>
      </c>
      <c r="Y7" s="69" t="s">
        <v>179</v>
      </c>
      <c r="Z7" s="70" t="s">
        <v>181</v>
      </c>
      <c r="AA7" s="43"/>
      <c r="AB7" s="43"/>
      <c r="AC7" s="43"/>
      <c r="AD7" s="43"/>
      <c r="AE7" s="43"/>
      <c r="AF7" s="71"/>
      <c r="AG7" s="43"/>
      <c r="AH7" s="43"/>
      <c r="AI7" s="43"/>
      <c r="AJ7" s="19" t="s">
        <v>185</v>
      </c>
      <c r="AK7" s="19" t="s">
        <v>185</v>
      </c>
      <c r="AL7" s="19" t="s">
        <v>198</v>
      </c>
      <c r="AM7" s="72" t="s">
        <v>224</v>
      </c>
      <c r="AN7" s="20">
        <v>182</v>
      </c>
      <c r="AO7" s="20">
        <v>7</v>
      </c>
      <c r="AP7" s="20">
        <v>0</v>
      </c>
      <c r="AQ7" s="20">
        <v>37</v>
      </c>
      <c r="AR7" s="20">
        <v>15</v>
      </c>
      <c r="AS7" s="20">
        <v>7</v>
      </c>
      <c r="AT7" s="20">
        <v>10</v>
      </c>
      <c r="AU7" s="300">
        <f t="shared" si="1"/>
        <v>258</v>
      </c>
      <c r="AV7" s="20">
        <v>190</v>
      </c>
      <c r="AW7" s="20">
        <v>7</v>
      </c>
      <c r="AX7" s="20">
        <v>0</v>
      </c>
      <c r="AY7" s="20">
        <v>37</v>
      </c>
      <c r="AZ7" s="20">
        <v>15</v>
      </c>
      <c r="BA7" s="20">
        <v>7</v>
      </c>
      <c r="BB7" s="20">
        <v>10</v>
      </c>
      <c r="BC7" s="300">
        <f t="shared" si="2"/>
        <v>266</v>
      </c>
      <c r="BD7" s="42">
        <f t="shared" si="3"/>
        <v>8</v>
      </c>
      <c r="BE7" s="42">
        <f t="shared" si="4"/>
        <v>0</v>
      </c>
      <c r="BF7" s="42">
        <f t="shared" si="5"/>
        <v>0</v>
      </c>
      <c r="BG7" s="42">
        <f t="shared" si="6"/>
        <v>0</v>
      </c>
      <c r="BH7" s="42">
        <f t="shared" si="7"/>
        <v>0</v>
      </c>
      <c r="BI7" s="42">
        <f t="shared" si="8"/>
        <v>0</v>
      </c>
      <c r="BJ7" s="42">
        <f t="shared" si="9"/>
        <v>0</v>
      </c>
      <c r="BK7" s="42">
        <f t="shared" si="10"/>
        <v>8</v>
      </c>
    </row>
    <row r="8" spans="1:63" ht="27" customHeight="1">
      <c r="A8" s="11">
        <f t="shared" si="11"/>
        <v>6</v>
      </c>
      <c r="B8" s="8" t="s">
        <v>225</v>
      </c>
      <c r="C8" s="8">
        <v>28</v>
      </c>
      <c r="D8" s="75" t="s">
        <v>226</v>
      </c>
      <c r="E8" s="69">
        <v>50659721</v>
      </c>
      <c r="F8" s="62" t="s">
        <v>190</v>
      </c>
      <c r="G8" s="63" t="s">
        <v>227</v>
      </c>
      <c r="H8" s="13" t="s">
        <v>95</v>
      </c>
      <c r="I8" s="14" t="s">
        <v>96</v>
      </c>
      <c r="J8" s="64" t="s">
        <v>173</v>
      </c>
      <c r="K8" s="65">
        <v>31731</v>
      </c>
      <c r="L8" s="77" t="s">
        <v>174</v>
      </c>
      <c r="M8" s="34">
        <v>41579</v>
      </c>
      <c r="N8" s="34"/>
      <c r="O8" s="17" t="s">
        <v>86</v>
      </c>
      <c r="P8" s="16" t="s">
        <v>80</v>
      </c>
      <c r="Q8" s="16" t="s">
        <v>176</v>
      </c>
      <c r="R8" s="17" t="s">
        <v>177</v>
      </c>
      <c r="S8" s="17" t="s">
        <v>214</v>
      </c>
      <c r="T8" s="18"/>
      <c r="U8" s="18"/>
      <c r="V8" s="68" t="s">
        <v>179</v>
      </c>
      <c r="W8" s="68" t="s">
        <v>179</v>
      </c>
      <c r="X8" s="68">
        <v>8</v>
      </c>
      <c r="Y8" s="69" t="s">
        <v>228</v>
      </c>
      <c r="Z8" s="78" t="s">
        <v>181</v>
      </c>
      <c r="AA8" s="79"/>
      <c r="AB8" s="79"/>
      <c r="AC8" s="79"/>
      <c r="AD8" s="79"/>
      <c r="AE8" s="79"/>
      <c r="AF8" s="80"/>
      <c r="AG8" s="79"/>
      <c r="AH8" s="79"/>
      <c r="AI8" s="79"/>
      <c r="AJ8" s="68" t="s">
        <v>185</v>
      </c>
      <c r="AK8" s="68" t="s">
        <v>185</v>
      </c>
      <c r="AL8" s="68" t="s">
        <v>198</v>
      </c>
      <c r="AM8" s="81" t="s">
        <v>224</v>
      </c>
      <c r="AN8" s="20">
        <v>182</v>
      </c>
      <c r="AO8" s="20">
        <v>0</v>
      </c>
      <c r="AP8" s="20">
        <v>0</v>
      </c>
      <c r="AQ8" s="20">
        <v>20</v>
      </c>
      <c r="AR8" s="20">
        <v>10</v>
      </c>
      <c r="AS8" s="20">
        <v>7</v>
      </c>
      <c r="AT8" s="20">
        <v>10</v>
      </c>
      <c r="AU8" s="300">
        <f t="shared" si="1"/>
        <v>229</v>
      </c>
      <c r="AV8" s="20">
        <v>190</v>
      </c>
      <c r="AW8" s="20">
        <v>0</v>
      </c>
      <c r="AX8" s="20">
        <v>0</v>
      </c>
      <c r="AY8" s="20">
        <v>20</v>
      </c>
      <c r="AZ8" s="20">
        <v>10</v>
      </c>
      <c r="BA8" s="20">
        <v>7</v>
      </c>
      <c r="BB8" s="20">
        <v>10</v>
      </c>
      <c r="BC8" s="300">
        <f t="shared" si="2"/>
        <v>237</v>
      </c>
      <c r="BD8" s="42">
        <f t="shared" si="3"/>
        <v>8</v>
      </c>
      <c r="BE8" s="42">
        <f t="shared" si="4"/>
        <v>0</v>
      </c>
      <c r="BF8" s="42">
        <f t="shared" si="5"/>
        <v>0</v>
      </c>
      <c r="BG8" s="42">
        <f t="shared" si="6"/>
        <v>0</v>
      </c>
      <c r="BH8" s="42">
        <f t="shared" si="7"/>
        <v>0</v>
      </c>
      <c r="BI8" s="42">
        <f t="shared" si="8"/>
        <v>0</v>
      </c>
      <c r="BJ8" s="42">
        <f t="shared" si="9"/>
        <v>0</v>
      </c>
      <c r="BK8" s="42">
        <f t="shared" si="10"/>
        <v>8</v>
      </c>
    </row>
    <row r="9" spans="1:63" ht="27" customHeight="1">
      <c r="A9" s="11">
        <f t="shared" si="11"/>
        <v>7</v>
      </c>
      <c r="B9" s="12" t="s">
        <v>229</v>
      </c>
      <c r="C9" s="8">
        <v>30</v>
      </c>
      <c r="D9" s="75" t="s">
        <v>230</v>
      </c>
      <c r="E9" s="69">
        <v>110365001</v>
      </c>
      <c r="F9" s="62" t="s">
        <v>231</v>
      </c>
      <c r="G9" s="63" t="s">
        <v>232</v>
      </c>
      <c r="H9" s="13" t="s">
        <v>233</v>
      </c>
      <c r="I9" s="14" t="s">
        <v>59</v>
      </c>
      <c r="J9" s="64" t="s">
        <v>173</v>
      </c>
      <c r="K9" s="65">
        <v>29927</v>
      </c>
      <c r="L9" s="77" t="s">
        <v>174</v>
      </c>
      <c r="M9" s="34">
        <v>41579</v>
      </c>
      <c r="N9" s="34"/>
      <c r="O9" s="15" t="s">
        <v>32</v>
      </c>
      <c r="P9" s="16" t="s">
        <v>175</v>
      </c>
      <c r="Q9" s="16" t="s">
        <v>176</v>
      </c>
      <c r="R9" s="17" t="s">
        <v>177</v>
      </c>
      <c r="S9" s="17" t="s">
        <v>223</v>
      </c>
      <c r="T9" s="18"/>
      <c r="U9" s="18"/>
      <c r="V9" s="68" t="s">
        <v>195</v>
      </c>
      <c r="W9" s="68" t="s">
        <v>179</v>
      </c>
      <c r="X9" s="17">
        <v>10</v>
      </c>
      <c r="Y9" s="69" t="s">
        <v>234</v>
      </c>
      <c r="Z9" s="43"/>
      <c r="AA9" s="70" t="s">
        <v>181</v>
      </c>
      <c r="AB9" s="43"/>
      <c r="AC9" s="19" t="s">
        <v>235</v>
      </c>
      <c r="AD9" s="19" t="s">
        <v>183</v>
      </c>
      <c r="AE9" s="19" t="s">
        <v>184</v>
      </c>
      <c r="AF9" s="71"/>
      <c r="AG9" s="43"/>
      <c r="AH9" s="43"/>
      <c r="AI9" s="43"/>
      <c r="AJ9" s="19" t="s">
        <v>185</v>
      </c>
      <c r="AK9" s="19" t="s">
        <v>185</v>
      </c>
      <c r="AL9" s="19" t="s">
        <v>198</v>
      </c>
      <c r="AM9" s="72" t="s">
        <v>236</v>
      </c>
      <c r="AN9" s="20">
        <v>182</v>
      </c>
      <c r="AO9" s="20">
        <v>7</v>
      </c>
      <c r="AP9" s="20">
        <v>0</v>
      </c>
      <c r="AQ9" s="20">
        <v>150</v>
      </c>
      <c r="AR9" s="20">
        <v>75</v>
      </c>
      <c r="AS9" s="20">
        <v>7</v>
      </c>
      <c r="AT9" s="20">
        <v>10</v>
      </c>
      <c r="AU9" s="300">
        <f t="shared" si="1"/>
        <v>431</v>
      </c>
      <c r="AV9" s="20">
        <v>190</v>
      </c>
      <c r="AW9" s="20">
        <v>7</v>
      </c>
      <c r="AX9" s="20">
        <v>0</v>
      </c>
      <c r="AY9" s="20">
        <v>150</v>
      </c>
      <c r="AZ9" s="20">
        <v>75</v>
      </c>
      <c r="BA9" s="20">
        <v>7</v>
      </c>
      <c r="BB9" s="20">
        <v>10</v>
      </c>
      <c r="BC9" s="300">
        <f t="shared" si="2"/>
        <v>439</v>
      </c>
      <c r="BD9" s="42">
        <f t="shared" si="3"/>
        <v>8</v>
      </c>
      <c r="BE9" s="42">
        <f t="shared" si="4"/>
        <v>0</v>
      </c>
      <c r="BF9" s="42">
        <f t="shared" si="5"/>
        <v>0</v>
      </c>
      <c r="BG9" s="42">
        <f t="shared" si="6"/>
        <v>0</v>
      </c>
      <c r="BH9" s="42">
        <f t="shared" si="7"/>
        <v>0</v>
      </c>
      <c r="BI9" s="42">
        <f t="shared" si="8"/>
        <v>0</v>
      </c>
      <c r="BJ9" s="42">
        <f t="shared" si="9"/>
        <v>0</v>
      </c>
      <c r="BK9" s="42">
        <f t="shared" si="10"/>
        <v>8</v>
      </c>
    </row>
    <row r="10" spans="1:63" ht="27" customHeight="1">
      <c r="A10" s="11">
        <f t="shared" si="11"/>
        <v>8</v>
      </c>
      <c r="B10" s="12" t="s">
        <v>237</v>
      </c>
      <c r="C10" s="8">
        <v>32</v>
      </c>
      <c r="D10" s="75" t="s">
        <v>238</v>
      </c>
      <c r="E10" s="69">
        <v>130112728</v>
      </c>
      <c r="F10" s="62" t="s">
        <v>239</v>
      </c>
      <c r="G10" s="63" t="s">
        <v>240</v>
      </c>
      <c r="H10" s="13" t="s">
        <v>241</v>
      </c>
      <c r="I10" s="14" t="s">
        <v>242</v>
      </c>
      <c r="J10" s="64" t="s">
        <v>173</v>
      </c>
      <c r="K10" s="65">
        <v>27885</v>
      </c>
      <c r="L10" s="77" t="s">
        <v>174</v>
      </c>
      <c r="M10" s="34">
        <v>41579</v>
      </c>
      <c r="N10" s="34"/>
      <c r="O10" s="15" t="s">
        <v>32</v>
      </c>
      <c r="P10" s="16" t="s">
        <v>243</v>
      </c>
      <c r="Q10" s="16" t="s">
        <v>244</v>
      </c>
      <c r="R10" s="17" t="s">
        <v>177</v>
      </c>
      <c r="S10" s="17" t="s">
        <v>206</v>
      </c>
      <c r="T10" s="18"/>
      <c r="U10" s="18"/>
      <c r="V10" s="68" t="s">
        <v>179</v>
      </c>
      <c r="W10" s="68" t="s">
        <v>179</v>
      </c>
      <c r="X10" s="68" t="s">
        <v>185</v>
      </c>
      <c r="Y10" s="69" t="s">
        <v>245</v>
      </c>
      <c r="Z10" s="43"/>
      <c r="AA10" s="70" t="s">
        <v>181</v>
      </c>
      <c r="AB10" s="43"/>
      <c r="AC10" s="19" t="s">
        <v>208</v>
      </c>
      <c r="AD10" s="19" t="s">
        <v>183</v>
      </c>
      <c r="AE10" s="43"/>
      <c r="AF10" s="71"/>
      <c r="AG10" s="43"/>
      <c r="AH10" s="43"/>
      <c r="AI10" s="43"/>
      <c r="AJ10" s="19" t="s">
        <v>185</v>
      </c>
      <c r="AK10" s="19" t="s">
        <v>185</v>
      </c>
      <c r="AL10" s="19" t="s">
        <v>185</v>
      </c>
      <c r="AM10" s="72" t="s">
        <v>246</v>
      </c>
      <c r="AN10" s="20">
        <v>182</v>
      </c>
      <c r="AO10" s="20">
        <v>7</v>
      </c>
      <c r="AP10" s="20">
        <v>0</v>
      </c>
      <c r="AQ10" s="20">
        <v>235</v>
      </c>
      <c r="AR10" s="20">
        <v>50</v>
      </c>
      <c r="AS10" s="20">
        <v>7</v>
      </c>
      <c r="AT10" s="20">
        <v>10</v>
      </c>
      <c r="AU10" s="300">
        <f t="shared" si="1"/>
        <v>491</v>
      </c>
      <c r="AV10" s="20">
        <v>190</v>
      </c>
      <c r="AW10" s="20">
        <v>7</v>
      </c>
      <c r="AX10" s="20">
        <v>0</v>
      </c>
      <c r="AY10" s="20">
        <v>235</v>
      </c>
      <c r="AZ10" s="20">
        <v>50</v>
      </c>
      <c r="BA10" s="20">
        <v>7</v>
      </c>
      <c r="BB10" s="20">
        <v>10</v>
      </c>
      <c r="BC10" s="300">
        <f t="shared" si="2"/>
        <v>499</v>
      </c>
      <c r="BD10" s="42">
        <f t="shared" si="3"/>
        <v>8</v>
      </c>
      <c r="BE10" s="42">
        <f t="shared" si="4"/>
        <v>0</v>
      </c>
      <c r="BF10" s="42">
        <f t="shared" si="5"/>
        <v>0</v>
      </c>
      <c r="BG10" s="42">
        <f t="shared" si="6"/>
        <v>0</v>
      </c>
      <c r="BH10" s="42">
        <f t="shared" si="7"/>
        <v>0</v>
      </c>
      <c r="BI10" s="42">
        <f t="shared" si="8"/>
        <v>0</v>
      </c>
      <c r="BJ10" s="42">
        <f t="shared" si="9"/>
        <v>0</v>
      </c>
      <c r="BK10" s="42">
        <f t="shared" si="10"/>
        <v>8</v>
      </c>
    </row>
    <row r="11" spans="1:63" ht="27" customHeight="1">
      <c r="A11" s="11">
        <f t="shared" si="11"/>
        <v>9</v>
      </c>
      <c r="B11" s="12" t="s">
        <v>247</v>
      </c>
      <c r="C11" s="8">
        <v>39</v>
      </c>
      <c r="D11" s="60" t="s">
        <v>248</v>
      </c>
      <c r="E11" s="61">
        <v>130079599</v>
      </c>
      <c r="F11" s="62" t="s">
        <v>218</v>
      </c>
      <c r="G11" s="63" t="s">
        <v>249</v>
      </c>
      <c r="H11" s="13" t="s">
        <v>84</v>
      </c>
      <c r="I11" s="25" t="s">
        <v>250</v>
      </c>
      <c r="J11" s="82" t="s">
        <v>173</v>
      </c>
      <c r="K11" s="83">
        <v>32600</v>
      </c>
      <c r="L11" s="66" t="s">
        <v>174</v>
      </c>
      <c r="M11" s="67">
        <v>41579</v>
      </c>
      <c r="N11" s="67"/>
      <c r="O11" s="15" t="s">
        <v>24</v>
      </c>
      <c r="P11" s="16" t="s">
        <v>25</v>
      </c>
      <c r="Q11" s="16" t="s">
        <v>176</v>
      </c>
      <c r="R11" s="17" t="s">
        <v>177</v>
      </c>
      <c r="S11" s="17" t="s">
        <v>251</v>
      </c>
      <c r="T11" s="18"/>
      <c r="U11" s="18"/>
      <c r="V11" s="68" t="s">
        <v>195</v>
      </c>
      <c r="W11" s="68">
        <v>1555</v>
      </c>
      <c r="X11" s="68">
        <v>9</v>
      </c>
      <c r="Y11" s="69" t="s">
        <v>252</v>
      </c>
      <c r="Z11" s="43"/>
      <c r="AA11" s="70" t="s">
        <v>181</v>
      </c>
      <c r="AB11" s="43"/>
      <c r="AC11" s="19" t="s">
        <v>208</v>
      </c>
      <c r="AD11" s="19" t="s">
        <v>184</v>
      </c>
      <c r="AE11" s="43"/>
      <c r="AF11" s="71"/>
      <c r="AG11" s="43"/>
      <c r="AH11" s="43"/>
      <c r="AI11" s="43"/>
      <c r="AJ11" s="19" t="s">
        <v>185</v>
      </c>
      <c r="AK11" s="19" t="s">
        <v>185</v>
      </c>
      <c r="AL11" s="19" t="s">
        <v>198</v>
      </c>
      <c r="AM11" s="72" t="s">
        <v>253</v>
      </c>
      <c r="AN11" s="20">
        <v>182</v>
      </c>
      <c r="AO11" s="20">
        <v>7</v>
      </c>
      <c r="AP11" s="20">
        <v>0</v>
      </c>
      <c r="AQ11" s="20">
        <v>234</v>
      </c>
      <c r="AR11" s="20">
        <v>234</v>
      </c>
      <c r="AS11" s="20">
        <v>7</v>
      </c>
      <c r="AT11" s="20">
        <v>10</v>
      </c>
      <c r="AU11" s="300">
        <f t="shared" si="1"/>
        <v>674</v>
      </c>
      <c r="AV11" s="20">
        <v>190</v>
      </c>
      <c r="AW11" s="20">
        <v>7</v>
      </c>
      <c r="AX11" s="20">
        <v>0</v>
      </c>
      <c r="AY11" s="20">
        <v>234</v>
      </c>
      <c r="AZ11" s="20">
        <v>234</v>
      </c>
      <c r="BA11" s="20">
        <v>7</v>
      </c>
      <c r="BB11" s="20">
        <v>10</v>
      </c>
      <c r="BC11" s="300">
        <f t="shared" si="2"/>
        <v>682</v>
      </c>
      <c r="BD11" s="42">
        <f t="shared" si="3"/>
        <v>8</v>
      </c>
      <c r="BE11" s="42">
        <f t="shared" si="4"/>
        <v>0</v>
      </c>
      <c r="BF11" s="42">
        <f t="shared" si="5"/>
        <v>0</v>
      </c>
      <c r="BG11" s="42">
        <f t="shared" si="6"/>
        <v>0</v>
      </c>
      <c r="BH11" s="42">
        <f t="shared" si="7"/>
        <v>0</v>
      </c>
      <c r="BI11" s="42">
        <f t="shared" si="8"/>
        <v>0</v>
      </c>
      <c r="BJ11" s="42">
        <f t="shared" si="9"/>
        <v>0</v>
      </c>
      <c r="BK11" s="42">
        <f t="shared" si="10"/>
        <v>8</v>
      </c>
    </row>
    <row r="12" spans="1:63" ht="27" customHeight="1">
      <c r="A12" s="11">
        <f t="shared" si="11"/>
        <v>10</v>
      </c>
      <c r="B12" s="12" t="s">
        <v>254</v>
      </c>
      <c r="C12" s="8">
        <v>44</v>
      </c>
      <c r="D12" s="60" t="s">
        <v>255</v>
      </c>
      <c r="E12" s="69">
        <v>110476977</v>
      </c>
      <c r="F12" s="62" t="s">
        <v>256</v>
      </c>
      <c r="G12" s="63" t="s">
        <v>257</v>
      </c>
      <c r="H12" s="13" t="s">
        <v>258</v>
      </c>
      <c r="I12" s="14" t="s">
        <v>259</v>
      </c>
      <c r="J12" s="64" t="s">
        <v>173</v>
      </c>
      <c r="K12" s="65">
        <v>31836</v>
      </c>
      <c r="L12" s="77" t="s">
        <v>174</v>
      </c>
      <c r="M12" s="34">
        <v>41579</v>
      </c>
      <c r="N12" s="34"/>
      <c r="O12" s="17" t="s">
        <v>32</v>
      </c>
      <c r="P12" s="16" t="s">
        <v>260</v>
      </c>
      <c r="Q12" s="16" t="s">
        <v>176</v>
      </c>
      <c r="R12" s="17" t="s">
        <v>177</v>
      </c>
      <c r="S12" s="17" t="s">
        <v>223</v>
      </c>
      <c r="T12" s="18"/>
      <c r="U12" s="18"/>
      <c r="V12" s="68" t="s">
        <v>179</v>
      </c>
      <c r="W12" s="68">
        <v>3164</v>
      </c>
      <c r="X12" s="68">
        <v>9</v>
      </c>
      <c r="Y12" s="69" t="s">
        <v>179</v>
      </c>
      <c r="Z12" s="84"/>
      <c r="AA12" s="70" t="s">
        <v>181</v>
      </c>
      <c r="AB12" s="84"/>
      <c r="AC12" s="85" t="s">
        <v>197</v>
      </c>
      <c r="AD12" s="86" t="s">
        <v>183</v>
      </c>
      <c r="AE12" s="86" t="s">
        <v>183</v>
      </c>
      <c r="AF12" s="87"/>
      <c r="AG12" s="84"/>
      <c r="AH12" s="84"/>
      <c r="AI12" s="84"/>
      <c r="AJ12" s="19" t="s">
        <v>185</v>
      </c>
      <c r="AK12" s="19" t="s">
        <v>185</v>
      </c>
      <c r="AL12" s="85" t="s">
        <v>198</v>
      </c>
      <c r="AM12" s="88" t="s">
        <v>261</v>
      </c>
      <c r="AN12" s="20">
        <v>182</v>
      </c>
      <c r="AO12" s="20">
        <v>7</v>
      </c>
      <c r="AP12" s="20">
        <v>0</v>
      </c>
      <c r="AQ12" s="20">
        <v>30</v>
      </c>
      <c r="AR12" s="20">
        <v>10</v>
      </c>
      <c r="AS12" s="20">
        <v>7</v>
      </c>
      <c r="AT12" s="20">
        <v>10</v>
      </c>
      <c r="AU12" s="300">
        <f t="shared" si="1"/>
        <v>246</v>
      </c>
      <c r="AV12" s="20">
        <v>190</v>
      </c>
      <c r="AW12" s="20">
        <v>7</v>
      </c>
      <c r="AX12" s="20">
        <v>0</v>
      </c>
      <c r="AY12" s="20">
        <v>30</v>
      </c>
      <c r="AZ12" s="20">
        <v>10</v>
      </c>
      <c r="BA12" s="20">
        <v>7</v>
      </c>
      <c r="BB12" s="20">
        <v>10</v>
      </c>
      <c r="BC12" s="300">
        <f t="shared" si="2"/>
        <v>254</v>
      </c>
      <c r="BD12" s="42">
        <f t="shared" si="3"/>
        <v>8</v>
      </c>
      <c r="BE12" s="42">
        <f t="shared" si="4"/>
        <v>0</v>
      </c>
      <c r="BF12" s="42">
        <f t="shared" si="5"/>
        <v>0</v>
      </c>
      <c r="BG12" s="42">
        <f t="shared" si="6"/>
        <v>0</v>
      </c>
      <c r="BH12" s="42">
        <f t="shared" si="7"/>
        <v>0</v>
      </c>
      <c r="BI12" s="42">
        <f t="shared" si="8"/>
        <v>0</v>
      </c>
      <c r="BJ12" s="42">
        <f t="shared" si="9"/>
        <v>0</v>
      </c>
      <c r="BK12" s="42">
        <f t="shared" si="10"/>
        <v>8</v>
      </c>
    </row>
    <row r="13" spans="1:63" ht="27" customHeight="1">
      <c r="A13" s="11">
        <f t="shared" si="11"/>
        <v>11</v>
      </c>
      <c r="B13" s="12" t="s">
        <v>262</v>
      </c>
      <c r="C13" s="8">
        <v>47</v>
      </c>
      <c r="D13" s="60" t="s">
        <v>263</v>
      </c>
      <c r="E13" s="61">
        <v>130006899</v>
      </c>
      <c r="F13" s="90" t="s">
        <v>264</v>
      </c>
      <c r="G13" s="91" t="s">
        <v>265</v>
      </c>
      <c r="H13" s="24" t="s">
        <v>266</v>
      </c>
      <c r="I13" s="25" t="s">
        <v>267</v>
      </c>
      <c r="J13" s="82" t="s">
        <v>173</v>
      </c>
      <c r="K13" s="83">
        <v>24152</v>
      </c>
      <c r="L13" s="66" t="s">
        <v>174</v>
      </c>
      <c r="M13" s="67">
        <v>41583</v>
      </c>
      <c r="N13" s="67"/>
      <c r="O13" s="15" t="s">
        <v>32</v>
      </c>
      <c r="P13" s="16" t="s">
        <v>268</v>
      </c>
      <c r="Q13" s="16" t="s">
        <v>176</v>
      </c>
      <c r="R13" s="17" t="s">
        <v>177</v>
      </c>
      <c r="S13" s="17" t="s">
        <v>223</v>
      </c>
      <c r="T13" s="18"/>
      <c r="U13" s="18"/>
      <c r="V13" s="68" t="s">
        <v>195</v>
      </c>
      <c r="W13" s="68" t="s">
        <v>179</v>
      </c>
      <c r="X13" s="17">
        <v>5</v>
      </c>
      <c r="Y13" s="69" t="s">
        <v>269</v>
      </c>
      <c r="Z13" s="43"/>
      <c r="AA13" s="70" t="s">
        <v>181</v>
      </c>
      <c r="AB13" s="43"/>
      <c r="AC13" s="19" t="s">
        <v>197</v>
      </c>
      <c r="AD13" s="92" t="s">
        <v>182</v>
      </c>
      <c r="AE13" s="92" t="s">
        <v>182</v>
      </c>
      <c r="AF13" s="73" t="s">
        <v>183</v>
      </c>
      <c r="AG13" s="92" t="s">
        <v>183</v>
      </c>
      <c r="AH13" s="43"/>
      <c r="AI13" s="43"/>
      <c r="AJ13" s="19" t="s">
        <v>185</v>
      </c>
      <c r="AK13" s="19" t="s">
        <v>185</v>
      </c>
      <c r="AL13" s="19" t="s">
        <v>185</v>
      </c>
      <c r="AM13" s="72" t="s">
        <v>270</v>
      </c>
      <c r="AN13" s="20">
        <v>197</v>
      </c>
      <c r="AO13" s="20">
        <v>7</v>
      </c>
      <c r="AP13" s="20">
        <v>0</v>
      </c>
      <c r="AQ13" s="20">
        <v>0</v>
      </c>
      <c r="AR13" s="20">
        <v>0</v>
      </c>
      <c r="AS13" s="20">
        <v>7</v>
      </c>
      <c r="AT13" s="20">
        <v>10</v>
      </c>
      <c r="AU13" s="300">
        <f t="shared" si="1"/>
        <v>221</v>
      </c>
      <c r="AV13" s="20">
        <v>197</v>
      </c>
      <c r="AW13" s="20">
        <v>7</v>
      </c>
      <c r="AX13" s="20">
        <v>0</v>
      </c>
      <c r="AY13" s="20">
        <v>0</v>
      </c>
      <c r="AZ13" s="20">
        <v>0</v>
      </c>
      <c r="BA13" s="20">
        <v>7</v>
      </c>
      <c r="BB13" s="20">
        <v>10</v>
      </c>
      <c r="BC13" s="300">
        <f t="shared" si="2"/>
        <v>221</v>
      </c>
      <c r="BD13" s="42">
        <f t="shared" si="3"/>
        <v>0</v>
      </c>
      <c r="BE13" s="42">
        <f t="shared" si="4"/>
        <v>0</v>
      </c>
      <c r="BF13" s="42">
        <f t="shared" si="5"/>
        <v>0</v>
      </c>
      <c r="BG13" s="42">
        <f t="shared" si="6"/>
        <v>0</v>
      </c>
      <c r="BH13" s="42">
        <f t="shared" si="7"/>
        <v>0</v>
      </c>
      <c r="BI13" s="42">
        <f t="shared" si="8"/>
        <v>0</v>
      </c>
      <c r="BJ13" s="42">
        <f t="shared" si="9"/>
        <v>0</v>
      </c>
      <c r="BK13" s="42">
        <f t="shared" si="10"/>
        <v>0</v>
      </c>
    </row>
    <row r="14" spans="1:63" ht="27" customHeight="1">
      <c r="A14" s="11">
        <f t="shared" si="11"/>
        <v>12</v>
      </c>
      <c r="B14" s="12" t="s">
        <v>271</v>
      </c>
      <c r="C14" s="93">
        <v>66</v>
      </c>
      <c r="D14" s="75" t="s">
        <v>272</v>
      </c>
      <c r="E14" s="69">
        <v>130053226</v>
      </c>
      <c r="F14" s="62" t="s">
        <v>273</v>
      </c>
      <c r="G14" s="63" t="s">
        <v>274</v>
      </c>
      <c r="H14" s="13" t="s">
        <v>275</v>
      </c>
      <c r="I14" s="14" t="s">
        <v>276</v>
      </c>
      <c r="J14" s="64" t="s">
        <v>173</v>
      </c>
      <c r="K14" s="65">
        <v>28007</v>
      </c>
      <c r="L14" s="77" t="s">
        <v>174</v>
      </c>
      <c r="M14" s="34">
        <v>41590</v>
      </c>
      <c r="N14" s="34"/>
      <c r="O14" s="15" t="s">
        <v>32</v>
      </c>
      <c r="P14" s="16" t="s">
        <v>277</v>
      </c>
      <c r="Q14" s="16" t="s">
        <v>244</v>
      </c>
      <c r="R14" s="17" t="s">
        <v>177</v>
      </c>
      <c r="S14" s="17" t="s">
        <v>206</v>
      </c>
      <c r="T14" s="18"/>
      <c r="U14" s="18"/>
      <c r="V14" s="68" t="s">
        <v>179</v>
      </c>
      <c r="W14" s="68" t="s">
        <v>179</v>
      </c>
      <c r="X14" s="17">
        <v>10</v>
      </c>
      <c r="Y14" s="69" t="s">
        <v>278</v>
      </c>
      <c r="Z14" s="43"/>
      <c r="AA14" s="70" t="s">
        <v>181</v>
      </c>
      <c r="AB14" s="43"/>
      <c r="AC14" s="19" t="s">
        <v>279</v>
      </c>
      <c r="AD14" s="92" t="s">
        <v>183</v>
      </c>
      <c r="AE14" s="92" t="s">
        <v>183</v>
      </c>
      <c r="AF14" s="73"/>
      <c r="AG14" s="92"/>
      <c r="AH14" s="43"/>
      <c r="AI14" s="43"/>
      <c r="AJ14" s="19" t="s">
        <v>185</v>
      </c>
      <c r="AK14" s="19" t="s">
        <v>185</v>
      </c>
      <c r="AL14" s="19" t="s">
        <v>198</v>
      </c>
      <c r="AM14" s="72" t="s">
        <v>199</v>
      </c>
      <c r="AN14" s="20">
        <v>182</v>
      </c>
      <c r="AO14" s="20">
        <v>0</v>
      </c>
      <c r="AP14" s="20">
        <v>0</v>
      </c>
      <c r="AQ14" s="20">
        <v>20</v>
      </c>
      <c r="AR14" s="20">
        <v>0</v>
      </c>
      <c r="AS14" s="20">
        <v>7</v>
      </c>
      <c r="AT14" s="20">
        <v>10</v>
      </c>
      <c r="AU14" s="300">
        <f t="shared" si="1"/>
        <v>219</v>
      </c>
      <c r="AV14" s="20">
        <v>190</v>
      </c>
      <c r="AW14" s="20">
        <v>0</v>
      </c>
      <c r="AX14" s="20">
        <v>0</v>
      </c>
      <c r="AY14" s="20">
        <v>20</v>
      </c>
      <c r="AZ14" s="20">
        <v>0</v>
      </c>
      <c r="BA14" s="20">
        <v>7</v>
      </c>
      <c r="BB14" s="20">
        <v>10</v>
      </c>
      <c r="BC14" s="300">
        <f t="shared" si="2"/>
        <v>227</v>
      </c>
      <c r="BD14" s="42">
        <f t="shared" si="3"/>
        <v>8</v>
      </c>
      <c r="BE14" s="42">
        <f t="shared" si="4"/>
        <v>0</v>
      </c>
      <c r="BF14" s="42">
        <f t="shared" si="5"/>
        <v>0</v>
      </c>
      <c r="BG14" s="42">
        <f t="shared" si="6"/>
        <v>0</v>
      </c>
      <c r="BH14" s="42">
        <f t="shared" si="7"/>
        <v>0</v>
      </c>
      <c r="BI14" s="42">
        <f t="shared" si="8"/>
        <v>0</v>
      </c>
      <c r="BJ14" s="42">
        <f t="shared" si="9"/>
        <v>0</v>
      </c>
      <c r="BK14" s="42">
        <f t="shared" si="10"/>
        <v>8</v>
      </c>
    </row>
    <row r="15" spans="1:63" ht="27" customHeight="1">
      <c r="A15" s="11">
        <f t="shared" si="11"/>
        <v>13</v>
      </c>
      <c r="B15" s="12" t="s">
        <v>280</v>
      </c>
      <c r="C15" s="8">
        <v>67</v>
      </c>
      <c r="D15" s="75" t="s">
        <v>281</v>
      </c>
      <c r="E15" s="69">
        <v>130068781</v>
      </c>
      <c r="F15" s="62" t="s">
        <v>282</v>
      </c>
      <c r="G15" s="63" t="s">
        <v>283</v>
      </c>
      <c r="H15" s="13" t="s">
        <v>284</v>
      </c>
      <c r="I15" s="14" t="s">
        <v>285</v>
      </c>
      <c r="J15" s="64" t="s">
        <v>173</v>
      </c>
      <c r="K15" s="65">
        <v>30439</v>
      </c>
      <c r="L15" s="77" t="s">
        <v>174</v>
      </c>
      <c r="M15" s="34">
        <v>41591</v>
      </c>
      <c r="N15" s="34"/>
      <c r="O15" s="15" t="s">
        <v>286</v>
      </c>
      <c r="P15" s="16" t="s">
        <v>287</v>
      </c>
      <c r="Q15" s="16" t="s">
        <v>176</v>
      </c>
      <c r="R15" s="17" t="s">
        <v>177</v>
      </c>
      <c r="S15" s="17" t="s">
        <v>251</v>
      </c>
      <c r="T15" s="18"/>
      <c r="U15" s="18"/>
      <c r="V15" s="68" t="s">
        <v>179</v>
      </c>
      <c r="W15" s="68" t="s">
        <v>179</v>
      </c>
      <c r="X15" s="17">
        <v>4</v>
      </c>
      <c r="Y15" s="69">
        <v>97666051</v>
      </c>
      <c r="Z15" s="43"/>
      <c r="AA15" s="70" t="s">
        <v>181</v>
      </c>
      <c r="AB15" s="43"/>
      <c r="AC15" s="19" t="s">
        <v>288</v>
      </c>
      <c r="AD15" s="92" t="s">
        <v>183</v>
      </c>
      <c r="AE15" s="92"/>
      <c r="AF15" s="73"/>
      <c r="AG15" s="92"/>
      <c r="AH15" s="43"/>
      <c r="AI15" s="43"/>
      <c r="AJ15" s="19" t="s">
        <v>185</v>
      </c>
      <c r="AK15" s="19" t="s">
        <v>185</v>
      </c>
      <c r="AL15" s="19" t="s">
        <v>198</v>
      </c>
      <c r="AM15" s="72" t="s">
        <v>199</v>
      </c>
      <c r="AN15" s="20">
        <v>182</v>
      </c>
      <c r="AO15" s="20">
        <v>7</v>
      </c>
      <c r="AP15" s="20">
        <v>20</v>
      </c>
      <c r="AQ15" s="20">
        <v>0</v>
      </c>
      <c r="AR15" s="20">
        <v>0</v>
      </c>
      <c r="AS15" s="20">
        <v>7</v>
      </c>
      <c r="AT15" s="20">
        <v>10</v>
      </c>
      <c r="AU15" s="300">
        <f t="shared" si="1"/>
        <v>226</v>
      </c>
      <c r="AV15" s="20">
        <v>190</v>
      </c>
      <c r="AW15" s="20">
        <v>7</v>
      </c>
      <c r="AX15" s="20">
        <v>20</v>
      </c>
      <c r="AY15" s="20">
        <v>0</v>
      </c>
      <c r="AZ15" s="20">
        <v>0</v>
      </c>
      <c r="BA15" s="20">
        <v>7</v>
      </c>
      <c r="BB15" s="20">
        <v>10</v>
      </c>
      <c r="BC15" s="300">
        <f t="shared" si="2"/>
        <v>234</v>
      </c>
      <c r="BD15" s="42">
        <f t="shared" si="3"/>
        <v>8</v>
      </c>
      <c r="BE15" s="42">
        <f t="shared" si="4"/>
        <v>0</v>
      </c>
      <c r="BF15" s="42">
        <f t="shared" si="5"/>
        <v>0</v>
      </c>
      <c r="BG15" s="42">
        <f t="shared" si="6"/>
        <v>0</v>
      </c>
      <c r="BH15" s="42">
        <f t="shared" si="7"/>
        <v>0</v>
      </c>
      <c r="BI15" s="42">
        <f t="shared" si="8"/>
        <v>0</v>
      </c>
      <c r="BJ15" s="42">
        <f t="shared" si="9"/>
        <v>0</v>
      </c>
      <c r="BK15" s="42">
        <f t="shared" si="10"/>
        <v>8</v>
      </c>
    </row>
    <row r="16" spans="1:63" ht="27" customHeight="1">
      <c r="A16" s="11">
        <f t="shared" si="11"/>
        <v>14</v>
      </c>
      <c r="B16" s="12" t="s">
        <v>289</v>
      </c>
      <c r="C16" s="8">
        <v>69</v>
      </c>
      <c r="D16" s="75" t="s">
        <v>290</v>
      </c>
      <c r="E16" s="69" t="s">
        <v>291</v>
      </c>
      <c r="F16" s="62" t="s">
        <v>292</v>
      </c>
      <c r="G16" s="63" t="s">
        <v>293</v>
      </c>
      <c r="H16" s="13" t="s">
        <v>294</v>
      </c>
      <c r="I16" s="14" t="s">
        <v>295</v>
      </c>
      <c r="J16" s="64" t="s">
        <v>173</v>
      </c>
      <c r="K16" s="65">
        <v>29285</v>
      </c>
      <c r="L16" s="77" t="s">
        <v>174</v>
      </c>
      <c r="M16" s="34">
        <v>41591</v>
      </c>
      <c r="N16" s="34"/>
      <c r="O16" s="15" t="s">
        <v>32</v>
      </c>
      <c r="P16" s="16" t="s">
        <v>296</v>
      </c>
      <c r="Q16" s="16" t="s">
        <v>176</v>
      </c>
      <c r="R16" s="17" t="s">
        <v>177</v>
      </c>
      <c r="S16" s="17" t="s">
        <v>223</v>
      </c>
      <c r="T16" s="18"/>
      <c r="U16" s="18"/>
      <c r="V16" s="68" t="s">
        <v>179</v>
      </c>
      <c r="W16" s="68" t="s">
        <v>179</v>
      </c>
      <c r="X16" s="17">
        <v>6</v>
      </c>
      <c r="Y16" s="69">
        <v>70320251</v>
      </c>
      <c r="Z16" s="19"/>
      <c r="AA16" s="70" t="s">
        <v>181</v>
      </c>
      <c r="AB16" s="43"/>
      <c r="AC16" s="19"/>
      <c r="AD16" s="92" t="s">
        <v>183</v>
      </c>
      <c r="AE16" s="92" t="s">
        <v>183</v>
      </c>
      <c r="AF16" s="73"/>
      <c r="AG16" s="92"/>
      <c r="AH16" s="43"/>
      <c r="AI16" s="43"/>
      <c r="AJ16" s="19" t="s">
        <v>185</v>
      </c>
      <c r="AK16" s="19" t="s">
        <v>185</v>
      </c>
      <c r="AL16" s="19" t="s">
        <v>198</v>
      </c>
      <c r="AM16" s="72" t="s">
        <v>297</v>
      </c>
      <c r="AN16" s="20">
        <v>182</v>
      </c>
      <c r="AO16" s="20">
        <v>7</v>
      </c>
      <c r="AP16" s="20">
        <v>0</v>
      </c>
      <c r="AQ16" s="20">
        <v>0</v>
      </c>
      <c r="AR16" s="20">
        <v>0</v>
      </c>
      <c r="AS16" s="20">
        <v>7</v>
      </c>
      <c r="AT16" s="20">
        <v>10</v>
      </c>
      <c r="AU16" s="300">
        <f t="shared" si="1"/>
        <v>206</v>
      </c>
      <c r="AV16" s="20">
        <v>190</v>
      </c>
      <c r="AW16" s="20">
        <v>7</v>
      </c>
      <c r="AX16" s="20">
        <v>0</v>
      </c>
      <c r="AY16" s="20">
        <v>0</v>
      </c>
      <c r="AZ16" s="20">
        <v>0</v>
      </c>
      <c r="BA16" s="20">
        <v>7</v>
      </c>
      <c r="BB16" s="20">
        <v>10</v>
      </c>
      <c r="BC16" s="300">
        <f t="shared" si="2"/>
        <v>214</v>
      </c>
      <c r="BD16" s="42">
        <f t="shared" si="3"/>
        <v>8</v>
      </c>
      <c r="BE16" s="42">
        <f t="shared" si="4"/>
        <v>0</v>
      </c>
      <c r="BF16" s="42">
        <f t="shared" si="5"/>
        <v>0</v>
      </c>
      <c r="BG16" s="42">
        <f t="shared" si="6"/>
        <v>0</v>
      </c>
      <c r="BH16" s="42">
        <f t="shared" si="7"/>
        <v>0</v>
      </c>
      <c r="BI16" s="42">
        <f t="shared" si="8"/>
        <v>0</v>
      </c>
      <c r="BJ16" s="42">
        <f t="shared" si="9"/>
        <v>0</v>
      </c>
      <c r="BK16" s="42">
        <f t="shared" si="10"/>
        <v>8</v>
      </c>
    </row>
    <row r="17" spans="1:63" ht="27" customHeight="1">
      <c r="A17" s="11">
        <f t="shared" si="11"/>
        <v>15</v>
      </c>
      <c r="B17" s="12" t="s">
        <v>298</v>
      </c>
      <c r="C17" s="8">
        <v>74</v>
      </c>
      <c r="D17" s="94" t="s">
        <v>299</v>
      </c>
      <c r="E17" s="69" t="s">
        <v>291</v>
      </c>
      <c r="F17" s="62" t="s">
        <v>300</v>
      </c>
      <c r="G17" s="63" t="s">
        <v>301</v>
      </c>
      <c r="H17" s="13" t="s">
        <v>302</v>
      </c>
      <c r="I17" s="14" t="s">
        <v>303</v>
      </c>
      <c r="J17" s="64" t="s">
        <v>173</v>
      </c>
      <c r="K17" s="65">
        <v>29108</v>
      </c>
      <c r="L17" s="77" t="s">
        <v>174</v>
      </c>
      <c r="M17" s="34">
        <v>41598</v>
      </c>
      <c r="N17" s="34"/>
      <c r="O17" s="15" t="s">
        <v>32</v>
      </c>
      <c r="P17" s="16" t="s">
        <v>304</v>
      </c>
      <c r="Q17" s="16" t="s">
        <v>176</v>
      </c>
      <c r="R17" s="17" t="s">
        <v>177</v>
      </c>
      <c r="S17" s="17" t="s">
        <v>305</v>
      </c>
      <c r="T17" s="18"/>
      <c r="U17" s="18"/>
      <c r="V17" s="68" t="s">
        <v>195</v>
      </c>
      <c r="W17" s="68">
        <v>81</v>
      </c>
      <c r="X17" s="17">
        <v>5</v>
      </c>
      <c r="Y17" s="69" t="s">
        <v>306</v>
      </c>
      <c r="Z17" s="19"/>
      <c r="AA17" s="70" t="s">
        <v>181</v>
      </c>
      <c r="AB17" s="43"/>
      <c r="AC17" s="19" t="s">
        <v>133</v>
      </c>
      <c r="AD17" s="92" t="s">
        <v>184</v>
      </c>
      <c r="AE17" s="92" t="s">
        <v>184</v>
      </c>
      <c r="AF17" s="73" t="s">
        <v>184</v>
      </c>
      <c r="AG17" s="92"/>
      <c r="AH17" s="43"/>
      <c r="AI17" s="43"/>
      <c r="AJ17" s="19" t="s">
        <v>185</v>
      </c>
      <c r="AK17" s="19" t="s">
        <v>185</v>
      </c>
      <c r="AL17" s="19" t="s">
        <v>198</v>
      </c>
      <c r="AM17" s="72" t="s">
        <v>236</v>
      </c>
      <c r="AN17" s="20">
        <v>182</v>
      </c>
      <c r="AO17" s="20">
        <v>7</v>
      </c>
      <c r="AP17" s="20">
        <v>0</v>
      </c>
      <c r="AQ17" s="20">
        <v>32</v>
      </c>
      <c r="AR17" s="20">
        <v>15</v>
      </c>
      <c r="AS17" s="20">
        <v>7</v>
      </c>
      <c r="AT17" s="20">
        <v>10</v>
      </c>
      <c r="AU17" s="300">
        <f t="shared" si="1"/>
        <v>253</v>
      </c>
      <c r="AV17" s="20">
        <v>190</v>
      </c>
      <c r="AW17" s="20">
        <v>7</v>
      </c>
      <c r="AX17" s="20">
        <v>0</v>
      </c>
      <c r="AY17" s="20">
        <v>32</v>
      </c>
      <c r="AZ17" s="20">
        <v>15</v>
      </c>
      <c r="BA17" s="20">
        <v>7</v>
      </c>
      <c r="BB17" s="20">
        <v>10</v>
      </c>
      <c r="BC17" s="300">
        <f t="shared" si="2"/>
        <v>261</v>
      </c>
      <c r="BD17" s="42">
        <f t="shared" si="3"/>
        <v>8</v>
      </c>
      <c r="BE17" s="42">
        <f t="shared" si="4"/>
        <v>0</v>
      </c>
      <c r="BF17" s="42">
        <f t="shared" si="5"/>
        <v>0</v>
      </c>
      <c r="BG17" s="42">
        <f t="shared" si="6"/>
        <v>0</v>
      </c>
      <c r="BH17" s="42">
        <f t="shared" si="7"/>
        <v>0</v>
      </c>
      <c r="BI17" s="42">
        <f t="shared" si="8"/>
        <v>0</v>
      </c>
      <c r="BJ17" s="42">
        <f t="shared" si="9"/>
        <v>0</v>
      </c>
      <c r="BK17" s="42">
        <f t="shared" si="10"/>
        <v>8</v>
      </c>
    </row>
    <row r="18" spans="1:63" ht="27" customHeight="1">
      <c r="A18" s="11">
        <f t="shared" si="11"/>
        <v>16</v>
      </c>
      <c r="B18" s="12" t="s">
        <v>307</v>
      </c>
      <c r="C18" s="93">
        <v>78</v>
      </c>
      <c r="D18" s="75" t="s">
        <v>308</v>
      </c>
      <c r="E18" s="69" t="s">
        <v>291</v>
      </c>
      <c r="F18" s="62" t="s">
        <v>309</v>
      </c>
      <c r="G18" s="63" t="s">
        <v>310</v>
      </c>
      <c r="H18" s="13" t="s">
        <v>311</v>
      </c>
      <c r="I18" s="14" t="s">
        <v>312</v>
      </c>
      <c r="J18" s="64" t="s">
        <v>173</v>
      </c>
      <c r="K18" s="65">
        <v>31630</v>
      </c>
      <c r="L18" s="77" t="s">
        <v>174</v>
      </c>
      <c r="M18" s="34">
        <v>41598</v>
      </c>
      <c r="N18" s="34"/>
      <c r="O18" s="15" t="s">
        <v>32</v>
      </c>
      <c r="P18" s="16" t="s">
        <v>313</v>
      </c>
      <c r="Q18" s="16" t="s">
        <v>244</v>
      </c>
      <c r="R18" s="17" t="s">
        <v>177</v>
      </c>
      <c r="S18" s="17" t="s">
        <v>305</v>
      </c>
      <c r="T18" s="18"/>
      <c r="U18" s="18"/>
      <c r="V18" s="68" t="s">
        <v>179</v>
      </c>
      <c r="W18" s="68" t="s">
        <v>179</v>
      </c>
      <c r="X18" s="17">
        <v>8</v>
      </c>
      <c r="Y18" s="69">
        <v>10860064</v>
      </c>
      <c r="Z18" s="70" t="s">
        <v>181</v>
      </c>
      <c r="AA18" s="19"/>
      <c r="AB18" s="43"/>
      <c r="AC18" s="19"/>
      <c r="AD18" s="92"/>
      <c r="AE18" s="92"/>
      <c r="AF18" s="73"/>
      <c r="AG18" s="92"/>
      <c r="AH18" s="43"/>
      <c r="AI18" s="43"/>
      <c r="AJ18" s="19" t="s">
        <v>185</v>
      </c>
      <c r="AK18" s="19" t="s">
        <v>185</v>
      </c>
      <c r="AL18" s="19" t="s">
        <v>198</v>
      </c>
      <c r="AM18" s="72" t="s">
        <v>236</v>
      </c>
      <c r="AN18" s="20">
        <v>182</v>
      </c>
      <c r="AO18" s="20">
        <v>7</v>
      </c>
      <c r="AP18" s="20">
        <v>20</v>
      </c>
      <c r="AQ18" s="20">
        <v>0</v>
      </c>
      <c r="AR18" s="20">
        <v>0</v>
      </c>
      <c r="AS18" s="20">
        <v>7</v>
      </c>
      <c r="AT18" s="20">
        <v>10</v>
      </c>
      <c r="AU18" s="300">
        <f t="shared" si="1"/>
        <v>226</v>
      </c>
      <c r="AV18" s="20">
        <v>190</v>
      </c>
      <c r="AW18" s="20">
        <v>7</v>
      </c>
      <c r="AX18" s="20">
        <v>20</v>
      </c>
      <c r="AY18" s="20">
        <v>0</v>
      </c>
      <c r="AZ18" s="20">
        <v>0</v>
      </c>
      <c r="BA18" s="20">
        <v>7</v>
      </c>
      <c r="BB18" s="20">
        <v>10</v>
      </c>
      <c r="BC18" s="300">
        <f t="shared" si="2"/>
        <v>234</v>
      </c>
      <c r="BD18" s="42">
        <f t="shared" si="3"/>
        <v>8</v>
      </c>
      <c r="BE18" s="42">
        <f t="shared" si="4"/>
        <v>0</v>
      </c>
      <c r="BF18" s="42">
        <f t="shared" si="5"/>
        <v>0</v>
      </c>
      <c r="BG18" s="42">
        <f t="shared" si="6"/>
        <v>0</v>
      </c>
      <c r="BH18" s="42">
        <f t="shared" si="7"/>
        <v>0</v>
      </c>
      <c r="BI18" s="42">
        <f t="shared" si="8"/>
        <v>0</v>
      </c>
      <c r="BJ18" s="42">
        <f t="shared" si="9"/>
        <v>0</v>
      </c>
      <c r="BK18" s="42">
        <f t="shared" si="10"/>
        <v>8</v>
      </c>
    </row>
    <row r="19" spans="1:63" ht="27" customHeight="1">
      <c r="A19" s="11">
        <f t="shared" si="11"/>
        <v>17</v>
      </c>
      <c r="B19" s="12" t="s">
        <v>314</v>
      </c>
      <c r="C19" s="93">
        <v>81</v>
      </c>
      <c r="D19" s="75" t="s">
        <v>315</v>
      </c>
      <c r="E19" s="69">
        <v>60333150</v>
      </c>
      <c r="F19" s="62" t="s">
        <v>316</v>
      </c>
      <c r="G19" s="63" t="s">
        <v>317</v>
      </c>
      <c r="H19" s="13" t="s">
        <v>318</v>
      </c>
      <c r="I19" s="14" t="s">
        <v>319</v>
      </c>
      <c r="J19" s="64" t="s">
        <v>173</v>
      </c>
      <c r="K19" s="65">
        <v>28299</v>
      </c>
      <c r="L19" s="77" t="s">
        <v>174</v>
      </c>
      <c r="M19" s="34">
        <v>41599</v>
      </c>
      <c r="N19" s="34"/>
      <c r="O19" s="15" t="s">
        <v>32</v>
      </c>
      <c r="P19" s="16" t="s">
        <v>313</v>
      </c>
      <c r="Q19" s="16" t="s">
        <v>244</v>
      </c>
      <c r="R19" s="17" t="s">
        <v>177</v>
      </c>
      <c r="S19" s="17" t="s">
        <v>178</v>
      </c>
      <c r="T19" s="18"/>
      <c r="U19" s="18"/>
      <c r="V19" s="68" t="s">
        <v>179</v>
      </c>
      <c r="W19" s="68" t="s">
        <v>179</v>
      </c>
      <c r="X19" s="17" t="s">
        <v>185</v>
      </c>
      <c r="Y19" s="69">
        <v>87644178</v>
      </c>
      <c r="Z19" s="19"/>
      <c r="AA19" s="70" t="s">
        <v>181</v>
      </c>
      <c r="AB19" s="43"/>
      <c r="AC19" s="19" t="s">
        <v>320</v>
      </c>
      <c r="AD19" s="92" t="s">
        <v>183</v>
      </c>
      <c r="AE19" s="92"/>
      <c r="AF19" s="73"/>
      <c r="AG19" s="92"/>
      <c r="AH19" s="43"/>
      <c r="AI19" s="43"/>
      <c r="AJ19" s="19" t="s">
        <v>185</v>
      </c>
      <c r="AK19" s="19" t="s">
        <v>185</v>
      </c>
      <c r="AL19" s="19" t="s">
        <v>198</v>
      </c>
      <c r="AM19" s="72" t="s">
        <v>297</v>
      </c>
      <c r="AN19" s="20">
        <v>182</v>
      </c>
      <c r="AO19" s="20">
        <v>7</v>
      </c>
      <c r="AP19" s="20">
        <v>20</v>
      </c>
      <c r="AQ19" s="20">
        <v>0</v>
      </c>
      <c r="AR19" s="20">
        <v>0</v>
      </c>
      <c r="AS19" s="20">
        <v>7</v>
      </c>
      <c r="AT19" s="20">
        <v>10</v>
      </c>
      <c r="AU19" s="300">
        <f t="shared" si="1"/>
        <v>226</v>
      </c>
      <c r="AV19" s="20">
        <v>190</v>
      </c>
      <c r="AW19" s="20">
        <v>7</v>
      </c>
      <c r="AX19" s="20">
        <v>20</v>
      </c>
      <c r="AY19" s="20">
        <v>0</v>
      </c>
      <c r="AZ19" s="20">
        <v>0</v>
      </c>
      <c r="BA19" s="20">
        <v>7</v>
      </c>
      <c r="BB19" s="20">
        <v>10</v>
      </c>
      <c r="BC19" s="300">
        <f t="shared" si="2"/>
        <v>234</v>
      </c>
      <c r="BD19" s="42">
        <f t="shared" si="3"/>
        <v>8</v>
      </c>
      <c r="BE19" s="42">
        <f t="shared" si="4"/>
        <v>0</v>
      </c>
      <c r="BF19" s="42">
        <f t="shared" si="5"/>
        <v>0</v>
      </c>
      <c r="BG19" s="42">
        <f t="shared" si="6"/>
        <v>0</v>
      </c>
      <c r="BH19" s="42">
        <f t="shared" si="7"/>
        <v>0</v>
      </c>
      <c r="BI19" s="42">
        <f t="shared" si="8"/>
        <v>0</v>
      </c>
      <c r="BJ19" s="42">
        <f t="shared" si="9"/>
        <v>0</v>
      </c>
      <c r="BK19" s="42">
        <f t="shared" si="10"/>
        <v>8</v>
      </c>
    </row>
    <row r="20" spans="1:63" ht="27" customHeight="1">
      <c r="A20" s="11">
        <f t="shared" si="11"/>
        <v>18</v>
      </c>
      <c r="B20" s="12" t="s">
        <v>321</v>
      </c>
      <c r="C20" s="93">
        <v>90</v>
      </c>
      <c r="D20" s="75" t="s">
        <v>322</v>
      </c>
      <c r="E20" s="69">
        <v>130102162</v>
      </c>
      <c r="F20" s="62" t="s">
        <v>240</v>
      </c>
      <c r="G20" s="63" t="s">
        <v>323</v>
      </c>
      <c r="H20" s="13" t="s">
        <v>324</v>
      </c>
      <c r="I20" s="14" t="s">
        <v>325</v>
      </c>
      <c r="J20" s="64" t="s">
        <v>173</v>
      </c>
      <c r="K20" s="65">
        <v>33244</v>
      </c>
      <c r="L20" s="77" t="s">
        <v>174</v>
      </c>
      <c r="M20" s="34">
        <v>41598</v>
      </c>
      <c r="N20" s="34"/>
      <c r="O20" s="15" t="s">
        <v>32</v>
      </c>
      <c r="P20" s="16" t="s">
        <v>313</v>
      </c>
      <c r="Q20" s="16" t="s">
        <v>244</v>
      </c>
      <c r="R20" s="17" t="s">
        <v>177</v>
      </c>
      <c r="S20" s="16" t="s">
        <v>326</v>
      </c>
      <c r="T20" s="18"/>
      <c r="U20" s="18"/>
      <c r="V20" s="68" t="s">
        <v>179</v>
      </c>
      <c r="W20" s="68" t="s">
        <v>179</v>
      </c>
      <c r="X20" s="17" t="s">
        <v>185</v>
      </c>
      <c r="Y20" s="69">
        <v>86549196</v>
      </c>
      <c r="Z20" s="70" t="s">
        <v>181</v>
      </c>
      <c r="AA20" s="19"/>
      <c r="AB20" s="43"/>
      <c r="AC20" s="19"/>
      <c r="AD20" s="92"/>
      <c r="AE20" s="92"/>
      <c r="AF20" s="73"/>
      <c r="AG20" s="92"/>
      <c r="AH20" s="43"/>
      <c r="AI20" s="43"/>
      <c r="AJ20" s="19" t="s">
        <v>185</v>
      </c>
      <c r="AK20" s="19" t="s">
        <v>185</v>
      </c>
      <c r="AL20" s="19" t="s">
        <v>198</v>
      </c>
      <c r="AM20" s="72" t="s">
        <v>327</v>
      </c>
      <c r="AN20" s="20">
        <v>182</v>
      </c>
      <c r="AO20" s="20">
        <v>7</v>
      </c>
      <c r="AP20" s="20">
        <v>20</v>
      </c>
      <c r="AQ20" s="20">
        <v>0</v>
      </c>
      <c r="AR20" s="20">
        <v>0</v>
      </c>
      <c r="AS20" s="20">
        <v>7</v>
      </c>
      <c r="AT20" s="20">
        <v>10</v>
      </c>
      <c r="AU20" s="300">
        <f t="shared" si="1"/>
        <v>226</v>
      </c>
      <c r="AV20" s="20">
        <v>190</v>
      </c>
      <c r="AW20" s="20">
        <v>7</v>
      </c>
      <c r="AX20" s="20">
        <v>20</v>
      </c>
      <c r="AY20" s="20">
        <v>0</v>
      </c>
      <c r="AZ20" s="20">
        <v>0</v>
      </c>
      <c r="BA20" s="20">
        <v>7</v>
      </c>
      <c r="BB20" s="20">
        <v>10</v>
      </c>
      <c r="BC20" s="300">
        <f t="shared" si="2"/>
        <v>234</v>
      </c>
      <c r="BD20" s="42">
        <f t="shared" si="3"/>
        <v>8</v>
      </c>
      <c r="BE20" s="42">
        <f t="shared" si="4"/>
        <v>0</v>
      </c>
      <c r="BF20" s="42">
        <f t="shared" si="5"/>
        <v>0</v>
      </c>
      <c r="BG20" s="42">
        <f t="shared" si="6"/>
        <v>0</v>
      </c>
      <c r="BH20" s="42">
        <f t="shared" si="7"/>
        <v>0</v>
      </c>
      <c r="BI20" s="42">
        <f t="shared" si="8"/>
        <v>0</v>
      </c>
      <c r="BJ20" s="42">
        <f t="shared" si="9"/>
        <v>0</v>
      </c>
      <c r="BK20" s="42">
        <f t="shared" si="10"/>
        <v>8</v>
      </c>
    </row>
    <row r="21" spans="1:63" ht="27" customHeight="1">
      <c r="A21" s="11">
        <f t="shared" si="11"/>
        <v>19</v>
      </c>
      <c r="B21" s="12" t="s">
        <v>328</v>
      </c>
      <c r="C21" s="8">
        <v>110</v>
      </c>
      <c r="D21" s="75" t="s">
        <v>329</v>
      </c>
      <c r="E21" s="69">
        <v>50048892</v>
      </c>
      <c r="F21" s="62" t="s">
        <v>330</v>
      </c>
      <c r="G21" s="63" t="s">
        <v>331</v>
      </c>
      <c r="H21" s="13" t="s">
        <v>332</v>
      </c>
      <c r="I21" s="14" t="s">
        <v>333</v>
      </c>
      <c r="J21" s="64" t="s">
        <v>173</v>
      </c>
      <c r="K21" s="65">
        <v>29523</v>
      </c>
      <c r="L21" s="77" t="s">
        <v>174</v>
      </c>
      <c r="M21" s="34">
        <v>41600</v>
      </c>
      <c r="N21" s="34"/>
      <c r="O21" s="15" t="s">
        <v>32</v>
      </c>
      <c r="P21" s="16" t="s">
        <v>334</v>
      </c>
      <c r="Q21" s="16" t="s">
        <v>176</v>
      </c>
      <c r="R21" s="17" t="s">
        <v>177</v>
      </c>
      <c r="S21" s="16" t="s">
        <v>326</v>
      </c>
      <c r="T21" s="18" t="s">
        <v>335</v>
      </c>
      <c r="U21" s="18" t="s">
        <v>336</v>
      </c>
      <c r="V21" s="68" t="s">
        <v>195</v>
      </c>
      <c r="W21" s="68" t="s">
        <v>179</v>
      </c>
      <c r="X21" s="17" t="s">
        <v>185</v>
      </c>
      <c r="Y21" s="69">
        <v>81450460</v>
      </c>
      <c r="Z21" s="85"/>
      <c r="AA21" s="95" t="s">
        <v>181</v>
      </c>
      <c r="AB21" s="84"/>
      <c r="AC21" s="85" t="s">
        <v>133</v>
      </c>
      <c r="AD21" s="86" t="s">
        <v>183</v>
      </c>
      <c r="AE21" s="86" t="s">
        <v>184</v>
      </c>
      <c r="AF21" s="96"/>
      <c r="AG21" s="86"/>
      <c r="AH21" s="84"/>
      <c r="AI21" s="84"/>
      <c r="AJ21" s="85" t="s">
        <v>185</v>
      </c>
      <c r="AK21" s="85" t="s">
        <v>185</v>
      </c>
      <c r="AL21" s="85" t="s">
        <v>198</v>
      </c>
      <c r="AM21" s="88" t="s">
        <v>199</v>
      </c>
      <c r="AN21" s="20">
        <v>182</v>
      </c>
      <c r="AO21" s="20">
        <v>7</v>
      </c>
      <c r="AP21" s="20">
        <v>0</v>
      </c>
      <c r="AQ21" s="20">
        <v>32</v>
      </c>
      <c r="AR21" s="20">
        <v>0</v>
      </c>
      <c r="AS21" s="20">
        <v>7</v>
      </c>
      <c r="AT21" s="20">
        <v>10</v>
      </c>
      <c r="AU21" s="300">
        <f t="shared" si="1"/>
        <v>238</v>
      </c>
      <c r="AV21" s="20">
        <v>190</v>
      </c>
      <c r="AW21" s="20">
        <v>7</v>
      </c>
      <c r="AX21" s="20">
        <v>0</v>
      </c>
      <c r="AY21" s="20">
        <v>32</v>
      </c>
      <c r="AZ21" s="20">
        <v>0</v>
      </c>
      <c r="BA21" s="20">
        <v>7</v>
      </c>
      <c r="BB21" s="20">
        <v>10</v>
      </c>
      <c r="BC21" s="300">
        <f t="shared" si="2"/>
        <v>246</v>
      </c>
      <c r="BD21" s="42">
        <f t="shared" si="3"/>
        <v>8</v>
      </c>
      <c r="BE21" s="42">
        <f t="shared" si="4"/>
        <v>0</v>
      </c>
      <c r="BF21" s="42">
        <f t="shared" si="5"/>
        <v>0</v>
      </c>
      <c r="BG21" s="42">
        <f t="shared" si="6"/>
        <v>0</v>
      </c>
      <c r="BH21" s="42">
        <f t="shared" si="7"/>
        <v>0</v>
      </c>
      <c r="BI21" s="42">
        <f t="shared" si="8"/>
        <v>0</v>
      </c>
      <c r="BJ21" s="42">
        <f t="shared" si="9"/>
        <v>0</v>
      </c>
      <c r="BK21" s="42">
        <f t="shared" si="10"/>
        <v>8</v>
      </c>
    </row>
    <row r="22" spans="1:63" ht="27" customHeight="1">
      <c r="A22" s="11">
        <f t="shared" si="11"/>
        <v>20</v>
      </c>
      <c r="B22" s="12" t="s">
        <v>337</v>
      </c>
      <c r="C22" s="8">
        <v>113</v>
      </c>
      <c r="D22" s="75" t="s">
        <v>338</v>
      </c>
      <c r="E22" s="69">
        <v>1300211861</v>
      </c>
      <c r="F22" s="62" t="s">
        <v>339</v>
      </c>
      <c r="G22" s="63" t="s">
        <v>340</v>
      </c>
      <c r="H22" s="13" t="s">
        <v>341</v>
      </c>
      <c r="I22" s="14" t="s">
        <v>342</v>
      </c>
      <c r="J22" s="64" t="s">
        <v>173</v>
      </c>
      <c r="K22" s="65">
        <v>29385</v>
      </c>
      <c r="L22" s="77" t="s">
        <v>174</v>
      </c>
      <c r="M22" s="34">
        <v>41612</v>
      </c>
      <c r="N22" s="34"/>
      <c r="O22" s="15" t="s">
        <v>32</v>
      </c>
      <c r="P22" s="16" t="s">
        <v>343</v>
      </c>
      <c r="Q22" s="16" t="s">
        <v>176</v>
      </c>
      <c r="R22" s="17" t="s">
        <v>177</v>
      </c>
      <c r="S22" s="16" t="s">
        <v>305</v>
      </c>
      <c r="T22" s="18"/>
      <c r="U22" s="18"/>
      <c r="V22" s="68" t="s">
        <v>179</v>
      </c>
      <c r="W22" s="68" t="s">
        <v>179</v>
      </c>
      <c r="X22" s="17">
        <v>7</v>
      </c>
      <c r="Y22" s="69" t="s">
        <v>179</v>
      </c>
      <c r="Z22" s="19"/>
      <c r="AA22" s="70" t="s">
        <v>181</v>
      </c>
      <c r="AB22" s="43"/>
      <c r="AC22" s="19" t="s">
        <v>197</v>
      </c>
      <c r="AD22" s="92" t="s">
        <v>184</v>
      </c>
      <c r="AE22" s="92" t="s">
        <v>183</v>
      </c>
      <c r="AF22" s="73"/>
      <c r="AG22" s="92"/>
      <c r="AH22" s="43"/>
      <c r="AI22" s="43"/>
      <c r="AJ22" s="19" t="s">
        <v>185</v>
      </c>
      <c r="AK22" s="19" t="s">
        <v>185</v>
      </c>
      <c r="AL22" s="19" t="s">
        <v>198</v>
      </c>
      <c r="AM22" s="72" t="s">
        <v>199</v>
      </c>
      <c r="AN22" s="20">
        <v>182</v>
      </c>
      <c r="AO22" s="20">
        <v>7</v>
      </c>
      <c r="AP22" s="20">
        <v>0</v>
      </c>
      <c r="AQ22" s="20">
        <v>0</v>
      </c>
      <c r="AR22" s="20">
        <v>0</v>
      </c>
      <c r="AS22" s="20">
        <v>7</v>
      </c>
      <c r="AT22" s="20">
        <v>10</v>
      </c>
      <c r="AU22" s="300">
        <f t="shared" si="1"/>
        <v>206</v>
      </c>
      <c r="AV22" s="20">
        <v>190</v>
      </c>
      <c r="AW22" s="20">
        <v>7</v>
      </c>
      <c r="AX22" s="20">
        <v>0</v>
      </c>
      <c r="AY22" s="20">
        <v>0</v>
      </c>
      <c r="AZ22" s="20">
        <v>0</v>
      </c>
      <c r="BA22" s="20">
        <v>7</v>
      </c>
      <c r="BB22" s="20">
        <v>10</v>
      </c>
      <c r="BC22" s="300">
        <f t="shared" si="2"/>
        <v>214</v>
      </c>
      <c r="BD22" s="42">
        <f t="shared" si="3"/>
        <v>8</v>
      </c>
      <c r="BE22" s="42">
        <f t="shared" si="4"/>
        <v>0</v>
      </c>
      <c r="BF22" s="42">
        <f t="shared" si="5"/>
        <v>0</v>
      </c>
      <c r="BG22" s="42">
        <f t="shared" si="6"/>
        <v>0</v>
      </c>
      <c r="BH22" s="42">
        <f t="shared" si="7"/>
        <v>0</v>
      </c>
      <c r="BI22" s="42">
        <f t="shared" si="8"/>
        <v>0</v>
      </c>
      <c r="BJ22" s="42">
        <f t="shared" si="9"/>
        <v>0</v>
      </c>
      <c r="BK22" s="42">
        <f t="shared" si="10"/>
        <v>8</v>
      </c>
    </row>
    <row r="23" spans="1:63" ht="27" customHeight="1">
      <c r="A23" s="11">
        <f t="shared" si="11"/>
        <v>21</v>
      </c>
      <c r="B23" s="12" t="s">
        <v>344</v>
      </c>
      <c r="C23" s="93">
        <v>114</v>
      </c>
      <c r="D23" s="94" t="s">
        <v>345</v>
      </c>
      <c r="E23" s="69">
        <v>30336241</v>
      </c>
      <c r="F23" s="62" t="s">
        <v>346</v>
      </c>
      <c r="G23" s="63" t="s">
        <v>347</v>
      </c>
      <c r="H23" s="13" t="s">
        <v>348</v>
      </c>
      <c r="I23" s="14" t="s">
        <v>349</v>
      </c>
      <c r="J23" s="64" t="s">
        <v>173</v>
      </c>
      <c r="K23" s="65">
        <v>30211</v>
      </c>
      <c r="L23" s="77" t="s">
        <v>174</v>
      </c>
      <c r="M23" s="34">
        <v>41612</v>
      </c>
      <c r="N23" s="34"/>
      <c r="O23" s="15" t="s">
        <v>32</v>
      </c>
      <c r="P23" s="16" t="s">
        <v>268</v>
      </c>
      <c r="Q23" s="16" t="s">
        <v>176</v>
      </c>
      <c r="R23" s="15" t="s">
        <v>177</v>
      </c>
      <c r="S23" s="15" t="s">
        <v>223</v>
      </c>
      <c r="T23" s="20" t="s">
        <v>335</v>
      </c>
      <c r="U23" s="20" t="s">
        <v>350</v>
      </c>
      <c r="V23" s="19" t="s">
        <v>179</v>
      </c>
      <c r="W23" s="19" t="s">
        <v>179</v>
      </c>
      <c r="X23" s="15">
        <v>4</v>
      </c>
      <c r="Y23" s="61" t="s">
        <v>179</v>
      </c>
      <c r="Z23" s="19"/>
      <c r="AA23" s="70" t="s">
        <v>181</v>
      </c>
      <c r="AB23" s="43"/>
      <c r="AC23" s="19" t="s">
        <v>351</v>
      </c>
      <c r="AD23" s="92" t="s">
        <v>183</v>
      </c>
      <c r="AE23" s="92" t="s">
        <v>183</v>
      </c>
      <c r="AF23" s="73"/>
      <c r="AG23" s="92"/>
      <c r="AH23" s="43"/>
      <c r="AI23" s="43"/>
      <c r="AJ23" s="19" t="s">
        <v>185</v>
      </c>
      <c r="AK23" s="19" t="s">
        <v>185</v>
      </c>
      <c r="AL23" s="19" t="s">
        <v>198</v>
      </c>
      <c r="AM23" s="72" t="s">
        <v>352</v>
      </c>
      <c r="AN23" s="20">
        <v>182</v>
      </c>
      <c r="AO23" s="20">
        <v>7</v>
      </c>
      <c r="AP23" s="20">
        <v>0</v>
      </c>
      <c r="AQ23" s="20">
        <v>0</v>
      </c>
      <c r="AR23" s="20">
        <v>0</v>
      </c>
      <c r="AS23" s="20">
        <v>7</v>
      </c>
      <c r="AT23" s="20">
        <v>10</v>
      </c>
      <c r="AU23" s="300">
        <f t="shared" si="1"/>
        <v>206</v>
      </c>
      <c r="AV23" s="20">
        <v>190</v>
      </c>
      <c r="AW23" s="20">
        <v>7</v>
      </c>
      <c r="AX23" s="20">
        <v>0</v>
      </c>
      <c r="AY23" s="20">
        <v>0</v>
      </c>
      <c r="AZ23" s="20">
        <v>0</v>
      </c>
      <c r="BA23" s="20">
        <v>7</v>
      </c>
      <c r="BB23" s="20">
        <v>10</v>
      </c>
      <c r="BC23" s="300">
        <f t="shared" si="2"/>
        <v>214</v>
      </c>
      <c r="BD23" s="42">
        <f t="shared" si="3"/>
        <v>8</v>
      </c>
      <c r="BE23" s="42">
        <f t="shared" si="4"/>
        <v>0</v>
      </c>
      <c r="BF23" s="42">
        <f t="shared" si="5"/>
        <v>0</v>
      </c>
      <c r="BG23" s="42">
        <f t="shared" si="6"/>
        <v>0</v>
      </c>
      <c r="BH23" s="42">
        <f t="shared" si="7"/>
        <v>0</v>
      </c>
      <c r="BI23" s="42">
        <f t="shared" si="8"/>
        <v>0</v>
      </c>
      <c r="BJ23" s="42">
        <f t="shared" si="9"/>
        <v>0</v>
      </c>
      <c r="BK23" s="42">
        <f t="shared" si="10"/>
        <v>8</v>
      </c>
    </row>
    <row r="24" spans="1:63" ht="27" customHeight="1">
      <c r="A24" s="11">
        <f t="shared" si="11"/>
        <v>22</v>
      </c>
      <c r="B24" s="12" t="s">
        <v>353</v>
      </c>
      <c r="C24" s="8">
        <v>122</v>
      </c>
      <c r="D24" s="75" t="s">
        <v>354</v>
      </c>
      <c r="E24" s="69">
        <v>110187098</v>
      </c>
      <c r="F24" s="62" t="s">
        <v>355</v>
      </c>
      <c r="G24" s="63" t="s">
        <v>356</v>
      </c>
      <c r="H24" s="13" t="s">
        <v>357</v>
      </c>
      <c r="I24" s="14" t="s">
        <v>358</v>
      </c>
      <c r="J24" s="64" t="s">
        <v>173</v>
      </c>
      <c r="K24" s="65">
        <v>29957</v>
      </c>
      <c r="L24" s="77" t="s">
        <v>174</v>
      </c>
      <c r="M24" s="34">
        <v>41612</v>
      </c>
      <c r="N24" s="34"/>
      <c r="O24" s="15" t="s">
        <v>32</v>
      </c>
      <c r="P24" s="16" t="s">
        <v>268</v>
      </c>
      <c r="Q24" s="16" t="s">
        <v>176</v>
      </c>
      <c r="R24" s="15" t="s">
        <v>177</v>
      </c>
      <c r="S24" s="15" t="s">
        <v>223</v>
      </c>
      <c r="T24" s="20"/>
      <c r="U24" s="20"/>
      <c r="V24" s="19" t="s">
        <v>179</v>
      </c>
      <c r="W24" s="19" t="s">
        <v>179</v>
      </c>
      <c r="X24" s="15">
        <v>5</v>
      </c>
      <c r="Y24" s="61">
        <v>16916295</v>
      </c>
      <c r="Z24" s="19"/>
      <c r="AA24" s="70" t="s">
        <v>181</v>
      </c>
      <c r="AB24" s="43"/>
      <c r="AC24" s="19" t="s">
        <v>359</v>
      </c>
      <c r="AD24" s="92" t="s">
        <v>184</v>
      </c>
      <c r="AE24" s="92"/>
      <c r="AF24" s="73"/>
      <c r="AG24" s="92"/>
      <c r="AH24" s="43"/>
      <c r="AI24" s="43"/>
      <c r="AJ24" s="19" t="s">
        <v>185</v>
      </c>
      <c r="AK24" s="19" t="s">
        <v>185</v>
      </c>
      <c r="AL24" s="19" t="s">
        <v>198</v>
      </c>
      <c r="AM24" s="72" t="s">
        <v>352</v>
      </c>
      <c r="AN24" s="20">
        <v>182</v>
      </c>
      <c r="AO24" s="20">
        <v>7</v>
      </c>
      <c r="AP24" s="20">
        <v>0</v>
      </c>
      <c r="AQ24" s="20">
        <v>5</v>
      </c>
      <c r="AR24" s="20">
        <v>0</v>
      </c>
      <c r="AS24" s="20">
        <v>7</v>
      </c>
      <c r="AT24" s="20">
        <v>10</v>
      </c>
      <c r="AU24" s="300">
        <f t="shared" si="1"/>
        <v>211</v>
      </c>
      <c r="AV24" s="20">
        <v>190</v>
      </c>
      <c r="AW24" s="20">
        <v>7</v>
      </c>
      <c r="AX24" s="20">
        <v>0</v>
      </c>
      <c r="AY24" s="20">
        <v>5</v>
      </c>
      <c r="AZ24" s="20">
        <v>0</v>
      </c>
      <c r="BA24" s="20">
        <v>7</v>
      </c>
      <c r="BB24" s="20">
        <v>10</v>
      </c>
      <c r="BC24" s="300">
        <f t="shared" si="2"/>
        <v>219</v>
      </c>
      <c r="BD24" s="42">
        <f t="shared" si="3"/>
        <v>8</v>
      </c>
      <c r="BE24" s="42">
        <f t="shared" si="4"/>
        <v>0</v>
      </c>
      <c r="BF24" s="42">
        <f t="shared" si="5"/>
        <v>0</v>
      </c>
      <c r="BG24" s="42">
        <f t="shared" si="6"/>
        <v>0</v>
      </c>
      <c r="BH24" s="42">
        <f t="shared" si="7"/>
        <v>0</v>
      </c>
      <c r="BI24" s="42">
        <f t="shared" si="8"/>
        <v>0</v>
      </c>
      <c r="BJ24" s="42">
        <f t="shared" si="9"/>
        <v>0</v>
      </c>
      <c r="BK24" s="42">
        <f t="shared" si="10"/>
        <v>8</v>
      </c>
    </row>
    <row r="25" spans="1:63" ht="27" customHeight="1">
      <c r="A25" s="11">
        <f t="shared" si="11"/>
        <v>23</v>
      </c>
      <c r="B25" s="12" t="s">
        <v>360</v>
      </c>
      <c r="C25" s="8">
        <v>135</v>
      </c>
      <c r="D25" s="75" t="s">
        <v>361</v>
      </c>
      <c r="E25" s="69">
        <v>100496251</v>
      </c>
      <c r="F25" s="62" t="s">
        <v>362</v>
      </c>
      <c r="G25" s="63" t="s">
        <v>363</v>
      </c>
      <c r="H25" s="13" t="s">
        <v>364</v>
      </c>
      <c r="I25" s="14" t="s">
        <v>365</v>
      </c>
      <c r="J25" s="64" t="s">
        <v>173</v>
      </c>
      <c r="K25" s="65">
        <v>30780</v>
      </c>
      <c r="L25" s="77" t="s">
        <v>174</v>
      </c>
      <c r="M25" s="34">
        <v>41619</v>
      </c>
      <c r="N25" s="34"/>
      <c r="O25" s="15" t="s">
        <v>32</v>
      </c>
      <c r="P25" s="16" t="s">
        <v>268</v>
      </c>
      <c r="Q25" s="16" t="s">
        <v>176</v>
      </c>
      <c r="R25" s="97" t="s">
        <v>177</v>
      </c>
      <c r="S25" s="17" t="s">
        <v>251</v>
      </c>
      <c r="T25" s="89"/>
      <c r="U25" s="89"/>
      <c r="V25" s="85" t="s">
        <v>195</v>
      </c>
      <c r="W25" s="85" t="s">
        <v>179</v>
      </c>
      <c r="X25" s="97">
        <v>6</v>
      </c>
      <c r="Y25" s="98">
        <v>93994346</v>
      </c>
      <c r="Z25" s="85"/>
      <c r="AA25" s="95" t="s">
        <v>181</v>
      </c>
      <c r="AB25" s="85"/>
      <c r="AC25" s="85" t="s">
        <v>366</v>
      </c>
      <c r="AD25" s="86" t="s">
        <v>183</v>
      </c>
      <c r="AE25" s="86"/>
      <c r="AF25" s="96"/>
      <c r="AG25" s="86"/>
      <c r="AH25" s="84"/>
      <c r="AI25" s="84"/>
      <c r="AJ25" s="85" t="s">
        <v>185</v>
      </c>
      <c r="AK25" s="85" t="s">
        <v>185</v>
      </c>
      <c r="AL25" s="85" t="s">
        <v>198</v>
      </c>
      <c r="AM25" s="88" t="s">
        <v>367</v>
      </c>
      <c r="AN25" s="20">
        <v>182</v>
      </c>
      <c r="AO25" s="20">
        <v>7</v>
      </c>
      <c r="AP25" s="20">
        <v>0</v>
      </c>
      <c r="AQ25" s="20">
        <v>0</v>
      </c>
      <c r="AR25" s="20">
        <v>0</v>
      </c>
      <c r="AS25" s="20">
        <v>7</v>
      </c>
      <c r="AT25" s="20">
        <v>10</v>
      </c>
      <c r="AU25" s="300">
        <f t="shared" si="1"/>
        <v>206</v>
      </c>
      <c r="AV25" s="20">
        <v>190</v>
      </c>
      <c r="AW25" s="20">
        <v>7</v>
      </c>
      <c r="AX25" s="20">
        <v>0</v>
      </c>
      <c r="AY25" s="20">
        <v>0</v>
      </c>
      <c r="AZ25" s="20">
        <v>0</v>
      </c>
      <c r="BA25" s="20">
        <v>7</v>
      </c>
      <c r="BB25" s="20">
        <v>10</v>
      </c>
      <c r="BC25" s="300">
        <f t="shared" si="2"/>
        <v>214</v>
      </c>
      <c r="BD25" s="42">
        <f t="shared" si="3"/>
        <v>8</v>
      </c>
      <c r="BE25" s="42">
        <f t="shared" si="4"/>
        <v>0</v>
      </c>
      <c r="BF25" s="42">
        <f t="shared" si="5"/>
        <v>0</v>
      </c>
      <c r="BG25" s="42">
        <f t="shared" si="6"/>
        <v>0</v>
      </c>
      <c r="BH25" s="42">
        <f t="shared" si="7"/>
        <v>0</v>
      </c>
      <c r="BI25" s="42">
        <f t="shared" si="8"/>
        <v>0</v>
      </c>
      <c r="BJ25" s="42">
        <f t="shared" si="9"/>
        <v>0</v>
      </c>
      <c r="BK25" s="42">
        <f t="shared" si="10"/>
        <v>8</v>
      </c>
    </row>
    <row r="26" spans="1:63" ht="27" customHeight="1">
      <c r="A26" s="11">
        <f t="shared" si="11"/>
        <v>24</v>
      </c>
      <c r="B26" s="12" t="s">
        <v>368</v>
      </c>
      <c r="C26" s="8">
        <v>141</v>
      </c>
      <c r="D26" s="60" t="s">
        <v>369</v>
      </c>
      <c r="E26" s="61">
        <v>30019785</v>
      </c>
      <c r="F26" s="62" t="s">
        <v>370</v>
      </c>
      <c r="G26" s="63" t="s">
        <v>371</v>
      </c>
      <c r="H26" s="13" t="s">
        <v>372</v>
      </c>
      <c r="I26" s="14" t="s">
        <v>373</v>
      </c>
      <c r="J26" s="64" t="s">
        <v>173</v>
      </c>
      <c r="K26" s="65">
        <v>29235</v>
      </c>
      <c r="L26" s="66" t="s">
        <v>174</v>
      </c>
      <c r="M26" s="67">
        <v>41619</v>
      </c>
      <c r="N26" s="67"/>
      <c r="O26" s="15" t="s">
        <v>32</v>
      </c>
      <c r="P26" s="16" t="s">
        <v>343</v>
      </c>
      <c r="Q26" s="16" t="s">
        <v>176</v>
      </c>
      <c r="R26" s="15" t="s">
        <v>177</v>
      </c>
      <c r="S26" s="11" t="s">
        <v>305</v>
      </c>
      <c r="T26" s="20"/>
      <c r="U26" s="20"/>
      <c r="V26" s="19" t="s">
        <v>179</v>
      </c>
      <c r="W26" s="19" t="s">
        <v>179</v>
      </c>
      <c r="X26" s="15">
        <v>1</v>
      </c>
      <c r="Y26" s="61">
        <v>967279837</v>
      </c>
      <c r="Z26" s="70" t="s">
        <v>181</v>
      </c>
      <c r="AA26" s="19"/>
      <c r="AB26" s="19"/>
      <c r="AC26" s="99" t="s">
        <v>374</v>
      </c>
      <c r="AD26" s="99" t="s">
        <v>183</v>
      </c>
      <c r="AE26" s="92"/>
      <c r="AF26" s="73"/>
      <c r="AG26" s="92"/>
      <c r="AH26" s="43"/>
      <c r="AI26" s="43"/>
      <c r="AJ26" s="19" t="s">
        <v>185</v>
      </c>
      <c r="AK26" s="19" t="s">
        <v>185</v>
      </c>
      <c r="AL26" s="19" t="s">
        <v>198</v>
      </c>
      <c r="AM26" s="72" t="s">
        <v>199</v>
      </c>
      <c r="AN26" s="20">
        <v>182</v>
      </c>
      <c r="AO26" s="20">
        <v>7</v>
      </c>
      <c r="AP26" s="20">
        <v>0</v>
      </c>
      <c r="AQ26" s="20">
        <v>0</v>
      </c>
      <c r="AR26" s="20">
        <v>0</v>
      </c>
      <c r="AS26" s="20">
        <v>7</v>
      </c>
      <c r="AT26" s="20">
        <v>10</v>
      </c>
      <c r="AU26" s="300">
        <f t="shared" si="1"/>
        <v>206</v>
      </c>
      <c r="AV26" s="20">
        <v>190</v>
      </c>
      <c r="AW26" s="20">
        <v>7</v>
      </c>
      <c r="AX26" s="20">
        <v>0</v>
      </c>
      <c r="AY26" s="20">
        <v>0</v>
      </c>
      <c r="AZ26" s="20">
        <v>0</v>
      </c>
      <c r="BA26" s="20">
        <v>7</v>
      </c>
      <c r="BB26" s="20">
        <v>10</v>
      </c>
      <c r="BC26" s="300">
        <f t="shared" si="2"/>
        <v>214</v>
      </c>
      <c r="BD26" s="42">
        <f t="shared" si="3"/>
        <v>8</v>
      </c>
      <c r="BE26" s="42">
        <f t="shared" si="4"/>
        <v>0</v>
      </c>
      <c r="BF26" s="42">
        <f t="shared" si="5"/>
        <v>0</v>
      </c>
      <c r="BG26" s="42">
        <f t="shared" si="6"/>
        <v>0</v>
      </c>
      <c r="BH26" s="42">
        <f t="shared" si="7"/>
        <v>0</v>
      </c>
      <c r="BI26" s="42">
        <f t="shared" si="8"/>
        <v>0</v>
      </c>
      <c r="BJ26" s="42">
        <f t="shared" si="9"/>
        <v>0</v>
      </c>
      <c r="BK26" s="42">
        <f t="shared" si="10"/>
        <v>8</v>
      </c>
    </row>
    <row r="27" spans="1:63" ht="27" customHeight="1">
      <c r="A27" s="11">
        <f t="shared" si="11"/>
        <v>25</v>
      </c>
      <c r="B27" s="12" t="s">
        <v>375</v>
      </c>
      <c r="C27" s="8">
        <v>146</v>
      </c>
      <c r="D27" s="60" t="s">
        <v>376</v>
      </c>
      <c r="E27" s="61">
        <v>110107110</v>
      </c>
      <c r="F27" s="62" t="s">
        <v>377</v>
      </c>
      <c r="G27" s="63" t="s">
        <v>378</v>
      </c>
      <c r="H27" s="13" t="s">
        <v>379</v>
      </c>
      <c r="I27" s="14" t="s">
        <v>380</v>
      </c>
      <c r="J27" s="64" t="s">
        <v>173</v>
      </c>
      <c r="K27" s="22">
        <v>25950</v>
      </c>
      <c r="L27" s="66" t="s">
        <v>174</v>
      </c>
      <c r="M27" s="67">
        <v>41619</v>
      </c>
      <c r="N27" s="67"/>
      <c r="O27" s="15" t="s">
        <v>32</v>
      </c>
      <c r="P27" s="16" t="s">
        <v>381</v>
      </c>
      <c r="Q27" s="16" t="s">
        <v>176</v>
      </c>
      <c r="R27" s="17" t="s">
        <v>177</v>
      </c>
      <c r="S27" s="17" t="s">
        <v>223</v>
      </c>
      <c r="T27" s="18"/>
      <c r="U27" s="18"/>
      <c r="V27" s="19" t="s">
        <v>179</v>
      </c>
      <c r="W27" s="19" t="s">
        <v>179</v>
      </c>
      <c r="X27" s="15">
        <v>2</v>
      </c>
      <c r="Y27" s="61">
        <v>979425534</v>
      </c>
      <c r="Z27" s="19"/>
      <c r="AA27" s="70" t="s">
        <v>181</v>
      </c>
      <c r="AB27" s="19"/>
      <c r="AC27" s="19" t="s">
        <v>382</v>
      </c>
      <c r="AD27" s="92" t="s">
        <v>184</v>
      </c>
      <c r="AE27" s="92" t="s">
        <v>184</v>
      </c>
      <c r="AF27" s="73"/>
      <c r="AG27" s="92"/>
      <c r="AH27" s="43"/>
      <c r="AI27" s="43"/>
      <c r="AJ27" s="19" t="s">
        <v>185</v>
      </c>
      <c r="AK27" s="19" t="s">
        <v>185</v>
      </c>
      <c r="AL27" s="19" t="s">
        <v>198</v>
      </c>
      <c r="AM27" s="72" t="s">
        <v>383</v>
      </c>
      <c r="AN27" s="20">
        <v>182</v>
      </c>
      <c r="AO27" s="20">
        <v>7</v>
      </c>
      <c r="AP27" s="20">
        <v>0</v>
      </c>
      <c r="AQ27" s="20">
        <v>0</v>
      </c>
      <c r="AR27" s="20">
        <v>0</v>
      </c>
      <c r="AS27" s="20">
        <v>7</v>
      </c>
      <c r="AT27" s="20">
        <v>10</v>
      </c>
      <c r="AU27" s="300">
        <f t="shared" si="1"/>
        <v>206</v>
      </c>
      <c r="AV27" s="20">
        <v>190</v>
      </c>
      <c r="AW27" s="20">
        <v>7</v>
      </c>
      <c r="AX27" s="20">
        <v>0</v>
      </c>
      <c r="AY27" s="20">
        <v>0</v>
      </c>
      <c r="AZ27" s="20">
        <v>0</v>
      </c>
      <c r="BA27" s="20">
        <v>7</v>
      </c>
      <c r="BB27" s="20">
        <v>10</v>
      </c>
      <c r="BC27" s="300">
        <f t="shared" si="2"/>
        <v>214</v>
      </c>
      <c r="BD27" s="42">
        <f t="shared" si="3"/>
        <v>8</v>
      </c>
      <c r="BE27" s="42">
        <f t="shared" si="4"/>
        <v>0</v>
      </c>
      <c r="BF27" s="42">
        <f t="shared" si="5"/>
        <v>0</v>
      </c>
      <c r="BG27" s="42">
        <f t="shared" si="6"/>
        <v>0</v>
      </c>
      <c r="BH27" s="42">
        <f t="shared" si="7"/>
        <v>0</v>
      </c>
      <c r="BI27" s="42">
        <f t="shared" si="8"/>
        <v>0</v>
      </c>
      <c r="BJ27" s="42">
        <f t="shared" si="9"/>
        <v>0</v>
      </c>
      <c r="BK27" s="42">
        <f t="shared" si="10"/>
        <v>8</v>
      </c>
    </row>
    <row r="28" spans="1:63" ht="27" customHeight="1">
      <c r="A28" s="11">
        <f t="shared" si="11"/>
        <v>26</v>
      </c>
      <c r="B28" s="12" t="s">
        <v>384</v>
      </c>
      <c r="C28" s="8">
        <v>161</v>
      </c>
      <c r="D28" s="60" t="s">
        <v>385</v>
      </c>
      <c r="E28" s="61">
        <v>110460526</v>
      </c>
      <c r="F28" s="62" t="s">
        <v>386</v>
      </c>
      <c r="G28" s="63" t="s">
        <v>387</v>
      </c>
      <c r="H28" s="13" t="s">
        <v>388</v>
      </c>
      <c r="I28" s="14" t="s">
        <v>389</v>
      </c>
      <c r="J28" s="64" t="s">
        <v>173</v>
      </c>
      <c r="K28" s="22">
        <v>34710</v>
      </c>
      <c r="L28" s="66" t="s">
        <v>174</v>
      </c>
      <c r="M28" s="23">
        <v>41674</v>
      </c>
      <c r="N28" s="23"/>
      <c r="O28" s="15" t="s">
        <v>32</v>
      </c>
      <c r="P28" s="16" t="s">
        <v>343</v>
      </c>
      <c r="Q28" s="16" t="s">
        <v>176</v>
      </c>
      <c r="R28" s="17" t="s">
        <v>177</v>
      </c>
      <c r="S28" s="17" t="s">
        <v>223</v>
      </c>
      <c r="T28" s="18"/>
      <c r="U28" s="18"/>
      <c r="V28" s="100" t="s">
        <v>195</v>
      </c>
      <c r="W28" s="100">
        <v>878</v>
      </c>
      <c r="X28" s="101">
        <v>6</v>
      </c>
      <c r="Y28" s="102" t="s">
        <v>390</v>
      </c>
      <c r="Z28" s="70" t="s">
        <v>181</v>
      </c>
      <c r="AA28" s="19"/>
      <c r="AB28" s="19"/>
      <c r="AC28" s="19"/>
      <c r="AD28" s="92"/>
      <c r="AE28" s="92"/>
      <c r="AF28" s="73"/>
      <c r="AG28" s="92"/>
      <c r="AH28" s="43"/>
      <c r="AI28" s="43"/>
      <c r="AJ28" s="19" t="s">
        <v>185</v>
      </c>
      <c r="AK28" s="19" t="s">
        <v>185</v>
      </c>
      <c r="AL28" s="19" t="s">
        <v>198</v>
      </c>
      <c r="AM28" s="72" t="s">
        <v>199</v>
      </c>
      <c r="AN28" s="20">
        <v>182</v>
      </c>
      <c r="AO28" s="20">
        <v>6</v>
      </c>
      <c r="AP28" s="20">
        <v>0</v>
      </c>
      <c r="AQ28" s="20">
        <v>30</v>
      </c>
      <c r="AR28" s="20">
        <v>0</v>
      </c>
      <c r="AS28" s="20">
        <v>7</v>
      </c>
      <c r="AT28" s="20">
        <v>10</v>
      </c>
      <c r="AU28" s="300">
        <f t="shared" si="1"/>
        <v>235</v>
      </c>
      <c r="AV28" s="20">
        <v>190</v>
      </c>
      <c r="AW28" s="20">
        <v>6</v>
      </c>
      <c r="AX28" s="20">
        <v>0</v>
      </c>
      <c r="AY28" s="20">
        <v>30</v>
      </c>
      <c r="AZ28" s="20">
        <v>0</v>
      </c>
      <c r="BA28" s="20">
        <v>7</v>
      </c>
      <c r="BB28" s="20">
        <v>10</v>
      </c>
      <c r="BC28" s="300">
        <f t="shared" si="2"/>
        <v>243</v>
      </c>
      <c r="BD28" s="42">
        <f t="shared" si="3"/>
        <v>8</v>
      </c>
      <c r="BE28" s="42">
        <f t="shared" si="4"/>
        <v>0</v>
      </c>
      <c r="BF28" s="42">
        <f t="shared" si="5"/>
        <v>0</v>
      </c>
      <c r="BG28" s="42">
        <f t="shared" si="6"/>
        <v>0</v>
      </c>
      <c r="BH28" s="42">
        <f t="shared" si="7"/>
        <v>0</v>
      </c>
      <c r="BI28" s="42">
        <f t="shared" si="8"/>
        <v>0</v>
      </c>
      <c r="BJ28" s="42">
        <f t="shared" si="9"/>
        <v>0</v>
      </c>
      <c r="BK28" s="42">
        <f t="shared" si="10"/>
        <v>8</v>
      </c>
    </row>
    <row r="29" spans="1:63" ht="27" customHeight="1">
      <c r="A29" s="11">
        <f t="shared" si="11"/>
        <v>27</v>
      </c>
      <c r="B29" s="12" t="s">
        <v>391</v>
      </c>
      <c r="C29" s="8">
        <v>163</v>
      </c>
      <c r="D29" s="60" t="s">
        <v>392</v>
      </c>
      <c r="E29" s="61">
        <v>130103206</v>
      </c>
      <c r="F29" s="62" t="s">
        <v>393</v>
      </c>
      <c r="G29" s="63" t="s">
        <v>394</v>
      </c>
      <c r="H29" s="13" t="s">
        <v>395</v>
      </c>
      <c r="I29" s="14" t="s">
        <v>396</v>
      </c>
      <c r="J29" s="64" t="s">
        <v>173</v>
      </c>
      <c r="K29" s="22">
        <v>30297</v>
      </c>
      <c r="L29" s="66" t="s">
        <v>174</v>
      </c>
      <c r="M29" s="23">
        <v>41676</v>
      </c>
      <c r="N29" s="23"/>
      <c r="O29" s="15" t="s">
        <v>32</v>
      </c>
      <c r="P29" s="16" t="s">
        <v>397</v>
      </c>
      <c r="Q29" s="16" t="s">
        <v>176</v>
      </c>
      <c r="R29" s="17" t="s">
        <v>177</v>
      </c>
      <c r="S29" s="17" t="s">
        <v>223</v>
      </c>
      <c r="T29" s="18" t="s">
        <v>335</v>
      </c>
      <c r="U29" s="18" t="s">
        <v>398</v>
      </c>
      <c r="V29" s="100" t="s">
        <v>195</v>
      </c>
      <c r="W29" s="100" t="s">
        <v>179</v>
      </c>
      <c r="X29" s="101">
        <v>12</v>
      </c>
      <c r="Y29" s="102" t="s">
        <v>399</v>
      </c>
      <c r="Z29" s="19"/>
      <c r="AA29" s="70" t="s">
        <v>181</v>
      </c>
      <c r="AB29" s="19"/>
      <c r="AC29" s="19" t="s">
        <v>197</v>
      </c>
      <c r="AD29" s="92" t="s">
        <v>183</v>
      </c>
      <c r="AE29" s="92"/>
      <c r="AF29" s="73"/>
      <c r="AG29" s="92"/>
      <c r="AH29" s="43"/>
      <c r="AI29" s="43"/>
      <c r="AJ29" s="19" t="s">
        <v>185</v>
      </c>
      <c r="AK29" s="19" t="s">
        <v>185</v>
      </c>
      <c r="AL29" s="19" t="s">
        <v>198</v>
      </c>
      <c r="AM29" s="72" t="s">
        <v>352</v>
      </c>
      <c r="AN29" s="20">
        <v>182</v>
      </c>
      <c r="AO29" s="20">
        <v>6</v>
      </c>
      <c r="AP29" s="20">
        <v>0</v>
      </c>
      <c r="AQ29" s="20">
        <v>10</v>
      </c>
      <c r="AR29" s="20">
        <v>0</v>
      </c>
      <c r="AS29" s="20">
        <v>7</v>
      </c>
      <c r="AT29" s="20">
        <v>10</v>
      </c>
      <c r="AU29" s="300">
        <f t="shared" si="1"/>
        <v>215</v>
      </c>
      <c r="AV29" s="20">
        <v>190</v>
      </c>
      <c r="AW29" s="20">
        <v>6</v>
      </c>
      <c r="AX29" s="20">
        <v>0</v>
      </c>
      <c r="AY29" s="20">
        <v>10</v>
      </c>
      <c r="AZ29" s="20">
        <v>0</v>
      </c>
      <c r="BA29" s="20">
        <v>7</v>
      </c>
      <c r="BB29" s="20">
        <v>10</v>
      </c>
      <c r="BC29" s="300">
        <f t="shared" si="2"/>
        <v>223</v>
      </c>
      <c r="BD29" s="42">
        <f t="shared" si="3"/>
        <v>8</v>
      </c>
      <c r="BE29" s="42">
        <f t="shared" si="4"/>
        <v>0</v>
      </c>
      <c r="BF29" s="42">
        <f t="shared" si="5"/>
        <v>0</v>
      </c>
      <c r="BG29" s="42">
        <f t="shared" si="6"/>
        <v>0</v>
      </c>
      <c r="BH29" s="42">
        <f t="shared" si="7"/>
        <v>0</v>
      </c>
      <c r="BI29" s="42">
        <f t="shared" si="8"/>
        <v>0</v>
      </c>
      <c r="BJ29" s="42">
        <f t="shared" si="9"/>
        <v>0</v>
      </c>
      <c r="BK29" s="42">
        <f t="shared" si="10"/>
        <v>8</v>
      </c>
    </row>
    <row r="30" spans="1:63" ht="27" customHeight="1">
      <c r="A30" s="11">
        <f t="shared" si="11"/>
        <v>28</v>
      </c>
      <c r="B30" s="12" t="s">
        <v>400</v>
      </c>
      <c r="C30" s="8">
        <v>171</v>
      </c>
      <c r="D30" s="60" t="s">
        <v>401</v>
      </c>
      <c r="E30" s="61">
        <v>130086056</v>
      </c>
      <c r="F30" s="62" t="s">
        <v>402</v>
      </c>
      <c r="G30" s="63" t="s">
        <v>331</v>
      </c>
      <c r="H30" s="13" t="s">
        <v>403</v>
      </c>
      <c r="I30" s="14" t="s">
        <v>333</v>
      </c>
      <c r="J30" s="64" t="s">
        <v>173</v>
      </c>
      <c r="K30" s="22">
        <v>32617</v>
      </c>
      <c r="L30" s="66" t="s">
        <v>174</v>
      </c>
      <c r="M30" s="23">
        <v>41680</v>
      </c>
      <c r="N30" s="23"/>
      <c r="O30" s="15" t="s">
        <v>79</v>
      </c>
      <c r="P30" s="16" t="s">
        <v>101</v>
      </c>
      <c r="Q30" s="16" t="s">
        <v>176</v>
      </c>
      <c r="R30" s="17" t="s">
        <v>177</v>
      </c>
      <c r="S30" s="17" t="s">
        <v>251</v>
      </c>
      <c r="T30" s="18"/>
      <c r="U30" s="18"/>
      <c r="V30" s="19" t="s">
        <v>195</v>
      </c>
      <c r="W30" s="19">
        <v>1198</v>
      </c>
      <c r="X30" s="19" t="s">
        <v>404</v>
      </c>
      <c r="Y30" s="61">
        <v>10596057</v>
      </c>
      <c r="Z30" s="70" t="s">
        <v>181</v>
      </c>
      <c r="AA30" s="19"/>
      <c r="AB30" s="19"/>
      <c r="AC30" s="19"/>
      <c r="AD30" s="92"/>
      <c r="AE30" s="92"/>
      <c r="AF30" s="73"/>
      <c r="AG30" s="92"/>
      <c r="AH30" s="43"/>
      <c r="AI30" s="43"/>
      <c r="AJ30" s="19" t="s">
        <v>185</v>
      </c>
      <c r="AK30" s="19" t="s">
        <v>185</v>
      </c>
      <c r="AL30" s="19" t="s">
        <v>186</v>
      </c>
      <c r="AM30" s="72" t="s">
        <v>383</v>
      </c>
      <c r="AN30" s="20">
        <v>182</v>
      </c>
      <c r="AO30" s="20">
        <v>6</v>
      </c>
      <c r="AP30" s="20">
        <v>0</v>
      </c>
      <c r="AQ30" s="20">
        <v>118</v>
      </c>
      <c r="AR30" s="20">
        <v>20</v>
      </c>
      <c r="AS30" s="20">
        <v>7</v>
      </c>
      <c r="AT30" s="20">
        <v>10</v>
      </c>
      <c r="AU30" s="300">
        <f t="shared" si="1"/>
        <v>343</v>
      </c>
      <c r="AV30" s="20">
        <v>190</v>
      </c>
      <c r="AW30" s="20">
        <v>6</v>
      </c>
      <c r="AX30" s="20">
        <v>0</v>
      </c>
      <c r="AY30" s="20">
        <v>118</v>
      </c>
      <c r="AZ30" s="20">
        <v>20</v>
      </c>
      <c r="BA30" s="20">
        <v>7</v>
      </c>
      <c r="BB30" s="20">
        <v>10</v>
      </c>
      <c r="BC30" s="300">
        <f t="shared" si="2"/>
        <v>351</v>
      </c>
      <c r="BD30" s="42">
        <f t="shared" si="3"/>
        <v>8</v>
      </c>
      <c r="BE30" s="42">
        <f t="shared" si="4"/>
        <v>0</v>
      </c>
      <c r="BF30" s="42">
        <f t="shared" si="5"/>
        <v>0</v>
      </c>
      <c r="BG30" s="42">
        <f t="shared" si="6"/>
        <v>0</v>
      </c>
      <c r="BH30" s="42">
        <f t="shared" si="7"/>
        <v>0</v>
      </c>
      <c r="BI30" s="42">
        <f t="shared" si="8"/>
        <v>0</v>
      </c>
      <c r="BJ30" s="42">
        <f t="shared" si="9"/>
        <v>0</v>
      </c>
      <c r="BK30" s="42">
        <f t="shared" si="10"/>
        <v>8</v>
      </c>
    </row>
    <row r="31" spans="1:63" ht="27" customHeight="1">
      <c r="A31" s="11">
        <f t="shared" si="11"/>
        <v>29</v>
      </c>
      <c r="B31" s="12" t="s">
        <v>405</v>
      </c>
      <c r="C31" s="8">
        <v>176</v>
      </c>
      <c r="D31" s="60" t="s">
        <v>406</v>
      </c>
      <c r="E31" s="61">
        <v>100031265</v>
      </c>
      <c r="F31" s="62" t="s">
        <v>407</v>
      </c>
      <c r="G31" s="63" t="s">
        <v>408</v>
      </c>
      <c r="H31" s="13" t="s">
        <v>409</v>
      </c>
      <c r="I31" s="14" t="s">
        <v>410</v>
      </c>
      <c r="J31" s="64" t="s">
        <v>173</v>
      </c>
      <c r="K31" s="22">
        <v>29575</v>
      </c>
      <c r="L31" s="66" t="s">
        <v>174</v>
      </c>
      <c r="M31" s="23">
        <v>41683</v>
      </c>
      <c r="N31" s="23"/>
      <c r="O31" s="15" t="s">
        <v>32</v>
      </c>
      <c r="P31" s="16" t="s">
        <v>411</v>
      </c>
      <c r="Q31" s="16" t="s">
        <v>176</v>
      </c>
      <c r="R31" s="17" t="s">
        <v>177</v>
      </c>
      <c r="S31" s="17" t="s">
        <v>223</v>
      </c>
      <c r="T31" s="18"/>
      <c r="U31" s="18"/>
      <c r="V31" s="19" t="s">
        <v>179</v>
      </c>
      <c r="W31" s="19">
        <v>5692</v>
      </c>
      <c r="X31" s="19">
        <v>9</v>
      </c>
      <c r="Y31" s="61" t="s">
        <v>412</v>
      </c>
      <c r="Z31" s="19"/>
      <c r="AA31" s="19"/>
      <c r="AB31" s="70" t="s">
        <v>181</v>
      </c>
      <c r="AC31" s="19"/>
      <c r="AD31" s="92" t="s">
        <v>183</v>
      </c>
      <c r="AE31" s="92" t="s">
        <v>183</v>
      </c>
      <c r="AF31" s="73"/>
      <c r="AG31" s="92"/>
      <c r="AH31" s="43"/>
      <c r="AI31" s="43"/>
      <c r="AJ31" s="19" t="s">
        <v>185</v>
      </c>
      <c r="AK31" s="19" t="s">
        <v>185</v>
      </c>
      <c r="AL31" s="19" t="s">
        <v>186</v>
      </c>
      <c r="AM31" s="72" t="s">
        <v>352</v>
      </c>
      <c r="AN31" s="20">
        <v>182</v>
      </c>
      <c r="AO31" s="20">
        <v>6</v>
      </c>
      <c r="AP31" s="20">
        <v>0</v>
      </c>
      <c r="AQ31" s="20">
        <v>30</v>
      </c>
      <c r="AR31" s="20">
        <v>0</v>
      </c>
      <c r="AS31" s="20">
        <v>7</v>
      </c>
      <c r="AT31" s="20">
        <v>10</v>
      </c>
      <c r="AU31" s="300">
        <f t="shared" si="1"/>
        <v>235</v>
      </c>
      <c r="AV31" s="20">
        <v>190</v>
      </c>
      <c r="AW31" s="20">
        <v>6</v>
      </c>
      <c r="AX31" s="20">
        <v>0</v>
      </c>
      <c r="AY31" s="20">
        <v>30</v>
      </c>
      <c r="AZ31" s="20">
        <v>0</v>
      </c>
      <c r="BA31" s="20">
        <v>7</v>
      </c>
      <c r="BB31" s="20">
        <v>10</v>
      </c>
      <c r="BC31" s="300">
        <f t="shared" si="2"/>
        <v>243</v>
      </c>
      <c r="BD31" s="42">
        <f t="shared" si="3"/>
        <v>8</v>
      </c>
      <c r="BE31" s="42">
        <f t="shared" si="4"/>
        <v>0</v>
      </c>
      <c r="BF31" s="42">
        <f t="shared" si="5"/>
        <v>0</v>
      </c>
      <c r="BG31" s="42">
        <f t="shared" si="6"/>
        <v>0</v>
      </c>
      <c r="BH31" s="42">
        <f t="shared" si="7"/>
        <v>0</v>
      </c>
      <c r="BI31" s="42">
        <f t="shared" si="8"/>
        <v>0</v>
      </c>
      <c r="BJ31" s="42">
        <f t="shared" si="9"/>
        <v>0</v>
      </c>
      <c r="BK31" s="42">
        <f t="shared" si="10"/>
        <v>8</v>
      </c>
    </row>
    <row r="32" spans="1:63" ht="27" customHeight="1">
      <c r="A32" s="11">
        <f t="shared" si="11"/>
        <v>30</v>
      </c>
      <c r="B32" s="12" t="s">
        <v>413</v>
      </c>
      <c r="C32" s="8">
        <v>207</v>
      </c>
      <c r="D32" s="60" t="s">
        <v>414</v>
      </c>
      <c r="E32" s="61">
        <v>60102471</v>
      </c>
      <c r="F32" s="62" t="s">
        <v>415</v>
      </c>
      <c r="G32" s="63" t="s">
        <v>416</v>
      </c>
      <c r="H32" s="13" t="s">
        <v>417</v>
      </c>
      <c r="I32" s="14" t="s">
        <v>418</v>
      </c>
      <c r="J32" s="64" t="s">
        <v>173</v>
      </c>
      <c r="K32" s="22">
        <v>26883</v>
      </c>
      <c r="L32" s="66" t="s">
        <v>174</v>
      </c>
      <c r="M32" s="67">
        <v>41697</v>
      </c>
      <c r="N32" s="23"/>
      <c r="O32" s="15" t="s">
        <v>79</v>
      </c>
      <c r="P32" s="16" t="s">
        <v>194</v>
      </c>
      <c r="Q32" s="16" t="s">
        <v>176</v>
      </c>
      <c r="R32" s="15" t="s">
        <v>177</v>
      </c>
      <c r="S32" s="17" t="s">
        <v>178</v>
      </c>
      <c r="T32" s="20"/>
      <c r="U32" s="20" t="s">
        <v>419</v>
      </c>
      <c r="V32" s="19" t="s">
        <v>195</v>
      </c>
      <c r="W32" s="19">
        <v>5950</v>
      </c>
      <c r="X32" s="15">
        <v>5</v>
      </c>
      <c r="Y32" s="61" t="s">
        <v>179</v>
      </c>
      <c r="Z32" s="19"/>
      <c r="AA32" s="70" t="s">
        <v>181</v>
      </c>
      <c r="AB32" s="19"/>
      <c r="AC32" s="19" t="s">
        <v>420</v>
      </c>
      <c r="AD32" s="92" t="s">
        <v>183</v>
      </c>
      <c r="AE32" s="92" t="s">
        <v>183</v>
      </c>
      <c r="AF32" s="73" t="s">
        <v>183</v>
      </c>
      <c r="AG32" s="92"/>
      <c r="AH32" s="43"/>
      <c r="AI32" s="43"/>
      <c r="AJ32" s="19" t="s">
        <v>198</v>
      </c>
      <c r="AK32" s="19" t="s">
        <v>185</v>
      </c>
      <c r="AL32" s="19" t="s">
        <v>186</v>
      </c>
      <c r="AM32" s="72" t="s">
        <v>421</v>
      </c>
      <c r="AN32" s="20">
        <v>182</v>
      </c>
      <c r="AO32" s="20">
        <v>6</v>
      </c>
      <c r="AP32" s="20">
        <v>0</v>
      </c>
      <c r="AQ32" s="20">
        <v>50</v>
      </c>
      <c r="AR32" s="20">
        <v>0</v>
      </c>
      <c r="AS32" s="20">
        <v>7</v>
      </c>
      <c r="AT32" s="20">
        <v>10</v>
      </c>
      <c r="AU32" s="300">
        <f t="shared" si="1"/>
        <v>255</v>
      </c>
      <c r="AV32" s="20">
        <v>190</v>
      </c>
      <c r="AW32" s="20">
        <v>6</v>
      </c>
      <c r="AX32" s="20">
        <v>0</v>
      </c>
      <c r="AY32" s="20">
        <v>50</v>
      </c>
      <c r="AZ32" s="20">
        <v>0</v>
      </c>
      <c r="BA32" s="20">
        <v>7</v>
      </c>
      <c r="BB32" s="20">
        <v>10</v>
      </c>
      <c r="BC32" s="300">
        <f t="shared" si="2"/>
        <v>263</v>
      </c>
      <c r="BD32" s="42">
        <f t="shared" si="3"/>
        <v>8</v>
      </c>
      <c r="BE32" s="42">
        <f t="shared" si="4"/>
        <v>0</v>
      </c>
      <c r="BF32" s="42">
        <f t="shared" si="5"/>
        <v>0</v>
      </c>
      <c r="BG32" s="42">
        <f t="shared" si="6"/>
        <v>0</v>
      </c>
      <c r="BH32" s="42">
        <f t="shared" si="7"/>
        <v>0</v>
      </c>
      <c r="BI32" s="42">
        <f t="shared" si="8"/>
        <v>0</v>
      </c>
      <c r="BJ32" s="42">
        <f t="shared" si="9"/>
        <v>0</v>
      </c>
      <c r="BK32" s="42">
        <f t="shared" si="10"/>
        <v>8</v>
      </c>
    </row>
    <row r="33" spans="1:63" ht="27" customHeight="1">
      <c r="A33" s="11">
        <f t="shared" si="11"/>
        <v>31</v>
      </c>
      <c r="B33" s="12" t="s">
        <v>422</v>
      </c>
      <c r="C33" s="8">
        <v>224</v>
      </c>
      <c r="D33" s="60" t="s">
        <v>423</v>
      </c>
      <c r="E33" s="61">
        <v>170497766</v>
      </c>
      <c r="F33" s="62" t="s">
        <v>424</v>
      </c>
      <c r="G33" s="63" t="s">
        <v>425</v>
      </c>
      <c r="H33" s="13" t="s">
        <v>426</v>
      </c>
      <c r="I33" s="14" t="s">
        <v>427</v>
      </c>
      <c r="J33" s="64" t="s">
        <v>173</v>
      </c>
      <c r="K33" s="22">
        <v>28491</v>
      </c>
      <c r="L33" s="66" t="s">
        <v>174</v>
      </c>
      <c r="M33" s="23">
        <v>41702</v>
      </c>
      <c r="N33" s="23"/>
      <c r="O33" s="15" t="s">
        <v>32</v>
      </c>
      <c r="P33" s="16" t="s">
        <v>381</v>
      </c>
      <c r="Q33" s="16" t="s">
        <v>176</v>
      </c>
      <c r="R33" s="15" t="s">
        <v>177</v>
      </c>
      <c r="S33" s="11" t="s">
        <v>428</v>
      </c>
      <c r="T33" s="20"/>
      <c r="U33" s="20"/>
      <c r="V33" s="19" t="s">
        <v>195</v>
      </c>
      <c r="W33" s="19">
        <v>294</v>
      </c>
      <c r="X33" s="15">
        <v>4</v>
      </c>
      <c r="Y33" s="61">
        <v>16940748</v>
      </c>
      <c r="Z33" s="19"/>
      <c r="AA33" s="70" t="s">
        <v>181</v>
      </c>
      <c r="AB33" s="19"/>
      <c r="AC33" s="19" t="s">
        <v>133</v>
      </c>
      <c r="AD33" s="92" t="s">
        <v>183</v>
      </c>
      <c r="AE33" s="92" t="s">
        <v>183</v>
      </c>
      <c r="AF33" s="73"/>
      <c r="AG33" s="92"/>
      <c r="AH33" s="43"/>
      <c r="AI33" s="43"/>
      <c r="AJ33" s="19" t="s">
        <v>198</v>
      </c>
      <c r="AK33" s="19" t="s">
        <v>185</v>
      </c>
      <c r="AL33" s="19" t="s">
        <v>186</v>
      </c>
      <c r="AM33" s="72" t="s">
        <v>199</v>
      </c>
      <c r="AN33" s="20">
        <v>182</v>
      </c>
      <c r="AO33" s="20">
        <v>6</v>
      </c>
      <c r="AP33" s="20">
        <v>0</v>
      </c>
      <c r="AQ33" s="20">
        <v>0</v>
      </c>
      <c r="AR33" s="20">
        <v>0</v>
      </c>
      <c r="AS33" s="20">
        <v>7</v>
      </c>
      <c r="AT33" s="20">
        <v>10</v>
      </c>
      <c r="AU33" s="300">
        <f t="shared" si="1"/>
        <v>205</v>
      </c>
      <c r="AV33" s="20">
        <v>190</v>
      </c>
      <c r="AW33" s="20">
        <v>6</v>
      </c>
      <c r="AX33" s="20">
        <v>0</v>
      </c>
      <c r="AY33" s="20">
        <v>0</v>
      </c>
      <c r="AZ33" s="20">
        <v>0</v>
      </c>
      <c r="BA33" s="20">
        <v>7</v>
      </c>
      <c r="BB33" s="20">
        <v>10</v>
      </c>
      <c r="BC33" s="300">
        <f t="shared" si="2"/>
        <v>213</v>
      </c>
      <c r="BD33" s="42">
        <f t="shared" si="3"/>
        <v>8</v>
      </c>
      <c r="BE33" s="42">
        <f t="shared" si="4"/>
        <v>0</v>
      </c>
      <c r="BF33" s="42">
        <f t="shared" si="5"/>
        <v>0</v>
      </c>
      <c r="BG33" s="42">
        <f t="shared" si="6"/>
        <v>0</v>
      </c>
      <c r="BH33" s="42">
        <f t="shared" si="7"/>
        <v>0</v>
      </c>
      <c r="BI33" s="42">
        <f t="shared" si="8"/>
        <v>0</v>
      </c>
      <c r="BJ33" s="42">
        <f t="shared" si="9"/>
        <v>0</v>
      </c>
      <c r="BK33" s="42">
        <f t="shared" si="10"/>
        <v>8</v>
      </c>
    </row>
    <row r="34" spans="1:63" ht="27" customHeight="1">
      <c r="A34" s="11">
        <f t="shared" si="11"/>
        <v>32</v>
      </c>
      <c r="B34" s="12" t="s">
        <v>429</v>
      </c>
      <c r="C34" s="8">
        <v>226</v>
      </c>
      <c r="D34" s="60" t="s">
        <v>430</v>
      </c>
      <c r="E34" s="61">
        <v>100463196</v>
      </c>
      <c r="F34" s="62" t="s">
        <v>431</v>
      </c>
      <c r="G34" s="63" t="s">
        <v>408</v>
      </c>
      <c r="H34" s="13" t="s">
        <v>432</v>
      </c>
      <c r="I34" s="14" t="s">
        <v>433</v>
      </c>
      <c r="J34" s="64" t="s">
        <v>173</v>
      </c>
      <c r="K34" s="22">
        <v>30275</v>
      </c>
      <c r="L34" s="66" t="s">
        <v>174</v>
      </c>
      <c r="M34" s="23">
        <v>41702</v>
      </c>
      <c r="N34" s="23"/>
      <c r="O34" s="15" t="s">
        <v>32</v>
      </c>
      <c r="P34" s="16" t="s">
        <v>381</v>
      </c>
      <c r="Q34" s="16" t="s">
        <v>176</v>
      </c>
      <c r="R34" s="15" t="s">
        <v>177</v>
      </c>
      <c r="S34" s="17" t="s">
        <v>206</v>
      </c>
      <c r="T34" s="20"/>
      <c r="U34" s="20"/>
      <c r="V34" s="19" t="s">
        <v>195</v>
      </c>
      <c r="W34" s="19" t="s">
        <v>179</v>
      </c>
      <c r="X34" s="15">
        <v>9</v>
      </c>
      <c r="Y34" s="61">
        <v>77211850</v>
      </c>
      <c r="Z34" s="19"/>
      <c r="AA34" s="70" t="s">
        <v>181</v>
      </c>
      <c r="AB34" s="19"/>
      <c r="AC34" s="19" t="s">
        <v>434</v>
      </c>
      <c r="AD34" s="92" t="s">
        <v>183</v>
      </c>
      <c r="AE34" s="92" t="s">
        <v>183</v>
      </c>
      <c r="AF34" s="73"/>
      <c r="AG34" s="92"/>
      <c r="AH34" s="43"/>
      <c r="AI34" s="43"/>
      <c r="AJ34" s="19" t="s">
        <v>198</v>
      </c>
      <c r="AK34" s="19" t="s">
        <v>185</v>
      </c>
      <c r="AL34" s="19" t="s">
        <v>185</v>
      </c>
      <c r="AM34" s="72" t="s">
        <v>435</v>
      </c>
      <c r="AN34" s="20">
        <v>182</v>
      </c>
      <c r="AO34" s="20">
        <v>6</v>
      </c>
      <c r="AP34" s="20">
        <v>0</v>
      </c>
      <c r="AQ34" s="20">
        <v>0</v>
      </c>
      <c r="AR34" s="20">
        <v>0</v>
      </c>
      <c r="AS34" s="20">
        <v>7</v>
      </c>
      <c r="AT34" s="20">
        <v>10</v>
      </c>
      <c r="AU34" s="300">
        <f t="shared" si="1"/>
        <v>205</v>
      </c>
      <c r="AV34" s="20">
        <v>190</v>
      </c>
      <c r="AW34" s="20">
        <v>6</v>
      </c>
      <c r="AX34" s="20">
        <v>0</v>
      </c>
      <c r="AY34" s="20">
        <v>0</v>
      </c>
      <c r="AZ34" s="20">
        <v>0</v>
      </c>
      <c r="BA34" s="20">
        <v>7</v>
      </c>
      <c r="BB34" s="20">
        <v>10</v>
      </c>
      <c r="BC34" s="300">
        <f t="shared" si="2"/>
        <v>213</v>
      </c>
      <c r="BD34" s="42">
        <f t="shared" si="3"/>
        <v>8</v>
      </c>
      <c r="BE34" s="42">
        <f t="shared" si="4"/>
        <v>0</v>
      </c>
      <c r="BF34" s="42">
        <f t="shared" si="5"/>
        <v>0</v>
      </c>
      <c r="BG34" s="42">
        <f t="shared" si="6"/>
        <v>0</v>
      </c>
      <c r="BH34" s="42">
        <f t="shared" si="7"/>
        <v>0</v>
      </c>
      <c r="BI34" s="42">
        <f t="shared" si="8"/>
        <v>0</v>
      </c>
      <c r="BJ34" s="42">
        <f t="shared" si="9"/>
        <v>0</v>
      </c>
      <c r="BK34" s="42">
        <f t="shared" si="10"/>
        <v>8</v>
      </c>
    </row>
    <row r="35" spans="1:63" ht="27" customHeight="1">
      <c r="A35" s="11">
        <f t="shared" si="11"/>
        <v>33</v>
      </c>
      <c r="B35" s="12" t="s">
        <v>436</v>
      </c>
      <c r="C35" s="8">
        <v>244</v>
      </c>
      <c r="D35" s="103" t="s">
        <v>437</v>
      </c>
      <c r="E35" s="61">
        <v>100399310</v>
      </c>
      <c r="F35" s="62" t="s">
        <v>438</v>
      </c>
      <c r="G35" s="63" t="s">
        <v>439</v>
      </c>
      <c r="H35" s="13" t="s">
        <v>440</v>
      </c>
      <c r="I35" s="14" t="s">
        <v>441</v>
      </c>
      <c r="J35" s="64" t="s">
        <v>173</v>
      </c>
      <c r="K35" s="22">
        <v>31205</v>
      </c>
      <c r="L35" s="66" t="s">
        <v>174</v>
      </c>
      <c r="M35" s="23">
        <v>41716</v>
      </c>
      <c r="N35" s="23"/>
      <c r="O35" s="15" t="s">
        <v>32</v>
      </c>
      <c r="P35" s="16" t="s">
        <v>268</v>
      </c>
      <c r="Q35" s="16" t="s">
        <v>176</v>
      </c>
      <c r="R35" s="15" t="s">
        <v>177</v>
      </c>
      <c r="S35" s="17" t="s">
        <v>251</v>
      </c>
      <c r="T35" s="20" t="s">
        <v>335</v>
      </c>
      <c r="U35" s="20" t="s">
        <v>442</v>
      </c>
      <c r="V35" s="19" t="s">
        <v>195</v>
      </c>
      <c r="W35" s="19">
        <v>1619</v>
      </c>
      <c r="X35" s="15">
        <v>6</v>
      </c>
      <c r="Y35" s="61" t="s">
        <v>179</v>
      </c>
      <c r="Z35" s="19"/>
      <c r="AA35" s="70" t="s">
        <v>181</v>
      </c>
      <c r="AB35" s="19"/>
      <c r="AC35" s="19" t="s">
        <v>351</v>
      </c>
      <c r="AD35" s="92" t="s">
        <v>184</v>
      </c>
      <c r="AE35" s="92"/>
      <c r="AF35" s="73"/>
      <c r="AG35" s="92"/>
      <c r="AH35" s="43"/>
      <c r="AI35" s="43"/>
      <c r="AJ35" s="19" t="s">
        <v>198</v>
      </c>
      <c r="AK35" s="19" t="s">
        <v>185</v>
      </c>
      <c r="AL35" s="19" t="s">
        <v>186</v>
      </c>
      <c r="AM35" s="72" t="s">
        <v>199</v>
      </c>
      <c r="AN35" s="20">
        <v>182</v>
      </c>
      <c r="AO35" s="20">
        <v>6</v>
      </c>
      <c r="AP35" s="20">
        <v>0</v>
      </c>
      <c r="AQ35" s="20">
        <v>0</v>
      </c>
      <c r="AR35" s="20">
        <v>0</v>
      </c>
      <c r="AS35" s="20">
        <v>7</v>
      </c>
      <c r="AT35" s="20">
        <v>10</v>
      </c>
      <c r="AU35" s="300">
        <f t="shared" si="1"/>
        <v>205</v>
      </c>
      <c r="AV35" s="20">
        <v>190</v>
      </c>
      <c r="AW35" s="20">
        <v>6</v>
      </c>
      <c r="AX35" s="20">
        <v>0</v>
      </c>
      <c r="AY35" s="20">
        <v>0</v>
      </c>
      <c r="AZ35" s="20">
        <v>0</v>
      </c>
      <c r="BA35" s="20">
        <v>7</v>
      </c>
      <c r="BB35" s="20">
        <v>10</v>
      </c>
      <c r="BC35" s="300">
        <f t="shared" si="2"/>
        <v>213</v>
      </c>
      <c r="BD35" s="42">
        <f t="shared" si="3"/>
        <v>8</v>
      </c>
      <c r="BE35" s="42">
        <f t="shared" si="4"/>
        <v>0</v>
      </c>
      <c r="BF35" s="42">
        <f t="shared" si="5"/>
        <v>0</v>
      </c>
      <c r="BG35" s="42">
        <f t="shared" si="6"/>
        <v>0</v>
      </c>
      <c r="BH35" s="42">
        <f t="shared" si="7"/>
        <v>0</v>
      </c>
      <c r="BI35" s="42">
        <f t="shared" si="8"/>
        <v>0</v>
      </c>
      <c r="BJ35" s="42">
        <f t="shared" si="9"/>
        <v>0</v>
      </c>
      <c r="BK35" s="42">
        <f t="shared" si="10"/>
        <v>8</v>
      </c>
    </row>
    <row r="36" spans="1:63" ht="27" customHeight="1">
      <c r="A36" s="11">
        <f t="shared" si="11"/>
        <v>34</v>
      </c>
      <c r="B36" s="12" t="s">
        <v>443</v>
      </c>
      <c r="C36" s="8">
        <v>271</v>
      </c>
      <c r="D36" s="60" t="s">
        <v>444</v>
      </c>
      <c r="E36" s="61">
        <v>110052399</v>
      </c>
      <c r="F36" s="62" t="s">
        <v>445</v>
      </c>
      <c r="G36" s="63" t="s">
        <v>446</v>
      </c>
      <c r="H36" s="13" t="s">
        <v>447</v>
      </c>
      <c r="I36" s="14" t="s">
        <v>448</v>
      </c>
      <c r="J36" s="64" t="s">
        <v>173</v>
      </c>
      <c r="K36" s="22">
        <v>29064</v>
      </c>
      <c r="L36" s="66" t="s">
        <v>174</v>
      </c>
      <c r="M36" s="23">
        <v>41730</v>
      </c>
      <c r="N36" s="23"/>
      <c r="O36" s="15" t="s">
        <v>32</v>
      </c>
      <c r="P36" s="16" t="s">
        <v>304</v>
      </c>
      <c r="Q36" s="16" t="s">
        <v>176</v>
      </c>
      <c r="R36" s="15" t="s">
        <v>177</v>
      </c>
      <c r="S36" s="17" t="s">
        <v>251</v>
      </c>
      <c r="T36" s="20"/>
      <c r="U36" s="20"/>
      <c r="V36" s="19" t="s">
        <v>179</v>
      </c>
      <c r="W36" s="19">
        <v>6289</v>
      </c>
      <c r="X36" s="104">
        <v>9</v>
      </c>
      <c r="Y36" s="61">
        <v>978745810</v>
      </c>
      <c r="Z36" s="19"/>
      <c r="AA36" s="70" t="s">
        <v>181</v>
      </c>
      <c r="AB36" s="19"/>
      <c r="AC36" s="19" t="s">
        <v>420</v>
      </c>
      <c r="AD36" s="92" t="s">
        <v>183</v>
      </c>
      <c r="AE36" s="92" t="s">
        <v>183</v>
      </c>
      <c r="AF36" s="73" t="s">
        <v>183</v>
      </c>
      <c r="AG36" s="92" t="s">
        <v>183</v>
      </c>
      <c r="AH36" s="43"/>
      <c r="AI36" s="43"/>
      <c r="AJ36" s="19" t="s">
        <v>198</v>
      </c>
      <c r="AK36" s="19" t="s">
        <v>185</v>
      </c>
      <c r="AL36" s="19" t="s">
        <v>185</v>
      </c>
      <c r="AM36" s="72" t="s">
        <v>449</v>
      </c>
      <c r="AN36" s="20">
        <v>182</v>
      </c>
      <c r="AO36" s="20">
        <v>6</v>
      </c>
      <c r="AP36" s="20">
        <v>0</v>
      </c>
      <c r="AQ36" s="20">
        <v>0</v>
      </c>
      <c r="AR36" s="20">
        <v>0</v>
      </c>
      <c r="AS36" s="20">
        <v>7</v>
      </c>
      <c r="AT36" s="20">
        <v>10</v>
      </c>
      <c r="AU36" s="300">
        <f t="shared" si="1"/>
        <v>205</v>
      </c>
      <c r="AV36" s="20">
        <v>190</v>
      </c>
      <c r="AW36" s="20">
        <v>6</v>
      </c>
      <c r="AX36" s="20">
        <v>0</v>
      </c>
      <c r="AY36" s="20">
        <v>0</v>
      </c>
      <c r="AZ36" s="20">
        <v>0</v>
      </c>
      <c r="BA36" s="20">
        <v>7</v>
      </c>
      <c r="BB36" s="20">
        <v>10</v>
      </c>
      <c r="BC36" s="300">
        <f t="shared" si="2"/>
        <v>213</v>
      </c>
      <c r="BD36" s="42">
        <f t="shared" si="3"/>
        <v>8</v>
      </c>
      <c r="BE36" s="42">
        <f t="shared" si="4"/>
        <v>0</v>
      </c>
      <c r="BF36" s="42">
        <f t="shared" si="5"/>
        <v>0</v>
      </c>
      <c r="BG36" s="42">
        <f t="shared" si="6"/>
        <v>0</v>
      </c>
      <c r="BH36" s="42">
        <f t="shared" si="7"/>
        <v>0</v>
      </c>
      <c r="BI36" s="42">
        <f t="shared" si="8"/>
        <v>0</v>
      </c>
      <c r="BJ36" s="42">
        <f t="shared" si="9"/>
        <v>0</v>
      </c>
      <c r="BK36" s="42">
        <f t="shared" si="10"/>
        <v>8</v>
      </c>
    </row>
    <row r="37" spans="1:63" ht="27" customHeight="1">
      <c r="A37" s="11">
        <f t="shared" si="11"/>
        <v>35</v>
      </c>
      <c r="B37" s="12" t="s">
        <v>450</v>
      </c>
      <c r="C37" s="8">
        <v>283</v>
      </c>
      <c r="D37" s="60" t="s">
        <v>451</v>
      </c>
      <c r="E37" s="61">
        <v>130098925</v>
      </c>
      <c r="F37" s="62" t="s">
        <v>452</v>
      </c>
      <c r="G37" s="63" t="s">
        <v>453</v>
      </c>
      <c r="H37" s="13" t="s">
        <v>454</v>
      </c>
      <c r="I37" s="14" t="s">
        <v>455</v>
      </c>
      <c r="J37" s="64" t="s">
        <v>173</v>
      </c>
      <c r="K37" s="22">
        <v>34151</v>
      </c>
      <c r="L37" s="66" t="s">
        <v>174</v>
      </c>
      <c r="M37" s="67">
        <v>41750</v>
      </c>
      <c r="N37" s="23"/>
      <c r="O37" s="15" t="s">
        <v>32</v>
      </c>
      <c r="P37" s="16" t="s">
        <v>296</v>
      </c>
      <c r="Q37" s="16" t="s">
        <v>176</v>
      </c>
      <c r="R37" s="15" t="s">
        <v>177</v>
      </c>
      <c r="S37" s="15" t="s">
        <v>223</v>
      </c>
      <c r="T37" s="20" t="s">
        <v>335</v>
      </c>
      <c r="U37" s="105" t="s">
        <v>442</v>
      </c>
      <c r="V37" s="19" t="s">
        <v>195</v>
      </c>
      <c r="W37" s="19">
        <v>8893</v>
      </c>
      <c r="X37" s="104">
        <v>5</v>
      </c>
      <c r="Y37" s="61">
        <v>16386891</v>
      </c>
      <c r="Z37" s="70"/>
      <c r="AA37" s="70" t="s">
        <v>181</v>
      </c>
      <c r="AB37" s="19"/>
      <c r="AC37" s="19" t="s">
        <v>420</v>
      </c>
      <c r="AD37" s="92" t="s">
        <v>184</v>
      </c>
      <c r="AE37" s="92" t="s">
        <v>184</v>
      </c>
      <c r="AF37" s="73"/>
      <c r="AG37" s="92"/>
      <c r="AH37" s="43"/>
      <c r="AI37" s="43"/>
      <c r="AJ37" s="19" t="s">
        <v>198</v>
      </c>
      <c r="AK37" s="19" t="s">
        <v>185</v>
      </c>
      <c r="AL37" s="19" t="s">
        <v>185</v>
      </c>
      <c r="AM37" s="72" t="s">
        <v>456</v>
      </c>
      <c r="AN37" s="20">
        <v>182</v>
      </c>
      <c r="AO37" s="20">
        <v>6</v>
      </c>
      <c r="AP37" s="20">
        <v>0</v>
      </c>
      <c r="AQ37" s="20">
        <v>0</v>
      </c>
      <c r="AR37" s="20">
        <v>0</v>
      </c>
      <c r="AS37" s="20">
        <v>7</v>
      </c>
      <c r="AT37" s="20">
        <v>10</v>
      </c>
      <c r="AU37" s="300">
        <f t="shared" si="1"/>
        <v>205</v>
      </c>
      <c r="AV37" s="20">
        <v>190</v>
      </c>
      <c r="AW37" s="20">
        <v>6</v>
      </c>
      <c r="AX37" s="20">
        <v>0</v>
      </c>
      <c r="AY37" s="20">
        <v>0</v>
      </c>
      <c r="AZ37" s="20">
        <v>0</v>
      </c>
      <c r="BA37" s="20">
        <v>7</v>
      </c>
      <c r="BB37" s="20">
        <v>10</v>
      </c>
      <c r="BC37" s="300">
        <f t="shared" si="2"/>
        <v>213</v>
      </c>
      <c r="BD37" s="42">
        <f t="shared" si="3"/>
        <v>8</v>
      </c>
      <c r="BE37" s="42">
        <f t="shared" si="4"/>
        <v>0</v>
      </c>
      <c r="BF37" s="42">
        <f t="shared" si="5"/>
        <v>0</v>
      </c>
      <c r="BG37" s="42">
        <f t="shared" si="6"/>
        <v>0</v>
      </c>
      <c r="BH37" s="42">
        <f t="shared" si="7"/>
        <v>0</v>
      </c>
      <c r="BI37" s="42">
        <f t="shared" si="8"/>
        <v>0</v>
      </c>
      <c r="BJ37" s="42">
        <f t="shared" si="9"/>
        <v>0</v>
      </c>
      <c r="BK37" s="42">
        <f t="shared" si="10"/>
        <v>8</v>
      </c>
    </row>
    <row r="38" spans="1:63" ht="27" customHeight="1">
      <c r="A38" s="11">
        <f t="shared" si="11"/>
        <v>36</v>
      </c>
      <c r="B38" s="12" t="s">
        <v>457</v>
      </c>
      <c r="C38" s="8">
        <v>286</v>
      </c>
      <c r="D38" s="60" t="s">
        <v>458</v>
      </c>
      <c r="E38" s="61">
        <v>10381978</v>
      </c>
      <c r="F38" s="62" t="s">
        <v>459</v>
      </c>
      <c r="G38" s="63" t="s">
        <v>460</v>
      </c>
      <c r="H38" s="13" t="s">
        <v>461</v>
      </c>
      <c r="I38" s="14" t="s">
        <v>27</v>
      </c>
      <c r="J38" s="64" t="s">
        <v>173</v>
      </c>
      <c r="K38" s="22">
        <v>26674</v>
      </c>
      <c r="L38" s="66" t="s">
        <v>174</v>
      </c>
      <c r="M38" s="23">
        <v>41751</v>
      </c>
      <c r="N38" s="23"/>
      <c r="O38" s="15" t="s">
        <v>32</v>
      </c>
      <c r="P38" s="16" t="s">
        <v>296</v>
      </c>
      <c r="Q38" s="16" t="s">
        <v>176</v>
      </c>
      <c r="R38" s="15" t="s">
        <v>177</v>
      </c>
      <c r="S38" s="11" t="s">
        <v>214</v>
      </c>
      <c r="T38" s="20"/>
      <c r="U38" s="20"/>
      <c r="V38" s="19" t="s">
        <v>195</v>
      </c>
      <c r="W38" s="19">
        <v>10821</v>
      </c>
      <c r="X38" s="104">
        <v>4</v>
      </c>
      <c r="Y38" s="61">
        <v>973692355</v>
      </c>
      <c r="Z38" s="19"/>
      <c r="AA38" s="70" t="s">
        <v>181</v>
      </c>
      <c r="AB38" s="19"/>
      <c r="AC38" s="106" t="s">
        <v>462</v>
      </c>
      <c r="AD38" s="106" t="s">
        <v>463</v>
      </c>
      <c r="AE38" s="92"/>
      <c r="AF38" s="73"/>
      <c r="AG38" s="92"/>
      <c r="AH38" s="43"/>
      <c r="AI38" s="43"/>
      <c r="AJ38" s="19" t="s">
        <v>198</v>
      </c>
      <c r="AK38" s="19" t="s">
        <v>185</v>
      </c>
      <c r="AL38" s="19" t="s">
        <v>185</v>
      </c>
      <c r="AM38" s="107" t="s">
        <v>464</v>
      </c>
      <c r="AN38" s="20">
        <v>182</v>
      </c>
      <c r="AO38" s="20">
        <v>6</v>
      </c>
      <c r="AP38" s="20">
        <v>0</v>
      </c>
      <c r="AQ38" s="20">
        <v>0</v>
      </c>
      <c r="AR38" s="20">
        <v>0</v>
      </c>
      <c r="AS38" s="20">
        <v>7</v>
      </c>
      <c r="AT38" s="20">
        <v>10</v>
      </c>
      <c r="AU38" s="300">
        <f t="shared" si="1"/>
        <v>205</v>
      </c>
      <c r="AV38" s="20">
        <v>190</v>
      </c>
      <c r="AW38" s="20">
        <v>6</v>
      </c>
      <c r="AX38" s="20">
        <v>0</v>
      </c>
      <c r="AY38" s="20">
        <v>0</v>
      </c>
      <c r="AZ38" s="20">
        <v>0</v>
      </c>
      <c r="BA38" s="20">
        <v>7</v>
      </c>
      <c r="BB38" s="20">
        <v>10</v>
      </c>
      <c r="BC38" s="300">
        <f t="shared" si="2"/>
        <v>213</v>
      </c>
      <c r="BD38" s="42">
        <f t="shared" si="3"/>
        <v>8</v>
      </c>
      <c r="BE38" s="42">
        <f t="shared" si="4"/>
        <v>0</v>
      </c>
      <c r="BF38" s="42">
        <f t="shared" si="5"/>
        <v>0</v>
      </c>
      <c r="BG38" s="42">
        <f t="shared" si="6"/>
        <v>0</v>
      </c>
      <c r="BH38" s="42">
        <f t="shared" si="7"/>
        <v>0</v>
      </c>
      <c r="BI38" s="42">
        <f t="shared" si="8"/>
        <v>0</v>
      </c>
      <c r="BJ38" s="42">
        <f t="shared" si="9"/>
        <v>0</v>
      </c>
      <c r="BK38" s="42">
        <f t="shared" si="10"/>
        <v>8</v>
      </c>
    </row>
    <row r="39" spans="1:63" ht="27" customHeight="1">
      <c r="A39" s="11">
        <f t="shared" si="11"/>
        <v>37</v>
      </c>
      <c r="B39" s="12" t="s">
        <v>465</v>
      </c>
      <c r="C39" s="8">
        <v>298</v>
      </c>
      <c r="D39" s="60" t="s">
        <v>466</v>
      </c>
      <c r="E39" s="61">
        <v>130009707</v>
      </c>
      <c r="F39" s="62" t="s">
        <v>467</v>
      </c>
      <c r="G39" s="63" t="s">
        <v>468</v>
      </c>
      <c r="H39" s="13" t="s">
        <v>469</v>
      </c>
      <c r="I39" s="14" t="s">
        <v>470</v>
      </c>
      <c r="J39" s="64" t="s">
        <v>173</v>
      </c>
      <c r="K39" s="22">
        <v>26830</v>
      </c>
      <c r="L39" s="66" t="s">
        <v>174</v>
      </c>
      <c r="M39" s="23">
        <v>41752</v>
      </c>
      <c r="N39" s="23"/>
      <c r="O39" s="15" t="s">
        <v>32</v>
      </c>
      <c r="P39" s="16" t="s">
        <v>296</v>
      </c>
      <c r="Q39" s="16" t="s">
        <v>176</v>
      </c>
      <c r="R39" s="15" t="s">
        <v>177</v>
      </c>
      <c r="S39" s="11" t="s">
        <v>214</v>
      </c>
      <c r="T39" s="20"/>
      <c r="U39" s="20"/>
      <c r="V39" s="19" t="s">
        <v>195</v>
      </c>
      <c r="W39" s="19" t="s">
        <v>179</v>
      </c>
      <c r="X39" s="104">
        <v>7</v>
      </c>
      <c r="Y39" s="61" t="s">
        <v>179</v>
      </c>
      <c r="Z39" s="19"/>
      <c r="AA39" s="70" t="s">
        <v>181</v>
      </c>
      <c r="AB39" s="19"/>
      <c r="AC39" s="106" t="s">
        <v>471</v>
      </c>
      <c r="AD39" s="106" t="s">
        <v>472</v>
      </c>
      <c r="AE39" s="106" t="s">
        <v>472</v>
      </c>
      <c r="AF39" s="73"/>
      <c r="AG39" s="92"/>
      <c r="AH39" s="43"/>
      <c r="AI39" s="43"/>
      <c r="AJ39" s="19" t="s">
        <v>198</v>
      </c>
      <c r="AK39" s="19" t="s">
        <v>185</v>
      </c>
      <c r="AL39" s="19" t="s">
        <v>185</v>
      </c>
      <c r="AM39" s="107" t="s">
        <v>473</v>
      </c>
      <c r="AN39" s="20">
        <v>182</v>
      </c>
      <c r="AO39" s="20">
        <v>6</v>
      </c>
      <c r="AP39" s="20">
        <v>0</v>
      </c>
      <c r="AQ39" s="20">
        <v>0</v>
      </c>
      <c r="AR39" s="20">
        <v>0</v>
      </c>
      <c r="AS39" s="20">
        <v>7</v>
      </c>
      <c r="AT39" s="20">
        <v>10</v>
      </c>
      <c r="AU39" s="300">
        <f t="shared" si="1"/>
        <v>205</v>
      </c>
      <c r="AV39" s="20">
        <v>190</v>
      </c>
      <c r="AW39" s="20">
        <v>6</v>
      </c>
      <c r="AX39" s="20">
        <v>0</v>
      </c>
      <c r="AY39" s="20">
        <v>0</v>
      </c>
      <c r="AZ39" s="20">
        <v>0</v>
      </c>
      <c r="BA39" s="20">
        <v>7</v>
      </c>
      <c r="BB39" s="20">
        <v>10</v>
      </c>
      <c r="BC39" s="300">
        <f t="shared" si="2"/>
        <v>213</v>
      </c>
      <c r="BD39" s="42">
        <f t="shared" si="3"/>
        <v>8</v>
      </c>
      <c r="BE39" s="42">
        <f t="shared" si="4"/>
        <v>0</v>
      </c>
      <c r="BF39" s="42">
        <f t="shared" si="5"/>
        <v>0</v>
      </c>
      <c r="BG39" s="42">
        <f t="shared" si="6"/>
        <v>0</v>
      </c>
      <c r="BH39" s="42">
        <f t="shared" si="7"/>
        <v>0</v>
      </c>
      <c r="BI39" s="42">
        <f t="shared" si="8"/>
        <v>0</v>
      </c>
      <c r="BJ39" s="42">
        <f t="shared" si="9"/>
        <v>0</v>
      </c>
      <c r="BK39" s="42">
        <f t="shared" si="10"/>
        <v>8</v>
      </c>
    </row>
    <row r="40" spans="1:63" ht="27" customHeight="1">
      <c r="A40" s="11">
        <f t="shared" si="11"/>
        <v>38</v>
      </c>
      <c r="B40" s="12" t="s">
        <v>474</v>
      </c>
      <c r="C40" s="8">
        <v>312</v>
      </c>
      <c r="D40" s="60" t="s">
        <v>475</v>
      </c>
      <c r="E40" s="61">
        <v>110297078</v>
      </c>
      <c r="F40" s="62" t="s">
        <v>476</v>
      </c>
      <c r="G40" s="63" t="s">
        <v>477</v>
      </c>
      <c r="H40" s="13" t="s">
        <v>478</v>
      </c>
      <c r="I40" s="14" t="s">
        <v>479</v>
      </c>
      <c r="J40" s="64" t="s">
        <v>173</v>
      </c>
      <c r="K40" s="22">
        <v>30906</v>
      </c>
      <c r="L40" s="66" t="s">
        <v>174</v>
      </c>
      <c r="M40" s="23">
        <v>41754</v>
      </c>
      <c r="N40" s="23"/>
      <c r="O40" s="15" t="s">
        <v>32</v>
      </c>
      <c r="P40" s="16" t="s">
        <v>296</v>
      </c>
      <c r="Q40" s="16" t="s">
        <v>176</v>
      </c>
      <c r="R40" s="15" t="s">
        <v>177</v>
      </c>
      <c r="S40" s="11" t="s">
        <v>223</v>
      </c>
      <c r="T40" s="20"/>
      <c r="U40" s="20"/>
      <c r="V40" s="19" t="s">
        <v>195</v>
      </c>
      <c r="W40" s="19" t="s">
        <v>179</v>
      </c>
      <c r="X40" s="104">
        <v>7</v>
      </c>
      <c r="Y40" s="61" t="s">
        <v>179</v>
      </c>
      <c r="Z40" s="19"/>
      <c r="AA40" s="70" t="s">
        <v>181</v>
      </c>
      <c r="AB40" s="19"/>
      <c r="AC40" s="106" t="s">
        <v>471</v>
      </c>
      <c r="AD40" s="106" t="s">
        <v>472</v>
      </c>
      <c r="AE40" s="106" t="s">
        <v>463</v>
      </c>
      <c r="AF40" s="108"/>
      <c r="AG40" s="92"/>
      <c r="AH40" s="43"/>
      <c r="AI40" s="43"/>
      <c r="AJ40" s="19" t="s">
        <v>198</v>
      </c>
      <c r="AK40" s="19" t="s">
        <v>185</v>
      </c>
      <c r="AL40" s="19" t="s">
        <v>186</v>
      </c>
      <c r="AM40" s="107" t="s">
        <v>480</v>
      </c>
      <c r="AN40" s="20">
        <v>182</v>
      </c>
      <c r="AO40" s="20">
        <v>6</v>
      </c>
      <c r="AP40" s="20">
        <v>0</v>
      </c>
      <c r="AQ40" s="20">
        <v>0</v>
      </c>
      <c r="AR40" s="20">
        <v>0</v>
      </c>
      <c r="AS40" s="20">
        <v>7</v>
      </c>
      <c r="AT40" s="20">
        <v>10</v>
      </c>
      <c r="AU40" s="300">
        <f t="shared" si="1"/>
        <v>205</v>
      </c>
      <c r="AV40" s="20">
        <v>190</v>
      </c>
      <c r="AW40" s="20">
        <v>6</v>
      </c>
      <c r="AX40" s="20">
        <v>0</v>
      </c>
      <c r="AY40" s="20">
        <v>0</v>
      </c>
      <c r="AZ40" s="20">
        <v>0</v>
      </c>
      <c r="BA40" s="20">
        <v>7</v>
      </c>
      <c r="BB40" s="20">
        <v>10</v>
      </c>
      <c r="BC40" s="300">
        <f t="shared" si="2"/>
        <v>213</v>
      </c>
      <c r="BD40" s="42">
        <f t="shared" si="3"/>
        <v>8</v>
      </c>
      <c r="BE40" s="42">
        <f t="shared" si="4"/>
        <v>0</v>
      </c>
      <c r="BF40" s="42">
        <f t="shared" si="5"/>
        <v>0</v>
      </c>
      <c r="BG40" s="42">
        <f t="shared" si="6"/>
        <v>0</v>
      </c>
      <c r="BH40" s="42">
        <f t="shared" si="7"/>
        <v>0</v>
      </c>
      <c r="BI40" s="42">
        <f t="shared" si="8"/>
        <v>0</v>
      </c>
      <c r="BJ40" s="42">
        <f t="shared" si="9"/>
        <v>0</v>
      </c>
      <c r="BK40" s="42">
        <f t="shared" si="10"/>
        <v>8</v>
      </c>
    </row>
    <row r="41" spans="1:63" ht="27" customHeight="1">
      <c r="A41" s="11">
        <f t="shared" si="11"/>
        <v>39</v>
      </c>
      <c r="B41" s="109" t="s">
        <v>481</v>
      </c>
      <c r="C41" s="109">
        <v>316</v>
      </c>
      <c r="D41" s="110" t="s">
        <v>482</v>
      </c>
      <c r="E41" s="111">
        <v>20978102</v>
      </c>
      <c r="F41" s="112" t="s">
        <v>483</v>
      </c>
      <c r="G41" s="113" t="s">
        <v>484</v>
      </c>
      <c r="H41" s="114" t="s">
        <v>97</v>
      </c>
      <c r="I41" s="115" t="s">
        <v>98</v>
      </c>
      <c r="J41" s="116" t="s">
        <v>173</v>
      </c>
      <c r="K41" s="117">
        <v>34981</v>
      </c>
      <c r="L41" s="118" t="s">
        <v>174</v>
      </c>
      <c r="M41" s="119">
        <v>41755</v>
      </c>
      <c r="N41" s="119"/>
      <c r="O41" s="120" t="s">
        <v>32</v>
      </c>
      <c r="P41" s="16" t="s">
        <v>80</v>
      </c>
      <c r="Q41" s="16" t="s">
        <v>176</v>
      </c>
      <c r="R41" s="120" t="s">
        <v>177</v>
      </c>
      <c r="S41" s="121" t="s">
        <v>326</v>
      </c>
      <c r="T41" s="122"/>
      <c r="U41" s="122"/>
      <c r="V41" s="123" t="s">
        <v>195</v>
      </c>
      <c r="W41" s="123">
        <v>233</v>
      </c>
      <c r="X41" s="124">
        <v>9</v>
      </c>
      <c r="Y41" s="111" t="s">
        <v>179</v>
      </c>
      <c r="Z41" s="125" t="s">
        <v>181</v>
      </c>
      <c r="AA41" s="123"/>
      <c r="AB41" s="123"/>
      <c r="AC41" s="123"/>
      <c r="AD41" s="126"/>
      <c r="AE41" s="126"/>
      <c r="AF41" s="127"/>
      <c r="AG41" s="126"/>
      <c r="AH41" s="128"/>
      <c r="AI41" s="128"/>
      <c r="AJ41" s="123" t="s">
        <v>198</v>
      </c>
      <c r="AK41" s="123" t="s">
        <v>185</v>
      </c>
      <c r="AL41" s="123" t="s">
        <v>186</v>
      </c>
      <c r="AM41" s="129" t="s">
        <v>485</v>
      </c>
      <c r="AN41" s="20">
        <v>182</v>
      </c>
      <c r="AO41" s="20">
        <v>6</v>
      </c>
      <c r="AP41" s="20">
        <v>0</v>
      </c>
      <c r="AQ41" s="20">
        <v>0</v>
      </c>
      <c r="AR41" s="20">
        <v>0</v>
      </c>
      <c r="AS41" s="20">
        <v>7</v>
      </c>
      <c r="AT41" s="20">
        <v>10</v>
      </c>
      <c r="AU41" s="300">
        <f t="shared" si="1"/>
        <v>205</v>
      </c>
      <c r="AV41" s="20">
        <v>190</v>
      </c>
      <c r="AW41" s="20">
        <v>6</v>
      </c>
      <c r="AX41" s="20">
        <v>0</v>
      </c>
      <c r="AY41" s="20">
        <v>0</v>
      </c>
      <c r="AZ41" s="20">
        <v>0</v>
      </c>
      <c r="BA41" s="20">
        <v>7</v>
      </c>
      <c r="BB41" s="20">
        <v>10</v>
      </c>
      <c r="BC41" s="300">
        <f t="shared" si="2"/>
        <v>213</v>
      </c>
      <c r="BD41" s="42">
        <f t="shared" si="3"/>
        <v>8</v>
      </c>
      <c r="BE41" s="42">
        <f t="shared" si="4"/>
        <v>0</v>
      </c>
      <c r="BF41" s="42">
        <f t="shared" si="5"/>
        <v>0</v>
      </c>
      <c r="BG41" s="42">
        <f t="shared" si="6"/>
        <v>0</v>
      </c>
      <c r="BH41" s="42">
        <f t="shared" si="7"/>
        <v>0</v>
      </c>
      <c r="BI41" s="42">
        <f t="shared" si="8"/>
        <v>0</v>
      </c>
      <c r="BJ41" s="42">
        <f t="shared" si="9"/>
        <v>0</v>
      </c>
      <c r="BK41" s="42">
        <f t="shared" si="10"/>
        <v>8</v>
      </c>
    </row>
    <row r="42" spans="1:63" ht="27" customHeight="1">
      <c r="A42" s="11">
        <f t="shared" si="11"/>
        <v>40</v>
      </c>
      <c r="B42" s="12" t="s">
        <v>486</v>
      </c>
      <c r="C42" s="8">
        <v>326</v>
      </c>
      <c r="D42" s="60" t="s">
        <v>487</v>
      </c>
      <c r="E42" s="61">
        <v>100371154</v>
      </c>
      <c r="F42" s="62" t="s">
        <v>488</v>
      </c>
      <c r="G42" s="63" t="s">
        <v>489</v>
      </c>
      <c r="H42" s="13" t="s">
        <v>490</v>
      </c>
      <c r="I42" s="14" t="s">
        <v>491</v>
      </c>
      <c r="J42" s="64" t="s">
        <v>173</v>
      </c>
      <c r="K42" s="22">
        <v>30929</v>
      </c>
      <c r="L42" s="66" t="s">
        <v>174</v>
      </c>
      <c r="M42" s="67">
        <v>41762</v>
      </c>
      <c r="N42" s="23"/>
      <c r="O42" s="15" t="s">
        <v>32</v>
      </c>
      <c r="P42" s="16" t="s">
        <v>343</v>
      </c>
      <c r="Q42" s="16" t="s">
        <v>176</v>
      </c>
      <c r="R42" s="17" t="s">
        <v>177</v>
      </c>
      <c r="S42" s="17" t="s">
        <v>251</v>
      </c>
      <c r="T42" s="18"/>
      <c r="U42" s="18"/>
      <c r="V42" s="68" t="s">
        <v>195</v>
      </c>
      <c r="W42" s="68">
        <v>2872</v>
      </c>
      <c r="X42" s="130">
        <v>6</v>
      </c>
      <c r="Y42" s="69" t="s">
        <v>179</v>
      </c>
      <c r="Z42" s="68"/>
      <c r="AA42" s="78" t="s">
        <v>181</v>
      </c>
      <c r="AB42" s="19"/>
      <c r="AC42" s="106" t="s">
        <v>492</v>
      </c>
      <c r="AD42" s="106" t="s">
        <v>472</v>
      </c>
      <c r="AE42" s="106" t="s">
        <v>472</v>
      </c>
      <c r="AF42" s="108"/>
      <c r="AG42" s="92"/>
      <c r="AH42" s="43"/>
      <c r="AI42" s="43"/>
      <c r="AJ42" s="19" t="s">
        <v>198</v>
      </c>
      <c r="AK42" s="19" t="s">
        <v>185</v>
      </c>
      <c r="AL42" s="19" t="s">
        <v>186</v>
      </c>
      <c r="AM42" s="107" t="s">
        <v>480</v>
      </c>
      <c r="AN42" s="20">
        <v>182</v>
      </c>
      <c r="AO42" s="20">
        <v>6</v>
      </c>
      <c r="AP42" s="20">
        <v>0</v>
      </c>
      <c r="AQ42" s="20">
        <v>0</v>
      </c>
      <c r="AR42" s="20">
        <v>0</v>
      </c>
      <c r="AS42" s="20">
        <v>7</v>
      </c>
      <c r="AT42" s="20">
        <v>10</v>
      </c>
      <c r="AU42" s="300">
        <f t="shared" si="1"/>
        <v>205</v>
      </c>
      <c r="AV42" s="20">
        <v>190</v>
      </c>
      <c r="AW42" s="20">
        <v>6</v>
      </c>
      <c r="AX42" s="20">
        <v>0</v>
      </c>
      <c r="AY42" s="20">
        <v>0</v>
      </c>
      <c r="AZ42" s="20">
        <v>0</v>
      </c>
      <c r="BA42" s="20">
        <v>7</v>
      </c>
      <c r="BB42" s="20">
        <v>10</v>
      </c>
      <c r="BC42" s="300">
        <f t="shared" si="2"/>
        <v>213</v>
      </c>
      <c r="BD42" s="42">
        <f t="shared" si="3"/>
        <v>8</v>
      </c>
      <c r="BE42" s="42">
        <f t="shared" si="4"/>
        <v>0</v>
      </c>
      <c r="BF42" s="42">
        <f t="shared" si="5"/>
        <v>0</v>
      </c>
      <c r="BG42" s="42">
        <f t="shared" si="6"/>
        <v>0</v>
      </c>
      <c r="BH42" s="42">
        <f t="shared" si="7"/>
        <v>0</v>
      </c>
      <c r="BI42" s="42">
        <f t="shared" si="8"/>
        <v>0</v>
      </c>
      <c r="BJ42" s="42">
        <f t="shared" si="9"/>
        <v>0</v>
      </c>
      <c r="BK42" s="42">
        <f t="shared" si="10"/>
        <v>8</v>
      </c>
    </row>
    <row r="43" spans="1:63" ht="27" customHeight="1">
      <c r="A43" s="11">
        <f t="shared" si="11"/>
        <v>41</v>
      </c>
      <c r="B43" s="12" t="s">
        <v>493</v>
      </c>
      <c r="C43" s="8">
        <v>355</v>
      </c>
      <c r="D43" s="60" t="s">
        <v>494</v>
      </c>
      <c r="E43" s="61">
        <v>70012129</v>
      </c>
      <c r="F43" s="62" t="s">
        <v>495</v>
      </c>
      <c r="G43" s="63" t="s">
        <v>496</v>
      </c>
      <c r="H43" s="13" t="s">
        <v>284</v>
      </c>
      <c r="I43" s="14" t="s">
        <v>497</v>
      </c>
      <c r="J43" s="64" t="s">
        <v>173</v>
      </c>
      <c r="K43" s="22">
        <v>29707</v>
      </c>
      <c r="L43" s="66" t="s">
        <v>174</v>
      </c>
      <c r="M43" s="23">
        <v>41765</v>
      </c>
      <c r="N43" s="23"/>
      <c r="O43" s="15" t="s">
        <v>32</v>
      </c>
      <c r="P43" s="16" t="s">
        <v>334</v>
      </c>
      <c r="Q43" s="16" t="s">
        <v>176</v>
      </c>
      <c r="R43" s="17" t="s">
        <v>177</v>
      </c>
      <c r="S43" s="16" t="s">
        <v>498</v>
      </c>
      <c r="T43" s="18"/>
      <c r="U43" s="18"/>
      <c r="V43" s="68" t="s">
        <v>179</v>
      </c>
      <c r="W43" s="68">
        <v>4236</v>
      </c>
      <c r="X43" s="130">
        <v>6</v>
      </c>
      <c r="Y43" s="69" t="s">
        <v>499</v>
      </c>
      <c r="Z43" s="68"/>
      <c r="AA43" s="68"/>
      <c r="AB43" s="70" t="s">
        <v>181</v>
      </c>
      <c r="AC43" s="106"/>
      <c r="AD43" s="106" t="s">
        <v>472</v>
      </c>
      <c r="AE43" s="106"/>
      <c r="AF43" s="108"/>
      <c r="AG43" s="92"/>
      <c r="AH43" s="43"/>
      <c r="AI43" s="43"/>
      <c r="AJ43" s="19" t="s">
        <v>198</v>
      </c>
      <c r="AK43" s="19" t="s">
        <v>185</v>
      </c>
      <c r="AL43" s="19" t="s">
        <v>186</v>
      </c>
      <c r="AM43" s="107" t="s">
        <v>500</v>
      </c>
      <c r="AN43" s="20">
        <v>182</v>
      </c>
      <c r="AO43" s="20">
        <v>6</v>
      </c>
      <c r="AP43" s="20">
        <v>0</v>
      </c>
      <c r="AQ43" s="20">
        <v>0</v>
      </c>
      <c r="AR43" s="20">
        <v>0</v>
      </c>
      <c r="AS43" s="20">
        <v>7</v>
      </c>
      <c r="AT43" s="20">
        <v>10</v>
      </c>
      <c r="AU43" s="300">
        <f t="shared" si="1"/>
        <v>205</v>
      </c>
      <c r="AV43" s="20">
        <v>190</v>
      </c>
      <c r="AW43" s="20">
        <v>6</v>
      </c>
      <c r="AX43" s="20">
        <v>0</v>
      </c>
      <c r="AY43" s="20">
        <v>0</v>
      </c>
      <c r="AZ43" s="20">
        <v>0</v>
      </c>
      <c r="BA43" s="20">
        <v>7</v>
      </c>
      <c r="BB43" s="20">
        <v>10</v>
      </c>
      <c r="BC43" s="300">
        <f t="shared" si="2"/>
        <v>213</v>
      </c>
      <c r="BD43" s="42">
        <f t="shared" si="3"/>
        <v>8</v>
      </c>
      <c r="BE43" s="42">
        <f t="shared" si="4"/>
        <v>0</v>
      </c>
      <c r="BF43" s="42">
        <f t="shared" si="5"/>
        <v>0</v>
      </c>
      <c r="BG43" s="42">
        <f t="shared" si="6"/>
        <v>0</v>
      </c>
      <c r="BH43" s="42">
        <f t="shared" si="7"/>
        <v>0</v>
      </c>
      <c r="BI43" s="42">
        <f t="shared" si="8"/>
        <v>0</v>
      </c>
      <c r="BJ43" s="42">
        <f t="shared" si="9"/>
        <v>0</v>
      </c>
      <c r="BK43" s="42">
        <f t="shared" si="10"/>
        <v>8</v>
      </c>
    </row>
    <row r="44" spans="1:63" ht="27" customHeight="1">
      <c r="A44" s="11">
        <f t="shared" si="11"/>
        <v>42</v>
      </c>
      <c r="B44" s="12" t="s">
        <v>501</v>
      </c>
      <c r="C44" s="8">
        <v>335</v>
      </c>
      <c r="D44" s="60" t="s">
        <v>502</v>
      </c>
      <c r="E44" s="61">
        <v>130009414</v>
      </c>
      <c r="F44" s="90" t="s">
        <v>503</v>
      </c>
      <c r="G44" s="91" t="s">
        <v>504</v>
      </c>
      <c r="H44" s="24" t="s">
        <v>505</v>
      </c>
      <c r="I44" s="25" t="s">
        <v>506</v>
      </c>
      <c r="J44" s="82" t="s">
        <v>173</v>
      </c>
      <c r="K44" s="26">
        <v>29999</v>
      </c>
      <c r="L44" s="66" t="s">
        <v>174</v>
      </c>
      <c r="M44" s="23">
        <v>41765</v>
      </c>
      <c r="N44" s="23"/>
      <c r="O44" s="15" t="s">
        <v>32</v>
      </c>
      <c r="P44" s="16" t="s">
        <v>507</v>
      </c>
      <c r="Q44" s="16" t="s">
        <v>176</v>
      </c>
      <c r="R44" s="15" t="s">
        <v>177</v>
      </c>
      <c r="S44" s="17" t="s">
        <v>251</v>
      </c>
      <c r="T44" s="20"/>
      <c r="U44" s="20"/>
      <c r="V44" s="19" t="s">
        <v>195</v>
      </c>
      <c r="W44" s="19" t="s">
        <v>179</v>
      </c>
      <c r="X44" s="104">
        <v>6</v>
      </c>
      <c r="Y44" s="61" t="s">
        <v>508</v>
      </c>
      <c r="Z44" s="19"/>
      <c r="AA44" s="70" t="s">
        <v>181</v>
      </c>
      <c r="AB44" s="19"/>
      <c r="AC44" s="106" t="s">
        <v>509</v>
      </c>
      <c r="AD44" s="106" t="s">
        <v>472</v>
      </c>
      <c r="AE44" s="106"/>
      <c r="AF44" s="108"/>
      <c r="AG44" s="106"/>
      <c r="AH44" s="43"/>
      <c r="AI44" s="43"/>
      <c r="AJ44" s="19" t="s">
        <v>198</v>
      </c>
      <c r="AK44" s="19" t="s">
        <v>185</v>
      </c>
      <c r="AL44" s="19" t="s">
        <v>186</v>
      </c>
      <c r="AM44" s="107" t="s">
        <v>510</v>
      </c>
      <c r="AN44" s="20">
        <v>182</v>
      </c>
      <c r="AO44" s="20">
        <v>6</v>
      </c>
      <c r="AP44" s="20">
        <v>0</v>
      </c>
      <c r="AQ44" s="20">
        <v>0</v>
      </c>
      <c r="AR44" s="20">
        <v>0</v>
      </c>
      <c r="AS44" s="20">
        <v>7</v>
      </c>
      <c r="AT44" s="20">
        <v>10</v>
      </c>
      <c r="AU44" s="300">
        <f t="shared" si="1"/>
        <v>205</v>
      </c>
      <c r="AV44" s="20">
        <v>190</v>
      </c>
      <c r="AW44" s="20">
        <v>6</v>
      </c>
      <c r="AX44" s="20">
        <v>0</v>
      </c>
      <c r="AY44" s="20">
        <v>0</v>
      </c>
      <c r="AZ44" s="20">
        <v>0</v>
      </c>
      <c r="BA44" s="20">
        <v>7</v>
      </c>
      <c r="BB44" s="20">
        <v>10</v>
      </c>
      <c r="BC44" s="300">
        <f t="shared" si="2"/>
        <v>213</v>
      </c>
      <c r="BD44" s="42">
        <f t="shared" si="3"/>
        <v>8</v>
      </c>
      <c r="BE44" s="42">
        <f t="shared" si="4"/>
        <v>0</v>
      </c>
      <c r="BF44" s="42">
        <f t="shared" si="5"/>
        <v>0</v>
      </c>
      <c r="BG44" s="42">
        <f t="shared" si="6"/>
        <v>0</v>
      </c>
      <c r="BH44" s="42">
        <f t="shared" si="7"/>
        <v>0</v>
      </c>
      <c r="BI44" s="42">
        <f t="shared" si="8"/>
        <v>0</v>
      </c>
      <c r="BJ44" s="42">
        <f t="shared" si="9"/>
        <v>0</v>
      </c>
      <c r="BK44" s="42">
        <f t="shared" si="10"/>
        <v>8</v>
      </c>
    </row>
    <row r="45" spans="1:63" ht="27" customHeight="1">
      <c r="A45" s="11">
        <f t="shared" si="11"/>
        <v>43</v>
      </c>
      <c r="B45" s="12" t="s">
        <v>511</v>
      </c>
      <c r="C45" s="8">
        <v>351</v>
      </c>
      <c r="D45" s="60" t="s">
        <v>512</v>
      </c>
      <c r="E45" s="61">
        <v>30407727</v>
      </c>
      <c r="F45" s="90" t="s">
        <v>513</v>
      </c>
      <c r="G45" s="91" t="s">
        <v>514</v>
      </c>
      <c r="H45" s="24" t="s">
        <v>515</v>
      </c>
      <c r="I45" s="25" t="s">
        <v>516</v>
      </c>
      <c r="J45" s="82" t="s">
        <v>173</v>
      </c>
      <c r="K45" s="26">
        <v>32567</v>
      </c>
      <c r="L45" s="66" t="s">
        <v>174</v>
      </c>
      <c r="M45" s="23">
        <v>41766</v>
      </c>
      <c r="N45" s="23"/>
      <c r="O45" s="15" t="s">
        <v>32</v>
      </c>
      <c r="P45" s="16" t="s">
        <v>334</v>
      </c>
      <c r="Q45" s="16" t="s">
        <v>176</v>
      </c>
      <c r="R45" s="15" t="s">
        <v>177</v>
      </c>
      <c r="S45" s="11" t="s">
        <v>223</v>
      </c>
      <c r="T45" s="20"/>
      <c r="U45" s="20" t="s">
        <v>517</v>
      </c>
      <c r="V45" s="19" t="s">
        <v>195</v>
      </c>
      <c r="W45" s="19">
        <v>1911</v>
      </c>
      <c r="X45" s="104">
        <v>10</v>
      </c>
      <c r="Y45" s="61" t="s">
        <v>518</v>
      </c>
      <c r="Z45" s="70" t="s">
        <v>181</v>
      </c>
      <c r="AA45" s="19"/>
      <c r="AB45" s="19"/>
      <c r="AC45" s="106"/>
      <c r="AD45" s="106"/>
      <c r="AE45" s="106"/>
      <c r="AF45" s="108"/>
      <c r="AG45" s="106"/>
      <c r="AH45" s="43"/>
      <c r="AI45" s="43"/>
      <c r="AJ45" s="19" t="s">
        <v>198</v>
      </c>
      <c r="AK45" s="19" t="s">
        <v>185</v>
      </c>
      <c r="AL45" s="19" t="s">
        <v>198</v>
      </c>
      <c r="AM45" s="107" t="s">
        <v>519</v>
      </c>
      <c r="AN45" s="20">
        <v>182</v>
      </c>
      <c r="AO45" s="20">
        <v>6</v>
      </c>
      <c r="AP45" s="20">
        <v>0</v>
      </c>
      <c r="AQ45" s="20">
        <v>5</v>
      </c>
      <c r="AR45" s="20">
        <v>0</v>
      </c>
      <c r="AS45" s="20">
        <v>7</v>
      </c>
      <c r="AT45" s="20">
        <v>10</v>
      </c>
      <c r="AU45" s="300">
        <f t="shared" si="1"/>
        <v>210</v>
      </c>
      <c r="AV45" s="20">
        <v>190</v>
      </c>
      <c r="AW45" s="20">
        <v>6</v>
      </c>
      <c r="AX45" s="20">
        <v>0</v>
      </c>
      <c r="AY45" s="20">
        <v>5</v>
      </c>
      <c r="AZ45" s="20">
        <v>0</v>
      </c>
      <c r="BA45" s="20">
        <v>7</v>
      </c>
      <c r="BB45" s="20">
        <v>10</v>
      </c>
      <c r="BC45" s="300">
        <f t="shared" si="2"/>
        <v>218</v>
      </c>
      <c r="BD45" s="42">
        <f t="shared" si="3"/>
        <v>8</v>
      </c>
      <c r="BE45" s="42">
        <f t="shared" si="4"/>
        <v>0</v>
      </c>
      <c r="BF45" s="42">
        <f t="shared" si="5"/>
        <v>0</v>
      </c>
      <c r="BG45" s="42">
        <f t="shared" si="6"/>
        <v>0</v>
      </c>
      <c r="BH45" s="42">
        <f t="shared" si="7"/>
        <v>0</v>
      </c>
      <c r="BI45" s="42">
        <f t="shared" si="8"/>
        <v>0</v>
      </c>
      <c r="BJ45" s="42">
        <f t="shared" si="9"/>
        <v>0</v>
      </c>
      <c r="BK45" s="42">
        <f t="shared" si="10"/>
        <v>8</v>
      </c>
    </row>
    <row r="46" spans="1:63" ht="27" customHeight="1">
      <c r="A46" s="11">
        <f t="shared" si="11"/>
        <v>44</v>
      </c>
      <c r="B46" s="12" t="s">
        <v>520</v>
      </c>
      <c r="C46" s="8">
        <v>372</v>
      </c>
      <c r="D46" s="60" t="s">
        <v>521</v>
      </c>
      <c r="E46" s="61">
        <v>130095311</v>
      </c>
      <c r="F46" s="90" t="s">
        <v>522</v>
      </c>
      <c r="G46" s="91" t="s">
        <v>523</v>
      </c>
      <c r="H46" s="24" t="s">
        <v>524</v>
      </c>
      <c r="I46" s="25" t="s">
        <v>525</v>
      </c>
      <c r="J46" s="82" t="s">
        <v>204</v>
      </c>
      <c r="K46" s="26">
        <v>30348</v>
      </c>
      <c r="L46" s="66" t="s">
        <v>174</v>
      </c>
      <c r="M46" s="23">
        <v>41765</v>
      </c>
      <c r="N46" s="23"/>
      <c r="O46" s="15" t="s">
        <v>526</v>
      </c>
      <c r="P46" s="16" t="s">
        <v>527</v>
      </c>
      <c r="Q46" s="16" t="s">
        <v>176</v>
      </c>
      <c r="R46" s="15" t="s">
        <v>177</v>
      </c>
      <c r="S46" s="11" t="s">
        <v>528</v>
      </c>
      <c r="T46" s="131"/>
      <c r="U46" s="20" t="s">
        <v>529</v>
      </c>
      <c r="V46" s="19" t="s">
        <v>195</v>
      </c>
      <c r="W46" s="19">
        <v>106</v>
      </c>
      <c r="X46" s="104">
        <v>10</v>
      </c>
      <c r="Y46" s="61" t="s">
        <v>530</v>
      </c>
      <c r="Z46" s="19"/>
      <c r="AA46" s="70" t="s">
        <v>181</v>
      </c>
      <c r="AB46" s="19"/>
      <c r="AC46" s="106" t="s">
        <v>531</v>
      </c>
      <c r="AD46" s="106" t="s">
        <v>472</v>
      </c>
      <c r="AE46" s="106" t="s">
        <v>472</v>
      </c>
      <c r="AF46" s="108" t="s">
        <v>472</v>
      </c>
      <c r="AG46" s="106"/>
      <c r="AH46" s="43"/>
      <c r="AI46" s="43"/>
      <c r="AJ46" s="19" t="s">
        <v>198</v>
      </c>
      <c r="AK46" s="19" t="s">
        <v>185</v>
      </c>
      <c r="AL46" s="19" t="s">
        <v>186</v>
      </c>
      <c r="AM46" s="107" t="s">
        <v>532</v>
      </c>
      <c r="AN46" s="20">
        <v>182</v>
      </c>
      <c r="AO46" s="20">
        <v>6</v>
      </c>
      <c r="AP46" s="20">
        <v>0</v>
      </c>
      <c r="AQ46" s="20">
        <v>345</v>
      </c>
      <c r="AR46" s="20">
        <v>20</v>
      </c>
      <c r="AS46" s="20">
        <v>7</v>
      </c>
      <c r="AT46" s="20">
        <v>10</v>
      </c>
      <c r="AU46" s="300">
        <f t="shared" si="1"/>
        <v>570</v>
      </c>
      <c r="AV46" s="20">
        <v>190</v>
      </c>
      <c r="AW46" s="20">
        <v>6</v>
      </c>
      <c r="AX46" s="20">
        <v>0</v>
      </c>
      <c r="AY46" s="20">
        <v>345</v>
      </c>
      <c r="AZ46" s="20">
        <v>20</v>
      </c>
      <c r="BA46" s="20">
        <v>7</v>
      </c>
      <c r="BB46" s="20">
        <v>10</v>
      </c>
      <c r="BC46" s="300">
        <f t="shared" si="2"/>
        <v>578</v>
      </c>
      <c r="BD46" s="42">
        <f t="shared" si="3"/>
        <v>8</v>
      </c>
      <c r="BE46" s="42">
        <f t="shared" si="4"/>
        <v>0</v>
      </c>
      <c r="BF46" s="42">
        <f t="shared" si="5"/>
        <v>0</v>
      </c>
      <c r="BG46" s="42">
        <f t="shared" si="6"/>
        <v>0</v>
      </c>
      <c r="BH46" s="42">
        <f t="shared" si="7"/>
        <v>0</v>
      </c>
      <c r="BI46" s="42">
        <f t="shared" si="8"/>
        <v>0</v>
      </c>
      <c r="BJ46" s="42">
        <f t="shared" si="9"/>
        <v>0</v>
      </c>
      <c r="BK46" s="42">
        <f t="shared" si="10"/>
        <v>8</v>
      </c>
    </row>
    <row r="47" spans="1:63" ht="27" customHeight="1">
      <c r="A47" s="11">
        <f t="shared" si="11"/>
        <v>45</v>
      </c>
      <c r="B47" s="12" t="s">
        <v>533</v>
      </c>
      <c r="C47" s="8">
        <v>333</v>
      </c>
      <c r="D47" s="60" t="s">
        <v>534</v>
      </c>
      <c r="E47" s="61">
        <v>60299516</v>
      </c>
      <c r="F47" s="90" t="s">
        <v>535</v>
      </c>
      <c r="G47" s="91" t="s">
        <v>536</v>
      </c>
      <c r="H47" s="24" t="s">
        <v>537</v>
      </c>
      <c r="I47" s="25" t="s">
        <v>538</v>
      </c>
      <c r="J47" s="82" t="s">
        <v>173</v>
      </c>
      <c r="K47" s="26">
        <v>28524</v>
      </c>
      <c r="L47" s="66" t="s">
        <v>174</v>
      </c>
      <c r="M47" s="23">
        <v>41765</v>
      </c>
      <c r="N47" s="23"/>
      <c r="O47" s="15" t="s">
        <v>32</v>
      </c>
      <c r="P47" s="16" t="s">
        <v>507</v>
      </c>
      <c r="Q47" s="16" t="s">
        <v>176</v>
      </c>
      <c r="R47" s="15" t="s">
        <v>177</v>
      </c>
      <c r="S47" s="17" t="s">
        <v>178</v>
      </c>
      <c r="T47" s="20"/>
      <c r="U47" s="20"/>
      <c r="V47" s="19" t="s">
        <v>179</v>
      </c>
      <c r="W47" s="19">
        <v>1736</v>
      </c>
      <c r="X47" s="104">
        <v>6</v>
      </c>
      <c r="Y47" s="61" t="s">
        <v>539</v>
      </c>
      <c r="Z47" s="19"/>
      <c r="AA47" s="70" t="s">
        <v>181</v>
      </c>
      <c r="AB47" s="19"/>
      <c r="AC47" s="106" t="s">
        <v>540</v>
      </c>
      <c r="AD47" s="106" t="s">
        <v>472</v>
      </c>
      <c r="AE47" s="106" t="s">
        <v>472</v>
      </c>
      <c r="AF47" s="108" t="s">
        <v>472</v>
      </c>
      <c r="AG47" s="106" t="s">
        <v>472</v>
      </c>
      <c r="AH47" s="106"/>
      <c r="AI47" s="43"/>
      <c r="AJ47" s="19" t="s">
        <v>198</v>
      </c>
      <c r="AK47" s="19" t="s">
        <v>185</v>
      </c>
      <c r="AL47" s="19" t="s">
        <v>186</v>
      </c>
      <c r="AM47" s="107" t="s">
        <v>532</v>
      </c>
      <c r="AN47" s="20">
        <v>182</v>
      </c>
      <c r="AO47" s="20">
        <v>6</v>
      </c>
      <c r="AP47" s="20">
        <v>0</v>
      </c>
      <c r="AQ47" s="20">
        <v>0</v>
      </c>
      <c r="AR47" s="20">
        <v>0</v>
      </c>
      <c r="AS47" s="20">
        <v>7</v>
      </c>
      <c r="AT47" s="20">
        <v>10</v>
      </c>
      <c r="AU47" s="300">
        <f t="shared" si="1"/>
        <v>205</v>
      </c>
      <c r="AV47" s="20">
        <v>190</v>
      </c>
      <c r="AW47" s="20">
        <v>6</v>
      </c>
      <c r="AX47" s="20">
        <v>0</v>
      </c>
      <c r="AY47" s="20">
        <v>0</v>
      </c>
      <c r="AZ47" s="20">
        <v>0</v>
      </c>
      <c r="BA47" s="20">
        <v>7</v>
      </c>
      <c r="BB47" s="20">
        <v>10</v>
      </c>
      <c r="BC47" s="300">
        <f t="shared" si="2"/>
        <v>213</v>
      </c>
      <c r="BD47" s="42">
        <f t="shared" si="3"/>
        <v>8</v>
      </c>
      <c r="BE47" s="42">
        <f t="shared" si="4"/>
        <v>0</v>
      </c>
      <c r="BF47" s="42">
        <f t="shared" si="5"/>
        <v>0</v>
      </c>
      <c r="BG47" s="42">
        <f t="shared" si="6"/>
        <v>0</v>
      </c>
      <c r="BH47" s="42">
        <f t="shared" si="7"/>
        <v>0</v>
      </c>
      <c r="BI47" s="42">
        <f t="shared" si="8"/>
        <v>0</v>
      </c>
      <c r="BJ47" s="42">
        <f t="shared" si="9"/>
        <v>0</v>
      </c>
      <c r="BK47" s="42">
        <f t="shared" si="10"/>
        <v>8</v>
      </c>
    </row>
    <row r="48" spans="1:63" ht="27" customHeight="1">
      <c r="A48" s="11">
        <f t="shared" si="11"/>
        <v>46</v>
      </c>
      <c r="B48" s="12" t="s">
        <v>541</v>
      </c>
      <c r="C48" s="8">
        <v>385</v>
      </c>
      <c r="D48" s="60" t="s">
        <v>542</v>
      </c>
      <c r="E48" s="61">
        <v>130098087</v>
      </c>
      <c r="F48" s="90" t="s">
        <v>543</v>
      </c>
      <c r="G48" s="91" t="s">
        <v>544</v>
      </c>
      <c r="H48" s="24" t="s">
        <v>545</v>
      </c>
      <c r="I48" s="25" t="s">
        <v>546</v>
      </c>
      <c r="J48" s="82" t="s">
        <v>204</v>
      </c>
      <c r="K48" s="26">
        <v>33217</v>
      </c>
      <c r="L48" s="66" t="s">
        <v>174</v>
      </c>
      <c r="M48" s="23">
        <v>41782</v>
      </c>
      <c r="N48" s="23"/>
      <c r="O48" s="15" t="s">
        <v>286</v>
      </c>
      <c r="P48" s="16" t="s">
        <v>547</v>
      </c>
      <c r="Q48" s="16" t="s">
        <v>176</v>
      </c>
      <c r="R48" s="15" t="s">
        <v>177</v>
      </c>
      <c r="S48" s="11" t="s">
        <v>223</v>
      </c>
      <c r="T48" s="20"/>
      <c r="U48" s="20"/>
      <c r="V48" s="19" t="s">
        <v>195</v>
      </c>
      <c r="W48" s="19">
        <v>5131</v>
      </c>
      <c r="X48" s="104">
        <v>10</v>
      </c>
      <c r="Y48" s="61" t="s">
        <v>548</v>
      </c>
      <c r="Z48" s="70" t="s">
        <v>181</v>
      </c>
      <c r="AA48" s="19"/>
      <c r="AB48" s="19"/>
      <c r="AC48" s="106"/>
      <c r="AD48" s="106"/>
      <c r="AE48" s="106"/>
      <c r="AF48" s="108"/>
      <c r="AG48" s="106"/>
      <c r="AH48" s="43"/>
      <c r="AI48" s="43"/>
      <c r="AJ48" s="19" t="s">
        <v>198</v>
      </c>
      <c r="AK48" s="19" t="s">
        <v>185</v>
      </c>
      <c r="AL48" s="19" t="s">
        <v>186</v>
      </c>
      <c r="AM48" s="107" t="s">
        <v>549</v>
      </c>
      <c r="AN48" s="20">
        <v>182</v>
      </c>
      <c r="AO48" s="20">
        <v>6</v>
      </c>
      <c r="AP48" s="20">
        <v>0</v>
      </c>
      <c r="AQ48" s="20">
        <v>30</v>
      </c>
      <c r="AR48" s="20">
        <v>0</v>
      </c>
      <c r="AS48" s="20">
        <v>7</v>
      </c>
      <c r="AT48" s="20">
        <v>10</v>
      </c>
      <c r="AU48" s="300">
        <f t="shared" si="1"/>
        <v>235</v>
      </c>
      <c r="AV48" s="20">
        <v>190</v>
      </c>
      <c r="AW48" s="20">
        <v>6</v>
      </c>
      <c r="AX48" s="20">
        <v>0</v>
      </c>
      <c r="AY48" s="20">
        <v>30</v>
      </c>
      <c r="AZ48" s="20">
        <v>0</v>
      </c>
      <c r="BA48" s="20">
        <v>7</v>
      </c>
      <c r="BB48" s="20">
        <v>10</v>
      </c>
      <c r="BC48" s="300">
        <f t="shared" si="2"/>
        <v>243</v>
      </c>
      <c r="BD48" s="42">
        <f t="shared" si="3"/>
        <v>8</v>
      </c>
      <c r="BE48" s="42">
        <f t="shared" si="4"/>
        <v>0</v>
      </c>
      <c r="BF48" s="42">
        <f t="shared" si="5"/>
        <v>0</v>
      </c>
      <c r="BG48" s="42">
        <f t="shared" si="6"/>
        <v>0</v>
      </c>
      <c r="BH48" s="42">
        <f t="shared" si="7"/>
        <v>0</v>
      </c>
      <c r="BI48" s="42">
        <f t="shared" si="8"/>
        <v>0</v>
      </c>
      <c r="BJ48" s="42">
        <f t="shared" si="9"/>
        <v>0</v>
      </c>
      <c r="BK48" s="42">
        <f t="shared" si="10"/>
        <v>8</v>
      </c>
    </row>
    <row r="49" spans="1:63" ht="27" customHeight="1">
      <c r="A49" s="11">
        <f t="shared" si="11"/>
        <v>47</v>
      </c>
      <c r="B49" s="12" t="s">
        <v>550</v>
      </c>
      <c r="C49" s="8">
        <v>404</v>
      </c>
      <c r="D49" s="60" t="s">
        <v>551</v>
      </c>
      <c r="E49" s="61">
        <v>50793804</v>
      </c>
      <c r="F49" s="90" t="s">
        <v>552</v>
      </c>
      <c r="G49" s="91" t="s">
        <v>553</v>
      </c>
      <c r="H49" s="24" t="s">
        <v>554</v>
      </c>
      <c r="I49" s="25" t="s">
        <v>555</v>
      </c>
      <c r="J49" s="82" t="s">
        <v>173</v>
      </c>
      <c r="K49" s="26">
        <v>34116</v>
      </c>
      <c r="L49" s="66" t="s">
        <v>174</v>
      </c>
      <c r="M49" s="23">
        <v>41793</v>
      </c>
      <c r="N49" s="23"/>
      <c r="O49" s="15" t="s">
        <v>286</v>
      </c>
      <c r="P49" s="16" t="s">
        <v>556</v>
      </c>
      <c r="Q49" s="16" t="s">
        <v>176</v>
      </c>
      <c r="R49" s="15" t="s">
        <v>177</v>
      </c>
      <c r="S49" s="11" t="s">
        <v>326</v>
      </c>
      <c r="T49" s="20"/>
      <c r="U49" s="20"/>
      <c r="V49" s="19" t="s">
        <v>195</v>
      </c>
      <c r="W49" s="19" t="s">
        <v>179</v>
      </c>
      <c r="X49" s="104">
        <v>9</v>
      </c>
      <c r="Y49" s="61" t="s">
        <v>179</v>
      </c>
      <c r="Z49" s="70"/>
      <c r="AA49" s="70" t="s">
        <v>181</v>
      </c>
      <c r="AB49" s="19"/>
      <c r="AC49" s="106" t="s">
        <v>557</v>
      </c>
      <c r="AD49" s="106" t="s">
        <v>558</v>
      </c>
      <c r="AE49" s="106"/>
      <c r="AF49" s="108"/>
      <c r="AG49" s="106"/>
      <c r="AH49" s="43"/>
      <c r="AI49" s="43"/>
      <c r="AJ49" s="19" t="s">
        <v>198</v>
      </c>
      <c r="AK49" s="19" t="s">
        <v>185</v>
      </c>
      <c r="AL49" s="19" t="s">
        <v>185</v>
      </c>
      <c r="AM49" s="107" t="s">
        <v>559</v>
      </c>
      <c r="AN49" s="20">
        <v>182</v>
      </c>
      <c r="AO49" s="20">
        <v>6</v>
      </c>
      <c r="AP49" s="20">
        <v>0</v>
      </c>
      <c r="AQ49" s="20">
        <v>10</v>
      </c>
      <c r="AR49" s="20">
        <v>0</v>
      </c>
      <c r="AS49" s="20">
        <v>7</v>
      </c>
      <c r="AT49" s="20">
        <v>10</v>
      </c>
      <c r="AU49" s="300">
        <f t="shared" si="1"/>
        <v>215</v>
      </c>
      <c r="AV49" s="20">
        <v>190</v>
      </c>
      <c r="AW49" s="20">
        <v>6</v>
      </c>
      <c r="AX49" s="20">
        <v>0</v>
      </c>
      <c r="AY49" s="20">
        <v>10</v>
      </c>
      <c r="AZ49" s="20">
        <v>0</v>
      </c>
      <c r="BA49" s="20">
        <v>7</v>
      </c>
      <c r="BB49" s="20">
        <v>10</v>
      </c>
      <c r="BC49" s="300">
        <f t="shared" si="2"/>
        <v>223</v>
      </c>
      <c r="BD49" s="42">
        <f t="shared" si="3"/>
        <v>8</v>
      </c>
      <c r="BE49" s="42">
        <f t="shared" si="4"/>
        <v>0</v>
      </c>
      <c r="BF49" s="42">
        <f t="shared" si="5"/>
        <v>0</v>
      </c>
      <c r="BG49" s="42">
        <f t="shared" si="6"/>
        <v>0</v>
      </c>
      <c r="BH49" s="42">
        <f t="shared" si="7"/>
        <v>0</v>
      </c>
      <c r="BI49" s="42">
        <f t="shared" si="8"/>
        <v>0</v>
      </c>
      <c r="BJ49" s="42">
        <f t="shared" si="9"/>
        <v>0</v>
      </c>
      <c r="BK49" s="42">
        <f t="shared" si="10"/>
        <v>8</v>
      </c>
    </row>
    <row r="50" spans="1:63" ht="27" customHeight="1">
      <c r="A50" s="11">
        <f t="shared" si="11"/>
        <v>48</v>
      </c>
      <c r="B50" s="12" t="s">
        <v>560</v>
      </c>
      <c r="C50" s="8">
        <v>405</v>
      </c>
      <c r="D50" s="60" t="s">
        <v>561</v>
      </c>
      <c r="E50" s="61">
        <v>50699506</v>
      </c>
      <c r="F50" s="90" t="s">
        <v>552</v>
      </c>
      <c r="G50" s="91" t="s">
        <v>562</v>
      </c>
      <c r="H50" s="24" t="s">
        <v>554</v>
      </c>
      <c r="I50" s="25" t="s">
        <v>563</v>
      </c>
      <c r="J50" s="82" t="s">
        <v>173</v>
      </c>
      <c r="K50" s="26">
        <v>33258</v>
      </c>
      <c r="L50" s="66" t="s">
        <v>174</v>
      </c>
      <c r="M50" s="23">
        <v>41793</v>
      </c>
      <c r="N50" s="23"/>
      <c r="O50" s="15" t="s">
        <v>32</v>
      </c>
      <c r="P50" s="16" t="s">
        <v>304</v>
      </c>
      <c r="Q50" s="16" t="s">
        <v>176</v>
      </c>
      <c r="R50" s="15" t="s">
        <v>177</v>
      </c>
      <c r="S50" s="11" t="s">
        <v>326</v>
      </c>
      <c r="T50" s="20"/>
      <c r="U50" s="20"/>
      <c r="V50" s="19" t="s">
        <v>195</v>
      </c>
      <c r="W50" s="19" t="s">
        <v>179</v>
      </c>
      <c r="X50" s="104">
        <v>9</v>
      </c>
      <c r="Y50" s="61" t="s">
        <v>179</v>
      </c>
      <c r="Z50" s="70" t="s">
        <v>181</v>
      </c>
      <c r="AA50" s="19"/>
      <c r="AB50" s="19"/>
      <c r="AC50" s="106"/>
      <c r="AD50" s="106"/>
      <c r="AE50" s="106"/>
      <c r="AF50" s="108"/>
      <c r="AG50" s="106"/>
      <c r="AH50" s="43"/>
      <c r="AI50" s="43"/>
      <c r="AJ50" s="19" t="s">
        <v>198</v>
      </c>
      <c r="AK50" s="19" t="s">
        <v>185</v>
      </c>
      <c r="AL50" s="19" t="s">
        <v>186</v>
      </c>
      <c r="AM50" s="107" t="s">
        <v>564</v>
      </c>
      <c r="AN50" s="20">
        <v>182</v>
      </c>
      <c r="AO50" s="20">
        <v>6</v>
      </c>
      <c r="AP50" s="20">
        <v>0</v>
      </c>
      <c r="AQ50" s="20">
        <v>0</v>
      </c>
      <c r="AR50" s="20">
        <v>0</v>
      </c>
      <c r="AS50" s="20">
        <v>7</v>
      </c>
      <c r="AT50" s="20">
        <v>10</v>
      </c>
      <c r="AU50" s="300">
        <f t="shared" si="1"/>
        <v>205</v>
      </c>
      <c r="AV50" s="20">
        <v>190</v>
      </c>
      <c r="AW50" s="20">
        <v>6</v>
      </c>
      <c r="AX50" s="20">
        <v>0</v>
      </c>
      <c r="AY50" s="20">
        <v>0</v>
      </c>
      <c r="AZ50" s="20">
        <v>0</v>
      </c>
      <c r="BA50" s="20">
        <v>7</v>
      </c>
      <c r="BB50" s="20">
        <v>10</v>
      </c>
      <c r="BC50" s="300">
        <f t="shared" si="2"/>
        <v>213</v>
      </c>
      <c r="BD50" s="42">
        <f t="shared" si="3"/>
        <v>8</v>
      </c>
      <c r="BE50" s="42">
        <f t="shared" si="4"/>
        <v>0</v>
      </c>
      <c r="BF50" s="42">
        <f t="shared" si="5"/>
        <v>0</v>
      </c>
      <c r="BG50" s="42">
        <f t="shared" si="6"/>
        <v>0</v>
      </c>
      <c r="BH50" s="42">
        <f t="shared" si="7"/>
        <v>0</v>
      </c>
      <c r="BI50" s="42">
        <f t="shared" si="8"/>
        <v>0</v>
      </c>
      <c r="BJ50" s="42">
        <f t="shared" si="9"/>
        <v>0</v>
      </c>
      <c r="BK50" s="42">
        <f t="shared" si="10"/>
        <v>8</v>
      </c>
    </row>
    <row r="51" spans="1:63" ht="27" customHeight="1">
      <c r="A51" s="11">
        <f t="shared" si="11"/>
        <v>49</v>
      </c>
      <c r="B51" s="12" t="s">
        <v>565</v>
      </c>
      <c r="C51" s="8">
        <v>468</v>
      </c>
      <c r="D51" s="60" t="s">
        <v>566</v>
      </c>
      <c r="E51" s="61">
        <v>11028994</v>
      </c>
      <c r="F51" s="62" t="s">
        <v>567</v>
      </c>
      <c r="G51" s="63" t="s">
        <v>568</v>
      </c>
      <c r="H51" s="13" t="s">
        <v>569</v>
      </c>
      <c r="I51" s="14" t="s">
        <v>537</v>
      </c>
      <c r="J51" s="64" t="s">
        <v>173</v>
      </c>
      <c r="K51" s="22">
        <v>30138</v>
      </c>
      <c r="L51" s="66" t="s">
        <v>174</v>
      </c>
      <c r="M51" s="23">
        <v>41817</v>
      </c>
      <c r="N51" s="23"/>
      <c r="O51" s="15" t="s">
        <v>32</v>
      </c>
      <c r="P51" s="16" t="s">
        <v>313</v>
      </c>
      <c r="Q51" s="16" t="s">
        <v>244</v>
      </c>
      <c r="R51" s="15" t="s">
        <v>177</v>
      </c>
      <c r="S51" s="17" t="s">
        <v>251</v>
      </c>
      <c r="T51" s="20"/>
      <c r="U51" s="20"/>
      <c r="V51" s="19" t="s">
        <v>195</v>
      </c>
      <c r="W51" s="19" t="s">
        <v>179</v>
      </c>
      <c r="X51" s="19">
        <v>5</v>
      </c>
      <c r="Y51" s="61" t="s">
        <v>570</v>
      </c>
      <c r="Z51" s="19"/>
      <c r="AA51" s="70" t="s">
        <v>181</v>
      </c>
      <c r="AB51" s="19"/>
      <c r="AC51" s="106" t="s">
        <v>571</v>
      </c>
      <c r="AD51" s="106" t="s">
        <v>472</v>
      </c>
      <c r="AE51" s="106" t="s">
        <v>472</v>
      </c>
      <c r="AF51" s="106" t="s">
        <v>472</v>
      </c>
      <c r="AG51" s="106" t="s">
        <v>472</v>
      </c>
      <c r="AH51" s="43"/>
      <c r="AI51" s="43"/>
      <c r="AJ51" s="19" t="s">
        <v>198</v>
      </c>
      <c r="AK51" s="19" t="s">
        <v>185</v>
      </c>
      <c r="AL51" s="19" t="s">
        <v>185</v>
      </c>
      <c r="AM51" s="107" t="s">
        <v>572</v>
      </c>
      <c r="AN51" s="20">
        <v>182</v>
      </c>
      <c r="AO51" s="20">
        <v>6</v>
      </c>
      <c r="AP51" s="20">
        <v>20</v>
      </c>
      <c r="AQ51" s="20">
        <v>0</v>
      </c>
      <c r="AR51" s="20">
        <v>0</v>
      </c>
      <c r="AS51" s="20">
        <v>7</v>
      </c>
      <c r="AT51" s="20">
        <v>10</v>
      </c>
      <c r="AU51" s="300">
        <f t="shared" si="1"/>
        <v>225</v>
      </c>
      <c r="AV51" s="20">
        <v>190</v>
      </c>
      <c r="AW51" s="20">
        <v>6</v>
      </c>
      <c r="AX51" s="20">
        <v>20</v>
      </c>
      <c r="AY51" s="20">
        <v>0</v>
      </c>
      <c r="AZ51" s="20">
        <v>0</v>
      </c>
      <c r="BA51" s="20">
        <v>7</v>
      </c>
      <c r="BB51" s="20">
        <v>10</v>
      </c>
      <c r="BC51" s="300">
        <f t="shared" si="2"/>
        <v>233</v>
      </c>
      <c r="BD51" s="42">
        <f t="shared" si="3"/>
        <v>8</v>
      </c>
      <c r="BE51" s="42">
        <f t="shared" si="4"/>
        <v>0</v>
      </c>
      <c r="BF51" s="42">
        <f t="shared" si="5"/>
        <v>0</v>
      </c>
      <c r="BG51" s="42">
        <f t="shared" si="6"/>
        <v>0</v>
      </c>
      <c r="BH51" s="42">
        <f t="shared" si="7"/>
        <v>0</v>
      </c>
      <c r="BI51" s="42">
        <f t="shared" si="8"/>
        <v>0</v>
      </c>
      <c r="BJ51" s="42">
        <f t="shared" si="9"/>
        <v>0</v>
      </c>
      <c r="BK51" s="42">
        <f t="shared" si="10"/>
        <v>8</v>
      </c>
    </row>
    <row r="52" spans="1:63" ht="27" customHeight="1">
      <c r="A52" s="11">
        <f t="shared" si="11"/>
        <v>50</v>
      </c>
      <c r="B52" s="12" t="s">
        <v>573</v>
      </c>
      <c r="C52" s="8">
        <v>574</v>
      </c>
      <c r="D52" s="60" t="s">
        <v>574</v>
      </c>
      <c r="E52" s="61">
        <v>110466574</v>
      </c>
      <c r="F52" s="62" t="s">
        <v>355</v>
      </c>
      <c r="G52" s="63" t="s">
        <v>575</v>
      </c>
      <c r="H52" s="13" t="s">
        <v>576</v>
      </c>
      <c r="I52" s="14" t="s">
        <v>577</v>
      </c>
      <c r="J52" s="64" t="s">
        <v>173</v>
      </c>
      <c r="K52" s="22">
        <v>34034</v>
      </c>
      <c r="L52" s="66" t="s">
        <v>174</v>
      </c>
      <c r="M52" s="23">
        <v>41835</v>
      </c>
      <c r="N52" s="23"/>
      <c r="O52" s="15" t="s">
        <v>32</v>
      </c>
      <c r="P52" s="16" t="s">
        <v>268</v>
      </c>
      <c r="Q52" s="16" t="s">
        <v>176</v>
      </c>
      <c r="R52" s="15" t="s">
        <v>177</v>
      </c>
      <c r="S52" s="11" t="s">
        <v>223</v>
      </c>
      <c r="T52" s="20"/>
      <c r="U52" s="20"/>
      <c r="V52" s="19" t="s">
        <v>195</v>
      </c>
      <c r="W52" s="19" t="s">
        <v>179</v>
      </c>
      <c r="X52" s="19">
        <v>9</v>
      </c>
      <c r="Y52" s="61" t="s">
        <v>578</v>
      </c>
      <c r="Z52" s="19"/>
      <c r="AA52" s="70" t="s">
        <v>181</v>
      </c>
      <c r="AB52" s="19"/>
      <c r="AC52" s="106" t="s">
        <v>509</v>
      </c>
      <c r="AD52" s="106"/>
      <c r="AE52" s="106"/>
      <c r="AF52" s="108"/>
      <c r="AG52" s="106"/>
      <c r="AH52" s="43"/>
      <c r="AI52" s="43"/>
      <c r="AJ52" s="19" t="s">
        <v>198</v>
      </c>
      <c r="AK52" s="19" t="s">
        <v>185</v>
      </c>
      <c r="AL52" s="19" t="s">
        <v>186</v>
      </c>
      <c r="AM52" s="107" t="s">
        <v>579</v>
      </c>
      <c r="AN52" s="20">
        <v>182</v>
      </c>
      <c r="AO52" s="20">
        <v>6</v>
      </c>
      <c r="AP52" s="20">
        <v>0</v>
      </c>
      <c r="AQ52" s="20">
        <v>0</v>
      </c>
      <c r="AR52" s="20">
        <v>0</v>
      </c>
      <c r="AS52" s="20">
        <v>7</v>
      </c>
      <c r="AT52" s="20">
        <v>10</v>
      </c>
      <c r="AU52" s="300">
        <f t="shared" si="1"/>
        <v>205</v>
      </c>
      <c r="AV52" s="20">
        <v>190</v>
      </c>
      <c r="AW52" s="20">
        <v>6</v>
      </c>
      <c r="AX52" s="20">
        <v>0</v>
      </c>
      <c r="AY52" s="20">
        <v>0</v>
      </c>
      <c r="AZ52" s="20">
        <v>0</v>
      </c>
      <c r="BA52" s="20">
        <v>7</v>
      </c>
      <c r="BB52" s="20">
        <v>10</v>
      </c>
      <c r="BC52" s="300">
        <f t="shared" si="2"/>
        <v>213</v>
      </c>
      <c r="BD52" s="42">
        <f t="shared" si="3"/>
        <v>8</v>
      </c>
      <c r="BE52" s="42">
        <f t="shared" si="4"/>
        <v>0</v>
      </c>
      <c r="BF52" s="42">
        <f t="shared" si="5"/>
        <v>0</v>
      </c>
      <c r="BG52" s="42">
        <f t="shared" si="6"/>
        <v>0</v>
      </c>
      <c r="BH52" s="42">
        <f t="shared" si="7"/>
        <v>0</v>
      </c>
      <c r="BI52" s="42">
        <f t="shared" si="8"/>
        <v>0</v>
      </c>
      <c r="BJ52" s="42">
        <f t="shared" si="9"/>
        <v>0</v>
      </c>
      <c r="BK52" s="42">
        <f t="shared" si="10"/>
        <v>8</v>
      </c>
    </row>
    <row r="53" spans="1:63" ht="27" customHeight="1">
      <c r="A53" s="11">
        <f t="shared" si="11"/>
        <v>51</v>
      </c>
      <c r="B53" s="12" t="s">
        <v>580</v>
      </c>
      <c r="C53" s="8">
        <v>548</v>
      </c>
      <c r="D53" s="60" t="s">
        <v>581</v>
      </c>
      <c r="E53" s="61" t="s">
        <v>185</v>
      </c>
      <c r="F53" s="62" t="s">
        <v>582</v>
      </c>
      <c r="G53" s="63" t="s">
        <v>583</v>
      </c>
      <c r="H53" s="13" t="s">
        <v>584</v>
      </c>
      <c r="I53" s="14" t="s">
        <v>585</v>
      </c>
      <c r="J53" s="64" t="s">
        <v>173</v>
      </c>
      <c r="K53" s="22">
        <v>29348</v>
      </c>
      <c r="L53" s="66" t="s">
        <v>174</v>
      </c>
      <c r="M53" s="67">
        <v>41828</v>
      </c>
      <c r="N53" s="23"/>
      <c r="O53" s="15" t="s">
        <v>32</v>
      </c>
      <c r="P53" s="16" t="s">
        <v>507</v>
      </c>
      <c r="Q53" s="16" t="s">
        <v>176</v>
      </c>
      <c r="R53" s="15" t="s">
        <v>177</v>
      </c>
      <c r="S53" s="17" t="s">
        <v>178</v>
      </c>
      <c r="T53" s="20"/>
      <c r="U53" s="20"/>
      <c r="V53" s="19" t="s">
        <v>195</v>
      </c>
      <c r="W53" s="19">
        <v>3057</v>
      </c>
      <c r="X53" s="19">
        <v>6</v>
      </c>
      <c r="Y53" s="61" t="s">
        <v>179</v>
      </c>
      <c r="Z53" s="19"/>
      <c r="AA53" s="70" t="s">
        <v>181</v>
      </c>
      <c r="AB53" s="19"/>
      <c r="AC53" s="106" t="s">
        <v>586</v>
      </c>
      <c r="AD53" s="106" t="s">
        <v>472</v>
      </c>
      <c r="AE53" s="106" t="s">
        <v>472</v>
      </c>
      <c r="AF53" s="106" t="s">
        <v>472</v>
      </c>
      <c r="AG53" s="106" t="s">
        <v>472</v>
      </c>
      <c r="AH53" s="43"/>
      <c r="AI53" s="43"/>
      <c r="AJ53" s="19" t="s">
        <v>198</v>
      </c>
      <c r="AK53" s="19" t="s">
        <v>185</v>
      </c>
      <c r="AL53" s="19" t="s">
        <v>186</v>
      </c>
      <c r="AM53" s="107" t="s">
        <v>587</v>
      </c>
      <c r="AN53" s="20">
        <v>182</v>
      </c>
      <c r="AO53" s="20">
        <v>0</v>
      </c>
      <c r="AP53" s="20">
        <v>0</v>
      </c>
      <c r="AQ53" s="20">
        <v>0</v>
      </c>
      <c r="AR53" s="20">
        <v>0</v>
      </c>
      <c r="AS53" s="20">
        <v>7</v>
      </c>
      <c r="AT53" s="20">
        <v>10</v>
      </c>
      <c r="AU53" s="300">
        <f t="shared" si="1"/>
        <v>199</v>
      </c>
      <c r="AV53" s="20">
        <v>190</v>
      </c>
      <c r="AW53" s="20">
        <v>0</v>
      </c>
      <c r="AX53" s="20">
        <v>0</v>
      </c>
      <c r="AY53" s="20">
        <v>0</v>
      </c>
      <c r="AZ53" s="20">
        <v>0</v>
      </c>
      <c r="BA53" s="20">
        <v>7</v>
      </c>
      <c r="BB53" s="20">
        <v>10</v>
      </c>
      <c r="BC53" s="300">
        <f t="shared" si="2"/>
        <v>207</v>
      </c>
      <c r="BD53" s="42">
        <f t="shared" si="3"/>
        <v>8</v>
      </c>
      <c r="BE53" s="42">
        <f t="shared" si="4"/>
        <v>0</v>
      </c>
      <c r="BF53" s="42">
        <f t="shared" si="5"/>
        <v>0</v>
      </c>
      <c r="BG53" s="42">
        <f t="shared" si="6"/>
        <v>0</v>
      </c>
      <c r="BH53" s="42">
        <f t="shared" si="7"/>
        <v>0</v>
      </c>
      <c r="BI53" s="42">
        <f t="shared" si="8"/>
        <v>0</v>
      </c>
      <c r="BJ53" s="42">
        <f t="shared" si="9"/>
        <v>0</v>
      </c>
      <c r="BK53" s="42">
        <f t="shared" si="10"/>
        <v>8</v>
      </c>
    </row>
    <row r="54" spans="1:63" ht="27" customHeight="1">
      <c r="A54" s="11">
        <f t="shared" si="11"/>
        <v>52</v>
      </c>
      <c r="B54" s="12" t="s">
        <v>588</v>
      </c>
      <c r="C54" s="8">
        <v>521</v>
      </c>
      <c r="D54" s="60" t="s">
        <v>589</v>
      </c>
      <c r="E54" s="61">
        <v>110387396</v>
      </c>
      <c r="F54" s="62" t="s">
        <v>317</v>
      </c>
      <c r="G54" s="63" t="s">
        <v>590</v>
      </c>
      <c r="H54" s="13" t="s">
        <v>591</v>
      </c>
      <c r="I54" s="14" t="s">
        <v>592</v>
      </c>
      <c r="J54" s="64" t="s">
        <v>173</v>
      </c>
      <c r="K54" s="22">
        <v>33817</v>
      </c>
      <c r="L54" s="66" t="s">
        <v>174</v>
      </c>
      <c r="M54" s="23">
        <v>41825</v>
      </c>
      <c r="N54" s="23"/>
      <c r="O54" s="15" t="s">
        <v>32</v>
      </c>
      <c r="P54" s="16" t="s">
        <v>381</v>
      </c>
      <c r="Q54" s="16" t="s">
        <v>176</v>
      </c>
      <c r="R54" s="15" t="s">
        <v>177</v>
      </c>
      <c r="S54" s="15" t="s">
        <v>223</v>
      </c>
      <c r="T54" s="20"/>
      <c r="U54" s="20"/>
      <c r="V54" s="19" t="s">
        <v>195</v>
      </c>
      <c r="W54" s="19">
        <v>1630</v>
      </c>
      <c r="X54" s="19">
        <v>8</v>
      </c>
      <c r="Y54" s="61" t="s">
        <v>593</v>
      </c>
      <c r="Z54" s="19"/>
      <c r="AA54" s="70" t="s">
        <v>181</v>
      </c>
      <c r="AB54" s="19"/>
      <c r="AC54" s="106"/>
      <c r="AD54" s="106"/>
      <c r="AE54" s="106"/>
      <c r="AF54" s="108"/>
      <c r="AG54" s="106"/>
      <c r="AH54" s="43"/>
      <c r="AI54" s="43"/>
      <c r="AJ54" s="19" t="s">
        <v>198</v>
      </c>
      <c r="AK54" s="19" t="s">
        <v>185</v>
      </c>
      <c r="AL54" s="19" t="s">
        <v>186</v>
      </c>
      <c r="AM54" s="107" t="s">
        <v>594</v>
      </c>
      <c r="AN54" s="20">
        <v>182</v>
      </c>
      <c r="AO54" s="20">
        <v>6</v>
      </c>
      <c r="AP54" s="20">
        <v>0</v>
      </c>
      <c r="AQ54" s="20">
        <v>30</v>
      </c>
      <c r="AR54" s="20">
        <v>0</v>
      </c>
      <c r="AS54" s="20">
        <v>7</v>
      </c>
      <c r="AT54" s="20">
        <v>10</v>
      </c>
      <c r="AU54" s="300">
        <f t="shared" si="1"/>
        <v>235</v>
      </c>
      <c r="AV54" s="20">
        <v>190</v>
      </c>
      <c r="AW54" s="20">
        <v>6</v>
      </c>
      <c r="AX54" s="20">
        <v>0</v>
      </c>
      <c r="AY54" s="20">
        <v>30</v>
      </c>
      <c r="AZ54" s="20">
        <v>0</v>
      </c>
      <c r="BA54" s="20">
        <v>7</v>
      </c>
      <c r="BB54" s="20">
        <v>10</v>
      </c>
      <c r="BC54" s="300">
        <f t="shared" si="2"/>
        <v>243</v>
      </c>
      <c r="BD54" s="42">
        <f t="shared" si="3"/>
        <v>8</v>
      </c>
      <c r="BE54" s="42">
        <f t="shared" si="4"/>
        <v>0</v>
      </c>
      <c r="BF54" s="42">
        <f t="shared" si="5"/>
        <v>0</v>
      </c>
      <c r="BG54" s="42">
        <f t="shared" si="6"/>
        <v>0</v>
      </c>
      <c r="BH54" s="42">
        <f t="shared" si="7"/>
        <v>0</v>
      </c>
      <c r="BI54" s="42">
        <f t="shared" si="8"/>
        <v>0</v>
      </c>
      <c r="BJ54" s="42">
        <f t="shared" si="9"/>
        <v>0</v>
      </c>
      <c r="BK54" s="42">
        <f t="shared" si="10"/>
        <v>8</v>
      </c>
    </row>
    <row r="55" spans="1:63" ht="27" customHeight="1">
      <c r="A55" s="11">
        <f t="shared" si="11"/>
        <v>53</v>
      </c>
      <c r="B55" s="12" t="s">
        <v>595</v>
      </c>
      <c r="C55" s="8">
        <v>572</v>
      </c>
      <c r="D55" s="74" t="s">
        <v>596</v>
      </c>
      <c r="E55" s="61">
        <v>130084883</v>
      </c>
      <c r="F55" s="62" t="s">
        <v>522</v>
      </c>
      <c r="G55" s="63" t="s">
        <v>597</v>
      </c>
      <c r="H55" s="13" t="s">
        <v>524</v>
      </c>
      <c r="I55" s="14" t="s">
        <v>598</v>
      </c>
      <c r="J55" s="64" t="s">
        <v>173</v>
      </c>
      <c r="K55" s="22">
        <v>32436</v>
      </c>
      <c r="L55" s="66" t="s">
        <v>174</v>
      </c>
      <c r="M55" s="23">
        <v>41835</v>
      </c>
      <c r="N55" s="23"/>
      <c r="O55" s="15" t="s">
        <v>32</v>
      </c>
      <c r="P55" s="16" t="s">
        <v>599</v>
      </c>
      <c r="Q55" s="16" t="s">
        <v>176</v>
      </c>
      <c r="R55" s="15" t="s">
        <v>177</v>
      </c>
      <c r="S55" s="17" t="s">
        <v>251</v>
      </c>
      <c r="T55" s="20"/>
      <c r="U55" s="20"/>
      <c r="V55" s="19" t="s">
        <v>195</v>
      </c>
      <c r="W55" s="19" t="s">
        <v>179</v>
      </c>
      <c r="X55" s="19">
        <v>9</v>
      </c>
      <c r="Y55" s="61" t="s">
        <v>179</v>
      </c>
      <c r="Z55" s="70" t="s">
        <v>181</v>
      </c>
      <c r="AA55" s="19"/>
      <c r="AB55" s="19"/>
      <c r="AC55" s="106"/>
      <c r="AD55" s="106"/>
      <c r="AE55" s="106"/>
      <c r="AF55" s="108"/>
      <c r="AG55" s="106"/>
      <c r="AH55" s="43"/>
      <c r="AI55" s="43"/>
      <c r="AJ55" s="19" t="s">
        <v>198</v>
      </c>
      <c r="AK55" s="19" t="s">
        <v>185</v>
      </c>
      <c r="AL55" s="19" t="s">
        <v>185</v>
      </c>
      <c r="AM55" s="107" t="s">
        <v>600</v>
      </c>
      <c r="AN55" s="20">
        <v>182</v>
      </c>
      <c r="AO55" s="20">
        <v>6</v>
      </c>
      <c r="AP55" s="20">
        <v>0</v>
      </c>
      <c r="AQ55" s="20">
        <v>0</v>
      </c>
      <c r="AR55" s="20">
        <v>0</v>
      </c>
      <c r="AS55" s="20">
        <v>7</v>
      </c>
      <c r="AT55" s="20">
        <v>10</v>
      </c>
      <c r="AU55" s="300">
        <f t="shared" si="1"/>
        <v>205</v>
      </c>
      <c r="AV55" s="20">
        <v>190</v>
      </c>
      <c r="AW55" s="20">
        <v>6</v>
      </c>
      <c r="AX55" s="20">
        <v>0</v>
      </c>
      <c r="AY55" s="20">
        <v>0</v>
      </c>
      <c r="AZ55" s="20">
        <v>0</v>
      </c>
      <c r="BA55" s="20">
        <v>7</v>
      </c>
      <c r="BB55" s="20">
        <v>10</v>
      </c>
      <c r="BC55" s="300">
        <f t="shared" si="2"/>
        <v>213</v>
      </c>
      <c r="BD55" s="42">
        <f t="shared" si="3"/>
        <v>8</v>
      </c>
      <c r="BE55" s="42">
        <f t="shared" si="4"/>
        <v>0</v>
      </c>
      <c r="BF55" s="42">
        <f t="shared" si="5"/>
        <v>0</v>
      </c>
      <c r="BG55" s="42">
        <f t="shared" si="6"/>
        <v>0</v>
      </c>
      <c r="BH55" s="42">
        <f t="shared" si="7"/>
        <v>0</v>
      </c>
      <c r="BI55" s="42">
        <f t="shared" si="8"/>
        <v>0</v>
      </c>
      <c r="BJ55" s="42">
        <f t="shared" si="9"/>
        <v>0</v>
      </c>
      <c r="BK55" s="42">
        <f t="shared" si="10"/>
        <v>8</v>
      </c>
    </row>
    <row r="56" spans="1:63" ht="27" customHeight="1">
      <c r="A56" s="11">
        <f t="shared" si="11"/>
        <v>54</v>
      </c>
      <c r="B56" s="12" t="s">
        <v>601</v>
      </c>
      <c r="C56" s="8">
        <v>546</v>
      </c>
      <c r="D56" s="60" t="s">
        <v>602</v>
      </c>
      <c r="E56" s="61" t="s">
        <v>185</v>
      </c>
      <c r="F56" s="62" t="s">
        <v>402</v>
      </c>
      <c r="G56" s="63" t="s">
        <v>603</v>
      </c>
      <c r="H56" s="13" t="s">
        <v>604</v>
      </c>
      <c r="I56" s="14" t="s">
        <v>605</v>
      </c>
      <c r="J56" s="64" t="s">
        <v>173</v>
      </c>
      <c r="K56" s="22">
        <v>34274</v>
      </c>
      <c r="L56" s="66" t="s">
        <v>174</v>
      </c>
      <c r="M56" s="23">
        <v>41828</v>
      </c>
      <c r="N56" s="23"/>
      <c r="O56" s="15" t="s">
        <v>24</v>
      </c>
      <c r="P56" s="16" t="s">
        <v>25</v>
      </c>
      <c r="Q56" s="16" t="s">
        <v>176</v>
      </c>
      <c r="R56" s="17" t="s">
        <v>177</v>
      </c>
      <c r="S56" s="17" t="s">
        <v>251</v>
      </c>
      <c r="T56" s="18"/>
      <c r="U56" s="18"/>
      <c r="V56" s="68" t="s">
        <v>195</v>
      </c>
      <c r="W56" s="68">
        <v>80</v>
      </c>
      <c r="X56" s="100">
        <v>9</v>
      </c>
      <c r="Y56" s="102" t="s">
        <v>606</v>
      </c>
      <c r="Z56" s="70" t="s">
        <v>181</v>
      </c>
      <c r="AA56" s="19"/>
      <c r="AB56" s="19"/>
      <c r="AC56" s="106"/>
      <c r="AD56" s="106"/>
      <c r="AE56" s="106"/>
      <c r="AF56" s="108"/>
      <c r="AG56" s="106"/>
      <c r="AH56" s="43"/>
      <c r="AI56" s="43"/>
      <c r="AJ56" s="19" t="s">
        <v>198</v>
      </c>
      <c r="AK56" s="19" t="s">
        <v>185</v>
      </c>
      <c r="AL56" s="19" t="s">
        <v>185</v>
      </c>
      <c r="AM56" s="107" t="s">
        <v>607</v>
      </c>
      <c r="AN56" s="20">
        <v>182</v>
      </c>
      <c r="AO56" s="20">
        <v>6</v>
      </c>
      <c r="AP56" s="20">
        <v>0</v>
      </c>
      <c r="AQ56" s="20">
        <v>40</v>
      </c>
      <c r="AR56" s="20">
        <v>0</v>
      </c>
      <c r="AS56" s="20">
        <v>7</v>
      </c>
      <c r="AT56" s="20">
        <v>10</v>
      </c>
      <c r="AU56" s="300">
        <f t="shared" si="1"/>
        <v>245</v>
      </c>
      <c r="AV56" s="20">
        <v>190</v>
      </c>
      <c r="AW56" s="20">
        <v>6</v>
      </c>
      <c r="AX56" s="20">
        <v>0</v>
      </c>
      <c r="AY56" s="20">
        <v>40</v>
      </c>
      <c r="AZ56" s="20">
        <v>0</v>
      </c>
      <c r="BA56" s="20">
        <v>7</v>
      </c>
      <c r="BB56" s="20">
        <v>10</v>
      </c>
      <c r="BC56" s="300">
        <f t="shared" si="2"/>
        <v>253</v>
      </c>
      <c r="BD56" s="42">
        <f t="shared" si="3"/>
        <v>8</v>
      </c>
      <c r="BE56" s="42">
        <f t="shared" si="4"/>
        <v>0</v>
      </c>
      <c r="BF56" s="42">
        <f t="shared" si="5"/>
        <v>0</v>
      </c>
      <c r="BG56" s="42">
        <f t="shared" si="6"/>
        <v>0</v>
      </c>
      <c r="BH56" s="42">
        <f t="shared" si="7"/>
        <v>0</v>
      </c>
      <c r="BI56" s="42">
        <f t="shared" si="8"/>
        <v>0</v>
      </c>
      <c r="BJ56" s="42">
        <f t="shared" si="9"/>
        <v>0</v>
      </c>
      <c r="BK56" s="42">
        <f t="shared" si="10"/>
        <v>8</v>
      </c>
    </row>
    <row r="57" spans="1:63" ht="27" customHeight="1">
      <c r="A57" s="11">
        <f t="shared" si="11"/>
        <v>55</v>
      </c>
      <c r="B57" s="12" t="s">
        <v>608</v>
      </c>
      <c r="C57" s="8">
        <v>609</v>
      </c>
      <c r="D57" s="60" t="s">
        <v>609</v>
      </c>
      <c r="E57" s="61">
        <v>110521997</v>
      </c>
      <c r="F57" s="62" t="s">
        <v>610</v>
      </c>
      <c r="G57" s="63" t="s">
        <v>611</v>
      </c>
      <c r="H57" s="13" t="s">
        <v>612</v>
      </c>
      <c r="I57" s="14" t="s">
        <v>613</v>
      </c>
      <c r="J57" s="64" t="s">
        <v>173</v>
      </c>
      <c r="K57" s="22">
        <v>31416</v>
      </c>
      <c r="L57" s="66" t="s">
        <v>174</v>
      </c>
      <c r="M57" s="23">
        <v>41838</v>
      </c>
      <c r="N57" s="23"/>
      <c r="O57" s="15" t="s">
        <v>32</v>
      </c>
      <c r="P57" s="16" t="s">
        <v>222</v>
      </c>
      <c r="Q57" s="16" t="s">
        <v>176</v>
      </c>
      <c r="R57" s="15" t="s">
        <v>177</v>
      </c>
      <c r="S57" s="15" t="s">
        <v>223</v>
      </c>
      <c r="T57" s="20" t="s">
        <v>335</v>
      </c>
      <c r="U57" s="20" t="s">
        <v>614</v>
      </c>
      <c r="V57" s="19" t="s">
        <v>195</v>
      </c>
      <c r="W57" s="19" t="s">
        <v>179</v>
      </c>
      <c r="X57" s="19">
        <v>6</v>
      </c>
      <c r="Y57" s="61" t="s">
        <v>615</v>
      </c>
      <c r="Z57" s="70" t="s">
        <v>181</v>
      </c>
      <c r="AA57" s="19"/>
      <c r="AB57" s="19"/>
      <c r="AC57" s="106"/>
      <c r="AD57" s="106"/>
      <c r="AE57" s="106"/>
      <c r="AF57" s="108"/>
      <c r="AG57" s="106"/>
      <c r="AH57" s="43"/>
      <c r="AI57" s="43"/>
      <c r="AJ57" s="19" t="s">
        <v>198</v>
      </c>
      <c r="AK57" s="19" t="s">
        <v>185</v>
      </c>
      <c r="AL57" s="19" t="s">
        <v>185</v>
      </c>
      <c r="AM57" s="107" t="s">
        <v>616</v>
      </c>
      <c r="AN57" s="20">
        <v>182</v>
      </c>
      <c r="AO57" s="20">
        <v>6</v>
      </c>
      <c r="AP57" s="20">
        <v>0</v>
      </c>
      <c r="AQ57" s="20">
        <v>0</v>
      </c>
      <c r="AR57" s="20">
        <v>0</v>
      </c>
      <c r="AS57" s="20">
        <v>7</v>
      </c>
      <c r="AT57" s="20">
        <v>10</v>
      </c>
      <c r="AU57" s="300">
        <f t="shared" si="1"/>
        <v>205</v>
      </c>
      <c r="AV57" s="20">
        <v>190</v>
      </c>
      <c r="AW57" s="20">
        <v>6</v>
      </c>
      <c r="AX57" s="20">
        <v>0</v>
      </c>
      <c r="AY57" s="20">
        <v>0</v>
      </c>
      <c r="AZ57" s="20">
        <v>0</v>
      </c>
      <c r="BA57" s="20">
        <v>7</v>
      </c>
      <c r="BB57" s="20">
        <v>10</v>
      </c>
      <c r="BC57" s="300">
        <f t="shared" si="2"/>
        <v>213</v>
      </c>
      <c r="BD57" s="42">
        <f t="shared" si="3"/>
        <v>8</v>
      </c>
      <c r="BE57" s="42">
        <f t="shared" si="4"/>
        <v>0</v>
      </c>
      <c r="BF57" s="42">
        <f t="shared" si="5"/>
        <v>0</v>
      </c>
      <c r="BG57" s="42">
        <f t="shared" si="6"/>
        <v>0</v>
      </c>
      <c r="BH57" s="42">
        <f t="shared" si="7"/>
        <v>0</v>
      </c>
      <c r="BI57" s="42">
        <f t="shared" si="8"/>
        <v>0</v>
      </c>
      <c r="BJ57" s="42">
        <f t="shared" si="9"/>
        <v>0</v>
      </c>
      <c r="BK57" s="42">
        <f t="shared" si="10"/>
        <v>8</v>
      </c>
    </row>
    <row r="58" spans="1:63" ht="27" customHeight="1">
      <c r="A58" s="11">
        <f t="shared" si="11"/>
        <v>56</v>
      </c>
      <c r="B58" s="12" t="s">
        <v>617</v>
      </c>
      <c r="C58" s="8">
        <v>475</v>
      </c>
      <c r="D58" s="60" t="s">
        <v>618</v>
      </c>
      <c r="E58" s="61">
        <v>120022511</v>
      </c>
      <c r="F58" s="62" t="s">
        <v>619</v>
      </c>
      <c r="G58" s="63" t="s">
        <v>620</v>
      </c>
      <c r="H58" s="13" t="s">
        <v>621</v>
      </c>
      <c r="I58" s="14" t="s">
        <v>622</v>
      </c>
      <c r="J58" s="64" t="s">
        <v>173</v>
      </c>
      <c r="K58" s="22">
        <v>31633</v>
      </c>
      <c r="L58" s="66" t="s">
        <v>174</v>
      </c>
      <c r="M58" s="23">
        <v>41822</v>
      </c>
      <c r="N58" s="23"/>
      <c r="O58" s="15" t="s">
        <v>32</v>
      </c>
      <c r="P58" s="16" t="s">
        <v>397</v>
      </c>
      <c r="Q58" s="16" t="s">
        <v>176</v>
      </c>
      <c r="R58" s="15" t="s">
        <v>177</v>
      </c>
      <c r="S58" s="17" t="s">
        <v>251</v>
      </c>
      <c r="T58" s="20"/>
      <c r="U58" s="20"/>
      <c r="V58" s="19" t="s">
        <v>195</v>
      </c>
      <c r="W58" s="19" t="s">
        <v>179</v>
      </c>
      <c r="X58" s="19">
        <v>12</v>
      </c>
      <c r="Y58" s="61" t="s">
        <v>623</v>
      </c>
      <c r="Z58" s="19"/>
      <c r="AA58" s="70" t="s">
        <v>181</v>
      </c>
      <c r="AB58" s="19"/>
      <c r="AC58" s="106" t="s">
        <v>624</v>
      </c>
      <c r="AD58" s="106" t="s">
        <v>472</v>
      </c>
      <c r="AE58" s="106" t="s">
        <v>558</v>
      </c>
      <c r="AF58" s="108"/>
      <c r="AG58" s="106"/>
      <c r="AH58" s="43"/>
      <c r="AI58" s="43"/>
      <c r="AJ58" s="19" t="s">
        <v>198</v>
      </c>
      <c r="AK58" s="19" t="s">
        <v>185</v>
      </c>
      <c r="AL58" s="19" t="s">
        <v>185</v>
      </c>
      <c r="AM58" s="107" t="s">
        <v>625</v>
      </c>
      <c r="AN58" s="20">
        <v>182</v>
      </c>
      <c r="AO58" s="20">
        <v>6</v>
      </c>
      <c r="AP58" s="20">
        <v>0</v>
      </c>
      <c r="AQ58" s="20">
        <v>50</v>
      </c>
      <c r="AR58" s="20">
        <v>0</v>
      </c>
      <c r="AS58" s="20">
        <v>7</v>
      </c>
      <c r="AT58" s="20">
        <v>10</v>
      </c>
      <c r="AU58" s="300">
        <f t="shared" si="1"/>
        <v>255</v>
      </c>
      <c r="AV58" s="20">
        <v>190</v>
      </c>
      <c r="AW58" s="20">
        <v>6</v>
      </c>
      <c r="AX58" s="20">
        <v>0</v>
      </c>
      <c r="AY58" s="20">
        <v>50</v>
      </c>
      <c r="AZ58" s="20">
        <v>0</v>
      </c>
      <c r="BA58" s="20">
        <v>7</v>
      </c>
      <c r="BB58" s="20">
        <v>10</v>
      </c>
      <c r="BC58" s="300">
        <f t="shared" si="2"/>
        <v>263</v>
      </c>
      <c r="BD58" s="42">
        <f t="shared" si="3"/>
        <v>8</v>
      </c>
      <c r="BE58" s="42">
        <f t="shared" si="4"/>
        <v>0</v>
      </c>
      <c r="BF58" s="42">
        <f t="shared" si="5"/>
        <v>0</v>
      </c>
      <c r="BG58" s="42">
        <f t="shared" si="6"/>
        <v>0</v>
      </c>
      <c r="BH58" s="42">
        <f t="shared" si="7"/>
        <v>0</v>
      </c>
      <c r="BI58" s="42">
        <f t="shared" si="8"/>
        <v>0</v>
      </c>
      <c r="BJ58" s="42">
        <f t="shared" si="9"/>
        <v>0</v>
      </c>
      <c r="BK58" s="42">
        <f t="shared" si="10"/>
        <v>8</v>
      </c>
    </row>
    <row r="59" spans="1:63" ht="27" customHeight="1">
      <c r="A59" s="11">
        <f t="shared" si="11"/>
        <v>57</v>
      </c>
      <c r="B59" s="12" t="s">
        <v>626</v>
      </c>
      <c r="C59" s="8">
        <v>605</v>
      </c>
      <c r="D59" s="60" t="s">
        <v>627</v>
      </c>
      <c r="E59" s="61" t="s">
        <v>185</v>
      </c>
      <c r="F59" s="62" t="s">
        <v>387</v>
      </c>
      <c r="G59" s="63" t="s">
        <v>628</v>
      </c>
      <c r="H59" s="13" t="s">
        <v>629</v>
      </c>
      <c r="I59" s="14" t="s">
        <v>630</v>
      </c>
      <c r="J59" s="64" t="s">
        <v>173</v>
      </c>
      <c r="K59" s="22">
        <v>31974</v>
      </c>
      <c r="L59" s="66" t="s">
        <v>174</v>
      </c>
      <c r="M59" s="23">
        <v>41837</v>
      </c>
      <c r="N59" s="23"/>
      <c r="O59" s="15" t="s">
        <v>24</v>
      </c>
      <c r="P59" s="16" t="s">
        <v>631</v>
      </c>
      <c r="Q59" s="16" t="s">
        <v>176</v>
      </c>
      <c r="R59" s="15" t="s">
        <v>177</v>
      </c>
      <c r="S59" s="17" t="s">
        <v>251</v>
      </c>
      <c r="T59" s="20"/>
      <c r="U59" s="20"/>
      <c r="V59" s="19" t="s">
        <v>195</v>
      </c>
      <c r="W59" s="19">
        <v>2389</v>
      </c>
      <c r="X59" s="19">
        <v>10</v>
      </c>
      <c r="Y59" s="61" t="s">
        <v>632</v>
      </c>
      <c r="Z59" s="19"/>
      <c r="AA59" s="70" t="s">
        <v>181</v>
      </c>
      <c r="AB59" s="19"/>
      <c r="AC59" s="106" t="s">
        <v>633</v>
      </c>
      <c r="AD59" s="106"/>
      <c r="AE59" s="106"/>
      <c r="AF59" s="108"/>
      <c r="AG59" s="106"/>
      <c r="AH59" s="43"/>
      <c r="AI59" s="43"/>
      <c r="AJ59" s="19" t="s">
        <v>198</v>
      </c>
      <c r="AK59" s="19" t="s">
        <v>185</v>
      </c>
      <c r="AL59" s="19" t="s">
        <v>186</v>
      </c>
      <c r="AM59" s="107" t="s">
        <v>634</v>
      </c>
      <c r="AN59" s="20">
        <v>182</v>
      </c>
      <c r="AO59" s="20">
        <v>6</v>
      </c>
      <c r="AP59" s="20">
        <v>0</v>
      </c>
      <c r="AQ59" s="20">
        <v>0</v>
      </c>
      <c r="AR59" s="20">
        <v>0</v>
      </c>
      <c r="AS59" s="20">
        <v>7</v>
      </c>
      <c r="AT59" s="20">
        <v>10</v>
      </c>
      <c r="AU59" s="300">
        <f t="shared" si="1"/>
        <v>205</v>
      </c>
      <c r="AV59" s="20">
        <v>190</v>
      </c>
      <c r="AW59" s="20">
        <v>6</v>
      </c>
      <c r="AX59" s="20">
        <v>0</v>
      </c>
      <c r="AY59" s="20">
        <v>0</v>
      </c>
      <c r="AZ59" s="20">
        <v>0</v>
      </c>
      <c r="BA59" s="20">
        <v>7</v>
      </c>
      <c r="BB59" s="20">
        <v>10</v>
      </c>
      <c r="BC59" s="300">
        <f t="shared" si="2"/>
        <v>213</v>
      </c>
      <c r="BD59" s="42">
        <f t="shared" si="3"/>
        <v>8</v>
      </c>
      <c r="BE59" s="42">
        <f t="shared" si="4"/>
        <v>0</v>
      </c>
      <c r="BF59" s="42">
        <f t="shared" si="5"/>
        <v>0</v>
      </c>
      <c r="BG59" s="42">
        <f t="shared" si="6"/>
        <v>0</v>
      </c>
      <c r="BH59" s="42">
        <f t="shared" si="7"/>
        <v>0</v>
      </c>
      <c r="BI59" s="42">
        <f t="shared" si="8"/>
        <v>0</v>
      </c>
      <c r="BJ59" s="42">
        <f t="shared" si="9"/>
        <v>0</v>
      </c>
      <c r="BK59" s="42">
        <f t="shared" si="10"/>
        <v>8</v>
      </c>
    </row>
    <row r="60" spans="1:63" ht="27" customHeight="1">
      <c r="A60" s="11">
        <f t="shared" si="11"/>
        <v>58</v>
      </c>
      <c r="B60" s="12" t="s">
        <v>635</v>
      </c>
      <c r="C60" s="8">
        <v>603</v>
      </c>
      <c r="D60" s="60" t="s">
        <v>636</v>
      </c>
      <c r="E60" s="61">
        <v>130148368</v>
      </c>
      <c r="F60" s="62" t="s">
        <v>637</v>
      </c>
      <c r="G60" s="63" t="s">
        <v>638</v>
      </c>
      <c r="H60" s="13" t="s">
        <v>639</v>
      </c>
      <c r="I60" s="14" t="s">
        <v>640</v>
      </c>
      <c r="J60" s="64" t="s">
        <v>173</v>
      </c>
      <c r="K60" s="22">
        <v>35349</v>
      </c>
      <c r="L60" s="66" t="s">
        <v>174</v>
      </c>
      <c r="M60" s="23">
        <v>41837</v>
      </c>
      <c r="N60" s="23"/>
      <c r="O60" s="15" t="s">
        <v>32</v>
      </c>
      <c r="P60" s="16" t="s">
        <v>222</v>
      </c>
      <c r="Q60" s="16" t="s">
        <v>176</v>
      </c>
      <c r="R60" s="15" t="s">
        <v>177</v>
      </c>
      <c r="S60" s="17" t="s">
        <v>251</v>
      </c>
      <c r="T60" s="20"/>
      <c r="U60" s="20"/>
      <c r="V60" s="19" t="s">
        <v>195</v>
      </c>
      <c r="W60" s="19" t="s">
        <v>179</v>
      </c>
      <c r="X60" s="19">
        <v>9</v>
      </c>
      <c r="Y60" s="61" t="s">
        <v>179</v>
      </c>
      <c r="Z60" s="70" t="s">
        <v>181</v>
      </c>
      <c r="AA60" s="19"/>
      <c r="AB60" s="19"/>
      <c r="AC60" s="106"/>
      <c r="AD60" s="106"/>
      <c r="AE60" s="106"/>
      <c r="AF60" s="108"/>
      <c r="AG60" s="106"/>
      <c r="AH60" s="43"/>
      <c r="AI60" s="43"/>
      <c r="AJ60" s="19" t="s">
        <v>198</v>
      </c>
      <c r="AK60" s="19" t="s">
        <v>185</v>
      </c>
      <c r="AL60" s="19" t="s">
        <v>185</v>
      </c>
      <c r="AM60" s="107" t="s">
        <v>641</v>
      </c>
      <c r="AN60" s="20">
        <v>182</v>
      </c>
      <c r="AO60" s="20">
        <v>6</v>
      </c>
      <c r="AP60" s="20">
        <v>0</v>
      </c>
      <c r="AQ60" s="20">
        <v>10</v>
      </c>
      <c r="AR60" s="20">
        <v>0</v>
      </c>
      <c r="AS60" s="20">
        <v>7</v>
      </c>
      <c r="AT60" s="20">
        <v>10</v>
      </c>
      <c r="AU60" s="300">
        <f t="shared" si="1"/>
        <v>215</v>
      </c>
      <c r="AV60" s="20">
        <v>190</v>
      </c>
      <c r="AW60" s="20">
        <v>6</v>
      </c>
      <c r="AX60" s="20">
        <v>0</v>
      </c>
      <c r="AY60" s="20">
        <v>10</v>
      </c>
      <c r="AZ60" s="20">
        <v>0</v>
      </c>
      <c r="BA60" s="20">
        <v>7</v>
      </c>
      <c r="BB60" s="20">
        <v>10</v>
      </c>
      <c r="BC60" s="300">
        <f t="shared" si="2"/>
        <v>223</v>
      </c>
      <c r="BD60" s="42">
        <f t="shared" si="3"/>
        <v>8</v>
      </c>
      <c r="BE60" s="42">
        <f t="shared" si="4"/>
        <v>0</v>
      </c>
      <c r="BF60" s="42">
        <f t="shared" si="5"/>
        <v>0</v>
      </c>
      <c r="BG60" s="42">
        <f t="shared" si="6"/>
        <v>0</v>
      </c>
      <c r="BH60" s="42">
        <f t="shared" si="7"/>
        <v>0</v>
      </c>
      <c r="BI60" s="42">
        <f t="shared" si="8"/>
        <v>0</v>
      </c>
      <c r="BJ60" s="42">
        <f t="shared" si="9"/>
        <v>0</v>
      </c>
      <c r="BK60" s="42">
        <f t="shared" si="10"/>
        <v>8</v>
      </c>
    </row>
    <row r="61" spans="1:63" ht="27" customHeight="1">
      <c r="A61" s="11">
        <f t="shared" si="11"/>
        <v>59</v>
      </c>
      <c r="B61" s="132" t="s">
        <v>642</v>
      </c>
      <c r="C61" s="132">
        <v>542</v>
      </c>
      <c r="D61" s="133" t="s">
        <v>643</v>
      </c>
      <c r="E61" s="134">
        <v>130018163</v>
      </c>
      <c r="F61" s="135" t="s">
        <v>644</v>
      </c>
      <c r="G61" s="136" t="s">
        <v>645</v>
      </c>
      <c r="H61" s="137" t="s">
        <v>646</v>
      </c>
      <c r="I61" s="138" t="s">
        <v>647</v>
      </c>
      <c r="J61" s="139" t="s">
        <v>173</v>
      </c>
      <c r="K61" s="140">
        <v>29164</v>
      </c>
      <c r="L61" s="141" t="s">
        <v>174</v>
      </c>
      <c r="M61" s="142">
        <v>41828</v>
      </c>
      <c r="N61" s="142"/>
      <c r="O61" s="143" t="s">
        <v>32</v>
      </c>
      <c r="P61" s="16" t="s">
        <v>507</v>
      </c>
      <c r="Q61" s="16" t="s">
        <v>176</v>
      </c>
      <c r="R61" s="143" t="s">
        <v>177</v>
      </c>
      <c r="S61" s="17" t="s">
        <v>251</v>
      </c>
      <c r="T61" s="144"/>
      <c r="U61" s="144"/>
      <c r="V61" s="145" t="s">
        <v>195</v>
      </c>
      <c r="W61" s="145" t="s">
        <v>179</v>
      </c>
      <c r="X61" s="145">
        <v>9</v>
      </c>
      <c r="Y61" s="134" t="s">
        <v>648</v>
      </c>
      <c r="Z61" s="146" t="s">
        <v>181</v>
      </c>
      <c r="AA61" s="145"/>
      <c r="AB61" s="145"/>
      <c r="AC61" s="147"/>
      <c r="AD61" s="147"/>
      <c r="AE61" s="147"/>
      <c r="AF61" s="148"/>
      <c r="AG61" s="147"/>
      <c r="AH61" s="149"/>
      <c r="AI61" s="149"/>
      <c r="AJ61" s="145" t="s">
        <v>198</v>
      </c>
      <c r="AK61" s="145" t="s">
        <v>185</v>
      </c>
      <c r="AL61" s="145" t="s">
        <v>186</v>
      </c>
      <c r="AM61" s="150" t="s">
        <v>649</v>
      </c>
      <c r="AN61" s="20">
        <v>182</v>
      </c>
      <c r="AO61" s="20">
        <v>6</v>
      </c>
      <c r="AP61" s="20">
        <v>0</v>
      </c>
      <c r="AQ61" s="20">
        <v>0</v>
      </c>
      <c r="AR61" s="20">
        <v>0</v>
      </c>
      <c r="AS61" s="20">
        <v>7</v>
      </c>
      <c r="AT61" s="20">
        <v>10</v>
      </c>
      <c r="AU61" s="300">
        <f t="shared" si="1"/>
        <v>205</v>
      </c>
      <c r="AV61" s="20">
        <v>190</v>
      </c>
      <c r="AW61" s="20">
        <v>6</v>
      </c>
      <c r="AX61" s="20">
        <v>0</v>
      </c>
      <c r="AY61" s="20">
        <v>0</v>
      </c>
      <c r="AZ61" s="20">
        <v>0</v>
      </c>
      <c r="BA61" s="20">
        <v>7</v>
      </c>
      <c r="BB61" s="20">
        <v>10</v>
      </c>
      <c r="BC61" s="300">
        <f t="shared" si="2"/>
        <v>213</v>
      </c>
      <c r="BD61" s="42">
        <f t="shared" si="3"/>
        <v>8</v>
      </c>
      <c r="BE61" s="42">
        <f t="shared" si="4"/>
        <v>0</v>
      </c>
      <c r="BF61" s="42">
        <f t="shared" si="5"/>
        <v>0</v>
      </c>
      <c r="BG61" s="42">
        <f t="shared" si="6"/>
        <v>0</v>
      </c>
      <c r="BH61" s="42">
        <f t="shared" si="7"/>
        <v>0</v>
      </c>
      <c r="BI61" s="42">
        <f t="shared" si="8"/>
        <v>0</v>
      </c>
      <c r="BJ61" s="42">
        <f t="shared" si="9"/>
        <v>0</v>
      </c>
      <c r="BK61" s="42">
        <f t="shared" si="10"/>
        <v>8</v>
      </c>
    </row>
    <row r="62" spans="1:63" ht="27" customHeight="1">
      <c r="A62" s="11">
        <f t="shared" si="11"/>
        <v>60</v>
      </c>
      <c r="B62" s="12" t="s">
        <v>650</v>
      </c>
      <c r="C62" s="8">
        <v>501</v>
      </c>
      <c r="D62" s="60" t="s">
        <v>651</v>
      </c>
      <c r="E62" s="61">
        <v>130022698</v>
      </c>
      <c r="F62" s="62" t="s">
        <v>218</v>
      </c>
      <c r="G62" s="63" t="s">
        <v>652</v>
      </c>
      <c r="H62" s="13" t="s">
        <v>653</v>
      </c>
      <c r="I62" s="14" t="s">
        <v>654</v>
      </c>
      <c r="J62" s="64" t="s">
        <v>173</v>
      </c>
      <c r="K62" s="22">
        <v>29322</v>
      </c>
      <c r="L62" s="66" t="s">
        <v>174</v>
      </c>
      <c r="M62" s="23">
        <v>41823</v>
      </c>
      <c r="N62" s="23"/>
      <c r="O62" s="15" t="s">
        <v>32</v>
      </c>
      <c r="P62" s="16" t="s">
        <v>222</v>
      </c>
      <c r="Q62" s="16" t="s">
        <v>176</v>
      </c>
      <c r="R62" s="15" t="s">
        <v>177</v>
      </c>
      <c r="S62" s="17" t="s">
        <v>178</v>
      </c>
      <c r="T62" s="20"/>
      <c r="U62" s="20"/>
      <c r="V62" s="19" t="s">
        <v>195</v>
      </c>
      <c r="W62" s="19" t="s">
        <v>179</v>
      </c>
      <c r="X62" s="19">
        <v>7</v>
      </c>
      <c r="Y62" s="61" t="s">
        <v>655</v>
      </c>
      <c r="Z62" s="19"/>
      <c r="AA62" s="70" t="s">
        <v>181</v>
      </c>
      <c r="AB62" s="19"/>
      <c r="AC62" s="106" t="s">
        <v>492</v>
      </c>
      <c r="AD62" s="106"/>
      <c r="AE62" s="106"/>
      <c r="AF62" s="108"/>
      <c r="AG62" s="106"/>
      <c r="AH62" s="43"/>
      <c r="AI62" s="43"/>
      <c r="AJ62" s="19" t="s">
        <v>198</v>
      </c>
      <c r="AK62" s="19" t="s">
        <v>185</v>
      </c>
      <c r="AL62" s="19" t="s">
        <v>198</v>
      </c>
      <c r="AM62" s="107" t="s">
        <v>656</v>
      </c>
      <c r="AN62" s="20">
        <v>182</v>
      </c>
      <c r="AO62" s="20">
        <v>0</v>
      </c>
      <c r="AP62" s="20">
        <v>0</v>
      </c>
      <c r="AQ62" s="20">
        <v>0</v>
      </c>
      <c r="AR62" s="20">
        <v>0</v>
      </c>
      <c r="AS62" s="20">
        <v>7</v>
      </c>
      <c r="AT62" s="20">
        <v>10</v>
      </c>
      <c r="AU62" s="300">
        <f t="shared" si="1"/>
        <v>199</v>
      </c>
      <c r="AV62" s="20">
        <v>190</v>
      </c>
      <c r="AW62" s="20">
        <v>0</v>
      </c>
      <c r="AX62" s="20">
        <v>0</v>
      </c>
      <c r="AY62" s="20">
        <v>0</v>
      </c>
      <c r="AZ62" s="20">
        <v>0</v>
      </c>
      <c r="BA62" s="20">
        <v>7</v>
      </c>
      <c r="BB62" s="20">
        <v>10</v>
      </c>
      <c r="BC62" s="300">
        <f t="shared" si="2"/>
        <v>207</v>
      </c>
      <c r="BD62" s="42">
        <f t="shared" si="3"/>
        <v>8</v>
      </c>
      <c r="BE62" s="42">
        <f t="shared" si="4"/>
        <v>0</v>
      </c>
      <c r="BF62" s="42">
        <f t="shared" si="5"/>
        <v>0</v>
      </c>
      <c r="BG62" s="42">
        <f t="shared" si="6"/>
        <v>0</v>
      </c>
      <c r="BH62" s="42">
        <f t="shared" si="7"/>
        <v>0</v>
      </c>
      <c r="BI62" s="42">
        <f t="shared" si="8"/>
        <v>0</v>
      </c>
      <c r="BJ62" s="42">
        <f t="shared" si="9"/>
        <v>0</v>
      </c>
      <c r="BK62" s="42">
        <f t="shared" si="10"/>
        <v>8</v>
      </c>
    </row>
    <row r="63" spans="1:63" ht="27" customHeight="1">
      <c r="A63" s="11">
        <f t="shared" si="11"/>
        <v>61</v>
      </c>
      <c r="B63" s="12" t="s">
        <v>657</v>
      </c>
      <c r="C63" s="8">
        <v>488</v>
      </c>
      <c r="D63" s="60" t="s">
        <v>658</v>
      </c>
      <c r="E63" s="61">
        <v>614705955</v>
      </c>
      <c r="F63" s="62" t="s">
        <v>659</v>
      </c>
      <c r="G63" s="63" t="s">
        <v>660</v>
      </c>
      <c r="H63" s="13" t="s">
        <v>661</v>
      </c>
      <c r="I63" s="14" t="s">
        <v>662</v>
      </c>
      <c r="J63" s="64" t="s">
        <v>173</v>
      </c>
      <c r="K63" s="22">
        <v>33480</v>
      </c>
      <c r="L63" s="66" t="s">
        <v>174</v>
      </c>
      <c r="M63" s="23">
        <v>41822</v>
      </c>
      <c r="N63" s="23"/>
      <c r="O63" s="15" t="s">
        <v>32</v>
      </c>
      <c r="P63" s="16" t="s">
        <v>381</v>
      </c>
      <c r="Q63" s="16" t="s">
        <v>176</v>
      </c>
      <c r="R63" s="15" t="s">
        <v>177</v>
      </c>
      <c r="S63" s="17" t="s">
        <v>178</v>
      </c>
      <c r="T63" s="20"/>
      <c r="U63" s="20"/>
      <c r="V63" s="19" t="s">
        <v>195</v>
      </c>
      <c r="W63" s="19" t="s">
        <v>179</v>
      </c>
      <c r="X63" s="19">
        <v>8</v>
      </c>
      <c r="Y63" s="61" t="s">
        <v>179</v>
      </c>
      <c r="Z63" s="19"/>
      <c r="AA63" s="70" t="s">
        <v>181</v>
      </c>
      <c r="AB63" s="19"/>
      <c r="AC63" s="106" t="s">
        <v>492</v>
      </c>
      <c r="AD63" s="106"/>
      <c r="AE63" s="106"/>
      <c r="AF63" s="108"/>
      <c r="AG63" s="106"/>
      <c r="AH63" s="43"/>
      <c r="AI63" s="43"/>
      <c r="AJ63" s="19" t="s">
        <v>198</v>
      </c>
      <c r="AK63" s="19" t="s">
        <v>185</v>
      </c>
      <c r="AL63" s="19" t="s">
        <v>198</v>
      </c>
      <c r="AM63" s="107" t="s">
        <v>656</v>
      </c>
      <c r="AN63" s="20">
        <v>182</v>
      </c>
      <c r="AO63" s="20">
        <v>6</v>
      </c>
      <c r="AP63" s="20">
        <v>0</v>
      </c>
      <c r="AQ63" s="20">
        <v>0</v>
      </c>
      <c r="AR63" s="20">
        <v>0</v>
      </c>
      <c r="AS63" s="20">
        <v>7</v>
      </c>
      <c r="AT63" s="20">
        <v>10</v>
      </c>
      <c r="AU63" s="300">
        <f t="shared" si="1"/>
        <v>205</v>
      </c>
      <c r="AV63" s="20">
        <v>190</v>
      </c>
      <c r="AW63" s="20">
        <v>6</v>
      </c>
      <c r="AX63" s="20">
        <v>0</v>
      </c>
      <c r="AY63" s="20">
        <v>0</v>
      </c>
      <c r="AZ63" s="20">
        <v>0</v>
      </c>
      <c r="BA63" s="20">
        <v>7</v>
      </c>
      <c r="BB63" s="20">
        <v>10</v>
      </c>
      <c r="BC63" s="300">
        <f t="shared" si="2"/>
        <v>213</v>
      </c>
      <c r="BD63" s="42">
        <f t="shared" si="3"/>
        <v>8</v>
      </c>
      <c r="BE63" s="42">
        <f t="shared" si="4"/>
        <v>0</v>
      </c>
      <c r="BF63" s="42">
        <f t="shared" si="5"/>
        <v>0</v>
      </c>
      <c r="BG63" s="42">
        <f t="shared" si="6"/>
        <v>0</v>
      </c>
      <c r="BH63" s="42">
        <f t="shared" si="7"/>
        <v>0</v>
      </c>
      <c r="BI63" s="42">
        <f t="shared" si="8"/>
        <v>0</v>
      </c>
      <c r="BJ63" s="42">
        <f t="shared" si="9"/>
        <v>0</v>
      </c>
      <c r="BK63" s="42">
        <f t="shared" si="10"/>
        <v>8</v>
      </c>
    </row>
    <row r="64" spans="1:63" ht="27" customHeight="1">
      <c r="A64" s="11">
        <f t="shared" si="11"/>
        <v>62</v>
      </c>
      <c r="B64" s="12" t="s">
        <v>663</v>
      </c>
      <c r="C64" s="8">
        <v>620</v>
      </c>
      <c r="D64" s="60" t="s">
        <v>664</v>
      </c>
      <c r="E64" s="61" t="s">
        <v>185</v>
      </c>
      <c r="F64" s="62" t="s">
        <v>402</v>
      </c>
      <c r="G64" s="63" t="s">
        <v>665</v>
      </c>
      <c r="H64" s="13" t="s">
        <v>604</v>
      </c>
      <c r="I64" s="14" t="s">
        <v>666</v>
      </c>
      <c r="J64" s="64" t="s">
        <v>173</v>
      </c>
      <c r="K64" s="22">
        <v>35498</v>
      </c>
      <c r="L64" s="66" t="s">
        <v>174</v>
      </c>
      <c r="M64" s="23">
        <v>41839</v>
      </c>
      <c r="N64" s="23"/>
      <c r="O64" s="15" t="s">
        <v>286</v>
      </c>
      <c r="P64" s="16" t="s">
        <v>556</v>
      </c>
      <c r="Q64" s="16" t="s">
        <v>176</v>
      </c>
      <c r="R64" s="17" t="s">
        <v>177</v>
      </c>
      <c r="S64" s="17" t="s">
        <v>251</v>
      </c>
      <c r="T64" s="18"/>
      <c r="U64" s="18"/>
      <c r="V64" s="68" t="s">
        <v>195</v>
      </c>
      <c r="W64" s="68">
        <v>83</v>
      </c>
      <c r="X64" s="68">
        <v>10</v>
      </c>
      <c r="Y64" s="69" t="s">
        <v>179</v>
      </c>
      <c r="Z64" s="70" t="s">
        <v>181</v>
      </c>
      <c r="AA64" s="19"/>
      <c r="AB64" s="19"/>
      <c r="AC64" s="106"/>
      <c r="AD64" s="106"/>
      <c r="AE64" s="106"/>
      <c r="AF64" s="108"/>
      <c r="AG64" s="106"/>
      <c r="AH64" s="43"/>
      <c r="AI64" s="43"/>
      <c r="AJ64" s="19" t="s">
        <v>198</v>
      </c>
      <c r="AK64" s="19" t="s">
        <v>185</v>
      </c>
      <c r="AL64" s="19" t="s">
        <v>186</v>
      </c>
      <c r="AM64" s="107" t="s">
        <v>667</v>
      </c>
      <c r="AN64" s="20">
        <v>182</v>
      </c>
      <c r="AO64" s="20">
        <v>6</v>
      </c>
      <c r="AP64" s="20">
        <v>0</v>
      </c>
      <c r="AQ64" s="20">
        <v>30</v>
      </c>
      <c r="AR64" s="20">
        <v>0</v>
      </c>
      <c r="AS64" s="20">
        <v>7</v>
      </c>
      <c r="AT64" s="20">
        <v>10</v>
      </c>
      <c r="AU64" s="300">
        <f t="shared" si="1"/>
        <v>235</v>
      </c>
      <c r="AV64" s="20">
        <v>190</v>
      </c>
      <c r="AW64" s="20">
        <v>6</v>
      </c>
      <c r="AX64" s="20">
        <v>0</v>
      </c>
      <c r="AY64" s="20">
        <v>30</v>
      </c>
      <c r="AZ64" s="20">
        <v>0</v>
      </c>
      <c r="BA64" s="20">
        <v>7</v>
      </c>
      <c r="BB64" s="20">
        <v>10</v>
      </c>
      <c r="BC64" s="300">
        <f t="shared" si="2"/>
        <v>243</v>
      </c>
      <c r="BD64" s="42">
        <f t="shared" si="3"/>
        <v>8</v>
      </c>
      <c r="BE64" s="42">
        <f t="shared" si="4"/>
        <v>0</v>
      </c>
      <c r="BF64" s="42">
        <f t="shared" si="5"/>
        <v>0</v>
      </c>
      <c r="BG64" s="42">
        <f t="shared" si="6"/>
        <v>0</v>
      </c>
      <c r="BH64" s="42">
        <f t="shared" si="7"/>
        <v>0</v>
      </c>
      <c r="BI64" s="42">
        <f t="shared" si="8"/>
        <v>0</v>
      </c>
      <c r="BJ64" s="42">
        <f t="shared" si="9"/>
        <v>0</v>
      </c>
      <c r="BK64" s="42">
        <f t="shared" si="10"/>
        <v>8</v>
      </c>
    </row>
    <row r="65" spans="1:63" ht="27" customHeight="1">
      <c r="A65" s="11">
        <f t="shared" si="11"/>
        <v>63</v>
      </c>
      <c r="B65" s="12" t="s">
        <v>668</v>
      </c>
      <c r="C65" s="8">
        <v>588</v>
      </c>
      <c r="D65" s="60" t="s">
        <v>669</v>
      </c>
      <c r="E65" s="61">
        <v>20556813</v>
      </c>
      <c r="F65" s="62" t="s">
        <v>670</v>
      </c>
      <c r="G65" s="63" t="s">
        <v>671</v>
      </c>
      <c r="H65" s="13" t="s">
        <v>672</v>
      </c>
      <c r="I65" s="14" t="s">
        <v>673</v>
      </c>
      <c r="J65" s="64" t="s">
        <v>173</v>
      </c>
      <c r="K65" s="22">
        <v>32453</v>
      </c>
      <c r="L65" s="66" t="s">
        <v>174</v>
      </c>
      <c r="M65" s="23">
        <v>41836</v>
      </c>
      <c r="N65" s="23"/>
      <c r="O65" s="15" t="s">
        <v>32</v>
      </c>
      <c r="P65" s="16" t="s">
        <v>343</v>
      </c>
      <c r="Q65" s="16" t="s">
        <v>176</v>
      </c>
      <c r="R65" s="17" t="s">
        <v>177</v>
      </c>
      <c r="S65" s="16" t="s">
        <v>326</v>
      </c>
      <c r="T65" s="18"/>
      <c r="U65" s="18"/>
      <c r="V65" s="68" t="s">
        <v>195</v>
      </c>
      <c r="W65" s="68" t="s">
        <v>179</v>
      </c>
      <c r="X65" s="68">
        <v>9</v>
      </c>
      <c r="Y65" s="69" t="s">
        <v>179</v>
      </c>
      <c r="Z65" s="70" t="s">
        <v>181</v>
      </c>
      <c r="AA65" s="19"/>
      <c r="AB65" s="19"/>
      <c r="AC65" s="106"/>
      <c r="AD65" s="106"/>
      <c r="AE65" s="106"/>
      <c r="AF65" s="108"/>
      <c r="AG65" s="106"/>
      <c r="AH65" s="43"/>
      <c r="AI65" s="43"/>
      <c r="AJ65" s="19" t="s">
        <v>198</v>
      </c>
      <c r="AK65" s="19" t="s">
        <v>185</v>
      </c>
      <c r="AL65" s="19" t="s">
        <v>186</v>
      </c>
      <c r="AM65" s="107" t="s">
        <v>656</v>
      </c>
      <c r="AN65" s="20">
        <v>182</v>
      </c>
      <c r="AO65" s="20">
        <v>6</v>
      </c>
      <c r="AP65" s="20">
        <v>0</v>
      </c>
      <c r="AQ65" s="20">
        <v>0</v>
      </c>
      <c r="AR65" s="20">
        <v>0</v>
      </c>
      <c r="AS65" s="20">
        <v>7</v>
      </c>
      <c r="AT65" s="20">
        <v>10</v>
      </c>
      <c r="AU65" s="300">
        <f t="shared" si="1"/>
        <v>205</v>
      </c>
      <c r="AV65" s="20">
        <v>190</v>
      </c>
      <c r="AW65" s="20">
        <v>6</v>
      </c>
      <c r="AX65" s="20">
        <v>0</v>
      </c>
      <c r="AY65" s="20">
        <v>0</v>
      </c>
      <c r="AZ65" s="20">
        <v>0</v>
      </c>
      <c r="BA65" s="20">
        <v>7</v>
      </c>
      <c r="BB65" s="20">
        <v>10</v>
      </c>
      <c r="BC65" s="300">
        <f t="shared" si="2"/>
        <v>213</v>
      </c>
      <c r="BD65" s="42">
        <f t="shared" si="3"/>
        <v>8</v>
      </c>
      <c r="BE65" s="42">
        <f t="shared" si="4"/>
        <v>0</v>
      </c>
      <c r="BF65" s="42">
        <f t="shared" si="5"/>
        <v>0</v>
      </c>
      <c r="BG65" s="42">
        <f t="shared" si="6"/>
        <v>0</v>
      </c>
      <c r="BH65" s="42">
        <f t="shared" si="7"/>
        <v>0</v>
      </c>
      <c r="BI65" s="42">
        <f t="shared" si="8"/>
        <v>0</v>
      </c>
      <c r="BJ65" s="42">
        <f t="shared" si="9"/>
        <v>0</v>
      </c>
      <c r="BK65" s="42">
        <f t="shared" si="10"/>
        <v>8</v>
      </c>
    </row>
    <row r="66" spans="1:63" ht="27" customHeight="1">
      <c r="A66" s="11">
        <f t="shared" si="11"/>
        <v>64</v>
      </c>
      <c r="B66" s="12" t="s">
        <v>674</v>
      </c>
      <c r="C66" s="8">
        <v>634</v>
      </c>
      <c r="D66" s="60" t="s">
        <v>675</v>
      </c>
      <c r="E66" s="61" t="s">
        <v>185</v>
      </c>
      <c r="F66" s="62" t="s">
        <v>676</v>
      </c>
      <c r="G66" s="63" t="s">
        <v>677</v>
      </c>
      <c r="H66" s="13" t="s">
        <v>678</v>
      </c>
      <c r="I66" s="14" t="s">
        <v>679</v>
      </c>
      <c r="J66" s="64" t="s">
        <v>173</v>
      </c>
      <c r="K66" s="22">
        <v>29833</v>
      </c>
      <c r="L66" s="66" t="s">
        <v>174</v>
      </c>
      <c r="M66" s="23">
        <v>41862</v>
      </c>
      <c r="N66" s="23"/>
      <c r="O66" s="15" t="s">
        <v>32</v>
      </c>
      <c r="P66" s="16" t="s">
        <v>222</v>
      </c>
      <c r="Q66" s="16" t="s">
        <v>176</v>
      </c>
      <c r="R66" s="15" t="s">
        <v>177</v>
      </c>
      <c r="S66" s="17" t="s">
        <v>206</v>
      </c>
      <c r="T66" s="20"/>
      <c r="U66" s="20"/>
      <c r="V66" s="19" t="s">
        <v>195</v>
      </c>
      <c r="W66" s="19">
        <v>2518</v>
      </c>
      <c r="X66" s="19">
        <v>7</v>
      </c>
      <c r="Y66" s="61" t="s">
        <v>680</v>
      </c>
      <c r="Z66" s="70"/>
      <c r="AA66" s="70"/>
      <c r="AB66" s="70" t="s">
        <v>181</v>
      </c>
      <c r="AC66" s="99"/>
      <c r="AD66" s="99" t="s">
        <v>183</v>
      </c>
      <c r="AE66" s="99" t="s">
        <v>183</v>
      </c>
      <c r="AF66" s="108"/>
      <c r="AG66" s="106"/>
      <c r="AH66" s="43"/>
      <c r="AI66" s="43"/>
      <c r="AJ66" s="19" t="s">
        <v>198</v>
      </c>
      <c r="AK66" s="19" t="s">
        <v>185</v>
      </c>
      <c r="AL66" s="19" t="s">
        <v>185</v>
      </c>
      <c r="AM66" s="107" t="s">
        <v>681</v>
      </c>
      <c r="AN66" s="20">
        <v>182</v>
      </c>
      <c r="AO66" s="20">
        <v>6</v>
      </c>
      <c r="AP66" s="20">
        <v>0</v>
      </c>
      <c r="AQ66" s="20">
        <v>0</v>
      </c>
      <c r="AR66" s="20">
        <v>0</v>
      </c>
      <c r="AS66" s="20">
        <v>7</v>
      </c>
      <c r="AT66" s="20">
        <v>10</v>
      </c>
      <c r="AU66" s="300">
        <f t="shared" si="1"/>
        <v>205</v>
      </c>
      <c r="AV66" s="20">
        <v>190</v>
      </c>
      <c r="AW66" s="20">
        <v>6</v>
      </c>
      <c r="AX66" s="20">
        <v>0</v>
      </c>
      <c r="AY66" s="20">
        <v>0</v>
      </c>
      <c r="AZ66" s="20">
        <v>0</v>
      </c>
      <c r="BA66" s="20">
        <v>7</v>
      </c>
      <c r="BB66" s="20">
        <v>10</v>
      </c>
      <c r="BC66" s="300">
        <f t="shared" si="2"/>
        <v>213</v>
      </c>
      <c r="BD66" s="42">
        <f t="shared" si="3"/>
        <v>8</v>
      </c>
      <c r="BE66" s="42">
        <f t="shared" si="4"/>
        <v>0</v>
      </c>
      <c r="BF66" s="42">
        <f t="shared" si="5"/>
        <v>0</v>
      </c>
      <c r="BG66" s="42">
        <f t="shared" si="6"/>
        <v>0</v>
      </c>
      <c r="BH66" s="42">
        <f t="shared" si="7"/>
        <v>0</v>
      </c>
      <c r="BI66" s="42">
        <f t="shared" si="8"/>
        <v>0</v>
      </c>
      <c r="BJ66" s="42">
        <f t="shared" si="9"/>
        <v>0</v>
      </c>
      <c r="BK66" s="42">
        <f t="shared" si="10"/>
        <v>8</v>
      </c>
    </row>
    <row r="67" spans="1:63" ht="27" customHeight="1">
      <c r="A67" s="11">
        <f t="shared" si="11"/>
        <v>65</v>
      </c>
      <c r="B67" s="12" t="s">
        <v>682</v>
      </c>
      <c r="C67" s="8">
        <v>658</v>
      </c>
      <c r="D67" s="74" t="s">
        <v>683</v>
      </c>
      <c r="E67" s="61">
        <v>100395775</v>
      </c>
      <c r="F67" s="62" t="s">
        <v>684</v>
      </c>
      <c r="G67" s="63" t="s">
        <v>685</v>
      </c>
      <c r="H67" s="13" t="s">
        <v>686</v>
      </c>
      <c r="I67" s="14" t="s">
        <v>687</v>
      </c>
      <c r="J67" s="64" t="s">
        <v>173</v>
      </c>
      <c r="K67" s="22">
        <v>30713</v>
      </c>
      <c r="L67" s="66" t="s">
        <v>174</v>
      </c>
      <c r="M67" s="23">
        <v>41873</v>
      </c>
      <c r="N67" s="23"/>
      <c r="O67" s="15" t="s">
        <v>32</v>
      </c>
      <c r="P67" s="16" t="s">
        <v>343</v>
      </c>
      <c r="Q67" s="16" t="s">
        <v>176</v>
      </c>
      <c r="R67" s="15" t="s">
        <v>177</v>
      </c>
      <c r="S67" s="17" t="s">
        <v>206</v>
      </c>
      <c r="T67" s="20"/>
      <c r="U67" s="20"/>
      <c r="V67" s="19" t="s">
        <v>179</v>
      </c>
      <c r="W67" s="19">
        <v>2512</v>
      </c>
      <c r="X67" s="19">
        <v>5</v>
      </c>
      <c r="Y67" s="61" t="s">
        <v>688</v>
      </c>
      <c r="Z67" s="70"/>
      <c r="AA67" s="70" t="s">
        <v>181</v>
      </c>
      <c r="AB67" s="70"/>
      <c r="AC67" s="99" t="s">
        <v>689</v>
      </c>
      <c r="AD67" s="99" t="s">
        <v>183</v>
      </c>
      <c r="AE67" s="106"/>
      <c r="AF67" s="108"/>
      <c r="AG67" s="106"/>
      <c r="AH67" s="43"/>
      <c r="AI67" s="43"/>
      <c r="AJ67" s="19" t="s">
        <v>198</v>
      </c>
      <c r="AK67" s="19" t="s">
        <v>185</v>
      </c>
      <c r="AL67" s="19" t="s">
        <v>198</v>
      </c>
      <c r="AM67" s="107" t="s">
        <v>690</v>
      </c>
      <c r="AN67" s="20">
        <v>182</v>
      </c>
      <c r="AO67" s="20">
        <v>6</v>
      </c>
      <c r="AP67" s="20">
        <v>0</v>
      </c>
      <c r="AQ67" s="20">
        <v>0</v>
      </c>
      <c r="AR67" s="20">
        <v>0</v>
      </c>
      <c r="AS67" s="20">
        <v>7</v>
      </c>
      <c r="AT67" s="20">
        <v>10</v>
      </c>
      <c r="AU67" s="300">
        <f t="shared" si="1"/>
        <v>205</v>
      </c>
      <c r="AV67" s="20">
        <v>190</v>
      </c>
      <c r="AW67" s="20">
        <v>6</v>
      </c>
      <c r="AX67" s="20">
        <v>0</v>
      </c>
      <c r="AY67" s="20">
        <v>0</v>
      </c>
      <c r="AZ67" s="20">
        <v>0</v>
      </c>
      <c r="BA67" s="20">
        <v>7</v>
      </c>
      <c r="BB67" s="20">
        <v>10</v>
      </c>
      <c r="BC67" s="300">
        <f t="shared" si="2"/>
        <v>213</v>
      </c>
      <c r="BD67" s="42">
        <f t="shared" si="3"/>
        <v>8</v>
      </c>
      <c r="BE67" s="42">
        <f t="shared" si="4"/>
        <v>0</v>
      </c>
      <c r="BF67" s="42">
        <f t="shared" si="5"/>
        <v>0</v>
      </c>
      <c r="BG67" s="42">
        <f t="shared" si="6"/>
        <v>0</v>
      </c>
      <c r="BH67" s="42">
        <f t="shared" si="7"/>
        <v>0</v>
      </c>
      <c r="BI67" s="42">
        <f t="shared" si="8"/>
        <v>0</v>
      </c>
      <c r="BJ67" s="42">
        <f t="shared" si="9"/>
        <v>0</v>
      </c>
      <c r="BK67" s="42">
        <f t="shared" si="10"/>
        <v>8</v>
      </c>
    </row>
    <row r="68" spans="1:63" ht="27" customHeight="1">
      <c r="A68" s="11">
        <f t="shared" si="11"/>
        <v>66</v>
      </c>
      <c r="B68" s="12" t="s">
        <v>691</v>
      </c>
      <c r="C68" s="8">
        <v>649</v>
      </c>
      <c r="D68" s="60" t="s">
        <v>692</v>
      </c>
      <c r="E68" s="61">
        <v>130095732</v>
      </c>
      <c r="F68" s="62" t="s">
        <v>190</v>
      </c>
      <c r="G68" s="63" t="s">
        <v>693</v>
      </c>
      <c r="H68" s="13" t="s">
        <v>694</v>
      </c>
      <c r="I68" s="14" t="s">
        <v>695</v>
      </c>
      <c r="J68" s="64" t="s">
        <v>173</v>
      </c>
      <c r="K68" s="22">
        <v>31022</v>
      </c>
      <c r="L68" s="66" t="s">
        <v>174</v>
      </c>
      <c r="M68" s="23">
        <v>41870</v>
      </c>
      <c r="N68" s="23"/>
      <c r="O68" s="15" t="s">
        <v>32</v>
      </c>
      <c r="P68" s="16" t="s">
        <v>277</v>
      </c>
      <c r="Q68" s="16" t="s">
        <v>244</v>
      </c>
      <c r="R68" s="15" t="s">
        <v>177</v>
      </c>
      <c r="S68" s="17" t="s">
        <v>206</v>
      </c>
      <c r="T68" s="20"/>
      <c r="U68" s="20"/>
      <c r="V68" s="19" t="s">
        <v>179</v>
      </c>
      <c r="W68" s="19">
        <v>359</v>
      </c>
      <c r="X68" s="19">
        <v>3</v>
      </c>
      <c r="Y68" s="61" t="s">
        <v>179</v>
      </c>
      <c r="Z68" s="70"/>
      <c r="AA68" s="70" t="s">
        <v>181</v>
      </c>
      <c r="AB68" s="70"/>
      <c r="AC68" s="99" t="s">
        <v>133</v>
      </c>
      <c r="AD68" s="106"/>
      <c r="AE68" s="106"/>
      <c r="AF68" s="108"/>
      <c r="AG68" s="106"/>
      <c r="AH68" s="43"/>
      <c r="AI68" s="43"/>
      <c r="AJ68" s="19" t="s">
        <v>198</v>
      </c>
      <c r="AK68" s="19" t="s">
        <v>185</v>
      </c>
      <c r="AL68" s="19" t="s">
        <v>185</v>
      </c>
      <c r="AM68" s="107" t="s">
        <v>696</v>
      </c>
      <c r="AN68" s="20">
        <v>182</v>
      </c>
      <c r="AO68" s="20">
        <v>6</v>
      </c>
      <c r="AP68" s="20">
        <v>20</v>
      </c>
      <c r="AQ68" s="20">
        <v>0</v>
      </c>
      <c r="AR68" s="20">
        <v>0</v>
      </c>
      <c r="AS68" s="20">
        <v>7</v>
      </c>
      <c r="AT68" s="20">
        <v>10</v>
      </c>
      <c r="AU68" s="300">
        <f t="shared" ref="AU68:AU131" si="12">SUM(AN68:AT68)</f>
        <v>225</v>
      </c>
      <c r="AV68" s="20">
        <v>190</v>
      </c>
      <c r="AW68" s="20">
        <v>6</v>
      </c>
      <c r="AX68" s="20">
        <v>20</v>
      </c>
      <c r="AY68" s="20">
        <v>0</v>
      </c>
      <c r="AZ68" s="20">
        <v>0</v>
      </c>
      <c r="BA68" s="20">
        <v>7</v>
      </c>
      <c r="BB68" s="20">
        <v>10</v>
      </c>
      <c r="BC68" s="300">
        <f t="shared" ref="BC68:BC131" si="13">SUM(AV68:BB68)</f>
        <v>233</v>
      </c>
      <c r="BD68" s="42">
        <f t="shared" ref="BD68:BD131" si="14">AV68-AN68</f>
        <v>8</v>
      </c>
      <c r="BE68" s="42">
        <f t="shared" ref="BE68:BE131" si="15">AW68-AO68</f>
        <v>0</v>
      </c>
      <c r="BF68" s="42">
        <f t="shared" ref="BF68:BF131" si="16">AX68-AP68</f>
        <v>0</v>
      </c>
      <c r="BG68" s="42">
        <f t="shared" ref="BG68:BG131" si="17">AY68-AQ68</f>
        <v>0</v>
      </c>
      <c r="BH68" s="42">
        <f t="shared" ref="BH68:BH131" si="18">AZ68-AR68</f>
        <v>0</v>
      </c>
      <c r="BI68" s="42">
        <f t="shared" ref="BI68:BI131" si="19">BA68-AS68</f>
        <v>0</v>
      </c>
      <c r="BJ68" s="42">
        <f t="shared" ref="BJ68:BJ131" si="20">BB68-AT68</f>
        <v>0</v>
      </c>
      <c r="BK68" s="42">
        <f t="shared" ref="BK68:BK131" si="21">BC68-AU68</f>
        <v>8</v>
      </c>
    </row>
    <row r="69" spans="1:63" ht="27" customHeight="1">
      <c r="A69" s="11">
        <f t="shared" ref="A69:A132" si="22">1+A68</f>
        <v>67</v>
      </c>
      <c r="B69" s="12" t="s">
        <v>697</v>
      </c>
      <c r="C69" s="8">
        <v>648</v>
      </c>
      <c r="D69" s="60" t="s">
        <v>698</v>
      </c>
      <c r="E69" s="61">
        <v>120028161</v>
      </c>
      <c r="F69" s="62" t="s">
        <v>699</v>
      </c>
      <c r="G69" s="63" t="s">
        <v>700</v>
      </c>
      <c r="H69" s="13" t="s">
        <v>14</v>
      </c>
      <c r="I69" s="14" t="s">
        <v>15</v>
      </c>
      <c r="J69" s="64" t="s">
        <v>204</v>
      </c>
      <c r="K69" s="22">
        <v>34481</v>
      </c>
      <c r="L69" s="66" t="s">
        <v>174</v>
      </c>
      <c r="M69" s="23">
        <v>41869</v>
      </c>
      <c r="N69" s="23"/>
      <c r="O69" s="15" t="s">
        <v>12</v>
      </c>
      <c r="P69" s="16" t="s">
        <v>13</v>
      </c>
      <c r="Q69" s="16" t="s">
        <v>176</v>
      </c>
      <c r="R69" s="15" t="s">
        <v>177</v>
      </c>
      <c r="S69" s="11" t="s">
        <v>701</v>
      </c>
      <c r="T69" s="20"/>
      <c r="U69" s="20"/>
      <c r="V69" s="19" t="s">
        <v>195</v>
      </c>
      <c r="W69" s="19">
        <v>1692</v>
      </c>
      <c r="X69" s="19">
        <v>6</v>
      </c>
      <c r="Y69" s="61" t="s">
        <v>702</v>
      </c>
      <c r="Z69" s="70" t="s">
        <v>181</v>
      </c>
      <c r="AA69" s="70"/>
      <c r="AB69" s="70"/>
      <c r="AC69" s="106"/>
      <c r="AD69" s="106"/>
      <c r="AE69" s="106"/>
      <c r="AF69" s="108"/>
      <c r="AG69" s="106"/>
      <c r="AH69" s="43"/>
      <c r="AI69" s="43"/>
      <c r="AJ69" s="19" t="s">
        <v>198</v>
      </c>
      <c r="AK69" s="19" t="s">
        <v>185</v>
      </c>
      <c r="AL69" s="19" t="s">
        <v>198</v>
      </c>
      <c r="AM69" s="107" t="s">
        <v>696</v>
      </c>
      <c r="AN69" s="20">
        <v>182</v>
      </c>
      <c r="AO69" s="20">
        <v>6</v>
      </c>
      <c r="AP69" s="20">
        <v>0</v>
      </c>
      <c r="AQ69" s="20">
        <v>15</v>
      </c>
      <c r="AR69" s="20">
        <v>5</v>
      </c>
      <c r="AS69" s="20">
        <v>7</v>
      </c>
      <c r="AT69" s="20">
        <v>10</v>
      </c>
      <c r="AU69" s="300">
        <f t="shared" si="12"/>
        <v>225</v>
      </c>
      <c r="AV69" s="20">
        <v>190</v>
      </c>
      <c r="AW69" s="20">
        <v>6</v>
      </c>
      <c r="AX69" s="20">
        <v>0</v>
      </c>
      <c r="AY69" s="20">
        <v>15</v>
      </c>
      <c r="AZ69" s="20">
        <v>5</v>
      </c>
      <c r="BA69" s="20">
        <v>7</v>
      </c>
      <c r="BB69" s="20">
        <v>10</v>
      </c>
      <c r="BC69" s="300">
        <f t="shared" si="13"/>
        <v>233</v>
      </c>
      <c r="BD69" s="42">
        <f t="shared" si="14"/>
        <v>8</v>
      </c>
      <c r="BE69" s="42">
        <f t="shared" si="15"/>
        <v>0</v>
      </c>
      <c r="BF69" s="42">
        <f t="shared" si="16"/>
        <v>0</v>
      </c>
      <c r="BG69" s="42">
        <f t="shared" si="17"/>
        <v>0</v>
      </c>
      <c r="BH69" s="42">
        <f t="shared" si="18"/>
        <v>0</v>
      </c>
      <c r="BI69" s="42">
        <f t="shared" si="19"/>
        <v>0</v>
      </c>
      <c r="BJ69" s="42">
        <f t="shared" si="20"/>
        <v>0</v>
      </c>
      <c r="BK69" s="42">
        <f t="shared" si="21"/>
        <v>8</v>
      </c>
    </row>
    <row r="70" spans="1:63" ht="27" customHeight="1">
      <c r="A70" s="11">
        <f t="shared" si="22"/>
        <v>68</v>
      </c>
      <c r="B70" s="109" t="s">
        <v>703</v>
      </c>
      <c r="C70" s="109">
        <v>651</v>
      </c>
      <c r="D70" s="110" t="s">
        <v>704</v>
      </c>
      <c r="E70" s="111">
        <v>110394595</v>
      </c>
      <c r="F70" s="112" t="s">
        <v>705</v>
      </c>
      <c r="G70" s="113" t="s">
        <v>700</v>
      </c>
      <c r="H70" s="114" t="s">
        <v>706</v>
      </c>
      <c r="I70" s="115" t="s">
        <v>15</v>
      </c>
      <c r="J70" s="116" t="s">
        <v>173</v>
      </c>
      <c r="K70" s="117">
        <v>32971</v>
      </c>
      <c r="L70" s="118" t="s">
        <v>174</v>
      </c>
      <c r="M70" s="119">
        <v>41871</v>
      </c>
      <c r="N70" s="119"/>
      <c r="O70" s="120" t="s">
        <v>32</v>
      </c>
      <c r="P70" s="16" t="s">
        <v>507</v>
      </c>
      <c r="Q70" s="16" t="s">
        <v>176</v>
      </c>
      <c r="R70" s="120" t="s">
        <v>177</v>
      </c>
      <c r="S70" s="120" t="s">
        <v>223</v>
      </c>
      <c r="T70" s="122"/>
      <c r="U70" s="122"/>
      <c r="V70" s="123" t="s">
        <v>195</v>
      </c>
      <c r="W70" s="123">
        <v>3279</v>
      </c>
      <c r="X70" s="123">
        <v>9</v>
      </c>
      <c r="Y70" s="111" t="s">
        <v>707</v>
      </c>
      <c r="Z70" s="125"/>
      <c r="AA70" s="125" t="s">
        <v>181</v>
      </c>
      <c r="AB70" s="125"/>
      <c r="AC70" s="151" t="s">
        <v>351</v>
      </c>
      <c r="AD70" s="151"/>
      <c r="AE70" s="152"/>
      <c r="AF70" s="153"/>
      <c r="AG70" s="152"/>
      <c r="AH70" s="128"/>
      <c r="AI70" s="128"/>
      <c r="AJ70" s="123" t="s">
        <v>198</v>
      </c>
      <c r="AK70" s="123" t="s">
        <v>185</v>
      </c>
      <c r="AL70" s="123" t="s">
        <v>198</v>
      </c>
      <c r="AM70" s="129" t="s">
        <v>708</v>
      </c>
      <c r="AN70" s="20">
        <v>182</v>
      </c>
      <c r="AO70" s="20">
        <v>6</v>
      </c>
      <c r="AP70" s="20">
        <v>0</v>
      </c>
      <c r="AQ70" s="20">
        <v>0</v>
      </c>
      <c r="AR70" s="20">
        <v>0</v>
      </c>
      <c r="AS70" s="20">
        <v>7</v>
      </c>
      <c r="AT70" s="20">
        <v>10</v>
      </c>
      <c r="AU70" s="300">
        <f t="shared" si="12"/>
        <v>205</v>
      </c>
      <c r="AV70" s="20">
        <v>190</v>
      </c>
      <c r="AW70" s="20">
        <v>6</v>
      </c>
      <c r="AX70" s="20">
        <v>0</v>
      </c>
      <c r="AY70" s="20">
        <v>0</v>
      </c>
      <c r="AZ70" s="20">
        <v>0</v>
      </c>
      <c r="BA70" s="20">
        <v>7</v>
      </c>
      <c r="BB70" s="20">
        <v>10</v>
      </c>
      <c r="BC70" s="300">
        <f t="shared" si="13"/>
        <v>213</v>
      </c>
      <c r="BD70" s="42">
        <f t="shared" si="14"/>
        <v>8</v>
      </c>
      <c r="BE70" s="42">
        <f t="shared" si="15"/>
        <v>0</v>
      </c>
      <c r="BF70" s="42">
        <f t="shared" si="16"/>
        <v>0</v>
      </c>
      <c r="BG70" s="42">
        <f t="shared" si="17"/>
        <v>0</v>
      </c>
      <c r="BH70" s="42">
        <f t="shared" si="18"/>
        <v>0</v>
      </c>
      <c r="BI70" s="42">
        <f t="shared" si="19"/>
        <v>0</v>
      </c>
      <c r="BJ70" s="42">
        <f t="shared" si="20"/>
        <v>0</v>
      </c>
      <c r="BK70" s="42">
        <f t="shared" si="21"/>
        <v>8</v>
      </c>
    </row>
    <row r="71" spans="1:63" ht="27" customHeight="1">
      <c r="A71" s="11">
        <f t="shared" si="22"/>
        <v>69</v>
      </c>
      <c r="B71" s="12" t="s">
        <v>709</v>
      </c>
      <c r="C71" s="8">
        <v>657</v>
      </c>
      <c r="D71" s="60" t="s">
        <v>710</v>
      </c>
      <c r="E71" s="61" t="s">
        <v>185</v>
      </c>
      <c r="F71" s="62" t="s">
        <v>711</v>
      </c>
      <c r="G71" s="63" t="s">
        <v>712</v>
      </c>
      <c r="H71" s="13" t="s">
        <v>713</v>
      </c>
      <c r="I71" s="14" t="s">
        <v>714</v>
      </c>
      <c r="J71" s="64" t="s">
        <v>173</v>
      </c>
      <c r="K71" s="22">
        <v>35139</v>
      </c>
      <c r="L71" s="66" t="s">
        <v>174</v>
      </c>
      <c r="M71" s="23">
        <v>41872</v>
      </c>
      <c r="N71" s="23"/>
      <c r="O71" s="15" t="s">
        <v>24</v>
      </c>
      <c r="P71" s="16" t="s">
        <v>25</v>
      </c>
      <c r="Q71" s="16" t="s">
        <v>176</v>
      </c>
      <c r="R71" s="15" t="s">
        <v>177</v>
      </c>
      <c r="S71" s="15" t="s">
        <v>223</v>
      </c>
      <c r="T71" s="20"/>
      <c r="U71" s="20"/>
      <c r="V71" s="19" t="s">
        <v>195</v>
      </c>
      <c r="W71" s="19">
        <v>1458</v>
      </c>
      <c r="X71" s="19">
        <v>12</v>
      </c>
      <c r="Y71" s="61" t="s">
        <v>715</v>
      </c>
      <c r="Z71" s="70" t="s">
        <v>181</v>
      </c>
      <c r="AA71" s="70"/>
      <c r="AB71" s="70"/>
      <c r="AC71" s="106"/>
      <c r="AD71" s="106"/>
      <c r="AE71" s="106"/>
      <c r="AF71" s="108"/>
      <c r="AG71" s="106"/>
      <c r="AH71" s="43"/>
      <c r="AI71" s="43"/>
      <c r="AJ71" s="19" t="s">
        <v>185</v>
      </c>
      <c r="AK71" s="19" t="s">
        <v>185</v>
      </c>
      <c r="AL71" s="19" t="s">
        <v>198</v>
      </c>
      <c r="AM71" s="107" t="s">
        <v>690</v>
      </c>
      <c r="AN71" s="20">
        <v>182</v>
      </c>
      <c r="AO71" s="20">
        <v>6</v>
      </c>
      <c r="AP71" s="20">
        <v>0</v>
      </c>
      <c r="AQ71" s="20">
        <v>0</v>
      </c>
      <c r="AR71" s="20">
        <v>0</v>
      </c>
      <c r="AS71" s="20">
        <v>7</v>
      </c>
      <c r="AT71" s="20">
        <v>10</v>
      </c>
      <c r="AU71" s="300">
        <f t="shared" si="12"/>
        <v>205</v>
      </c>
      <c r="AV71" s="20">
        <v>190</v>
      </c>
      <c r="AW71" s="20">
        <v>6</v>
      </c>
      <c r="AX71" s="20">
        <v>0</v>
      </c>
      <c r="AY71" s="20">
        <v>0</v>
      </c>
      <c r="AZ71" s="20">
        <v>0</v>
      </c>
      <c r="BA71" s="20">
        <v>7</v>
      </c>
      <c r="BB71" s="20">
        <v>10</v>
      </c>
      <c r="BC71" s="300">
        <f t="shared" si="13"/>
        <v>213</v>
      </c>
      <c r="BD71" s="42">
        <f t="shared" si="14"/>
        <v>8</v>
      </c>
      <c r="BE71" s="42">
        <f t="shared" si="15"/>
        <v>0</v>
      </c>
      <c r="BF71" s="42">
        <f t="shared" si="16"/>
        <v>0</v>
      </c>
      <c r="BG71" s="42">
        <f t="shared" si="17"/>
        <v>0</v>
      </c>
      <c r="BH71" s="42">
        <f t="shared" si="18"/>
        <v>0</v>
      </c>
      <c r="BI71" s="42">
        <f t="shared" si="19"/>
        <v>0</v>
      </c>
      <c r="BJ71" s="42">
        <f t="shared" si="20"/>
        <v>0</v>
      </c>
      <c r="BK71" s="42">
        <f t="shared" si="21"/>
        <v>8</v>
      </c>
    </row>
    <row r="72" spans="1:63" ht="27" customHeight="1">
      <c r="A72" s="11">
        <f t="shared" si="22"/>
        <v>70</v>
      </c>
      <c r="B72" s="12" t="s">
        <v>716</v>
      </c>
      <c r="C72" s="8">
        <v>663</v>
      </c>
      <c r="D72" s="60" t="s">
        <v>717</v>
      </c>
      <c r="E72" s="61">
        <v>90013448</v>
      </c>
      <c r="F72" s="62" t="s">
        <v>718</v>
      </c>
      <c r="G72" s="63" t="s">
        <v>719</v>
      </c>
      <c r="H72" s="13" t="s">
        <v>720</v>
      </c>
      <c r="I72" s="14" t="s">
        <v>721</v>
      </c>
      <c r="J72" s="64" t="s">
        <v>173</v>
      </c>
      <c r="K72" s="22">
        <v>30601</v>
      </c>
      <c r="L72" s="66" t="s">
        <v>174</v>
      </c>
      <c r="M72" s="23">
        <v>41884</v>
      </c>
      <c r="N72" s="23"/>
      <c r="O72" s="15" t="s">
        <v>32</v>
      </c>
      <c r="P72" s="16" t="s">
        <v>334</v>
      </c>
      <c r="Q72" s="16" t="s">
        <v>176</v>
      </c>
      <c r="R72" s="15" t="s">
        <v>177</v>
      </c>
      <c r="S72" s="15" t="s">
        <v>722</v>
      </c>
      <c r="T72" s="20"/>
      <c r="U72" s="20"/>
      <c r="V72" s="19" t="s">
        <v>195</v>
      </c>
      <c r="W72" s="19">
        <v>1259</v>
      </c>
      <c r="X72" s="19">
        <v>5</v>
      </c>
      <c r="Y72" s="61" t="s">
        <v>723</v>
      </c>
      <c r="Z72" s="19"/>
      <c r="AA72" s="70" t="s">
        <v>181</v>
      </c>
      <c r="AB72" s="19"/>
      <c r="AC72" s="99" t="s">
        <v>382</v>
      </c>
      <c r="AD72" s="106" t="s">
        <v>724</v>
      </c>
      <c r="AE72" s="99" t="s">
        <v>184</v>
      </c>
      <c r="AF72" s="108"/>
      <c r="AG72" s="106"/>
      <c r="AH72" s="43"/>
      <c r="AI72" s="43"/>
      <c r="AJ72" s="19" t="s">
        <v>198</v>
      </c>
      <c r="AK72" s="19" t="s">
        <v>185</v>
      </c>
      <c r="AL72" s="19" t="s">
        <v>198</v>
      </c>
      <c r="AM72" s="107" t="s">
        <v>690</v>
      </c>
      <c r="AN72" s="20">
        <v>182</v>
      </c>
      <c r="AO72" s="20">
        <v>6</v>
      </c>
      <c r="AP72" s="20">
        <v>0</v>
      </c>
      <c r="AQ72" s="20">
        <v>0</v>
      </c>
      <c r="AR72" s="20">
        <v>0</v>
      </c>
      <c r="AS72" s="20">
        <v>7</v>
      </c>
      <c r="AT72" s="20">
        <v>10</v>
      </c>
      <c r="AU72" s="300">
        <f t="shared" si="12"/>
        <v>205</v>
      </c>
      <c r="AV72" s="20">
        <v>190</v>
      </c>
      <c r="AW72" s="20">
        <v>6</v>
      </c>
      <c r="AX72" s="20">
        <v>0</v>
      </c>
      <c r="AY72" s="20">
        <v>0</v>
      </c>
      <c r="AZ72" s="20">
        <v>0</v>
      </c>
      <c r="BA72" s="20">
        <v>7</v>
      </c>
      <c r="BB72" s="20">
        <v>10</v>
      </c>
      <c r="BC72" s="300">
        <f t="shared" si="13"/>
        <v>213</v>
      </c>
      <c r="BD72" s="42">
        <f t="shared" si="14"/>
        <v>8</v>
      </c>
      <c r="BE72" s="42">
        <f t="shared" si="15"/>
        <v>0</v>
      </c>
      <c r="BF72" s="42">
        <f t="shared" si="16"/>
        <v>0</v>
      </c>
      <c r="BG72" s="42">
        <f t="shared" si="17"/>
        <v>0</v>
      </c>
      <c r="BH72" s="42">
        <f t="shared" si="18"/>
        <v>0</v>
      </c>
      <c r="BI72" s="42">
        <f t="shared" si="19"/>
        <v>0</v>
      </c>
      <c r="BJ72" s="42">
        <f t="shared" si="20"/>
        <v>0</v>
      </c>
      <c r="BK72" s="42">
        <f t="shared" si="21"/>
        <v>8</v>
      </c>
    </row>
    <row r="73" spans="1:63" ht="27" customHeight="1">
      <c r="A73" s="11">
        <f t="shared" si="22"/>
        <v>71</v>
      </c>
      <c r="B73" s="12" t="s">
        <v>725</v>
      </c>
      <c r="C73" s="8">
        <v>674</v>
      </c>
      <c r="D73" s="60" t="s">
        <v>726</v>
      </c>
      <c r="E73" s="61">
        <v>50346357</v>
      </c>
      <c r="F73" s="62" t="s">
        <v>727</v>
      </c>
      <c r="G73" s="63" t="s">
        <v>728</v>
      </c>
      <c r="H73" s="13" t="s">
        <v>729</v>
      </c>
      <c r="I73" s="14" t="s">
        <v>730</v>
      </c>
      <c r="J73" s="64" t="s">
        <v>173</v>
      </c>
      <c r="K73" s="22">
        <v>30691</v>
      </c>
      <c r="L73" s="66" t="s">
        <v>174</v>
      </c>
      <c r="M73" s="23">
        <v>41887</v>
      </c>
      <c r="N73" s="23"/>
      <c r="O73" s="15" t="s">
        <v>32</v>
      </c>
      <c r="P73" s="16" t="s">
        <v>222</v>
      </c>
      <c r="Q73" s="16" t="s">
        <v>176</v>
      </c>
      <c r="R73" s="15" t="s">
        <v>177</v>
      </c>
      <c r="S73" s="17" t="s">
        <v>206</v>
      </c>
      <c r="T73" s="20"/>
      <c r="U73" s="20"/>
      <c r="V73" s="19" t="s">
        <v>195</v>
      </c>
      <c r="W73" s="19" t="s">
        <v>179</v>
      </c>
      <c r="X73" s="19">
        <v>7</v>
      </c>
      <c r="Y73" s="61" t="s">
        <v>731</v>
      </c>
      <c r="Z73" s="19"/>
      <c r="AA73" s="70" t="s">
        <v>181</v>
      </c>
      <c r="AB73" s="19"/>
      <c r="AC73" s="99" t="s">
        <v>382</v>
      </c>
      <c r="AD73" s="99" t="s">
        <v>184</v>
      </c>
      <c r="AE73" s="99"/>
      <c r="AF73" s="99"/>
      <c r="AG73" s="106"/>
      <c r="AH73" s="43"/>
      <c r="AI73" s="43"/>
      <c r="AJ73" s="19" t="s">
        <v>198</v>
      </c>
      <c r="AK73" s="19" t="s">
        <v>185</v>
      </c>
      <c r="AL73" s="19" t="s">
        <v>732</v>
      </c>
      <c r="AM73" s="107" t="s">
        <v>733</v>
      </c>
      <c r="AN73" s="20">
        <v>182</v>
      </c>
      <c r="AO73" s="20">
        <v>6</v>
      </c>
      <c r="AP73" s="20">
        <v>0</v>
      </c>
      <c r="AQ73" s="20">
        <v>0</v>
      </c>
      <c r="AR73" s="20">
        <v>0</v>
      </c>
      <c r="AS73" s="20">
        <v>7</v>
      </c>
      <c r="AT73" s="20">
        <v>10</v>
      </c>
      <c r="AU73" s="300">
        <f t="shared" si="12"/>
        <v>205</v>
      </c>
      <c r="AV73" s="20">
        <v>190</v>
      </c>
      <c r="AW73" s="20">
        <v>6</v>
      </c>
      <c r="AX73" s="20">
        <v>0</v>
      </c>
      <c r="AY73" s="20">
        <v>0</v>
      </c>
      <c r="AZ73" s="20">
        <v>0</v>
      </c>
      <c r="BA73" s="20">
        <v>7</v>
      </c>
      <c r="BB73" s="20">
        <v>10</v>
      </c>
      <c r="BC73" s="300">
        <f t="shared" si="13"/>
        <v>213</v>
      </c>
      <c r="BD73" s="42">
        <f t="shared" si="14"/>
        <v>8</v>
      </c>
      <c r="BE73" s="42">
        <f t="shared" si="15"/>
        <v>0</v>
      </c>
      <c r="BF73" s="42">
        <f t="shared" si="16"/>
        <v>0</v>
      </c>
      <c r="BG73" s="42">
        <f t="shared" si="17"/>
        <v>0</v>
      </c>
      <c r="BH73" s="42">
        <f t="shared" si="18"/>
        <v>0</v>
      </c>
      <c r="BI73" s="42">
        <f t="shared" si="19"/>
        <v>0</v>
      </c>
      <c r="BJ73" s="42">
        <f t="shared" si="20"/>
        <v>0</v>
      </c>
      <c r="BK73" s="42">
        <f t="shared" si="21"/>
        <v>8</v>
      </c>
    </row>
    <row r="74" spans="1:63" ht="27" customHeight="1">
      <c r="A74" s="11">
        <f t="shared" si="22"/>
        <v>72</v>
      </c>
      <c r="B74" s="12" t="s">
        <v>734</v>
      </c>
      <c r="C74" s="8">
        <v>677</v>
      </c>
      <c r="D74" s="60" t="s">
        <v>735</v>
      </c>
      <c r="E74" s="61">
        <v>100121175</v>
      </c>
      <c r="F74" s="62" t="s">
        <v>736</v>
      </c>
      <c r="G74" s="63" t="s">
        <v>737</v>
      </c>
      <c r="H74" s="13" t="s">
        <v>738</v>
      </c>
      <c r="I74" s="14" t="s">
        <v>22</v>
      </c>
      <c r="J74" s="64" t="s">
        <v>173</v>
      </c>
      <c r="K74" s="22">
        <v>30252</v>
      </c>
      <c r="L74" s="66" t="s">
        <v>174</v>
      </c>
      <c r="M74" s="23">
        <v>41890</v>
      </c>
      <c r="N74" s="23"/>
      <c r="O74" s="15" t="s">
        <v>32</v>
      </c>
      <c r="P74" s="16" t="s">
        <v>222</v>
      </c>
      <c r="Q74" s="16" t="s">
        <v>176</v>
      </c>
      <c r="R74" s="15" t="s">
        <v>177</v>
      </c>
      <c r="S74" s="17" t="s">
        <v>206</v>
      </c>
      <c r="T74" s="20"/>
      <c r="U74" s="20"/>
      <c r="V74" s="19" t="s">
        <v>195</v>
      </c>
      <c r="W74" s="19" t="s">
        <v>179</v>
      </c>
      <c r="X74" s="19">
        <v>5</v>
      </c>
      <c r="Y74" s="61" t="s">
        <v>739</v>
      </c>
      <c r="Z74" s="19"/>
      <c r="AA74" s="70" t="s">
        <v>181</v>
      </c>
      <c r="AB74" s="19"/>
      <c r="AC74" s="99" t="s">
        <v>382</v>
      </c>
      <c r="AD74" s="99" t="s">
        <v>184</v>
      </c>
      <c r="AE74" s="99"/>
      <c r="AF74" s="99"/>
      <c r="AG74" s="106"/>
      <c r="AH74" s="43"/>
      <c r="AI74" s="43"/>
      <c r="AJ74" s="19" t="s">
        <v>198</v>
      </c>
      <c r="AK74" s="19" t="s">
        <v>185</v>
      </c>
      <c r="AL74" s="19" t="s">
        <v>185</v>
      </c>
      <c r="AM74" s="107" t="s">
        <v>690</v>
      </c>
      <c r="AN74" s="20">
        <v>182</v>
      </c>
      <c r="AO74" s="20">
        <v>6</v>
      </c>
      <c r="AP74" s="20">
        <v>0</v>
      </c>
      <c r="AQ74" s="20">
        <v>0</v>
      </c>
      <c r="AR74" s="20">
        <v>0</v>
      </c>
      <c r="AS74" s="20">
        <v>7</v>
      </c>
      <c r="AT74" s="20">
        <v>10</v>
      </c>
      <c r="AU74" s="300">
        <f t="shared" si="12"/>
        <v>205</v>
      </c>
      <c r="AV74" s="20">
        <v>190</v>
      </c>
      <c r="AW74" s="20">
        <v>6</v>
      </c>
      <c r="AX74" s="20">
        <v>0</v>
      </c>
      <c r="AY74" s="20">
        <v>0</v>
      </c>
      <c r="AZ74" s="20">
        <v>0</v>
      </c>
      <c r="BA74" s="20">
        <v>7</v>
      </c>
      <c r="BB74" s="20">
        <v>10</v>
      </c>
      <c r="BC74" s="300">
        <f t="shared" si="13"/>
        <v>213</v>
      </c>
      <c r="BD74" s="42">
        <f t="shared" si="14"/>
        <v>8</v>
      </c>
      <c r="BE74" s="42">
        <f t="shared" si="15"/>
        <v>0</v>
      </c>
      <c r="BF74" s="42">
        <f t="shared" si="16"/>
        <v>0</v>
      </c>
      <c r="BG74" s="42">
        <f t="shared" si="17"/>
        <v>0</v>
      </c>
      <c r="BH74" s="42">
        <f t="shared" si="18"/>
        <v>0</v>
      </c>
      <c r="BI74" s="42">
        <f t="shared" si="19"/>
        <v>0</v>
      </c>
      <c r="BJ74" s="42">
        <f t="shared" si="20"/>
        <v>0</v>
      </c>
      <c r="BK74" s="42">
        <f t="shared" si="21"/>
        <v>8</v>
      </c>
    </row>
    <row r="75" spans="1:63" ht="27" customHeight="1">
      <c r="A75" s="11">
        <f t="shared" si="22"/>
        <v>73</v>
      </c>
      <c r="B75" s="12" t="s">
        <v>740</v>
      </c>
      <c r="C75" s="8">
        <v>689</v>
      </c>
      <c r="D75" s="60" t="s">
        <v>741</v>
      </c>
      <c r="E75" s="61">
        <v>51019904</v>
      </c>
      <c r="F75" s="62" t="s">
        <v>742</v>
      </c>
      <c r="G75" s="63" t="s">
        <v>743</v>
      </c>
      <c r="H75" s="13" t="s">
        <v>744</v>
      </c>
      <c r="I75" s="14" t="s">
        <v>745</v>
      </c>
      <c r="J75" s="64" t="s">
        <v>173</v>
      </c>
      <c r="K75" s="22">
        <v>31468</v>
      </c>
      <c r="L75" s="66" t="s">
        <v>174</v>
      </c>
      <c r="M75" s="23">
        <v>41915</v>
      </c>
      <c r="N75" s="23"/>
      <c r="O75" s="15" t="s">
        <v>32</v>
      </c>
      <c r="P75" s="16" t="s">
        <v>507</v>
      </c>
      <c r="Q75" s="16" t="s">
        <v>176</v>
      </c>
      <c r="R75" s="15" t="s">
        <v>177</v>
      </c>
      <c r="S75" s="11" t="s">
        <v>214</v>
      </c>
      <c r="T75" s="20"/>
      <c r="U75" s="20"/>
      <c r="V75" s="19" t="s">
        <v>195</v>
      </c>
      <c r="W75" s="19">
        <v>3141</v>
      </c>
      <c r="X75" s="19">
        <v>7</v>
      </c>
      <c r="Y75" s="61" t="s">
        <v>179</v>
      </c>
      <c r="Z75" s="70" t="s">
        <v>181</v>
      </c>
      <c r="AA75" s="19"/>
      <c r="AB75" s="19"/>
      <c r="AC75" s="99"/>
      <c r="AD75" s="99"/>
      <c r="AE75" s="99"/>
      <c r="AF75" s="99"/>
      <c r="AG75" s="106"/>
      <c r="AH75" s="43"/>
      <c r="AI75" s="43"/>
      <c r="AJ75" s="19" t="s">
        <v>198</v>
      </c>
      <c r="AK75" s="19" t="s">
        <v>185</v>
      </c>
      <c r="AL75" s="19" t="s">
        <v>198</v>
      </c>
      <c r="AM75" s="107" t="s">
        <v>690</v>
      </c>
      <c r="AN75" s="20">
        <v>182</v>
      </c>
      <c r="AO75" s="20">
        <v>6</v>
      </c>
      <c r="AP75" s="20">
        <v>0</v>
      </c>
      <c r="AQ75" s="20">
        <v>0</v>
      </c>
      <c r="AR75" s="20">
        <v>0</v>
      </c>
      <c r="AS75" s="20">
        <v>7</v>
      </c>
      <c r="AT75" s="20">
        <v>10</v>
      </c>
      <c r="AU75" s="300">
        <f t="shared" si="12"/>
        <v>205</v>
      </c>
      <c r="AV75" s="20">
        <v>190</v>
      </c>
      <c r="AW75" s="20">
        <v>6</v>
      </c>
      <c r="AX75" s="20">
        <v>0</v>
      </c>
      <c r="AY75" s="20">
        <v>0</v>
      </c>
      <c r="AZ75" s="20">
        <v>0</v>
      </c>
      <c r="BA75" s="20">
        <v>7</v>
      </c>
      <c r="BB75" s="20">
        <v>10</v>
      </c>
      <c r="BC75" s="300">
        <f t="shared" si="13"/>
        <v>213</v>
      </c>
      <c r="BD75" s="42">
        <f t="shared" si="14"/>
        <v>8</v>
      </c>
      <c r="BE75" s="42">
        <f t="shared" si="15"/>
        <v>0</v>
      </c>
      <c r="BF75" s="42">
        <f t="shared" si="16"/>
        <v>0</v>
      </c>
      <c r="BG75" s="42">
        <f t="shared" si="17"/>
        <v>0</v>
      </c>
      <c r="BH75" s="42">
        <f t="shared" si="18"/>
        <v>0</v>
      </c>
      <c r="BI75" s="42">
        <f t="shared" si="19"/>
        <v>0</v>
      </c>
      <c r="BJ75" s="42">
        <f t="shared" si="20"/>
        <v>0</v>
      </c>
      <c r="BK75" s="42">
        <f t="shared" si="21"/>
        <v>8</v>
      </c>
    </row>
    <row r="76" spans="1:63" ht="27" customHeight="1">
      <c r="A76" s="11">
        <f t="shared" si="22"/>
        <v>74</v>
      </c>
      <c r="B76" s="12" t="s">
        <v>746</v>
      </c>
      <c r="C76" s="8">
        <v>697</v>
      </c>
      <c r="D76" s="60" t="s">
        <v>747</v>
      </c>
      <c r="E76" s="61">
        <v>130139204</v>
      </c>
      <c r="F76" s="62" t="s">
        <v>748</v>
      </c>
      <c r="G76" s="63" t="s">
        <v>317</v>
      </c>
      <c r="H76" s="13" t="s">
        <v>749</v>
      </c>
      <c r="I76" s="14" t="s">
        <v>591</v>
      </c>
      <c r="J76" s="64" t="s">
        <v>173</v>
      </c>
      <c r="K76" s="22">
        <v>29228</v>
      </c>
      <c r="L76" s="66" t="s">
        <v>174</v>
      </c>
      <c r="M76" s="23">
        <v>41920</v>
      </c>
      <c r="N76" s="23"/>
      <c r="O76" s="15" t="s">
        <v>32</v>
      </c>
      <c r="P76" s="16" t="s">
        <v>507</v>
      </c>
      <c r="Q76" s="16" t="s">
        <v>176</v>
      </c>
      <c r="R76" s="15" t="s">
        <v>177</v>
      </c>
      <c r="S76" s="17" t="s">
        <v>251</v>
      </c>
      <c r="T76" s="20"/>
      <c r="U76" s="20"/>
      <c r="V76" s="19" t="s">
        <v>195</v>
      </c>
      <c r="W76" s="19">
        <v>560</v>
      </c>
      <c r="X76" s="19">
        <v>5</v>
      </c>
      <c r="Y76" s="61" t="s">
        <v>750</v>
      </c>
      <c r="Z76" s="19"/>
      <c r="AA76" s="70" t="s">
        <v>181</v>
      </c>
      <c r="AB76" s="19"/>
      <c r="AC76" s="99" t="s">
        <v>197</v>
      </c>
      <c r="AD76" s="99" t="s">
        <v>183</v>
      </c>
      <c r="AE76" s="99" t="s">
        <v>183</v>
      </c>
      <c r="AF76" s="99" t="s">
        <v>183</v>
      </c>
      <c r="AG76" s="106"/>
      <c r="AH76" s="43"/>
      <c r="AI76" s="43"/>
      <c r="AJ76" s="19" t="s">
        <v>198</v>
      </c>
      <c r="AK76" s="19" t="s">
        <v>185</v>
      </c>
      <c r="AL76" s="19" t="s">
        <v>198</v>
      </c>
      <c r="AM76" s="107" t="s">
        <v>751</v>
      </c>
      <c r="AN76" s="20">
        <v>182</v>
      </c>
      <c r="AO76" s="20">
        <v>6</v>
      </c>
      <c r="AP76" s="20">
        <v>0</v>
      </c>
      <c r="AQ76" s="20">
        <v>0</v>
      </c>
      <c r="AR76" s="20">
        <v>0</v>
      </c>
      <c r="AS76" s="20">
        <v>7</v>
      </c>
      <c r="AT76" s="20">
        <v>10</v>
      </c>
      <c r="AU76" s="300">
        <f t="shared" si="12"/>
        <v>205</v>
      </c>
      <c r="AV76" s="20">
        <v>190</v>
      </c>
      <c r="AW76" s="20">
        <v>6</v>
      </c>
      <c r="AX76" s="20">
        <v>0</v>
      </c>
      <c r="AY76" s="20">
        <v>0</v>
      </c>
      <c r="AZ76" s="20">
        <v>0</v>
      </c>
      <c r="BA76" s="20">
        <v>7</v>
      </c>
      <c r="BB76" s="20">
        <v>10</v>
      </c>
      <c r="BC76" s="300">
        <f t="shared" si="13"/>
        <v>213</v>
      </c>
      <c r="BD76" s="42">
        <f t="shared" si="14"/>
        <v>8</v>
      </c>
      <c r="BE76" s="42">
        <f t="shared" si="15"/>
        <v>0</v>
      </c>
      <c r="BF76" s="42">
        <f t="shared" si="16"/>
        <v>0</v>
      </c>
      <c r="BG76" s="42">
        <f t="shared" si="17"/>
        <v>0</v>
      </c>
      <c r="BH76" s="42">
        <f t="shared" si="18"/>
        <v>0</v>
      </c>
      <c r="BI76" s="42">
        <f t="shared" si="19"/>
        <v>0</v>
      </c>
      <c r="BJ76" s="42">
        <f t="shared" si="20"/>
        <v>0</v>
      </c>
      <c r="BK76" s="42">
        <f t="shared" si="21"/>
        <v>8</v>
      </c>
    </row>
    <row r="77" spans="1:63" ht="27" customHeight="1">
      <c r="A77" s="11">
        <f t="shared" si="22"/>
        <v>75</v>
      </c>
      <c r="B77" s="12" t="s">
        <v>752</v>
      </c>
      <c r="C77" s="8">
        <v>742</v>
      </c>
      <c r="D77" s="74" t="s">
        <v>753</v>
      </c>
      <c r="E77" s="61">
        <v>130152374</v>
      </c>
      <c r="F77" s="62" t="s">
        <v>676</v>
      </c>
      <c r="G77" s="63" t="s">
        <v>754</v>
      </c>
      <c r="H77" s="13" t="s">
        <v>755</v>
      </c>
      <c r="I77" s="14" t="s">
        <v>756</v>
      </c>
      <c r="J77" s="64" t="s">
        <v>173</v>
      </c>
      <c r="K77" s="22">
        <v>28331</v>
      </c>
      <c r="L77" s="66" t="s">
        <v>174</v>
      </c>
      <c r="M77" s="23">
        <v>41964</v>
      </c>
      <c r="N77" s="23"/>
      <c r="O77" s="15" t="s">
        <v>32</v>
      </c>
      <c r="P77" s="16" t="s">
        <v>296</v>
      </c>
      <c r="Q77" s="16" t="s">
        <v>176</v>
      </c>
      <c r="R77" s="15" t="s">
        <v>177</v>
      </c>
      <c r="S77" s="17" t="s">
        <v>251</v>
      </c>
      <c r="T77" s="20"/>
      <c r="U77" s="20"/>
      <c r="V77" s="19" t="s">
        <v>195</v>
      </c>
      <c r="W77" s="19" t="s">
        <v>179</v>
      </c>
      <c r="X77" s="19">
        <v>6</v>
      </c>
      <c r="Y77" s="61" t="s">
        <v>757</v>
      </c>
      <c r="Z77" s="19"/>
      <c r="AA77" s="70" t="s">
        <v>181</v>
      </c>
      <c r="AB77" s="19"/>
      <c r="AC77" s="106" t="s">
        <v>758</v>
      </c>
      <c r="AD77" s="99" t="s">
        <v>183</v>
      </c>
      <c r="AE77" s="99" t="s">
        <v>183</v>
      </c>
      <c r="AF77" s="99" t="s">
        <v>184</v>
      </c>
      <c r="AG77" s="106"/>
      <c r="AH77" s="43"/>
      <c r="AI77" s="43"/>
      <c r="AJ77" s="19" t="s">
        <v>198</v>
      </c>
      <c r="AK77" s="19" t="s">
        <v>185</v>
      </c>
      <c r="AL77" s="19" t="s">
        <v>198</v>
      </c>
      <c r="AM77" s="107" t="s">
        <v>759</v>
      </c>
      <c r="AN77" s="20">
        <v>182</v>
      </c>
      <c r="AO77" s="20">
        <v>6</v>
      </c>
      <c r="AP77" s="20">
        <v>0</v>
      </c>
      <c r="AQ77" s="20">
        <v>0</v>
      </c>
      <c r="AR77" s="20">
        <v>0</v>
      </c>
      <c r="AS77" s="20">
        <v>7</v>
      </c>
      <c r="AT77" s="20">
        <v>10</v>
      </c>
      <c r="AU77" s="300">
        <f t="shared" si="12"/>
        <v>205</v>
      </c>
      <c r="AV77" s="20">
        <v>190</v>
      </c>
      <c r="AW77" s="20">
        <v>6</v>
      </c>
      <c r="AX77" s="20">
        <v>0</v>
      </c>
      <c r="AY77" s="20">
        <v>0</v>
      </c>
      <c r="AZ77" s="20">
        <v>0</v>
      </c>
      <c r="BA77" s="20">
        <v>7</v>
      </c>
      <c r="BB77" s="20">
        <v>10</v>
      </c>
      <c r="BC77" s="300">
        <f t="shared" si="13"/>
        <v>213</v>
      </c>
      <c r="BD77" s="42">
        <f t="shared" si="14"/>
        <v>8</v>
      </c>
      <c r="BE77" s="42">
        <f t="shared" si="15"/>
        <v>0</v>
      </c>
      <c r="BF77" s="42">
        <f t="shared" si="16"/>
        <v>0</v>
      </c>
      <c r="BG77" s="42">
        <f t="shared" si="17"/>
        <v>0</v>
      </c>
      <c r="BH77" s="42">
        <f t="shared" si="18"/>
        <v>0</v>
      </c>
      <c r="BI77" s="42">
        <f t="shared" si="19"/>
        <v>0</v>
      </c>
      <c r="BJ77" s="42">
        <f t="shared" si="20"/>
        <v>0</v>
      </c>
      <c r="BK77" s="42">
        <f t="shared" si="21"/>
        <v>8</v>
      </c>
    </row>
    <row r="78" spans="1:63" ht="27" customHeight="1">
      <c r="A78" s="11">
        <f t="shared" si="22"/>
        <v>76</v>
      </c>
      <c r="B78" s="12" t="s">
        <v>760</v>
      </c>
      <c r="C78" s="8">
        <v>747</v>
      </c>
      <c r="D78" s="60" t="s">
        <v>761</v>
      </c>
      <c r="E78" s="61">
        <v>100310417</v>
      </c>
      <c r="F78" s="62" t="s">
        <v>762</v>
      </c>
      <c r="G78" s="63" t="s">
        <v>763</v>
      </c>
      <c r="H78" s="13" t="s">
        <v>294</v>
      </c>
      <c r="I78" s="14" t="s">
        <v>764</v>
      </c>
      <c r="J78" s="64" t="s">
        <v>173</v>
      </c>
      <c r="K78" s="22">
        <v>30656</v>
      </c>
      <c r="L78" s="66" t="s">
        <v>174</v>
      </c>
      <c r="M78" s="23">
        <v>41970</v>
      </c>
      <c r="N78" s="23"/>
      <c r="O78" s="15" t="s">
        <v>32</v>
      </c>
      <c r="P78" s="16" t="s">
        <v>277</v>
      </c>
      <c r="Q78" s="16" t="s">
        <v>244</v>
      </c>
      <c r="R78" s="15" t="s">
        <v>177</v>
      </c>
      <c r="S78" s="17" t="s">
        <v>206</v>
      </c>
      <c r="T78" s="20"/>
      <c r="U78" s="20"/>
      <c r="V78" s="19" t="s">
        <v>195</v>
      </c>
      <c r="W78" s="19" t="s">
        <v>179</v>
      </c>
      <c r="X78" s="19">
        <v>6</v>
      </c>
      <c r="Y78" s="61" t="s">
        <v>179</v>
      </c>
      <c r="Z78" s="19"/>
      <c r="AA78" s="70" t="s">
        <v>181</v>
      </c>
      <c r="AB78" s="19"/>
      <c r="AC78" s="106" t="s">
        <v>492</v>
      </c>
      <c r="AD78" s="99" t="s">
        <v>183</v>
      </c>
      <c r="AE78" s="106"/>
      <c r="AF78" s="108"/>
      <c r="AG78" s="106"/>
      <c r="AH78" s="43"/>
      <c r="AI78" s="43"/>
      <c r="AJ78" s="19" t="s">
        <v>198</v>
      </c>
      <c r="AK78" s="19" t="s">
        <v>185</v>
      </c>
      <c r="AL78" s="19" t="s">
        <v>185</v>
      </c>
      <c r="AM78" s="107" t="s">
        <v>765</v>
      </c>
      <c r="AN78" s="20">
        <v>182</v>
      </c>
      <c r="AO78" s="20">
        <v>6</v>
      </c>
      <c r="AP78" s="20">
        <v>20</v>
      </c>
      <c r="AQ78" s="20">
        <v>0</v>
      </c>
      <c r="AR78" s="20">
        <v>0</v>
      </c>
      <c r="AS78" s="20">
        <v>7</v>
      </c>
      <c r="AT78" s="20">
        <v>10</v>
      </c>
      <c r="AU78" s="300">
        <f t="shared" si="12"/>
        <v>225</v>
      </c>
      <c r="AV78" s="20">
        <v>190</v>
      </c>
      <c r="AW78" s="20">
        <v>6</v>
      </c>
      <c r="AX78" s="20">
        <v>20</v>
      </c>
      <c r="AY78" s="20">
        <v>0</v>
      </c>
      <c r="AZ78" s="20">
        <v>0</v>
      </c>
      <c r="BA78" s="20">
        <v>7</v>
      </c>
      <c r="BB78" s="20">
        <v>10</v>
      </c>
      <c r="BC78" s="300">
        <f t="shared" si="13"/>
        <v>233</v>
      </c>
      <c r="BD78" s="42">
        <f t="shared" si="14"/>
        <v>8</v>
      </c>
      <c r="BE78" s="42">
        <f t="shared" si="15"/>
        <v>0</v>
      </c>
      <c r="BF78" s="42">
        <f t="shared" si="16"/>
        <v>0</v>
      </c>
      <c r="BG78" s="42">
        <f t="shared" si="17"/>
        <v>0</v>
      </c>
      <c r="BH78" s="42">
        <f t="shared" si="18"/>
        <v>0</v>
      </c>
      <c r="BI78" s="42">
        <f t="shared" si="19"/>
        <v>0</v>
      </c>
      <c r="BJ78" s="42">
        <f t="shared" si="20"/>
        <v>0</v>
      </c>
      <c r="BK78" s="42">
        <f t="shared" si="21"/>
        <v>8</v>
      </c>
    </row>
    <row r="79" spans="1:63" ht="27" customHeight="1">
      <c r="A79" s="11">
        <f t="shared" si="22"/>
        <v>77</v>
      </c>
      <c r="B79" s="12" t="s">
        <v>766</v>
      </c>
      <c r="C79" s="8">
        <v>748</v>
      </c>
      <c r="D79" s="60" t="s">
        <v>767</v>
      </c>
      <c r="E79" s="61" t="s">
        <v>185</v>
      </c>
      <c r="F79" s="62" t="s">
        <v>489</v>
      </c>
      <c r="G79" s="63" t="s">
        <v>768</v>
      </c>
      <c r="H79" s="13" t="s">
        <v>491</v>
      </c>
      <c r="I79" s="14" t="s">
        <v>769</v>
      </c>
      <c r="J79" s="64" t="s">
        <v>173</v>
      </c>
      <c r="K79" s="22">
        <v>29710</v>
      </c>
      <c r="L79" s="66" t="s">
        <v>174</v>
      </c>
      <c r="M79" s="23">
        <v>41970</v>
      </c>
      <c r="N79" s="23"/>
      <c r="O79" s="15" t="s">
        <v>32</v>
      </c>
      <c r="P79" s="16" t="s">
        <v>313</v>
      </c>
      <c r="Q79" s="16" t="s">
        <v>244</v>
      </c>
      <c r="R79" s="15" t="s">
        <v>177</v>
      </c>
      <c r="S79" s="17" t="s">
        <v>251</v>
      </c>
      <c r="T79" s="20"/>
      <c r="U79" s="20"/>
      <c r="V79" s="19" t="s">
        <v>195</v>
      </c>
      <c r="W79" s="19">
        <v>615</v>
      </c>
      <c r="X79" s="19">
        <v>8</v>
      </c>
      <c r="Y79" s="61" t="s">
        <v>770</v>
      </c>
      <c r="Z79" s="19"/>
      <c r="AA79" s="19"/>
      <c r="AB79" s="70" t="s">
        <v>181</v>
      </c>
      <c r="AC79" s="106"/>
      <c r="AD79" s="99"/>
      <c r="AE79" s="106"/>
      <c r="AF79" s="108"/>
      <c r="AG79" s="106"/>
      <c r="AH79" s="43"/>
      <c r="AI79" s="43"/>
      <c r="AJ79" s="19" t="s">
        <v>198</v>
      </c>
      <c r="AK79" s="19" t="s">
        <v>185</v>
      </c>
      <c r="AL79" s="19" t="s">
        <v>198</v>
      </c>
      <c r="AM79" s="107" t="s">
        <v>771</v>
      </c>
      <c r="AN79" s="20">
        <v>182</v>
      </c>
      <c r="AO79" s="20">
        <v>6</v>
      </c>
      <c r="AP79" s="20">
        <v>20</v>
      </c>
      <c r="AQ79" s="20">
        <v>0</v>
      </c>
      <c r="AR79" s="20">
        <v>0</v>
      </c>
      <c r="AS79" s="20">
        <v>7</v>
      </c>
      <c r="AT79" s="20">
        <v>10</v>
      </c>
      <c r="AU79" s="300">
        <f t="shared" si="12"/>
        <v>225</v>
      </c>
      <c r="AV79" s="20">
        <v>190</v>
      </c>
      <c r="AW79" s="20">
        <v>6</v>
      </c>
      <c r="AX79" s="20">
        <v>20</v>
      </c>
      <c r="AY79" s="20">
        <v>0</v>
      </c>
      <c r="AZ79" s="20">
        <v>0</v>
      </c>
      <c r="BA79" s="20">
        <v>7</v>
      </c>
      <c r="BB79" s="20">
        <v>10</v>
      </c>
      <c r="BC79" s="300">
        <f t="shared" si="13"/>
        <v>233</v>
      </c>
      <c r="BD79" s="42">
        <f t="shared" si="14"/>
        <v>8</v>
      </c>
      <c r="BE79" s="42">
        <f t="shared" si="15"/>
        <v>0</v>
      </c>
      <c r="BF79" s="42">
        <f t="shared" si="16"/>
        <v>0</v>
      </c>
      <c r="BG79" s="42">
        <f t="shared" si="17"/>
        <v>0</v>
      </c>
      <c r="BH79" s="42">
        <f t="shared" si="18"/>
        <v>0</v>
      </c>
      <c r="BI79" s="42">
        <f t="shared" si="19"/>
        <v>0</v>
      </c>
      <c r="BJ79" s="42">
        <f t="shared" si="20"/>
        <v>0</v>
      </c>
      <c r="BK79" s="42">
        <f t="shared" si="21"/>
        <v>8</v>
      </c>
    </row>
    <row r="80" spans="1:63" ht="27" customHeight="1">
      <c r="A80" s="11">
        <f t="shared" si="22"/>
        <v>78</v>
      </c>
      <c r="B80" s="12" t="s">
        <v>772</v>
      </c>
      <c r="C80" s="8">
        <v>755</v>
      </c>
      <c r="D80" s="60" t="s">
        <v>773</v>
      </c>
      <c r="E80" s="61">
        <v>110401675</v>
      </c>
      <c r="F80" s="90" t="s">
        <v>774</v>
      </c>
      <c r="G80" s="91" t="s">
        <v>685</v>
      </c>
      <c r="H80" s="24" t="s">
        <v>775</v>
      </c>
      <c r="I80" s="25" t="s">
        <v>776</v>
      </c>
      <c r="J80" s="82" t="s">
        <v>173</v>
      </c>
      <c r="K80" s="26">
        <v>30942</v>
      </c>
      <c r="L80" s="66" t="s">
        <v>174</v>
      </c>
      <c r="M80" s="23">
        <v>41970</v>
      </c>
      <c r="N80" s="23"/>
      <c r="O80" s="15" t="s">
        <v>32</v>
      </c>
      <c r="P80" s="16" t="s">
        <v>277</v>
      </c>
      <c r="Q80" s="16" t="s">
        <v>244</v>
      </c>
      <c r="R80" s="15" t="s">
        <v>177</v>
      </c>
      <c r="S80" s="15" t="s">
        <v>223</v>
      </c>
      <c r="T80" s="20"/>
      <c r="U80" s="20"/>
      <c r="V80" s="19" t="s">
        <v>179</v>
      </c>
      <c r="W80" s="19">
        <v>821</v>
      </c>
      <c r="X80" s="19">
        <v>5</v>
      </c>
      <c r="Y80" s="61" t="s">
        <v>777</v>
      </c>
      <c r="Z80" s="19"/>
      <c r="AA80" s="70" t="s">
        <v>181</v>
      </c>
      <c r="AB80" s="19"/>
      <c r="AC80" s="106" t="s">
        <v>557</v>
      </c>
      <c r="AD80" s="99"/>
      <c r="AE80" s="106"/>
      <c r="AF80" s="108"/>
      <c r="AG80" s="106"/>
      <c r="AH80" s="43"/>
      <c r="AI80" s="43"/>
      <c r="AJ80" s="19" t="s">
        <v>198</v>
      </c>
      <c r="AK80" s="19" t="s">
        <v>185</v>
      </c>
      <c r="AL80" s="19" t="s">
        <v>198</v>
      </c>
      <c r="AM80" s="107" t="s">
        <v>778</v>
      </c>
      <c r="AN80" s="20">
        <v>182</v>
      </c>
      <c r="AO80" s="20">
        <v>6</v>
      </c>
      <c r="AP80" s="20">
        <v>20</v>
      </c>
      <c r="AQ80" s="20">
        <v>0</v>
      </c>
      <c r="AR80" s="20">
        <v>0</v>
      </c>
      <c r="AS80" s="20">
        <v>7</v>
      </c>
      <c r="AT80" s="20">
        <v>10</v>
      </c>
      <c r="AU80" s="300">
        <f t="shared" si="12"/>
        <v>225</v>
      </c>
      <c r="AV80" s="20">
        <v>190</v>
      </c>
      <c r="AW80" s="20">
        <v>6</v>
      </c>
      <c r="AX80" s="20">
        <v>20</v>
      </c>
      <c r="AY80" s="20">
        <v>0</v>
      </c>
      <c r="AZ80" s="20">
        <v>0</v>
      </c>
      <c r="BA80" s="20">
        <v>7</v>
      </c>
      <c r="BB80" s="20">
        <v>10</v>
      </c>
      <c r="BC80" s="300">
        <f t="shared" si="13"/>
        <v>233</v>
      </c>
      <c r="BD80" s="42">
        <f t="shared" si="14"/>
        <v>8</v>
      </c>
      <c r="BE80" s="42">
        <f t="shared" si="15"/>
        <v>0</v>
      </c>
      <c r="BF80" s="42">
        <f t="shared" si="16"/>
        <v>0</v>
      </c>
      <c r="BG80" s="42">
        <f t="shared" si="17"/>
        <v>0</v>
      </c>
      <c r="BH80" s="42">
        <f t="shared" si="18"/>
        <v>0</v>
      </c>
      <c r="BI80" s="42">
        <f t="shared" si="19"/>
        <v>0</v>
      </c>
      <c r="BJ80" s="42">
        <f t="shared" si="20"/>
        <v>0</v>
      </c>
      <c r="BK80" s="42">
        <f t="shared" si="21"/>
        <v>8</v>
      </c>
    </row>
    <row r="81" spans="1:63" ht="27" customHeight="1">
      <c r="A81" s="11">
        <f t="shared" si="22"/>
        <v>79</v>
      </c>
      <c r="B81" s="12" t="s">
        <v>779</v>
      </c>
      <c r="C81" s="8">
        <v>485</v>
      </c>
      <c r="D81" s="75" t="s">
        <v>780</v>
      </c>
      <c r="E81" s="69">
        <v>100550499</v>
      </c>
      <c r="F81" s="62" t="s">
        <v>718</v>
      </c>
      <c r="G81" s="63" t="s">
        <v>781</v>
      </c>
      <c r="H81" s="13" t="s">
        <v>720</v>
      </c>
      <c r="I81" s="14" t="s">
        <v>782</v>
      </c>
      <c r="J81" s="64" t="s">
        <v>173</v>
      </c>
      <c r="K81" s="22">
        <v>32876</v>
      </c>
      <c r="L81" s="77" t="s">
        <v>174</v>
      </c>
      <c r="M81" s="154">
        <v>41822</v>
      </c>
      <c r="N81" s="154"/>
      <c r="O81" s="15" t="s">
        <v>32</v>
      </c>
      <c r="P81" s="16" t="s">
        <v>222</v>
      </c>
      <c r="Q81" s="16" t="s">
        <v>176</v>
      </c>
      <c r="R81" s="97" t="s">
        <v>177</v>
      </c>
      <c r="S81" s="17" t="s">
        <v>206</v>
      </c>
      <c r="T81" s="89"/>
      <c r="U81" s="89"/>
      <c r="V81" s="85" t="s">
        <v>195</v>
      </c>
      <c r="W81" s="85" t="s">
        <v>179</v>
      </c>
      <c r="X81" s="85">
        <v>8</v>
      </c>
      <c r="Y81" s="98" t="s">
        <v>783</v>
      </c>
      <c r="Z81" s="85"/>
      <c r="AA81" s="95" t="s">
        <v>181</v>
      </c>
      <c r="AB81" s="85"/>
      <c r="AC81" s="155" t="s">
        <v>509</v>
      </c>
      <c r="AD81" s="99" t="s">
        <v>183</v>
      </c>
      <c r="AE81" s="99" t="s">
        <v>183</v>
      </c>
      <c r="AF81" s="156"/>
      <c r="AG81" s="155"/>
      <c r="AH81" s="84"/>
      <c r="AI81" s="84"/>
      <c r="AJ81" s="85" t="s">
        <v>198</v>
      </c>
      <c r="AK81" s="85" t="s">
        <v>185</v>
      </c>
      <c r="AL81" s="85" t="s">
        <v>185</v>
      </c>
      <c r="AM81" s="157" t="s">
        <v>579</v>
      </c>
      <c r="AN81" s="20">
        <v>182</v>
      </c>
      <c r="AO81" s="20">
        <v>6</v>
      </c>
      <c r="AP81" s="20">
        <v>0</v>
      </c>
      <c r="AQ81" s="20">
        <v>0</v>
      </c>
      <c r="AR81" s="20">
        <v>0</v>
      </c>
      <c r="AS81" s="20">
        <v>7</v>
      </c>
      <c r="AT81" s="20">
        <v>10</v>
      </c>
      <c r="AU81" s="300">
        <f t="shared" si="12"/>
        <v>205</v>
      </c>
      <c r="AV81" s="20">
        <v>190</v>
      </c>
      <c r="AW81" s="20">
        <v>6</v>
      </c>
      <c r="AX81" s="20">
        <v>0</v>
      </c>
      <c r="AY81" s="20">
        <v>0</v>
      </c>
      <c r="AZ81" s="20">
        <v>0</v>
      </c>
      <c r="BA81" s="20">
        <v>7</v>
      </c>
      <c r="BB81" s="20">
        <v>10</v>
      </c>
      <c r="BC81" s="300">
        <f t="shared" si="13"/>
        <v>213</v>
      </c>
      <c r="BD81" s="42">
        <f t="shared" si="14"/>
        <v>8</v>
      </c>
      <c r="BE81" s="42">
        <f t="shared" si="15"/>
        <v>0</v>
      </c>
      <c r="BF81" s="42">
        <f t="shared" si="16"/>
        <v>0</v>
      </c>
      <c r="BG81" s="42">
        <f t="shared" si="17"/>
        <v>0</v>
      </c>
      <c r="BH81" s="42">
        <f t="shared" si="18"/>
        <v>0</v>
      </c>
      <c r="BI81" s="42">
        <f t="shared" si="19"/>
        <v>0</v>
      </c>
      <c r="BJ81" s="42">
        <f t="shared" si="20"/>
        <v>0</v>
      </c>
      <c r="BK81" s="42">
        <f t="shared" si="21"/>
        <v>8</v>
      </c>
    </row>
    <row r="82" spans="1:63" ht="27" customHeight="1">
      <c r="A82" s="11">
        <f t="shared" si="22"/>
        <v>80</v>
      </c>
      <c r="B82" s="12" t="s">
        <v>784</v>
      </c>
      <c r="C82" s="8">
        <v>762</v>
      </c>
      <c r="D82" s="60" t="s">
        <v>785</v>
      </c>
      <c r="E82" s="61">
        <v>110096098</v>
      </c>
      <c r="F82" s="62" t="s">
        <v>786</v>
      </c>
      <c r="G82" s="63" t="s">
        <v>787</v>
      </c>
      <c r="H82" s="13" t="s">
        <v>788</v>
      </c>
      <c r="I82" s="14" t="s">
        <v>789</v>
      </c>
      <c r="J82" s="64" t="s">
        <v>173</v>
      </c>
      <c r="K82" s="22">
        <v>30440</v>
      </c>
      <c r="L82" s="77" t="s">
        <v>174</v>
      </c>
      <c r="M82" s="23">
        <v>41981</v>
      </c>
      <c r="N82" s="23"/>
      <c r="O82" s="15" t="s">
        <v>32</v>
      </c>
      <c r="P82" s="16" t="s">
        <v>277</v>
      </c>
      <c r="Q82" s="16" t="s">
        <v>244</v>
      </c>
      <c r="R82" s="15" t="s">
        <v>177</v>
      </c>
      <c r="S82" s="15" t="s">
        <v>223</v>
      </c>
      <c r="T82" s="20"/>
      <c r="U82" s="20"/>
      <c r="V82" s="19" t="s">
        <v>195</v>
      </c>
      <c r="W82" s="19" t="s">
        <v>179</v>
      </c>
      <c r="X82" s="19">
        <v>8</v>
      </c>
      <c r="Y82" s="61" t="s">
        <v>179</v>
      </c>
      <c r="Z82" s="19"/>
      <c r="AA82" s="19"/>
      <c r="AB82" s="19"/>
      <c r="AC82" s="106"/>
      <c r="AD82" s="99" t="s">
        <v>183</v>
      </c>
      <c r="AE82" s="106"/>
      <c r="AF82" s="108"/>
      <c r="AG82" s="106"/>
      <c r="AH82" s="43"/>
      <c r="AI82" s="43"/>
      <c r="AJ82" s="19" t="s">
        <v>198</v>
      </c>
      <c r="AK82" s="19" t="s">
        <v>185</v>
      </c>
      <c r="AL82" s="19" t="s">
        <v>198</v>
      </c>
      <c r="AM82" s="158" t="s">
        <v>790</v>
      </c>
      <c r="AN82" s="20">
        <v>182</v>
      </c>
      <c r="AO82" s="20">
        <v>6</v>
      </c>
      <c r="AP82" s="20">
        <v>20</v>
      </c>
      <c r="AQ82" s="20">
        <v>20</v>
      </c>
      <c r="AR82" s="20">
        <v>0</v>
      </c>
      <c r="AS82" s="20">
        <v>7</v>
      </c>
      <c r="AT82" s="20">
        <v>10</v>
      </c>
      <c r="AU82" s="300">
        <f t="shared" si="12"/>
        <v>245</v>
      </c>
      <c r="AV82" s="20">
        <v>190</v>
      </c>
      <c r="AW82" s="20">
        <v>6</v>
      </c>
      <c r="AX82" s="20">
        <v>20</v>
      </c>
      <c r="AY82" s="20">
        <v>20</v>
      </c>
      <c r="AZ82" s="20">
        <v>0</v>
      </c>
      <c r="BA82" s="20">
        <v>7</v>
      </c>
      <c r="BB82" s="20">
        <v>10</v>
      </c>
      <c r="BC82" s="300">
        <f t="shared" si="13"/>
        <v>253</v>
      </c>
      <c r="BD82" s="42">
        <f t="shared" si="14"/>
        <v>8</v>
      </c>
      <c r="BE82" s="42">
        <f t="shared" si="15"/>
        <v>0</v>
      </c>
      <c r="BF82" s="42">
        <f t="shared" si="16"/>
        <v>0</v>
      </c>
      <c r="BG82" s="42">
        <f t="shared" si="17"/>
        <v>0</v>
      </c>
      <c r="BH82" s="42">
        <f t="shared" si="18"/>
        <v>0</v>
      </c>
      <c r="BI82" s="42">
        <f t="shared" si="19"/>
        <v>0</v>
      </c>
      <c r="BJ82" s="42">
        <f t="shared" si="20"/>
        <v>0</v>
      </c>
      <c r="BK82" s="42">
        <f t="shared" si="21"/>
        <v>8</v>
      </c>
    </row>
    <row r="83" spans="1:63" ht="27" customHeight="1">
      <c r="A83" s="11">
        <f t="shared" si="22"/>
        <v>81</v>
      </c>
      <c r="B83" s="12" t="s">
        <v>791</v>
      </c>
      <c r="C83" s="8">
        <v>776</v>
      </c>
      <c r="D83" s="60" t="s">
        <v>792</v>
      </c>
      <c r="E83" s="61">
        <v>50611039</v>
      </c>
      <c r="F83" s="62" t="s">
        <v>793</v>
      </c>
      <c r="G83" s="63" t="s">
        <v>794</v>
      </c>
      <c r="H83" s="13" t="s">
        <v>795</v>
      </c>
      <c r="I83" s="14" t="s">
        <v>796</v>
      </c>
      <c r="J83" s="64" t="s">
        <v>173</v>
      </c>
      <c r="K83" s="22">
        <v>31245</v>
      </c>
      <c r="L83" s="77" t="s">
        <v>174</v>
      </c>
      <c r="M83" s="23">
        <v>42007</v>
      </c>
      <c r="N83" s="23"/>
      <c r="O83" s="15" t="s">
        <v>32</v>
      </c>
      <c r="P83" s="16" t="s">
        <v>507</v>
      </c>
      <c r="Q83" s="16" t="s">
        <v>176</v>
      </c>
      <c r="R83" s="15" t="s">
        <v>177</v>
      </c>
      <c r="S83" s="11" t="s">
        <v>214</v>
      </c>
      <c r="T83" s="20"/>
      <c r="U83" s="20"/>
      <c r="V83" s="19" t="s">
        <v>195</v>
      </c>
      <c r="W83" s="19" t="s">
        <v>179</v>
      </c>
      <c r="X83" s="19">
        <v>7</v>
      </c>
      <c r="Y83" s="61" t="s">
        <v>797</v>
      </c>
      <c r="Z83" s="19"/>
      <c r="AA83" s="70" t="s">
        <v>181</v>
      </c>
      <c r="AB83" s="19"/>
      <c r="AC83" s="106" t="s">
        <v>571</v>
      </c>
      <c r="AD83" s="99" t="s">
        <v>184</v>
      </c>
      <c r="AE83" s="106"/>
      <c r="AF83" s="108"/>
      <c r="AG83" s="106"/>
      <c r="AH83" s="43"/>
      <c r="AI83" s="43"/>
      <c r="AJ83" s="19" t="s">
        <v>198</v>
      </c>
      <c r="AK83" s="19" t="s">
        <v>185</v>
      </c>
      <c r="AL83" s="19" t="s">
        <v>185</v>
      </c>
      <c r="AM83" s="158" t="s">
        <v>798</v>
      </c>
      <c r="AN83" s="20">
        <v>182</v>
      </c>
      <c r="AO83" s="20">
        <v>0</v>
      </c>
      <c r="AP83" s="20">
        <v>0</v>
      </c>
      <c r="AQ83" s="20">
        <v>0</v>
      </c>
      <c r="AR83" s="20">
        <v>0</v>
      </c>
      <c r="AS83" s="20">
        <v>7</v>
      </c>
      <c r="AT83" s="20">
        <v>10</v>
      </c>
      <c r="AU83" s="300">
        <f t="shared" si="12"/>
        <v>199</v>
      </c>
      <c r="AV83" s="20">
        <v>190</v>
      </c>
      <c r="AW83" s="20">
        <v>0</v>
      </c>
      <c r="AX83" s="20">
        <v>0</v>
      </c>
      <c r="AY83" s="20">
        <v>0</v>
      </c>
      <c r="AZ83" s="20">
        <v>0</v>
      </c>
      <c r="BA83" s="20">
        <v>7</v>
      </c>
      <c r="BB83" s="20">
        <v>10</v>
      </c>
      <c r="BC83" s="300">
        <f t="shared" si="13"/>
        <v>207</v>
      </c>
      <c r="BD83" s="42">
        <f t="shared" si="14"/>
        <v>8</v>
      </c>
      <c r="BE83" s="42">
        <f t="shared" si="15"/>
        <v>0</v>
      </c>
      <c r="BF83" s="42">
        <f t="shared" si="16"/>
        <v>0</v>
      </c>
      <c r="BG83" s="42">
        <f t="shared" si="17"/>
        <v>0</v>
      </c>
      <c r="BH83" s="42">
        <f t="shared" si="18"/>
        <v>0</v>
      </c>
      <c r="BI83" s="42">
        <f t="shared" si="19"/>
        <v>0</v>
      </c>
      <c r="BJ83" s="42">
        <f t="shared" si="20"/>
        <v>0</v>
      </c>
      <c r="BK83" s="42">
        <f t="shared" si="21"/>
        <v>8</v>
      </c>
    </row>
    <row r="84" spans="1:63" ht="27" customHeight="1">
      <c r="A84" s="11">
        <f t="shared" si="22"/>
        <v>82</v>
      </c>
      <c r="B84" s="12" t="s">
        <v>799</v>
      </c>
      <c r="C84" s="8">
        <v>777</v>
      </c>
      <c r="D84" s="60" t="s">
        <v>800</v>
      </c>
      <c r="E84" s="61">
        <v>130090055</v>
      </c>
      <c r="F84" s="62" t="s">
        <v>801</v>
      </c>
      <c r="G84" s="63" t="s">
        <v>802</v>
      </c>
      <c r="H84" s="13" t="s">
        <v>803</v>
      </c>
      <c r="I84" s="14" t="s">
        <v>804</v>
      </c>
      <c r="J84" s="64" t="s">
        <v>173</v>
      </c>
      <c r="K84" s="22">
        <v>32370</v>
      </c>
      <c r="L84" s="77" t="s">
        <v>174</v>
      </c>
      <c r="M84" s="23">
        <v>42010</v>
      </c>
      <c r="N84" s="23"/>
      <c r="O84" s="15" t="s">
        <v>32</v>
      </c>
      <c r="P84" s="16" t="s">
        <v>296</v>
      </c>
      <c r="Q84" s="16" t="s">
        <v>176</v>
      </c>
      <c r="R84" s="15" t="s">
        <v>177</v>
      </c>
      <c r="S84" s="15" t="s">
        <v>223</v>
      </c>
      <c r="T84" s="20"/>
      <c r="U84" s="20"/>
      <c r="V84" s="19" t="s">
        <v>179</v>
      </c>
      <c r="W84" s="19" t="s">
        <v>179</v>
      </c>
      <c r="X84" s="19">
        <v>10</v>
      </c>
      <c r="Y84" s="61" t="s">
        <v>805</v>
      </c>
      <c r="Z84" s="19"/>
      <c r="AA84" s="70" t="s">
        <v>181</v>
      </c>
      <c r="AB84" s="19"/>
      <c r="AC84" s="106" t="s">
        <v>557</v>
      </c>
      <c r="AD84" s="99" t="s">
        <v>184</v>
      </c>
      <c r="AE84" s="106"/>
      <c r="AF84" s="108"/>
      <c r="AG84" s="106"/>
      <c r="AH84" s="43"/>
      <c r="AI84" s="43"/>
      <c r="AJ84" s="19" t="s">
        <v>198</v>
      </c>
      <c r="AK84" s="19" t="s">
        <v>185</v>
      </c>
      <c r="AL84" s="19" t="s">
        <v>185</v>
      </c>
      <c r="AM84" s="158" t="s">
        <v>806</v>
      </c>
      <c r="AN84" s="20">
        <v>182</v>
      </c>
      <c r="AO84" s="20">
        <v>5</v>
      </c>
      <c r="AP84" s="20">
        <v>0</v>
      </c>
      <c r="AQ84" s="20">
        <v>0</v>
      </c>
      <c r="AR84" s="20">
        <v>0</v>
      </c>
      <c r="AS84" s="20">
        <v>7</v>
      </c>
      <c r="AT84" s="20">
        <v>10</v>
      </c>
      <c r="AU84" s="300">
        <f t="shared" si="12"/>
        <v>204</v>
      </c>
      <c r="AV84" s="20">
        <v>190</v>
      </c>
      <c r="AW84" s="20">
        <v>5</v>
      </c>
      <c r="AX84" s="20">
        <v>0</v>
      </c>
      <c r="AY84" s="20">
        <v>0</v>
      </c>
      <c r="AZ84" s="20">
        <v>0</v>
      </c>
      <c r="BA84" s="20">
        <v>7</v>
      </c>
      <c r="BB84" s="20">
        <v>10</v>
      </c>
      <c r="BC84" s="300">
        <f t="shared" si="13"/>
        <v>212</v>
      </c>
      <c r="BD84" s="42">
        <f t="shared" si="14"/>
        <v>8</v>
      </c>
      <c r="BE84" s="42">
        <f t="shared" si="15"/>
        <v>0</v>
      </c>
      <c r="BF84" s="42">
        <f t="shared" si="16"/>
        <v>0</v>
      </c>
      <c r="BG84" s="42">
        <f t="shared" si="17"/>
        <v>0</v>
      </c>
      <c r="BH84" s="42">
        <f t="shared" si="18"/>
        <v>0</v>
      </c>
      <c r="BI84" s="42">
        <f t="shared" si="19"/>
        <v>0</v>
      </c>
      <c r="BJ84" s="42">
        <f t="shared" si="20"/>
        <v>0</v>
      </c>
      <c r="BK84" s="42">
        <f t="shared" si="21"/>
        <v>8</v>
      </c>
    </row>
    <row r="85" spans="1:63" ht="27" customHeight="1">
      <c r="A85" s="11">
        <f t="shared" si="22"/>
        <v>83</v>
      </c>
      <c r="B85" s="12" t="s">
        <v>807</v>
      </c>
      <c r="C85" s="8">
        <v>835</v>
      </c>
      <c r="D85" s="60" t="s">
        <v>808</v>
      </c>
      <c r="E85" s="61">
        <v>130152386</v>
      </c>
      <c r="F85" s="90" t="s">
        <v>809</v>
      </c>
      <c r="G85" s="91" t="s">
        <v>810</v>
      </c>
      <c r="H85" s="24" t="s">
        <v>811</v>
      </c>
      <c r="I85" s="25" t="s">
        <v>812</v>
      </c>
      <c r="J85" s="82" t="s">
        <v>173</v>
      </c>
      <c r="K85" s="26">
        <v>35014</v>
      </c>
      <c r="L85" s="66" t="s">
        <v>174</v>
      </c>
      <c r="M85" s="23">
        <v>42047</v>
      </c>
      <c r="N85" s="23"/>
      <c r="O85" s="15" t="s">
        <v>24</v>
      </c>
      <c r="P85" s="16" t="s">
        <v>25</v>
      </c>
      <c r="Q85" s="16" t="s">
        <v>176</v>
      </c>
      <c r="R85" s="15" t="s">
        <v>177</v>
      </c>
      <c r="S85" s="17" t="s">
        <v>251</v>
      </c>
      <c r="T85" s="20"/>
      <c r="U85" s="20"/>
      <c r="V85" s="19" t="s">
        <v>195</v>
      </c>
      <c r="W85" s="19" t="s">
        <v>179</v>
      </c>
      <c r="X85" s="19">
        <v>12</v>
      </c>
      <c r="Y85" s="61" t="s">
        <v>813</v>
      </c>
      <c r="Z85" s="70" t="s">
        <v>181</v>
      </c>
      <c r="AA85" s="19"/>
      <c r="AB85" s="19"/>
      <c r="AC85" s="106"/>
      <c r="AD85" s="99"/>
      <c r="AE85" s="106"/>
      <c r="AF85" s="108"/>
      <c r="AG85" s="106"/>
      <c r="AH85" s="43"/>
      <c r="AI85" s="43"/>
      <c r="AJ85" s="19" t="s">
        <v>198</v>
      </c>
      <c r="AK85" s="19" t="s">
        <v>185</v>
      </c>
      <c r="AL85" s="19" t="s">
        <v>185</v>
      </c>
      <c r="AM85" s="158" t="s">
        <v>814</v>
      </c>
      <c r="AN85" s="20">
        <v>182</v>
      </c>
      <c r="AO85" s="20">
        <v>5</v>
      </c>
      <c r="AP85" s="20">
        <v>0</v>
      </c>
      <c r="AQ85" s="20">
        <v>0</v>
      </c>
      <c r="AR85" s="20">
        <v>0</v>
      </c>
      <c r="AS85" s="20">
        <v>7</v>
      </c>
      <c r="AT85" s="20">
        <v>10</v>
      </c>
      <c r="AU85" s="300">
        <f t="shared" si="12"/>
        <v>204</v>
      </c>
      <c r="AV85" s="20">
        <v>190</v>
      </c>
      <c r="AW85" s="20">
        <v>5</v>
      </c>
      <c r="AX85" s="20">
        <v>0</v>
      </c>
      <c r="AY85" s="20">
        <v>0</v>
      </c>
      <c r="AZ85" s="20">
        <v>0</v>
      </c>
      <c r="BA85" s="20">
        <v>7</v>
      </c>
      <c r="BB85" s="20">
        <v>10</v>
      </c>
      <c r="BC85" s="300">
        <f t="shared" si="13"/>
        <v>212</v>
      </c>
      <c r="BD85" s="42">
        <f t="shared" si="14"/>
        <v>8</v>
      </c>
      <c r="BE85" s="42">
        <f t="shared" si="15"/>
        <v>0</v>
      </c>
      <c r="BF85" s="42">
        <f t="shared" si="16"/>
        <v>0</v>
      </c>
      <c r="BG85" s="42">
        <f t="shared" si="17"/>
        <v>0</v>
      </c>
      <c r="BH85" s="42">
        <f t="shared" si="18"/>
        <v>0</v>
      </c>
      <c r="BI85" s="42">
        <f t="shared" si="19"/>
        <v>0</v>
      </c>
      <c r="BJ85" s="42">
        <f t="shared" si="20"/>
        <v>0</v>
      </c>
      <c r="BK85" s="42">
        <f t="shared" si="21"/>
        <v>8</v>
      </c>
    </row>
    <row r="86" spans="1:63" ht="27" customHeight="1">
      <c r="A86" s="11">
        <f t="shared" si="22"/>
        <v>84</v>
      </c>
      <c r="B86" s="12" t="s">
        <v>815</v>
      </c>
      <c r="C86" s="8">
        <v>826</v>
      </c>
      <c r="D86" s="60" t="s">
        <v>816</v>
      </c>
      <c r="E86" s="61">
        <v>61168082</v>
      </c>
      <c r="F86" s="90" t="s">
        <v>817</v>
      </c>
      <c r="G86" s="91" t="s">
        <v>818</v>
      </c>
      <c r="H86" s="24" t="s">
        <v>819</v>
      </c>
      <c r="I86" s="25" t="s">
        <v>820</v>
      </c>
      <c r="J86" s="82" t="s">
        <v>173</v>
      </c>
      <c r="K86" s="26">
        <v>32982</v>
      </c>
      <c r="L86" s="66" t="s">
        <v>174</v>
      </c>
      <c r="M86" s="23">
        <v>42045</v>
      </c>
      <c r="N86" s="23"/>
      <c r="O86" s="15" t="s">
        <v>32</v>
      </c>
      <c r="P86" s="16" t="s">
        <v>296</v>
      </c>
      <c r="Q86" s="16" t="s">
        <v>176</v>
      </c>
      <c r="R86" s="15" t="s">
        <v>177</v>
      </c>
      <c r="S86" s="17" t="s">
        <v>178</v>
      </c>
      <c r="T86" s="20"/>
      <c r="U86" s="20"/>
      <c r="V86" s="19" t="s">
        <v>179</v>
      </c>
      <c r="W86" s="19">
        <v>1835</v>
      </c>
      <c r="X86" s="19">
        <v>9</v>
      </c>
      <c r="Y86" s="61" t="s">
        <v>179</v>
      </c>
      <c r="Z86" s="19"/>
      <c r="AA86" s="70" t="s">
        <v>181</v>
      </c>
      <c r="AB86" s="19"/>
      <c r="AC86" s="106" t="s">
        <v>821</v>
      </c>
      <c r="AD86" s="99"/>
      <c r="AE86" s="106"/>
      <c r="AF86" s="108"/>
      <c r="AG86" s="106"/>
      <c r="AH86" s="43"/>
      <c r="AI86" s="43"/>
      <c r="AJ86" s="19" t="s">
        <v>198</v>
      </c>
      <c r="AK86" s="19" t="s">
        <v>185</v>
      </c>
      <c r="AL86" s="19" t="s">
        <v>198</v>
      </c>
      <c r="AM86" s="158" t="s">
        <v>822</v>
      </c>
      <c r="AN86" s="20">
        <v>182</v>
      </c>
      <c r="AO86" s="20">
        <v>5</v>
      </c>
      <c r="AP86" s="20">
        <v>0</v>
      </c>
      <c r="AQ86" s="20">
        <v>0</v>
      </c>
      <c r="AR86" s="20">
        <v>0</v>
      </c>
      <c r="AS86" s="20">
        <v>7</v>
      </c>
      <c r="AT86" s="20">
        <v>10</v>
      </c>
      <c r="AU86" s="300">
        <f t="shared" si="12"/>
        <v>204</v>
      </c>
      <c r="AV86" s="20">
        <v>190</v>
      </c>
      <c r="AW86" s="20">
        <v>5</v>
      </c>
      <c r="AX86" s="20">
        <v>0</v>
      </c>
      <c r="AY86" s="20">
        <v>0</v>
      </c>
      <c r="AZ86" s="20">
        <v>0</v>
      </c>
      <c r="BA86" s="20">
        <v>7</v>
      </c>
      <c r="BB86" s="20">
        <v>10</v>
      </c>
      <c r="BC86" s="300">
        <f t="shared" si="13"/>
        <v>212</v>
      </c>
      <c r="BD86" s="42">
        <f t="shared" si="14"/>
        <v>8</v>
      </c>
      <c r="BE86" s="42">
        <f t="shared" si="15"/>
        <v>0</v>
      </c>
      <c r="BF86" s="42">
        <f t="shared" si="16"/>
        <v>0</v>
      </c>
      <c r="BG86" s="42">
        <f t="shared" si="17"/>
        <v>0</v>
      </c>
      <c r="BH86" s="42">
        <f t="shared" si="18"/>
        <v>0</v>
      </c>
      <c r="BI86" s="42">
        <f t="shared" si="19"/>
        <v>0</v>
      </c>
      <c r="BJ86" s="42">
        <f t="shared" si="20"/>
        <v>0</v>
      </c>
      <c r="BK86" s="42">
        <f t="shared" si="21"/>
        <v>8</v>
      </c>
    </row>
    <row r="87" spans="1:63" ht="27" customHeight="1">
      <c r="A87" s="11">
        <f t="shared" si="22"/>
        <v>85</v>
      </c>
      <c r="B87" s="12" t="s">
        <v>823</v>
      </c>
      <c r="C87" s="8">
        <v>827</v>
      </c>
      <c r="D87" s="60" t="s">
        <v>824</v>
      </c>
      <c r="E87" s="61">
        <v>130144705</v>
      </c>
      <c r="F87" s="90" t="s">
        <v>825</v>
      </c>
      <c r="G87" s="91" t="s">
        <v>826</v>
      </c>
      <c r="H87" s="24" t="s">
        <v>827</v>
      </c>
      <c r="I87" s="25" t="s">
        <v>695</v>
      </c>
      <c r="J87" s="82" t="s">
        <v>173</v>
      </c>
      <c r="K87" s="26">
        <v>33635</v>
      </c>
      <c r="L87" s="66" t="s">
        <v>174</v>
      </c>
      <c r="M87" s="23">
        <v>42045</v>
      </c>
      <c r="N87" s="23"/>
      <c r="O87" s="15" t="s">
        <v>32</v>
      </c>
      <c r="P87" s="16" t="s">
        <v>334</v>
      </c>
      <c r="Q87" s="16" t="s">
        <v>176</v>
      </c>
      <c r="R87" s="15" t="s">
        <v>177</v>
      </c>
      <c r="S87" s="17" t="s">
        <v>251</v>
      </c>
      <c r="T87" s="20"/>
      <c r="U87" s="20"/>
      <c r="V87" s="19" t="s">
        <v>179</v>
      </c>
      <c r="W87" s="19">
        <v>7273</v>
      </c>
      <c r="X87" s="19">
        <v>7</v>
      </c>
      <c r="Y87" s="61" t="s">
        <v>828</v>
      </c>
      <c r="Z87" s="70" t="s">
        <v>181</v>
      </c>
      <c r="AA87" s="19"/>
      <c r="AB87" s="19"/>
      <c r="AC87" s="106"/>
      <c r="AD87" s="99"/>
      <c r="AE87" s="106"/>
      <c r="AF87" s="108"/>
      <c r="AG87" s="106"/>
      <c r="AH87" s="43"/>
      <c r="AI87" s="43"/>
      <c r="AJ87" s="19" t="s">
        <v>198</v>
      </c>
      <c r="AK87" s="19" t="s">
        <v>185</v>
      </c>
      <c r="AL87" s="19" t="s">
        <v>185</v>
      </c>
      <c r="AM87" s="158" t="s">
        <v>829</v>
      </c>
      <c r="AN87" s="20">
        <v>182</v>
      </c>
      <c r="AO87" s="20">
        <v>5</v>
      </c>
      <c r="AP87" s="20">
        <v>0</v>
      </c>
      <c r="AQ87" s="20">
        <v>0</v>
      </c>
      <c r="AR87" s="20">
        <v>0</v>
      </c>
      <c r="AS87" s="20">
        <v>7</v>
      </c>
      <c r="AT87" s="20">
        <v>10</v>
      </c>
      <c r="AU87" s="300">
        <f t="shared" si="12"/>
        <v>204</v>
      </c>
      <c r="AV87" s="20">
        <v>190</v>
      </c>
      <c r="AW87" s="20">
        <v>5</v>
      </c>
      <c r="AX87" s="20">
        <v>0</v>
      </c>
      <c r="AY87" s="20">
        <v>0</v>
      </c>
      <c r="AZ87" s="20">
        <v>0</v>
      </c>
      <c r="BA87" s="20">
        <v>7</v>
      </c>
      <c r="BB87" s="20">
        <v>10</v>
      </c>
      <c r="BC87" s="300">
        <f t="shared" si="13"/>
        <v>212</v>
      </c>
      <c r="BD87" s="42">
        <f t="shared" si="14"/>
        <v>8</v>
      </c>
      <c r="BE87" s="42">
        <f t="shared" si="15"/>
        <v>0</v>
      </c>
      <c r="BF87" s="42">
        <f t="shared" si="16"/>
        <v>0</v>
      </c>
      <c r="BG87" s="42">
        <f t="shared" si="17"/>
        <v>0</v>
      </c>
      <c r="BH87" s="42">
        <f t="shared" si="18"/>
        <v>0</v>
      </c>
      <c r="BI87" s="42">
        <f t="shared" si="19"/>
        <v>0</v>
      </c>
      <c r="BJ87" s="42">
        <f t="shared" si="20"/>
        <v>0</v>
      </c>
      <c r="BK87" s="42">
        <f t="shared" si="21"/>
        <v>8</v>
      </c>
    </row>
    <row r="88" spans="1:63" ht="27" customHeight="1">
      <c r="A88" s="11">
        <f t="shared" si="22"/>
        <v>86</v>
      </c>
      <c r="B88" s="12" t="s">
        <v>830</v>
      </c>
      <c r="C88" s="8">
        <v>825</v>
      </c>
      <c r="D88" s="74" t="s">
        <v>831</v>
      </c>
      <c r="E88" s="61" t="s">
        <v>185</v>
      </c>
      <c r="F88" s="90" t="s">
        <v>832</v>
      </c>
      <c r="G88" s="91" t="s">
        <v>833</v>
      </c>
      <c r="H88" s="24" t="s">
        <v>834</v>
      </c>
      <c r="I88" s="25" t="s">
        <v>835</v>
      </c>
      <c r="J88" s="82" t="s">
        <v>173</v>
      </c>
      <c r="K88" s="26">
        <v>34227</v>
      </c>
      <c r="L88" s="66" t="s">
        <v>174</v>
      </c>
      <c r="M88" s="23">
        <v>42044</v>
      </c>
      <c r="N88" s="23"/>
      <c r="O88" s="15" t="s">
        <v>32</v>
      </c>
      <c r="P88" s="16" t="s">
        <v>507</v>
      </c>
      <c r="Q88" s="16" t="s">
        <v>176</v>
      </c>
      <c r="R88" s="15" t="s">
        <v>177</v>
      </c>
      <c r="S88" s="11" t="s">
        <v>836</v>
      </c>
      <c r="T88" s="20"/>
      <c r="U88" s="20"/>
      <c r="V88" s="19" t="s">
        <v>195</v>
      </c>
      <c r="W88" s="19">
        <v>9479</v>
      </c>
      <c r="X88" s="19">
        <v>5</v>
      </c>
      <c r="Y88" s="61" t="s">
        <v>837</v>
      </c>
      <c r="Z88" s="19"/>
      <c r="AA88" s="70" t="s">
        <v>181</v>
      </c>
      <c r="AB88" s="19"/>
      <c r="AC88" s="106" t="s">
        <v>492</v>
      </c>
      <c r="AD88" s="99" t="s">
        <v>183</v>
      </c>
      <c r="AE88" s="99" t="s">
        <v>183</v>
      </c>
      <c r="AF88" s="99" t="s">
        <v>184</v>
      </c>
      <c r="AG88" s="106"/>
      <c r="AH88" s="43"/>
      <c r="AI88" s="43"/>
      <c r="AJ88" s="19" t="s">
        <v>198</v>
      </c>
      <c r="AK88" s="19" t="s">
        <v>185</v>
      </c>
      <c r="AL88" s="19" t="s">
        <v>185</v>
      </c>
      <c r="AM88" s="158" t="s">
        <v>838</v>
      </c>
      <c r="AN88" s="20">
        <v>182</v>
      </c>
      <c r="AO88" s="20">
        <v>5</v>
      </c>
      <c r="AP88" s="20">
        <v>0</v>
      </c>
      <c r="AQ88" s="20">
        <v>0</v>
      </c>
      <c r="AR88" s="20">
        <v>0</v>
      </c>
      <c r="AS88" s="20">
        <v>7</v>
      </c>
      <c r="AT88" s="20">
        <v>10</v>
      </c>
      <c r="AU88" s="300">
        <f t="shared" si="12"/>
        <v>204</v>
      </c>
      <c r="AV88" s="20">
        <v>190</v>
      </c>
      <c r="AW88" s="20">
        <v>5</v>
      </c>
      <c r="AX88" s="20">
        <v>0</v>
      </c>
      <c r="AY88" s="20">
        <v>0</v>
      </c>
      <c r="AZ88" s="20">
        <v>0</v>
      </c>
      <c r="BA88" s="20">
        <v>7</v>
      </c>
      <c r="BB88" s="20">
        <v>10</v>
      </c>
      <c r="BC88" s="300">
        <f t="shared" si="13"/>
        <v>212</v>
      </c>
      <c r="BD88" s="42">
        <f t="shared" si="14"/>
        <v>8</v>
      </c>
      <c r="BE88" s="42">
        <f t="shared" si="15"/>
        <v>0</v>
      </c>
      <c r="BF88" s="42">
        <f t="shared" si="16"/>
        <v>0</v>
      </c>
      <c r="BG88" s="42">
        <f t="shared" si="17"/>
        <v>0</v>
      </c>
      <c r="BH88" s="42">
        <f t="shared" si="18"/>
        <v>0</v>
      </c>
      <c r="BI88" s="42">
        <f t="shared" si="19"/>
        <v>0</v>
      </c>
      <c r="BJ88" s="42">
        <f t="shared" si="20"/>
        <v>0</v>
      </c>
      <c r="BK88" s="42">
        <f t="shared" si="21"/>
        <v>8</v>
      </c>
    </row>
    <row r="89" spans="1:63" ht="27" customHeight="1">
      <c r="A89" s="11">
        <f t="shared" si="22"/>
        <v>87</v>
      </c>
      <c r="B89" s="12" t="s">
        <v>839</v>
      </c>
      <c r="C89" s="8">
        <v>854</v>
      </c>
      <c r="D89" s="60" t="s">
        <v>840</v>
      </c>
      <c r="E89" s="61">
        <v>30290497</v>
      </c>
      <c r="F89" s="90" t="s">
        <v>841</v>
      </c>
      <c r="G89" s="91" t="s">
        <v>842</v>
      </c>
      <c r="H89" s="24" t="s">
        <v>843</v>
      </c>
      <c r="I89" s="25" t="s">
        <v>844</v>
      </c>
      <c r="J89" s="82" t="s">
        <v>173</v>
      </c>
      <c r="K89" s="26">
        <v>31663</v>
      </c>
      <c r="L89" s="66" t="s">
        <v>174</v>
      </c>
      <c r="M89" s="23">
        <v>42074</v>
      </c>
      <c r="N89" s="23"/>
      <c r="O89" s="15" t="s">
        <v>32</v>
      </c>
      <c r="P89" s="16" t="s">
        <v>222</v>
      </c>
      <c r="Q89" s="16" t="s">
        <v>176</v>
      </c>
      <c r="R89" s="15" t="s">
        <v>177</v>
      </c>
      <c r="S89" s="11" t="s">
        <v>305</v>
      </c>
      <c r="T89" s="20"/>
      <c r="U89" s="20"/>
      <c r="V89" s="19" t="s">
        <v>195</v>
      </c>
      <c r="W89" s="19">
        <v>9452</v>
      </c>
      <c r="X89" s="19">
        <v>5</v>
      </c>
      <c r="Y89" s="61" t="s">
        <v>179</v>
      </c>
      <c r="Z89" s="19"/>
      <c r="AA89" s="70" t="s">
        <v>181</v>
      </c>
      <c r="AB89" s="19"/>
      <c r="AC89" s="106" t="s">
        <v>557</v>
      </c>
      <c r="AD89" s="99" t="s">
        <v>183</v>
      </c>
      <c r="AE89" s="106"/>
      <c r="AF89" s="108"/>
      <c r="AG89" s="106"/>
      <c r="AH89" s="43"/>
      <c r="AI89" s="43"/>
      <c r="AJ89" s="19" t="s">
        <v>198</v>
      </c>
      <c r="AK89" s="19" t="s">
        <v>185</v>
      </c>
      <c r="AL89" s="19" t="s">
        <v>185</v>
      </c>
      <c r="AM89" s="158" t="s">
        <v>845</v>
      </c>
      <c r="AN89" s="20">
        <v>182</v>
      </c>
      <c r="AO89" s="20">
        <v>5</v>
      </c>
      <c r="AP89" s="20">
        <v>0</v>
      </c>
      <c r="AQ89" s="20">
        <v>0</v>
      </c>
      <c r="AR89" s="20">
        <v>0</v>
      </c>
      <c r="AS89" s="20">
        <v>7</v>
      </c>
      <c r="AT89" s="20">
        <v>10</v>
      </c>
      <c r="AU89" s="300">
        <f t="shared" si="12"/>
        <v>204</v>
      </c>
      <c r="AV89" s="20">
        <v>190</v>
      </c>
      <c r="AW89" s="20">
        <v>5</v>
      </c>
      <c r="AX89" s="20">
        <v>0</v>
      </c>
      <c r="AY89" s="20">
        <v>0</v>
      </c>
      <c r="AZ89" s="20">
        <v>0</v>
      </c>
      <c r="BA89" s="20">
        <v>7</v>
      </c>
      <c r="BB89" s="20">
        <v>10</v>
      </c>
      <c r="BC89" s="300">
        <f t="shared" si="13"/>
        <v>212</v>
      </c>
      <c r="BD89" s="42">
        <f t="shared" si="14"/>
        <v>8</v>
      </c>
      <c r="BE89" s="42">
        <f t="shared" si="15"/>
        <v>0</v>
      </c>
      <c r="BF89" s="42">
        <f t="shared" si="16"/>
        <v>0</v>
      </c>
      <c r="BG89" s="42">
        <f t="shared" si="17"/>
        <v>0</v>
      </c>
      <c r="BH89" s="42">
        <f t="shared" si="18"/>
        <v>0</v>
      </c>
      <c r="BI89" s="42">
        <f t="shared" si="19"/>
        <v>0</v>
      </c>
      <c r="BJ89" s="42">
        <f t="shared" si="20"/>
        <v>0</v>
      </c>
      <c r="BK89" s="42">
        <f t="shared" si="21"/>
        <v>8</v>
      </c>
    </row>
    <row r="90" spans="1:63" ht="27" customHeight="1">
      <c r="A90" s="11">
        <f t="shared" si="22"/>
        <v>88</v>
      </c>
      <c r="B90" s="12" t="s">
        <v>846</v>
      </c>
      <c r="C90" s="8">
        <v>857</v>
      </c>
      <c r="D90" s="60" t="s">
        <v>847</v>
      </c>
      <c r="E90" s="61">
        <v>130090619</v>
      </c>
      <c r="F90" s="90" t="s">
        <v>190</v>
      </c>
      <c r="G90" s="91" t="s">
        <v>848</v>
      </c>
      <c r="H90" s="24" t="s">
        <v>694</v>
      </c>
      <c r="I90" s="25" t="s">
        <v>849</v>
      </c>
      <c r="J90" s="82" t="s">
        <v>173</v>
      </c>
      <c r="K90" s="26">
        <v>30357</v>
      </c>
      <c r="L90" s="66" t="s">
        <v>174</v>
      </c>
      <c r="M90" s="23">
        <v>42075</v>
      </c>
      <c r="N90" s="23"/>
      <c r="O90" s="15" t="s">
        <v>32</v>
      </c>
      <c r="P90" s="16" t="s">
        <v>222</v>
      </c>
      <c r="Q90" s="16" t="s">
        <v>176</v>
      </c>
      <c r="R90" s="15" t="s">
        <v>177</v>
      </c>
      <c r="S90" s="17" t="s">
        <v>206</v>
      </c>
      <c r="T90" s="20"/>
      <c r="U90" s="20"/>
      <c r="V90" s="19" t="s">
        <v>195</v>
      </c>
      <c r="W90" s="19">
        <v>233</v>
      </c>
      <c r="X90" s="19">
        <v>5</v>
      </c>
      <c r="Y90" s="61" t="s">
        <v>850</v>
      </c>
      <c r="Z90" s="19"/>
      <c r="AA90" s="70" t="s">
        <v>181</v>
      </c>
      <c r="AB90" s="19"/>
      <c r="AC90" s="106" t="s">
        <v>492</v>
      </c>
      <c r="AD90" s="99"/>
      <c r="AE90" s="106"/>
      <c r="AF90" s="108"/>
      <c r="AG90" s="106"/>
      <c r="AH90" s="43"/>
      <c r="AI90" s="43"/>
      <c r="AJ90" s="19" t="s">
        <v>198</v>
      </c>
      <c r="AK90" s="19" t="s">
        <v>185</v>
      </c>
      <c r="AL90" s="19" t="s">
        <v>185</v>
      </c>
      <c r="AM90" s="158" t="s">
        <v>851</v>
      </c>
      <c r="AN90" s="20">
        <v>182</v>
      </c>
      <c r="AO90" s="20">
        <v>5</v>
      </c>
      <c r="AP90" s="20">
        <v>0</v>
      </c>
      <c r="AQ90" s="20">
        <v>0</v>
      </c>
      <c r="AR90" s="20">
        <v>0</v>
      </c>
      <c r="AS90" s="20">
        <v>7</v>
      </c>
      <c r="AT90" s="20">
        <v>10</v>
      </c>
      <c r="AU90" s="300">
        <f t="shared" si="12"/>
        <v>204</v>
      </c>
      <c r="AV90" s="20">
        <v>190</v>
      </c>
      <c r="AW90" s="20">
        <v>5</v>
      </c>
      <c r="AX90" s="20">
        <v>0</v>
      </c>
      <c r="AY90" s="20">
        <v>0</v>
      </c>
      <c r="AZ90" s="20">
        <v>0</v>
      </c>
      <c r="BA90" s="20">
        <v>7</v>
      </c>
      <c r="BB90" s="20">
        <v>10</v>
      </c>
      <c r="BC90" s="300">
        <f t="shared" si="13"/>
        <v>212</v>
      </c>
      <c r="BD90" s="42">
        <f t="shared" si="14"/>
        <v>8</v>
      </c>
      <c r="BE90" s="42">
        <f t="shared" si="15"/>
        <v>0</v>
      </c>
      <c r="BF90" s="42">
        <f t="shared" si="16"/>
        <v>0</v>
      </c>
      <c r="BG90" s="42">
        <f t="shared" si="17"/>
        <v>0</v>
      </c>
      <c r="BH90" s="42">
        <f t="shared" si="18"/>
        <v>0</v>
      </c>
      <c r="BI90" s="42">
        <f t="shared" si="19"/>
        <v>0</v>
      </c>
      <c r="BJ90" s="42">
        <f t="shared" si="20"/>
        <v>0</v>
      </c>
      <c r="BK90" s="42">
        <f t="shared" si="21"/>
        <v>8</v>
      </c>
    </row>
    <row r="91" spans="1:63" ht="27" customHeight="1">
      <c r="A91" s="11">
        <f t="shared" si="22"/>
        <v>89</v>
      </c>
      <c r="B91" s="12" t="s">
        <v>852</v>
      </c>
      <c r="C91" s="8">
        <v>839</v>
      </c>
      <c r="D91" s="60" t="s">
        <v>853</v>
      </c>
      <c r="E91" s="61">
        <v>100888937</v>
      </c>
      <c r="F91" s="90" t="s">
        <v>854</v>
      </c>
      <c r="G91" s="91" t="s">
        <v>855</v>
      </c>
      <c r="H91" s="24" t="s">
        <v>856</v>
      </c>
      <c r="I91" s="25" t="s">
        <v>857</v>
      </c>
      <c r="J91" s="82" t="s">
        <v>173</v>
      </c>
      <c r="K91" s="26">
        <v>31455</v>
      </c>
      <c r="L91" s="66" t="s">
        <v>174</v>
      </c>
      <c r="M91" s="23">
        <v>42066</v>
      </c>
      <c r="N91" s="23"/>
      <c r="O91" s="15" t="s">
        <v>32</v>
      </c>
      <c r="P91" s="16" t="s">
        <v>277</v>
      </c>
      <c r="Q91" s="16" t="s">
        <v>244</v>
      </c>
      <c r="R91" s="15" t="s">
        <v>177</v>
      </c>
      <c r="S91" s="17" t="s">
        <v>206</v>
      </c>
      <c r="T91" s="20"/>
      <c r="U91" s="20"/>
      <c r="V91" s="19" t="s">
        <v>179</v>
      </c>
      <c r="W91" s="19" t="s">
        <v>179</v>
      </c>
      <c r="X91" s="19">
        <v>6</v>
      </c>
      <c r="Y91" s="61" t="s">
        <v>858</v>
      </c>
      <c r="Z91" s="19"/>
      <c r="AA91" s="70" t="s">
        <v>181</v>
      </c>
      <c r="AB91" s="19"/>
      <c r="AC91" s="106" t="s">
        <v>571</v>
      </c>
      <c r="AD91" s="99"/>
      <c r="AE91" s="106"/>
      <c r="AF91" s="108"/>
      <c r="AG91" s="106"/>
      <c r="AH91" s="43"/>
      <c r="AI91" s="43"/>
      <c r="AJ91" s="19" t="s">
        <v>198</v>
      </c>
      <c r="AK91" s="19" t="s">
        <v>185</v>
      </c>
      <c r="AL91" s="19" t="s">
        <v>185</v>
      </c>
      <c r="AM91" s="158" t="s">
        <v>859</v>
      </c>
      <c r="AN91" s="20">
        <v>182</v>
      </c>
      <c r="AO91" s="20">
        <v>5</v>
      </c>
      <c r="AP91" s="20">
        <v>20</v>
      </c>
      <c r="AQ91" s="20">
        <v>0</v>
      </c>
      <c r="AR91" s="20">
        <v>0</v>
      </c>
      <c r="AS91" s="20">
        <v>7</v>
      </c>
      <c r="AT91" s="20">
        <v>10</v>
      </c>
      <c r="AU91" s="300">
        <f t="shared" si="12"/>
        <v>224</v>
      </c>
      <c r="AV91" s="20">
        <v>190</v>
      </c>
      <c r="AW91" s="20">
        <v>5</v>
      </c>
      <c r="AX91" s="20">
        <v>20</v>
      </c>
      <c r="AY91" s="20">
        <v>0</v>
      </c>
      <c r="AZ91" s="20">
        <v>0</v>
      </c>
      <c r="BA91" s="20">
        <v>7</v>
      </c>
      <c r="BB91" s="20">
        <v>10</v>
      </c>
      <c r="BC91" s="300">
        <f t="shared" si="13"/>
        <v>232</v>
      </c>
      <c r="BD91" s="42">
        <f t="shared" si="14"/>
        <v>8</v>
      </c>
      <c r="BE91" s="42">
        <f t="shared" si="15"/>
        <v>0</v>
      </c>
      <c r="BF91" s="42">
        <f t="shared" si="16"/>
        <v>0</v>
      </c>
      <c r="BG91" s="42">
        <f t="shared" si="17"/>
        <v>0</v>
      </c>
      <c r="BH91" s="42">
        <f t="shared" si="18"/>
        <v>0</v>
      </c>
      <c r="BI91" s="42">
        <f t="shared" si="19"/>
        <v>0</v>
      </c>
      <c r="BJ91" s="42">
        <f t="shared" si="20"/>
        <v>0</v>
      </c>
      <c r="BK91" s="42">
        <f t="shared" si="21"/>
        <v>8</v>
      </c>
    </row>
    <row r="92" spans="1:63" ht="27" customHeight="1">
      <c r="A92" s="11">
        <f t="shared" si="22"/>
        <v>90</v>
      </c>
      <c r="B92" s="12" t="s">
        <v>860</v>
      </c>
      <c r="C92" s="8">
        <v>840</v>
      </c>
      <c r="D92" s="60" t="s">
        <v>861</v>
      </c>
      <c r="E92" s="61" t="s">
        <v>185</v>
      </c>
      <c r="F92" s="62" t="s">
        <v>670</v>
      </c>
      <c r="G92" s="63" t="s">
        <v>862</v>
      </c>
      <c r="H92" s="13" t="s">
        <v>672</v>
      </c>
      <c r="I92" s="14" t="s">
        <v>863</v>
      </c>
      <c r="J92" s="64" t="s">
        <v>173</v>
      </c>
      <c r="K92" s="22">
        <v>29222</v>
      </c>
      <c r="L92" s="77" t="s">
        <v>174</v>
      </c>
      <c r="M92" s="23">
        <v>42066</v>
      </c>
      <c r="N92" s="23"/>
      <c r="O92" s="15" t="s">
        <v>32</v>
      </c>
      <c r="P92" s="16" t="s">
        <v>304</v>
      </c>
      <c r="Q92" s="16" t="s">
        <v>176</v>
      </c>
      <c r="R92" s="15" t="s">
        <v>177</v>
      </c>
      <c r="S92" s="11" t="s">
        <v>214</v>
      </c>
      <c r="T92" s="20"/>
      <c r="U92" s="20"/>
      <c r="V92" s="19" t="s">
        <v>195</v>
      </c>
      <c r="W92" s="19">
        <v>23</v>
      </c>
      <c r="X92" s="19">
        <v>4</v>
      </c>
      <c r="Y92" s="61" t="s">
        <v>864</v>
      </c>
      <c r="Z92" s="19"/>
      <c r="AA92" s="70" t="s">
        <v>181</v>
      </c>
      <c r="AB92" s="19"/>
      <c r="AC92" s="106" t="s">
        <v>492</v>
      </c>
      <c r="AD92" s="99" t="s">
        <v>183</v>
      </c>
      <c r="AE92" s="99" t="s">
        <v>183</v>
      </c>
      <c r="AF92" s="108" t="s">
        <v>558</v>
      </c>
      <c r="AG92" s="106"/>
      <c r="AH92" s="43"/>
      <c r="AI92" s="43"/>
      <c r="AJ92" s="19" t="s">
        <v>198</v>
      </c>
      <c r="AK92" s="19" t="s">
        <v>185</v>
      </c>
      <c r="AL92" s="19" t="s">
        <v>185</v>
      </c>
      <c r="AM92" s="158" t="s">
        <v>865</v>
      </c>
      <c r="AN92" s="20">
        <v>182</v>
      </c>
      <c r="AO92" s="20">
        <v>5</v>
      </c>
      <c r="AP92" s="20">
        <v>0</v>
      </c>
      <c r="AQ92" s="20">
        <v>0</v>
      </c>
      <c r="AR92" s="20">
        <v>0</v>
      </c>
      <c r="AS92" s="20">
        <v>7</v>
      </c>
      <c r="AT92" s="20">
        <v>10</v>
      </c>
      <c r="AU92" s="300">
        <f t="shared" si="12"/>
        <v>204</v>
      </c>
      <c r="AV92" s="20">
        <v>190</v>
      </c>
      <c r="AW92" s="20">
        <v>5</v>
      </c>
      <c r="AX92" s="20">
        <v>0</v>
      </c>
      <c r="AY92" s="20">
        <v>0</v>
      </c>
      <c r="AZ92" s="20">
        <v>0</v>
      </c>
      <c r="BA92" s="20">
        <v>7</v>
      </c>
      <c r="BB92" s="20">
        <v>10</v>
      </c>
      <c r="BC92" s="300">
        <f t="shared" si="13"/>
        <v>212</v>
      </c>
      <c r="BD92" s="42">
        <f t="shared" si="14"/>
        <v>8</v>
      </c>
      <c r="BE92" s="42">
        <f t="shared" si="15"/>
        <v>0</v>
      </c>
      <c r="BF92" s="42">
        <f t="shared" si="16"/>
        <v>0</v>
      </c>
      <c r="BG92" s="42">
        <f t="shared" si="17"/>
        <v>0</v>
      </c>
      <c r="BH92" s="42">
        <f t="shared" si="18"/>
        <v>0</v>
      </c>
      <c r="BI92" s="42">
        <f t="shared" si="19"/>
        <v>0</v>
      </c>
      <c r="BJ92" s="42">
        <f t="shared" si="20"/>
        <v>0</v>
      </c>
      <c r="BK92" s="42">
        <f t="shared" si="21"/>
        <v>8</v>
      </c>
    </row>
    <row r="93" spans="1:63" ht="27" customHeight="1">
      <c r="A93" s="11">
        <f t="shared" si="22"/>
        <v>91</v>
      </c>
      <c r="B93" s="12" t="s">
        <v>866</v>
      </c>
      <c r="C93" s="8">
        <v>843</v>
      </c>
      <c r="D93" s="60" t="s">
        <v>867</v>
      </c>
      <c r="E93" s="61" t="s">
        <v>185</v>
      </c>
      <c r="F93" s="62" t="s">
        <v>868</v>
      </c>
      <c r="G93" s="63" t="s">
        <v>869</v>
      </c>
      <c r="H93" s="13" t="s">
        <v>870</v>
      </c>
      <c r="I93" s="14" t="s">
        <v>871</v>
      </c>
      <c r="J93" s="64" t="s">
        <v>173</v>
      </c>
      <c r="K93" s="22">
        <v>34586</v>
      </c>
      <c r="L93" s="77" t="s">
        <v>174</v>
      </c>
      <c r="M93" s="23">
        <v>42066</v>
      </c>
      <c r="N93" s="23"/>
      <c r="O93" s="15" t="s">
        <v>32</v>
      </c>
      <c r="P93" s="16" t="s">
        <v>296</v>
      </c>
      <c r="Q93" s="16" t="s">
        <v>176</v>
      </c>
      <c r="R93" s="15" t="s">
        <v>177</v>
      </c>
      <c r="S93" s="15" t="s">
        <v>722</v>
      </c>
      <c r="T93" s="20"/>
      <c r="U93" s="20"/>
      <c r="V93" s="19" t="s">
        <v>195</v>
      </c>
      <c r="W93" s="19">
        <v>9700</v>
      </c>
      <c r="X93" s="19">
        <v>4</v>
      </c>
      <c r="Y93" s="61" t="s">
        <v>872</v>
      </c>
      <c r="Z93" s="70" t="s">
        <v>181</v>
      </c>
      <c r="AA93" s="19"/>
      <c r="AB93" s="19"/>
      <c r="AC93" s="106"/>
      <c r="AD93" s="99"/>
      <c r="AE93" s="106"/>
      <c r="AF93" s="108"/>
      <c r="AG93" s="106"/>
      <c r="AH93" s="43"/>
      <c r="AI93" s="43"/>
      <c r="AJ93" s="19" t="s">
        <v>198</v>
      </c>
      <c r="AK93" s="19" t="s">
        <v>185</v>
      </c>
      <c r="AL93" s="19" t="s">
        <v>198</v>
      </c>
      <c r="AM93" s="158" t="s">
        <v>873</v>
      </c>
      <c r="AN93" s="20">
        <v>182</v>
      </c>
      <c r="AO93" s="20">
        <v>5</v>
      </c>
      <c r="AP93" s="20">
        <v>0</v>
      </c>
      <c r="AQ93" s="20">
        <v>0</v>
      </c>
      <c r="AR93" s="20">
        <v>0</v>
      </c>
      <c r="AS93" s="20">
        <v>7</v>
      </c>
      <c r="AT93" s="20">
        <v>10</v>
      </c>
      <c r="AU93" s="300">
        <f t="shared" si="12"/>
        <v>204</v>
      </c>
      <c r="AV93" s="20">
        <v>190</v>
      </c>
      <c r="AW93" s="20">
        <v>5</v>
      </c>
      <c r="AX93" s="20">
        <v>0</v>
      </c>
      <c r="AY93" s="20">
        <v>0</v>
      </c>
      <c r="AZ93" s="20">
        <v>0</v>
      </c>
      <c r="BA93" s="20">
        <v>7</v>
      </c>
      <c r="BB93" s="20">
        <v>10</v>
      </c>
      <c r="BC93" s="300">
        <f t="shared" si="13"/>
        <v>212</v>
      </c>
      <c r="BD93" s="42">
        <f t="shared" si="14"/>
        <v>8</v>
      </c>
      <c r="BE93" s="42">
        <f t="shared" si="15"/>
        <v>0</v>
      </c>
      <c r="BF93" s="42">
        <f t="shared" si="16"/>
        <v>0</v>
      </c>
      <c r="BG93" s="42">
        <f t="shared" si="17"/>
        <v>0</v>
      </c>
      <c r="BH93" s="42">
        <f t="shared" si="18"/>
        <v>0</v>
      </c>
      <c r="BI93" s="42">
        <f t="shared" si="19"/>
        <v>0</v>
      </c>
      <c r="BJ93" s="42">
        <f t="shared" si="20"/>
        <v>0</v>
      </c>
      <c r="BK93" s="42">
        <f t="shared" si="21"/>
        <v>8</v>
      </c>
    </row>
    <row r="94" spans="1:63" ht="27" customHeight="1">
      <c r="A94" s="11">
        <f t="shared" si="22"/>
        <v>92</v>
      </c>
      <c r="B94" s="12" t="s">
        <v>874</v>
      </c>
      <c r="C94" s="8">
        <v>844</v>
      </c>
      <c r="D94" s="60" t="s">
        <v>875</v>
      </c>
      <c r="E94" s="61">
        <v>130053176</v>
      </c>
      <c r="F94" s="62" t="s">
        <v>876</v>
      </c>
      <c r="G94" s="63" t="s">
        <v>737</v>
      </c>
      <c r="H94" s="13" t="s">
        <v>877</v>
      </c>
      <c r="I94" s="14" t="s">
        <v>878</v>
      </c>
      <c r="J94" s="64" t="s">
        <v>173</v>
      </c>
      <c r="K94" s="22">
        <v>29292</v>
      </c>
      <c r="L94" s="77" t="s">
        <v>174</v>
      </c>
      <c r="M94" s="23">
        <v>42067</v>
      </c>
      <c r="N94" s="23"/>
      <c r="O94" s="15" t="s">
        <v>32</v>
      </c>
      <c r="P94" s="16" t="s">
        <v>381</v>
      </c>
      <c r="Q94" s="16" t="s">
        <v>176</v>
      </c>
      <c r="R94" s="15" t="s">
        <v>177</v>
      </c>
      <c r="S94" s="17" t="s">
        <v>251</v>
      </c>
      <c r="T94" s="20"/>
      <c r="U94" s="20"/>
      <c r="V94" s="19" t="s">
        <v>195</v>
      </c>
      <c r="W94" s="19">
        <v>8567</v>
      </c>
      <c r="X94" s="19">
        <v>5</v>
      </c>
      <c r="Y94" s="61" t="s">
        <v>879</v>
      </c>
      <c r="Z94" s="19"/>
      <c r="AA94" s="70" t="s">
        <v>181</v>
      </c>
      <c r="AB94" s="19"/>
      <c r="AC94" s="106" t="s">
        <v>880</v>
      </c>
      <c r="AD94" s="99" t="s">
        <v>183</v>
      </c>
      <c r="AE94" s="99" t="s">
        <v>183</v>
      </c>
      <c r="AF94" s="99" t="s">
        <v>183</v>
      </c>
      <c r="AG94" s="106" t="s">
        <v>558</v>
      </c>
      <c r="AH94" s="43"/>
      <c r="AI94" s="43"/>
      <c r="AJ94" s="19" t="s">
        <v>198</v>
      </c>
      <c r="AK94" s="19" t="s">
        <v>185</v>
      </c>
      <c r="AL94" s="19" t="s">
        <v>185</v>
      </c>
      <c r="AM94" s="158" t="s">
        <v>881</v>
      </c>
      <c r="AN94" s="20">
        <v>182</v>
      </c>
      <c r="AO94" s="20">
        <v>5</v>
      </c>
      <c r="AP94" s="20">
        <v>0</v>
      </c>
      <c r="AQ94" s="20">
        <v>0</v>
      </c>
      <c r="AR94" s="20">
        <v>0</v>
      </c>
      <c r="AS94" s="20">
        <v>7</v>
      </c>
      <c r="AT94" s="20">
        <v>10</v>
      </c>
      <c r="AU94" s="300">
        <f t="shared" si="12"/>
        <v>204</v>
      </c>
      <c r="AV94" s="20">
        <v>190</v>
      </c>
      <c r="AW94" s="20">
        <v>5</v>
      </c>
      <c r="AX94" s="20">
        <v>0</v>
      </c>
      <c r="AY94" s="20">
        <v>0</v>
      </c>
      <c r="AZ94" s="20">
        <v>0</v>
      </c>
      <c r="BA94" s="20">
        <v>7</v>
      </c>
      <c r="BB94" s="20">
        <v>10</v>
      </c>
      <c r="BC94" s="300">
        <f t="shared" si="13"/>
        <v>212</v>
      </c>
      <c r="BD94" s="42">
        <f t="shared" si="14"/>
        <v>8</v>
      </c>
      <c r="BE94" s="42">
        <f t="shared" si="15"/>
        <v>0</v>
      </c>
      <c r="BF94" s="42">
        <f t="shared" si="16"/>
        <v>0</v>
      </c>
      <c r="BG94" s="42">
        <f t="shared" si="17"/>
        <v>0</v>
      </c>
      <c r="BH94" s="42">
        <f t="shared" si="18"/>
        <v>0</v>
      </c>
      <c r="BI94" s="42">
        <f t="shared" si="19"/>
        <v>0</v>
      </c>
      <c r="BJ94" s="42">
        <f t="shared" si="20"/>
        <v>0</v>
      </c>
      <c r="BK94" s="42">
        <f t="shared" si="21"/>
        <v>8</v>
      </c>
    </row>
    <row r="95" spans="1:63" ht="27" customHeight="1">
      <c r="A95" s="11">
        <f t="shared" si="22"/>
        <v>93</v>
      </c>
      <c r="B95" s="12" t="s">
        <v>882</v>
      </c>
      <c r="C95" s="8">
        <v>855</v>
      </c>
      <c r="D95" s="60" t="s">
        <v>883</v>
      </c>
      <c r="E95" s="61">
        <v>130162749</v>
      </c>
      <c r="F95" s="62" t="s">
        <v>884</v>
      </c>
      <c r="G95" s="63" t="s">
        <v>885</v>
      </c>
      <c r="H95" s="13" t="s">
        <v>886</v>
      </c>
      <c r="I95" s="14" t="s">
        <v>887</v>
      </c>
      <c r="J95" s="64" t="s">
        <v>173</v>
      </c>
      <c r="K95" s="22">
        <v>30777</v>
      </c>
      <c r="L95" s="77" t="s">
        <v>174</v>
      </c>
      <c r="M95" s="23">
        <v>42074</v>
      </c>
      <c r="N95" s="23"/>
      <c r="O95" s="15" t="s">
        <v>32</v>
      </c>
      <c r="P95" s="16" t="s">
        <v>507</v>
      </c>
      <c r="Q95" s="16" t="s">
        <v>176</v>
      </c>
      <c r="R95" s="15" t="s">
        <v>177</v>
      </c>
      <c r="S95" s="17" t="s">
        <v>251</v>
      </c>
      <c r="T95" s="20"/>
      <c r="U95" s="20"/>
      <c r="V95" s="19" t="s">
        <v>195</v>
      </c>
      <c r="W95" s="19" t="s">
        <v>179</v>
      </c>
      <c r="X95" s="19">
        <v>3</v>
      </c>
      <c r="Y95" s="61" t="s">
        <v>179</v>
      </c>
      <c r="Z95" s="19"/>
      <c r="AA95" s="70" t="s">
        <v>181</v>
      </c>
      <c r="AB95" s="19"/>
      <c r="AC95" s="106" t="s">
        <v>492</v>
      </c>
      <c r="AD95" s="99" t="s">
        <v>183</v>
      </c>
      <c r="AE95" s="99" t="s">
        <v>183</v>
      </c>
      <c r="AF95" s="99" t="s">
        <v>183</v>
      </c>
      <c r="AG95" s="106"/>
      <c r="AH95" s="43"/>
      <c r="AI95" s="43"/>
      <c r="AJ95" s="19" t="s">
        <v>198</v>
      </c>
      <c r="AK95" s="19" t="s">
        <v>185</v>
      </c>
      <c r="AL95" s="19" t="s">
        <v>185</v>
      </c>
      <c r="AM95" s="158" t="s">
        <v>888</v>
      </c>
      <c r="AN95" s="20">
        <v>182</v>
      </c>
      <c r="AO95" s="20">
        <v>5</v>
      </c>
      <c r="AP95" s="20">
        <v>0</v>
      </c>
      <c r="AQ95" s="20">
        <v>0</v>
      </c>
      <c r="AR95" s="20">
        <v>0</v>
      </c>
      <c r="AS95" s="20">
        <v>7</v>
      </c>
      <c r="AT95" s="20">
        <v>10</v>
      </c>
      <c r="AU95" s="300">
        <f t="shared" si="12"/>
        <v>204</v>
      </c>
      <c r="AV95" s="20">
        <v>190</v>
      </c>
      <c r="AW95" s="20">
        <v>5</v>
      </c>
      <c r="AX95" s="20">
        <v>0</v>
      </c>
      <c r="AY95" s="20">
        <v>0</v>
      </c>
      <c r="AZ95" s="20">
        <v>0</v>
      </c>
      <c r="BA95" s="20">
        <v>7</v>
      </c>
      <c r="BB95" s="20">
        <v>10</v>
      </c>
      <c r="BC95" s="300">
        <f t="shared" si="13"/>
        <v>212</v>
      </c>
      <c r="BD95" s="42">
        <f t="shared" si="14"/>
        <v>8</v>
      </c>
      <c r="BE95" s="42">
        <f t="shared" si="15"/>
        <v>0</v>
      </c>
      <c r="BF95" s="42">
        <f t="shared" si="16"/>
        <v>0</v>
      </c>
      <c r="BG95" s="42">
        <f t="shared" si="17"/>
        <v>0</v>
      </c>
      <c r="BH95" s="42">
        <f t="shared" si="18"/>
        <v>0</v>
      </c>
      <c r="BI95" s="42">
        <f t="shared" si="19"/>
        <v>0</v>
      </c>
      <c r="BJ95" s="42">
        <f t="shared" si="20"/>
        <v>0</v>
      </c>
      <c r="BK95" s="42">
        <f t="shared" si="21"/>
        <v>8</v>
      </c>
    </row>
    <row r="96" spans="1:63" ht="27" customHeight="1">
      <c r="A96" s="11">
        <f t="shared" si="22"/>
        <v>94</v>
      </c>
      <c r="B96" s="12" t="s">
        <v>889</v>
      </c>
      <c r="C96" s="8">
        <v>873</v>
      </c>
      <c r="D96" s="60" t="s">
        <v>890</v>
      </c>
      <c r="E96" s="61">
        <v>130104646</v>
      </c>
      <c r="F96" s="62" t="s">
        <v>891</v>
      </c>
      <c r="G96" s="63" t="s">
        <v>892</v>
      </c>
      <c r="H96" s="13" t="s">
        <v>893</v>
      </c>
      <c r="I96" s="14" t="s">
        <v>894</v>
      </c>
      <c r="J96" s="64" t="s">
        <v>173</v>
      </c>
      <c r="K96" s="22">
        <v>27580</v>
      </c>
      <c r="L96" s="77" t="s">
        <v>174</v>
      </c>
      <c r="M96" s="23">
        <v>42086</v>
      </c>
      <c r="N96" s="23"/>
      <c r="O96" s="15" t="s">
        <v>32</v>
      </c>
      <c r="P96" s="16" t="s">
        <v>296</v>
      </c>
      <c r="Q96" s="16" t="s">
        <v>176</v>
      </c>
      <c r="R96" s="15" t="s">
        <v>177</v>
      </c>
      <c r="S96" s="17" t="s">
        <v>251</v>
      </c>
      <c r="T96" s="20"/>
      <c r="U96" s="20"/>
      <c r="V96" s="19" t="s">
        <v>179</v>
      </c>
      <c r="W96" s="19">
        <v>2600</v>
      </c>
      <c r="X96" s="19">
        <v>8</v>
      </c>
      <c r="Y96" s="61" t="s">
        <v>895</v>
      </c>
      <c r="Z96" s="19"/>
      <c r="AA96" s="70" t="s">
        <v>181</v>
      </c>
      <c r="AB96" s="19"/>
      <c r="AC96" s="106" t="s">
        <v>509</v>
      </c>
      <c r="AD96" s="99"/>
      <c r="AE96" s="106"/>
      <c r="AF96" s="108"/>
      <c r="AG96" s="106"/>
      <c r="AH96" s="43"/>
      <c r="AI96" s="43"/>
      <c r="AJ96" s="19" t="s">
        <v>198</v>
      </c>
      <c r="AK96" s="19" t="s">
        <v>185</v>
      </c>
      <c r="AL96" s="19" t="s">
        <v>185</v>
      </c>
      <c r="AM96" s="158" t="s">
        <v>896</v>
      </c>
      <c r="AN96" s="20">
        <v>182</v>
      </c>
      <c r="AO96" s="20">
        <v>5</v>
      </c>
      <c r="AP96" s="20">
        <v>0</v>
      </c>
      <c r="AQ96" s="20">
        <v>0</v>
      </c>
      <c r="AR96" s="20">
        <v>0</v>
      </c>
      <c r="AS96" s="20">
        <v>7</v>
      </c>
      <c r="AT96" s="20">
        <v>10</v>
      </c>
      <c r="AU96" s="300">
        <f t="shared" si="12"/>
        <v>204</v>
      </c>
      <c r="AV96" s="20">
        <v>190</v>
      </c>
      <c r="AW96" s="20">
        <v>5</v>
      </c>
      <c r="AX96" s="20">
        <v>0</v>
      </c>
      <c r="AY96" s="20">
        <v>0</v>
      </c>
      <c r="AZ96" s="20">
        <v>0</v>
      </c>
      <c r="BA96" s="20">
        <v>7</v>
      </c>
      <c r="BB96" s="20">
        <v>10</v>
      </c>
      <c r="BC96" s="300">
        <f t="shared" si="13"/>
        <v>212</v>
      </c>
      <c r="BD96" s="42">
        <f t="shared" si="14"/>
        <v>8</v>
      </c>
      <c r="BE96" s="42">
        <f t="shared" si="15"/>
        <v>0</v>
      </c>
      <c r="BF96" s="42">
        <f t="shared" si="16"/>
        <v>0</v>
      </c>
      <c r="BG96" s="42">
        <f t="shared" si="17"/>
        <v>0</v>
      </c>
      <c r="BH96" s="42">
        <f t="shared" si="18"/>
        <v>0</v>
      </c>
      <c r="BI96" s="42">
        <f t="shared" si="19"/>
        <v>0</v>
      </c>
      <c r="BJ96" s="42">
        <f t="shared" si="20"/>
        <v>0</v>
      </c>
      <c r="BK96" s="42">
        <f t="shared" si="21"/>
        <v>8</v>
      </c>
    </row>
    <row r="97" spans="1:63" ht="27" customHeight="1">
      <c r="A97" s="11">
        <f t="shared" si="22"/>
        <v>95</v>
      </c>
      <c r="B97" s="12" t="s">
        <v>897</v>
      </c>
      <c r="C97" s="8">
        <v>884</v>
      </c>
      <c r="D97" s="75" t="s">
        <v>898</v>
      </c>
      <c r="E97" s="69">
        <v>110070367</v>
      </c>
      <c r="F97" s="62" t="s">
        <v>899</v>
      </c>
      <c r="G97" s="63" t="s">
        <v>900</v>
      </c>
      <c r="H97" s="13" t="s">
        <v>901</v>
      </c>
      <c r="I97" s="14" t="s">
        <v>902</v>
      </c>
      <c r="J97" s="64" t="s">
        <v>173</v>
      </c>
      <c r="K97" s="22">
        <v>29714</v>
      </c>
      <c r="L97" s="77" t="s">
        <v>174</v>
      </c>
      <c r="M97" s="154">
        <v>42103</v>
      </c>
      <c r="N97" s="154"/>
      <c r="O97" s="15" t="s">
        <v>32</v>
      </c>
      <c r="P97" s="16" t="s">
        <v>381</v>
      </c>
      <c r="Q97" s="16" t="s">
        <v>176</v>
      </c>
      <c r="R97" s="15" t="s">
        <v>177</v>
      </c>
      <c r="S97" s="15" t="s">
        <v>223</v>
      </c>
      <c r="T97" s="20" t="s">
        <v>335</v>
      </c>
      <c r="U97" s="20" t="s">
        <v>903</v>
      </c>
      <c r="V97" s="19" t="s">
        <v>195</v>
      </c>
      <c r="W97" s="19">
        <v>1786</v>
      </c>
      <c r="X97" s="19">
        <v>5</v>
      </c>
      <c r="Y97" s="61" t="s">
        <v>179</v>
      </c>
      <c r="Z97" s="19"/>
      <c r="AA97" s="70" t="s">
        <v>181</v>
      </c>
      <c r="AB97" s="19"/>
      <c r="AC97" s="106" t="s">
        <v>557</v>
      </c>
      <c r="AD97" s="99" t="s">
        <v>183</v>
      </c>
      <c r="AE97" s="106"/>
      <c r="AF97" s="108"/>
      <c r="AG97" s="106"/>
      <c r="AH97" s="43"/>
      <c r="AI97" s="43"/>
      <c r="AJ97" s="19" t="s">
        <v>198</v>
      </c>
      <c r="AK97" s="19" t="s">
        <v>185</v>
      </c>
      <c r="AL97" s="19" t="s">
        <v>185</v>
      </c>
      <c r="AM97" s="158" t="s">
        <v>904</v>
      </c>
      <c r="AN97" s="20">
        <v>182</v>
      </c>
      <c r="AO97" s="20">
        <v>5</v>
      </c>
      <c r="AP97" s="20">
        <v>0</v>
      </c>
      <c r="AQ97" s="20">
        <v>0</v>
      </c>
      <c r="AR97" s="20">
        <v>0</v>
      </c>
      <c r="AS97" s="20">
        <v>7</v>
      </c>
      <c r="AT97" s="20">
        <v>10</v>
      </c>
      <c r="AU97" s="300">
        <f t="shared" si="12"/>
        <v>204</v>
      </c>
      <c r="AV97" s="20">
        <v>190</v>
      </c>
      <c r="AW97" s="20">
        <v>5</v>
      </c>
      <c r="AX97" s="20">
        <v>0</v>
      </c>
      <c r="AY97" s="20">
        <v>0</v>
      </c>
      <c r="AZ97" s="20">
        <v>0</v>
      </c>
      <c r="BA97" s="20">
        <v>7</v>
      </c>
      <c r="BB97" s="20">
        <v>10</v>
      </c>
      <c r="BC97" s="300">
        <f t="shared" si="13"/>
        <v>212</v>
      </c>
      <c r="BD97" s="42">
        <f t="shared" si="14"/>
        <v>8</v>
      </c>
      <c r="BE97" s="42">
        <f t="shared" si="15"/>
        <v>0</v>
      </c>
      <c r="BF97" s="42">
        <f t="shared" si="16"/>
        <v>0</v>
      </c>
      <c r="BG97" s="42">
        <f t="shared" si="17"/>
        <v>0</v>
      </c>
      <c r="BH97" s="42">
        <f t="shared" si="18"/>
        <v>0</v>
      </c>
      <c r="BI97" s="42">
        <f t="shared" si="19"/>
        <v>0</v>
      </c>
      <c r="BJ97" s="42">
        <f t="shared" si="20"/>
        <v>0</v>
      </c>
      <c r="BK97" s="42">
        <f t="shared" si="21"/>
        <v>8</v>
      </c>
    </row>
    <row r="98" spans="1:63" ht="27" customHeight="1">
      <c r="A98" s="11">
        <f t="shared" si="22"/>
        <v>96</v>
      </c>
      <c r="B98" s="12" t="s">
        <v>905</v>
      </c>
      <c r="C98" s="8">
        <v>892</v>
      </c>
      <c r="D98" s="75" t="s">
        <v>906</v>
      </c>
      <c r="E98" s="69" t="s">
        <v>185</v>
      </c>
      <c r="F98" s="62" t="s">
        <v>737</v>
      </c>
      <c r="G98" s="63" t="s">
        <v>907</v>
      </c>
      <c r="H98" s="13" t="s">
        <v>22</v>
      </c>
      <c r="I98" s="14" t="s">
        <v>908</v>
      </c>
      <c r="J98" s="64" t="s">
        <v>173</v>
      </c>
      <c r="K98" s="22">
        <v>34578</v>
      </c>
      <c r="L98" s="77" t="s">
        <v>174</v>
      </c>
      <c r="M98" s="154">
        <v>42116</v>
      </c>
      <c r="N98" s="154"/>
      <c r="O98" s="15" t="s">
        <v>32</v>
      </c>
      <c r="P98" s="16" t="s">
        <v>222</v>
      </c>
      <c r="Q98" s="16" t="s">
        <v>176</v>
      </c>
      <c r="R98" s="15" t="s">
        <v>177</v>
      </c>
      <c r="S98" s="15" t="s">
        <v>223</v>
      </c>
      <c r="T98" s="20"/>
      <c r="U98" s="20"/>
      <c r="V98" s="19" t="s">
        <v>195</v>
      </c>
      <c r="W98" s="19">
        <v>251</v>
      </c>
      <c r="X98" s="19">
        <v>5</v>
      </c>
      <c r="Y98" s="61" t="s">
        <v>179</v>
      </c>
      <c r="Z98" s="70" t="s">
        <v>181</v>
      </c>
      <c r="AA98" s="19"/>
      <c r="AB98" s="19"/>
      <c r="AC98" s="106"/>
      <c r="AD98" s="99"/>
      <c r="AE98" s="106"/>
      <c r="AF98" s="108"/>
      <c r="AG98" s="106"/>
      <c r="AH98" s="43"/>
      <c r="AI98" s="43"/>
      <c r="AJ98" s="19" t="s">
        <v>198</v>
      </c>
      <c r="AK98" s="19" t="s">
        <v>185</v>
      </c>
      <c r="AL98" s="19" t="s">
        <v>185</v>
      </c>
      <c r="AM98" s="158" t="s">
        <v>909</v>
      </c>
      <c r="AN98" s="20">
        <v>182</v>
      </c>
      <c r="AO98" s="20">
        <v>0</v>
      </c>
      <c r="AP98" s="20">
        <v>0</v>
      </c>
      <c r="AQ98" s="20">
        <v>0</v>
      </c>
      <c r="AR98" s="20">
        <v>0</v>
      </c>
      <c r="AS98" s="20">
        <v>7</v>
      </c>
      <c r="AT98" s="20">
        <v>10</v>
      </c>
      <c r="AU98" s="300">
        <f t="shared" si="12"/>
        <v>199</v>
      </c>
      <c r="AV98" s="20">
        <v>190</v>
      </c>
      <c r="AW98" s="20">
        <v>0</v>
      </c>
      <c r="AX98" s="20">
        <v>0</v>
      </c>
      <c r="AY98" s="20">
        <v>0</v>
      </c>
      <c r="AZ98" s="20">
        <v>0</v>
      </c>
      <c r="BA98" s="20">
        <v>7</v>
      </c>
      <c r="BB98" s="20">
        <v>10</v>
      </c>
      <c r="BC98" s="300">
        <f t="shared" si="13"/>
        <v>207</v>
      </c>
      <c r="BD98" s="42">
        <f t="shared" si="14"/>
        <v>8</v>
      </c>
      <c r="BE98" s="42">
        <f t="shared" si="15"/>
        <v>0</v>
      </c>
      <c r="BF98" s="42">
        <f t="shared" si="16"/>
        <v>0</v>
      </c>
      <c r="BG98" s="42">
        <f t="shared" si="17"/>
        <v>0</v>
      </c>
      <c r="BH98" s="42">
        <f t="shared" si="18"/>
        <v>0</v>
      </c>
      <c r="BI98" s="42">
        <f t="shared" si="19"/>
        <v>0</v>
      </c>
      <c r="BJ98" s="42">
        <f t="shared" si="20"/>
        <v>0</v>
      </c>
      <c r="BK98" s="42">
        <f t="shared" si="21"/>
        <v>8</v>
      </c>
    </row>
    <row r="99" spans="1:63" ht="27" customHeight="1">
      <c r="A99" s="11">
        <f t="shared" si="22"/>
        <v>97</v>
      </c>
      <c r="B99" s="12" t="s">
        <v>910</v>
      </c>
      <c r="C99" s="8">
        <v>899</v>
      </c>
      <c r="D99" s="75" t="s">
        <v>911</v>
      </c>
      <c r="E99" s="69">
        <v>110477592</v>
      </c>
      <c r="F99" s="62" t="s">
        <v>477</v>
      </c>
      <c r="G99" s="63" t="s">
        <v>912</v>
      </c>
      <c r="H99" s="13" t="s">
        <v>913</v>
      </c>
      <c r="I99" s="14" t="s">
        <v>914</v>
      </c>
      <c r="J99" s="64" t="s">
        <v>173</v>
      </c>
      <c r="K99" s="22">
        <v>31570</v>
      </c>
      <c r="L99" s="77" t="s">
        <v>174</v>
      </c>
      <c r="M99" s="154">
        <v>42118</v>
      </c>
      <c r="N99" s="154"/>
      <c r="O99" s="15" t="s">
        <v>32</v>
      </c>
      <c r="P99" s="16" t="s">
        <v>343</v>
      </c>
      <c r="Q99" s="16" t="s">
        <v>176</v>
      </c>
      <c r="R99" s="15" t="s">
        <v>177</v>
      </c>
      <c r="S99" s="15" t="s">
        <v>223</v>
      </c>
      <c r="T99" s="20"/>
      <c r="U99" s="20"/>
      <c r="V99" s="19" t="s">
        <v>195</v>
      </c>
      <c r="W99" s="19">
        <v>2830</v>
      </c>
      <c r="X99" s="19">
        <v>4</v>
      </c>
      <c r="Y99" s="61" t="s">
        <v>179</v>
      </c>
      <c r="Z99" s="19"/>
      <c r="AA99" s="70" t="s">
        <v>181</v>
      </c>
      <c r="AB99" s="19"/>
      <c r="AC99" s="106" t="s">
        <v>915</v>
      </c>
      <c r="AD99" s="99" t="s">
        <v>183</v>
      </c>
      <c r="AE99" s="106" t="s">
        <v>558</v>
      </c>
      <c r="AF99" s="108"/>
      <c r="AG99" s="106"/>
      <c r="AH99" s="43"/>
      <c r="AI99" s="43"/>
      <c r="AJ99" s="19" t="s">
        <v>198</v>
      </c>
      <c r="AK99" s="19" t="s">
        <v>185</v>
      </c>
      <c r="AL99" s="19" t="s">
        <v>185</v>
      </c>
      <c r="AM99" s="158" t="s">
        <v>916</v>
      </c>
      <c r="AN99" s="20">
        <v>182</v>
      </c>
      <c r="AO99" s="20">
        <v>5</v>
      </c>
      <c r="AP99" s="20">
        <v>0</v>
      </c>
      <c r="AQ99" s="20">
        <v>0</v>
      </c>
      <c r="AR99" s="20">
        <v>0</v>
      </c>
      <c r="AS99" s="20">
        <v>7</v>
      </c>
      <c r="AT99" s="20">
        <v>10</v>
      </c>
      <c r="AU99" s="300">
        <f t="shared" si="12"/>
        <v>204</v>
      </c>
      <c r="AV99" s="20">
        <v>190</v>
      </c>
      <c r="AW99" s="20">
        <v>5</v>
      </c>
      <c r="AX99" s="20">
        <v>0</v>
      </c>
      <c r="AY99" s="20">
        <v>0</v>
      </c>
      <c r="AZ99" s="20">
        <v>0</v>
      </c>
      <c r="BA99" s="20">
        <v>7</v>
      </c>
      <c r="BB99" s="20">
        <v>10</v>
      </c>
      <c r="BC99" s="300">
        <f t="shared" si="13"/>
        <v>212</v>
      </c>
      <c r="BD99" s="42">
        <f t="shared" si="14"/>
        <v>8</v>
      </c>
      <c r="BE99" s="42">
        <f t="shared" si="15"/>
        <v>0</v>
      </c>
      <c r="BF99" s="42">
        <f t="shared" si="16"/>
        <v>0</v>
      </c>
      <c r="BG99" s="42">
        <f t="shared" si="17"/>
        <v>0</v>
      </c>
      <c r="BH99" s="42">
        <f t="shared" si="18"/>
        <v>0</v>
      </c>
      <c r="BI99" s="42">
        <f t="shared" si="19"/>
        <v>0</v>
      </c>
      <c r="BJ99" s="42">
        <f t="shared" si="20"/>
        <v>0</v>
      </c>
      <c r="BK99" s="42">
        <f t="shared" si="21"/>
        <v>8</v>
      </c>
    </row>
    <row r="100" spans="1:63" ht="27" customHeight="1">
      <c r="A100" s="11">
        <f t="shared" si="22"/>
        <v>98</v>
      </c>
      <c r="B100" s="12" t="s">
        <v>917</v>
      </c>
      <c r="C100" s="8">
        <v>906</v>
      </c>
      <c r="D100" s="75" t="s">
        <v>918</v>
      </c>
      <c r="E100" s="69">
        <v>110376372</v>
      </c>
      <c r="F100" s="62" t="s">
        <v>919</v>
      </c>
      <c r="G100" s="63" t="s">
        <v>920</v>
      </c>
      <c r="H100" s="13" t="s">
        <v>921</v>
      </c>
      <c r="I100" s="14" t="s">
        <v>922</v>
      </c>
      <c r="J100" s="64" t="s">
        <v>173</v>
      </c>
      <c r="K100" s="22">
        <v>33857</v>
      </c>
      <c r="L100" s="77" t="s">
        <v>174</v>
      </c>
      <c r="M100" s="154">
        <v>42119</v>
      </c>
      <c r="N100" s="154"/>
      <c r="O100" s="15" t="s">
        <v>24</v>
      </c>
      <c r="P100" s="16" t="s">
        <v>25</v>
      </c>
      <c r="Q100" s="16" t="s">
        <v>176</v>
      </c>
      <c r="R100" s="15" t="s">
        <v>177</v>
      </c>
      <c r="S100" s="15" t="s">
        <v>223</v>
      </c>
      <c r="T100" s="20"/>
      <c r="U100" s="20"/>
      <c r="V100" s="19" t="s">
        <v>195</v>
      </c>
      <c r="W100" s="19">
        <v>4182</v>
      </c>
      <c r="X100" s="19">
        <v>8</v>
      </c>
      <c r="Y100" s="61" t="s">
        <v>923</v>
      </c>
      <c r="Z100" s="19"/>
      <c r="AA100" s="70" t="s">
        <v>181</v>
      </c>
      <c r="AB100" s="19"/>
      <c r="AC100" s="106" t="s">
        <v>924</v>
      </c>
      <c r="AD100" s="99"/>
      <c r="AE100" s="106"/>
      <c r="AF100" s="108"/>
      <c r="AG100" s="106"/>
      <c r="AH100" s="43"/>
      <c r="AI100" s="43"/>
      <c r="AJ100" s="19" t="s">
        <v>198</v>
      </c>
      <c r="AK100" s="19" t="s">
        <v>185</v>
      </c>
      <c r="AL100" s="19" t="s">
        <v>185</v>
      </c>
      <c r="AM100" s="158" t="s">
        <v>916</v>
      </c>
      <c r="AN100" s="20">
        <v>182</v>
      </c>
      <c r="AO100" s="20">
        <v>5</v>
      </c>
      <c r="AP100" s="20">
        <v>0</v>
      </c>
      <c r="AQ100" s="20">
        <v>0</v>
      </c>
      <c r="AR100" s="20">
        <v>0</v>
      </c>
      <c r="AS100" s="20">
        <v>7</v>
      </c>
      <c r="AT100" s="20">
        <v>10</v>
      </c>
      <c r="AU100" s="300">
        <f t="shared" si="12"/>
        <v>204</v>
      </c>
      <c r="AV100" s="20">
        <v>190</v>
      </c>
      <c r="AW100" s="20">
        <v>5</v>
      </c>
      <c r="AX100" s="20">
        <v>0</v>
      </c>
      <c r="AY100" s="20">
        <v>0</v>
      </c>
      <c r="AZ100" s="20">
        <v>0</v>
      </c>
      <c r="BA100" s="20">
        <v>7</v>
      </c>
      <c r="BB100" s="20">
        <v>10</v>
      </c>
      <c r="BC100" s="300">
        <f t="shared" si="13"/>
        <v>212</v>
      </c>
      <c r="BD100" s="42">
        <f t="shared" si="14"/>
        <v>8</v>
      </c>
      <c r="BE100" s="42">
        <f t="shared" si="15"/>
        <v>0</v>
      </c>
      <c r="BF100" s="42">
        <f t="shared" si="16"/>
        <v>0</v>
      </c>
      <c r="BG100" s="42">
        <f t="shared" si="17"/>
        <v>0</v>
      </c>
      <c r="BH100" s="42">
        <f t="shared" si="18"/>
        <v>0</v>
      </c>
      <c r="BI100" s="42">
        <f t="shared" si="19"/>
        <v>0</v>
      </c>
      <c r="BJ100" s="42">
        <f t="shared" si="20"/>
        <v>0</v>
      </c>
      <c r="BK100" s="42">
        <f t="shared" si="21"/>
        <v>8</v>
      </c>
    </row>
    <row r="101" spans="1:63" ht="27" customHeight="1">
      <c r="A101" s="11">
        <f t="shared" si="22"/>
        <v>99</v>
      </c>
      <c r="B101" s="12" t="s">
        <v>925</v>
      </c>
      <c r="C101" s="8">
        <v>909</v>
      </c>
      <c r="D101" s="60" t="s">
        <v>926</v>
      </c>
      <c r="E101" s="61">
        <v>90324203</v>
      </c>
      <c r="F101" s="62" t="s">
        <v>927</v>
      </c>
      <c r="G101" s="63" t="s">
        <v>928</v>
      </c>
      <c r="H101" s="13" t="s">
        <v>929</v>
      </c>
      <c r="I101" s="14" t="s">
        <v>930</v>
      </c>
      <c r="J101" s="64" t="s">
        <v>173</v>
      </c>
      <c r="K101" s="22">
        <v>31851</v>
      </c>
      <c r="L101" s="66" t="s">
        <v>174</v>
      </c>
      <c r="M101" s="23">
        <v>42122</v>
      </c>
      <c r="N101" s="23"/>
      <c r="O101" s="15" t="s">
        <v>32</v>
      </c>
      <c r="P101" s="16" t="s">
        <v>313</v>
      </c>
      <c r="Q101" s="16" t="s">
        <v>244</v>
      </c>
      <c r="R101" s="15" t="s">
        <v>177</v>
      </c>
      <c r="S101" s="15" t="s">
        <v>722</v>
      </c>
      <c r="T101" s="20"/>
      <c r="U101" s="20"/>
      <c r="V101" s="19" t="s">
        <v>179</v>
      </c>
      <c r="W101" s="19" t="s">
        <v>195</v>
      </c>
      <c r="X101" s="19">
        <v>9</v>
      </c>
      <c r="Y101" s="61" t="s">
        <v>931</v>
      </c>
      <c r="Z101" s="70" t="s">
        <v>181</v>
      </c>
      <c r="AA101" s="19"/>
      <c r="AB101" s="19"/>
      <c r="AC101" s="106"/>
      <c r="AD101" s="99"/>
      <c r="AE101" s="106"/>
      <c r="AF101" s="108"/>
      <c r="AG101" s="106"/>
      <c r="AH101" s="43"/>
      <c r="AI101" s="43"/>
      <c r="AJ101" s="19" t="s">
        <v>198</v>
      </c>
      <c r="AK101" s="19" t="s">
        <v>185</v>
      </c>
      <c r="AL101" s="19" t="s">
        <v>185</v>
      </c>
      <c r="AM101" s="158" t="s">
        <v>932</v>
      </c>
      <c r="AN101" s="20">
        <v>182</v>
      </c>
      <c r="AO101" s="20">
        <v>5</v>
      </c>
      <c r="AP101" s="20">
        <v>20</v>
      </c>
      <c r="AQ101" s="20">
        <v>10</v>
      </c>
      <c r="AR101" s="20">
        <v>0</v>
      </c>
      <c r="AS101" s="20">
        <v>7</v>
      </c>
      <c r="AT101" s="20">
        <v>10</v>
      </c>
      <c r="AU101" s="300">
        <f t="shared" si="12"/>
        <v>234</v>
      </c>
      <c r="AV101" s="20">
        <v>190</v>
      </c>
      <c r="AW101" s="20">
        <v>5</v>
      </c>
      <c r="AX101" s="20">
        <v>20</v>
      </c>
      <c r="AY101" s="20">
        <v>10</v>
      </c>
      <c r="AZ101" s="20">
        <v>0</v>
      </c>
      <c r="BA101" s="20">
        <v>7</v>
      </c>
      <c r="BB101" s="20">
        <v>10</v>
      </c>
      <c r="BC101" s="300">
        <f t="shared" si="13"/>
        <v>242</v>
      </c>
      <c r="BD101" s="42">
        <f t="shared" si="14"/>
        <v>8</v>
      </c>
      <c r="BE101" s="42">
        <f t="shared" si="15"/>
        <v>0</v>
      </c>
      <c r="BF101" s="42">
        <f t="shared" si="16"/>
        <v>0</v>
      </c>
      <c r="BG101" s="42">
        <f t="shared" si="17"/>
        <v>0</v>
      </c>
      <c r="BH101" s="42">
        <f t="shared" si="18"/>
        <v>0</v>
      </c>
      <c r="BI101" s="42">
        <f t="shared" si="19"/>
        <v>0</v>
      </c>
      <c r="BJ101" s="42">
        <f t="shared" si="20"/>
        <v>0</v>
      </c>
      <c r="BK101" s="42">
        <f t="shared" si="21"/>
        <v>8</v>
      </c>
    </row>
    <row r="102" spans="1:63" ht="27" customHeight="1">
      <c r="A102" s="11">
        <f t="shared" si="22"/>
        <v>100</v>
      </c>
      <c r="B102" s="12" t="s">
        <v>933</v>
      </c>
      <c r="C102" s="8">
        <v>946</v>
      </c>
      <c r="D102" s="60" t="s">
        <v>934</v>
      </c>
      <c r="E102" s="61">
        <v>130150056</v>
      </c>
      <c r="F102" s="62" t="s">
        <v>935</v>
      </c>
      <c r="G102" s="63" t="s">
        <v>936</v>
      </c>
      <c r="H102" s="13" t="s">
        <v>937</v>
      </c>
      <c r="I102" s="14" t="s">
        <v>938</v>
      </c>
      <c r="J102" s="64" t="s">
        <v>173</v>
      </c>
      <c r="K102" s="22">
        <v>29322</v>
      </c>
      <c r="L102" s="66" t="s">
        <v>174</v>
      </c>
      <c r="M102" s="23">
        <v>42136</v>
      </c>
      <c r="N102" s="23"/>
      <c r="O102" s="15" t="s">
        <v>32</v>
      </c>
      <c r="P102" s="16" t="s">
        <v>343</v>
      </c>
      <c r="Q102" s="16" t="s">
        <v>176</v>
      </c>
      <c r="R102" s="15" t="s">
        <v>177</v>
      </c>
      <c r="S102" s="17" t="s">
        <v>178</v>
      </c>
      <c r="T102" s="20"/>
      <c r="U102" s="20"/>
      <c r="V102" s="19" t="s">
        <v>195</v>
      </c>
      <c r="W102" s="19" t="s">
        <v>179</v>
      </c>
      <c r="X102" s="19">
        <v>8</v>
      </c>
      <c r="Y102" s="61"/>
      <c r="Z102" s="70" t="s">
        <v>181</v>
      </c>
      <c r="AA102" s="19"/>
      <c r="AB102" s="19"/>
      <c r="AC102" s="106"/>
      <c r="AD102" s="99"/>
      <c r="AE102" s="106"/>
      <c r="AF102" s="108"/>
      <c r="AG102" s="106"/>
      <c r="AH102" s="43"/>
      <c r="AI102" s="43"/>
      <c r="AJ102" s="19" t="s">
        <v>198</v>
      </c>
      <c r="AK102" s="19" t="s">
        <v>185</v>
      </c>
      <c r="AL102" s="19" t="s">
        <v>185</v>
      </c>
      <c r="AM102" s="158" t="s">
        <v>939</v>
      </c>
      <c r="AN102" s="20">
        <v>182</v>
      </c>
      <c r="AO102" s="20">
        <v>5</v>
      </c>
      <c r="AP102" s="20">
        <v>0</v>
      </c>
      <c r="AQ102" s="20">
        <v>0</v>
      </c>
      <c r="AR102" s="20">
        <v>0</v>
      </c>
      <c r="AS102" s="20">
        <v>7</v>
      </c>
      <c r="AT102" s="20">
        <v>10</v>
      </c>
      <c r="AU102" s="300">
        <f t="shared" si="12"/>
        <v>204</v>
      </c>
      <c r="AV102" s="20">
        <v>190</v>
      </c>
      <c r="AW102" s="20">
        <v>5</v>
      </c>
      <c r="AX102" s="20">
        <v>0</v>
      </c>
      <c r="AY102" s="20">
        <v>0</v>
      </c>
      <c r="AZ102" s="20">
        <v>0</v>
      </c>
      <c r="BA102" s="20">
        <v>7</v>
      </c>
      <c r="BB102" s="20">
        <v>10</v>
      </c>
      <c r="BC102" s="300">
        <f t="shared" si="13"/>
        <v>212</v>
      </c>
      <c r="BD102" s="42">
        <f t="shared" si="14"/>
        <v>8</v>
      </c>
      <c r="BE102" s="42">
        <f t="shared" si="15"/>
        <v>0</v>
      </c>
      <c r="BF102" s="42">
        <f t="shared" si="16"/>
        <v>0</v>
      </c>
      <c r="BG102" s="42">
        <f t="shared" si="17"/>
        <v>0</v>
      </c>
      <c r="BH102" s="42">
        <f t="shared" si="18"/>
        <v>0</v>
      </c>
      <c r="BI102" s="42">
        <f t="shared" si="19"/>
        <v>0</v>
      </c>
      <c r="BJ102" s="42">
        <f t="shared" si="20"/>
        <v>0</v>
      </c>
      <c r="BK102" s="42">
        <f t="shared" si="21"/>
        <v>8</v>
      </c>
    </row>
    <row r="103" spans="1:63" ht="27" customHeight="1">
      <c r="A103" s="11">
        <f t="shared" si="22"/>
        <v>101</v>
      </c>
      <c r="B103" s="12" t="s">
        <v>940</v>
      </c>
      <c r="C103" s="8">
        <v>947</v>
      </c>
      <c r="D103" s="60" t="s">
        <v>941</v>
      </c>
      <c r="E103" s="61">
        <v>50472909</v>
      </c>
      <c r="F103" s="62" t="s">
        <v>942</v>
      </c>
      <c r="G103" s="63" t="s">
        <v>943</v>
      </c>
      <c r="H103" s="13" t="s">
        <v>944</v>
      </c>
      <c r="I103" s="14" t="s">
        <v>945</v>
      </c>
      <c r="J103" s="64" t="s">
        <v>173</v>
      </c>
      <c r="K103" s="22">
        <v>31827</v>
      </c>
      <c r="L103" s="66" t="s">
        <v>174</v>
      </c>
      <c r="M103" s="23">
        <v>42136</v>
      </c>
      <c r="N103" s="23"/>
      <c r="O103" s="15" t="s">
        <v>32</v>
      </c>
      <c r="P103" s="16" t="s">
        <v>343</v>
      </c>
      <c r="Q103" s="16" t="s">
        <v>176</v>
      </c>
      <c r="R103" s="15" t="s">
        <v>177</v>
      </c>
      <c r="S103" s="11" t="s">
        <v>214</v>
      </c>
      <c r="T103" s="20"/>
      <c r="U103" s="20"/>
      <c r="V103" s="19" t="s">
        <v>195</v>
      </c>
      <c r="W103" s="19" t="s">
        <v>179</v>
      </c>
      <c r="X103" s="19">
        <v>7</v>
      </c>
      <c r="Y103" s="61" t="s">
        <v>946</v>
      </c>
      <c r="Z103" s="19"/>
      <c r="AA103" s="70" t="s">
        <v>181</v>
      </c>
      <c r="AB103" s="19"/>
      <c r="AC103" s="106" t="s">
        <v>509</v>
      </c>
      <c r="AD103" s="99"/>
      <c r="AE103" s="106"/>
      <c r="AF103" s="108"/>
      <c r="AG103" s="106"/>
      <c r="AH103" s="43"/>
      <c r="AI103" s="43"/>
      <c r="AJ103" s="19" t="s">
        <v>198</v>
      </c>
      <c r="AK103" s="19" t="s">
        <v>185</v>
      </c>
      <c r="AL103" s="19" t="s">
        <v>185</v>
      </c>
      <c r="AM103" s="158" t="s">
        <v>947</v>
      </c>
      <c r="AN103" s="20">
        <v>182</v>
      </c>
      <c r="AO103" s="20">
        <v>5</v>
      </c>
      <c r="AP103" s="20">
        <v>0</v>
      </c>
      <c r="AQ103" s="20">
        <v>0</v>
      </c>
      <c r="AR103" s="20">
        <v>0</v>
      </c>
      <c r="AS103" s="20">
        <v>7</v>
      </c>
      <c r="AT103" s="20">
        <v>10</v>
      </c>
      <c r="AU103" s="300">
        <f t="shared" si="12"/>
        <v>204</v>
      </c>
      <c r="AV103" s="20">
        <v>190</v>
      </c>
      <c r="AW103" s="20">
        <v>5</v>
      </c>
      <c r="AX103" s="20">
        <v>0</v>
      </c>
      <c r="AY103" s="20">
        <v>0</v>
      </c>
      <c r="AZ103" s="20">
        <v>0</v>
      </c>
      <c r="BA103" s="20">
        <v>7</v>
      </c>
      <c r="BB103" s="20">
        <v>10</v>
      </c>
      <c r="BC103" s="300">
        <f t="shared" si="13"/>
        <v>212</v>
      </c>
      <c r="BD103" s="42">
        <f t="shared" si="14"/>
        <v>8</v>
      </c>
      <c r="BE103" s="42">
        <f t="shared" si="15"/>
        <v>0</v>
      </c>
      <c r="BF103" s="42">
        <f t="shared" si="16"/>
        <v>0</v>
      </c>
      <c r="BG103" s="42">
        <f t="shared" si="17"/>
        <v>0</v>
      </c>
      <c r="BH103" s="42">
        <f t="shared" si="18"/>
        <v>0</v>
      </c>
      <c r="BI103" s="42">
        <f t="shared" si="19"/>
        <v>0</v>
      </c>
      <c r="BJ103" s="42">
        <f t="shared" si="20"/>
        <v>0</v>
      </c>
      <c r="BK103" s="42">
        <f t="shared" si="21"/>
        <v>8</v>
      </c>
    </row>
    <row r="104" spans="1:63" ht="27" customHeight="1">
      <c r="A104" s="11">
        <f t="shared" si="22"/>
        <v>102</v>
      </c>
      <c r="B104" s="12" t="s">
        <v>948</v>
      </c>
      <c r="C104" s="8">
        <v>919</v>
      </c>
      <c r="D104" s="60" t="s">
        <v>949</v>
      </c>
      <c r="E104" s="61">
        <v>50106240</v>
      </c>
      <c r="F104" s="62" t="s">
        <v>950</v>
      </c>
      <c r="G104" s="63" t="s">
        <v>951</v>
      </c>
      <c r="H104" s="13" t="s">
        <v>952</v>
      </c>
      <c r="I104" s="14" t="s">
        <v>953</v>
      </c>
      <c r="J104" s="64" t="s">
        <v>173</v>
      </c>
      <c r="K104" s="22">
        <v>30471</v>
      </c>
      <c r="L104" s="66" t="s">
        <v>174</v>
      </c>
      <c r="M104" s="23">
        <v>42129</v>
      </c>
      <c r="N104" s="23"/>
      <c r="O104" s="15" t="s">
        <v>32</v>
      </c>
      <c r="P104" s="16" t="s">
        <v>222</v>
      </c>
      <c r="Q104" s="16" t="s">
        <v>176</v>
      </c>
      <c r="R104" s="15" t="s">
        <v>177</v>
      </c>
      <c r="S104" s="11" t="s">
        <v>214</v>
      </c>
      <c r="T104" s="20"/>
      <c r="U104" s="20"/>
      <c r="V104" s="19" t="s">
        <v>195</v>
      </c>
      <c r="W104" s="19" t="s">
        <v>179</v>
      </c>
      <c r="X104" s="19">
        <v>7</v>
      </c>
      <c r="Y104" s="61"/>
      <c r="Z104" s="19"/>
      <c r="AA104" s="70" t="s">
        <v>181</v>
      </c>
      <c r="AB104" s="19"/>
      <c r="AC104" s="106" t="s">
        <v>954</v>
      </c>
      <c r="AD104" s="99" t="s">
        <v>183</v>
      </c>
      <c r="AE104" s="99" t="s">
        <v>183</v>
      </c>
      <c r="AF104" s="108"/>
      <c r="AG104" s="106"/>
      <c r="AH104" s="43"/>
      <c r="AI104" s="43"/>
      <c r="AJ104" s="19" t="s">
        <v>198</v>
      </c>
      <c r="AK104" s="19" t="s">
        <v>185</v>
      </c>
      <c r="AL104" s="19" t="s">
        <v>185</v>
      </c>
      <c r="AM104" s="158" t="s">
        <v>955</v>
      </c>
      <c r="AN104" s="20">
        <v>182</v>
      </c>
      <c r="AO104" s="20">
        <v>5</v>
      </c>
      <c r="AP104" s="20">
        <v>0</v>
      </c>
      <c r="AQ104" s="20">
        <v>0</v>
      </c>
      <c r="AR104" s="20">
        <v>0</v>
      </c>
      <c r="AS104" s="20">
        <v>7</v>
      </c>
      <c r="AT104" s="20">
        <v>10</v>
      </c>
      <c r="AU104" s="300">
        <f t="shared" si="12"/>
        <v>204</v>
      </c>
      <c r="AV104" s="20">
        <v>190</v>
      </c>
      <c r="AW104" s="20">
        <v>5</v>
      </c>
      <c r="AX104" s="20">
        <v>0</v>
      </c>
      <c r="AY104" s="20">
        <v>0</v>
      </c>
      <c r="AZ104" s="20">
        <v>0</v>
      </c>
      <c r="BA104" s="20">
        <v>7</v>
      </c>
      <c r="BB104" s="20">
        <v>10</v>
      </c>
      <c r="BC104" s="300">
        <f t="shared" si="13"/>
        <v>212</v>
      </c>
      <c r="BD104" s="42">
        <f t="shared" si="14"/>
        <v>8</v>
      </c>
      <c r="BE104" s="42">
        <f t="shared" si="15"/>
        <v>0</v>
      </c>
      <c r="BF104" s="42">
        <f t="shared" si="16"/>
        <v>0</v>
      </c>
      <c r="BG104" s="42">
        <f t="shared" si="17"/>
        <v>0</v>
      </c>
      <c r="BH104" s="42">
        <f t="shared" si="18"/>
        <v>0</v>
      </c>
      <c r="BI104" s="42">
        <f t="shared" si="19"/>
        <v>0</v>
      </c>
      <c r="BJ104" s="42">
        <f t="shared" si="20"/>
        <v>0</v>
      </c>
      <c r="BK104" s="42">
        <f t="shared" si="21"/>
        <v>8</v>
      </c>
    </row>
    <row r="105" spans="1:63" ht="27" customHeight="1">
      <c r="A105" s="11">
        <f t="shared" si="22"/>
        <v>103</v>
      </c>
      <c r="B105" s="12" t="s">
        <v>956</v>
      </c>
      <c r="C105" s="8">
        <v>929</v>
      </c>
      <c r="D105" s="103" t="s">
        <v>957</v>
      </c>
      <c r="E105" s="61" t="s">
        <v>185</v>
      </c>
      <c r="F105" s="62" t="s">
        <v>958</v>
      </c>
      <c r="G105" s="63" t="s">
        <v>719</v>
      </c>
      <c r="H105" s="13" t="s">
        <v>959</v>
      </c>
      <c r="I105" s="25" t="s">
        <v>721</v>
      </c>
      <c r="J105" s="82" t="s">
        <v>173</v>
      </c>
      <c r="K105" s="26">
        <v>31396</v>
      </c>
      <c r="L105" s="66" t="s">
        <v>174</v>
      </c>
      <c r="M105" s="23">
        <v>42130</v>
      </c>
      <c r="N105" s="23"/>
      <c r="O105" s="15" t="s">
        <v>32</v>
      </c>
      <c r="P105" s="16" t="s">
        <v>599</v>
      </c>
      <c r="Q105" s="16" t="s">
        <v>176</v>
      </c>
      <c r="R105" s="15" t="s">
        <v>177</v>
      </c>
      <c r="S105" s="17" t="s">
        <v>251</v>
      </c>
      <c r="T105" s="20"/>
      <c r="U105" s="20"/>
      <c r="V105" s="19" t="s">
        <v>195</v>
      </c>
      <c r="W105" s="19">
        <v>2735</v>
      </c>
      <c r="X105" s="19">
        <v>3</v>
      </c>
      <c r="Y105" s="61"/>
      <c r="Z105" s="70" t="s">
        <v>181</v>
      </c>
      <c r="AA105" s="19"/>
      <c r="AB105" s="19"/>
      <c r="AC105" s="106"/>
      <c r="AD105" s="99"/>
      <c r="AE105" s="106"/>
      <c r="AF105" s="108"/>
      <c r="AG105" s="106"/>
      <c r="AH105" s="43"/>
      <c r="AI105" s="43"/>
      <c r="AJ105" s="19" t="s">
        <v>198</v>
      </c>
      <c r="AK105" s="19" t="s">
        <v>185</v>
      </c>
      <c r="AL105" s="19" t="s">
        <v>185</v>
      </c>
      <c r="AM105" s="158" t="s">
        <v>960</v>
      </c>
      <c r="AN105" s="20">
        <v>182</v>
      </c>
      <c r="AO105" s="20">
        <v>5</v>
      </c>
      <c r="AP105" s="20">
        <v>0</v>
      </c>
      <c r="AQ105" s="20">
        <v>0</v>
      </c>
      <c r="AR105" s="20">
        <v>0</v>
      </c>
      <c r="AS105" s="20">
        <v>7</v>
      </c>
      <c r="AT105" s="20">
        <v>10</v>
      </c>
      <c r="AU105" s="300">
        <f t="shared" si="12"/>
        <v>204</v>
      </c>
      <c r="AV105" s="20">
        <v>190</v>
      </c>
      <c r="AW105" s="20">
        <v>5</v>
      </c>
      <c r="AX105" s="20">
        <v>0</v>
      </c>
      <c r="AY105" s="20">
        <v>0</v>
      </c>
      <c r="AZ105" s="20">
        <v>0</v>
      </c>
      <c r="BA105" s="20">
        <v>7</v>
      </c>
      <c r="BB105" s="20">
        <v>10</v>
      </c>
      <c r="BC105" s="300">
        <f t="shared" si="13"/>
        <v>212</v>
      </c>
      <c r="BD105" s="42">
        <f t="shared" si="14"/>
        <v>8</v>
      </c>
      <c r="BE105" s="42">
        <f t="shared" si="15"/>
        <v>0</v>
      </c>
      <c r="BF105" s="42">
        <f t="shared" si="16"/>
        <v>0</v>
      </c>
      <c r="BG105" s="42">
        <f t="shared" si="17"/>
        <v>0</v>
      </c>
      <c r="BH105" s="42">
        <f t="shared" si="18"/>
        <v>0</v>
      </c>
      <c r="BI105" s="42">
        <f t="shared" si="19"/>
        <v>0</v>
      </c>
      <c r="BJ105" s="42">
        <f t="shared" si="20"/>
        <v>0</v>
      </c>
      <c r="BK105" s="42">
        <f t="shared" si="21"/>
        <v>8</v>
      </c>
    </row>
    <row r="106" spans="1:63" ht="27" customHeight="1">
      <c r="A106" s="11">
        <f t="shared" si="22"/>
        <v>104</v>
      </c>
      <c r="B106" s="12" t="s">
        <v>961</v>
      </c>
      <c r="C106" s="8">
        <v>925</v>
      </c>
      <c r="D106" s="60" t="s">
        <v>962</v>
      </c>
      <c r="E106" s="61">
        <v>51021080</v>
      </c>
      <c r="F106" s="90" t="s">
        <v>963</v>
      </c>
      <c r="G106" s="91" t="s">
        <v>964</v>
      </c>
      <c r="H106" s="24" t="s">
        <v>965</v>
      </c>
      <c r="I106" s="25" t="s">
        <v>966</v>
      </c>
      <c r="J106" s="82" t="s">
        <v>173</v>
      </c>
      <c r="K106" s="26">
        <v>31587</v>
      </c>
      <c r="L106" s="66" t="s">
        <v>174</v>
      </c>
      <c r="M106" s="23">
        <v>42129</v>
      </c>
      <c r="N106" s="23"/>
      <c r="O106" s="15" t="s">
        <v>32</v>
      </c>
      <c r="P106" s="16" t="s">
        <v>507</v>
      </c>
      <c r="Q106" s="16" t="s">
        <v>176</v>
      </c>
      <c r="R106" s="15" t="s">
        <v>177</v>
      </c>
      <c r="S106" s="11" t="s">
        <v>214</v>
      </c>
      <c r="T106" s="20"/>
      <c r="U106" s="20"/>
      <c r="V106" s="19" t="s">
        <v>195</v>
      </c>
      <c r="W106" s="19" t="s">
        <v>179</v>
      </c>
      <c r="X106" s="19">
        <v>5</v>
      </c>
      <c r="Y106" s="61" t="s">
        <v>967</v>
      </c>
      <c r="Z106" s="19"/>
      <c r="AA106" s="70" t="s">
        <v>181</v>
      </c>
      <c r="AB106" s="19"/>
      <c r="AC106" s="106" t="s">
        <v>968</v>
      </c>
      <c r="AD106" s="99" t="s">
        <v>183</v>
      </c>
      <c r="AE106" s="106"/>
      <c r="AF106" s="108"/>
      <c r="AG106" s="106"/>
      <c r="AH106" s="43"/>
      <c r="AI106" s="43"/>
      <c r="AJ106" s="19" t="s">
        <v>198</v>
      </c>
      <c r="AK106" s="19" t="s">
        <v>185</v>
      </c>
      <c r="AL106" s="19" t="s">
        <v>185</v>
      </c>
      <c r="AM106" s="158" t="s">
        <v>960</v>
      </c>
      <c r="AN106" s="20">
        <v>182</v>
      </c>
      <c r="AO106" s="20">
        <v>0</v>
      </c>
      <c r="AP106" s="20">
        <v>0</v>
      </c>
      <c r="AQ106" s="20">
        <v>0</v>
      </c>
      <c r="AR106" s="20">
        <v>0</v>
      </c>
      <c r="AS106" s="20">
        <v>7</v>
      </c>
      <c r="AT106" s="20">
        <v>10</v>
      </c>
      <c r="AU106" s="300">
        <f t="shared" si="12"/>
        <v>199</v>
      </c>
      <c r="AV106" s="20">
        <v>190</v>
      </c>
      <c r="AW106" s="20">
        <v>0</v>
      </c>
      <c r="AX106" s="20">
        <v>0</v>
      </c>
      <c r="AY106" s="20">
        <v>0</v>
      </c>
      <c r="AZ106" s="20">
        <v>0</v>
      </c>
      <c r="BA106" s="20">
        <v>7</v>
      </c>
      <c r="BB106" s="20">
        <v>10</v>
      </c>
      <c r="BC106" s="300">
        <f t="shared" si="13"/>
        <v>207</v>
      </c>
      <c r="BD106" s="42">
        <f t="shared" si="14"/>
        <v>8</v>
      </c>
      <c r="BE106" s="42">
        <f t="shared" si="15"/>
        <v>0</v>
      </c>
      <c r="BF106" s="42">
        <f t="shared" si="16"/>
        <v>0</v>
      </c>
      <c r="BG106" s="42">
        <f t="shared" si="17"/>
        <v>0</v>
      </c>
      <c r="BH106" s="42">
        <f t="shared" si="18"/>
        <v>0</v>
      </c>
      <c r="BI106" s="42">
        <f t="shared" si="19"/>
        <v>0</v>
      </c>
      <c r="BJ106" s="42">
        <f t="shared" si="20"/>
        <v>0</v>
      </c>
      <c r="BK106" s="42">
        <f t="shared" si="21"/>
        <v>8</v>
      </c>
    </row>
    <row r="107" spans="1:63" ht="27" customHeight="1">
      <c r="A107" s="11">
        <f t="shared" si="22"/>
        <v>105</v>
      </c>
      <c r="B107" s="12" t="s">
        <v>969</v>
      </c>
      <c r="C107" s="8">
        <v>933</v>
      </c>
      <c r="D107" s="60" t="s">
        <v>970</v>
      </c>
      <c r="E107" s="61">
        <v>130178007</v>
      </c>
      <c r="F107" s="90" t="s">
        <v>737</v>
      </c>
      <c r="G107" s="91" t="s">
        <v>971</v>
      </c>
      <c r="H107" s="24" t="s">
        <v>22</v>
      </c>
      <c r="I107" s="25" t="s">
        <v>972</v>
      </c>
      <c r="J107" s="82" t="s">
        <v>173</v>
      </c>
      <c r="K107" s="26">
        <v>29692</v>
      </c>
      <c r="L107" s="66" t="s">
        <v>174</v>
      </c>
      <c r="M107" s="23">
        <v>42130</v>
      </c>
      <c r="N107" s="23"/>
      <c r="O107" s="15" t="s">
        <v>32</v>
      </c>
      <c r="P107" s="16" t="s">
        <v>277</v>
      </c>
      <c r="Q107" s="16" t="s">
        <v>244</v>
      </c>
      <c r="R107" s="15" t="s">
        <v>177</v>
      </c>
      <c r="S107" s="17" t="s">
        <v>206</v>
      </c>
      <c r="T107" s="20"/>
      <c r="U107" s="20"/>
      <c r="V107" s="19" t="s">
        <v>195</v>
      </c>
      <c r="W107" s="19">
        <v>424</v>
      </c>
      <c r="X107" s="19">
        <v>1</v>
      </c>
      <c r="Y107" s="61" t="s">
        <v>973</v>
      </c>
      <c r="Z107" s="19"/>
      <c r="AA107" s="70" t="s">
        <v>181</v>
      </c>
      <c r="AB107" s="19"/>
      <c r="AC107" s="106" t="s">
        <v>954</v>
      </c>
      <c r="AD107" s="99"/>
      <c r="AE107" s="106"/>
      <c r="AF107" s="108"/>
      <c r="AG107" s="106"/>
      <c r="AH107" s="43"/>
      <c r="AI107" s="43"/>
      <c r="AJ107" s="19" t="s">
        <v>198</v>
      </c>
      <c r="AK107" s="19" t="s">
        <v>185</v>
      </c>
      <c r="AL107" s="19" t="s">
        <v>185</v>
      </c>
      <c r="AM107" s="158" t="s">
        <v>974</v>
      </c>
      <c r="AN107" s="20">
        <v>182</v>
      </c>
      <c r="AO107" s="20">
        <v>5</v>
      </c>
      <c r="AP107" s="20">
        <v>20</v>
      </c>
      <c r="AQ107" s="20">
        <v>0</v>
      </c>
      <c r="AR107" s="20">
        <v>0</v>
      </c>
      <c r="AS107" s="20">
        <v>7</v>
      </c>
      <c r="AT107" s="20">
        <v>10</v>
      </c>
      <c r="AU107" s="300">
        <f t="shared" si="12"/>
        <v>224</v>
      </c>
      <c r="AV107" s="20">
        <v>190</v>
      </c>
      <c r="AW107" s="20">
        <v>5</v>
      </c>
      <c r="AX107" s="20">
        <v>20</v>
      </c>
      <c r="AY107" s="20">
        <v>0</v>
      </c>
      <c r="AZ107" s="20">
        <v>0</v>
      </c>
      <c r="BA107" s="20">
        <v>7</v>
      </c>
      <c r="BB107" s="20">
        <v>10</v>
      </c>
      <c r="BC107" s="300">
        <f t="shared" si="13"/>
        <v>232</v>
      </c>
      <c r="BD107" s="42">
        <f t="shared" si="14"/>
        <v>8</v>
      </c>
      <c r="BE107" s="42">
        <f t="shared" si="15"/>
        <v>0</v>
      </c>
      <c r="BF107" s="42">
        <f t="shared" si="16"/>
        <v>0</v>
      </c>
      <c r="BG107" s="42">
        <f t="shared" si="17"/>
        <v>0</v>
      </c>
      <c r="BH107" s="42">
        <f t="shared" si="18"/>
        <v>0</v>
      </c>
      <c r="BI107" s="42">
        <f t="shared" si="19"/>
        <v>0</v>
      </c>
      <c r="BJ107" s="42">
        <f t="shared" si="20"/>
        <v>0</v>
      </c>
      <c r="BK107" s="42">
        <f t="shared" si="21"/>
        <v>8</v>
      </c>
    </row>
    <row r="108" spans="1:63" ht="27" customHeight="1">
      <c r="A108" s="11">
        <f t="shared" si="22"/>
        <v>106</v>
      </c>
      <c r="B108" s="12" t="s">
        <v>975</v>
      </c>
      <c r="C108" s="8">
        <v>942</v>
      </c>
      <c r="D108" s="60" t="s">
        <v>976</v>
      </c>
      <c r="E108" s="61">
        <v>50793894</v>
      </c>
      <c r="F108" s="62" t="s">
        <v>977</v>
      </c>
      <c r="G108" s="63" t="s">
        <v>978</v>
      </c>
      <c r="H108" s="13" t="s">
        <v>77</v>
      </c>
      <c r="I108" s="14" t="s">
        <v>78</v>
      </c>
      <c r="J108" s="64" t="s">
        <v>204</v>
      </c>
      <c r="K108" s="22">
        <v>35385</v>
      </c>
      <c r="L108" s="66" t="s">
        <v>174</v>
      </c>
      <c r="M108" s="23">
        <v>42132</v>
      </c>
      <c r="N108" s="23"/>
      <c r="O108" s="11" t="s">
        <v>79</v>
      </c>
      <c r="P108" s="16" t="s">
        <v>83</v>
      </c>
      <c r="Q108" s="16" t="s">
        <v>176</v>
      </c>
      <c r="R108" s="15" t="s">
        <v>177</v>
      </c>
      <c r="S108" s="11" t="s">
        <v>214</v>
      </c>
      <c r="T108" s="20"/>
      <c r="U108" s="20"/>
      <c r="V108" s="19" t="s">
        <v>195</v>
      </c>
      <c r="W108" s="19" t="s">
        <v>179</v>
      </c>
      <c r="X108" s="19">
        <v>8</v>
      </c>
      <c r="Y108" s="61"/>
      <c r="Z108" s="70" t="s">
        <v>181</v>
      </c>
      <c r="AA108" s="19"/>
      <c r="AB108" s="19"/>
      <c r="AC108" s="106"/>
      <c r="AD108" s="99"/>
      <c r="AE108" s="106"/>
      <c r="AF108" s="108"/>
      <c r="AG108" s="106"/>
      <c r="AH108" s="43"/>
      <c r="AI108" s="43"/>
      <c r="AJ108" s="19" t="s">
        <v>198</v>
      </c>
      <c r="AK108" s="19" t="s">
        <v>185</v>
      </c>
      <c r="AL108" s="19" t="s">
        <v>198</v>
      </c>
      <c r="AM108" s="158" t="s">
        <v>979</v>
      </c>
      <c r="AN108" s="20">
        <v>182</v>
      </c>
      <c r="AO108" s="20">
        <v>5</v>
      </c>
      <c r="AP108" s="20">
        <v>0</v>
      </c>
      <c r="AQ108" s="20">
        <v>60</v>
      </c>
      <c r="AR108" s="20">
        <v>50</v>
      </c>
      <c r="AS108" s="20">
        <v>7</v>
      </c>
      <c r="AT108" s="20">
        <v>10</v>
      </c>
      <c r="AU108" s="300">
        <f t="shared" si="12"/>
        <v>314</v>
      </c>
      <c r="AV108" s="20">
        <v>190</v>
      </c>
      <c r="AW108" s="20">
        <v>5</v>
      </c>
      <c r="AX108" s="20">
        <v>0</v>
      </c>
      <c r="AY108" s="20">
        <v>60</v>
      </c>
      <c r="AZ108" s="20">
        <v>50</v>
      </c>
      <c r="BA108" s="20">
        <v>7</v>
      </c>
      <c r="BB108" s="20">
        <v>10</v>
      </c>
      <c r="BC108" s="300">
        <f t="shared" si="13"/>
        <v>322</v>
      </c>
      <c r="BD108" s="42">
        <f t="shared" si="14"/>
        <v>8</v>
      </c>
      <c r="BE108" s="42">
        <f t="shared" si="15"/>
        <v>0</v>
      </c>
      <c r="BF108" s="42">
        <f t="shared" si="16"/>
        <v>0</v>
      </c>
      <c r="BG108" s="42">
        <f t="shared" si="17"/>
        <v>0</v>
      </c>
      <c r="BH108" s="42">
        <f t="shared" si="18"/>
        <v>0</v>
      </c>
      <c r="BI108" s="42">
        <f t="shared" si="19"/>
        <v>0</v>
      </c>
      <c r="BJ108" s="42">
        <f t="shared" si="20"/>
        <v>0</v>
      </c>
      <c r="BK108" s="42">
        <f t="shared" si="21"/>
        <v>8</v>
      </c>
    </row>
    <row r="109" spans="1:63" ht="27" customHeight="1">
      <c r="A109" s="11">
        <f t="shared" si="22"/>
        <v>107</v>
      </c>
      <c r="B109" s="12" t="s">
        <v>980</v>
      </c>
      <c r="C109" s="8">
        <v>951</v>
      </c>
      <c r="D109" s="60" t="s">
        <v>981</v>
      </c>
      <c r="E109" s="61" t="s">
        <v>185</v>
      </c>
      <c r="F109" s="62" t="s">
        <v>982</v>
      </c>
      <c r="G109" s="63" t="s">
        <v>983</v>
      </c>
      <c r="H109" s="13" t="s">
        <v>959</v>
      </c>
      <c r="I109" s="14" t="s">
        <v>984</v>
      </c>
      <c r="J109" s="64" t="s">
        <v>173</v>
      </c>
      <c r="K109" s="22">
        <v>29105</v>
      </c>
      <c r="L109" s="66" t="s">
        <v>174</v>
      </c>
      <c r="M109" s="23">
        <v>42142</v>
      </c>
      <c r="N109" s="23"/>
      <c r="O109" s="15" t="s">
        <v>32</v>
      </c>
      <c r="P109" s="16" t="s">
        <v>296</v>
      </c>
      <c r="Q109" s="16" t="s">
        <v>176</v>
      </c>
      <c r="R109" s="15" t="s">
        <v>177</v>
      </c>
      <c r="S109" s="15" t="s">
        <v>223</v>
      </c>
      <c r="T109" s="20"/>
      <c r="U109" s="20"/>
      <c r="V109" s="19" t="s">
        <v>195</v>
      </c>
      <c r="W109" s="19">
        <v>65</v>
      </c>
      <c r="X109" s="19">
        <v>6</v>
      </c>
      <c r="Y109" s="61"/>
      <c r="Z109" s="19"/>
      <c r="AA109" s="70" t="s">
        <v>181</v>
      </c>
      <c r="AB109" s="19"/>
      <c r="AC109" s="106" t="s">
        <v>462</v>
      </c>
      <c r="AD109" s="99"/>
      <c r="AE109" s="106"/>
      <c r="AF109" s="108"/>
      <c r="AG109" s="106"/>
      <c r="AH109" s="43"/>
      <c r="AI109" s="43"/>
      <c r="AJ109" s="19" t="s">
        <v>198</v>
      </c>
      <c r="AK109" s="19" t="s">
        <v>185</v>
      </c>
      <c r="AL109" s="19" t="s">
        <v>185</v>
      </c>
      <c r="AM109" s="158" t="s">
        <v>985</v>
      </c>
      <c r="AN109" s="20">
        <v>182</v>
      </c>
      <c r="AO109" s="20">
        <v>5</v>
      </c>
      <c r="AP109" s="20">
        <v>0</v>
      </c>
      <c r="AQ109" s="20">
        <v>0</v>
      </c>
      <c r="AR109" s="20">
        <v>0</v>
      </c>
      <c r="AS109" s="20">
        <v>7</v>
      </c>
      <c r="AT109" s="20">
        <v>10</v>
      </c>
      <c r="AU109" s="300">
        <f t="shared" si="12"/>
        <v>204</v>
      </c>
      <c r="AV109" s="20">
        <v>190</v>
      </c>
      <c r="AW109" s="20">
        <v>5</v>
      </c>
      <c r="AX109" s="20">
        <v>0</v>
      </c>
      <c r="AY109" s="20">
        <v>0</v>
      </c>
      <c r="AZ109" s="20">
        <v>0</v>
      </c>
      <c r="BA109" s="20">
        <v>7</v>
      </c>
      <c r="BB109" s="20">
        <v>10</v>
      </c>
      <c r="BC109" s="300">
        <f t="shared" si="13"/>
        <v>212</v>
      </c>
      <c r="BD109" s="42">
        <f t="shared" si="14"/>
        <v>8</v>
      </c>
      <c r="BE109" s="42">
        <f t="shared" si="15"/>
        <v>0</v>
      </c>
      <c r="BF109" s="42">
        <f t="shared" si="16"/>
        <v>0</v>
      </c>
      <c r="BG109" s="42">
        <f t="shared" si="17"/>
        <v>0</v>
      </c>
      <c r="BH109" s="42">
        <f t="shared" si="18"/>
        <v>0</v>
      </c>
      <c r="BI109" s="42">
        <f t="shared" si="19"/>
        <v>0</v>
      </c>
      <c r="BJ109" s="42">
        <f t="shared" si="20"/>
        <v>0</v>
      </c>
      <c r="BK109" s="42">
        <f t="shared" si="21"/>
        <v>8</v>
      </c>
    </row>
    <row r="110" spans="1:63" ht="27" customHeight="1">
      <c r="A110" s="11">
        <f t="shared" si="22"/>
        <v>108</v>
      </c>
      <c r="B110" s="12" t="s">
        <v>986</v>
      </c>
      <c r="C110" s="8">
        <v>957</v>
      </c>
      <c r="D110" s="60" t="s">
        <v>987</v>
      </c>
      <c r="E110" s="61">
        <v>50645635</v>
      </c>
      <c r="F110" s="62" t="s">
        <v>988</v>
      </c>
      <c r="G110" s="63" t="s">
        <v>989</v>
      </c>
      <c r="H110" s="13" t="s">
        <v>990</v>
      </c>
      <c r="I110" s="14" t="s">
        <v>991</v>
      </c>
      <c r="J110" s="64" t="s">
        <v>173</v>
      </c>
      <c r="K110" s="22">
        <v>33028</v>
      </c>
      <c r="L110" s="66" t="s">
        <v>174</v>
      </c>
      <c r="M110" s="23">
        <v>42143</v>
      </c>
      <c r="N110" s="23"/>
      <c r="O110" s="15" t="s">
        <v>32</v>
      </c>
      <c r="P110" s="16" t="s">
        <v>343</v>
      </c>
      <c r="Q110" s="16" t="s">
        <v>176</v>
      </c>
      <c r="R110" s="15" t="s">
        <v>177</v>
      </c>
      <c r="S110" s="11" t="s">
        <v>214</v>
      </c>
      <c r="T110" s="20"/>
      <c r="U110" s="20"/>
      <c r="V110" s="19" t="s">
        <v>195</v>
      </c>
      <c r="W110" s="19" t="s">
        <v>179</v>
      </c>
      <c r="X110" s="19">
        <v>7</v>
      </c>
      <c r="Y110" s="61" t="s">
        <v>992</v>
      </c>
      <c r="Z110" s="19"/>
      <c r="AA110" s="70" t="s">
        <v>181</v>
      </c>
      <c r="AB110" s="19"/>
      <c r="AC110" s="106" t="s">
        <v>954</v>
      </c>
      <c r="AD110" s="99"/>
      <c r="AE110" s="106"/>
      <c r="AF110" s="108"/>
      <c r="AG110" s="106"/>
      <c r="AH110" s="43"/>
      <c r="AI110" s="43"/>
      <c r="AJ110" s="19" t="s">
        <v>198</v>
      </c>
      <c r="AK110" s="19" t="s">
        <v>185</v>
      </c>
      <c r="AL110" s="19" t="s">
        <v>185</v>
      </c>
      <c r="AM110" s="158" t="s">
        <v>974</v>
      </c>
      <c r="AN110" s="20">
        <v>182</v>
      </c>
      <c r="AO110" s="20">
        <v>5</v>
      </c>
      <c r="AP110" s="20">
        <v>0</v>
      </c>
      <c r="AQ110" s="20">
        <v>0</v>
      </c>
      <c r="AR110" s="20">
        <v>0</v>
      </c>
      <c r="AS110" s="20">
        <v>7</v>
      </c>
      <c r="AT110" s="20">
        <v>10</v>
      </c>
      <c r="AU110" s="300">
        <f t="shared" si="12"/>
        <v>204</v>
      </c>
      <c r="AV110" s="20">
        <v>190</v>
      </c>
      <c r="AW110" s="20">
        <v>5</v>
      </c>
      <c r="AX110" s="20">
        <v>0</v>
      </c>
      <c r="AY110" s="20">
        <v>0</v>
      </c>
      <c r="AZ110" s="20">
        <v>0</v>
      </c>
      <c r="BA110" s="20">
        <v>7</v>
      </c>
      <c r="BB110" s="20">
        <v>10</v>
      </c>
      <c r="BC110" s="300">
        <f t="shared" si="13"/>
        <v>212</v>
      </c>
      <c r="BD110" s="42">
        <f t="shared" si="14"/>
        <v>8</v>
      </c>
      <c r="BE110" s="42">
        <f t="shared" si="15"/>
        <v>0</v>
      </c>
      <c r="BF110" s="42">
        <f t="shared" si="16"/>
        <v>0</v>
      </c>
      <c r="BG110" s="42">
        <f t="shared" si="17"/>
        <v>0</v>
      </c>
      <c r="BH110" s="42">
        <f t="shared" si="18"/>
        <v>0</v>
      </c>
      <c r="BI110" s="42">
        <f t="shared" si="19"/>
        <v>0</v>
      </c>
      <c r="BJ110" s="42">
        <f t="shared" si="20"/>
        <v>0</v>
      </c>
      <c r="BK110" s="42">
        <f t="shared" si="21"/>
        <v>8</v>
      </c>
    </row>
    <row r="111" spans="1:63" ht="27" customHeight="1">
      <c r="A111" s="11">
        <f t="shared" si="22"/>
        <v>109</v>
      </c>
      <c r="B111" s="12" t="s">
        <v>993</v>
      </c>
      <c r="C111" s="8">
        <v>955</v>
      </c>
      <c r="D111" s="60" t="s">
        <v>994</v>
      </c>
      <c r="E111" s="61" t="s">
        <v>185</v>
      </c>
      <c r="F111" s="62" t="s">
        <v>737</v>
      </c>
      <c r="G111" s="63" t="s">
        <v>995</v>
      </c>
      <c r="H111" s="13" t="s">
        <v>22</v>
      </c>
      <c r="I111" s="14" t="s">
        <v>996</v>
      </c>
      <c r="J111" s="64" t="s">
        <v>173</v>
      </c>
      <c r="K111" s="22">
        <v>29710</v>
      </c>
      <c r="L111" s="66" t="s">
        <v>174</v>
      </c>
      <c r="M111" s="23">
        <v>42143</v>
      </c>
      <c r="N111" s="23"/>
      <c r="O111" s="15" t="s">
        <v>32</v>
      </c>
      <c r="P111" s="16" t="s">
        <v>343</v>
      </c>
      <c r="Q111" s="16" t="s">
        <v>176</v>
      </c>
      <c r="R111" s="15" t="s">
        <v>177</v>
      </c>
      <c r="S111" s="15" t="s">
        <v>223</v>
      </c>
      <c r="T111" s="20"/>
      <c r="U111" s="20"/>
      <c r="V111" s="19" t="s">
        <v>195</v>
      </c>
      <c r="W111" s="19">
        <v>1955</v>
      </c>
      <c r="X111" s="19">
        <v>4</v>
      </c>
      <c r="Y111" s="61"/>
      <c r="Z111" s="19"/>
      <c r="AA111" s="70" t="s">
        <v>181</v>
      </c>
      <c r="AB111" s="19"/>
      <c r="AC111" s="106" t="s">
        <v>509</v>
      </c>
      <c r="AD111" s="99"/>
      <c r="AE111" s="106"/>
      <c r="AF111" s="108"/>
      <c r="AG111" s="106"/>
      <c r="AH111" s="43"/>
      <c r="AI111" s="43"/>
      <c r="AJ111" s="19" t="s">
        <v>198</v>
      </c>
      <c r="AK111" s="19" t="s">
        <v>185</v>
      </c>
      <c r="AL111" s="19" t="s">
        <v>185</v>
      </c>
      <c r="AM111" s="158" t="s">
        <v>997</v>
      </c>
      <c r="AN111" s="20">
        <v>182</v>
      </c>
      <c r="AO111" s="20">
        <v>0</v>
      </c>
      <c r="AP111" s="20">
        <v>0</v>
      </c>
      <c r="AQ111" s="20">
        <v>0</v>
      </c>
      <c r="AR111" s="20">
        <v>0</v>
      </c>
      <c r="AS111" s="20">
        <v>7</v>
      </c>
      <c r="AT111" s="20">
        <v>10</v>
      </c>
      <c r="AU111" s="300">
        <f t="shared" si="12"/>
        <v>199</v>
      </c>
      <c r="AV111" s="20">
        <v>190</v>
      </c>
      <c r="AW111" s="20">
        <v>0</v>
      </c>
      <c r="AX111" s="20">
        <v>0</v>
      </c>
      <c r="AY111" s="20">
        <v>0</v>
      </c>
      <c r="AZ111" s="20">
        <v>0</v>
      </c>
      <c r="BA111" s="20">
        <v>7</v>
      </c>
      <c r="BB111" s="20">
        <v>10</v>
      </c>
      <c r="BC111" s="300">
        <f t="shared" si="13"/>
        <v>207</v>
      </c>
      <c r="BD111" s="42">
        <f t="shared" si="14"/>
        <v>8</v>
      </c>
      <c r="BE111" s="42">
        <f t="shared" si="15"/>
        <v>0</v>
      </c>
      <c r="BF111" s="42">
        <f t="shared" si="16"/>
        <v>0</v>
      </c>
      <c r="BG111" s="42">
        <f t="shared" si="17"/>
        <v>0</v>
      </c>
      <c r="BH111" s="42">
        <f t="shared" si="18"/>
        <v>0</v>
      </c>
      <c r="BI111" s="42">
        <f t="shared" si="19"/>
        <v>0</v>
      </c>
      <c r="BJ111" s="42">
        <f t="shared" si="20"/>
        <v>0</v>
      </c>
      <c r="BK111" s="42">
        <f t="shared" si="21"/>
        <v>8</v>
      </c>
    </row>
    <row r="112" spans="1:63" ht="27" customHeight="1">
      <c r="A112" s="11">
        <f t="shared" si="22"/>
        <v>110</v>
      </c>
      <c r="B112" s="12" t="s">
        <v>998</v>
      </c>
      <c r="C112" s="8">
        <v>956</v>
      </c>
      <c r="D112" s="60" t="s">
        <v>999</v>
      </c>
      <c r="E112" s="61">
        <v>100279651</v>
      </c>
      <c r="F112" s="62" t="s">
        <v>1000</v>
      </c>
      <c r="G112" s="63" t="s">
        <v>1001</v>
      </c>
      <c r="H112" s="13" t="s">
        <v>1002</v>
      </c>
      <c r="I112" s="14" t="s">
        <v>1003</v>
      </c>
      <c r="J112" s="64" t="s">
        <v>173</v>
      </c>
      <c r="K112" s="22">
        <v>30116</v>
      </c>
      <c r="L112" s="66" t="s">
        <v>174</v>
      </c>
      <c r="M112" s="23">
        <v>42143</v>
      </c>
      <c r="N112" s="23"/>
      <c r="O112" s="15" t="s">
        <v>32</v>
      </c>
      <c r="P112" s="16" t="s">
        <v>343</v>
      </c>
      <c r="Q112" s="16" t="s">
        <v>176</v>
      </c>
      <c r="R112" s="15" t="s">
        <v>177</v>
      </c>
      <c r="S112" s="17" t="s">
        <v>206</v>
      </c>
      <c r="T112" s="20"/>
      <c r="U112" s="20"/>
      <c r="V112" s="19" t="s">
        <v>195</v>
      </c>
      <c r="W112" s="19">
        <v>1955</v>
      </c>
      <c r="X112" s="19">
        <v>5</v>
      </c>
      <c r="Y112" s="61" t="s">
        <v>1004</v>
      </c>
      <c r="Z112" s="19"/>
      <c r="AA112" s="70" t="s">
        <v>181</v>
      </c>
      <c r="AB112" s="19"/>
      <c r="AC112" s="106" t="s">
        <v>509</v>
      </c>
      <c r="AD112" s="99"/>
      <c r="AE112" s="106"/>
      <c r="AF112" s="108"/>
      <c r="AG112" s="106"/>
      <c r="AH112" s="43"/>
      <c r="AI112" s="43"/>
      <c r="AJ112" s="19" t="s">
        <v>198</v>
      </c>
      <c r="AK112" s="19" t="s">
        <v>185</v>
      </c>
      <c r="AL112" s="19" t="s">
        <v>185</v>
      </c>
      <c r="AM112" s="158" t="s">
        <v>1005</v>
      </c>
      <c r="AN112" s="20">
        <v>182</v>
      </c>
      <c r="AO112" s="20">
        <v>5</v>
      </c>
      <c r="AP112" s="20">
        <v>0</v>
      </c>
      <c r="AQ112" s="20">
        <v>0</v>
      </c>
      <c r="AR112" s="20">
        <v>0</v>
      </c>
      <c r="AS112" s="20">
        <v>7</v>
      </c>
      <c r="AT112" s="20">
        <v>10</v>
      </c>
      <c r="AU112" s="300">
        <f t="shared" si="12"/>
        <v>204</v>
      </c>
      <c r="AV112" s="20">
        <v>190</v>
      </c>
      <c r="AW112" s="20">
        <v>5</v>
      </c>
      <c r="AX112" s="20">
        <v>0</v>
      </c>
      <c r="AY112" s="20">
        <v>0</v>
      </c>
      <c r="AZ112" s="20">
        <v>0</v>
      </c>
      <c r="BA112" s="20">
        <v>7</v>
      </c>
      <c r="BB112" s="20">
        <v>10</v>
      </c>
      <c r="BC112" s="300">
        <f t="shared" si="13"/>
        <v>212</v>
      </c>
      <c r="BD112" s="42">
        <f t="shared" si="14"/>
        <v>8</v>
      </c>
      <c r="BE112" s="42">
        <f t="shared" si="15"/>
        <v>0</v>
      </c>
      <c r="BF112" s="42">
        <f t="shared" si="16"/>
        <v>0</v>
      </c>
      <c r="BG112" s="42">
        <f t="shared" si="17"/>
        <v>0</v>
      </c>
      <c r="BH112" s="42">
        <f t="shared" si="18"/>
        <v>0</v>
      </c>
      <c r="BI112" s="42">
        <f t="shared" si="19"/>
        <v>0</v>
      </c>
      <c r="BJ112" s="42">
        <f t="shared" si="20"/>
        <v>0</v>
      </c>
      <c r="BK112" s="42">
        <f t="shared" si="21"/>
        <v>8</v>
      </c>
    </row>
    <row r="113" spans="1:63" ht="27" customHeight="1">
      <c r="A113" s="11">
        <f t="shared" si="22"/>
        <v>111</v>
      </c>
      <c r="B113" s="12" t="s">
        <v>1006</v>
      </c>
      <c r="C113" s="8">
        <v>967</v>
      </c>
      <c r="D113" s="60" t="s">
        <v>1007</v>
      </c>
      <c r="E113" s="61">
        <v>20998962</v>
      </c>
      <c r="F113" s="62" t="s">
        <v>1008</v>
      </c>
      <c r="G113" s="63" t="s">
        <v>1009</v>
      </c>
      <c r="H113" s="13" t="s">
        <v>176</v>
      </c>
      <c r="I113" s="14" t="s">
        <v>1010</v>
      </c>
      <c r="J113" s="64" t="s">
        <v>173</v>
      </c>
      <c r="K113" s="22">
        <v>26757</v>
      </c>
      <c r="L113" s="66" t="s">
        <v>174</v>
      </c>
      <c r="M113" s="23">
        <v>42149</v>
      </c>
      <c r="N113" s="23"/>
      <c r="O113" s="15" t="s">
        <v>32</v>
      </c>
      <c r="P113" s="16" t="s">
        <v>296</v>
      </c>
      <c r="Q113" s="16" t="s">
        <v>176</v>
      </c>
      <c r="R113" s="15" t="s">
        <v>177</v>
      </c>
      <c r="S113" s="11" t="s">
        <v>326</v>
      </c>
      <c r="T113" s="20"/>
      <c r="U113" s="20"/>
      <c r="V113" s="19" t="s">
        <v>195</v>
      </c>
      <c r="W113" s="19" t="s">
        <v>179</v>
      </c>
      <c r="X113" s="19">
        <v>7</v>
      </c>
      <c r="Y113" s="61" t="s">
        <v>1011</v>
      </c>
      <c r="Z113" s="19"/>
      <c r="AA113" s="70" t="s">
        <v>181</v>
      </c>
      <c r="AB113" s="19"/>
      <c r="AC113" s="106" t="s">
        <v>1012</v>
      </c>
      <c r="AD113" s="99" t="s">
        <v>183</v>
      </c>
      <c r="AE113" s="106"/>
      <c r="AF113" s="108"/>
      <c r="AG113" s="106"/>
      <c r="AH113" s="43"/>
      <c r="AI113" s="43"/>
      <c r="AJ113" s="19" t="s">
        <v>198</v>
      </c>
      <c r="AK113" s="19" t="s">
        <v>185</v>
      </c>
      <c r="AL113" s="19" t="s">
        <v>185</v>
      </c>
      <c r="AM113" s="158" t="s">
        <v>814</v>
      </c>
      <c r="AN113" s="20">
        <v>182</v>
      </c>
      <c r="AO113" s="20">
        <v>5</v>
      </c>
      <c r="AP113" s="20">
        <v>0</v>
      </c>
      <c r="AQ113" s="20">
        <v>0</v>
      </c>
      <c r="AR113" s="20">
        <v>0</v>
      </c>
      <c r="AS113" s="20">
        <v>7</v>
      </c>
      <c r="AT113" s="20">
        <v>10</v>
      </c>
      <c r="AU113" s="300">
        <f t="shared" si="12"/>
        <v>204</v>
      </c>
      <c r="AV113" s="20">
        <v>190</v>
      </c>
      <c r="AW113" s="20">
        <v>5</v>
      </c>
      <c r="AX113" s="20">
        <v>0</v>
      </c>
      <c r="AY113" s="20">
        <v>0</v>
      </c>
      <c r="AZ113" s="20">
        <v>0</v>
      </c>
      <c r="BA113" s="20">
        <v>7</v>
      </c>
      <c r="BB113" s="20">
        <v>10</v>
      </c>
      <c r="BC113" s="300">
        <f t="shared" si="13"/>
        <v>212</v>
      </c>
      <c r="BD113" s="42">
        <f t="shared" si="14"/>
        <v>8</v>
      </c>
      <c r="BE113" s="42">
        <f t="shared" si="15"/>
        <v>0</v>
      </c>
      <c r="BF113" s="42">
        <f t="shared" si="16"/>
        <v>0</v>
      </c>
      <c r="BG113" s="42">
        <f t="shared" si="17"/>
        <v>0</v>
      </c>
      <c r="BH113" s="42">
        <f t="shared" si="18"/>
        <v>0</v>
      </c>
      <c r="BI113" s="42">
        <f t="shared" si="19"/>
        <v>0</v>
      </c>
      <c r="BJ113" s="42">
        <f t="shared" si="20"/>
        <v>0</v>
      </c>
      <c r="BK113" s="42">
        <f t="shared" si="21"/>
        <v>8</v>
      </c>
    </row>
    <row r="114" spans="1:63" ht="27" customHeight="1">
      <c r="A114" s="11">
        <f t="shared" si="22"/>
        <v>112</v>
      </c>
      <c r="B114" s="12" t="s">
        <v>1013</v>
      </c>
      <c r="C114" s="8">
        <v>913</v>
      </c>
      <c r="D114" s="60" t="s">
        <v>1014</v>
      </c>
      <c r="E114" s="61">
        <v>60854660</v>
      </c>
      <c r="F114" s="62" t="s">
        <v>1015</v>
      </c>
      <c r="G114" s="63" t="s">
        <v>1016</v>
      </c>
      <c r="H114" s="13" t="s">
        <v>1017</v>
      </c>
      <c r="I114" s="14" t="s">
        <v>1018</v>
      </c>
      <c r="J114" s="64" t="s">
        <v>173</v>
      </c>
      <c r="K114" s="22">
        <v>32211</v>
      </c>
      <c r="L114" s="66" t="s">
        <v>174</v>
      </c>
      <c r="M114" s="23">
        <v>42128</v>
      </c>
      <c r="N114" s="23"/>
      <c r="O114" s="15" t="s">
        <v>32</v>
      </c>
      <c r="P114" s="16" t="s">
        <v>277</v>
      </c>
      <c r="Q114" s="16" t="s">
        <v>244</v>
      </c>
      <c r="R114" s="15" t="s">
        <v>177</v>
      </c>
      <c r="S114" s="17" t="s">
        <v>178</v>
      </c>
      <c r="T114" s="20"/>
      <c r="U114" s="20"/>
      <c r="V114" s="19" t="s">
        <v>179</v>
      </c>
      <c r="W114" s="19">
        <v>409</v>
      </c>
      <c r="X114" s="19">
        <v>2</v>
      </c>
      <c r="Y114" s="61" t="s">
        <v>1019</v>
      </c>
      <c r="Z114" s="19"/>
      <c r="AA114" s="70" t="s">
        <v>181</v>
      </c>
      <c r="AB114" s="19"/>
      <c r="AC114" s="106" t="s">
        <v>1020</v>
      </c>
      <c r="AD114" s="99" t="s">
        <v>184</v>
      </c>
      <c r="AE114" s="106"/>
      <c r="AF114" s="108"/>
      <c r="AG114" s="106"/>
      <c r="AH114" s="43"/>
      <c r="AI114" s="43"/>
      <c r="AJ114" s="19" t="s">
        <v>198</v>
      </c>
      <c r="AK114" s="19" t="s">
        <v>185</v>
      </c>
      <c r="AL114" s="19" t="s">
        <v>185</v>
      </c>
      <c r="AM114" s="158" t="s">
        <v>997</v>
      </c>
      <c r="AN114" s="20">
        <v>182</v>
      </c>
      <c r="AO114" s="20">
        <v>5</v>
      </c>
      <c r="AP114" s="20">
        <v>20</v>
      </c>
      <c r="AQ114" s="20">
        <v>0</v>
      </c>
      <c r="AR114" s="20">
        <v>0</v>
      </c>
      <c r="AS114" s="20">
        <v>7</v>
      </c>
      <c r="AT114" s="20">
        <v>10</v>
      </c>
      <c r="AU114" s="300">
        <f t="shared" si="12"/>
        <v>224</v>
      </c>
      <c r="AV114" s="20">
        <v>190</v>
      </c>
      <c r="AW114" s="20">
        <v>5</v>
      </c>
      <c r="AX114" s="20">
        <v>20</v>
      </c>
      <c r="AY114" s="20">
        <v>0</v>
      </c>
      <c r="AZ114" s="20">
        <v>0</v>
      </c>
      <c r="BA114" s="20">
        <v>7</v>
      </c>
      <c r="BB114" s="20">
        <v>10</v>
      </c>
      <c r="BC114" s="300">
        <f t="shared" si="13"/>
        <v>232</v>
      </c>
      <c r="BD114" s="42">
        <f t="shared" si="14"/>
        <v>8</v>
      </c>
      <c r="BE114" s="42">
        <f t="shared" si="15"/>
        <v>0</v>
      </c>
      <c r="BF114" s="42">
        <f t="shared" si="16"/>
        <v>0</v>
      </c>
      <c r="BG114" s="42">
        <f t="shared" si="17"/>
        <v>0</v>
      </c>
      <c r="BH114" s="42">
        <f t="shared" si="18"/>
        <v>0</v>
      </c>
      <c r="BI114" s="42">
        <f t="shared" si="19"/>
        <v>0</v>
      </c>
      <c r="BJ114" s="42">
        <f t="shared" si="20"/>
        <v>0</v>
      </c>
      <c r="BK114" s="42">
        <f t="shared" si="21"/>
        <v>8</v>
      </c>
    </row>
    <row r="115" spans="1:63" ht="27" customHeight="1">
      <c r="A115" s="11">
        <f t="shared" si="22"/>
        <v>113</v>
      </c>
      <c r="B115" s="12" t="s">
        <v>1021</v>
      </c>
      <c r="C115" s="8">
        <v>981</v>
      </c>
      <c r="D115" s="60" t="s">
        <v>1022</v>
      </c>
      <c r="E115" s="61">
        <v>100985189</v>
      </c>
      <c r="F115" s="62" t="s">
        <v>1023</v>
      </c>
      <c r="G115" s="63" t="s">
        <v>1024</v>
      </c>
      <c r="H115" s="13" t="s">
        <v>1025</v>
      </c>
      <c r="I115" s="14" t="s">
        <v>1026</v>
      </c>
      <c r="J115" s="64" t="s">
        <v>173</v>
      </c>
      <c r="K115" s="22">
        <v>32093</v>
      </c>
      <c r="L115" s="66" t="s">
        <v>174</v>
      </c>
      <c r="M115" s="23">
        <v>42158</v>
      </c>
      <c r="N115" s="23"/>
      <c r="O115" s="15" t="s">
        <v>32</v>
      </c>
      <c r="P115" s="16" t="s">
        <v>334</v>
      </c>
      <c r="Q115" s="16" t="s">
        <v>176</v>
      </c>
      <c r="R115" s="15" t="s">
        <v>177</v>
      </c>
      <c r="S115" s="17" t="s">
        <v>206</v>
      </c>
      <c r="T115" s="20" t="s">
        <v>335</v>
      </c>
      <c r="U115" s="20" t="s">
        <v>1027</v>
      </c>
      <c r="V115" s="19" t="s">
        <v>195</v>
      </c>
      <c r="W115" s="19" t="s">
        <v>179</v>
      </c>
      <c r="X115" s="19">
        <v>7</v>
      </c>
      <c r="Y115" s="61" t="s">
        <v>1028</v>
      </c>
      <c r="Z115" s="19"/>
      <c r="AA115" s="70" t="s">
        <v>181</v>
      </c>
      <c r="AB115" s="19"/>
      <c r="AC115" s="106" t="s">
        <v>571</v>
      </c>
      <c r="AD115" s="99"/>
      <c r="AE115" s="106"/>
      <c r="AF115" s="108"/>
      <c r="AG115" s="106"/>
      <c r="AH115" s="43"/>
      <c r="AI115" s="43"/>
      <c r="AJ115" s="19" t="s">
        <v>198</v>
      </c>
      <c r="AK115" s="19" t="s">
        <v>185</v>
      </c>
      <c r="AL115" s="19" t="s">
        <v>185</v>
      </c>
      <c r="AM115" s="158" t="s">
        <v>1029</v>
      </c>
      <c r="AN115" s="20">
        <v>182</v>
      </c>
      <c r="AO115" s="20">
        <v>0</v>
      </c>
      <c r="AP115" s="20">
        <v>0</v>
      </c>
      <c r="AQ115" s="20">
        <v>0</v>
      </c>
      <c r="AR115" s="20">
        <v>0</v>
      </c>
      <c r="AS115" s="20">
        <v>7</v>
      </c>
      <c r="AT115" s="20">
        <v>10</v>
      </c>
      <c r="AU115" s="300">
        <f t="shared" si="12"/>
        <v>199</v>
      </c>
      <c r="AV115" s="20">
        <v>190</v>
      </c>
      <c r="AW115" s="20">
        <v>0</v>
      </c>
      <c r="AX115" s="20">
        <v>0</v>
      </c>
      <c r="AY115" s="20">
        <v>0</v>
      </c>
      <c r="AZ115" s="20">
        <v>0</v>
      </c>
      <c r="BA115" s="20">
        <v>7</v>
      </c>
      <c r="BB115" s="20">
        <v>10</v>
      </c>
      <c r="BC115" s="300">
        <f t="shared" si="13"/>
        <v>207</v>
      </c>
      <c r="BD115" s="42">
        <f t="shared" si="14"/>
        <v>8</v>
      </c>
      <c r="BE115" s="42">
        <f t="shared" si="15"/>
        <v>0</v>
      </c>
      <c r="BF115" s="42">
        <f t="shared" si="16"/>
        <v>0</v>
      </c>
      <c r="BG115" s="42">
        <f t="shared" si="17"/>
        <v>0</v>
      </c>
      <c r="BH115" s="42">
        <f t="shared" si="18"/>
        <v>0</v>
      </c>
      <c r="BI115" s="42">
        <f t="shared" si="19"/>
        <v>0</v>
      </c>
      <c r="BJ115" s="42">
        <f t="shared" si="20"/>
        <v>0</v>
      </c>
      <c r="BK115" s="42">
        <f t="shared" si="21"/>
        <v>8</v>
      </c>
    </row>
    <row r="116" spans="1:63" ht="27" customHeight="1">
      <c r="A116" s="11">
        <f t="shared" si="22"/>
        <v>114</v>
      </c>
      <c r="B116" s="12" t="s">
        <v>1030</v>
      </c>
      <c r="C116" s="8">
        <v>1011</v>
      </c>
      <c r="D116" s="60" t="s">
        <v>1031</v>
      </c>
      <c r="E116" s="61">
        <v>130158032</v>
      </c>
      <c r="F116" s="62" t="s">
        <v>1032</v>
      </c>
      <c r="G116" s="63" t="s">
        <v>1033</v>
      </c>
      <c r="H116" s="13" t="s">
        <v>1034</v>
      </c>
      <c r="I116" s="14" t="s">
        <v>1035</v>
      </c>
      <c r="J116" s="64" t="s">
        <v>173</v>
      </c>
      <c r="K116" s="22">
        <v>31965</v>
      </c>
      <c r="L116" s="66" t="s">
        <v>174</v>
      </c>
      <c r="M116" s="23">
        <v>42177</v>
      </c>
      <c r="N116" s="23"/>
      <c r="O116" s="15" t="s">
        <v>32</v>
      </c>
      <c r="P116" s="16" t="s">
        <v>397</v>
      </c>
      <c r="Q116" s="16" t="s">
        <v>176</v>
      </c>
      <c r="R116" s="15" t="s">
        <v>177</v>
      </c>
      <c r="S116" s="15" t="s">
        <v>722</v>
      </c>
      <c r="T116" s="20" t="s">
        <v>335</v>
      </c>
      <c r="U116" s="20" t="s">
        <v>1036</v>
      </c>
      <c r="V116" s="19" t="s">
        <v>195</v>
      </c>
      <c r="W116" s="19" t="s">
        <v>179</v>
      </c>
      <c r="X116" s="19">
        <v>5</v>
      </c>
      <c r="Y116" s="61" t="s">
        <v>1037</v>
      </c>
      <c r="Z116" s="70" t="s">
        <v>181</v>
      </c>
      <c r="AA116" s="19"/>
      <c r="AB116" s="19"/>
      <c r="AC116" s="106"/>
      <c r="AD116" s="99"/>
      <c r="AE116" s="106"/>
      <c r="AF116" s="108"/>
      <c r="AG116" s="106"/>
      <c r="AH116" s="43"/>
      <c r="AI116" s="43"/>
      <c r="AJ116" s="19" t="s">
        <v>198</v>
      </c>
      <c r="AK116" s="19" t="s">
        <v>185</v>
      </c>
      <c r="AL116" s="19" t="s">
        <v>185</v>
      </c>
      <c r="AM116" s="158" t="s">
        <v>1038</v>
      </c>
      <c r="AN116" s="20">
        <v>182</v>
      </c>
      <c r="AO116" s="20">
        <v>0</v>
      </c>
      <c r="AP116" s="20">
        <v>0</v>
      </c>
      <c r="AQ116" s="20">
        <v>0</v>
      </c>
      <c r="AR116" s="20">
        <v>0</v>
      </c>
      <c r="AS116" s="20">
        <v>7</v>
      </c>
      <c r="AT116" s="20">
        <v>10</v>
      </c>
      <c r="AU116" s="300">
        <f t="shared" si="12"/>
        <v>199</v>
      </c>
      <c r="AV116" s="20">
        <v>190</v>
      </c>
      <c r="AW116" s="20">
        <v>0</v>
      </c>
      <c r="AX116" s="20">
        <v>0</v>
      </c>
      <c r="AY116" s="20">
        <v>0</v>
      </c>
      <c r="AZ116" s="20">
        <v>0</v>
      </c>
      <c r="BA116" s="20">
        <v>7</v>
      </c>
      <c r="BB116" s="20">
        <v>10</v>
      </c>
      <c r="BC116" s="300">
        <f t="shared" si="13"/>
        <v>207</v>
      </c>
      <c r="BD116" s="42">
        <f t="shared" si="14"/>
        <v>8</v>
      </c>
      <c r="BE116" s="42">
        <f t="shared" si="15"/>
        <v>0</v>
      </c>
      <c r="BF116" s="42">
        <f t="shared" si="16"/>
        <v>0</v>
      </c>
      <c r="BG116" s="42">
        <f t="shared" si="17"/>
        <v>0</v>
      </c>
      <c r="BH116" s="42">
        <f t="shared" si="18"/>
        <v>0</v>
      </c>
      <c r="BI116" s="42">
        <f t="shared" si="19"/>
        <v>0</v>
      </c>
      <c r="BJ116" s="42">
        <f t="shared" si="20"/>
        <v>0</v>
      </c>
      <c r="BK116" s="42">
        <f t="shared" si="21"/>
        <v>8</v>
      </c>
    </row>
    <row r="117" spans="1:63" ht="27" customHeight="1">
      <c r="A117" s="11">
        <f t="shared" si="22"/>
        <v>115</v>
      </c>
      <c r="B117" s="12" t="s">
        <v>1039</v>
      </c>
      <c r="C117" s="8">
        <v>1012</v>
      </c>
      <c r="D117" s="60" t="s">
        <v>1040</v>
      </c>
      <c r="E117" s="61" t="s">
        <v>185</v>
      </c>
      <c r="F117" s="62" t="s">
        <v>742</v>
      </c>
      <c r="G117" s="63" t="s">
        <v>1041</v>
      </c>
      <c r="H117" s="13" t="s">
        <v>1042</v>
      </c>
      <c r="I117" s="14" t="s">
        <v>1043</v>
      </c>
      <c r="J117" s="64" t="s">
        <v>173</v>
      </c>
      <c r="K117" s="22">
        <v>34132</v>
      </c>
      <c r="L117" s="66" t="s">
        <v>174</v>
      </c>
      <c r="M117" s="23">
        <v>42167</v>
      </c>
      <c r="N117" s="23"/>
      <c r="O117" s="15" t="s">
        <v>79</v>
      </c>
      <c r="P117" s="16" t="s">
        <v>205</v>
      </c>
      <c r="Q117" s="16" t="s">
        <v>176</v>
      </c>
      <c r="R117" s="15" t="s">
        <v>177</v>
      </c>
      <c r="S117" s="15" t="s">
        <v>722</v>
      </c>
      <c r="T117" s="20"/>
      <c r="U117" s="20"/>
      <c r="V117" s="19" t="s">
        <v>195</v>
      </c>
      <c r="W117" s="19">
        <v>1100</v>
      </c>
      <c r="X117" s="19" t="s">
        <v>404</v>
      </c>
      <c r="Y117" s="61" t="s">
        <v>1044</v>
      </c>
      <c r="Z117" s="70" t="s">
        <v>181</v>
      </c>
      <c r="AA117" s="19"/>
      <c r="AB117" s="19"/>
      <c r="AC117" s="106"/>
      <c r="AD117" s="99"/>
      <c r="AE117" s="106"/>
      <c r="AF117" s="108"/>
      <c r="AG117" s="106"/>
      <c r="AH117" s="43"/>
      <c r="AI117" s="43"/>
      <c r="AJ117" s="19" t="s">
        <v>198</v>
      </c>
      <c r="AK117" s="19" t="s">
        <v>185</v>
      </c>
      <c r="AL117" s="19" t="s">
        <v>198</v>
      </c>
      <c r="AM117" s="158" t="s">
        <v>1045</v>
      </c>
      <c r="AN117" s="20">
        <v>182</v>
      </c>
      <c r="AO117" s="20">
        <v>0</v>
      </c>
      <c r="AP117" s="20">
        <v>0</v>
      </c>
      <c r="AQ117" s="20">
        <v>0</v>
      </c>
      <c r="AR117" s="20">
        <v>0</v>
      </c>
      <c r="AS117" s="20">
        <v>7</v>
      </c>
      <c r="AT117" s="20">
        <v>10</v>
      </c>
      <c r="AU117" s="300">
        <f t="shared" si="12"/>
        <v>199</v>
      </c>
      <c r="AV117" s="20">
        <v>190</v>
      </c>
      <c r="AW117" s="20">
        <v>0</v>
      </c>
      <c r="AX117" s="20">
        <v>0</v>
      </c>
      <c r="AY117" s="20">
        <v>0</v>
      </c>
      <c r="AZ117" s="20">
        <v>0</v>
      </c>
      <c r="BA117" s="20">
        <v>7</v>
      </c>
      <c r="BB117" s="20">
        <v>10</v>
      </c>
      <c r="BC117" s="300">
        <f t="shared" si="13"/>
        <v>207</v>
      </c>
      <c r="BD117" s="42">
        <f t="shared" si="14"/>
        <v>8</v>
      </c>
      <c r="BE117" s="42">
        <f t="shared" si="15"/>
        <v>0</v>
      </c>
      <c r="BF117" s="42">
        <f t="shared" si="16"/>
        <v>0</v>
      </c>
      <c r="BG117" s="42">
        <f t="shared" si="17"/>
        <v>0</v>
      </c>
      <c r="BH117" s="42">
        <f t="shared" si="18"/>
        <v>0</v>
      </c>
      <c r="BI117" s="42">
        <f t="shared" si="19"/>
        <v>0</v>
      </c>
      <c r="BJ117" s="42">
        <f t="shared" si="20"/>
        <v>0</v>
      </c>
      <c r="BK117" s="42">
        <f t="shared" si="21"/>
        <v>8</v>
      </c>
    </row>
    <row r="118" spans="1:63" ht="27" customHeight="1">
      <c r="A118" s="11">
        <f t="shared" si="22"/>
        <v>116</v>
      </c>
      <c r="B118" s="12" t="s">
        <v>1046</v>
      </c>
      <c r="C118" s="8">
        <v>1019</v>
      </c>
      <c r="D118" s="60" t="s">
        <v>1047</v>
      </c>
      <c r="E118" s="61" t="s">
        <v>185</v>
      </c>
      <c r="F118" s="62" t="s">
        <v>1048</v>
      </c>
      <c r="G118" s="63" t="s">
        <v>1049</v>
      </c>
      <c r="H118" s="13" t="s">
        <v>16</v>
      </c>
      <c r="I118" s="14" t="s">
        <v>1050</v>
      </c>
      <c r="J118" s="64" t="s">
        <v>173</v>
      </c>
      <c r="K118" s="22">
        <v>29258</v>
      </c>
      <c r="L118" s="66" t="s">
        <v>174</v>
      </c>
      <c r="M118" s="23">
        <v>42178</v>
      </c>
      <c r="N118" s="23"/>
      <c r="O118" s="15" t="s">
        <v>32</v>
      </c>
      <c r="P118" s="16" t="s">
        <v>222</v>
      </c>
      <c r="Q118" s="16" t="s">
        <v>176</v>
      </c>
      <c r="R118" s="15" t="s">
        <v>177</v>
      </c>
      <c r="S118" s="15" t="s">
        <v>223</v>
      </c>
      <c r="T118" s="20"/>
      <c r="U118" s="20"/>
      <c r="V118" s="19" t="s">
        <v>195</v>
      </c>
      <c r="W118" s="19">
        <v>4049</v>
      </c>
      <c r="X118" s="19">
        <v>5</v>
      </c>
      <c r="Y118" s="61" t="s">
        <v>1051</v>
      </c>
      <c r="Z118" s="19"/>
      <c r="AA118" s="70" t="s">
        <v>181</v>
      </c>
      <c r="AB118" s="19"/>
      <c r="AC118" s="106" t="s">
        <v>509</v>
      </c>
      <c r="AD118" s="99"/>
      <c r="AE118" s="106"/>
      <c r="AF118" s="108"/>
      <c r="AG118" s="106"/>
      <c r="AH118" s="43"/>
      <c r="AI118" s="43"/>
      <c r="AJ118" s="19" t="s">
        <v>198</v>
      </c>
      <c r="AK118" s="19" t="s">
        <v>185</v>
      </c>
      <c r="AL118" s="19" t="s">
        <v>185</v>
      </c>
      <c r="AM118" s="158" t="s">
        <v>1052</v>
      </c>
      <c r="AN118" s="20">
        <v>182</v>
      </c>
      <c r="AO118" s="20">
        <v>5</v>
      </c>
      <c r="AP118" s="20">
        <v>0</v>
      </c>
      <c r="AQ118" s="20">
        <v>0</v>
      </c>
      <c r="AR118" s="20">
        <v>0</v>
      </c>
      <c r="AS118" s="20">
        <v>7</v>
      </c>
      <c r="AT118" s="20">
        <v>10</v>
      </c>
      <c r="AU118" s="300">
        <f t="shared" si="12"/>
        <v>204</v>
      </c>
      <c r="AV118" s="20">
        <v>190</v>
      </c>
      <c r="AW118" s="20">
        <v>5</v>
      </c>
      <c r="AX118" s="20">
        <v>0</v>
      </c>
      <c r="AY118" s="20">
        <v>0</v>
      </c>
      <c r="AZ118" s="20">
        <v>0</v>
      </c>
      <c r="BA118" s="20">
        <v>7</v>
      </c>
      <c r="BB118" s="20">
        <v>10</v>
      </c>
      <c r="BC118" s="300">
        <f t="shared" si="13"/>
        <v>212</v>
      </c>
      <c r="BD118" s="42">
        <f t="shared" si="14"/>
        <v>8</v>
      </c>
      <c r="BE118" s="42">
        <f t="shared" si="15"/>
        <v>0</v>
      </c>
      <c r="BF118" s="42">
        <f t="shared" si="16"/>
        <v>0</v>
      </c>
      <c r="BG118" s="42">
        <f t="shared" si="17"/>
        <v>0</v>
      </c>
      <c r="BH118" s="42">
        <f t="shared" si="18"/>
        <v>0</v>
      </c>
      <c r="BI118" s="42">
        <f t="shared" si="19"/>
        <v>0</v>
      </c>
      <c r="BJ118" s="42">
        <f t="shared" si="20"/>
        <v>0</v>
      </c>
      <c r="BK118" s="42">
        <f t="shared" si="21"/>
        <v>8</v>
      </c>
    </row>
    <row r="119" spans="1:63" ht="27" customHeight="1">
      <c r="A119" s="11">
        <f t="shared" si="22"/>
        <v>117</v>
      </c>
      <c r="B119" s="12" t="s">
        <v>1053</v>
      </c>
      <c r="C119" s="8">
        <v>1026</v>
      </c>
      <c r="D119" s="60" t="s">
        <v>1054</v>
      </c>
      <c r="E119" s="61">
        <v>130004046</v>
      </c>
      <c r="F119" s="62" t="s">
        <v>476</v>
      </c>
      <c r="G119" s="63" t="s">
        <v>1055</v>
      </c>
      <c r="H119" s="13" t="s">
        <v>1056</v>
      </c>
      <c r="I119" s="14" t="s">
        <v>1057</v>
      </c>
      <c r="J119" s="64" t="s">
        <v>173</v>
      </c>
      <c r="K119" s="22">
        <v>30082</v>
      </c>
      <c r="L119" s="66" t="s">
        <v>174</v>
      </c>
      <c r="M119" s="23">
        <v>42187</v>
      </c>
      <c r="N119" s="23"/>
      <c r="O119" s="15" t="s">
        <v>32</v>
      </c>
      <c r="P119" s="16" t="s">
        <v>222</v>
      </c>
      <c r="Q119" s="16" t="s">
        <v>176</v>
      </c>
      <c r="R119" s="15" t="s">
        <v>177</v>
      </c>
      <c r="S119" s="17" t="s">
        <v>251</v>
      </c>
      <c r="T119" s="159"/>
      <c r="U119" s="159"/>
      <c r="V119" s="19" t="s">
        <v>195</v>
      </c>
      <c r="W119" s="19" t="s">
        <v>179</v>
      </c>
      <c r="X119" s="1">
        <v>5</v>
      </c>
      <c r="Y119" s="160" t="s">
        <v>1058</v>
      </c>
      <c r="Z119" s="70" t="s">
        <v>181</v>
      </c>
      <c r="AA119" s="1"/>
      <c r="AB119" s="1"/>
      <c r="AC119" s="161"/>
      <c r="AD119" s="99"/>
      <c r="AE119" s="106"/>
      <c r="AF119" s="108"/>
      <c r="AG119" s="106"/>
      <c r="AH119" s="162"/>
      <c r="AI119" s="162"/>
      <c r="AJ119" s="19" t="s">
        <v>198</v>
      </c>
      <c r="AK119" s="19" t="s">
        <v>185</v>
      </c>
      <c r="AL119" s="19" t="s">
        <v>198</v>
      </c>
      <c r="AM119" s="158" t="s">
        <v>997</v>
      </c>
      <c r="AN119" s="20">
        <v>182</v>
      </c>
      <c r="AO119" s="20">
        <v>5</v>
      </c>
      <c r="AP119" s="20">
        <v>0</v>
      </c>
      <c r="AQ119" s="20">
        <v>0</v>
      </c>
      <c r="AR119" s="20">
        <v>0</v>
      </c>
      <c r="AS119" s="20">
        <v>7</v>
      </c>
      <c r="AT119" s="20">
        <v>10</v>
      </c>
      <c r="AU119" s="300">
        <f t="shared" si="12"/>
        <v>204</v>
      </c>
      <c r="AV119" s="20">
        <v>190</v>
      </c>
      <c r="AW119" s="20">
        <v>5</v>
      </c>
      <c r="AX119" s="20">
        <v>0</v>
      </c>
      <c r="AY119" s="20">
        <v>0</v>
      </c>
      <c r="AZ119" s="20">
        <v>0</v>
      </c>
      <c r="BA119" s="20">
        <v>7</v>
      </c>
      <c r="BB119" s="20">
        <v>10</v>
      </c>
      <c r="BC119" s="300">
        <f t="shared" si="13"/>
        <v>212</v>
      </c>
      <c r="BD119" s="42">
        <f t="shared" si="14"/>
        <v>8</v>
      </c>
      <c r="BE119" s="42">
        <f t="shared" si="15"/>
        <v>0</v>
      </c>
      <c r="BF119" s="42">
        <f t="shared" si="16"/>
        <v>0</v>
      </c>
      <c r="BG119" s="42">
        <f t="shared" si="17"/>
        <v>0</v>
      </c>
      <c r="BH119" s="42">
        <f t="shared" si="18"/>
        <v>0</v>
      </c>
      <c r="BI119" s="42">
        <f t="shared" si="19"/>
        <v>0</v>
      </c>
      <c r="BJ119" s="42">
        <f t="shared" si="20"/>
        <v>0</v>
      </c>
      <c r="BK119" s="42">
        <f t="shared" si="21"/>
        <v>8</v>
      </c>
    </row>
    <row r="120" spans="1:63" ht="27" customHeight="1">
      <c r="A120" s="11">
        <f t="shared" si="22"/>
        <v>118</v>
      </c>
      <c r="B120" s="12" t="s">
        <v>1059</v>
      </c>
      <c r="C120" s="8">
        <v>1031</v>
      </c>
      <c r="D120" s="60" t="s">
        <v>1060</v>
      </c>
      <c r="E120" s="61" t="s">
        <v>185</v>
      </c>
      <c r="F120" s="62" t="s">
        <v>1061</v>
      </c>
      <c r="G120" s="63" t="s">
        <v>1062</v>
      </c>
      <c r="H120" s="13" t="s">
        <v>1063</v>
      </c>
      <c r="I120" s="14" t="s">
        <v>1064</v>
      </c>
      <c r="J120" s="64" t="s">
        <v>173</v>
      </c>
      <c r="K120" s="22">
        <v>29361</v>
      </c>
      <c r="L120" s="66" t="s">
        <v>174</v>
      </c>
      <c r="M120" s="23">
        <v>42187</v>
      </c>
      <c r="N120" s="23"/>
      <c r="O120" s="15" t="s">
        <v>32</v>
      </c>
      <c r="P120" s="16" t="s">
        <v>277</v>
      </c>
      <c r="Q120" s="16" t="s">
        <v>244</v>
      </c>
      <c r="R120" s="15" t="s">
        <v>177</v>
      </c>
      <c r="S120" s="15" t="s">
        <v>722</v>
      </c>
      <c r="T120" s="159"/>
      <c r="U120" s="159"/>
      <c r="V120" s="19" t="s">
        <v>195</v>
      </c>
      <c r="W120" s="19">
        <v>2663</v>
      </c>
      <c r="X120" s="1">
        <v>3</v>
      </c>
      <c r="Y120" s="160" t="s">
        <v>1065</v>
      </c>
      <c r="Z120" s="1"/>
      <c r="AA120" s="70" t="s">
        <v>181</v>
      </c>
      <c r="AB120" s="1"/>
      <c r="AC120" s="161" t="s">
        <v>197</v>
      </c>
      <c r="AD120" s="99"/>
      <c r="AE120" s="106"/>
      <c r="AF120" s="108"/>
      <c r="AG120" s="106"/>
      <c r="AH120" s="162"/>
      <c r="AI120" s="162"/>
      <c r="AJ120" s="19" t="s">
        <v>198</v>
      </c>
      <c r="AK120" s="19" t="s">
        <v>185</v>
      </c>
      <c r="AL120" s="19" t="s">
        <v>198</v>
      </c>
      <c r="AM120" s="158" t="s">
        <v>1066</v>
      </c>
      <c r="AN120" s="20">
        <v>182</v>
      </c>
      <c r="AO120" s="20">
        <v>5</v>
      </c>
      <c r="AP120" s="20">
        <v>20</v>
      </c>
      <c r="AQ120" s="20">
        <v>0</v>
      </c>
      <c r="AR120" s="20">
        <v>0</v>
      </c>
      <c r="AS120" s="20">
        <v>7</v>
      </c>
      <c r="AT120" s="20">
        <v>10</v>
      </c>
      <c r="AU120" s="300">
        <f t="shared" si="12"/>
        <v>224</v>
      </c>
      <c r="AV120" s="20">
        <v>190</v>
      </c>
      <c r="AW120" s="20">
        <v>5</v>
      </c>
      <c r="AX120" s="20">
        <v>20</v>
      </c>
      <c r="AY120" s="20">
        <v>0</v>
      </c>
      <c r="AZ120" s="20">
        <v>0</v>
      </c>
      <c r="BA120" s="20">
        <v>7</v>
      </c>
      <c r="BB120" s="20">
        <v>10</v>
      </c>
      <c r="BC120" s="300">
        <f t="shared" si="13"/>
        <v>232</v>
      </c>
      <c r="BD120" s="42">
        <f t="shared" si="14"/>
        <v>8</v>
      </c>
      <c r="BE120" s="42">
        <f t="shared" si="15"/>
        <v>0</v>
      </c>
      <c r="BF120" s="42">
        <f t="shared" si="16"/>
        <v>0</v>
      </c>
      <c r="BG120" s="42">
        <f t="shared" si="17"/>
        <v>0</v>
      </c>
      <c r="BH120" s="42">
        <f t="shared" si="18"/>
        <v>0</v>
      </c>
      <c r="BI120" s="42">
        <f t="shared" si="19"/>
        <v>0</v>
      </c>
      <c r="BJ120" s="42">
        <f t="shared" si="20"/>
        <v>0</v>
      </c>
      <c r="BK120" s="42">
        <f t="shared" si="21"/>
        <v>8</v>
      </c>
    </row>
    <row r="121" spans="1:63" ht="27" customHeight="1">
      <c r="A121" s="11">
        <f t="shared" si="22"/>
        <v>119</v>
      </c>
      <c r="B121" s="8" t="s">
        <v>1067</v>
      </c>
      <c r="C121" s="8">
        <v>1036</v>
      </c>
      <c r="D121" s="75" t="s">
        <v>1068</v>
      </c>
      <c r="E121" s="69">
        <v>130156314</v>
      </c>
      <c r="F121" s="62" t="s">
        <v>1069</v>
      </c>
      <c r="G121" s="63" t="s">
        <v>1070</v>
      </c>
      <c r="H121" s="13" t="s">
        <v>1071</v>
      </c>
      <c r="I121" s="14" t="s">
        <v>1072</v>
      </c>
      <c r="J121" s="64" t="s">
        <v>173</v>
      </c>
      <c r="K121" s="22">
        <v>31144</v>
      </c>
      <c r="L121" s="77" t="s">
        <v>174</v>
      </c>
      <c r="M121" s="154">
        <v>42192</v>
      </c>
      <c r="N121" s="154"/>
      <c r="O121" s="17" t="s">
        <v>32</v>
      </c>
      <c r="P121" s="16" t="s">
        <v>381</v>
      </c>
      <c r="Q121" s="16" t="s">
        <v>176</v>
      </c>
      <c r="R121" s="17" t="s">
        <v>177</v>
      </c>
      <c r="S121" s="17" t="s">
        <v>251</v>
      </c>
      <c r="T121" s="18"/>
      <c r="U121" s="18"/>
      <c r="V121" s="68" t="s">
        <v>195</v>
      </c>
      <c r="W121" s="68" t="s">
        <v>179</v>
      </c>
      <c r="X121" s="68">
        <v>5</v>
      </c>
      <c r="Y121" s="69" t="s">
        <v>179</v>
      </c>
      <c r="Z121" s="68"/>
      <c r="AA121" s="78" t="s">
        <v>181</v>
      </c>
      <c r="AB121" s="68"/>
      <c r="AC121" s="163" t="s">
        <v>197</v>
      </c>
      <c r="AD121" s="164" t="s">
        <v>184</v>
      </c>
      <c r="AE121" s="163" t="s">
        <v>183</v>
      </c>
      <c r="AF121" s="165"/>
      <c r="AG121" s="166"/>
      <c r="AH121" s="79"/>
      <c r="AI121" s="79"/>
      <c r="AJ121" s="68" t="s">
        <v>198</v>
      </c>
      <c r="AK121" s="68" t="s">
        <v>185</v>
      </c>
      <c r="AL121" s="68" t="s">
        <v>198</v>
      </c>
      <c r="AM121" s="158" t="s">
        <v>1073</v>
      </c>
      <c r="AN121" s="20">
        <v>182</v>
      </c>
      <c r="AO121" s="20">
        <v>5</v>
      </c>
      <c r="AP121" s="20">
        <v>0</v>
      </c>
      <c r="AQ121" s="20">
        <v>0</v>
      </c>
      <c r="AR121" s="20">
        <v>0</v>
      </c>
      <c r="AS121" s="20">
        <v>7</v>
      </c>
      <c r="AT121" s="20">
        <v>10</v>
      </c>
      <c r="AU121" s="300">
        <f t="shared" si="12"/>
        <v>204</v>
      </c>
      <c r="AV121" s="20">
        <v>190</v>
      </c>
      <c r="AW121" s="20">
        <v>5</v>
      </c>
      <c r="AX121" s="20">
        <v>0</v>
      </c>
      <c r="AY121" s="20">
        <v>0</v>
      </c>
      <c r="AZ121" s="20">
        <v>0</v>
      </c>
      <c r="BA121" s="20">
        <v>7</v>
      </c>
      <c r="BB121" s="20">
        <v>10</v>
      </c>
      <c r="BC121" s="300">
        <f t="shared" si="13"/>
        <v>212</v>
      </c>
      <c r="BD121" s="42">
        <f t="shared" si="14"/>
        <v>8</v>
      </c>
      <c r="BE121" s="42">
        <f t="shared" si="15"/>
        <v>0</v>
      </c>
      <c r="BF121" s="42">
        <f t="shared" si="16"/>
        <v>0</v>
      </c>
      <c r="BG121" s="42">
        <f t="shared" si="17"/>
        <v>0</v>
      </c>
      <c r="BH121" s="42">
        <f t="shared" si="18"/>
        <v>0</v>
      </c>
      <c r="BI121" s="42">
        <f t="shared" si="19"/>
        <v>0</v>
      </c>
      <c r="BJ121" s="42">
        <f t="shared" si="20"/>
        <v>0</v>
      </c>
      <c r="BK121" s="42">
        <f t="shared" si="21"/>
        <v>8</v>
      </c>
    </row>
    <row r="122" spans="1:63" ht="27" customHeight="1">
      <c r="A122" s="11">
        <f t="shared" si="22"/>
        <v>120</v>
      </c>
      <c r="B122" s="12" t="s">
        <v>1074</v>
      </c>
      <c r="C122" s="8">
        <v>1038</v>
      </c>
      <c r="D122" s="60" t="s">
        <v>1075</v>
      </c>
      <c r="E122" s="61">
        <v>50471510</v>
      </c>
      <c r="F122" s="62" t="s">
        <v>1076</v>
      </c>
      <c r="G122" s="63" t="s">
        <v>1077</v>
      </c>
      <c r="H122" s="13" t="s">
        <v>1078</v>
      </c>
      <c r="I122" s="14" t="s">
        <v>1079</v>
      </c>
      <c r="J122" s="64" t="s">
        <v>173</v>
      </c>
      <c r="K122" s="22">
        <v>32212</v>
      </c>
      <c r="L122" s="66" t="s">
        <v>174</v>
      </c>
      <c r="M122" s="23">
        <v>42192</v>
      </c>
      <c r="N122" s="23"/>
      <c r="O122" s="15" t="s">
        <v>32</v>
      </c>
      <c r="P122" s="16" t="s">
        <v>1080</v>
      </c>
      <c r="Q122" s="16" t="s">
        <v>176</v>
      </c>
      <c r="R122" s="15" t="s">
        <v>177</v>
      </c>
      <c r="S122" s="11" t="s">
        <v>214</v>
      </c>
      <c r="T122" s="159"/>
      <c r="U122" s="159"/>
      <c r="V122" s="19" t="s">
        <v>195</v>
      </c>
      <c r="W122" s="19" t="s">
        <v>179</v>
      </c>
      <c r="X122" s="1">
        <v>6</v>
      </c>
      <c r="Y122" s="160" t="s">
        <v>1081</v>
      </c>
      <c r="Z122" s="1"/>
      <c r="AA122" s="70" t="s">
        <v>181</v>
      </c>
      <c r="AB122" s="1"/>
      <c r="AC122" s="161" t="s">
        <v>197</v>
      </c>
      <c r="AD122" s="99"/>
      <c r="AE122" s="106"/>
      <c r="AF122" s="108"/>
      <c r="AG122" s="106"/>
      <c r="AH122" s="162"/>
      <c r="AI122" s="162"/>
      <c r="AJ122" s="19" t="s">
        <v>198</v>
      </c>
      <c r="AK122" s="19" t="s">
        <v>185</v>
      </c>
      <c r="AL122" s="19" t="s">
        <v>185</v>
      </c>
      <c r="AM122" s="158" t="s">
        <v>1082</v>
      </c>
      <c r="AN122" s="20">
        <v>182</v>
      </c>
      <c r="AO122" s="20">
        <v>5</v>
      </c>
      <c r="AP122" s="20">
        <v>0</v>
      </c>
      <c r="AQ122" s="20">
        <v>0</v>
      </c>
      <c r="AR122" s="20">
        <v>0</v>
      </c>
      <c r="AS122" s="20">
        <v>7</v>
      </c>
      <c r="AT122" s="20">
        <v>10</v>
      </c>
      <c r="AU122" s="300">
        <f t="shared" si="12"/>
        <v>204</v>
      </c>
      <c r="AV122" s="20">
        <v>190</v>
      </c>
      <c r="AW122" s="20">
        <v>5</v>
      </c>
      <c r="AX122" s="20">
        <v>0</v>
      </c>
      <c r="AY122" s="20">
        <v>0</v>
      </c>
      <c r="AZ122" s="20">
        <v>0</v>
      </c>
      <c r="BA122" s="20">
        <v>7</v>
      </c>
      <c r="BB122" s="20">
        <v>10</v>
      </c>
      <c r="BC122" s="300">
        <f t="shared" si="13"/>
        <v>212</v>
      </c>
      <c r="BD122" s="42">
        <f t="shared" si="14"/>
        <v>8</v>
      </c>
      <c r="BE122" s="42">
        <f t="shared" si="15"/>
        <v>0</v>
      </c>
      <c r="BF122" s="42">
        <f t="shared" si="16"/>
        <v>0</v>
      </c>
      <c r="BG122" s="42">
        <f t="shared" si="17"/>
        <v>0</v>
      </c>
      <c r="BH122" s="42">
        <f t="shared" si="18"/>
        <v>0</v>
      </c>
      <c r="BI122" s="42">
        <f t="shared" si="19"/>
        <v>0</v>
      </c>
      <c r="BJ122" s="42">
        <f t="shared" si="20"/>
        <v>0</v>
      </c>
      <c r="BK122" s="42">
        <f t="shared" si="21"/>
        <v>8</v>
      </c>
    </row>
    <row r="123" spans="1:63" ht="27" customHeight="1">
      <c r="A123" s="11">
        <f t="shared" si="22"/>
        <v>121</v>
      </c>
      <c r="B123" s="132" t="s">
        <v>1083</v>
      </c>
      <c r="C123" s="132">
        <v>1057</v>
      </c>
      <c r="D123" s="133" t="s">
        <v>1084</v>
      </c>
      <c r="E123" s="134">
        <v>60862031</v>
      </c>
      <c r="F123" s="135" t="s">
        <v>1085</v>
      </c>
      <c r="G123" s="136" t="s">
        <v>1086</v>
      </c>
      <c r="H123" s="137" t="s">
        <v>1087</v>
      </c>
      <c r="I123" s="138" t="s">
        <v>1088</v>
      </c>
      <c r="J123" s="139" t="s">
        <v>173</v>
      </c>
      <c r="K123" s="140">
        <v>32393</v>
      </c>
      <c r="L123" s="141" t="s">
        <v>174</v>
      </c>
      <c r="M123" s="142">
        <v>42209</v>
      </c>
      <c r="N123" s="142"/>
      <c r="O123" s="143" t="s">
        <v>32</v>
      </c>
      <c r="P123" s="16" t="s">
        <v>304</v>
      </c>
      <c r="Q123" s="16" t="s">
        <v>176</v>
      </c>
      <c r="R123" s="143" t="s">
        <v>177</v>
      </c>
      <c r="S123" s="17" t="s">
        <v>178</v>
      </c>
      <c r="T123" s="144"/>
      <c r="U123" s="144"/>
      <c r="V123" s="145" t="s">
        <v>195</v>
      </c>
      <c r="W123" s="145" t="s">
        <v>179</v>
      </c>
      <c r="X123" s="145">
        <v>7</v>
      </c>
      <c r="Y123" s="134" t="s">
        <v>1089</v>
      </c>
      <c r="Z123" s="145"/>
      <c r="AA123" s="146" t="s">
        <v>181</v>
      </c>
      <c r="AB123" s="145"/>
      <c r="AC123" s="167" t="s">
        <v>1090</v>
      </c>
      <c r="AD123" s="168"/>
      <c r="AE123" s="147"/>
      <c r="AF123" s="148"/>
      <c r="AG123" s="147"/>
      <c r="AH123" s="149"/>
      <c r="AI123" s="149"/>
      <c r="AJ123" s="145" t="s">
        <v>198</v>
      </c>
      <c r="AK123" s="145" t="s">
        <v>185</v>
      </c>
      <c r="AL123" s="145" t="s">
        <v>185</v>
      </c>
      <c r="AM123" s="150" t="s">
        <v>1091</v>
      </c>
      <c r="AN123" s="20">
        <v>182</v>
      </c>
      <c r="AO123" s="20">
        <v>5</v>
      </c>
      <c r="AP123" s="20">
        <v>0</v>
      </c>
      <c r="AQ123" s="20">
        <v>0</v>
      </c>
      <c r="AR123" s="20">
        <v>0</v>
      </c>
      <c r="AS123" s="20">
        <v>7</v>
      </c>
      <c r="AT123" s="20">
        <v>10</v>
      </c>
      <c r="AU123" s="300">
        <f t="shared" si="12"/>
        <v>204</v>
      </c>
      <c r="AV123" s="20">
        <v>190</v>
      </c>
      <c r="AW123" s="20">
        <v>5</v>
      </c>
      <c r="AX123" s="20">
        <v>0</v>
      </c>
      <c r="AY123" s="20">
        <v>0</v>
      </c>
      <c r="AZ123" s="20">
        <v>0</v>
      </c>
      <c r="BA123" s="20">
        <v>7</v>
      </c>
      <c r="BB123" s="20">
        <v>10</v>
      </c>
      <c r="BC123" s="300">
        <f t="shared" si="13"/>
        <v>212</v>
      </c>
      <c r="BD123" s="42">
        <f t="shared" si="14"/>
        <v>8</v>
      </c>
      <c r="BE123" s="42">
        <f t="shared" si="15"/>
        <v>0</v>
      </c>
      <c r="BF123" s="42">
        <f t="shared" si="16"/>
        <v>0</v>
      </c>
      <c r="BG123" s="42">
        <f t="shared" si="17"/>
        <v>0</v>
      </c>
      <c r="BH123" s="42">
        <f t="shared" si="18"/>
        <v>0</v>
      </c>
      <c r="BI123" s="42">
        <f t="shared" si="19"/>
        <v>0</v>
      </c>
      <c r="BJ123" s="42">
        <f t="shared" si="20"/>
        <v>0</v>
      </c>
      <c r="BK123" s="42">
        <f t="shared" si="21"/>
        <v>8</v>
      </c>
    </row>
    <row r="124" spans="1:63" ht="27" customHeight="1">
      <c r="A124" s="11">
        <f t="shared" si="22"/>
        <v>122</v>
      </c>
      <c r="B124" s="12" t="s">
        <v>1092</v>
      </c>
      <c r="C124" s="8">
        <v>1063</v>
      </c>
      <c r="D124" s="60" t="s">
        <v>1093</v>
      </c>
      <c r="E124" s="61" t="s">
        <v>185</v>
      </c>
      <c r="F124" s="62" t="s">
        <v>1094</v>
      </c>
      <c r="G124" s="63" t="s">
        <v>408</v>
      </c>
      <c r="H124" s="13" t="s">
        <v>1095</v>
      </c>
      <c r="I124" s="14" t="s">
        <v>1096</v>
      </c>
      <c r="J124" s="64" t="s">
        <v>173</v>
      </c>
      <c r="K124" s="22">
        <v>31899</v>
      </c>
      <c r="L124" s="66" t="s">
        <v>174</v>
      </c>
      <c r="M124" s="23">
        <v>42219</v>
      </c>
      <c r="N124" s="23"/>
      <c r="O124" s="15" t="s">
        <v>24</v>
      </c>
      <c r="P124" s="16" t="s">
        <v>25</v>
      </c>
      <c r="Q124" s="16" t="s">
        <v>176</v>
      </c>
      <c r="R124" s="15" t="s">
        <v>177</v>
      </c>
      <c r="S124" s="15" t="s">
        <v>223</v>
      </c>
      <c r="T124" s="159"/>
      <c r="U124" s="159"/>
      <c r="V124" s="19" t="s">
        <v>195</v>
      </c>
      <c r="W124" s="19">
        <v>45</v>
      </c>
      <c r="X124" s="1">
        <v>7</v>
      </c>
      <c r="Y124" s="160" t="s">
        <v>1097</v>
      </c>
      <c r="Z124" s="1"/>
      <c r="AA124" s="70" t="s">
        <v>181</v>
      </c>
      <c r="AB124" s="1"/>
      <c r="AC124" s="161" t="s">
        <v>366</v>
      </c>
      <c r="AD124" s="99" t="s">
        <v>183</v>
      </c>
      <c r="AE124" s="99" t="s">
        <v>184</v>
      </c>
      <c r="AF124" s="108"/>
      <c r="AG124" s="106"/>
      <c r="AH124" s="162"/>
      <c r="AI124" s="162"/>
      <c r="AJ124" s="19" t="s">
        <v>198</v>
      </c>
      <c r="AK124" s="19" t="s">
        <v>185</v>
      </c>
      <c r="AL124" s="19" t="s">
        <v>185</v>
      </c>
      <c r="AM124" s="158" t="s">
        <v>985</v>
      </c>
      <c r="AN124" s="20">
        <v>182</v>
      </c>
      <c r="AO124" s="20">
        <v>5</v>
      </c>
      <c r="AP124" s="20">
        <v>0</v>
      </c>
      <c r="AQ124" s="20">
        <v>0</v>
      </c>
      <c r="AR124" s="20">
        <v>0</v>
      </c>
      <c r="AS124" s="20">
        <v>7</v>
      </c>
      <c r="AT124" s="20">
        <v>10</v>
      </c>
      <c r="AU124" s="300">
        <f t="shared" si="12"/>
        <v>204</v>
      </c>
      <c r="AV124" s="20">
        <v>190</v>
      </c>
      <c r="AW124" s="20">
        <v>5</v>
      </c>
      <c r="AX124" s="20">
        <v>0</v>
      </c>
      <c r="AY124" s="20">
        <v>0</v>
      </c>
      <c r="AZ124" s="20">
        <v>0</v>
      </c>
      <c r="BA124" s="20">
        <v>7</v>
      </c>
      <c r="BB124" s="20">
        <v>10</v>
      </c>
      <c r="BC124" s="300">
        <f t="shared" si="13"/>
        <v>212</v>
      </c>
      <c r="BD124" s="42">
        <f t="shared" si="14"/>
        <v>8</v>
      </c>
      <c r="BE124" s="42">
        <f t="shared" si="15"/>
        <v>0</v>
      </c>
      <c r="BF124" s="42">
        <f t="shared" si="16"/>
        <v>0</v>
      </c>
      <c r="BG124" s="42">
        <f t="shared" si="17"/>
        <v>0</v>
      </c>
      <c r="BH124" s="42">
        <f t="shared" si="18"/>
        <v>0</v>
      </c>
      <c r="BI124" s="42">
        <f t="shared" si="19"/>
        <v>0</v>
      </c>
      <c r="BJ124" s="42">
        <f t="shared" si="20"/>
        <v>0</v>
      </c>
      <c r="BK124" s="42">
        <f t="shared" si="21"/>
        <v>8</v>
      </c>
    </row>
    <row r="125" spans="1:63" ht="27" customHeight="1">
      <c r="A125" s="11">
        <f t="shared" si="22"/>
        <v>123</v>
      </c>
      <c r="B125" s="12" t="s">
        <v>1098</v>
      </c>
      <c r="C125" s="8">
        <v>1122</v>
      </c>
      <c r="D125" s="60" t="s">
        <v>1099</v>
      </c>
      <c r="E125" s="61" t="s">
        <v>185</v>
      </c>
      <c r="F125" s="62" t="s">
        <v>1100</v>
      </c>
      <c r="G125" s="63" t="s">
        <v>1101</v>
      </c>
      <c r="H125" s="13" t="s">
        <v>1102</v>
      </c>
      <c r="I125" s="14" t="s">
        <v>1103</v>
      </c>
      <c r="J125" s="64" t="s">
        <v>173</v>
      </c>
      <c r="K125" s="22">
        <v>27900</v>
      </c>
      <c r="L125" s="66" t="s">
        <v>174</v>
      </c>
      <c r="M125" s="23">
        <v>42257</v>
      </c>
      <c r="N125" s="23"/>
      <c r="O125" s="15" t="s">
        <v>24</v>
      </c>
      <c r="P125" s="16" t="s">
        <v>25</v>
      </c>
      <c r="Q125" s="16" t="s">
        <v>176</v>
      </c>
      <c r="R125" s="15" t="s">
        <v>177</v>
      </c>
      <c r="S125" s="11" t="s">
        <v>1104</v>
      </c>
      <c r="T125" s="159"/>
      <c r="U125" s="159"/>
      <c r="V125" s="19" t="s">
        <v>195</v>
      </c>
      <c r="W125" s="19">
        <v>82</v>
      </c>
      <c r="X125" s="1">
        <v>6</v>
      </c>
      <c r="Y125" s="61" t="s">
        <v>179</v>
      </c>
      <c r="Z125" s="70"/>
      <c r="AA125" s="70" t="s">
        <v>181</v>
      </c>
      <c r="AB125" s="1"/>
      <c r="AC125" s="161" t="s">
        <v>1105</v>
      </c>
      <c r="AD125" s="99"/>
      <c r="AE125" s="99"/>
      <c r="AF125" s="108"/>
      <c r="AG125" s="106"/>
      <c r="AH125" s="162"/>
      <c r="AI125" s="162"/>
      <c r="AJ125" s="19" t="s">
        <v>198</v>
      </c>
      <c r="AK125" s="19" t="s">
        <v>185</v>
      </c>
      <c r="AL125" s="19" t="s">
        <v>198</v>
      </c>
      <c r="AM125" s="158" t="s">
        <v>1106</v>
      </c>
      <c r="AN125" s="20">
        <v>182</v>
      </c>
      <c r="AO125" s="20">
        <v>5</v>
      </c>
      <c r="AP125" s="20">
        <v>0</v>
      </c>
      <c r="AQ125" s="20">
        <v>0</v>
      </c>
      <c r="AR125" s="20">
        <v>0</v>
      </c>
      <c r="AS125" s="20">
        <v>7</v>
      </c>
      <c r="AT125" s="20">
        <v>10</v>
      </c>
      <c r="AU125" s="300">
        <f t="shared" si="12"/>
        <v>204</v>
      </c>
      <c r="AV125" s="20">
        <v>190</v>
      </c>
      <c r="AW125" s="20">
        <v>5</v>
      </c>
      <c r="AX125" s="20">
        <v>0</v>
      </c>
      <c r="AY125" s="20">
        <v>0</v>
      </c>
      <c r="AZ125" s="20">
        <v>0</v>
      </c>
      <c r="BA125" s="20">
        <v>7</v>
      </c>
      <c r="BB125" s="20">
        <v>10</v>
      </c>
      <c r="BC125" s="300">
        <f t="shared" si="13"/>
        <v>212</v>
      </c>
      <c r="BD125" s="42">
        <f t="shared" si="14"/>
        <v>8</v>
      </c>
      <c r="BE125" s="42">
        <f t="shared" si="15"/>
        <v>0</v>
      </c>
      <c r="BF125" s="42">
        <f t="shared" si="16"/>
        <v>0</v>
      </c>
      <c r="BG125" s="42">
        <f t="shared" si="17"/>
        <v>0</v>
      </c>
      <c r="BH125" s="42">
        <f t="shared" si="18"/>
        <v>0</v>
      </c>
      <c r="BI125" s="42">
        <f t="shared" si="19"/>
        <v>0</v>
      </c>
      <c r="BJ125" s="42">
        <f t="shared" si="20"/>
        <v>0</v>
      </c>
      <c r="BK125" s="42">
        <f t="shared" si="21"/>
        <v>8</v>
      </c>
    </row>
    <row r="126" spans="1:63" ht="27" customHeight="1">
      <c r="A126" s="11">
        <f t="shared" si="22"/>
        <v>124</v>
      </c>
      <c r="B126" s="12" t="s">
        <v>1107</v>
      </c>
      <c r="C126" s="8">
        <v>1128</v>
      </c>
      <c r="D126" s="60" t="s">
        <v>1108</v>
      </c>
      <c r="E126" s="61">
        <v>40264896</v>
      </c>
      <c r="F126" s="62" t="s">
        <v>1109</v>
      </c>
      <c r="G126" s="63" t="s">
        <v>1110</v>
      </c>
      <c r="H126" s="13" t="s">
        <v>1111</v>
      </c>
      <c r="I126" s="14" t="s">
        <v>1112</v>
      </c>
      <c r="J126" s="64" t="s">
        <v>173</v>
      </c>
      <c r="K126" s="22">
        <v>31755</v>
      </c>
      <c r="L126" s="66" t="s">
        <v>174</v>
      </c>
      <c r="M126" s="23">
        <v>42262</v>
      </c>
      <c r="N126" s="23"/>
      <c r="O126" s="15" t="s">
        <v>32</v>
      </c>
      <c r="P126" s="16" t="s">
        <v>397</v>
      </c>
      <c r="Q126" s="16" t="s">
        <v>176</v>
      </c>
      <c r="R126" s="15" t="s">
        <v>177</v>
      </c>
      <c r="S126" s="11" t="s">
        <v>1113</v>
      </c>
      <c r="T126" s="159"/>
      <c r="U126" s="159"/>
      <c r="V126" s="19" t="s">
        <v>195</v>
      </c>
      <c r="W126" s="19" t="s">
        <v>179</v>
      </c>
      <c r="X126" s="1">
        <v>12</v>
      </c>
      <c r="Y126" s="160" t="s">
        <v>1114</v>
      </c>
      <c r="Z126" s="70"/>
      <c r="AA126" s="70" t="s">
        <v>181</v>
      </c>
      <c r="AB126" s="1"/>
      <c r="AC126" s="161" t="s">
        <v>420</v>
      </c>
      <c r="AD126" s="99"/>
      <c r="AE126" s="99"/>
      <c r="AF126" s="108"/>
      <c r="AG126" s="106"/>
      <c r="AH126" s="162"/>
      <c r="AI126" s="162"/>
      <c r="AJ126" s="19" t="s">
        <v>198</v>
      </c>
      <c r="AK126" s="19" t="s">
        <v>185</v>
      </c>
      <c r="AL126" s="19" t="s">
        <v>198</v>
      </c>
      <c r="AM126" s="158" t="s">
        <v>1115</v>
      </c>
      <c r="AN126" s="20">
        <v>182</v>
      </c>
      <c r="AO126" s="20">
        <v>5</v>
      </c>
      <c r="AP126" s="20">
        <v>0</v>
      </c>
      <c r="AQ126" s="20">
        <v>10</v>
      </c>
      <c r="AR126" s="20">
        <v>0</v>
      </c>
      <c r="AS126" s="20">
        <v>7</v>
      </c>
      <c r="AT126" s="20">
        <v>10</v>
      </c>
      <c r="AU126" s="300">
        <f t="shared" si="12"/>
        <v>214</v>
      </c>
      <c r="AV126" s="20">
        <v>190</v>
      </c>
      <c r="AW126" s="20">
        <v>5</v>
      </c>
      <c r="AX126" s="20">
        <v>0</v>
      </c>
      <c r="AY126" s="20">
        <v>10</v>
      </c>
      <c r="AZ126" s="20">
        <v>0</v>
      </c>
      <c r="BA126" s="20">
        <v>7</v>
      </c>
      <c r="BB126" s="20">
        <v>10</v>
      </c>
      <c r="BC126" s="300">
        <f t="shared" si="13"/>
        <v>222</v>
      </c>
      <c r="BD126" s="42">
        <f t="shared" si="14"/>
        <v>8</v>
      </c>
      <c r="BE126" s="42">
        <f t="shared" si="15"/>
        <v>0</v>
      </c>
      <c r="BF126" s="42">
        <f t="shared" si="16"/>
        <v>0</v>
      </c>
      <c r="BG126" s="42">
        <f t="shared" si="17"/>
        <v>0</v>
      </c>
      <c r="BH126" s="42">
        <f t="shared" si="18"/>
        <v>0</v>
      </c>
      <c r="BI126" s="42">
        <f t="shared" si="19"/>
        <v>0</v>
      </c>
      <c r="BJ126" s="42">
        <f t="shared" si="20"/>
        <v>0</v>
      </c>
      <c r="BK126" s="42">
        <f t="shared" si="21"/>
        <v>8</v>
      </c>
    </row>
    <row r="127" spans="1:63" ht="27" customHeight="1">
      <c r="A127" s="11">
        <f t="shared" si="22"/>
        <v>125</v>
      </c>
      <c r="B127" s="12" t="s">
        <v>1116</v>
      </c>
      <c r="C127" s="8">
        <v>1130</v>
      </c>
      <c r="D127" s="60" t="s">
        <v>1117</v>
      </c>
      <c r="E127" s="61">
        <v>100687759</v>
      </c>
      <c r="F127" s="90" t="s">
        <v>1118</v>
      </c>
      <c r="G127" s="91" t="s">
        <v>1119</v>
      </c>
      <c r="H127" s="24" t="s">
        <v>1120</v>
      </c>
      <c r="I127" s="25" t="s">
        <v>1121</v>
      </c>
      <c r="J127" s="82" t="s">
        <v>173</v>
      </c>
      <c r="K127" s="26">
        <v>29835</v>
      </c>
      <c r="L127" s="66" t="s">
        <v>174</v>
      </c>
      <c r="M127" s="23">
        <v>42262</v>
      </c>
      <c r="N127" s="23"/>
      <c r="O127" s="15" t="s">
        <v>32</v>
      </c>
      <c r="P127" s="16" t="s">
        <v>1080</v>
      </c>
      <c r="Q127" s="16" t="s">
        <v>176</v>
      </c>
      <c r="R127" s="15" t="s">
        <v>177</v>
      </c>
      <c r="S127" s="17" t="s">
        <v>206</v>
      </c>
      <c r="T127" s="159"/>
      <c r="U127" s="159"/>
      <c r="V127" s="19" t="s">
        <v>195</v>
      </c>
      <c r="W127" s="19" t="s">
        <v>179</v>
      </c>
      <c r="X127" s="1">
        <v>8</v>
      </c>
      <c r="Y127" s="160" t="s">
        <v>1122</v>
      </c>
      <c r="Z127" s="70" t="s">
        <v>181</v>
      </c>
      <c r="AA127" s="70"/>
      <c r="AB127" s="1"/>
      <c r="AC127" s="161"/>
      <c r="AD127" s="99"/>
      <c r="AE127" s="99"/>
      <c r="AF127" s="108"/>
      <c r="AG127" s="106"/>
      <c r="AH127" s="162"/>
      <c r="AI127" s="162"/>
      <c r="AJ127" s="19" t="s">
        <v>198</v>
      </c>
      <c r="AK127" s="19" t="s">
        <v>185</v>
      </c>
      <c r="AL127" s="19" t="s">
        <v>198</v>
      </c>
      <c r="AM127" s="158" t="s">
        <v>1123</v>
      </c>
      <c r="AN127" s="20">
        <v>182</v>
      </c>
      <c r="AO127" s="20">
        <v>5</v>
      </c>
      <c r="AP127" s="20">
        <v>0</v>
      </c>
      <c r="AQ127" s="20">
        <v>0</v>
      </c>
      <c r="AR127" s="20">
        <v>0</v>
      </c>
      <c r="AS127" s="20">
        <v>7</v>
      </c>
      <c r="AT127" s="20">
        <v>10</v>
      </c>
      <c r="AU127" s="300">
        <f t="shared" si="12"/>
        <v>204</v>
      </c>
      <c r="AV127" s="20">
        <v>190</v>
      </c>
      <c r="AW127" s="20">
        <v>5</v>
      </c>
      <c r="AX127" s="20">
        <v>0</v>
      </c>
      <c r="AY127" s="20">
        <v>0</v>
      </c>
      <c r="AZ127" s="20">
        <v>0</v>
      </c>
      <c r="BA127" s="20">
        <v>7</v>
      </c>
      <c r="BB127" s="20">
        <v>10</v>
      </c>
      <c r="BC127" s="300">
        <f t="shared" si="13"/>
        <v>212</v>
      </c>
      <c r="BD127" s="42">
        <f t="shared" si="14"/>
        <v>8</v>
      </c>
      <c r="BE127" s="42">
        <f t="shared" si="15"/>
        <v>0</v>
      </c>
      <c r="BF127" s="42">
        <f t="shared" si="16"/>
        <v>0</v>
      </c>
      <c r="BG127" s="42">
        <f t="shared" si="17"/>
        <v>0</v>
      </c>
      <c r="BH127" s="42">
        <f t="shared" si="18"/>
        <v>0</v>
      </c>
      <c r="BI127" s="42">
        <f t="shared" si="19"/>
        <v>0</v>
      </c>
      <c r="BJ127" s="42">
        <f t="shared" si="20"/>
        <v>0</v>
      </c>
      <c r="BK127" s="42">
        <f t="shared" si="21"/>
        <v>8</v>
      </c>
    </row>
    <row r="128" spans="1:63" ht="27" customHeight="1">
      <c r="A128" s="11">
        <f t="shared" si="22"/>
        <v>126</v>
      </c>
      <c r="B128" s="12" t="s">
        <v>1124</v>
      </c>
      <c r="C128" s="8">
        <v>1152</v>
      </c>
      <c r="D128" s="60" t="s">
        <v>1125</v>
      </c>
      <c r="E128" s="61">
        <v>130013922</v>
      </c>
      <c r="F128" s="62" t="s">
        <v>1126</v>
      </c>
      <c r="G128" s="63" t="s">
        <v>1127</v>
      </c>
      <c r="H128" s="13" t="s">
        <v>1128</v>
      </c>
      <c r="I128" s="14" t="s">
        <v>1129</v>
      </c>
      <c r="J128" s="64" t="s">
        <v>173</v>
      </c>
      <c r="K128" s="22">
        <v>29978</v>
      </c>
      <c r="L128" s="77" t="s">
        <v>174</v>
      </c>
      <c r="M128" s="154">
        <v>42272</v>
      </c>
      <c r="N128" s="154"/>
      <c r="O128" s="17" t="s">
        <v>32</v>
      </c>
      <c r="P128" s="16" t="s">
        <v>1080</v>
      </c>
      <c r="Q128" s="16" t="s">
        <v>176</v>
      </c>
      <c r="R128" s="15" t="s">
        <v>177</v>
      </c>
      <c r="S128" s="17" t="s">
        <v>251</v>
      </c>
      <c r="T128" s="159"/>
      <c r="U128" s="159"/>
      <c r="V128" s="19" t="s">
        <v>195</v>
      </c>
      <c r="W128" s="19" t="s">
        <v>179</v>
      </c>
      <c r="X128" s="1">
        <v>5</v>
      </c>
      <c r="Y128" s="160" t="s">
        <v>1130</v>
      </c>
      <c r="Z128" s="70"/>
      <c r="AA128" s="70" t="s">
        <v>181</v>
      </c>
      <c r="AB128" s="1"/>
      <c r="AC128" s="161" t="s">
        <v>420</v>
      </c>
      <c r="AD128" s="99"/>
      <c r="AE128" s="99"/>
      <c r="AF128" s="108"/>
      <c r="AG128" s="106"/>
      <c r="AH128" s="162"/>
      <c r="AI128" s="162"/>
      <c r="AJ128" s="19" t="s">
        <v>198</v>
      </c>
      <c r="AK128" s="19" t="s">
        <v>185</v>
      </c>
      <c r="AL128" s="19" t="s">
        <v>185</v>
      </c>
      <c r="AM128" s="158" t="s">
        <v>1131</v>
      </c>
      <c r="AN128" s="20">
        <v>182</v>
      </c>
      <c r="AO128" s="20">
        <v>5</v>
      </c>
      <c r="AP128" s="20">
        <v>0</v>
      </c>
      <c r="AQ128" s="20">
        <v>0</v>
      </c>
      <c r="AR128" s="20">
        <v>0</v>
      </c>
      <c r="AS128" s="20">
        <v>7</v>
      </c>
      <c r="AT128" s="20">
        <v>10</v>
      </c>
      <c r="AU128" s="300">
        <f t="shared" si="12"/>
        <v>204</v>
      </c>
      <c r="AV128" s="20">
        <v>190</v>
      </c>
      <c r="AW128" s="20">
        <v>5</v>
      </c>
      <c r="AX128" s="20">
        <v>0</v>
      </c>
      <c r="AY128" s="20">
        <v>0</v>
      </c>
      <c r="AZ128" s="20">
        <v>0</v>
      </c>
      <c r="BA128" s="20">
        <v>7</v>
      </c>
      <c r="BB128" s="20">
        <v>10</v>
      </c>
      <c r="BC128" s="300">
        <f t="shared" si="13"/>
        <v>212</v>
      </c>
      <c r="BD128" s="42">
        <f t="shared" si="14"/>
        <v>8</v>
      </c>
      <c r="BE128" s="42">
        <f t="shared" si="15"/>
        <v>0</v>
      </c>
      <c r="BF128" s="42">
        <f t="shared" si="16"/>
        <v>0</v>
      </c>
      <c r="BG128" s="42">
        <f t="shared" si="17"/>
        <v>0</v>
      </c>
      <c r="BH128" s="42">
        <f t="shared" si="18"/>
        <v>0</v>
      </c>
      <c r="BI128" s="42">
        <f t="shared" si="19"/>
        <v>0</v>
      </c>
      <c r="BJ128" s="42">
        <f t="shared" si="20"/>
        <v>0</v>
      </c>
      <c r="BK128" s="42">
        <f t="shared" si="21"/>
        <v>8</v>
      </c>
    </row>
    <row r="129" spans="1:63" ht="27" customHeight="1">
      <c r="A129" s="11">
        <f t="shared" si="22"/>
        <v>127</v>
      </c>
      <c r="B129" s="12" t="s">
        <v>1132</v>
      </c>
      <c r="C129" s="8">
        <v>1153</v>
      </c>
      <c r="D129" s="60" t="s">
        <v>1133</v>
      </c>
      <c r="E129" s="61">
        <v>130169750</v>
      </c>
      <c r="F129" s="62" t="s">
        <v>1134</v>
      </c>
      <c r="G129" s="63" t="s">
        <v>1135</v>
      </c>
      <c r="H129" s="13" t="s">
        <v>1136</v>
      </c>
      <c r="I129" s="14" t="s">
        <v>1137</v>
      </c>
      <c r="J129" s="64" t="s">
        <v>173</v>
      </c>
      <c r="K129" s="22">
        <v>30029</v>
      </c>
      <c r="L129" s="77" t="s">
        <v>174</v>
      </c>
      <c r="M129" s="154">
        <v>42271</v>
      </c>
      <c r="N129" s="154"/>
      <c r="O129" s="17" t="s">
        <v>32</v>
      </c>
      <c r="P129" s="16" t="s">
        <v>1080</v>
      </c>
      <c r="Q129" s="16" t="s">
        <v>176</v>
      </c>
      <c r="R129" s="17" t="s">
        <v>177</v>
      </c>
      <c r="S129" s="17" t="s">
        <v>178</v>
      </c>
      <c r="T129" s="18"/>
      <c r="U129" s="18"/>
      <c r="V129" s="68" t="s">
        <v>195</v>
      </c>
      <c r="W129" s="68" t="s">
        <v>179</v>
      </c>
      <c r="X129" s="68">
        <v>7</v>
      </c>
      <c r="Y129" s="69" t="s">
        <v>1138</v>
      </c>
      <c r="Z129" s="70"/>
      <c r="AA129" s="70" t="s">
        <v>181</v>
      </c>
      <c r="AB129" s="1"/>
      <c r="AC129" s="161" t="s">
        <v>359</v>
      </c>
      <c r="AD129" s="99"/>
      <c r="AE129" s="99"/>
      <c r="AF129" s="108"/>
      <c r="AG129" s="106"/>
      <c r="AH129" s="162"/>
      <c r="AI129" s="162"/>
      <c r="AJ129" s="19" t="s">
        <v>198</v>
      </c>
      <c r="AK129" s="19" t="s">
        <v>185</v>
      </c>
      <c r="AL129" s="19" t="s">
        <v>185</v>
      </c>
      <c r="AM129" s="158" t="s">
        <v>1131</v>
      </c>
      <c r="AN129" s="20">
        <v>182</v>
      </c>
      <c r="AO129" s="20">
        <v>0</v>
      </c>
      <c r="AP129" s="20">
        <v>0</v>
      </c>
      <c r="AQ129" s="20">
        <v>10</v>
      </c>
      <c r="AR129" s="20">
        <v>0</v>
      </c>
      <c r="AS129" s="20">
        <v>7</v>
      </c>
      <c r="AT129" s="20">
        <v>10</v>
      </c>
      <c r="AU129" s="300">
        <f t="shared" si="12"/>
        <v>209</v>
      </c>
      <c r="AV129" s="20">
        <v>190</v>
      </c>
      <c r="AW129" s="20">
        <v>0</v>
      </c>
      <c r="AX129" s="20">
        <v>0</v>
      </c>
      <c r="AY129" s="20">
        <v>10</v>
      </c>
      <c r="AZ129" s="20">
        <v>0</v>
      </c>
      <c r="BA129" s="20">
        <v>7</v>
      </c>
      <c r="BB129" s="20">
        <v>10</v>
      </c>
      <c r="BC129" s="300">
        <f t="shared" si="13"/>
        <v>217</v>
      </c>
      <c r="BD129" s="42">
        <f t="shared" si="14"/>
        <v>8</v>
      </c>
      <c r="BE129" s="42">
        <f t="shared" si="15"/>
        <v>0</v>
      </c>
      <c r="BF129" s="42">
        <f t="shared" si="16"/>
        <v>0</v>
      </c>
      <c r="BG129" s="42">
        <f t="shared" si="17"/>
        <v>0</v>
      </c>
      <c r="BH129" s="42">
        <f t="shared" si="18"/>
        <v>0</v>
      </c>
      <c r="BI129" s="42">
        <f t="shared" si="19"/>
        <v>0</v>
      </c>
      <c r="BJ129" s="42">
        <f t="shared" si="20"/>
        <v>0</v>
      </c>
      <c r="BK129" s="42">
        <f t="shared" si="21"/>
        <v>8</v>
      </c>
    </row>
    <row r="130" spans="1:63" ht="27" customHeight="1">
      <c r="A130" s="11">
        <f t="shared" si="22"/>
        <v>128</v>
      </c>
      <c r="B130" s="12" t="s">
        <v>1139</v>
      </c>
      <c r="C130" s="8">
        <v>1166</v>
      </c>
      <c r="D130" s="60" t="s">
        <v>1140</v>
      </c>
      <c r="E130" s="61">
        <v>110546953</v>
      </c>
      <c r="F130" s="62" t="s">
        <v>1141</v>
      </c>
      <c r="G130" s="63" t="s">
        <v>1142</v>
      </c>
      <c r="H130" s="13" t="s">
        <v>1143</v>
      </c>
      <c r="I130" s="14" t="s">
        <v>1144</v>
      </c>
      <c r="J130" s="64" t="s">
        <v>173</v>
      </c>
      <c r="K130" s="22">
        <v>29830</v>
      </c>
      <c r="L130" s="77" t="s">
        <v>174</v>
      </c>
      <c r="M130" s="154">
        <v>42280</v>
      </c>
      <c r="N130" s="154"/>
      <c r="O130" s="17" t="s">
        <v>32</v>
      </c>
      <c r="P130" s="16" t="s">
        <v>260</v>
      </c>
      <c r="Q130" s="16" t="s">
        <v>176</v>
      </c>
      <c r="R130" s="17" t="s">
        <v>177</v>
      </c>
      <c r="S130" s="17" t="s">
        <v>223</v>
      </c>
      <c r="T130" s="18"/>
      <c r="U130" s="18"/>
      <c r="V130" s="68" t="s">
        <v>195</v>
      </c>
      <c r="W130" s="68" t="s">
        <v>179</v>
      </c>
      <c r="X130" s="68">
        <v>5</v>
      </c>
      <c r="Y130" s="69" t="s">
        <v>1145</v>
      </c>
      <c r="Z130" s="70"/>
      <c r="AA130" s="70"/>
      <c r="AB130" s="70" t="s">
        <v>181</v>
      </c>
      <c r="AC130" s="161"/>
      <c r="AD130" s="99"/>
      <c r="AE130" s="99"/>
      <c r="AF130" s="108"/>
      <c r="AG130" s="106"/>
      <c r="AH130" s="162"/>
      <c r="AI130" s="162"/>
      <c r="AJ130" s="19" t="s">
        <v>198</v>
      </c>
      <c r="AK130" s="19" t="s">
        <v>185</v>
      </c>
      <c r="AL130" s="19" t="s">
        <v>198</v>
      </c>
      <c r="AM130" s="158" t="s">
        <v>1146</v>
      </c>
      <c r="AN130" s="20">
        <v>182</v>
      </c>
      <c r="AO130" s="20">
        <v>5</v>
      </c>
      <c r="AP130" s="20">
        <v>0</v>
      </c>
      <c r="AQ130" s="20">
        <v>32</v>
      </c>
      <c r="AR130" s="20">
        <v>0</v>
      </c>
      <c r="AS130" s="20">
        <v>7</v>
      </c>
      <c r="AT130" s="20">
        <v>10</v>
      </c>
      <c r="AU130" s="300">
        <f t="shared" si="12"/>
        <v>236</v>
      </c>
      <c r="AV130" s="20">
        <v>190</v>
      </c>
      <c r="AW130" s="20">
        <v>5</v>
      </c>
      <c r="AX130" s="20">
        <v>0</v>
      </c>
      <c r="AY130" s="20">
        <v>32</v>
      </c>
      <c r="AZ130" s="20">
        <v>0</v>
      </c>
      <c r="BA130" s="20">
        <v>7</v>
      </c>
      <c r="BB130" s="20">
        <v>10</v>
      </c>
      <c r="BC130" s="300">
        <f t="shared" si="13"/>
        <v>244</v>
      </c>
      <c r="BD130" s="42">
        <f t="shared" si="14"/>
        <v>8</v>
      </c>
      <c r="BE130" s="42">
        <f t="shared" si="15"/>
        <v>0</v>
      </c>
      <c r="BF130" s="42">
        <f t="shared" si="16"/>
        <v>0</v>
      </c>
      <c r="BG130" s="42">
        <f t="shared" si="17"/>
        <v>0</v>
      </c>
      <c r="BH130" s="42">
        <f t="shared" si="18"/>
        <v>0</v>
      </c>
      <c r="BI130" s="42">
        <f t="shared" si="19"/>
        <v>0</v>
      </c>
      <c r="BJ130" s="42">
        <f t="shared" si="20"/>
        <v>0</v>
      </c>
      <c r="BK130" s="42">
        <f t="shared" si="21"/>
        <v>8</v>
      </c>
    </row>
    <row r="131" spans="1:63" ht="27" customHeight="1">
      <c r="A131" s="11">
        <f t="shared" si="22"/>
        <v>129</v>
      </c>
      <c r="B131" s="12" t="s">
        <v>1147</v>
      </c>
      <c r="C131" s="8">
        <v>1174</v>
      </c>
      <c r="D131" s="60" t="s">
        <v>1148</v>
      </c>
      <c r="E131" s="61">
        <v>130083078</v>
      </c>
      <c r="F131" s="62" t="s">
        <v>1149</v>
      </c>
      <c r="G131" s="63" t="s">
        <v>1150</v>
      </c>
      <c r="H131" s="13" t="s">
        <v>1151</v>
      </c>
      <c r="I131" s="14" t="s">
        <v>1152</v>
      </c>
      <c r="J131" s="64" t="s">
        <v>173</v>
      </c>
      <c r="K131" s="22">
        <v>32614</v>
      </c>
      <c r="L131" s="77" t="s">
        <v>174</v>
      </c>
      <c r="M131" s="154">
        <v>42296</v>
      </c>
      <c r="N131" s="154"/>
      <c r="O131" s="17" t="s">
        <v>32</v>
      </c>
      <c r="P131" s="16" t="s">
        <v>343</v>
      </c>
      <c r="Q131" s="16" t="s">
        <v>176</v>
      </c>
      <c r="R131" s="17" t="s">
        <v>177</v>
      </c>
      <c r="S131" s="17" t="s">
        <v>251</v>
      </c>
      <c r="T131" s="18"/>
      <c r="U131" s="18"/>
      <c r="V131" s="68" t="s">
        <v>195</v>
      </c>
      <c r="W131" s="68">
        <v>13061</v>
      </c>
      <c r="X131" s="68">
        <v>6</v>
      </c>
      <c r="Y131" s="69" t="s">
        <v>1153</v>
      </c>
      <c r="Z131" s="70"/>
      <c r="AA131" s="70" t="s">
        <v>181</v>
      </c>
      <c r="AB131" s="1"/>
      <c r="AC131" s="161" t="s">
        <v>359</v>
      </c>
      <c r="AD131" s="99" t="s">
        <v>184</v>
      </c>
      <c r="AE131" s="99"/>
      <c r="AF131" s="108"/>
      <c r="AG131" s="106"/>
      <c r="AH131" s="162"/>
      <c r="AI131" s="162"/>
      <c r="AJ131" s="19" t="s">
        <v>198</v>
      </c>
      <c r="AK131" s="19" t="s">
        <v>185</v>
      </c>
      <c r="AL131" s="19" t="s">
        <v>198</v>
      </c>
      <c r="AM131" s="107" t="s">
        <v>1154</v>
      </c>
      <c r="AN131" s="20">
        <v>182</v>
      </c>
      <c r="AO131" s="20">
        <v>5</v>
      </c>
      <c r="AP131" s="20">
        <v>0</v>
      </c>
      <c r="AQ131" s="20">
        <v>0</v>
      </c>
      <c r="AR131" s="20">
        <v>0</v>
      </c>
      <c r="AS131" s="20">
        <v>7</v>
      </c>
      <c r="AT131" s="20">
        <v>10</v>
      </c>
      <c r="AU131" s="300">
        <f t="shared" si="12"/>
        <v>204</v>
      </c>
      <c r="AV131" s="20">
        <v>190</v>
      </c>
      <c r="AW131" s="20">
        <v>5</v>
      </c>
      <c r="AX131" s="20">
        <v>0</v>
      </c>
      <c r="AY131" s="20">
        <v>0</v>
      </c>
      <c r="AZ131" s="20">
        <v>0</v>
      </c>
      <c r="BA131" s="20">
        <v>7</v>
      </c>
      <c r="BB131" s="20">
        <v>10</v>
      </c>
      <c r="BC131" s="300">
        <f t="shared" si="13"/>
        <v>212</v>
      </c>
      <c r="BD131" s="42">
        <f t="shared" si="14"/>
        <v>8</v>
      </c>
      <c r="BE131" s="42">
        <f t="shared" si="15"/>
        <v>0</v>
      </c>
      <c r="BF131" s="42">
        <f t="shared" si="16"/>
        <v>0</v>
      </c>
      <c r="BG131" s="42">
        <f t="shared" si="17"/>
        <v>0</v>
      </c>
      <c r="BH131" s="42">
        <f t="shared" si="18"/>
        <v>0</v>
      </c>
      <c r="BI131" s="42">
        <f t="shared" si="19"/>
        <v>0</v>
      </c>
      <c r="BJ131" s="42">
        <f t="shared" si="20"/>
        <v>0</v>
      </c>
      <c r="BK131" s="42">
        <f t="shared" si="21"/>
        <v>8</v>
      </c>
    </row>
    <row r="132" spans="1:63" ht="27" customHeight="1">
      <c r="A132" s="11">
        <f t="shared" si="22"/>
        <v>130</v>
      </c>
      <c r="B132" s="12" t="s">
        <v>1155</v>
      </c>
      <c r="C132" s="8">
        <v>1182</v>
      </c>
      <c r="D132" s="60" t="s">
        <v>1156</v>
      </c>
      <c r="E132" s="61">
        <v>130017637</v>
      </c>
      <c r="F132" s="90" t="s">
        <v>1157</v>
      </c>
      <c r="G132" s="91" t="s">
        <v>1158</v>
      </c>
      <c r="H132" s="24" t="s">
        <v>1159</v>
      </c>
      <c r="I132" s="25" t="s">
        <v>1160</v>
      </c>
      <c r="J132" s="82" t="s">
        <v>173</v>
      </c>
      <c r="K132" s="26">
        <v>29620</v>
      </c>
      <c r="L132" s="66" t="s">
        <v>174</v>
      </c>
      <c r="M132" s="23">
        <v>42294</v>
      </c>
      <c r="N132" s="23"/>
      <c r="O132" s="15" t="s">
        <v>32</v>
      </c>
      <c r="P132" s="16" t="s">
        <v>1080</v>
      </c>
      <c r="Q132" s="16" t="s">
        <v>176</v>
      </c>
      <c r="R132" s="15" t="s">
        <v>177</v>
      </c>
      <c r="S132" s="17" t="s">
        <v>251</v>
      </c>
      <c r="T132" s="159"/>
      <c r="U132" s="159"/>
      <c r="V132" s="19" t="s">
        <v>195</v>
      </c>
      <c r="W132" s="19" t="s">
        <v>179</v>
      </c>
      <c r="X132" s="1">
        <v>9</v>
      </c>
      <c r="Y132" s="160" t="s">
        <v>1161</v>
      </c>
      <c r="Z132" s="70"/>
      <c r="AA132" s="70"/>
      <c r="AB132" s="1"/>
      <c r="AC132" s="161"/>
      <c r="AD132" s="99"/>
      <c r="AE132" s="99"/>
      <c r="AF132" s="108"/>
      <c r="AG132" s="106"/>
      <c r="AH132" s="162"/>
      <c r="AI132" s="162"/>
      <c r="AJ132" s="19" t="s">
        <v>198</v>
      </c>
      <c r="AK132" s="19" t="s">
        <v>185</v>
      </c>
      <c r="AL132" s="19" t="s">
        <v>185</v>
      </c>
      <c r="AM132" s="158" t="s">
        <v>1162</v>
      </c>
      <c r="AN132" s="20">
        <v>182</v>
      </c>
      <c r="AO132" s="20">
        <v>5</v>
      </c>
      <c r="AP132" s="20">
        <v>0</v>
      </c>
      <c r="AQ132" s="20">
        <v>0</v>
      </c>
      <c r="AR132" s="20">
        <v>0</v>
      </c>
      <c r="AS132" s="20">
        <v>7</v>
      </c>
      <c r="AT132" s="20">
        <v>10</v>
      </c>
      <c r="AU132" s="300">
        <f t="shared" ref="AU132:AU195" si="23">SUM(AN132:AT132)</f>
        <v>204</v>
      </c>
      <c r="AV132" s="20">
        <v>190</v>
      </c>
      <c r="AW132" s="20">
        <v>5</v>
      </c>
      <c r="AX132" s="20">
        <v>0</v>
      </c>
      <c r="AY132" s="20">
        <v>0</v>
      </c>
      <c r="AZ132" s="20">
        <v>0</v>
      </c>
      <c r="BA132" s="20">
        <v>7</v>
      </c>
      <c r="BB132" s="20">
        <v>10</v>
      </c>
      <c r="BC132" s="300">
        <f t="shared" ref="BC132:BC195" si="24">SUM(AV132:BB132)</f>
        <v>212</v>
      </c>
      <c r="BD132" s="42">
        <f t="shared" ref="BD132:BD195" si="25">AV132-AN132</f>
        <v>8</v>
      </c>
      <c r="BE132" s="42">
        <f t="shared" ref="BE132:BE195" si="26">AW132-AO132</f>
        <v>0</v>
      </c>
      <c r="BF132" s="42">
        <f t="shared" ref="BF132:BF195" si="27">AX132-AP132</f>
        <v>0</v>
      </c>
      <c r="BG132" s="42">
        <f t="shared" ref="BG132:BG195" si="28">AY132-AQ132</f>
        <v>0</v>
      </c>
      <c r="BH132" s="42">
        <f t="shared" ref="BH132:BH195" si="29">AZ132-AR132</f>
        <v>0</v>
      </c>
      <c r="BI132" s="42">
        <f t="shared" ref="BI132:BI195" si="30">BA132-AS132</f>
        <v>0</v>
      </c>
      <c r="BJ132" s="42">
        <f t="shared" ref="BJ132:BJ195" si="31">BB132-AT132</f>
        <v>0</v>
      </c>
      <c r="BK132" s="42">
        <f t="shared" ref="BK132:BK195" si="32">BC132-AU132</f>
        <v>8</v>
      </c>
    </row>
    <row r="133" spans="1:63" ht="27" customHeight="1">
      <c r="A133" s="11">
        <f t="shared" ref="A133:A196" si="33">1+A132</f>
        <v>131</v>
      </c>
      <c r="B133" s="12" t="s">
        <v>1163</v>
      </c>
      <c r="C133" s="8">
        <v>1187</v>
      </c>
      <c r="D133" s="60" t="s">
        <v>1164</v>
      </c>
      <c r="E133" s="61">
        <v>50104990</v>
      </c>
      <c r="F133" s="90" t="s">
        <v>1165</v>
      </c>
      <c r="G133" s="91" t="s">
        <v>1166</v>
      </c>
      <c r="H133" s="24" t="s">
        <v>1167</v>
      </c>
      <c r="I133" s="25" t="s">
        <v>1168</v>
      </c>
      <c r="J133" s="82" t="s">
        <v>173</v>
      </c>
      <c r="K133" s="26">
        <v>30408</v>
      </c>
      <c r="L133" s="66" t="s">
        <v>174</v>
      </c>
      <c r="M133" s="23">
        <v>42297</v>
      </c>
      <c r="N133" s="23"/>
      <c r="O133" s="15" t="s">
        <v>32</v>
      </c>
      <c r="P133" s="16" t="s">
        <v>1080</v>
      </c>
      <c r="Q133" s="16" t="s">
        <v>176</v>
      </c>
      <c r="R133" s="15" t="s">
        <v>177</v>
      </c>
      <c r="S133" s="11" t="s">
        <v>214</v>
      </c>
      <c r="T133" s="159"/>
      <c r="U133" s="159"/>
      <c r="V133" s="19" t="s">
        <v>195</v>
      </c>
      <c r="W133" s="19" t="s">
        <v>179</v>
      </c>
      <c r="X133" s="1">
        <v>5</v>
      </c>
      <c r="Y133" s="61" t="s">
        <v>179</v>
      </c>
      <c r="Z133" s="70"/>
      <c r="AA133" s="70" t="s">
        <v>181</v>
      </c>
      <c r="AB133" s="1"/>
      <c r="AC133" s="161" t="s">
        <v>1169</v>
      </c>
      <c r="AD133" s="99"/>
      <c r="AE133" s="99"/>
      <c r="AF133" s="108"/>
      <c r="AG133" s="106"/>
      <c r="AH133" s="162"/>
      <c r="AI133" s="162"/>
      <c r="AJ133" s="19" t="s">
        <v>198</v>
      </c>
      <c r="AK133" s="19" t="s">
        <v>185</v>
      </c>
      <c r="AL133" s="19" t="s">
        <v>185</v>
      </c>
      <c r="AM133" s="158" t="s">
        <v>1170</v>
      </c>
      <c r="AN133" s="20">
        <v>182</v>
      </c>
      <c r="AO133" s="20">
        <v>5</v>
      </c>
      <c r="AP133" s="20">
        <v>0</v>
      </c>
      <c r="AQ133" s="20">
        <v>0</v>
      </c>
      <c r="AR133" s="20">
        <v>0</v>
      </c>
      <c r="AS133" s="20">
        <v>7</v>
      </c>
      <c r="AT133" s="20">
        <v>10</v>
      </c>
      <c r="AU133" s="300">
        <f t="shared" si="23"/>
        <v>204</v>
      </c>
      <c r="AV133" s="20">
        <v>190</v>
      </c>
      <c r="AW133" s="20">
        <v>5</v>
      </c>
      <c r="AX133" s="20">
        <v>0</v>
      </c>
      <c r="AY133" s="20">
        <v>0</v>
      </c>
      <c r="AZ133" s="20">
        <v>0</v>
      </c>
      <c r="BA133" s="20">
        <v>7</v>
      </c>
      <c r="BB133" s="20">
        <v>10</v>
      </c>
      <c r="BC133" s="300">
        <f t="shared" si="24"/>
        <v>212</v>
      </c>
      <c r="BD133" s="42">
        <f t="shared" si="25"/>
        <v>8</v>
      </c>
      <c r="BE133" s="42">
        <f t="shared" si="26"/>
        <v>0</v>
      </c>
      <c r="BF133" s="42">
        <f t="shared" si="27"/>
        <v>0</v>
      </c>
      <c r="BG133" s="42">
        <f t="shared" si="28"/>
        <v>0</v>
      </c>
      <c r="BH133" s="42">
        <f t="shared" si="29"/>
        <v>0</v>
      </c>
      <c r="BI133" s="42">
        <f t="shared" si="30"/>
        <v>0</v>
      </c>
      <c r="BJ133" s="42">
        <f t="shared" si="31"/>
        <v>0</v>
      </c>
      <c r="BK133" s="42">
        <f t="shared" si="32"/>
        <v>8</v>
      </c>
    </row>
    <row r="134" spans="1:63" ht="27" customHeight="1">
      <c r="A134" s="11">
        <f t="shared" si="33"/>
        <v>132</v>
      </c>
      <c r="B134" s="12" t="s">
        <v>1171</v>
      </c>
      <c r="C134" s="8">
        <v>1218</v>
      </c>
      <c r="D134" s="60" t="s">
        <v>1172</v>
      </c>
      <c r="E134" s="61">
        <v>130013259</v>
      </c>
      <c r="F134" s="62" t="s">
        <v>1173</v>
      </c>
      <c r="G134" s="63" t="s">
        <v>1174</v>
      </c>
      <c r="H134" s="13" t="s">
        <v>1175</v>
      </c>
      <c r="I134" s="14" t="s">
        <v>1176</v>
      </c>
      <c r="J134" s="64" t="s">
        <v>173</v>
      </c>
      <c r="K134" s="22">
        <v>27427</v>
      </c>
      <c r="L134" s="66" t="s">
        <v>174</v>
      </c>
      <c r="M134" s="23">
        <v>42298</v>
      </c>
      <c r="N134" s="23"/>
      <c r="O134" s="15" t="s">
        <v>32</v>
      </c>
      <c r="P134" s="16" t="s">
        <v>1080</v>
      </c>
      <c r="Q134" s="16" t="s">
        <v>176</v>
      </c>
      <c r="R134" s="15" t="s">
        <v>177</v>
      </c>
      <c r="S134" s="17" t="s">
        <v>251</v>
      </c>
      <c r="T134" s="159"/>
      <c r="U134" s="159"/>
      <c r="V134" s="19" t="s">
        <v>195</v>
      </c>
      <c r="W134" s="19" t="s">
        <v>179</v>
      </c>
      <c r="X134" s="1">
        <v>7</v>
      </c>
      <c r="Y134" s="160" t="s">
        <v>1177</v>
      </c>
      <c r="Z134" s="70"/>
      <c r="AA134" s="70"/>
      <c r="AB134" s="1"/>
      <c r="AC134" s="161" t="s">
        <v>1178</v>
      </c>
      <c r="AD134" s="99" t="s">
        <v>183</v>
      </c>
      <c r="AE134" s="99" t="s">
        <v>183</v>
      </c>
      <c r="AF134" s="108"/>
      <c r="AG134" s="106"/>
      <c r="AH134" s="162"/>
      <c r="AI134" s="162"/>
      <c r="AJ134" s="19" t="s">
        <v>198</v>
      </c>
      <c r="AK134" s="19" t="s">
        <v>185</v>
      </c>
      <c r="AL134" s="19" t="s">
        <v>198</v>
      </c>
      <c r="AM134" s="107" t="s">
        <v>1179</v>
      </c>
      <c r="AN134" s="20">
        <v>182</v>
      </c>
      <c r="AO134" s="20">
        <v>5</v>
      </c>
      <c r="AP134" s="20">
        <v>0</v>
      </c>
      <c r="AQ134" s="20">
        <v>0</v>
      </c>
      <c r="AR134" s="20">
        <v>0</v>
      </c>
      <c r="AS134" s="20">
        <v>7</v>
      </c>
      <c r="AT134" s="20">
        <v>10</v>
      </c>
      <c r="AU134" s="300">
        <f t="shared" si="23"/>
        <v>204</v>
      </c>
      <c r="AV134" s="20">
        <v>190</v>
      </c>
      <c r="AW134" s="20">
        <v>5</v>
      </c>
      <c r="AX134" s="20">
        <v>0</v>
      </c>
      <c r="AY134" s="20">
        <v>0</v>
      </c>
      <c r="AZ134" s="20">
        <v>0</v>
      </c>
      <c r="BA134" s="20">
        <v>7</v>
      </c>
      <c r="BB134" s="20">
        <v>10</v>
      </c>
      <c r="BC134" s="300">
        <f t="shared" si="24"/>
        <v>212</v>
      </c>
      <c r="BD134" s="42">
        <f t="shared" si="25"/>
        <v>8</v>
      </c>
      <c r="BE134" s="42">
        <f t="shared" si="26"/>
        <v>0</v>
      </c>
      <c r="BF134" s="42">
        <f t="shared" si="27"/>
        <v>0</v>
      </c>
      <c r="BG134" s="42">
        <f t="shared" si="28"/>
        <v>0</v>
      </c>
      <c r="BH134" s="42">
        <f t="shared" si="29"/>
        <v>0</v>
      </c>
      <c r="BI134" s="42">
        <f t="shared" si="30"/>
        <v>0</v>
      </c>
      <c r="BJ134" s="42">
        <f t="shared" si="31"/>
        <v>0</v>
      </c>
      <c r="BK134" s="42">
        <f t="shared" si="32"/>
        <v>8</v>
      </c>
    </row>
    <row r="135" spans="1:63" ht="27" customHeight="1">
      <c r="A135" s="11">
        <f t="shared" si="33"/>
        <v>133</v>
      </c>
      <c r="B135" s="12" t="s">
        <v>1180</v>
      </c>
      <c r="C135" s="8">
        <v>1238</v>
      </c>
      <c r="D135" s="60" t="s">
        <v>1181</v>
      </c>
      <c r="E135" s="69">
        <v>130166782</v>
      </c>
      <c r="F135" s="62" t="s">
        <v>431</v>
      </c>
      <c r="G135" s="63" t="s">
        <v>1182</v>
      </c>
      <c r="H135" s="13" t="s">
        <v>1183</v>
      </c>
      <c r="I135" s="14" t="s">
        <v>1184</v>
      </c>
      <c r="J135" s="64" t="s">
        <v>173</v>
      </c>
      <c r="K135" s="22">
        <v>30334</v>
      </c>
      <c r="L135" s="66" t="s">
        <v>174</v>
      </c>
      <c r="M135" s="23">
        <v>42299</v>
      </c>
      <c r="N135" s="23"/>
      <c r="O135" s="15" t="s">
        <v>32</v>
      </c>
      <c r="P135" s="16" t="s">
        <v>334</v>
      </c>
      <c r="Q135" s="16" t="s">
        <v>176</v>
      </c>
      <c r="R135" s="15" t="s">
        <v>177</v>
      </c>
      <c r="S135" s="17" t="s">
        <v>251</v>
      </c>
      <c r="T135" s="159"/>
      <c r="U135" s="159"/>
      <c r="V135" s="19" t="s">
        <v>195</v>
      </c>
      <c r="W135" s="19" t="s">
        <v>179</v>
      </c>
      <c r="X135" s="1">
        <v>9</v>
      </c>
      <c r="Y135" s="160" t="s">
        <v>1185</v>
      </c>
      <c r="Z135" s="70"/>
      <c r="AA135" s="70" t="s">
        <v>181</v>
      </c>
      <c r="AB135" s="1"/>
      <c r="AC135" s="161" t="s">
        <v>1186</v>
      </c>
      <c r="AD135" s="99" t="s">
        <v>183</v>
      </c>
      <c r="AE135" s="99" t="s">
        <v>183</v>
      </c>
      <c r="AF135" s="99" t="s">
        <v>183</v>
      </c>
      <c r="AG135" s="99" t="s">
        <v>183</v>
      </c>
      <c r="AH135" s="162"/>
      <c r="AI135" s="162"/>
      <c r="AJ135" s="19" t="s">
        <v>198</v>
      </c>
      <c r="AK135" s="19" t="s">
        <v>185</v>
      </c>
      <c r="AL135" s="19" t="s">
        <v>198</v>
      </c>
      <c r="AM135" s="107" t="s">
        <v>1187</v>
      </c>
      <c r="AN135" s="20">
        <v>182</v>
      </c>
      <c r="AO135" s="20">
        <v>5</v>
      </c>
      <c r="AP135" s="20">
        <v>0</v>
      </c>
      <c r="AQ135" s="20">
        <v>0</v>
      </c>
      <c r="AR135" s="20">
        <v>0</v>
      </c>
      <c r="AS135" s="20">
        <v>7</v>
      </c>
      <c r="AT135" s="20">
        <v>10</v>
      </c>
      <c r="AU135" s="300">
        <f t="shared" si="23"/>
        <v>204</v>
      </c>
      <c r="AV135" s="20">
        <v>190</v>
      </c>
      <c r="AW135" s="20">
        <v>5</v>
      </c>
      <c r="AX135" s="20">
        <v>0</v>
      </c>
      <c r="AY135" s="20">
        <v>0</v>
      </c>
      <c r="AZ135" s="20">
        <v>0</v>
      </c>
      <c r="BA135" s="20">
        <v>7</v>
      </c>
      <c r="BB135" s="20">
        <v>10</v>
      </c>
      <c r="BC135" s="300">
        <f t="shared" si="24"/>
        <v>212</v>
      </c>
      <c r="BD135" s="42">
        <f t="shared" si="25"/>
        <v>8</v>
      </c>
      <c r="BE135" s="42">
        <f t="shared" si="26"/>
        <v>0</v>
      </c>
      <c r="BF135" s="42">
        <f t="shared" si="27"/>
        <v>0</v>
      </c>
      <c r="BG135" s="42">
        <f t="shared" si="28"/>
        <v>0</v>
      </c>
      <c r="BH135" s="42">
        <f t="shared" si="29"/>
        <v>0</v>
      </c>
      <c r="BI135" s="42">
        <f t="shared" si="30"/>
        <v>0</v>
      </c>
      <c r="BJ135" s="42">
        <f t="shared" si="31"/>
        <v>0</v>
      </c>
      <c r="BK135" s="42">
        <f t="shared" si="32"/>
        <v>8</v>
      </c>
    </row>
    <row r="136" spans="1:63" ht="27" customHeight="1">
      <c r="A136" s="11">
        <f t="shared" si="33"/>
        <v>134</v>
      </c>
      <c r="B136" s="12" t="s">
        <v>1188</v>
      </c>
      <c r="C136" s="8">
        <v>1239</v>
      </c>
      <c r="D136" s="60" t="s">
        <v>1189</v>
      </c>
      <c r="E136" s="69">
        <v>60737765</v>
      </c>
      <c r="F136" s="62" t="s">
        <v>1190</v>
      </c>
      <c r="G136" s="63" t="s">
        <v>1191</v>
      </c>
      <c r="H136" s="13" t="s">
        <v>1192</v>
      </c>
      <c r="I136" s="14" t="s">
        <v>1193</v>
      </c>
      <c r="J136" s="64" t="s">
        <v>173</v>
      </c>
      <c r="K136" s="22">
        <v>30688</v>
      </c>
      <c r="L136" s="66" t="s">
        <v>174</v>
      </c>
      <c r="M136" s="23">
        <v>42299</v>
      </c>
      <c r="N136" s="23"/>
      <c r="O136" s="15" t="s">
        <v>32</v>
      </c>
      <c r="P136" s="16" t="s">
        <v>260</v>
      </c>
      <c r="Q136" s="16" t="s">
        <v>176</v>
      </c>
      <c r="R136" s="17" t="s">
        <v>177</v>
      </c>
      <c r="S136" s="17" t="s">
        <v>178</v>
      </c>
      <c r="T136" s="18"/>
      <c r="U136" s="18"/>
      <c r="V136" s="68" t="s">
        <v>195</v>
      </c>
      <c r="W136" s="68" t="s">
        <v>179</v>
      </c>
      <c r="X136" s="68">
        <v>6</v>
      </c>
      <c r="Y136" s="69" t="s">
        <v>179</v>
      </c>
      <c r="Z136" s="70"/>
      <c r="AA136" s="70" t="s">
        <v>181</v>
      </c>
      <c r="AB136" s="1"/>
      <c r="AC136" s="161" t="s">
        <v>197</v>
      </c>
      <c r="AD136" s="99" t="s">
        <v>184</v>
      </c>
      <c r="AE136" s="99" t="s">
        <v>184</v>
      </c>
      <c r="AF136" s="108"/>
      <c r="AG136" s="106"/>
      <c r="AH136" s="162"/>
      <c r="AI136" s="162"/>
      <c r="AJ136" s="19" t="s">
        <v>198</v>
      </c>
      <c r="AK136" s="19" t="s">
        <v>185</v>
      </c>
      <c r="AL136" s="19" t="s">
        <v>198</v>
      </c>
      <c r="AM136" s="107" t="s">
        <v>1194</v>
      </c>
      <c r="AN136" s="20">
        <v>182</v>
      </c>
      <c r="AO136" s="20">
        <v>5</v>
      </c>
      <c r="AP136" s="20">
        <v>0</v>
      </c>
      <c r="AQ136" s="20">
        <v>0</v>
      </c>
      <c r="AR136" s="20">
        <v>0</v>
      </c>
      <c r="AS136" s="20">
        <v>7</v>
      </c>
      <c r="AT136" s="20">
        <v>10</v>
      </c>
      <c r="AU136" s="300">
        <f t="shared" si="23"/>
        <v>204</v>
      </c>
      <c r="AV136" s="20">
        <v>190</v>
      </c>
      <c r="AW136" s="20">
        <v>5</v>
      </c>
      <c r="AX136" s="20">
        <v>0</v>
      </c>
      <c r="AY136" s="20">
        <v>0</v>
      </c>
      <c r="AZ136" s="20">
        <v>0</v>
      </c>
      <c r="BA136" s="20">
        <v>7</v>
      </c>
      <c r="BB136" s="20">
        <v>10</v>
      </c>
      <c r="BC136" s="300">
        <f t="shared" si="24"/>
        <v>212</v>
      </c>
      <c r="BD136" s="42">
        <f t="shared" si="25"/>
        <v>8</v>
      </c>
      <c r="BE136" s="42">
        <f t="shared" si="26"/>
        <v>0</v>
      </c>
      <c r="BF136" s="42">
        <f t="shared" si="27"/>
        <v>0</v>
      </c>
      <c r="BG136" s="42">
        <f t="shared" si="28"/>
        <v>0</v>
      </c>
      <c r="BH136" s="42">
        <f t="shared" si="29"/>
        <v>0</v>
      </c>
      <c r="BI136" s="42">
        <f t="shared" si="30"/>
        <v>0</v>
      </c>
      <c r="BJ136" s="42">
        <f t="shared" si="31"/>
        <v>0</v>
      </c>
      <c r="BK136" s="42">
        <f t="shared" si="32"/>
        <v>8</v>
      </c>
    </row>
    <row r="137" spans="1:63" ht="27" customHeight="1">
      <c r="A137" s="11">
        <f t="shared" si="33"/>
        <v>135</v>
      </c>
      <c r="B137" s="12" t="s">
        <v>1195</v>
      </c>
      <c r="C137" s="8">
        <v>1240</v>
      </c>
      <c r="D137" s="60" t="s">
        <v>1196</v>
      </c>
      <c r="E137" s="69" t="s">
        <v>185</v>
      </c>
      <c r="F137" s="62" t="s">
        <v>1197</v>
      </c>
      <c r="G137" s="63" t="s">
        <v>1198</v>
      </c>
      <c r="H137" s="13" t="s">
        <v>1199</v>
      </c>
      <c r="I137" s="14" t="s">
        <v>1200</v>
      </c>
      <c r="J137" s="64" t="s">
        <v>173</v>
      </c>
      <c r="K137" s="22">
        <v>33423</v>
      </c>
      <c r="L137" s="66" t="s">
        <v>174</v>
      </c>
      <c r="M137" s="23">
        <v>42299</v>
      </c>
      <c r="N137" s="23"/>
      <c r="O137" s="15" t="s">
        <v>32</v>
      </c>
      <c r="P137" s="16" t="s">
        <v>287</v>
      </c>
      <c r="Q137" s="16" t="s">
        <v>176</v>
      </c>
      <c r="R137" s="17" t="s">
        <v>177</v>
      </c>
      <c r="S137" s="16" t="s">
        <v>1201</v>
      </c>
      <c r="T137" s="18"/>
      <c r="U137" s="18"/>
      <c r="V137" s="68" t="s">
        <v>195</v>
      </c>
      <c r="W137" s="68" t="s">
        <v>195</v>
      </c>
      <c r="X137" s="68">
        <v>5</v>
      </c>
      <c r="Y137" s="69" t="s">
        <v>1202</v>
      </c>
      <c r="Z137" s="70"/>
      <c r="AA137" s="70" t="s">
        <v>181</v>
      </c>
      <c r="AB137" s="1"/>
      <c r="AC137" s="161" t="s">
        <v>1203</v>
      </c>
      <c r="AD137" s="99"/>
      <c r="AE137" s="99"/>
      <c r="AF137" s="108"/>
      <c r="AG137" s="106"/>
      <c r="AH137" s="162"/>
      <c r="AI137" s="162"/>
      <c r="AJ137" s="19" t="s">
        <v>198</v>
      </c>
      <c r="AK137" s="19" t="s">
        <v>185</v>
      </c>
      <c r="AL137" s="19" t="s">
        <v>198</v>
      </c>
      <c r="AM137" s="107" t="s">
        <v>1204</v>
      </c>
      <c r="AN137" s="20">
        <v>182</v>
      </c>
      <c r="AO137" s="20">
        <v>5</v>
      </c>
      <c r="AP137" s="20">
        <v>20</v>
      </c>
      <c r="AQ137" s="20">
        <v>40</v>
      </c>
      <c r="AR137" s="20">
        <v>0</v>
      </c>
      <c r="AS137" s="20">
        <v>7</v>
      </c>
      <c r="AT137" s="20">
        <v>10</v>
      </c>
      <c r="AU137" s="300">
        <f t="shared" si="23"/>
        <v>264</v>
      </c>
      <c r="AV137" s="20">
        <v>190</v>
      </c>
      <c r="AW137" s="20">
        <v>5</v>
      </c>
      <c r="AX137" s="20">
        <v>20</v>
      </c>
      <c r="AY137" s="20">
        <v>40</v>
      </c>
      <c r="AZ137" s="20">
        <v>0</v>
      </c>
      <c r="BA137" s="20">
        <v>7</v>
      </c>
      <c r="BB137" s="20">
        <v>10</v>
      </c>
      <c r="BC137" s="300">
        <f t="shared" si="24"/>
        <v>272</v>
      </c>
      <c r="BD137" s="42">
        <f t="shared" si="25"/>
        <v>8</v>
      </c>
      <c r="BE137" s="42">
        <f t="shared" si="26"/>
        <v>0</v>
      </c>
      <c r="BF137" s="42">
        <f t="shared" si="27"/>
        <v>0</v>
      </c>
      <c r="BG137" s="42">
        <f t="shared" si="28"/>
        <v>0</v>
      </c>
      <c r="BH137" s="42">
        <f t="shared" si="29"/>
        <v>0</v>
      </c>
      <c r="BI137" s="42">
        <f t="shared" si="30"/>
        <v>0</v>
      </c>
      <c r="BJ137" s="42">
        <f t="shared" si="31"/>
        <v>0</v>
      </c>
      <c r="BK137" s="42">
        <f t="shared" si="32"/>
        <v>8</v>
      </c>
    </row>
    <row r="138" spans="1:63" ht="27" customHeight="1">
      <c r="A138" s="11">
        <f t="shared" si="33"/>
        <v>136</v>
      </c>
      <c r="B138" s="12" t="s">
        <v>1205</v>
      </c>
      <c r="C138" s="8">
        <v>1251</v>
      </c>
      <c r="D138" s="60" t="s">
        <v>1206</v>
      </c>
      <c r="E138" s="69">
        <v>130100257</v>
      </c>
      <c r="F138" s="62" t="s">
        <v>1207</v>
      </c>
      <c r="G138" s="63" t="s">
        <v>1208</v>
      </c>
      <c r="H138" s="13" t="s">
        <v>1209</v>
      </c>
      <c r="I138" s="14" t="s">
        <v>1210</v>
      </c>
      <c r="J138" s="64" t="s">
        <v>173</v>
      </c>
      <c r="K138" s="22">
        <v>34552</v>
      </c>
      <c r="L138" s="66" t="s">
        <v>174</v>
      </c>
      <c r="M138" s="23">
        <v>42301</v>
      </c>
      <c r="N138" s="23"/>
      <c r="O138" s="15" t="s">
        <v>32</v>
      </c>
      <c r="P138" s="16" t="s">
        <v>381</v>
      </c>
      <c r="Q138" s="16" t="s">
        <v>176</v>
      </c>
      <c r="R138" s="15" t="s">
        <v>177</v>
      </c>
      <c r="S138" s="17" t="s">
        <v>251</v>
      </c>
      <c r="T138" s="159"/>
      <c r="U138" s="159"/>
      <c r="V138" s="19" t="s">
        <v>195</v>
      </c>
      <c r="W138" s="19" t="s">
        <v>179</v>
      </c>
      <c r="X138" s="1">
        <v>3</v>
      </c>
      <c r="Y138" s="160" t="s">
        <v>1211</v>
      </c>
      <c r="Z138" s="70" t="s">
        <v>181</v>
      </c>
      <c r="AA138" s="70"/>
      <c r="AB138" s="1"/>
      <c r="AC138" s="161"/>
      <c r="AD138" s="99"/>
      <c r="AE138" s="99"/>
      <c r="AF138" s="108"/>
      <c r="AG138" s="106"/>
      <c r="AH138" s="162"/>
      <c r="AI138" s="162"/>
      <c r="AJ138" s="19" t="s">
        <v>198</v>
      </c>
      <c r="AK138" s="19" t="s">
        <v>185</v>
      </c>
      <c r="AL138" s="19" t="s">
        <v>198</v>
      </c>
      <c r="AM138" s="107" t="s">
        <v>1212</v>
      </c>
      <c r="AN138" s="20">
        <v>182</v>
      </c>
      <c r="AO138" s="20">
        <v>5</v>
      </c>
      <c r="AP138" s="20">
        <v>0</v>
      </c>
      <c r="AQ138" s="20">
        <v>0</v>
      </c>
      <c r="AR138" s="20">
        <v>0</v>
      </c>
      <c r="AS138" s="20">
        <v>7</v>
      </c>
      <c r="AT138" s="20">
        <v>10</v>
      </c>
      <c r="AU138" s="300">
        <f t="shared" si="23"/>
        <v>204</v>
      </c>
      <c r="AV138" s="20">
        <v>190</v>
      </c>
      <c r="AW138" s="20">
        <v>5</v>
      </c>
      <c r="AX138" s="20">
        <v>0</v>
      </c>
      <c r="AY138" s="20">
        <v>0</v>
      </c>
      <c r="AZ138" s="20">
        <v>0</v>
      </c>
      <c r="BA138" s="20">
        <v>7</v>
      </c>
      <c r="BB138" s="20">
        <v>10</v>
      </c>
      <c r="BC138" s="300">
        <f t="shared" si="24"/>
        <v>212</v>
      </c>
      <c r="BD138" s="42">
        <f t="shared" si="25"/>
        <v>8</v>
      </c>
      <c r="BE138" s="42">
        <f t="shared" si="26"/>
        <v>0</v>
      </c>
      <c r="BF138" s="42">
        <f t="shared" si="27"/>
        <v>0</v>
      </c>
      <c r="BG138" s="42">
        <f t="shared" si="28"/>
        <v>0</v>
      </c>
      <c r="BH138" s="42">
        <f t="shared" si="29"/>
        <v>0</v>
      </c>
      <c r="BI138" s="42">
        <f t="shared" si="30"/>
        <v>0</v>
      </c>
      <c r="BJ138" s="42">
        <f t="shared" si="31"/>
        <v>0</v>
      </c>
      <c r="BK138" s="42">
        <f t="shared" si="32"/>
        <v>8</v>
      </c>
    </row>
    <row r="139" spans="1:63" ht="27" customHeight="1">
      <c r="A139" s="11">
        <f t="shared" si="33"/>
        <v>137</v>
      </c>
      <c r="B139" s="12" t="s">
        <v>1213</v>
      </c>
      <c r="C139" s="8">
        <v>1255</v>
      </c>
      <c r="D139" s="60" t="s">
        <v>1214</v>
      </c>
      <c r="E139" s="69">
        <v>110260345</v>
      </c>
      <c r="F139" s="62" t="s">
        <v>737</v>
      </c>
      <c r="G139" s="63" t="s">
        <v>330</v>
      </c>
      <c r="H139" s="13" t="s">
        <v>22</v>
      </c>
      <c r="I139" s="14" t="s">
        <v>1215</v>
      </c>
      <c r="J139" s="64" t="s">
        <v>173</v>
      </c>
      <c r="K139" s="22">
        <v>31086</v>
      </c>
      <c r="L139" s="66" t="s">
        <v>174</v>
      </c>
      <c r="M139" s="23">
        <v>42303</v>
      </c>
      <c r="N139" s="23"/>
      <c r="O139" s="15" t="s">
        <v>32</v>
      </c>
      <c r="P139" s="16" t="s">
        <v>260</v>
      </c>
      <c r="Q139" s="16" t="s">
        <v>176</v>
      </c>
      <c r="R139" s="15" t="s">
        <v>177</v>
      </c>
      <c r="S139" s="11" t="s">
        <v>223</v>
      </c>
      <c r="T139" s="20"/>
      <c r="U139" s="20"/>
      <c r="V139" s="19" t="s">
        <v>195</v>
      </c>
      <c r="W139" s="19">
        <v>1900</v>
      </c>
      <c r="X139" s="19">
        <v>6</v>
      </c>
      <c r="Y139" s="61" t="s">
        <v>179</v>
      </c>
      <c r="Z139" s="70"/>
      <c r="AA139" s="70" t="s">
        <v>181</v>
      </c>
      <c r="AB139" s="19"/>
      <c r="AC139" s="161" t="s">
        <v>133</v>
      </c>
      <c r="AD139" s="99"/>
      <c r="AE139" s="99"/>
      <c r="AF139" s="108"/>
      <c r="AG139" s="106"/>
      <c r="AH139" s="43"/>
      <c r="AI139" s="43"/>
      <c r="AJ139" s="19" t="s">
        <v>198</v>
      </c>
      <c r="AK139" s="19" t="s">
        <v>185</v>
      </c>
      <c r="AL139" s="19" t="s">
        <v>198</v>
      </c>
      <c r="AM139" s="107" t="s">
        <v>1194</v>
      </c>
      <c r="AN139" s="20">
        <v>182</v>
      </c>
      <c r="AO139" s="20">
        <v>5</v>
      </c>
      <c r="AP139" s="20">
        <v>0</v>
      </c>
      <c r="AQ139" s="20">
        <v>0</v>
      </c>
      <c r="AR139" s="20">
        <v>0</v>
      </c>
      <c r="AS139" s="20">
        <v>7</v>
      </c>
      <c r="AT139" s="20">
        <v>10</v>
      </c>
      <c r="AU139" s="300">
        <f t="shared" si="23"/>
        <v>204</v>
      </c>
      <c r="AV139" s="20">
        <v>190</v>
      </c>
      <c r="AW139" s="20">
        <v>5</v>
      </c>
      <c r="AX139" s="20">
        <v>0</v>
      </c>
      <c r="AY139" s="20">
        <v>0</v>
      </c>
      <c r="AZ139" s="20">
        <v>0</v>
      </c>
      <c r="BA139" s="20">
        <v>7</v>
      </c>
      <c r="BB139" s="20">
        <v>10</v>
      </c>
      <c r="BC139" s="300">
        <f t="shared" si="24"/>
        <v>212</v>
      </c>
      <c r="BD139" s="42">
        <f t="shared" si="25"/>
        <v>8</v>
      </c>
      <c r="BE139" s="42">
        <f t="shared" si="26"/>
        <v>0</v>
      </c>
      <c r="BF139" s="42">
        <f t="shared" si="27"/>
        <v>0</v>
      </c>
      <c r="BG139" s="42">
        <f t="shared" si="28"/>
        <v>0</v>
      </c>
      <c r="BH139" s="42">
        <f t="shared" si="29"/>
        <v>0</v>
      </c>
      <c r="BI139" s="42">
        <f t="shared" si="30"/>
        <v>0</v>
      </c>
      <c r="BJ139" s="42">
        <f t="shared" si="31"/>
        <v>0</v>
      </c>
      <c r="BK139" s="42">
        <f t="shared" si="32"/>
        <v>8</v>
      </c>
    </row>
    <row r="140" spans="1:63" ht="27" customHeight="1">
      <c r="A140" s="11">
        <f t="shared" si="33"/>
        <v>138</v>
      </c>
      <c r="B140" s="8" t="s">
        <v>1216</v>
      </c>
      <c r="C140" s="8">
        <v>1266</v>
      </c>
      <c r="D140" s="75" t="s">
        <v>1217</v>
      </c>
      <c r="E140" s="69">
        <v>130099649</v>
      </c>
      <c r="F140" s="62" t="s">
        <v>1218</v>
      </c>
      <c r="G140" s="63" t="s">
        <v>1219</v>
      </c>
      <c r="H140" s="13" t="s">
        <v>1220</v>
      </c>
      <c r="I140" s="14" t="s">
        <v>1221</v>
      </c>
      <c r="J140" s="64" t="s">
        <v>173</v>
      </c>
      <c r="K140" s="22">
        <v>32614</v>
      </c>
      <c r="L140" s="77" t="s">
        <v>174</v>
      </c>
      <c r="M140" s="154">
        <v>42300</v>
      </c>
      <c r="N140" s="154"/>
      <c r="O140" s="17" t="s">
        <v>32</v>
      </c>
      <c r="P140" s="16" t="s">
        <v>599</v>
      </c>
      <c r="Q140" s="16" t="s">
        <v>176</v>
      </c>
      <c r="R140" s="17" t="s">
        <v>177</v>
      </c>
      <c r="S140" s="17" t="s">
        <v>251</v>
      </c>
      <c r="T140" s="18"/>
      <c r="U140" s="18"/>
      <c r="V140" s="68" t="s">
        <v>195</v>
      </c>
      <c r="W140" s="68" t="s">
        <v>195</v>
      </c>
      <c r="X140" s="68">
        <v>5</v>
      </c>
      <c r="Y140" s="69" t="s">
        <v>179</v>
      </c>
      <c r="Z140" s="78"/>
      <c r="AA140" s="78" t="s">
        <v>181</v>
      </c>
      <c r="AB140" s="68"/>
      <c r="AC140" s="163" t="s">
        <v>197</v>
      </c>
      <c r="AD140" s="164"/>
      <c r="AE140" s="164"/>
      <c r="AF140" s="165"/>
      <c r="AG140" s="166"/>
      <c r="AH140" s="79"/>
      <c r="AI140" s="79"/>
      <c r="AJ140" s="68" t="s">
        <v>198</v>
      </c>
      <c r="AK140" s="68" t="s">
        <v>185</v>
      </c>
      <c r="AL140" s="68" t="s">
        <v>198</v>
      </c>
      <c r="AM140" s="169" t="s">
        <v>1222</v>
      </c>
      <c r="AN140" s="20">
        <v>182</v>
      </c>
      <c r="AO140" s="20">
        <v>5</v>
      </c>
      <c r="AP140" s="20">
        <v>0</v>
      </c>
      <c r="AQ140" s="20">
        <v>0</v>
      </c>
      <c r="AR140" s="20">
        <v>0</v>
      </c>
      <c r="AS140" s="20">
        <v>7</v>
      </c>
      <c r="AT140" s="20">
        <v>10</v>
      </c>
      <c r="AU140" s="300">
        <f t="shared" si="23"/>
        <v>204</v>
      </c>
      <c r="AV140" s="20">
        <v>190</v>
      </c>
      <c r="AW140" s="20">
        <v>5</v>
      </c>
      <c r="AX140" s="20">
        <v>0</v>
      </c>
      <c r="AY140" s="20">
        <v>0</v>
      </c>
      <c r="AZ140" s="20">
        <v>0</v>
      </c>
      <c r="BA140" s="20">
        <v>7</v>
      </c>
      <c r="BB140" s="20">
        <v>10</v>
      </c>
      <c r="BC140" s="300">
        <f t="shared" si="24"/>
        <v>212</v>
      </c>
      <c r="BD140" s="42">
        <f t="shared" si="25"/>
        <v>8</v>
      </c>
      <c r="BE140" s="42">
        <f t="shared" si="26"/>
        <v>0</v>
      </c>
      <c r="BF140" s="42">
        <f t="shared" si="27"/>
        <v>0</v>
      </c>
      <c r="BG140" s="42">
        <f t="shared" si="28"/>
        <v>0</v>
      </c>
      <c r="BH140" s="42">
        <f t="shared" si="29"/>
        <v>0</v>
      </c>
      <c r="BI140" s="42">
        <f t="shared" si="30"/>
        <v>0</v>
      </c>
      <c r="BJ140" s="42">
        <f t="shared" si="31"/>
        <v>0</v>
      </c>
      <c r="BK140" s="42">
        <f t="shared" si="32"/>
        <v>8</v>
      </c>
    </row>
    <row r="141" spans="1:63" ht="27" customHeight="1">
      <c r="A141" s="11">
        <f t="shared" si="33"/>
        <v>139</v>
      </c>
      <c r="B141" s="109" t="s">
        <v>1223</v>
      </c>
      <c r="C141" s="109">
        <v>1268</v>
      </c>
      <c r="D141" s="110" t="s">
        <v>1224</v>
      </c>
      <c r="E141" s="111">
        <v>110462602</v>
      </c>
      <c r="F141" s="112" t="s">
        <v>1225</v>
      </c>
      <c r="G141" s="113" t="s">
        <v>1226</v>
      </c>
      <c r="H141" s="114" t="s">
        <v>537</v>
      </c>
      <c r="I141" s="115" t="s">
        <v>1227</v>
      </c>
      <c r="J141" s="116" t="s">
        <v>173</v>
      </c>
      <c r="K141" s="117">
        <v>33728</v>
      </c>
      <c r="L141" s="118" t="s">
        <v>174</v>
      </c>
      <c r="M141" s="119">
        <v>42304</v>
      </c>
      <c r="N141" s="119"/>
      <c r="O141" s="120" t="s">
        <v>24</v>
      </c>
      <c r="P141" s="16" t="s">
        <v>25</v>
      </c>
      <c r="Q141" s="16" t="s">
        <v>176</v>
      </c>
      <c r="R141" s="120" t="s">
        <v>177</v>
      </c>
      <c r="S141" s="121" t="s">
        <v>223</v>
      </c>
      <c r="T141" s="122"/>
      <c r="U141" s="122"/>
      <c r="V141" s="123" t="s">
        <v>195</v>
      </c>
      <c r="W141" s="123">
        <v>864</v>
      </c>
      <c r="X141" s="123">
        <v>8</v>
      </c>
      <c r="Y141" s="111" t="s">
        <v>1228</v>
      </c>
      <c r="Z141" s="125"/>
      <c r="AA141" s="125" t="s">
        <v>181</v>
      </c>
      <c r="AB141" s="123"/>
      <c r="AC141" s="170" t="s">
        <v>420</v>
      </c>
      <c r="AD141" s="151"/>
      <c r="AE141" s="151"/>
      <c r="AF141" s="153"/>
      <c r="AG141" s="152"/>
      <c r="AH141" s="128"/>
      <c r="AI141" s="128"/>
      <c r="AJ141" s="123" t="s">
        <v>198</v>
      </c>
      <c r="AK141" s="123" t="s">
        <v>185</v>
      </c>
      <c r="AL141" s="123" t="s">
        <v>198</v>
      </c>
      <c r="AM141" s="129" t="s">
        <v>1229</v>
      </c>
      <c r="AN141" s="20">
        <v>182</v>
      </c>
      <c r="AO141" s="20">
        <v>5</v>
      </c>
      <c r="AP141" s="20">
        <v>0</v>
      </c>
      <c r="AQ141" s="20">
        <v>0</v>
      </c>
      <c r="AR141" s="20">
        <v>0</v>
      </c>
      <c r="AS141" s="20">
        <v>7</v>
      </c>
      <c r="AT141" s="20">
        <v>10</v>
      </c>
      <c r="AU141" s="300">
        <f t="shared" si="23"/>
        <v>204</v>
      </c>
      <c r="AV141" s="20">
        <v>190</v>
      </c>
      <c r="AW141" s="20">
        <v>5</v>
      </c>
      <c r="AX141" s="20">
        <v>0</v>
      </c>
      <c r="AY141" s="20">
        <v>0</v>
      </c>
      <c r="AZ141" s="20">
        <v>0</v>
      </c>
      <c r="BA141" s="20">
        <v>7</v>
      </c>
      <c r="BB141" s="20">
        <v>10</v>
      </c>
      <c r="BC141" s="300">
        <f t="shared" si="24"/>
        <v>212</v>
      </c>
      <c r="BD141" s="42">
        <f t="shared" si="25"/>
        <v>8</v>
      </c>
      <c r="BE141" s="42">
        <f t="shared" si="26"/>
        <v>0</v>
      </c>
      <c r="BF141" s="42">
        <f t="shared" si="27"/>
        <v>0</v>
      </c>
      <c r="BG141" s="42">
        <f t="shared" si="28"/>
        <v>0</v>
      </c>
      <c r="BH141" s="42">
        <f t="shared" si="29"/>
        <v>0</v>
      </c>
      <c r="BI141" s="42">
        <f t="shared" si="30"/>
        <v>0</v>
      </c>
      <c r="BJ141" s="42">
        <f t="shared" si="31"/>
        <v>0</v>
      </c>
      <c r="BK141" s="42">
        <f t="shared" si="32"/>
        <v>8</v>
      </c>
    </row>
    <row r="142" spans="1:63" ht="27" customHeight="1">
      <c r="A142" s="11">
        <f t="shared" si="33"/>
        <v>140</v>
      </c>
      <c r="B142" s="12" t="s">
        <v>1230</v>
      </c>
      <c r="C142" s="8">
        <v>1279</v>
      </c>
      <c r="D142" s="60" t="s">
        <v>1231</v>
      </c>
      <c r="E142" s="69">
        <v>110522001</v>
      </c>
      <c r="F142" s="62" t="s">
        <v>1232</v>
      </c>
      <c r="G142" s="63" t="s">
        <v>1233</v>
      </c>
      <c r="H142" s="13" t="s">
        <v>1234</v>
      </c>
      <c r="I142" s="14" t="s">
        <v>1235</v>
      </c>
      <c r="J142" s="64" t="s">
        <v>173</v>
      </c>
      <c r="K142" s="22">
        <v>34366</v>
      </c>
      <c r="L142" s="66" t="s">
        <v>174</v>
      </c>
      <c r="M142" s="23">
        <v>42304</v>
      </c>
      <c r="N142" s="23"/>
      <c r="O142" s="15" t="s">
        <v>32</v>
      </c>
      <c r="P142" s="16" t="s">
        <v>260</v>
      </c>
      <c r="Q142" s="16" t="s">
        <v>176</v>
      </c>
      <c r="R142" s="15" t="s">
        <v>177</v>
      </c>
      <c r="S142" s="11" t="s">
        <v>223</v>
      </c>
      <c r="T142" s="159"/>
      <c r="U142" s="159"/>
      <c r="V142" s="19" t="s">
        <v>179</v>
      </c>
      <c r="W142" s="19">
        <v>2341</v>
      </c>
      <c r="X142" s="1">
        <v>10</v>
      </c>
      <c r="Y142" s="160" t="s">
        <v>1236</v>
      </c>
      <c r="Z142" s="70" t="s">
        <v>181</v>
      </c>
      <c r="AA142" s="70"/>
      <c r="AB142" s="1"/>
      <c r="AC142" s="161"/>
      <c r="AD142" s="99"/>
      <c r="AE142" s="99"/>
      <c r="AF142" s="108"/>
      <c r="AG142" s="106"/>
      <c r="AH142" s="162"/>
      <c r="AI142" s="162"/>
      <c r="AJ142" s="19" t="s">
        <v>198</v>
      </c>
      <c r="AK142" s="19" t="s">
        <v>185</v>
      </c>
      <c r="AL142" s="19" t="s">
        <v>198</v>
      </c>
      <c r="AM142" s="107" t="s">
        <v>1237</v>
      </c>
      <c r="AN142" s="20">
        <v>182</v>
      </c>
      <c r="AO142" s="20">
        <v>5</v>
      </c>
      <c r="AP142" s="20">
        <v>0</v>
      </c>
      <c r="AQ142" s="20">
        <v>0</v>
      </c>
      <c r="AR142" s="20">
        <v>0</v>
      </c>
      <c r="AS142" s="20">
        <v>7</v>
      </c>
      <c r="AT142" s="20">
        <v>10</v>
      </c>
      <c r="AU142" s="300">
        <f t="shared" si="23"/>
        <v>204</v>
      </c>
      <c r="AV142" s="20">
        <v>190</v>
      </c>
      <c r="AW142" s="20">
        <v>5</v>
      </c>
      <c r="AX142" s="20">
        <v>0</v>
      </c>
      <c r="AY142" s="20">
        <v>0</v>
      </c>
      <c r="AZ142" s="20">
        <v>0</v>
      </c>
      <c r="BA142" s="20">
        <v>7</v>
      </c>
      <c r="BB142" s="20">
        <v>10</v>
      </c>
      <c r="BC142" s="300">
        <f t="shared" si="24"/>
        <v>212</v>
      </c>
      <c r="BD142" s="42">
        <f t="shared" si="25"/>
        <v>8</v>
      </c>
      <c r="BE142" s="42">
        <f t="shared" si="26"/>
        <v>0</v>
      </c>
      <c r="BF142" s="42">
        <f t="shared" si="27"/>
        <v>0</v>
      </c>
      <c r="BG142" s="42">
        <f t="shared" si="28"/>
        <v>0</v>
      </c>
      <c r="BH142" s="42">
        <f t="shared" si="29"/>
        <v>0</v>
      </c>
      <c r="BI142" s="42">
        <f t="shared" si="30"/>
        <v>0</v>
      </c>
      <c r="BJ142" s="42">
        <f t="shared" si="31"/>
        <v>0</v>
      </c>
      <c r="BK142" s="42">
        <f t="shared" si="32"/>
        <v>8</v>
      </c>
    </row>
    <row r="143" spans="1:63" ht="27" customHeight="1">
      <c r="A143" s="11">
        <f t="shared" si="33"/>
        <v>141</v>
      </c>
      <c r="B143" s="12" t="s">
        <v>1238</v>
      </c>
      <c r="C143" s="8">
        <v>1300</v>
      </c>
      <c r="D143" s="60" t="s">
        <v>1239</v>
      </c>
      <c r="E143" s="69">
        <v>51205211</v>
      </c>
      <c r="F143" s="62" t="s">
        <v>1240</v>
      </c>
      <c r="G143" s="63" t="s">
        <v>1241</v>
      </c>
      <c r="H143" s="13" t="s">
        <v>1242</v>
      </c>
      <c r="I143" s="14" t="s">
        <v>1243</v>
      </c>
      <c r="J143" s="64" t="s">
        <v>173</v>
      </c>
      <c r="K143" s="22">
        <v>30043</v>
      </c>
      <c r="L143" s="66" t="s">
        <v>174</v>
      </c>
      <c r="M143" s="23">
        <v>42310</v>
      </c>
      <c r="N143" s="23"/>
      <c r="O143" s="15" t="s">
        <v>32</v>
      </c>
      <c r="P143" s="16" t="s">
        <v>287</v>
      </c>
      <c r="Q143" s="16" t="s">
        <v>176</v>
      </c>
      <c r="R143" s="15" t="s">
        <v>177</v>
      </c>
      <c r="S143" s="11" t="s">
        <v>214</v>
      </c>
      <c r="T143" s="159"/>
      <c r="U143" s="159"/>
      <c r="V143" s="19" t="s">
        <v>179</v>
      </c>
      <c r="W143" s="19" t="s">
        <v>179</v>
      </c>
      <c r="X143" s="1">
        <v>5</v>
      </c>
      <c r="Y143" s="160" t="s">
        <v>1244</v>
      </c>
      <c r="Z143" s="70"/>
      <c r="AA143" s="70" t="s">
        <v>181</v>
      </c>
      <c r="AB143" s="1"/>
      <c r="AC143" s="161" t="s">
        <v>197</v>
      </c>
      <c r="AD143" s="99"/>
      <c r="AE143" s="99"/>
      <c r="AF143" s="108"/>
      <c r="AG143" s="106"/>
      <c r="AH143" s="162"/>
      <c r="AI143" s="162"/>
      <c r="AJ143" s="19" t="s">
        <v>198</v>
      </c>
      <c r="AK143" s="19" t="s">
        <v>185</v>
      </c>
      <c r="AL143" s="19" t="s">
        <v>185</v>
      </c>
      <c r="AM143" s="107" t="s">
        <v>1245</v>
      </c>
      <c r="AN143" s="20">
        <v>182</v>
      </c>
      <c r="AO143" s="20">
        <v>5</v>
      </c>
      <c r="AP143" s="20">
        <v>20</v>
      </c>
      <c r="AQ143" s="20">
        <v>0</v>
      </c>
      <c r="AR143" s="20">
        <v>0</v>
      </c>
      <c r="AS143" s="20">
        <v>7</v>
      </c>
      <c r="AT143" s="20">
        <v>10</v>
      </c>
      <c r="AU143" s="300">
        <f t="shared" si="23"/>
        <v>224</v>
      </c>
      <c r="AV143" s="20">
        <v>190</v>
      </c>
      <c r="AW143" s="20">
        <v>5</v>
      </c>
      <c r="AX143" s="20">
        <v>20</v>
      </c>
      <c r="AY143" s="20">
        <v>0</v>
      </c>
      <c r="AZ143" s="20">
        <v>0</v>
      </c>
      <c r="BA143" s="20">
        <v>7</v>
      </c>
      <c r="BB143" s="20">
        <v>10</v>
      </c>
      <c r="BC143" s="300">
        <f t="shared" si="24"/>
        <v>232</v>
      </c>
      <c r="BD143" s="42">
        <f t="shared" si="25"/>
        <v>8</v>
      </c>
      <c r="BE143" s="42">
        <f t="shared" si="26"/>
        <v>0</v>
      </c>
      <c r="BF143" s="42">
        <f t="shared" si="27"/>
        <v>0</v>
      </c>
      <c r="BG143" s="42">
        <f t="shared" si="28"/>
        <v>0</v>
      </c>
      <c r="BH143" s="42">
        <f t="shared" si="29"/>
        <v>0</v>
      </c>
      <c r="BI143" s="42">
        <f t="shared" si="30"/>
        <v>0</v>
      </c>
      <c r="BJ143" s="42">
        <f t="shared" si="31"/>
        <v>0</v>
      </c>
      <c r="BK143" s="42">
        <f t="shared" si="32"/>
        <v>8</v>
      </c>
    </row>
    <row r="144" spans="1:63" ht="27" customHeight="1">
      <c r="A144" s="11">
        <f t="shared" si="33"/>
        <v>142</v>
      </c>
      <c r="B144" s="12" t="s">
        <v>1246</v>
      </c>
      <c r="C144" s="8">
        <v>1302</v>
      </c>
      <c r="D144" s="60" t="s">
        <v>1247</v>
      </c>
      <c r="E144" s="69">
        <v>30664869</v>
      </c>
      <c r="F144" s="62" t="s">
        <v>1248</v>
      </c>
      <c r="G144" s="63" t="s">
        <v>1249</v>
      </c>
      <c r="H144" s="13" t="s">
        <v>1250</v>
      </c>
      <c r="I144" s="14" t="s">
        <v>1251</v>
      </c>
      <c r="J144" s="64" t="s">
        <v>173</v>
      </c>
      <c r="K144" s="22">
        <v>30195</v>
      </c>
      <c r="L144" s="66" t="s">
        <v>174</v>
      </c>
      <c r="M144" s="23">
        <v>42311</v>
      </c>
      <c r="N144" s="23"/>
      <c r="O144" s="15" t="s">
        <v>32</v>
      </c>
      <c r="P144" s="16" t="s">
        <v>260</v>
      </c>
      <c r="Q144" s="16" t="s">
        <v>176</v>
      </c>
      <c r="R144" s="15" t="s">
        <v>177</v>
      </c>
      <c r="S144" s="11" t="s">
        <v>305</v>
      </c>
      <c r="T144" s="159"/>
      <c r="U144" s="159"/>
      <c r="V144" s="19" t="s">
        <v>179</v>
      </c>
      <c r="W144" s="19" t="s">
        <v>179</v>
      </c>
      <c r="X144" s="1">
        <v>5</v>
      </c>
      <c r="Y144" s="160" t="s">
        <v>1252</v>
      </c>
      <c r="Z144" s="70"/>
      <c r="AA144" s="70" t="s">
        <v>181</v>
      </c>
      <c r="AB144" s="1"/>
      <c r="AC144" s="161" t="s">
        <v>1253</v>
      </c>
      <c r="AD144" s="99"/>
      <c r="AE144" s="99"/>
      <c r="AF144" s="108"/>
      <c r="AG144" s="106"/>
      <c r="AH144" s="162"/>
      <c r="AI144" s="162"/>
      <c r="AJ144" s="19" t="s">
        <v>198</v>
      </c>
      <c r="AK144" s="19" t="s">
        <v>185</v>
      </c>
      <c r="AL144" s="19" t="s">
        <v>185</v>
      </c>
      <c r="AM144" s="107" t="s">
        <v>1254</v>
      </c>
      <c r="AN144" s="20">
        <v>182</v>
      </c>
      <c r="AO144" s="20">
        <v>5</v>
      </c>
      <c r="AP144" s="20">
        <v>0</v>
      </c>
      <c r="AQ144" s="20">
        <v>0</v>
      </c>
      <c r="AR144" s="20">
        <v>0</v>
      </c>
      <c r="AS144" s="20">
        <v>7</v>
      </c>
      <c r="AT144" s="20">
        <v>10</v>
      </c>
      <c r="AU144" s="300">
        <f t="shared" si="23"/>
        <v>204</v>
      </c>
      <c r="AV144" s="20">
        <v>190</v>
      </c>
      <c r="AW144" s="20">
        <v>5</v>
      </c>
      <c r="AX144" s="20">
        <v>0</v>
      </c>
      <c r="AY144" s="20">
        <v>0</v>
      </c>
      <c r="AZ144" s="20">
        <v>0</v>
      </c>
      <c r="BA144" s="20">
        <v>7</v>
      </c>
      <c r="BB144" s="20">
        <v>10</v>
      </c>
      <c r="BC144" s="300">
        <f t="shared" si="24"/>
        <v>212</v>
      </c>
      <c r="BD144" s="42">
        <f t="shared" si="25"/>
        <v>8</v>
      </c>
      <c r="BE144" s="42">
        <f t="shared" si="26"/>
        <v>0</v>
      </c>
      <c r="BF144" s="42">
        <f t="shared" si="27"/>
        <v>0</v>
      </c>
      <c r="BG144" s="42">
        <f t="shared" si="28"/>
        <v>0</v>
      </c>
      <c r="BH144" s="42">
        <f t="shared" si="29"/>
        <v>0</v>
      </c>
      <c r="BI144" s="42">
        <f t="shared" si="30"/>
        <v>0</v>
      </c>
      <c r="BJ144" s="42">
        <f t="shared" si="31"/>
        <v>0</v>
      </c>
      <c r="BK144" s="42">
        <f t="shared" si="32"/>
        <v>8</v>
      </c>
    </row>
    <row r="145" spans="1:63" ht="27" customHeight="1">
      <c r="A145" s="11">
        <f t="shared" si="33"/>
        <v>143</v>
      </c>
      <c r="B145" s="12" t="s">
        <v>1255</v>
      </c>
      <c r="C145" s="8">
        <v>1320</v>
      </c>
      <c r="D145" s="60" t="s">
        <v>1256</v>
      </c>
      <c r="E145" s="69">
        <v>110364357</v>
      </c>
      <c r="F145" s="62" t="s">
        <v>1257</v>
      </c>
      <c r="G145" s="63" t="s">
        <v>1258</v>
      </c>
      <c r="H145" s="13" t="s">
        <v>1259</v>
      </c>
      <c r="I145" s="14" t="s">
        <v>1260</v>
      </c>
      <c r="J145" s="64" t="s">
        <v>173</v>
      </c>
      <c r="K145" s="22">
        <v>30420</v>
      </c>
      <c r="L145" s="66" t="s">
        <v>174</v>
      </c>
      <c r="M145" s="23">
        <v>42312</v>
      </c>
      <c r="N145" s="23"/>
      <c r="O145" s="15" t="s">
        <v>32</v>
      </c>
      <c r="P145" s="16" t="s">
        <v>287</v>
      </c>
      <c r="Q145" s="16" t="s">
        <v>176</v>
      </c>
      <c r="R145" s="15" t="s">
        <v>177</v>
      </c>
      <c r="S145" s="11" t="s">
        <v>223</v>
      </c>
      <c r="T145" s="159"/>
      <c r="U145" s="159"/>
      <c r="V145" s="19" t="s">
        <v>179</v>
      </c>
      <c r="W145" s="19" t="s">
        <v>179</v>
      </c>
      <c r="X145" s="1">
        <v>6</v>
      </c>
      <c r="Y145" s="160">
        <v>714305911</v>
      </c>
      <c r="Z145" s="70"/>
      <c r="AA145" s="70" t="s">
        <v>181</v>
      </c>
      <c r="AB145" s="1"/>
      <c r="AC145" s="161" t="s">
        <v>1261</v>
      </c>
      <c r="AD145" s="99" t="s">
        <v>183</v>
      </c>
      <c r="AE145" s="99"/>
      <c r="AF145" s="108"/>
      <c r="AG145" s="106"/>
      <c r="AH145" s="162"/>
      <c r="AI145" s="162"/>
      <c r="AJ145" s="19" t="s">
        <v>198</v>
      </c>
      <c r="AK145" s="19" t="s">
        <v>185</v>
      </c>
      <c r="AL145" s="19" t="s">
        <v>198</v>
      </c>
      <c r="AM145" s="107" t="s">
        <v>1194</v>
      </c>
      <c r="AN145" s="20">
        <v>182</v>
      </c>
      <c r="AO145" s="20">
        <v>5</v>
      </c>
      <c r="AP145" s="20">
        <v>20</v>
      </c>
      <c r="AQ145" s="20">
        <v>0</v>
      </c>
      <c r="AR145" s="20">
        <v>0</v>
      </c>
      <c r="AS145" s="20">
        <v>7</v>
      </c>
      <c r="AT145" s="20">
        <v>10</v>
      </c>
      <c r="AU145" s="300">
        <f t="shared" si="23"/>
        <v>224</v>
      </c>
      <c r="AV145" s="20">
        <v>190</v>
      </c>
      <c r="AW145" s="20">
        <v>5</v>
      </c>
      <c r="AX145" s="20">
        <v>20</v>
      </c>
      <c r="AY145" s="20">
        <v>0</v>
      </c>
      <c r="AZ145" s="20">
        <v>0</v>
      </c>
      <c r="BA145" s="20">
        <v>7</v>
      </c>
      <c r="BB145" s="20">
        <v>10</v>
      </c>
      <c r="BC145" s="300">
        <f t="shared" si="24"/>
        <v>232</v>
      </c>
      <c r="BD145" s="42">
        <f t="shared" si="25"/>
        <v>8</v>
      </c>
      <c r="BE145" s="42">
        <f t="shared" si="26"/>
        <v>0</v>
      </c>
      <c r="BF145" s="42">
        <f t="shared" si="27"/>
        <v>0</v>
      </c>
      <c r="BG145" s="42">
        <f t="shared" si="28"/>
        <v>0</v>
      </c>
      <c r="BH145" s="42">
        <f t="shared" si="29"/>
        <v>0</v>
      </c>
      <c r="BI145" s="42">
        <f t="shared" si="30"/>
        <v>0</v>
      </c>
      <c r="BJ145" s="42">
        <f t="shared" si="31"/>
        <v>0</v>
      </c>
      <c r="BK145" s="42">
        <f t="shared" si="32"/>
        <v>8</v>
      </c>
    </row>
    <row r="146" spans="1:63" ht="27" customHeight="1">
      <c r="A146" s="11">
        <f t="shared" si="33"/>
        <v>144</v>
      </c>
      <c r="B146" s="8" t="s">
        <v>1262</v>
      </c>
      <c r="C146" s="8">
        <v>1338</v>
      </c>
      <c r="D146" s="75" t="s">
        <v>1263</v>
      </c>
      <c r="E146" s="69">
        <v>100941226</v>
      </c>
      <c r="F146" s="62" t="s">
        <v>1085</v>
      </c>
      <c r="G146" s="63" t="s">
        <v>1264</v>
      </c>
      <c r="H146" s="13" t="s">
        <v>1087</v>
      </c>
      <c r="I146" s="14" t="s">
        <v>1265</v>
      </c>
      <c r="J146" s="64" t="s">
        <v>173</v>
      </c>
      <c r="K146" s="22">
        <v>30778</v>
      </c>
      <c r="L146" s="77" t="s">
        <v>174</v>
      </c>
      <c r="M146" s="154">
        <v>42314</v>
      </c>
      <c r="N146" s="154"/>
      <c r="O146" s="17" t="s">
        <v>32</v>
      </c>
      <c r="P146" s="16" t="s">
        <v>260</v>
      </c>
      <c r="Q146" s="16" t="s">
        <v>176</v>
      </c>
      <c r="R146" s="17" t="s">
        <v>177</v>
      </c>
      <c r="S146" s="17" t="s">
        <v>206</v>
      </c>
      <c r="T146" s="18"/>
      <c r="U146" s="18"/>
      <c r="V146" s="68" t="s">
        <v>179</v>
      </c>
      <c r="W146" s="68" t="s">
        <v>179</v>
      </c>
      <c r="X146" s="68">
        <v>7</v>
      </c>
      <c r="Y146" s="69" t="s">
        <v>179</v>
      </c>
      <c r="Z146" s="78" t="s">
        <v>181</v>
      </c>
      <c r="AA146" s="78"/>
      <c r="AB146" s="68"/>
      <c r="AC146" s="163"/>
      <c r="AD146" s="164"/>
      <c r="AE146" s="164"/>
      <c r="AF146" s="165"/>
      <c r="AG146" s="166"/>
      <c r="AH146" s="79"/>
      <c r="AI146" s="79"/>
      <c r="AJ146" s="68" t="s">
        <v>198</v>
      </c>
      <c r="AK146" s="68" t="s">
        <v>185</v>
      </c>
      <c r="AL146" s="68" t="s">
        <v>198</v>
      </c>
      <c r="AM146" s="169" t="s">
        <v>1266</v>
      </c>
      <c r="AN146" s="20">
        <v>182</v>
      </c>
      <c r="AO146" s="20">
        <v>5</v>
      </c>
      <c r="AP146" s="20">
        <v>0</v>
      </c>
      <c r="AQ146" s="20">
        <v>0</v>
      </c>
      <c r="AR146" s="20">
        <v>0</v>
      </c>
      <c r="AS146" s="20">
        <v>7</v>
      </c>
      <c r="AT146" s="20">
        <v>10</v>
      </c>
      <c r="AU146" s="300">
        <f t="shared" si="23"/>
        <v>204</v>
      </c>
      <c r="AV146" s="20">
        <v>190</v>
      </c>
      <c r="AW146" s="20">
        <v>5</v>
      </c>
      <c r="AX146" s="20">
        <v>0</v>
      </c>
      <c r="AY146" s="20">
        <v>0</v>
      </c>
      <c r="AZ146" s="20">
        <v>0</v>
      </c>
      <c r="BA146" s="20">
        <v>7</v>
      </c>
      <c r="BB146" s="20">
        <v>10</v>
      </c>
      <c r="BC146" s="300">
        <f t="shared" si="24"/>
        <v>212</v>
      </c>
      <c r="BD146" s="42">
        <f t="shared" si="25"/>
        <v>8</v>
      </c>
      <c r="BE146" s="42">
        <f t="shared" si="26"/>
        <v>0</v>
      </c>
      <c r="BF146" s="42">
        <f t="shared" si="27"/>
        <v>0</v>
      </c>
      <c r="BG146" s="42">
        <f t="shared" si="28"/>
        <v>0</v>
      </c>
      <c r="BH146" s="42">
        <f t="shared" si="29"/>
        <v>0</v>
      </c>
      <c r="BI146" s="42">
        <f t="shared" si="30"/>
        <v>0</v>
      </c>
      <c r="BJ146" s="42">
        <f t="shared" si="31"/>
        <v>0</v>
      </c>
      <c r="BK146" s="42">
        <f t="shared" si="32"/>
        <v>8</v>
      </c>
    </row>
    <row r="147" spans="1:63" ht="27" customHeight="1">
      <c r="A147" s="11">
        <f t="shared" si="33"/>
        <v>145</v>
      </c>
      <c r="B147" s="12" t="s">
        <v>1267</v>
      </c>
      <c r="C147" s="8">
        <v>1349</v>
      </c>
      <c r="D147" s="60" t="s">
        <v>1268</v>
      </c>
      <c r="E147" s="69">
        <v>90679632</v>
      </c>
      <c r="F147" s="62" t="s">
        <v>786</v>
      </c>
      <c r="G147" s="63" t="s">
        <v>700</v>
      </c>
      <c r="H147" s="13" t="s">
        <v>788</v>
      </c>
      <c r="I147" s="14" t="s">
        <v>15</v>
      </c>
      <c r="J147" s="64" t="s">
        <v>173</v>
      </c>
      <c r="K147" s="22">
        <v>33258</v>
      </c>
      <c r="L147" s="66" t="s">
        <v>174</v>
      </c>
      <c r="M147" s="23">
        <v>42320</v>
      </c>
      <c r="N147" s="23"/>
      <c r="O147" s="15" t="s">
        <v>32</v>
      </c>
      <c r="P147" s="16" t="s">
        <v>343</v>
      </c>
      <c r="Q147" s="16" t="s">
        <v>176</v>
      </c>
      <c r="R147" s="15" t="s">
        <v>177</v>
      </c>
      <c r="S147" s="15" t="s">
        <v>722</v>
      </c>
      <c r="T147" s="159"/>
      <c r="U147" s="159"/>
      <c r="V147" s="19" t="s">
        <v>179</v>
      </c>
      <c r="W147" s="19" t="s">
        <v>179</v>
      </c>
      <c r="X147" s="1">
        <v>6</v>
      </c>
      <c r="Y147" s="160" t="s">
        <v>1269</v>
      </c>
      <c r="Z147" s="70" t="s">
        <v>181</v>
      </c>
      <c r="AA147" s="70"/>
      <c r="AB147" s="1"/>
      <c r="AC147" s="161"/>
      <c r="AD147" s="99"/>
      <c r="AE147" s="99"/>
      <c r="AF147" s="108"/>
      <c r="AG147" s="106"/>
      <c r="AH147" s="162"/>
      <c r="AI147" s="162"/>
      <c r="AJ147" s="19" t="s">
        <v>198</v>
      </c>
      <c r="AK147" s="19" t="s">
        <v>185</v>
      </c>
      <c r="AL147" s="19" t="s">
        <v>198</v>
      </c>
      <c r="AM147" s="107" t="s">
        <v>1194</v>
      </c>
      <c r="AN147" s="20">
        <v>182</v>
      </c>
      <c r="AO147" s="20">
        <v>5</v>
      </c>
      <c r="AP147" s="20">
        <v>0</v>
      </c>
      <c r="AQ147" s="20">
        <v>0</v>
      </c>
      <c r="AR147" s="20">
        <v>0</v>
      </c>
      <c r="AS147" s="20">
        <v>7</v>
      </c>
      <c r="AT147" s="20">
        <v>10</v>
      </c>
      <c r="AU147" s="300">
        <f t="shared" si="23"/>
        <v>204</v>
      </c>
      <c r="AV147" s="20">
        <v>190</v>
      </c>
      <c r="AW147" s="20">
        <v>5</v>
      </c>
      <c r="AX147" s="20">
        <v>0</v>
      </c>
      <c r="AY147" s="20">
        <v>0</v>
      </c>
      <c r="AZ147" s="20">
        <v>0</v>
      </c>
      <c r="BA147" s="20">
        <v>7</v>
      </c>
      <c r="BB147" s="20">
        <v>10</v>
      </c>
      <c r="BC147" s="300">
        <f t="shared" si="24"/>
        <v>212</v>
      </c>
      <c r="BD147" s="42">
        <f t="shared" si="25"/>
        <v>8</v>
      </c>
      <c r="BE147" s="42">
        <f t="shared" si="26"/>
        <v>0</v>
      </c>
      <c r="BF147" s="42">
        <f t="shared" si="27"/>
        <v>0</v>
      </c>
      <c r="BG147" s="42">
        <f t="shared" si="28"/>
        <v>0</v>
      </c>
      <c r="BH147" s="42">
        <f t="shared" si="29"/>
        <v>0</v>
      </c>
      <c r="BI147" s="42">
        <f t="shared" si="30"/>
        <v>0</v>
      </c>
      <c r="BJ147" s="42">
        <f t="shared" si="31"/>
        <v>0</v>
      </c>
      <c r="BK147" s="42">
        <f t="shared" si="32"/>
        <v>8</v>
      </c>
    </row>
    <row r="148" spans="1:63" ht="27" customHeight="1">
      <c r="A148" s="11">
        <f t="shared" si="33"/>
        <v>146</v>
      </c>
      <c r="B148" s="12" t="s">
        <v>1270</v>
      </c>
      <c r="C148" s="8">
        <v>1350</v>
      </c>
      <c r="D148" s="60" t="s">
        <v>1271</v>
      </c>
      <c r="E148" s="69">
        <v>110186635</v>
      </c>
      <c r="F148" s="62" t="s">
        <v>1272</v>
      </c>
      <c r="G148" s="63" t="s">
        <v>1273</v>
      </c>
      <c r="H148" s="13" t="s">
        <v>1274</v>
      </c>
      <c r="I148" s="14" t="s">
        <v>1275</v>
      </c>
      <c r="J148" s="64" t="s">
        <v>173</v>
      </c>
      <c r="K148" s="22">
        <v>27851</v>
      </c>
      <c r="L148" s="66" t="s">
        <v>174</v>
      </c>
      <c r="M148" s="23">
        <v>42321</v>
      </c>
      <c r="N148" s="23"/>
      <c r="O148" s="15" t="s">
        <v>32</v>
      </c>
      <c r="P148" s="16" t="s">
        <v>1276</v>
      </c>
      <c r="Q148" s="16" t="s">
        <v>176</v>
      </c>
      <c r="R148" s="15" t="s">
        <v>177</v>
      </c>
      <c r="S148" s="11" t="s">
        <v>223</v>
      </c>
      <c r="T148" s="159"/>
      <c r="U148" s="159"/>
      <c r="V148" s="19" t="s">
        <v>179</v>
      </c>
      <c r="W148" s="19" t="s">
        <v>179</v>
      </c>
      <c r="X148" s="15" t="s">
        <v>1277</v>
      </c>
      <c r="Y148" s="160">
        <v>887793421</v>
      </c>
      <c r="Z148" s="70" t="s">
        <v>181</v>
      </c>
      <c r="AA148" s="70"/>
      <c r="AB148" s="1"/>
      <c r="AC148" s="161"/>
      <c r="AD148" s="99"/>
      <c r="AE148" s="99"/>
      <c r="AF148" s="108"/>
      <c r="AG148" s="106"/>
      <c r="AH148" s="162"/>
      <c r="AI148" s="162"/>
      <c r="AJ148" s="19" t="s">
        <v>198</v>
      </c>
      <c r="AK148" s="19" t="s">
        <v>185</v>
      </c>
      <c r="AL148" s="19" t="s">
        <v>198</v>
      </c>
      <c r="AM148" s="107" t="s">
        <v>1194</v>
      </c>
      <c r="AN148" s="20">
        <v>182</v>
      </c>
      <c r="AO148" s="20">
        <v>5</v>
      </c>
      <c r="AP148" s="20">
        <v>20</v>
      </c>
      <c r="AQ148" s="20">
        <v>0</v>
      </c>
      <c r="AR148" s="20">
        <v>0</v>
      </c>
      <c r="AS148" s="20">
        <v>7</v>
      </c>
      <c r="AT148" s="20">
        <v>10</v>
      </c>
      <c r="AU148" s="300">
        <f t="shared" si="23"/>
        <v>224</v>
      </c>
      <c r="AV148" s="20">
        <v>190</v>
      </c>
      <c r="AW148" s="20">
        <v>5</v>
      </c>
      <c r="AX148" s="20">
        <v>20</v>
      </c>
      <c r="AY148" s="20">
        <v>0</v>
      </c>
      <c r="AZ148" s="20">
        <v>0</v>
      </c>
      <c r="BA148" s="20">
        <v>7</v>
      </c>
      <c r="BB148" s="20">
        <v>10</v>
      </c>
      <c r="BC148" s="300">
        <f t="shared" si="24"/>
        <v>232</v>
      </c>
      <c r="BD148" s="42">
        <f t="shared" si="25"/>
        <v>8</v>
      </c>
      <c r="BE148" s="42">
        <f t="shared" si="26"/>
        <v>0</v>
      </c>
      <c r="BF148" s="42">
        <f t="shared" si="27"/>
        <v>0</v>
      </c>
      <c r="BG148" s="42">
        <f t="shared" si="28"/>
        <v>0</v>
      </c>
      <c r="BH148" s="42">
        <f t="shared" si="29"/>
        <v>0</v>
      </c>
      <c r="BI148" s="42">
        <f t="shared" si="30"/>
        <v>0</v>
      </c>
      <c r="BJ148" s="42">
        <f t="shared" si="31"/>
        <v>0</v>
      </c>
      <c r="BK148" s="42">
        <f t="shared" si="32"/>
        <v>8</v>
      </c>
    </row>
    <row r="149" spans="1:63" ht="27" customHeight="1">
      <c r="A149" s="11">
        <f t="shared" si="33"/>
        <v>147</v>
      </c>
      <c r="B149" s="12" t="s">
        <v>1278</v>
      </c>
      <c r="C149" s="8">
        <v>1353</v>
      </c>
      <c r="D149" s="60" t="s">
        <v>1279</v>
      </c>
      <c r="E149" s="69">
        <v>110338600</v>
      </c>
      <c r="F149" s="62" t="s">
        <v>1280</v>
      </c>
      <c r="G149" s="63" t="s">
        <v>1281</v>
      </c>
      <c r="H149" s="13" t="s">
        <v>1282</v>
      </c>
      <c r="I149" s="14" t="s">
        <v>1283</v>
      </c>
      <c r="J149" s="64" t="s">
        <v>204</v>
      </c>
      <c r="K149" s="22">
        <v>32515</v>
      </c>
      <c r="L149" s="66" t="s">
        <v>174</v>
      </c>
      <c r="M149" s="23">
        <v>42321</v>
      </c>
      <c r="N149" s="23"/>
      <c r="O149" s="15" t="s">
        <v>12</v>
      </c>
      <c r="P149" s="16" t="s">
        <v>13</v>
      </c>
      <c r="Q149" s="16" t="s">
        <v>176</v>
      </c>
      <c r="R149" s="17" t="s">
        <v>177</v>
      </c>
      <c r="S149" s="16" t="s">
        <v>223</v>
      </c>
      <c r="T149" s="18"/>
      <c r="U149" s="18"/>
      <c r="V149" s="68" t="s">
        <v>179</v>
      </c>
      <c r="W149" s="68" t="s">
        <v>179</v>
      </c>
      <c r="X149" s="68">
        <v>5</v>
      </c>
      <c r="Y149" s="69" t="s">
        <v>1284</v>
      </c>
      <c r="Z149" s="70"/>
      <c r="AA149" s="70" t="s">
        <v>181</v>
      </c>
      <c r="AB149" s="1"/>
      <c r="AC149" s="161" t="s">
        <v>133</v>
      </c>
      <c r="AD149" s="99"/>
      <c r="AE149" s="99"/>
      <c r="AF149" s="108"/>
      <c r="AG149" s="106"/>
      <c r="AH149" s="162"/>
      <c r="AI149" s="162"/>
      <c r="AJ149" s="19" t="s">
        <v>198</v>
      </c>
      <c r="AK149" s="19" t="s">
        <v>185</v>
      </c>
      <c r="AL149" s="19" t="s">
        <v>185</v>
      </c>
      <c r="AM149" s="107" t="s">
        <v>1285</v>
      </c>
      <c r="AN149" s="20">
        <v>182</v>
      </c>
      <c r="AO149" s="20">
        <v>5</v>
      </c>
      <c r="AP149" s="20">
        <v>0</v>
      </c>
      <c r="AQ149" s="20">
        <v>123</v>
      </c>
      <c r="AR149" s="20">
        <v>20</v>
      </c>
      <c r="AS149" s="20">
        <v>7</v>
      </c>
      <c r="AT149" s="20">
        <v>10</v>
      </c>
      <c r="AU149" s="300">
        <f t="shared" si="23"/>
        <v>347</v>
      </c>
      <c r="AV149" s="20">
        <v>190</v>
      </c>
      <c r="AW149" s="20">
        <v>5</v>
      </c>
      <c r="AX149" s="20">
        <v>0</v>
      </c>
      <c r="AY149" s="20">
        <v>123</v>
      </c>
      <c r="AZ149" s="20">
        <v>20</v>
      </c>
      <c r="BA149" s="20">
        <v>7</v>
      </c>
      <c r="BB149" s="20">
        <v>10</v>
      </c>
      <c r="BC149" s="300">
        <f t="shared" si="24"/>
        <v>355</v>
      </c>
      <c r="BD149" s="42">
        <f t="shared" si="25"/>
        <v>8</v>
      </c>
      <c r="BE149" s="42">
        <f t="shared" si="26"/>
        <v>0</v>
      </c>
      <c r="BF149" s="42">
        <f t="shared" si="27"/>
        <v>0</v>
      </c>
      <c r="BG149" s="42">
        <f t="shared" si="28"/>
        <v>0</v>
      </c>
      <c r="BH149" s="42">
        <f t="shared" si="29"/>
        <v>0</v>
      </c>
      <c r="BI149" s="42">
        <f t="shared" si="30"/>
        <v>0</v>
      </c>
      <c r="BJ149" s="42">
        <f t="shared" si="31"/>
        <v>0</v>
      </c>
      <c r="BK149" s="42">
        <f t="shared" si="32"/>
        <v>8</v>
      </c>
    </row>
    <row r="150" spans="1:63" ht="27" customHeight="1">
      <c r="A150" s="11">
        <f t="shared" si="33"/>
        <v>148</v>
      </c>
      <c r="B150" s="12" t="s">
        <v>1286</v>
      </c>
      <c r="C150" s="8">
        <v>1362</v>
      </c>
      <c r="D150" s="60" t="s">
        <v>1287</v>
      </c>
      <c r="E150" s="69">
        <v>100694493</v>
      </c>
      <c r="F150" s="62" t="s">
        <v>1288</v>
      </c>
      <c r="G150" s="63" t="s">
        <v>1150</v>
      </c>
      <c r="H150" s="13" t="s">
        <v>1289</v>
      </c>
      <c r="I150" s="14" t="s">
        <v>1152</v>
      </c>
      <c r="J150" s="64" t="s">
        <v>173</v>
      </c>
      <c r="K150" s="22">
        <v>32740</v>
      </c>
      <c r="L150" s="66" t="s">
        <v>174</v>
      </c>
      <c r="M150" s="23">
        <v>42325</v>
      </c>
      <c r="N150" s="23"/>
      <c r="O150" s="15" t="s">
        <v>32</v>
      </c>
      <c r="P150" s="16" t="s">
        <v>1276</v>
      </c>
      <c r="Q150" s="16" t="s">
        <v>176</v>
      </c>
      <c r="R150" s="15" t="s">
        <v>177</v>
      </c>
      <c r="S150" s="17" t="s">
        <v>206</v>
      </c>
      <c r="T150" s="159"/>
      <c r="U150" s="159"/>
      <c r="V150" s="19" t="s">
        <v>179</v>
      </c>
      <c r="W150" s="19" t="s">
        <v>179</v>
      </c>
      <c r="X150" s="1">
        <v>9</v>
      </c>
      <c r="Y150" s="160">
        <v>98536367</v>
      </c>
      <c r="Z150" s="70" t="s">
        <v>181</v>
      </c>
      <c r="AA150" s="70"/>
      <c r="AB150" s="1"/>
      <c r="AC150" s="161"/>
      <c r="AD150" s="99"/>
      <c r="AE150" s="99"/>
      <c r="AF150" s="108"/>
      <c r="AG150" s="106"/>
      <c r="AH150" s="162"/>
      <c r="AI150" s="162"/>
      <c r="AJ150" s="19" t="s">
        <v>198</v>
      </c>
      <c r="AK150" s="19" t="s">
        <v>185</v>
      </c>
      <c r="AL150" s="19" t="s">
        <v>198</v>
      </c>
      <c r="AM150" s="107" t="s">
        <v>1194</v>
      </c>
      <c r="AN150" s="20">
        <v>182</v>
      </c>
      <c r="AO150" s="20">
        <v>5</v>
      </c>
      <c r="AP150" s="20">
        <v>20</v>
      </c>
      <c r="AQ150" s="20">
        <v>0</v>
      </c>
      <c r="AR150" s="20">
        <v>0</v>
      </c>
      <c r="AS150" s="20">
        <v>7</v>
      </c>
      <c r="AT150" s="20">
        <v>10</v>
      </c>
      <c r="AU150" s="300">
        <f t="shared" si="23"/>
        <v>224</v>
      </c>
      <c r="AV150" s="20">
        <v>190</v>
      </c>
      <c r="AW150" s="20">
        <v>5</v>
      </c>
      <c r="AX150" s="20">
        <v>20</v>
      </c>
      <c r="AY150" s="20">
        <v>0</v>
      </c>
      <c r="AZ150" s="20">
        <v>0</v>
      </c>
      <c r="BA150" s="20">
        <v>7</v>
      </c>
      <c r="BB150" s="20">
        <v>10</v>
      </c>
      <c r="BC150" s="300">
        <f t="shared" si="24"/>
        <v>232</v>
      </c>
      <c r="BD150" s="42">
        <f t="shared" si="25"/>
        <v>8</v>
      </c>
      <c r="BE150" s="42">
        <f t="shared" si="26"/>
        <v>0</v>
      </c>
      <c r="BF150" s="42">
        <f t="shared" si="27"/>
        <v>0</v>
      </c>
      <c r="BG150" s="42">
        <f t="shared" si="28"/>
        <v>0</v>
      </c>
      <c r="BH150" s="42">
        <f t="shared" si="29"/>
        <v>0</v>
      </c>
      <c r="BI150" s="42">
        <f t="shared" si="30"/>
        <v>0</v>
      </c>
      <c r="BJ150" s="42">
        <f t="shared" si="31"/>
        <v>0</v>
      </c>
      <c r="BK150" s="42">
        <f t="shared" si="32"/>
        <v>8</v>
      </c>
    </row>
    <row r="151" spans="1:63" ht="27" customHeight="1">
      <c r="A151" s="11">
        <f t="shared" si="33"/>
        <v>149</v>
      </c>
      <c r="B151" s="109" t="s">
        <v>1290</v>
      </c>
      <c r="C151" s="109">
        <v>1377</v>
      </c>
      <c r="D151" s="110" t="s">
        <v>1291</v>
      </c>
      <c r="E151" s="111">
        <v>100938237</v>
      </c>
      <c r="F151" s="112" t="s">
        <v>1292</v>
      </c>
      <c r="G151" s="113" t="s">
        <v>1293</v>
      </c>
      <c r="H151" s="114" t="s">
        <v>1294</v>
      </c>
      <c r="I151" s="115" t="s">
        <v>1295</v>
      </c>
      <c r="J151" s="116" t="s">
        <v>173</v>
      </c>
      <c r="K151" s="117">
        <v>35827</v>
      </c>
      <c r="L151" s="118" t="s">
        <v>174</v>
      </c>
      <c r="M151" s="119">
        <v>42327</v>
      </c>
      <c r="N151" s="119"/>
      <c r="O151" s="120" t="s">
        <v>24</v>
      </c>
      <c r="P151" s="16" t="s">
        <v>25</v>
      </c>
      <c r="Q151" s="16" t="s">
        <v>176</v>
      </c>
      <c r="R151" s="120" t="s">
        <v>177</v>
      </c>
      <c r="S151" s="120" t="s">
        <v>206</v>
      </c>
      <c r="T151" s="122"/>
      <c r="U151" s="122"/>
      <c r="V151" s="123" t="s">
        <v>195</v>
      </c>
      <c r="W151" s="123" t="s">
        <v>195</v>
      </c>
      <c r="X151" s="123">
        <v>5</v>
      </c>
      <c r="Y151" s="111">
        <v>966616341</v>
      </c>
      <c r="Z151" s="125" t="s">
        <v>181</v>
      </c>
      <c r="AA151" s="125"/>
      <c r="AB151" s="123"/>
      <c r="AC151" s="170"/>
      <c r="AD151" s="151"/>
      <c r="AE151" s="151"/>
      <c r="AF151" s="153"/>
      <c r="AG151" s="152"/>
      <c r="AH151" s="128"/>
      <c r="AI151" s="128"/>
      <c r="AJ151" s="123" t="s">
        <v>198</v>
      </c>
      <c r="AK151" s="123" t="s">
        <v>185</v>
      </c>
      <c r="AL151" s="123" t="s">
        <v>198</v>
      </c>
      <c r="AM151" s="129" t="s">
        <v>1296</v>
      </c>
      <c r="AN151" s="20">
        <v>182</v>
      </c>
      <c r="AO151" s="20">
        <v>5</v>
      </c>
      <c r="AP151" s="20">
        <v>0</v>
      </c>
      <c r="AQ151" s="20">
        <v>0</v>
      </c>
      <c r="AR151" s="20">
        <v>0</v>
      </c>
      <c r="AS151" s="20">
        <v>7</v>
      </c>
      <c r="AT151" s="20">
        <v>10</v>
      </c>
      <c r="AU151" s="300">
        <f t="shared" si="23"/>
        <v>204</v>
      </c>
      <c r="AV151" s="20">
        <v>190</v>
      </c>
      <c r="AW151" s="20">
        <v>5</v>
      </c>
      <c r="AX151" s="20">
        <v>0</v>
      </c>
      <c r="AY151" s="20">
        <v>0</v>
      </c>
      <c r="AZ151" s="20">
        <v>0</v>
      </c>
      <c r="BA151" s="20">
        <v>7</v>
      </c>
      <c r="BB151" s="20">
        <v>10</v>
      </c>
      <c r="BC151" s="300">
        <f t="shared" si="24"/>
        <v>212</v>
      </c>
      <c r="BD151" s="42">
        <f t="shared" si="25"/>
        <v>8</v>
      </c>
      <c r="BE151" s="42">
        <f t="shared" si="26"/>
        <v>0</v>
      </c>
      <c r="BF151" s="42">
        <f t="shared" si="27"/>
        <v>0</v>
      </c>
      <c r="BG151" s="42">
        <f t="shared" si="28"/>
        <v>0</v>
      </c>
      <c r="BH151" s="42">
        <f t="shared" si="29"/>
        <v>0</v>
      </c>
      <c r="BI151" s="42">
        <f t="shared" si="30"/>
        <v>0</v>
      </c>
      <c r="BJ151" s="42">
        <f t="shared" si="31"/>
        <v>0</v>
      </c>
      <c r="BK151" s="42">
        <f t="shared" si="32"/>
        <v>8</v>
      </c>
    </row>
    <row r="152" spans="1:63" ht="27" customHeight="1">
      <c r="A152" s="11">
        <f t="shared" si="33"/>
        <v>150</v>
      </c>
      <c r="B152" s="12" t="s">
        <v>1297</v>
      </c>
      <c r="C152" s="8">
        <v>1384</v>
      </c>
      <c r="D152" s="74" t="s">
        <v>1298</v>
      </c>
      <c r="E152" s="69">
        <v>110239955</v>
      </c>
      <c r="F152" s="62" t="s">
        <v>676</v>
      </c>
      <c r="G152" s="63" t="s">
        <v>1299</v>
      </c>
      <c r="H152" s="13" t="s">
        <v>1300</v>
      </c>
      <c r="I152" s="14" t="s">
        <v>908</v>
      </c>
      <c r="J152" s="64" t="s">
        <v>173</v>
      </c>
      <c r="K152" s="22">
        <v>30878</v>
      </c>
      <c r="L152" s="66" t="s">
        <v>174</v>
      </c>
      <c r="M152" s="23">
        <v>42332</v>
      </c>
      <c r="N152" s="23"/>
      <c r="O152" s="15" t="s">
        <v>32</v>
      </c>
      <c r="P152" s="16" t="s">
        <v>304</v>
      </c>
      <c r="Q152" s="16" t="s">
        <v>176</v>
      </c>
      <c r="R152" s="15" t="s">
        <v>177</v>
      </c>
      <c r="S152" s="11" t="s">
        <v>223</v>
      </c>
      <c r="T152" s="159"/>
      <c r="U152" s="159"/>
      <c r="V152" s="19" t="s">
        <v>179</v>
      </c>
      <c r="W152" s="19" t="s">
        <v>179</v>
      </c>
      <c r="X152" s="1">
        <v>6</v>
      </c>
      <c r="Y152" s="160">
        <v>884416646</v>
      </c>
      <c r="Z152" s="70" t="s">
        <v>181</v>
      </c>
      <c r="AA152" s="70"/>
      <c r="AB152" s="1"/>
      <c r="AC152" s="161"/>
      <c r="AD152" s="99"/>
      <c r="AE152" s="99"/>
      <c r="AF152" s="108"/>
      <c r="AG152" s="106"/>
      <c r="AH152" s="162"/>
      <c r="AI152" s="162"/>
      <c r="AJ152" s="19" t="s">
        <v>198</v>
      </c>
      <c r="AK152" s="19" t="s">
        <v>185</v>
      </c>
      <c r="AL152" s="19" t="s">
        <v>185</v>
      </c>
      <c r="AM152" s="107" t="s">
        <v>1187</v>
      </c>
      <c r="AN152" s="20">
        <v>182</v>
      </c>
      <c r="AO152" s="20">
        <v>5</v>
      </c>
      <c r="AP152" s="20">
        <v>0</v>
      </c>
      <c r="AQ152" s="20">
        <v>0</v>
      </c>
      <c r="AR152" s="20">
        <v>0</v>
      </c>
      <c r="AS152" s="20">
        <v>7</v>
      </c>
      <c r="AT152" s="20">
        <v>10</v>
      </c>
      <c r="AU152" s="300">
        <f t="shared" si="23"/>
        <v>204</v>
      </c>
      <c r="AV152" s="20">
        <v>190</v>
      </c>
      <c r="AW152" s="20">
        <v>5</v>
      </c>
      <c r="AX152" s="20">
        <v>0</v>
      </c>
      <c r="AY152" s="20">
        <v>0</v>
      </c>
      <c r="AZ152" s="20">
        <v>0</v>
      </c>
      <c r="BA152" s="20">
        <v>7</v>
      </c>
      <c r="BB152" s="20">
        <v>10</v>
      </c>
      <c r="BC152" s="300">
        <f t="shared" si="24"/>
        <v>212</v>
      </c>
      <c r="BD152" s="42">
        <f t="shared" si="25"/>
        <v>8</v>
      </c>
      <c r="BE152" s="42">
        <f t="shared" si="26"/>
        <v>0</v>
      </c>
      <c r="BF152" s="42">
        <f t="shared" si="27"/>
        <v>0</v>
      </c>
      <c r="BG152" s="42">
        <f t="shared" si="28"/>
        <v>0</v>
      </c>
      <c r="BH152" s="42">
        <f t="shared" si="29"/>
        <v>0</v>
      </c>
      <c r="BI152" s="42">
        <f t="shared" si="30"/>
        <v>0</v>
      </c>
      <c r="BJ152" s="42">
        <f t="shared" si="31"/>
        <v>0</v>
      </c>
      <c r="BK152" s="42">
        <f t="shared" si="32"/>
        <v>8</v>
      </c>
    </row>
    <row r="153" spans="1:63" ht="27" customHeight="1">
      <c r="A153" s="11">
        <f t="shared" si="33"/>
        <v>151</v>
      </c>
      <c r="B153" s="12" t="s">
        <v>1301</v>
      </c>
      <c r="C153" s="8">
        <v>1385</v>
      </c>
      <c r="D153" s="60" t="s">
        <v>1302</v>
      </c>
      <c r="E153" s="69">
        <v>130115592</v>
      </c>
      <c r="F153" s="62" t="s">
        <v>958</v>
      </c>
      <c r="G153" s="63" t="s">
        <v>1303</v>
      </c>
      <c r="H153" s="13" t="s">
        <v>959</v>
      </c>
      <c r="I153" s="14" t="s">
        <v>1304</v>
      </c>
      <c r="J153" s="64" t="s">
        <v>204</v>
      </c>
      <c r="K153" s="22">
        <v>34705</v>
      </c>
      <c r="L153" s="66" t="s">
        <v>174</v>
      </c>
      <c r="M153" s="23">
        <v>42332</v>
      </c>
      <c r="N153" s="23"/>
      <c r="O153" s="15" t="s">
        <v>526</v>
      </c>
      <c r="P153" s="16" t="s">
        <v>527</v>
      </c>
      <c r="Q153" s="16" t="s">
        <v>176</v>
      </c>
      <c r="R153" s="15" t="s">
        <v>177</v>
      </c>
      <c r="S153" s="17" t="s">
        <v>251</v>
      </c>
      <c r="T153" s="159"/>
      <c r="U153" s="159"/>
      <c r="V153" s="19" t="s">
        <v>195</v>
      </c>
      <c r="W153" s="19" t="s">
        <v>195</v>
      </c>
      <c r="X153" s="1">
        <v>7</v>
      </c>
      <c r="Y153" s="160">
        <v>70768907</v>
      </c>
      <c r="Z153" s="70" t="s">
        <v>181</v>
      </c>
      <c r="AA153" s="70"/>
      <c r="AB153" s="1"/>
      <c r="AC153" s="161"/>
      <c r="AD153" s="99"/>
      <c r="AE153" s="99"/>
      <c r="AF153" s="108"/>
      <c r="AG153" s="106"/>
      <c r="AH153" s="162"/>
      <c r="AI153" s="162"/>
      <c r="AJ153" s="19" t="s">
        <v>198</v>
      </c>
      <c r="AK153" s="19" t="s">
        <v>185</v>
      </c>
      <c r="AL153" s="19" t="s">
        <v>185</v>
      </c>
      <c r="AM153" s="107" t="s">
        <v>1187</v>
      </c>
      <c r="AN153" s="20">
        <v>182</v>
      </c>
      <c r="AO153" s="20">
        <v>5</v>
      </c>
      <c r="AP153" s="20">
        <v>0</v>
      </c>
      <c r="AQ153" s="20">
        <v>40</v>
      </c>
      <c r="AR153" s="20">
        <v>24</v>
      </c>
      <c r="AS153" s="20">
        <v>7</v>
      </c>
      <c r="AT153" s="20">
        <v>10</v>
      </c>
      <c r="AU153" s="300">
        <f t="shared" si="23"/>
        <v>268</v>
      </c>
      <c r="AV153" s="20">
        <v>190</v>
      </c>
      <c r="AW153" s="20">
        <v>5</v>
      </c>
      <c r="AX153" s="20">
        <v>0</v>
      </c>
      <c r="AY153" s="20">
        <v>40</v>
      </c>
      <c r="AZ153" s="20">
        <v>24</v>
      </c>
      <c r="BA153" s="20">
        <v>7</v>
      </c>
      <c r="BB153" s="20">
        <v>10</v>
      </c>
      <c r="BC153" s="300">
        <f t="shared" si="24"/>
        <v>276</v>
      </c>
      <c r="BD153" s="42">
        <f t="shared" si="25"/>
        <v>8</v>
      </c>
      <c r="BE153" s="42">
        <f t="shared" si="26"/>
        <v>0</v>
      </c>
      <c r="BF153" s="42">
        <f t="shared" si="27"/>
        <v>0</v>
      </c>
      <c r="BG153" s="42">
        <f t="shared" si="28"/>
        <v>0</v>
      </c>
      <c r="BH153" s="42">
        <f t="shared" si="29"/>
        <v>0</v>
      </c>
      <c r="BI153" s="42">
        <f t="shared" si="30"/>
        <v>0</v>
      </c>
      <c r="BJ153" s="42">
        <f t="shared" si="31"/>
        <v>0</v>
      </c>
      <c r="BK153" s="42">
        <f t="shared" si="32"/>
        <v>8</v>
      </c>
    </row>
    <row r="154" spans="1:63" ht="27" customHeight="1">
      <c r="A154" s="11">
        <f t="shared" si="33"/>
        <v>152</v>
      </c>
      <c r="B154" s="12" t="s">
        <v>1305</v>
      </c>
      <c r="C154" s="8">
        <v>1396</v>
      </c>
      <c r="D154" s="60" t="s">
        <v>1306</v>
      </c>
      <c r="E154" s="69">
        <v>50438647</v>
      </c>
      <c r="F154" s="62" t="s">
        <v>1307</v>
      </c>
      <c r="G154" s="63" t="s">
        <v>1308</v>
      </c>
      <c r="H154" s="13" t="s">
        <v>1309</v>
      </c>
      <c r="I154" s="14" t="s">
        <v>1310</v>
      </c>
      <c r="J154" s="64" t="s">
        <v>173</v>
      </c>
      <c r="K154" s="22">
        <v>31757</v>
      </c>
      <c r="L154" s="66" t="s">
        <v>174</v>
      </c>
      <c r="M154" s="23">
        <v>42340</v>
      </c>
      <c r="N154" s="23"/>
      <c r="O154" s="15" t="s">
        <v>32</v>
      </c>
      <c r="P154" s="16" t="s">
        <v>1276</v>
      </c>
      <c r="Q154" s="16" t="s">
        <v>176</v>
      </c>
      <c r="R154" s="15" t="s">
        <v>177</v>
      </c>
      <c r="S154" s="11" t="s">
        <v>214</v>
      </c>
      <c r="T154" s="159"/>
      <c r="U154" s="159"/>
      <c r="V154" s="19" t="s">
        <v>179</v>
      </c>
      <c r="W154" s="19" t="s">
        <v>179</v>
      </c>
      <c r="X154" s="1">
        <v>9</v>
      </c>
      <c r="Y154" s="160" t="s">
        <v>1311</v>
      </c>
      <c r="Z154" s="70"/>
      <c r="AA154" s="70" t="s">
        <v>181</v>
      </c>
      <c r="AB154" s="1"/>
      <c r="AC154" s="161" t="s">
        <v>197</v>
      </c>
      <c r="AD154" s="99"/>
      <c r="AE154" s="99"/>
      <c r="AF154" s="108"/>
      <c r="AG154" s="106"/>
      <c r="AH154" s="162"/>
      <c r="AI154" s="162"/>
      <c r="AJ154" s="19" t="s">
        <v>198</v>
      </c>
      <c r="AK154" s="19" t="s">
        <v>185</v>
      </c>
      <c r="AL154" s="19" t="s">
        <v>198</v>
      </c>
      <c r="AM154" s="107" t="s">
        <v>1154</v>
      </c>
      <c r="AN154" s="20">
        <v>182</v>
      </c>
      <c r="AO154" s="20">
        <v>5</v>
      </c>
      <c r="AP154" s="20">
        <v>20</v>
      </c>
      <c r="AQ154" s="20">
        <v>0</v>
      </c>
      <c r="AR154" s="20">
        <v>0</v>
      </c>
      <c r="AS154" s="20">
        <v>7</v>
      </c>
      <c r="AT154" s="20">
        <v>10</v>
      </c>
      <c r="AU154" s="300">
        <f t="shared" si="23"/>
        <v>224</v>
      </c>
      <c r="AV154" s="20">
        <v>190</v>
      </c>
      <c r="AW154" s="20">
        <v>5</v>
      </c>
      <c r="AX154" s="20">
        <v>20</v>
      </c>
      <c r="AY154" s="20">
        <v>0</v>
      </c>
      <c r="AZ154" s="20">
        <v>0</v>
      </c>
      <c r="BA154" s="20">
        <v>7</v>
      </c>
      <c r="BB154" s="20">
        <v>10</v>
      </c>
      <c r="BC154" s="300">
        <f t="shared" si="24"/>
        <v>232</v>
      </c>
      <c r="BD154" s="42">
        <f t="shared" si="25"/>
        <v>8</v>
      </c>
      <c r="BE154" s="42">
        <f t="shared" si="26"/>
        <v>0</v>
      </c>
      <c r="BF154" s="42">
        <f t="shared" si="27"/>
        <v>0</v>
      </c>
      <c r="BG154" s="42">
        <f t="shared" si="28"/>
        <v>0</v>
      </c>
      <c r="BH154" s="42">
        <f t="shared" si="29"/>
        <v>0</v>
      </c>
      <c r="BI154" s="42">
        <f t="shared" si="30"/>
        <v>0</v>
      </c>
      <c r="BJ154" s="42">
        <f t="shared" si="31"/>
        <v>0</v>
      </c>
      <c r="BK154" s="42">
        <f t="shared" si="32"/>
        <v>8</v>
      </c>
    </row>
    <row r="155" spans="1:63" ht="27" customHeight="1">
      <c r="A155" s="11">
        <f t="shared" si="33"/>
        <v>153</v>
      </c>
      <c r="B155" s="12" t="s">
        <v>1312</v>
      </c>
      <c r="C155" s="8">
        <v>1398</v>
      </c>
      <c r="D155" s="60" t="s">
        <v>1313</v>
      </c>
      <c r="E155" s="69" t="s">
        <v>1314</v>
      </c>
      <c r="F155" s="62" t="s">
        <v>801</v>
      </c>
      <c r="G155" s="63" t="s">
        <v>1315</v>
      </c>
      <c r="H155" s="13" t="s">
        <v>803</v>
      </c>
      <c r="I155" s="14" t="s">
        <v>1316</v>
      </c>
      <c r="J155" s="64" t="s">
        <v>173</v>
      </c>
      <c r="K155" s="22">
        <v>36622</v>
      </c>
      <c r="L155" s="66" t="s">
        <v>174</v>
      </c>
      <c r="M155" s="23">
        <v>42340</v>
      </c>
      <c r="N155" s="23"/>
      <c r="O155" s="15" t="s">
        <v>32</v>
      </c>
      <c r="P155" s="16" t="s">
        <v>287</v>
      </c>
      <c r="Q155" s="16" t="s">
        <v>176</v>
      </c>
      <c r="R155" s="15" t="s">
        <v>177</v>
      </c>
      <c r="S155" s="11" t="s">
        <v>223</v>
      </c>
      <c r="T155" s="159"/>
      <c r="U155" s="159"/>
      <c r="V155" s="19" t="s">
        <v>195</v>
      </c>
      <c r="W155" s="19" t="s">
        <v>195</v>
      </c>
      <c r="X155" s="1">
        <v>7</v>
      </c>
      <c r="Y155" s="160" t="s">
        <v>1317</v>
      </c>
      <c r="Z155" s="70" t="s">
        <v>181</v>
      </c>
      <c r="AA155" s="70"/>
      <c r="AB155" s="1"/>
      <c r="AC155" s="161"/>
      <c r="AD155" s="99"/>
      <c r="AE155" s="99"/>
      <c r="AF155" s="108"/>
      <c r="AG155" s="106"/>
      <c r="AH155" s="162"/>
      <c r="AI155" s="162"/>
      <c r="AJ155" s="19" t="s">
        <v>198</v>
      </c>
      <c r="AK155" s="19" t="s">
        <v>185</v>
      </c>
      <c r="AL155" s="19" t="s">
        <v>198</v>
      </c>
      <c r="AM155" s="107" t="s">
        <v>1194</v>
      </c>
      <c r="AN155" s="20">
        <v>182</v>
      </c>
      <c r="AO155" s="20">
        <v>0</v>
      </c>
      <c r="AP155" s="20">
        <v>0</v>
      </c>
      <c r="AQ155" s="20">
        <v>0</v>
      </c>
      <c r="AR155" s="20">
        <v>0</v>
      </c>
      <c r="AS155" s="20">
        <v>7</v>
      </c>
      <c r="AT155" s="20">
        <v>10</v>
      </c>
      <c r="AU155" s="300">
        <f t="shared" si="23"/>
        <v>199</v>
      </c>
      <c r="AV155" s="20">
        <v>190</v>
      </c>
      <c r="AW155" s="20">
        <v>0</v>
      </c>
      <c r="AX155" s="20">
        <v>0</v>
      </c>
      <c r="AY155" s="20">
        <v>0</v>
      </c>
      <c r="AZ155" s="20">
        <v>0</v>
      </c>
      <c r="BA155" s="20">
        <v>7</v>
      </c>
      <c r="BB155" s="20">
        <v>10</v>
      </c>
      <c r="BC155" s="300">
        <f t="shared" si="24"/>
        <v>207</v>
      </c>
      <c r="BD155" s="42">
        <f t="shared" si="25"/>
        <v>8</v>
      </c>
      <c r="BE155" s="42">
        <f t="shared" si="26"/>
        <v>0</v>
      </c>
      <c r="BF155" s="42">
        <f t="shared" si="27"/>
        <v>0</v>
      </c>
      <c r="BG155" s="42">
        <f t="shared" si="28"/>
        <v>0</v>
      </c>
      <c r="BH155" s="42">
        <f t="shared" si="29"/>
        <v>0</v>
      </c>
      <c r="BI155" s="42">
        <f t="shared" si="30"/>
        <v>0</v>
      </c>
      <c r="BJ155" s="42">
        <f t="shared" si="31"/>
        <v>0</v>
      </c>
      <c r="BK155" s="42">
        <f t="shared" si="32"/>
        <v>8</v>
      </c>
    </row>
    <row r="156" spans="1:63" ht="27" customHeight="1">
      <c r="A156" s="11">
        <f t="shared" si="33"/>
        <v>154</v>
      </c>
      <c r="B156" s="12" t="s">
        <v>1318</v>
      </c>
      <c r="C156" s="8">
        <v>1408</v>
      </c>
      <c r="D156" s="60" t="s">
        <v>1319</v>
      </c>
      <c r="E156" s="69">
        <v>130181016</v>
      </c>
      <c r="F156" s="62" t="s">
        <v>1320</v>
      </c>
      <c r="G156" s="63" t="s">
        <v>1321</v>
      </c>
      <c r="H156" s="13" t="s">
        <v>1322</v>
      </c>
      <c r="I156" s="14" t="s">
        <v>1323</v>
      </c>
      <c r="J156" s="64" t="s">
        <v>173</v>
      </c>
      <c r="K156" s="22">
        <v>35621</v>
      </c>
      <c r="L156" s="66" t="s">
        <v>174</v>
      </c>
      <c r="M156" s="23">
        <v>42342</v>
      </c>
      <c r="N156" s="23"/>
      <c r="O156" s="15" t="s">
        <v>24</v>
      </c>
      <c r="P156" s="16" t="s">
        <v>25</v>
      </c>
      <c r="Q156" s="16" t="s">
        <v>176</v>
      </c>
      <c r="R156" s="15" t="s">
        <v>177</v>
      </c>
      <c r="S156" s="17" t="s">
        <v>251</v>
      </c>
      <c r="T156" s="159"/>
      <c r="U156" s="159"/>
      <c r="V156" s="19" t="s">
        <v>179</v>
      </c>
      <c r="W156" s="19" t="s">
        <v>179</v>
      </c>
      <c r="X156" s="1">
        <v>7</v>
      </c>
      <c r="Y156" s="160" t="s">
        <v>1324</v>
      </c>
      <c r="Z156" s="70" t="s">
        <v>181</v>
      </c>
      <c r="AA156" s="70"/>
      <c r="AB156" s="1"/>
      <c r="AC156" s="161"/>
      <c r="AD156" s="99"/>
      <c r="AE156" s="99"/>
      <c r="AF156" s="108"/>
      <c r="AG156" s="106"/>
      <c r="AH156" s="162"/>
      <c r="AI156" s="162"/>
      <c r="AJ156" s="19" t="s">
        <v>198</v>
      </c>
      <c r="AK156" s="19" t="s">
        <v>185</v>
      </c>
      <c r="AL156" s="19" t="s">
        <v>198</v>
      </c>
      <c r="AM156" s="107" t="s">
        <v>1296</v>
      </c>
      <c r="AN156" s="20">
        <v>182</v>
      </c>
      <c r="AO156" s="20">
        <v>5</v>
      </c>
      <c r="AP156" s="20">
        <v>0</v>
      </c>
      <c r="AQ156" s="20">
        <v>0</v>
      </c>
      <c r="AR156" s="20">
        <v>0</v>
      </c>
      <c r="AS156" s="20">
        <v>7</v>
      </c>
      <c r="AT156" s="20">
        <v>10</v>
      </c>
      <c r="AU156" s="300">
        <f t="shared" si="23"/>
        <v>204</v>
      </c>
      <c r="AV156" s="20">
        <v>190</v>
      </c>
      <c r="AW156" s="20">
        <v>5</v>
      </c>
      <c r="AX156" s="20">
        <v>0</v>
      </c>
      <c r="AY156" s="20">
        <v>0</v>
      </c>
      <c r="AZ156" s="20">
        <v>0</v>
      </c>
      <c r="BA156" s="20">
        <v>7</v>
      </c>
      <c r="BB156" s="20">
        <v>10</v>
      </c>
      <c r="BC156" s="300">
        <f t="shared" si="24"/>
        <v>212</v>
      </c>
      <c r="BD156" s="42">
        <f t="shared" si="25"/>
        <v>8</v>
      </c>
      <c r="BE156" s="42">
        <f t="shared" si="26"/>
        <v>0</v>
      </c>
      <c r="BF156" s="42">
        <f t="shared" si="27"/>
        <v>0</v>
      </c>
      <c r="BG156" s="42">
        <f t="shared" si="28"/>
        <v>0</v>
      </c>
      <c r="BH156" s="42">
        <f t="shared" si="29"/>
        <v>0</v>
      </c>
      <c r="BI156" s="42">
        <f t="shared" si="30"/>
        <v>0</v>
      </c>
      <c r="BJ156" s="42">
        <f t="shared" si="31"/>
        <v>0</v>
      </c>
      <c r="BK156" s="42">
        <f t="shared" si="32"/>
        <v>8</v>
      </c>
    </row>
    <row r="157" spans="1:63" ht="27" customHeight="1">
      <c r="A157" s="11">
        <f t="shared" si="33"/>
        <v>155</v>
      </c>
      <c r="B157" s="12" t="s">
        <v>1325</v>
      </c>
      <c r="C157" s="8">
        <v>1411</v>
      </c>
      <c r="D157" s="60" t="s">
        <v>1326</v>
      </c>
      <c r="E157" s="69" t="s">
        <v>1314</v>
      </c>
      <c r="F157" s="62" t="s">
        <v>1327</v>
      </c>
      <c r="G157" s="63" t="s">
        <v>1328</v>
      </c>
      <c r="H157" s="13" t="s">
        <v>1329</v>
      </c>
      <c r="I157" s="14" t="s">
        <v>1330</v>
      </c>
      <c r="J157" s="64" t="s">
        <v>173</v>
      </c>
      <c r="K157" s="22">
        <v>35831</v>
      </c>
      <c r="L157" s="66" t="s">
        <v>174</v>
      </c>
      <c r="M157" s="23">
        <v>42343</v>
      </c>
      <c r="N157" s="23"/>
      <c r="O157" s="15" t="s">
        <v>24</v>
      </c>
      <c r="P157" s="16" t="s">
        <v>205</v>
      </c>
      <c r="Q157" s="16" t="s">
        <v>176</v>
      </c>
      <c r="R157" s="15" t="s">
        <v>177</v>
      </c>
      <c r="S157" s="15" t="s">
        <v>722</v>
      </c>
      <c r="T157" s="159"/>
      <c r="U157" s="159"/>
      <c r="V157" s="19" t="s">
        <v>195</v>
      </c>
      <c r="W157" s="19" t="s">
        <v>195</v>
      </c>
      <c r="X157" s="1">
        <v>7</v>
      </c>
      <c r="Y157" s="160">
        <v>90707738</v>
      </c>
      <c r="Z157" s="70" t="s">
        <v>181</v>
      </c>
      <c r="AA157" s="70"/>
      <c r="AB157" s="1"/>
      <c r="AC157" s="161"/>
      <c r="AD157" s="99"/>
      <c r="AE157" s="99"/>
      <c r="AF157" s="108"/>
      <c r="AG157" s="106"/>
      <c r="AH157" s="162"/>
      <c r="AI157" s="162"/>
      <c r="AJ157" s="19" t="s">
        <v>198</v>
      </c>
      <c r="AK157" s="19" t="s">
        <v>185</v>
      </c>
      <c r="AL157" s="19" t="s">
        <v>198</v>
      </c>
      <c r="AM157" s="107" t="s">
        <v>1331</v>
      </c>
      <c r="AN157" s="20">
        <v>182</v>
      </c>
      <c r="AO157" s="20">
        <v>5</v>
      </c>
      <c r="AP157" s="20">
        <v>0</v>
      </c>
      <c r="AQ157" s="20">
        <v>85</v>
      </c>
      <c r="AR157" s="20">
        <v>0</v>
      </c>
      <c r="AS157" s="20">
        <v>7</v>
      </c>
      <c r="AT157" s="20">
        <v>10</v>
      </c>
      <c r="AU157" s="300">
        <f t="shared" si="23"/>
        <v>289</v>
      </c>
      <c r="AV157" s="20">
        <v>190</v>
      </c>
      <c r="AW157" s="20">
        <v>5</v>
      </c>
      <c r="AX157" s="20">
        <v>0</v>
      </c>
      <c r="AY157" s="20">
        <v>85</v>
      </c>
      <c r="AZ157" s="20">
        <v>0</v>
      </c>
      <c r="BA157" s="20">
        <v>7</v>
      </c>
      <c r="BB157" s="20">
        <v>10</v>
      </c>
      <c r="BC157" s="300">
        <f t="shared" si="24"/>
        <v>297</v>
      </c>
      <c r="BD157" s="42">
        <f t="shared" si="25"/>
        <v>8</v>
      </c>
      <c r="BE157" s="42">
        <f t="shared" si="26"/>
        <v>0</v>
      </c>
      <c r="BF157" s="42">
        <f t="shared" si="27"/>
        <v>0</v>
      </c>
      <c r="BG157" s="42">
        <f t="shared" si="28"/>
        <v>0</v>
      </c>
      <c r="BH157" s="42">
        <f t="shared" si="29"/>
        <v>0</v>
      </c>
      <c r="BI157" s="42">
        <f t="shared" si="30"/>
        <v>0</v>
      </c>
      <c r="BJ157" s="42">
        <f t="shared" si="31"/>
        <v>0</v>
      </c>
      <c r="BK157" s="42">
        <f t="shared" si="32"/>
        <v>8</v>
      </c>
    </row>
    <row r="158" spans="1:63" ht="27" customHeight="1">
      <c r="A158" s="11">
        <f t="shared" si="33"/>
        <v>156</v>
      </c>
      <c r="B158" s="12" t="s">
        <v>1332</v>
      </c>
      <c r="C158" s="8">
        <v>1415</v>
      </c>
      <c r="D158" s="60" t="s">
        <v>1333</v>
      </c>
      <c r="E158" s="69">
        <v>130160139</v>
      </c>
      <c r="F158" s="62" t="s">
        <v>1334</v>
      </c>
      <c r="G158" s="63" t="s">
        <v>1335</v>
      </c>
      <c r="H158" s="13" t="s">
        <v>1336</v>
      </c>
      <c r="I158" s="14" t="s">
        <v>1337</v>
      </c>
      <c r="J158" s="64" t="s">
        <v>173</v>
      </c>
      <c r="K158" s="22">
        <v>27404</v>
      </c>
      <c r="L158" s="66" t="s">
        <v>174</v>
      </c>
      <c r="M158" s="23">
        <v>42346</v>
      </c>
      <c r="N158" s="23"/>
      <c r="O158" s="15" t="s">
        <v>32</v>
      </c>
      <c r="P158" s="16" t="s">
        <v>1338</v>
      </c>
      <c r="Q158" s="16" t="s">
        <v>176</v>
      </c>
      <c r="R158" s="15" t="s">
        <v>177</v>
      </c>
      <c r="S158" s="17" t="s">
        <v>178</v>
      </c>
      <c r="T158" s="159"/>
      <c r="U158" s="159"/>
      <c r="V158" s="19" t="s">
        <v>179</v>
      </c>
      <c r="W158" s="19" t="s">
        <v>179</v>
      </c>
      <c r="X158" s="1">
        <v>5</v>
      </c>
      <c r="Y158" s="61" t="s">
        <v>179</v>
      </c>
      <c r="Z158" s="70"/>
      <c r="AA158" s="70" t="s">
        <v>181</v>
      </c>
      <c r="AB158" s="1"/>
      <c r="AC158" s="161" t="s">
        <v>1339</v>
      </c>
      <c r="AD158" s="99" t="s">
        <v>183</v>
      </c>
      <c r="AE158" s="99" t="s">
        <v>183</v>
      </c>
      <c r="AF158" s="99" t="s">
        <v>183</v>
      </c>
      <c r="AG158" s="106"/>
      <c r="AH158" s="162"/>
      <c r="AI158" s="162"/>
      <c r="AJ158" s="19" t="s">
        <v>198</v>
      </c>
      <c r="AK158" s="19" t="s">
        <v>185</v>
      </c>
      <c r="AL158" s="19" t="s">
        <v>198</v>
      </c>
      <c r="AM158" s="107" t="s">
        <v>1179</v>
      </c>
      <c r="AN158" s="20">
        <v>182</v>
      </c>
      <c r="AO158" s="20">
        <v>5</v>
      </c>
      <c r="AP158" s="20">
        <v>0</v>
      </c>
      <c r="AQ158" s="20">
        <v>10</v>
      </c>
      <c r="AR158" s="20">
        <v>0</v>
      </c>
      <c r="AS158" s="20">
        <v>7</v>
      </c>
      <c r="AT158" s="20">
        <v>10</v>
      </c>
      <c r="AU158" s="300">
        <f t="shared" si="23"/>
        <v>214</v>
      </c>
      <c r="AV158" s="20">
        <v>190</v>
      </c>
      <c r="AW158" s="20">
        <v>5</v>
      </c>
      <c r="AX158" s="20">
        <v>0</v>
      </c>
      <c r="AY158" s="20">
        <v>10</v>
      </c>
      <c r="AZ158" s="20">
        <v>0</v>
      </c>
      <c r="BA158" s="20">
        <v>7</v>
      </c>
      <c r="BB158" s="20">
        <v>10</v>
      </c>
      <c r="BC158" s="300">
        <f t="shared" si="24"/>
        <v>222</v>
      </c>
      <c r="BD158" s="42">
        <f t="shared" si="25"/>
        <v>8</v>
      </c>
      <c r="BE158" s="42">
        <f t="shared" si="26"/>
        <v>0</v>
      </c>
      <c r="BF158" s="42">
        <f t="shared" si="27"/>
        <v>0</v>
      </c>
      <c r="BG158" s="42">
        <f t="shared" si="28"/>
        <v>0</v>
      </c>
      <c r="BH158" s="42">
        <f t="shared" si="29"/>
        <v>0</v>
      </c>
      <c r="BI158" s="42">
        <f t="shared" si="30"/>
        <v>0</v>
      </c>
      <c r="BJ158" s="42">
        <f t="shared" si="31"/>
        <v>0</v>
      </c>
      <c r="BK158" s="42">
        <f t="shared" si="32"/>
        <v>8</v>
      </c>
    </row>
    <row r="159" spans="1:63" ht="27" customHeight="1">
      <c r="A159" s="11">
        <f t="shared" si="33"/>
        <v>157</v>
      </c>
      <c r="B159" s="12" t="s">
        <v>1340</v>
      </c>
      <c r="C159" s="8">
        <v>1427</v>
      </c>
      <c r="D159" s="60" t="s">
        <v>1341</v>
      </c>
      <c r="E159" s="69">
        <v>100585438</v>
      </c>
      <c r="F159" s="62" t="s">
        <v>190</v>
      </c>
      <c r="G159" s="63" t="s">
        <v>920</v>
      </c>
      <c r="H159" s="13" t="s">
        <v>1342</v>
      </c>
      <c r="I159" s="14" t="s">
        <v>1343</v>
      </c>
      <c r="J159" s="64" t="s">
        <v>173</v>
      </c>
      <c r="K159" s="22">
        <v>32621</v>
      </c>
      <c r="L159" s="66" t="s">
        <v>174</v>
      </c>
      <c r="M159" s="23">
        <v>42353</v>
      </c>
      <c r="N159" s="23"/>
      <c r="O159" s="15" t="s">
        <v>32</v>
      </c>
      <c r="P159" s="16" t="s">
        <v>313</v>
      </c>
      <c r="Q159" s="16" t="s">
        <v>244</v>
      </c>
      <c r="R159" s="15" t="s">
        <v>177</v>
      </c>
      <c r="S159" s="17" t="s">
        <v>206</v>
      </c>
      <c r="T159" s="159"/>
      <c r="U159" s="159"/>
      <c r="V159" s="19" t="s">
        <v>179</v>
      </c>
      <c r="W159" s="19" t="s">
        <v>179</v>
      </c>
      <c r="X159" s="1">
        <v>7</v>
      </c>
      <c r="Y159" s="160" t="s">
        <v>1344</v>
      </c>
      <c r="Z159" s="70"/>
      <c r="AA159" s="70" t="s">
        <v>181</v>
      </c>
      <c r="AB159" s="1"/>
      <c r="AC159" s="161" t="s">
        <v>420</v>
      </c>
      <c r="AD159" s="99" t="s">
        <v>183</v>
      </c>
      <c r="AE159" s="99" t="s">
        <v>184</v>
      </c>
      <c r="AF159" s="108"/>
      <c r="AG159" s="106"/>
      <c r="AH159" s="162"/>
      <c r="AI159" s="162"/>
      <c r="AJ159" s="19" t="s">
        <v>198</v>
      </c>
      <c r="AK159" s="19" t="s">
        <v>185</v>
      </c>
      <c r="AL159" s="19" t="s">
        <v>198</v>
      </c>
      <c r="AM159" s="107" t="s">
        <v>1187</v>
      </c>
      <c r="AN159" s="20">
        <v>182</v>
      </c>
      <c r="AO159" s="20">
        <v>5</v>
      </c>
      <c r="AP159" s="20">
        <v>20</v>
      </c>
      <c r="AQ159" s="20">
        <v>20</v>
      </c>
      <c r="AR159" s="20">
        <v>0</v>
      </c>
      <c r="AS159" s="20">
        <v>7</v>
      </c>
      <c r="AT159" s="20">
        <v>10</v>
      </c>
      <c r="AU159" s="300">
        <f t="shared" si="23"/>
        <v>244</v>
      </c>
      <c r="AV159" s="20">
        <v>190</v>
      </c>
      <c r="AW159" s="20">
        <v>5</v>
      </c>
      <c r="AX159" s="20">
        <v>20</v>
      </c>
      <c r="AY159" s="20">
        <v>20</v>
      </c>
      <c r="AZ159" s="20">
        <v>0</v>
      </c>
      <c r="BA159" s="20">
        <v>7</v>
      </c>
      <c r="BB159" s="20">
        <v>10</v>
      </c>
      <c r="BC159" s="300">
        <f t="shared" si="24"/>
        <v>252</v>
      </c>
      <c r="BD159" s="42">
        <f t="shared" si="25"/>
        <v>8</v>
      </c>
      <c r="BE159" s="42">
        <f t="shared" si="26"/>
        <v>0</v>
      </c>
      <c r="BF159" s="42">
        <f t="shared" si="27"/>
        <v>0</v>
      </c>
      <c r="BG159" s="42">
        <f t="shared" si="28"/>
        <v>0</v>
      </c>
      <c r="BH159" s="42">
        <f t="shared" si="29"/>
        <v>0</v>
      </c>
      <c r="BI159" s="42">
        <f t="shared" si="30"/>
        <v>0</v>
      </c>
      <c r="BJ159" s="42">
        <f t="shared" si="31"/>
        <v>0</v>
      </c>
      <c r="BK159" s="42">
        <f t="shared" si="32"/>
        <v>8</v>
      </c>
    </row>
    <row r="160" spans="1:63" ht="27" customHeight="1">
      <c r="A160" s="11">
        <f t="shared" si="33"/>
        <v>158</v>
      </c>
      <c r="B160" s="12" t="s">
        <v>1345</v>
      </c>
      <c r="C160" s="8">
        <v>1433</v>
      </c>
      <c r="D160" s="60" t="s">
        <v>1346</v>
      </c>
      <c r="E160" s="69">
        <v>140039867</v>
      </c>
      <c r="F160" s="62" t="s">
        <v>386</v>
      </c>
      <c r="G160" s="63" t="s">
        <v>1347</v>
      </c>
      <c r="H160" s="13" t="s">
        <v>1348</v>
      </c>
      <c r="I160" s="14" t="s">
        <v>1349</v>
      </c>
      <c r="J160" s="64" t="s">
        <v>173</v>
      </c>
      <c r="K160" s="22">
        <v>29377</v>
      </c>
      <c r="L160" s="66" t="s">
        <v>174</v>
      </c>
      <c r="M160" s="23">
        <v>42353</v>
      </c>
      <c r="N160" s="23"/>
      <c r="O160" s="15" t="s">
        <v>32</v>
      </c>
      <c r="P160" s="16" t="s">
        <v>1080</v>
      </c>
      <c r="Q160" s="16" t="s">
        <v>176</v>
      </c>
      <c r="R160" s="15" t="s">
        <v>177</v>
      </c>
      <c r="S160" s="11" t="s">
        <v>223</v>
      </c>
      <c r="T160" s="159"/>
      <c r="U160" s="159"/>
      <c r="V160" s="19" t="s">
        <v>179</v>
      </c>
      <c r="W160" s="19" t="s">
        <v>179</v>
      </c>
      <c r="X160" s="1">
        <v>9</v>
      </c>
      <c r="Y160" s="61" t="s">
        <v>179</v>
      </c>
      <c r="Z160" s="70"/>
      <c r="AA160" s="70" t="s">
        <v>181</v>
      </c>
      <c r="AB160" s="1"/>
      <c r="AC160" s="161" t="s">
        <v>1350</v>
      </c>
      <c r="AD160" s="99"/>
      <c r="AE160" s="99"/>
      <c r="AF160" s="108"/>
      <c r="AG160" s="106"/>
      <c r="AH160" s="162"/>
      <c r="AI160" s="162"/>
      <c r="AJ160" s="19" t="s">
        <v>198</v>
      </c>
      <c r="AK160" s="19" t="s">
        <v>185</v>
      </c>
      <c r="AL160" s="19" t="s">
        <v>185</v>
      </c>
      <c r="AM160" s="107" t="s">
        <v>1194</v>
      </c>
      <c r="AN160" s="20">
        <v>182</v>
      </c>
      <c r="AO160" s="20">
        <v>5</v>
      </c>
      <c r="AP160" s="20">
        <v>0</v>
      </c>
      <c r="AQ160" s="20">
        <v>0</v>
      </c>
      <c r="AR160" s="20">
        <v>0</v>
      </c>
      <c r="AS160" s="20">
        <v>7</v>
      </c>
      <c r="AT160" s="20">
        <v>10</v>
      </c>
      <c r="AU160" s="300">
        <f t="shared" si="23"/>
        <v>204</v>
      </c>
      <c r="AV160" s="20">
        <v>190</v>
      </c>
      <c r="AW160" s="20">
        <v>5</v>
      </c>
      <c r="AX160" s="20">
        <v>0</v>
      </c>
      <c r="AY160" s="20">
        <v>0</v>
      </c>
      <c r="AZ160" s="20">
        <v>0</v>
      </c>
      <c r="BA160" s="20">
        <v>7</v>
      </c>
      <c r="BB160" s="20">
        <v>10</v>
      </c>
      <c r="BC160" s="300">
        <f t="shared" si="24"/>
        <v>212</v>
      </c>
      <c r="BD160" s="42">
        <f t="shared" si="25"/>
        <v>8</v>
      </c>
      <c r="BE160" s="42">
        <f t="shared" si="26"/>
        <v>0</v>
      </c>
      <c r="BF160" s="42">
        <f t="shared" si="27"/>
        <v>0</v>
      </c>
      <c r="BG160" s="42">
        <f t="shared" si="28"/>
        <v>0</v>
      </c>
      <c r="BH160" s="42">
        <f t="shared" si="29"/>
        <v>0</v>
      </c>
      <c r="BI160" s="42">
        <f t="shared" si="30"/>
        <v>0</v>
      </c>
      <c r="BJ160" s="42">
        <f t="shared" si="31"/>
        <v>0</v>
      </c>
      <c r="BK160" s="42">
        <f t="shared" si="32"/>
        <v>8</v>
      </c>
    </row>
    <row r="161" spans="1:63" ht="27" customHeight="1">
      <c r="A161" s="11">
        <f t="shared" si="33"/>
        <v>159</v>
      </c>
      <c r="B161" s="12" t="s">
        <v>1351</v>
      </c>
      <c r="C161" s="8">
        <v>1445</v>
      </c>
      <c r="D161" s="60" t="s">
        <v>1352</v>
      </c>
      <c r="E161" s="69">
        <v>130097230</v>
      </c>
      <c r="F161" s="62" t="s">
        <v>1353</v>
      </c>
      <c r="G161" s="63" t="s">
        <v>1354</v>
      </c>
      <c r="H161" s="13" t="s">
        <v>1355</v>
      </c>
      <c r="I161" s="14" t="s">
        <v>1356</v>
      </c>
      <c r="J161" s="64" t="s">
        <v>173</v>
      </c>
      <c r="K161" s="22">
        <v>29024</v>
      </c>
      <c r="L161" s="66" t="s">
        <v>174</v>
      </c>
      <c r="M161" s="23">
        <v>42360</v>
      </c>
      <c r="N161" s="23"/>
      <c r="O161" s="15" t="s">
        <v>32</v>
      </c>
      <c r="P161" s="16" t="s">
        <v>1080</v>
      </c>
      <c r="Q161" s="16" t="s">
        <v>176</v>
      </c>
      <c r="R161" s="15" t="s">
        <v>177</v>
      </c>
      <c r="S161" s="11" t="s">
        <v>326</v>
      </c>
      <c r="T161" s="159"/>
      <c r="U161" s="159"/>
      <c r="V161" s="19" t="s">
        <v>179</v>
      </c>
      <c r="W161" s="19" t="s">
        <v>179</v>
      </c>
      <c r="X161" s="1">
        <v>6</v>
      </c>
      <c r="Y161" s="160" t="s">
        <v>1357</v>
      </c>
      <c r="Z161" s="70"/>
      <c r="AA161" s="70" t="s">
        <v>181</v>
      </c>
      <c r="AB161" s="1"/>
      <c r="AC161" s="161" t="s">
        <v>1358</v>
      </c>
      <c r="AD161" s="99"/>
      <c r="AE161" s="99"/>
      <c r="AF161" s="108"/>
      <c r="AG161" s="106"/>
      <c r="AH161" s="162"/>
      <c r="AI161" s="162"/>
      <c r="AJ161" s="19" t="s">
        <v>198</v>
      </c>
      <c r="AK161" s="19" t="s">
        <v>185</v>
      </c>
      <c r="AL161" s="19" t="s">
        <v>185</v>
      </c>
      <c r="AM161" s="107" t="s">
        <v>1296</v>
      </c>
      <c r="AN161" s="20">
        <v>182</v>
      </c>
      <c r="AO161" s="20">
        <v>4</v>
      </c>
      <c r="AP161" s="20">
        <v>0</v>
      </c>
      <c r="AQ161" s="20">
        <v>0</v>
      </c>
      <c r="AR161" s="20">
        <v>0</v>
      </c>
      <c r="AS161" s="20">
        <v>7</v>
      </c>
      <c r="AT161" s="20">
        <v>10</v>
      </c>
      <c r="AU161" s="300">
        <f t="shared" si="23"/>
        <v>203</v>
      </c>
      <c r="AV161" s="20">
        <v>190</v>
      </c>
      <c r="AW161" s="20">
        <v>4</v>
      </c>
      <c r="AX161" s="20">
        <v>0</v>
      </c>
      <c r="AY161" s="20">
        <v>0</v>
      </c>
      <c r="AZ161" s="20">
        <v>0</v>
      </c>
      <c r="BA161" s="20">
        <v>7</v>
      </c>
      <c r="BB161" s="20">
        <v>10</v>
      </c>
      <c r="BC161" s="300">
        <f t="shared" si="24"/>
        <v>211</v>
      </c>
      <c r="BD161" s="42">
        <f t="shared" si="25"/>
        <v>8</v>
      </c>
      <c r="BE161" s="42">
        <f t="shared" si="26"/>
        <v>0</v>
      </c>
      <c r="BF161" s="42">
        <f t="shared" si="27"/>
        <v>0</v>
      </c>
      <c r="BG161" s="42">
        <f t="shared" si="28"/>
        <v>0</v>
      </c>
      <c r="BH161" s="42">
        <f t="shared" si="29"/>
        <v>0</v>
      </c>
      <c r="BI161" s="42">
        <f t="shared" si="30"/>
        <v>0</v>
      </c>
      <c r="BJ161" s="42">
        <f t="shared" si="31"/>
        <v>0</v>
      </c>
      <c r="BK161" s="42">
        <f t="shared" si="32"/>
        <v>8</v>
      </c>
    </row>
    <row r="162" spans="1:63" ht="27" customHeight="1">
      <c r="A162" s="11">
        <f t="shared" si="33"/>
        <v>160</v>
      </c>
      <c r="B162" s="12" t="s">
        <v>1359</v>
      </c>
      <c r="C162" s="8">
        <v>1466</v>
      </c>
      <c r="D162" s="60" t="s">
        <v>1360</v>
      </c>
      <c r="E162" s="69">
        <v>130142280</v>
      </c>
      <c r="F162" s="62" t="s">
        <v>958</v>
      </c>
      <c r="G162" s="63" t="s">
        <v>1361</v>
      </c>
      <c r="H162" s="13" t="s">
        <v>959</v>
      </c>
      <c r="I162" s="14" t="s">
        <v>1362</v>
      </c>
      <c r="J162" s="64" t="s">
        <v>173</v>
      </c>
      <c r="K162" s="22">
        <v>32525</v>
      </c>
      <c r="L162" s="66" t="s">
        <v>174</v>
      </c>
      <c r="M162" s="23">
        <v>42388</v>
      </c>
      <c r="N162" s="23"/>
      <c r="O162" s="15" t="s">
        <v>32</v>
      </c>
      <c r="P162" s="16" t="s">
        <v>260</v>
      </c>
      <c r="Q162" s="16" t="s">
        <v>176</v>
      </c>
      <c r="R162" s="15" t="s">
        <v>177</v>
      </c>
      <c r="S162" s="11" t="s">
        <v>428</v>
      </c>
      <c r="T162" s="159"/>
      <c r="U162" s="159"/>
      <c r="V162" s="19" t="s">
        <v>179</v>
      </c>
      <c r="W162" s="19" t="s">
        <v>179</v>
      </c>
      <c r="X162" s="1">
        <v>6</v>
      </c>
      <c r="Y162" s="160" t="s">
        <v>1363</v>
      </c>
      <c r="Z162" s="70"/>
      <c r="AA162" s="70" t="s">
        <v>181</v>
      </c>
      <c r="AB162" s="1"/>
      <c r="AC162" s="161" t="s">
        <v>1364</v>
      </c>
      <c r="AD162" s="99" t="s">
        <v>183</v>
      </c>
      <c r="AE162" s="99"/>
      <c r="AF162" s="108"/>
      <c r="AG162" s="106"/>
      <c r="AH162" s="162"/>
      <c r="AI162" s="162"/>
      <c r="AJ162" s="19" t="s">
        <v>198</v>
      </c>
      <c r="AK162" s="19" t="s">
        <v>185</v>
      </c>
      <c r="AL162" s="19" t="s">
        <v>185</v>
      </c>
      <c r="AM162" s="107" t="s">
        <v>1194</v>
      </c>
      <c r="AN162" s="20">
        <v>182</v>
      </c>
      <c r="AO162" s="20">
        <v>4</v>
      </c>
      <c r="AP162" s="20">
        <v>0</v>
      </c>
      <c r="AQ162" s="20">
        <v>0</v>
      </c>
      <c r="AR162" s="20">
        <v>0</v>
      </c>
      <c r="AS162" s="20">
        <v>7</v>
      </c>
      <c r="AT162" s="20">
        <v>10</v>
      </c>
      <c r="AU162" s="300">
        <f t="shared" si="23"/>
        <v>203</v>
      </c>
      <c r="AV162" s="20">
        <v>190</v>
      </c>
      <c r="AW162" s="20">
        <v>4</v>
      </c>
      <c r="AX162" s="20">
        <v>0</v>
      </c>
      <c r="AY162" s="20">
        <v>0</v>
      </c>
      <c r="AZ162" s="20">
        <v>0</v>
      </c>
      <c r="BA162" s="20">
        <v>7</v>
      </c>
      <c r="BB162" s="20">
        <v>10</v>
      </c>
      <c r="BC162" s="300">
        <f t="shared" si="24"/>
        <v>211</v>
      </c>
      <c r="BD162" s="42">
        <f t="shared" si="25"/>
        <v>8</v>
      </c>
      <c r="BE162" s="42">
        <f t="shared" si="26"/>
        <v>0</v>
      </c>
      <c r="BF162" s="42">
        <f t="shared" si="27"/>
        <v>0</v>
      </c>
      <c r="BG162" s="42">
        <f t="shared" si="28"/>
        <v>0</v>
      </c>
      <c r="BH162" s="42">
        <f t="shared" si="29"/>
        <v>0</v>
      </c>
      <c r="BI162" s="42">
        <f t="shared" si="30"/>
        <v>0</v>
      </c>
      <c r="BJ162" s="42">
        <f t="shared" si="31"/>
        <v>0</v>
      </c>
      <c r="BK162" s="42">
        <f t="shared" si="32"/>
        <v>8</v>
      </c>
    </row>
    <row r="163" spans="1:63" ht="27" customHeight="1">
      <c r="A163" s="11">
        <f t="shared" si="33"/>
        <v>161</v>
      </c>
      <c r="B163" s="12" t="s">
        <v>1365</v>
      </c>
      <c r="C163" s="8">
        <v>1481</v>
      </c>
      <c r="D163" s="60" t="s">
        <v>1366</v>
      </c>
      <c r="E163" s="69">
        <v>160152354</v>
      </c>
      <c r="F163" s="62" t="s">
        <v>402</v>
      </c>
      <c r="G163" s="63" t="s">
        <v>1367</v>
      </c>
      <c r="H163" s="13" t="s">
        <v>604</v>
      </c>
      <c r="I163" s="14" t="s">
        <v>1368</v>
      </c>
      <c r="J163" s="64" t="s">
        <v>173</v>
      </c>
      <c r="K163" s="22">
        <v>31249</v>
      </c>
      <c r="L163" s="66" t="s">
        <v>174</v>
      </c>
      <c r="M163" s="23">
        <v>42402</v>
      </c>
      <c r="N163" s="23"/>
      <c r="O163" s="15" t="s">
        <v>32</v>
      </c>
      <c r="P163" s="16" t="s">
        <v>1080</v>
      </c>
      <c r="Q163" s="16" t="s">
        <v>176</v>
      </c>
      <c r="R163" s="15" t="s">
        <v>177</v>
      </c>
      <c r="S163" s="11" t="s">
        <v>1369</v>
      </c>
      <c r="T163" s="159"/>
      <c r="U163" s="159"/>
      <c r="V163" s="19" t="s">
        <v>179</v>
      </c>
      <c r="W163" s="19" t="s">
        <v>179</v>
      </c>
      <c r="X163" s="1">
        <v>3</v>
      </c>
      <c r="Y163" s="160" t="s">
        <v>1370</v>
      </c>
      <c r="Z163" s="70"/>
      <c r="AA163" s="70" t="s">
        <v>181</v>
      </c>
      <c r="AB163" s="1"/>
      <c r="AC163" s="161" t="s">
        <v>420</v>
      </c>
      <c r="AD163" s="99"/>
      <c r="AE163" s="99"/>
      <c r="AF163" s="108"/>
      <c r="AG163" s="106"/>
      <c r="AH163" s="162"/>
      <c r="AI163" s="162"/>
      <c r="AJ163" s="19" t="s">
        <v>198</v>
      </c>
      <c r="AK163" s="19" t="s">
        <v>185</v>
      </c>
      <c r="AL163" s="19" t="s">
        <v>185</v>
      </c>
      <c r="AM163" s="107" t="s">
        <v>1371</v>
      </c>
      <c r="AN163" s="20">
        <v>182</v>
      </c>
      <c r="AO163" s="20">
        <v>4</v>
      </c>
      <c r="AP163" s="20">
        <v>0</v>
      </c>
      <c r="AQ163" s="20">
        <v>0</v>
      </c>
      <c r="AR163" s="20">
        <v>0</v>
      </c>
      <c r="AS163" s="20">
        <v>7</v>
      </c>
      <c r="AT163" s="20">
        <v>10</v>
      </c>
      <c r="AU163" s="300">
        <f t="shared" si="23"/>
        <v>203</v>
      </c>
      <c r="AV163" s="20">
        <v>190</v>
      </c>
      <c r="AW163" s="20">
        <v>4</v>
      </c>
      <c r="AX163" s="20">
        <v>0</v>
      </c>
      <c r="AY163" s="20">
        <v>0</v>
      </c>
      <c r="AZ163" s="20">
        <v>0</v>
      </c>
      <c r="BA163" s="20">
        <v>7</v>
      </c>
      <c r="BB163" s="20">
        <v>10</v>
      </c>
      <c r="BC163" s="300">
        <f t="shared" si="24"/>
        <v>211</v>
      </c>
      <c r="BD163" s="42">
        <f t="shared" si="25"/>
        <v>8</v>
      </c>
      <c r="BE163" s="42">
        <f t="shared" si="26"/>
        <v>0</v>
      </c>
      <c r="BF163" s="42">
        <f t="shared" si="27"/>
        <v>0</v>
      </c>
      <c r="BG163" s="42">
        <f t="shared" si="28"/>
        <v>0</v>
      </c>
      <c r="BH163" s="42">
        <f t="shared" si="29"/>
        <v>0</v>
      </c>
      <c r="BI163" s="42">
        <f t="shared" si="30"/>
        <v>0</v>
      </c>
      <c r="BJ163" s="42">
        <f t="shared" si="31"/>
        <v>0</v>
      </c>
      <c r="BK163" s="42">
        <f t="shared" si="32"/>
        <v>8</v>
      </c>
    </row>
    <row r="164" spans="1:63" ht="27" customHeight="1">
      <c r="A164" s="11">
        <f t="shared" si="33"/>
        <v>162</v>
      </c>
      <c r="B164" s="12" t="s">
        <v>1372</v>
      </c>
      <c r="C164" s="8">
        <v>1486</v>
      </c>
      <c r="D164" s="60" t="s">
        <v>1373</v>
      </c>
      <c r="E164" s="69">
        <v>30575472</v>
      </c>
      <c r="F164" s="62" t="s">
        <v>438</v>
      </c>
      <c r="G164" s="63" t="s">
        <v>1374</v>
      </c>
      <c r="H164" s="13" t="s">
        <v>959</v>
      </c>
      <c r="I164" s="14" t="s">
        <v>1375</v>
      </c>
      <c r="J164" s="64" t="s">
        <v>173</v>
      </c>
      <c r="K164" s="22">
        <v>33522</v>
      </c>
      <c r="L164" s="66" t="s">
        <v>174</v>
      </c>
      <c r="M164" s="23">
        <v>42409</v>
      </c>
      <c r="N164" s="23"/>
      <c r="O164" s="15" t="s">
        <v>32</v>
      </c>
      <c r="P164" s="16" t="s">
        <v>260</v>
      </c>
      <c r="Q164" s="16" t="s">
        <v>176</v>
      </c>
      <c r="R164" s="15" t="s">
        <v>177</v>
      </c>
      <c r="S164" s="11" t="s">
        <v>305</v>
      </c>
      <c r="T164" s="20"/>
      <c r="U164" s="20"/>
      <c r="V164" s="19" t="s">
        <v>179</v>
      </c>
      <c r="W164" s="19" t="s">
        <v>179</v>
      </c>
      <c r="X164" s="19">
        <v>5</v>
      </c>
      <c r="Y164" s="61" t="s">
        <v>179</v>
      </c>
      <c r="Z164" s="70"/>
      <c r="AA164" s="70" t="s">
        <v>181</v>
      </c>
      <c r="AB164" s="19"/>
      <c r="AC164" s="161" t="s">
        <v>197</v>
      </c>
      <c r="AD164" s="99"/>
      <c r="AE164" s="99"/>
      <c r="AF164" s="108"/>
      <c r="AG164" s="106"/>
      <c r="AH164" s="43"/>
      <c r="AI164" s="43"/>
      <c r="AJ164" s="19" t="s">
        <v>198</v>
      </c>
      <c r="AK164" s="19" t="s">
        <v>185</v>
      </c>
      <c r="AL164" s="19" t="s">
        <v>185</v>
      </c>
      <c r="AM164" s="107" t="s">
        <v>1194</v>
      </c>
      <c r="AN164" s="20">
        <v>182</v>
      </c>
      <c r="AO164" s="20">
        <v>4</v>
      </c>
      <c r="AP164" s="20">
        <v>0</v>
      </c>
      <c r="AQ164" s="20">
        <v>0</v>
      </c>
      <c r="AR164" s="20">
        <v>0</v>
      </c>
      <c r="AS164" s="20">
        <v>7</v>
      </c>
      <c r="AT164" s="20">
        <v>10</v>
      </c>
      <c r="AU164" s="300">
        <f t="shared" si="23"/>
        <v>203</v>
      </c>
      <c r="AV164" s="20">
        <v>190</v>
      </c>
      <c r="AW164" s="20">
        <v>4</v>
      </c>
      <c r="AX164" s="20">
        <v>0</v>
      </c>
      <c r="AY164" s="20">
        <v>0</v>
      </c>
      <c r="AZ164" s="20">
        <v>0</v>
      </c>
      <c r="BA164" s="20">
        <v>7</v>
      </c>
      <c r="BB164" s="20">
        <v>10</v>
      </c>
      <c r="BC164" s="300">
        <f t="shared" si="24"/>
        <v>211</v>
      </c>
      <c r="BD164" s="42">
        <f t="shared" si="25"/>
        <v>8</v>
      </c>
      <c r="BE164" s="42">
        <f t="shared" si="26"/>
        <v>0</v>
      </c>
      <c r="BF164" s="42">
        <f t="shared" si="27"/>
        <v>0</v>
      </c>
      <c r="BG164" s="42">
        <f t="shared" si="28"/>
        <v>0</v>
      </c>
      <c r="BH164" s="42">
        <f t="shared" si="29"/>
        <v>0</v>
      </c>
      <c r="BI164" s="42">
        <f t="shared" si="30"/>
        <v>0</v>
      </c>
      <c r="BJ164" s="42">
        <f t="shared" si="31"/>
        <v>0</v>
      </c>
      <c r="BK164" s="42">
        <f t="shared" si="32"/>
        <v>8</v>
      </c>
    </row>
    <row r="165" spans="1:63" ht="27" customHeight="1">
      <c r="A165" s="11">
        <f t="shared" si="33"/>
        <v>163</v>
      </c>
      <c r="B165" s="12" t="s">
        <v>1376</v>
      </c>
      <c r="C165" s="8">
        <v>1497</v>
      </c>
      <c r="D165" s="60" t="s">
        <v>1377</v>
      </c>
      <c r="E165" s="69">
        <v>130175308</v>
      </c>
      <c r="F165" s="62" t="s">
        <v>552</v>
      </c>
      <c r="G165" s="63" t="s">
        <v>1378</v>
      </c>
      <c r="H165" s="13" t="s">
        <v>554</v>
      </c>
      <c r="I165" s="14" t="s">
        <v>1379</v>
      </c>
      <c r="J165" s="64" t="s">
        <v>173</v>
      </c>
      <c r="K165" s="22">
        <v>34920</v>
      </c>
      <c r="L165" s="66" t="s">
        <v>174</v>
      </c>
      <c r="M165" s="23">
        <v>42445</v>
      </c>
      <c r="N165" s="23"/>
      <c r="O165" s="15" t="s">
        <v>24</v>
      </c>
      <c r="P165" s="16" t="s">
        <v>1380</v>
      </c>
      <c r="Q165" s="16" t="s">
        <v>244</v>
      </c>
      <c r="R165" s="15" t="s">
        <v>177</v>
      </c>
      <c r="S165" s="17" t="s">
        <v>251</v>
      </c>
      <c r="T165" s="20"/>
      <c r="U165" s="20"/>
      <c r="V165" s="19" t="s">
        <v>179</v>
      </c>
      <c r="W165" s="19" t="s">
        <v>179</v>
      </c>
      <c r="X165" s="19">
        <v>6</v>
      </c>
      <c r="Y165" s="61" t="s">
        <v>1381</v>
      </c>
      <c r="Z165" s="70"/>
      <c r="AA165" s="70" t="s">
        <v>181</v>
      </c>
      <c r="AB165" s="19"/>
      <c r="AC165" s="161" t="s">
        <v>197</v>
      </c>
      <c r="AD165" s="99"/>
      <c r="AE165" s="99"/>
      <c r="AF165" s="108"/>
      <c r="AG165" s="106"/>
      <c r="AH165" s="43"/>
      <c r="AI165" s="43"/>
      <c r="AJ165" s="19" t="s">
        <v>198</v>
      </c>
      <c r="AK165" s="19" t="s">
        <v>185</v>
      </c>
      <c r="AL165" s="19" t="s">
        <v>185</v>
      </c>
      <c r="AM165" s="107" t="s">
        <v>1194</v>
      </c>
      <c r="AN165" s="20">
        <v>182</v>
      </c>
      <c r="AO165" s="20">
        <v>4</v>
      </c>
      <c r="AP165" s="20">
        <v>20</v>
      </c>
      <c r="AQ165" s="20">
        <v>20</v>
      </c>
      <c r="AR165" s="20">
        <v>0</v>
      </c>
      <c r="AS165" s="20">
        <v>7</v>
      </c>
      <c r="AT165" s="20">
        <v>10</v>
      </c>
      <c r="AU165" s="300">
        <f t="shared" si="23"/>
        <v>243</v>
      </c>
      <c r="AV165" s="20">
        <v>190</v>
      </c>
      <c r="AW165" s="20">
        <v>4</v>
      </c>
      <c r="AX165" s="20">
        <v>20</v>
      </c>
      <c r="AY165" s="20">
        <v>20</v>
      </c>
      <c r="AZ165" s="20">
        <v>0</v>
      </c>
      <c r="BA165" s="20">
        <v>7</v>
      </c>
      <c r="BB165" s="20">
        <v>10</v>
      </c>
      <c r="BC165" s="300">
        <f t="shared" si="24"/>
        <v>251</v>
      </c>
      <c r="BD165" s="42">
        <f t="shared" si="25"/>
        <v>8</v>
      </c>
      <c r="BE165" s="42">
        <f t="shared" si="26"/>
        <v>0</v>
      </c>
      <c r="BF165" s="42">
        <f t="shared" si="27"/>
        <v>0</v>
      </c>
      <c r="BG165" s="42">
        <f t="shared" si="28"/>
        <v>0</v>
      </c>
      <c r="BH165" s="42">
        <f t="shared" si="29"/>
        <v>0</v>
      </c>
      <c r="BI165" s="42">
        <f t="shared" si="30"/>
        <v>0</v>
      </c>
      <c r="BJ165" s="42">
        <f t="shared" si="31"/>
        <v>0</v>
      </c>
      <c r="BK165" s="42">
        <f t="shared" si="32"/>
        <v>8</v>
      </c>
    </row>
    <row r="166" spans="1:63" ht="27" customHeight="1">
      <c r="A166" s="11">
        <f t="shared" si="33"/>
        <v>164</v>
      </c>
      <c r="B166" s="12" t="s">
        <v>1382</v>
      </c>
      <c r="C166" s="8">
        <v>1498</v>
      </c>
      <c r="D166" s="60" t="s">
        <v>1383</v>
      </c>
      <c r="E166" s="69">
        <v>30013065</v>
      </c>
      <c r="F166" s="62" t="s">
        <v>1384</v>
      </c>
      <c r="G166" s="63" t="s">
        <v>1385</v>
      </c>
      <c r="H166" s="13" t="s">
        <v>1386</v>
      </c>
      <c r="I166" s="14" t="s">
        <v>1387</v>
      </c>
      <c r="J166" s="64" t="s">
        <v>173</v>
      </c>
      <c r="K166" s="22">
        <v>26420</v>
      </c>
      <c r="L166" s="66" t="s">
        <v>174</v>
      </c>
      <c r="M166" s="23">
        <v>42446</v>
      </c>
      <c r="N166" s="23"/>
      <c r="O166" s="15" t="s">
        <v>79</v>
      </c>
      <c r="P166" s="16" t="s">
        <v>194</v>
      </c>
      <c r="Q166" s="16" t="s">
        <v>176</v>
      </c>
      <c r="R166" s="15" t="s">
        <v>177</v>
      </c>
      <c r="S166" s="11" t="s">
        <v>305</v>
      </c>
      <c r="T166" s="20"/>
      <c r="U166" s="20"/>
      <c r="V166" s="19" t="s">
        <v>179</v>
      </c>
      <c r="W166" s="19" t="s">
        <v>179</v>
      </c>
      <c r="X166" s="15" t="s">
        <v>1277</v>
      </c>
      <c r="Y166" s="61" t="s">
        <v>1388</v>
      </c>
      <c r="Z166" s="70" t="s">
        <v>181</v>
      </c>
      <c r="AA166" s="70"/>
      <c r="AB166" s="19"/>
      <c r="AC166" s="161" t="s">
        <v>366</v>
      </c>
      <c r="AD166" s="99"/>
      <c r="AE166" s="99"/>
      <c r="AF166" s="108"/>
      <c r="AG166" s="106"/>
      <c r="AH166" s="43"/>
      <c r="AI166" s="43"/>
      <c r="AJ166" s="19" t="s">
        <v>198</v>
      </c>
      <c r="AK166" s="19" t="s">
        <v>185</v>
      </c>
      <c r="AL166" s="19" t="s">
        <v>185</v>
      </c>
      <c r="AM166" s="107" t="s">
        <v>1194</v>
      </c>
      <c r="AN166" s="20">
        <v>182</v>
      </c>
      <c r="AO166" s="20">
        <v>4</v>
      </c>
      <c r="AP166" s="20">
        <v>0</v>
      </c>
      <c r="AQ166" s="20">
        <v>10</v>
      </c>
      <c r="AR166" s="20">
        <v>0</v>
      </c>
      <c r="AS166" s="20">
        <v>7</v>
      </c>
      <c r="AT166" s="20">
        <v>10</v>
      </c>
      <c r="AU166" s="300">
        <f t="shared" si="23"/>
        <v>213</v>
      </c>
      <c r="AV166" s="20">
        <v>190</v>
      </c>
      <c r="AW166" s="20">
        <v>4</v>
      </c>
      <c r="AX166" s="20">
        <v>0</v>
      </c>
      <c r="AY166" s="20">
        <v>10</v>
      </c>
      <c r="AZ166" s="20">
        <v>0</v>
      </c>
      <c r="BA166" s="20">
        <v>7</v>
      </c>
      <c r="BB166" s="20">
        <v>10</v>
      </c>
      <c r="BC166" s="300">
        <f t="shared" si="24"/>
        <v>221</v>
      </c>
      <c r="BD166" s="42">
        <f t="shared" si="25"/>
        <v>8</v>
      </c>
      <c r="BE166" s="42">
        <f t="shared" si="26"/>
        <v>0</v>
      </c>
      <c r="BF166" s="42">
        <f t="shared" si="27"/>
        <v>0</v>
      </c>
      <c r="BG166" s="42">
        <f t="shared" si="28"/>
        <v>0</v>
      </c>
      <c r="BH166" s="42">
        <f t="shared" si="29"/>
        <v>0</v>
      </c>
      <c r="BI166" s="42">
        <f t="shared" si="30"/>
        <v>0</v>
      </c>
      <c r="BJ166" s="42">
        <f t="shared" si="31"/>
        <v>0</v>
      </c>
      <c r="BK166" s="42">
        <f t="shared" si="32"/>
        <v>8</v>
      </c>
    </row>
    <row r="167" spans="1:63" ht="27" customHeight="1">
      <c r="A167" s="171">
        <f t="shared" si="33"/>
        <v>165</v>
      </c>
      <c r="B167" s="172" t="s">
        <v>1389</v>
      </c>
      <c r="C167" s="172">
        <v>1505</v>
      </c>
      <c r="D167" s="173" t="s">
        <v>1390</v>
      </c>
      <c r="E167" s="174" t="s">
        <v>1314</v>
      </c>
      <c r="F167" s="175" t="s">
        <v>1391</v>
      </c>
      <c r="G167" s="176" t="s">
        <v>1392</v>
      </c>
      <c r="H167" s="177" t="s">
        <v>1393</v>
      </c>
      <c r="I167" s="178" t="s">
        <v>1394</v>
      </c>
      <c r="J167" s="179" t="s">
        <v>204</v>
      </c>
      <c r="K167" s="180">
        <v>25563</v>
      </c>
      <c r="L167" s="181" t="s">
        <v>174</v>
      </c>
      <c r="M167" s="180">
        <v>42466</v>
      </c>
      <c r="N167" s="180"/>
      <c r="O167" s="182" t="s">
        <v>79</v>
      </c>
      <c r="P167" s="16" t="e">
        <v>#N/A</v>
      </c>
      <c r="Q167" s="16" t="s">
        <v>176</v>
      </c>
      <c r="R167" s="182" t="s">
        <v>177</v>
      </c>
      <c r="S167" s="171" t="s">
        <v>1395</v>
      </c>
      <c r="T167" s="183"/>
      <c r="U167" s="183"/>
      <c r="V167" s="184" t="s">
        <v>195</v>
      </c>
      <c r="W167" s="184" t="s">
        <v>195</v>
      </c>
      <c r="X167" s="184" t="s">
        <v>8</v>
      </c>
      <c r="Y167" s="185" t="s">
        <v>1396</v>
      </c>
      <c r="Z167" s="186"/>
      <c r="AA167" s="186" t="s">
        <v>181</v>
      </c>
      <c r="AB167" s="184"/>
      <c r="AC167" s="187" t="s">
        <v>366</v>
      </c>
      <c r="AD167" s="188"/>
      <c r="AE167" s="188"/>
      <c r="AF167" s="189"/>
      <c r="AG167" s="189"/>
      <c r="AH167" s="190"/>
      <c r="AI167" s="190"/>
      <c r="AJ167" s="184" t="s">
        <v>198</v>
      </c>
      <c r="AK167" s="184" t="s">
        <v>185</v>
      </c>
      <c r="AL167" s="184" t="s">
        <v>185</v>
      </c>
      <c r="AM167" s="191" t="s">
        <v>1194</v>
      </c>
      <c r="AN167" s="20">
        <v>350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300">
        <f>SUM(AN167:AT167)</f>
        <v>350</v>
      </c>
      <c r="AV167" s="20">
        <v>350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300">
        <f>SUM(AV167:BB167)</f>
        <v>350</v>
      </c>
      <c r="BD167" s="42">
        <f t="shared" si="25"/>
        <v>0</v>
      </c>
      <c r="BE167" s="42">
        <f t="shared" si="26"/>
        <v>0</v>
      </c>
      <c r="BF167" s="42">
        <f t="shared" si="27"/>
        <v>0</v>
      </c>
      <c r="BG167" s="42">
        <f t="shared" si="28"/>
        <v>0</v>
      </c>
      <c r="BH167" s="42">
        <f t="shared" si="29"/>
        <v>0</v>
      </c>
      <c r="BI167" s="42">
        <f t="shared" si="30"/>
        <v>0</v>
      </c>
      <c r="BJ167" s="42">
        <f t="shared" si="31"/>
        <v>0</v>
      </c>
      <c r="BK167" s="42">
        <f t="shared" si="32"/>
        <v>0</v>
      </c>
    </row>
    <row r="168" spans="1:63" ht="27" customHeight="1">
      <c r="A168" s="11">
        <f t="shared" si="33"/>
        <v>166</v>
      </c>
      <c r="B168" s="12" t="s">
        <v>1397</v>
      </c>
      <c r="C168" s="8">
        <v>1509</v>
      </c>
      <c r="D168" s="60" t="s">
        <v>1398</v>
      </c>
      <c r="E168" s="69">
        <v>100562421</v>
      </c>
      <c r="F168" s="62" t="s">
        <v>1399</v>
      </c>
      <c r="G168" s="63" t="s">
        <v>1400</v>
      </c>
      <c r="H168" s="13" t="s">
        <v>1401</v>
      </c>
      <c r="I168" s="14" t="s">
        <v>1402</v>
      </c>
      <c r="J168" s="64" t="s">
        <v>173</v>
      </c>
      <c r="K168" s="22">
        <v>33207</v>
      </c>
      <c r="L168" s="66" t="s">
        <v>174</v>
      </c>
      <c r="M168" s="23">
        <v>42481</v>
      </c>
      <c r="N168" s="23"/>
      <c r="O168" s="15" t="s">
        <v>32</v>
      </c>
      <c r="P168" s="16" t="s">
        <v>1276</v>
      </c>
      <c r="Q168" s="16" t="s">
        <v>176</v>
      </c>
      <c r="R168" s="15" t="s">
        <v>177</v>
      </c>
      <c r="S168" s="17" t="s">
        <v>206</v>
      </c>
      <c r="T168" s="159"/>
      <c r="U168" s="159"/>
      <c r="V168" s="19" t="s">
        <v>179</v>
      </c>
      <c r="W168" s="19" t="s">
        <v>179</v>
      </c>
      <c r="X168" s="1">
        <v>8</v>
      </c>
      <c r="Y168" s="160" t="s">
        <v>1403</v>
      </c>
      <c r="Z168" s="70"/>
      <c r="AA168" s="70" t="s">
        <v>181</v>
      </c>
      <c r="AB168" s="1"/>
      <c r="AC168" s="161" t="s">
        <v>197</v>
      </c>
      <c r="AD168" s="99"/>
      <c r="AE168" s="99"/>
      <c r="AF168" s="108"/>
      <c r="AG168" s="106"/>
      <c r="AH168" s="162"/>
      <c r="AI168" s="162"/>
      <c r="AJ168" s="19" t="s">
        <v>198</v>
      </c>
      <c r="AK168" s="19" t="s">
        <v>185</v>
      </c>
      <c r="AL168" s="19" t="s">
        <v>185</v>
      </c>
      <c r="AM168" s="107" t="s">
        <v>1245</v>
      </c>
      <c r="AN168" s="20">
        <v>182</v>
      </c>
      <c r="AO168" s="20">
        <v>4</v>
      </c>
      <c r="AP168" s="20">
        <v>0</v>
      </c>
      <c r="AQ168" s="20">
        <v>0</v>
      </c>
      <c r="AR168" s="20">
        <v>0</v>
      </c>
      <c r="AS168" s="20">
        <v>7</v>
      </c>
      <c r="AT168" s="20">
        <v>10</v>
      </c>
      <c r="AU168" s="300">
        <f t="shared" si="23"/>
        <v>203</v>
      </c>
      <c r="AV168" s="20">
        <v>190</v>
      </c>
      <c r="AW168" s="20">
        <v>4</v>
      </c>
      <c r="AX168" s="20">
        <v>0</v>
      </c>
      <c r="AY168" s="20">
        <v>0</v>
      </c>
      <c r="AZ168" s="20">
        <v>0</v>
      </c>
      <c r="BA168" s="20">
        <v>7</v>
      </c>
      <c r="BB168" s="20">
        <v>10</v>
      </c>
      <c r="BC168" s="300">
        <f t="shared" si="24"/>
        <v>211</v>
      </c>
      <c r="BD168" s="42">
        <f t="shared" si="25"/>
        <v>8</v>
      </c>
      <c r="BE168" s="42">
        <f t="shared" si="26"/>
        <v>0</v>
      </c>
      <c r="BF168" s="42">
        <f t="shared" si="27"/>
        <v>0</v>
      </c>
      <c r="BG168" s="42">
        <f t="shared" si="28"/>
        <v>0</v>
      </c>
      <c r="BH168" s="42">
        <f t="shared" si="29"/>
        <v>0</v>
      </c>
      <c r="BI168" s="42">
        <f t="shared" si="30"/>
        <v>0</v>
      </c>
      <c r="BJ168" s="42">
        <f t="shared" si="31"/>
        <v>0</v>
      </c>
      <c r="BK168" s="42">
        <f t="shared" si="32"/>
        <v>8</v>
      </c>
    </row>
    <row r="169" spans="1:63" ht="27" customHeight="1">
      <c r="A169" s="11">
        <f t="shared" si="33"/>
        <v>167</v>
      </c>
      <c r="B169" s="12" t="s">
        <v>1404</v>
      </c>
      <c r="C169" s="8">
        <v>1522</v>
      </c>
      <c r="D169" s="60" t="s">
        <v>1405</v>
      </c>
      <c r="E169" s="69">
        <v>50701644</v>
      </c>
      <c r="F169" s="62" t="s">
        <v>1406</v>
      </c>
      <c r="G169" s="63" t="s">
        <v>628</v>
      </c>
      <c r="H169" s="13" t="s">
        <v>1407</v>
      </c>
      <c r="I169" s="14" t="s">
        <v>1408</v>
      </c>
      <c r="J169" s="64" t="s">
        <v>173</v>
      </c>
      <c r="K169" s="22">
        <v>33351</v>
      </c>
      <c r="L169" s="66" t="s">
        <v>174</v>
      </c>
      <c r="M169" s="23">
        <v>42500</v>
      </c>
      <c r="N169" s="23"/>
      <c r="O169" s="15" t="s">
        <v>24</v>
      </c>
      <c r="P169" s="16" t="s">
        <v>631</v>
      </c>
      <c r="Q169" s="16" t="s">
        <v>176</v>
      </c>
      <c r="R169" s="15" t="s">
        <v>177</v>
      </c>
      <c r="S169" s="11" t="s">
        <v>214</v>
      </c>
      <c r="T169" s="159"/>
      <c r="U169" s="159"/>
      <c r="V169" s="19" t="s">
        <v>179</v>
      </c>
      <c r="W169" s="19" t="s">
        <v>179</v>
      </c>
      <c r="X169" s="1">
        <v>5</v>
      </c>
      <c r="Y169" s="160">
        <v>70910786</v>
      </c>
      <c r="Z169" s="70" t="s">
        <v>181</v>
      </c>
      <c r="AA169" s="70"/>
      <c r="AB169" s="70"/>
      <c r="AC169" s="161"/>
      <c r="AD169" s="99"/>
      <c r="AE169" s="99"/>
      <c r="AF169" s="108"/>
      <c r="AG169" s="106"/>
      <c r="AH169" s="162"/>
      <c r="AI169" s="162"/>
      <c r="AJ169" s="19" t="s">
        <v>198</v>
      </c>
      <c r="AK169" s="19" t="s">
        <v>185</v>
      </c>
      <c r="AL169" s="19" t="s">
        <v>185</v>
      </c>
      <c r="AM169" s="107" t="s">
        <v>1371</v>
      </c>
      <c r="AN169" s="20">
        <v>182</v>
      </c>
      <c r="AO169" s="20">
        <v>4</v>
      </c>
      <c r="AP169" s="20">
        <v>0</v>
      </c>
      <c r="AQ169" s="20">
        <v>0</v>
      </c>
      <c r="AR169" s="20">
        <v>0</v>
      </c>
      <c r="AS169" s="20">
        <v>7</v>
      </c>
      <c r="AT169" s="20">
        <v>10</v>
      </c>
      <c r="AU169" s="300">
        <f t="shared" si="23"/>
        <v>203</v>
      </c>
      <c r="AV169" s="20">
        <v>190</v>
      </c>
      <c r="AW169" s="20">
        <v>4</v>
      </c>
      <c r="AX169" s="20">
        <v>0</v>
      </c>
      <c r="AY169" s="20">
        <v>0</v>
      </c>
      <c r="AZ169" s="20">
        <v>0</v>
      </c>
      <c r="BA169" s="20">
        <v>7</v>
      </c>
      <c r="BB169" s="20">
        <v>10</v>
      </c>
      <c r="BC169" s="300">
        <f t="shared" si="24"/>
        <v>211</v>
      </c>
      <c r="BD169" s="42">
        <f t="shared" si="25"/>
        <v>8</v>
      </c>
      <c r="BE169" s="42">
        <f t="shared" si="26"/>
        <v>0</v>
      </c>
      <c r="BF169" s="42">
        <f t="shared" si="27"/>
        <v>0</v>
      </c>
      <c r="BG169" s="42">
        <f t="shared" si="28"/>
        <v>0</v>
      </c>
      <c r="BH169" s="42">
        <f t="shared" si="29"/>
        <v>0</v>
      </c>
      <c r="BI169" s="42">
        <f t="shared" si="30"/>
        <v>0</v>
      </c>
      <c r="BJ169" s="42">
        <f t="shared" si="31"/>
        <v>0</v>
      </c>
      <c r="BK169" s="42">
        <f t="shared" si="32"/>
        <v>8</v>
      </c>
    </row>
    <row r="170" spans="1:63" ht="27" customHeight="1">
      <c r="A170" s="11">
        <f t="shared" si="33"/>
        <v>168</v>
      </c>
      <c r="B170" s="12" t="s">
        <v>1409</v>
      </c>
      <c r="C170" s="8">
        <v>1529</v>
      </c>
      <c r="D170" s="60" t="s">
        <v>1410</v>
      </c>
      <c r="E170" s="69">
        <v>110459723</v>
      </c>
      <c r="F170" s="62" t="s">
        <v>1411</v>
      </c>
      <c r="G170" s="63" t="s">
        <v>1412</v>
      </c>
      <c r="H170" s="13" t="s">
        <v>1413</v>
      </c>
      <c r="I170" s="14" t="s">
        <v>1414</v>
      </c>
      <c r="J170" s="64" t="s">
        <v>173</v>
      </c>
      <c r="K170" s="22">
        <v>33278</v>
      </c>
      <c r="L170" s="66" t="s">
        <v>174</v>
      </c>
      <c r="M170" s="23">
        <v>42523</v>
      </c>
      <c r="N170" s="23"/>
      <c r="O170" s="15" t="s">
        <v>32</v>
      </c>
      <c r="P170" s="16" t="s">
        <v>599</v>
      </c>
      <c r="Q170" s="16" t="s">
        <v>176</v>
      </c>
      <c r="R170" s="15" t="s">
        <v>177</v>
      </c>
      <c r="S170" s="11" t="s">
        <v>223</v>
      </c>
      <c r="T170" s="159"/>
      <c r="U170" s="159"/>
      <c r="V170" s="19" t="s">
        <v>179</v>
      </c>
      <c r="W170" s="19" t="s">
        <v>179</v>
      </c>
      <c r="X170" s="1">
        <v>6</v>
      </c>
      <c r="Y170" s="160" t="s">
        <v>1415</v>
      </c>
      <c r="Z170" s="70"/>
      <c r="AA170" s="70" t="s">
        <v>181</v>
      </c>
      <c r="AB170" s="70"/>
      <c r="AC170" s="161" t="s">
        <v>197</v>
      </c>
      <c r="AD170" s="99"/>
      <c r="AE170" s="99"/>
      <c r="AF170" s="108"/>
      <c r="AG170" s="106"/>
      <c r="AH170" s="162"/>
      <c r="AI170" s="162"/>
      <c r="AJ170" s="19" t="s">
        <v>198</v>
      </c>
      <c r="AK170" s="19" t="s">
        <v>185</v>
      </c>
      <c r="AL170" s="19" t="s">
        <v>185</v>
      </c>
      <c r="AM170" s="107" t="s">
        <v>1154</v>
      </c>
      <c r="AN170" s="20">
        <v>182</v>
      </c>
      <c r="AO170" s="20">
        <v>0</v>
      </c>
      <c r="AP170" s="20">
        <v>0</v>
      </c>
      <c r="AQ170" s="20">
        <v>0</v>
      </c>
      <c r="AR170" s="20">
        <v>0</v>
      </c>
      <c r="AS170" s="20">
        <v>7</v>
      </c>
      <c r="AT170" s="20">
        <v>10</v>
      </c>
      <c r="AU170" s="300">
        <f t="shared" si="23"/>
        <v>199</v>
      </c>
      <c r="AV170" s="20">
        <v>190</v>
      </c>
      <c r="AW170" s="20">
        <v>0</v>
      </c>
      <c r="AX170" s="20">
        <v>0</v>
      </c>
      <c r="AY170" s="20">
        <v>0</v>
      </c>
      <c r="AZ170" s="20">
        <v>0</v>
      </c>
      <c r="BA170" s="20">
        <v>7</v>
      </c>
      <c r="BB170" s="20">
        <v>10</v>
      </c>
      <c r="BC170" s="300">
        <f t="shared" si="24"/>
        <v>207</v>
      </c>
      <c r="BD170" s="42">
        <f t="shared" si="25"/>
        <v>8</v>
      </c>
      <c r="BE170" s="42">
        <f t="shared" si="26"/>
        <v>0</v>
      </c>
      <c r="BF170" s="42">
        <f t="shared" si="27"/>
        <v>0</v>
      </c>
      <c r="BG170" s="42">
        <f t="shared" si="28"/>
        <v>0</v>
      </c>
      <c r="BH170" s="42">
        <f t="shared" si="29"/>
        <v>0</v>
      </c>
      <c r="BI170" s="42">
        <f t="shared" si="30"/>
        <v>0</v>
      </c>
      <c r="BJ170" s="42">
        <f t="shared" si="31"/>
        <v>0</v>
      </c>
      <c r="BK170" s="42">
        <f t="shared" si="32"/>
        <v>8</v>
      </c>
    </row>
    <row r="171" spans="1:63" ht="27" customHeight="1">
      <c r="A171" s="11">
        <f t="shared" si="33"/>
        <v>169</v>
      </c>
      <c r="B171" s="12" t="s">
        <v>1416</v>
      </c>
      <c r="C171" s="8">
        <v>1531</v>
      </c>
      <c r="D171" s="60" t="s">
        <v>1417</v>
      </c>
      <c r="E171" s="69">
        <v>110582473</v>
      </c>
      <c r="F171" s="62" t="s">
        <v>1418</v>
      </c>
      <c r="G171" s="63" t="s">
        <v>1419</v>
      </c>
      <c r="H171" s="13" t="s">
        <v>1420</v>
      </c>
      <c r="I171" s="14" t="s">
        <v>1421</v>
      </c>
      <c r="J171" s="64" t="s">
        <v>173</v>
      </c>
      <c r="K171" s="22">
        <v>34586</v>
      </c>
      <c r="L171" s="66" t="s">
        <v>174</v>
      </c>
      <c r="M171" s="23">
        <v>42523</v>
      </c>
      <c r="N171" s="23"/>
      <c r="O171" s="15" t="s">
        <v>32</v>
      </c>
      <c r="P171" s="16" t="s">
        <v>599</v>
      </c>
      <c r="Q171" s="16" t="s">
        <v>176</v>
      </c>
      <c r="R171" s="15" t="s">
        <v>177</v>
      </c>
      <c r="S171" s="11" t="s">
        <v>223</v>
      </c>
      <c r="T171" s="159"/>
      <c r="U171" s="159"/>
      <c r="V171" s="19" t="s">
        <v>179</v>
      </c>
      <c r="W171" s="19" t="s">
        <v>179</v>
      </c>
      <c r="X171" s="1">
        <v>7</v>
      </c>
      <c r="Y171" s="160" t="s">
        <v>1422</v>
      </c>
      <c r="Z171" s="70"/>
      <c r="AA171" s="70" t="s">
        <v>181</v>
      </c>
      <c r="AB171" s="70"/>
      <c r="AC171" s="161" t="s">
        <v>1423</v>
      </c>
      <c r="AD171" s="99"/>
      <c r="AE171" s="99"/>
      <c r="AF171" s="108"/>
      <c r="AG171" s="106"/>
      <c r="AH171" s="162"/>
      <c r="AI171" s="162"/>
      <c r="AJ171" s="19" t="s">
        <v>198</v>
      </c>
      <c r="AK171" s="19" t="s">
        <v>185</v>
      </c>
      <c r="AL171" s="19" t="s">
        <v>185</v>
      </c>
      <c r="AM171" s="107" t="s">
        <v>1424</v>
      </c>
      <c r="AN171" s="20">
        <v>182</v>
      </c>
      <c r="AO171" s="20">
        <v>4</v>
      </c>
      <c r="AP171" s="20">
        <v>0</v>
      </c>
      <c r="AQ171" s="20">
        <v>0</v>
      </c>
      <c r="AR171" s="20">
        <v>0</v>
      </c>
      <c r="AS171" s="20">
        <v>7</v>
      </c>
      <c r="AT171" s="20">
        <v>10</v>
      </c>
      <c r="AU171" s="300">
        <f t="shared" si="23"/>
        <v>203</v>
      </c>
      <c r="AV171" s="20">
        <v>190</v>
      </c>
      <c r="AW171" s="20">
        <v>4</v>
      </c>
      <c r="AX171" s="20">
        <v>0</v>
      </c>
      <c r="AY171" s="20">
        <v>0</v>
      </c>
      <c r="AZ171" s="20">
        <v>0</v>
      </c>
      <c r="BA171" s="20">
        <v>7</v>
      </c>
      <c r="BB171" s="20">
        <v>10</v>
      </c>
      <c r="BC171" s="300">
        <f t="shared" si="24"/>
        <v>211</v>
      </c>
      <c r="BD171" s="42">
        <f t="shared" si="25"/>
        <v>8</v>
      </c>
      <c r="BE171" s="42">
        <f t="shared" si="26"/>
        <v>0</v>
      </c>
      <c r="BF171" s="42">
        <f t="shared" si="27"/>
        <v>0</v>
      </c>
      <c r="BG171" s="42">
        <f t="shared" si="28"/>
        <v>0</v>
      </c>
      <c r="BH171" s="42">
        <f t="shared" si="29"/>
        <v>0</v>
      </c>
      <c r="BI171" s="42">
        <f t="shared" si="30"/>
        <v>0</v>
      </c>
      <c r="BJ171" s="42">
        <f t="shared" si="31"/>
        <v>0</v>
      </c>
      <c r="BK171" s="42">
        <f t="shared" si="32"/>
        <v>8</v>
      </c>
    </row>
    <row r="172" spans="1:63" ht="27" customHeight="1">
      <c r="A172" s="11">
        <f t="shared" si="33"/>
        <v>170</v>
      </c>
      <c r="B172" s="12" t="s">
        <v>1425</v>
      </c>
      <c r="C172" s="8">
        <v>1540</v>
      </c>
      <c r="D172" s="60" t="s">
        <v>1426</v>
      </c>
      <c r="E172" s="69" t="s">
        <v>1314</v>
      </c>
      <c r="F172" s="62" t="s">
        <v>476</v>
      </c>
      <c r="G172" s="63" t="s">
        <v>1427</v>
      </c>
      <c r="H172" s="13" t="s">
        <v>478</v>
      </c>
      <c r="I172" s="14" t="s">
        <v>1428</v>
      </c>
      <c r="J172" s="64" t="s">
        <v>173</v>
      </c>
      <c r="K172" s="22">
        <v>34552</v>
      </c>
      <c r="L172" s="66" t="s">
        <v>174</v>
      </c>
      <c r="M172" s="23">
        <v>42528</v>
      </c>
      <c r="N172" s="23"/>
      <c r="O172" s="15" t="s">
        <v>32</v>
      </c>
      <c r="P172" s="16" t="s">
        <v>1276</v>
      </c>
      <c r="Q172" s="16" t="s">
        <v>176</v>
      </c>
      <c r="R172" s="15" t="s">
        <v>177</v>
      </c>
      <c r="S172" s="17" t="s">
        <v>206</v>
      </c>
      <c r="T172" s="159"/>
      <c r="U172" s="159"/>
      <c r="V172" s="19" t="s">
        <v>195</v>
      </c>
      <c r="W172" s="19" t="s">
        <v>195</v>
      </c>
      <c r="X172" s="1">
        <v>4</v>
      </c>
      <c r="Y172" s="160">
        <v>962031192</v>
      </c>
      <c r="Z172" s="70" t="s">
        <v>181</v>
      </c>
      <c r="AA172" s="70"/>
      <c r="AB172" s="1"/>
      <c r="AC172" s="161"/>
      <c r="AD172" s="99"/>
      <c r="AE172" s="99"/>
      <c r="AF172" s="108"/>
      <c r="AG172" s="106"/>
      <c r="AH172" s="162"/>
      <c r="AI172" s="162"/>
      <c r="AJ172" s="19" t="s">
        <v>198</v>
      </c>
      <c r="AK172" s="19" t="s">
        <v>185</v>
      </c>
      <c r="AL172" s="19" t="s">
        <v>185</v>
      </c>
      <c r="AM172" s="107" t="s">
        <v>1429</v>
      </c>
      <c r="AN172" s="20">
        <v>182</v>
      </c>
      <c r="AO172" s="20">
        <v>4</v>
      </c>
      <c r="AP172" s="20">
        <v>20</v>
      </c>
      <c r="AQ172" s="20">
        <v>0</v>
      </c>
      <c r="AR172" s="20">
        <v>0</v>
      </c>
      <c r="AS172" s="20">
        <v>7</v>
      </c>
      <c r="AT172" s="20">
        <v>10</v>
      </c>
      <c r="AU172" s="300">
        <f t="shared" si="23"/>
        <v>223</v>
      </c>
      <c r="AV172" s="20">
        <v>190</v>
      </c>
      <c r="AW172" s="20">
        <v>4</v>
      </c>
      <c r="AX172" s="20">
        <v>20</v>
      </c>
      <c r="AY172" s="20">
        <v>0</v>
      </c>
      <c r="AZ172" s="20">
        <v>0</v>
      </c>
      <c r="BA172" s="20">
        <v>7</v>
      </c>
      <c r="BB172" s="20">
        <v>10</v>
      </c>
      <c r="BC172" s="300">
        <f t="shared" si="24"/>
        <v>231</v>
      </c>
      <c r="BD172" s="42">
        <f t="shared" si="25"/>
        <v>8</v>
      </c>
      <c r="BE172" s="42">
        <f t="shared" si="26"/>
        <v>0</v>
      </c>
      <c r="BF172" s="42">
        <f t="shared" si="27"/>
        <v>0</v>
      </c>
      <c r="BG172" s="42">
        <f t="shared" si="28"/>
        <v>0</v>
      </c>
      <c r="BH172" s="42">
        <f t="shared" si="29"/>
        <v>0</v>
      </c>
      <c r="BI172" s="42">
        <f t="shared" si="30"/>
        <v>0</v>
      </c>
      <c r="BJ172" s="42">
        <f t="shared" si="31"/>
        <v>0</v>
      </c>
      <c r="BK172" s="42">
        <f t="shared" si="32"/>
        <v>8</v>
      </c>
    </row>
    <row r="173" spans="1:63" ht="27" customHeight="1">
      <c r="A173" s="11">
        <f t="shared" si="33"/>
        <v>171</v>
      </c>
      <c r="B173" s="12" t="s">
        <v>1430</v>
      </c>
      <c r="C173" s="8">
        <v>1553</v>
      </c>
      <c r="D173" s="60" t="s">
        <v>1431</v>
      </c>
      <c r="E173" s="69">
        <v>30263997</v>
      </c>
      <c r="F173" s="62" t="s">
        <v>1432</v>
      </c>
      <c r="G173" s="63" t="s">
        <v>1433</v>
      </c>
      <c r="H173" s="13" t="s">
        <v>1434</v>
      </c>
      <c r="I173" s="14" t="s">
        <v>1435</v>
      </c>
      <c r="J173" s="64" t="s">
        <v>173</v>
      </c>
      <c r="K173" s="22">
        <v>31240</v>
      </c>
      <c r="L173" s="66" t="s">
        <v>174</v>
      </c>
      <c r="M173" s="23">
        <v>42537</v>
      </c>
      <c r="N173" s="23"/>
      <c r="O173" s="15" t="s">
        <v>32</v>
      </c>
      <c r="P173" s="16" t="s">
        <v>1276</v>
      </c>
      <c r="Q173" s="16" t="s">
        <v>176</v>
      </c>
      <c r="R173" s="15" t="s">
        <v>177</v>
      </c>
      <c r="S173" s="11" t="s">
        <v>305</v>
      </c>
      <c r="T173" s="159"/>
      <c r="U173" s="159"/>
      <c r="V173" s="19" t="s">
        <v>179</v>
      </c>
      <c r="W173" s="19" t="s">
        <v>179</v>
      </c>
      <c r="X173" s="1">
        <v>6</v>
      </c>
      <c r="Y173" s="160" t="s">
        <v>1436</v>
      </c>
      <c r="Z173" s="70" t="s">
        <v>181</v>
      </c>
      <c r="AA173" s="70"/>
      <c r="AB173" s="1"/>
      <c r="AC173" s="161"/>
      <c r="AD173" s="99"/>
      <c r="AE173" s="99"/>
      <c r="AF173" s="108"/>
      <c r="AG173" s="106"/>
      <c r="AH173" s="162"/>
      <c r="AI173" s="162"/>
      <c r="AJ173" s="19" t="s">
        <v>198</v>
      </c>
      <c r="AK173" s="19" t="s">
        <v>185</v>
      </c>
      <c r="AL173" s="19" t="s">
        <v>185</v>
      </c>
      <c r="AM173" s="107" t="s">
        <v>1194</v>
      </c>
      <c r="AN173" s="20">
        <v>182</v>
      </c>
      <c r="AO173" s="20">
        <v>4</v>
      </c>
      <c r="AP173" s="20">
        <v>20</v>
      </c>
      <c r="AQ173" s="20">
        <v>0</v>
      </c>
      <c r="AR173" s="20">
        <v>0</v>
      </c>
      <c r="AS173" s="20">
        <v>7</v>
      </c>
      <c r="AT173" s="20">
        <v>10</v>
      </c>
      <c r="AU173" s="300">
        <f t="shared" si="23"/>
        <v>223</v>
      </c>
      <c r="AV173" s="20">
        <v>190</v>
      </c>
      <c r="AW173" s="20">
        <v>4</v>
      </c>
      <c r="AX173" s="20">
        <v>20</v>
      </c>
      <c r="AY173" s="20">
        <v>0</v>
      </c>
      <c r="AZ173" s="20">
        <v>0</v>
      </c>
      <c r="BA173" s="20">
        <v>7</v>
      </c>
      <c r="BB173" s="20">
        <v>10</v>
      </c>
      <c r="BC173" s="300">
        <f t="shared" si="24"/>
        <v>231</v>
      </c>
      <c r="BD173" s="42">
        <f t="shared" si="25"/>
        <v>8</v>
      </c>
      <c r="BE173" s="42">
        <f t="shared" si="26"/>
        <v>0</v>
      </c>
      <c r="BF173" s="42">
        <f t="shared" si="27"/>
        <v>0</v>
      </c>
      <c r="BG173" s="42">
        <f t="shared" si="28"/>
        <v>0</v>
      </c>
      <c r="BH173" s="42">
        <f t="shared" si="29"/>
        <v>0</v>
      </c>
      <c r="BI173" s="42">
        <f t="shared" si="30"/>
        <v>0</v>
      </c>
      <c r="BJ173" s="42">
        <f t="shared" si="31"/>
        <v>0</v>
      </c>
      <c r="BK173" s="42">
        <f t="shared" si="32"/>
        <v>8</v>
      </c>
    </row>
    <row r="174" spans="1:63" ht="27" customHeight="1">
      <c r="A174" s="11">
        <f t="shared" si="33"/>
        <v>172</v>
      </c>
      <c r="B174" s="12" t="s">
        <v>1437</v>
      </c>
      <c r="C174" s="8">
        <v>1559</v>
      </c>
      <c r="D174" s="60" t="s">
        <v>1438</v>
      </c>
      <c r="E174" s="69">
        <v>110322618</v>
      </c>
      <c r="F174" s="62" t="s">
        <v>1439</v>
      </c>
      <c r="G174" s="63" t="s">
        <v>1440</v>
      </c>
      <c r="H174" s="13" t="s">
        <v>1441</v>
      </c>
      <c r="I174" s="14" t="s">
        <v>1442</v>
      </c>
      <c r="J174" s="64" t="s">
        <v>173</v>
      </c>
      <c r="K174" s="22">
        <v>31459</v>
      </c>
      <c r="L174" s="66" t="s">
        <v>174</v>
      </c>
      <c r="M174" s="23">
        <v>42545</v>
      </c>
      <c r="N174" s="23"/>
      <c r="O174" s="15" t="s">
        <v>32</v>
      </c>
      <c r="P174" s="16" t="s">
        <v>599</v>
      </c>
      <c r="Q174" s="16" t="s">
        <v>176</v>
      </c>
      <c r="R174" s="15" t="s">
        <v>177</v>
      </c>
      <c r="S174" s="11" t="s">
        <v>223</v>
      </c>
      <c r="T174" s="159"/>
      <c r="U174" s="159"/>
      <c r="V174" s="19" t="s">
        <v>179</v>
      </c>
      <c r="W174" s="19" t="s">
        <v>179</v>
      </c>
      <c r="X174" s="1">
        <v>3</v>
      </c>
      <c r="Y174" s="61" t="s">
        <v>179</v>
      </c>
      <c r="Z174" s="70"/>
      <c r="AA174" s="70" t="s">
        <v>181</v>
      </c>
      <c r="AB174" s="1"/>
      <c r="AC174" s="161" t="s">
        <v>197</v>
      </c>
      <c r="AD174" s="99"/>
      <c r="AE174" s="99"/>
      <c r="AF174" s="108"/>
      <c r="AG174" s="106"/>
      <c r="AH174" s="162"/>
      <c r="AI174" s="162"/>
      <c r="AJ174" s="19" t="s">
        <v>198</v>
      </c>
      <c r="AK174" s="19" t="s">
        <v>185</v>
      </c>
      <c r="AL174" s="19" t="s">
        <v>185</v>
      </c>
      <c r="AM174" s="107" t="s">
        <v>1443</v>
      </c>
      <c r="AN174" s="20">
        <v>182</v>
      </c>
      <c r="AO174" s="20">
        <v>4</v>
      </c>
      <c r="AP174" s="20">
        <v>0</v>
      </c>
      <c r="AQ174" s="20">
        <v>0</v>
      </c>
      <c r="AR174" s="20">
        <v>0</v>
      </c>
      <c r="AS174" s="20">
        <v>7</v>
      </c>
      <c r="AT174" s="20">
        <v>10</v>
      </c>
      <c r="AU174" s="300">
        <f t="shared" si="23"/>
        <v>203</v>
      </c>
      <c r="AV174" s="20">
        <v>190</v>
      </c>
      <c r="AW174" s="20">
        <v>4</v>
      </c>
      <c r="AX174" s="20">
        <v>0</v>
      </c>
      <c r="AY174" s="20">
        <v>0</v>
      </c>
      <c r="AZ174" s="20">
        <v>0</v>
      </c>
      <c r="BA174" s="20">
        <v>7</v>
      </c>
      <c r="BB174" s="20">
        <v>10</v>
      </c>
      <c r="BC174" s="300">
        <f t="shared" si="24"/>
        <v>211</v>
      </c>
      <c r="BD174" s="42">
        <f t="shared" si="25"/>
        <v>8</v>
      </c>
      <c r="BE174" s="42">
        <f t="shared" si="26"/>
        <v>0</v>
      </c>
      <c r="BF174" s="42">
        <f t="shared" si="27"/>
        <v>0</v>
      </c>
      <c r="BG174" s="42">
        <f t="shared" si="28"/>
        <v>0</v>
      </c>
      <c r="BH174" s="42">
        <f t="shared" si="29"/>
        <v>0</v>
      </c>
      <c r="BI174" s="42">
        <f t="shared" si="30"/>
        <v>0</v>
      </c>
      <c r="BJ174" s="42">
        <f t="shared" si="31"/>
        <v>0</v>
      </c>
      <c r="BK174" s="42">
        <f t="shared" si="32"/>
        <v>8</v>
      </c>
    </row>
    <row r="175" spans="1:63" ht="27" customHeight="1">
      <c r="A175" s="11">
        <f t="shared" si="33"/>
        <v>173</v>
      </c>
      <c r="B175" s="12" t="s">
        <v>1444</v>
      </c>
      <c r="C175" s="8">
        <v>1569</v>
      </c>
      <c r="D175" s="60" t="s">
        <v>1445</v>
      </c>
      <c r="E175" s="69">
        <v>130187563</v>
      </c>
      <c r="F175" s="62" t="s">
        <v>1446</v>
      </c>
      <c r="G175" s="63" t="s">
        <v>1447</v>
      </c>
      <c r="H175" s="13" t="s">
        <v>1448</v>
      </c>
      <c r="I175" s="14" t="s">
        <v>1449</v>
      </c>
      <c r="J175" s="64" t="s">
        <v>173</v>
      </c>
      <c r="K175" s="22">
        <v>31659</v>
      </c>
      <c r="L175" s="66" t="s">
        <v>174</v>
      </c>
      <c r="M175" s="23">
        <v>42565</v>
      </c>
      <c r="N175" s="23"/>
      <c r="O175" s="15" t="s">
        <v>32</v>
      </c>
      <c r="P175" s="16" t="s">
        <v>1276</v>
      </c>
      <c r="Q175" s="16" t="s">
        <v>176</v>
      </c>
      <c r="R175" s="15" t="s">
        <v>177</v>
      </c>
      <c r="S175" s="17" t="s">
        <v>251</v>
      </c>
      <c r="T175" s="159"/>
      <c r="U175" s="159"/>
      <c r="V175" s="19" t="s">
        <v>195</v>
      </c>
      <c r="W175" s="19">
        <v>1449</v>
      </c>
      <c r="X175" s="1">
        <v>7</v>
      </c>
      <c r="Y175" s="160" t="s">
        <v>1450</v>
      </c>
      <c r="Z175" s="70"/>
      <c r="AA175" s="70" t="s">
        <v>181</v>
      </c>
      <c r="AB175" s="1"/>
      <c r="AC175" s="161" t="s">
        <v>1451</v>
      </c>
      <c r="AD175" s="99" t="s">
        <v>184</v>
      </c>
      <c r="AE175" s="99" t="s">
        <v>184</v>
      </c>
      <c r="AF175" s="108"/>
      <c r="AG175" s="106"/>
      <c r="AH175" s="162"/>
      <c r="AI175" s="162"/>
      <c r="AJ175" s="19" t="s">
        <v>198</v>
      </c>
      <c r="AK175" s="19" t="s">
        <v>185</v>
      </c>
      <c r="AL175" s="19" t="s">
        <v>185</v>
      </c>
      <c r="AM175" s="107" t="s">
        <v>1331</v>
      </c>
      <c r="AN175" s="20">
        <v>182</v>
      </c>
      <c r="AO175" s="20">
        <v>4</v>
      </c>
      <c r="AP175" s="20">
        <v>20</v>
      </c>
      <c r="AQ175" s="20">
        <v>20</v>
      </c>
      <c r="AR175" s="20">
        <v>0</v>
      </c>
      <c r="AS175" s="20">
        <v>7</v>
      </c>
      <c r="AT175" s="20">
        <v>10</v>
      </c>
      <c r="AU175" s="300">
        <f t="shared" si="23"/>
        <v>243</v>
      </c>
      <c r="AV175" s="20">
        <v>190</v>
      </c>
      <c r="AW175" s="20">
        <v>4</v>
      </c>
      <c r="AX175" s="20">
        <v>20</v>
      </c>
      <c r="AY175" s="20">
        <v>20</v>
      </c>
      <c r="AZ175" s="20">
        <v>0</v>
      </c>
      <c r="BA175" s="20">
        <v>7</v>
      </c>
      <c r="BB175" s="20">
        <v>10</v>
      </c>
      <c r="BC175" s="300">
        <f t="shared" si="24"/>
        <v>251</v>
      </c>
      <c r="BD175" s="42">
        <f t="shared" si="25"/>
        <v>8</v>
      </c>
      <c r="BE175" s="42">
        <f t="shared" si="26"/>
        <v>0</v>
      </c>
      <c r="BF175" s="42">
        <f t="shared" si="27"/>
        <v>0</v>
      </c>
      <c r="BG175" s="42">
        <f t="shared" si="28"/>
        <v>0</v>
      </c>
      <c r="BH175" s="42">
        <f t="shared" si="29"/>
        <v>0</v>
      </c>
      <c r="BI175" s="42">
        <f t="shared" si="30"/>
        <v>0</v>
      </c>
      <c r="BJ175" s="42">
        <f t="shared" si="31"/>
        <v>0</v>
      </c>
      <c r="BK175" s="42">
        <f t="shared" si="32"/>
        <v>8</v>
      </c>
    </row>
    <row r="176" spans="1:63" ht="27" customHeight="1">
      <c r="A176" s="11">
        <f t="shared" si="33"/>
        <v>174</v>
      </c>
      <c r="B176" s="12" t="s">
        <v>1452</v>
      </c>
      <c r="C176" s="8">
        <v>1574</v>
      </c>
      <c r="D176" s="60" t="s">
        <v>1453</v>
      </c>
      <c r="E176" s="69">
        <v>110347580</v>
      </c>
      <c r="F176" s="62" t="s">
        <v>1454</v>
      </c>
      <c r="G176" s="63" t="s">
        <v>1455</v>
      </c>
      <c r="H176" s="13" t="s">
        <v>1456</v>
      </c>
      <c r="I176" s="14" t="s">
        <v>1457</v>
      </c>
      <c r="J176" s="64" t="s">
        <v>173</v>
      </c>
      <c r="K176" s="22">
        <v>33125</v>
      </c>
      <c r="L176" s="66" t="s">
        <v>174</v>
      </c>
      <c r="M176" s="23">
        <v>42572</v>
      </c>
      <c r="N176" s="23"/>
      <c r="O176" s="15" t="s">
        <v>32</v>
      </c>
      <c r="P176" s="16" t="s">
        <v>287</v>
      </c>
      <c r="Q176" s="16" t="s">
        <v>176</v>
      </c>
      <c r="R176" s="15" t="s">
        <v>177</v>
      </c>
      <c r="S176" s="11" t="s">
        <v>223</v>
      </c>
      <c r="T176" s="159"/>
      <c r="U176" s="159"/>
      <c r="V176" s="19" t="s">
        <v>179</v>
      </c>
      <c r="W176" s="19" t="s">
        <v>179</v>
      </c>
      <c r="X176" s="1">
        <v>6</v>
      </c>
      <c r="Y176" s="160" t="s">
        <v>1458</v>
      </c>
      <c r="Z176" s="70"/>
      <c r="AA176" s="70" t="s">
        <v>181</v>
      </c>
      <c r="AB176" s="1"/>
      <c r="AC176" s="161" t="s">
        <v>1459</v>
      </c>
      <c r="AD176" s="99"/>
      <c r="AE176" s="99"/>
      <c r="AF176" s="108"/>
      <c r="AG176" s="106"/>
      <c r="AH176" s="162"/>
      <c r="AI176" s="162"/>
      <c r="AJ176" s="19" t="s">
        <v>198</v>
      </c>
      <c r="AK176" s="19" t="s">
        <v>185</v>
      </c>
      <c r="AL176" s="19" t="s">
        <v>185</v>
      </c>
      <c r="AM176" s="107" t="s">
        <v>1460</v>
      </c>
      <c r="AN176" s="20">
        <v>182</v>
      </c>
      <c r="AO176" s="20">
        <v>4</v>
      </c>
      <c r="AP176" s="20">
        <v>20</v>
      </c>
      <c r="AQ176" s="20">
        <v>0</v>
      </c>
      <c r="AR176" s="20">
        <v>0</v>
      </c>
      <c r="AS176" s="20">
        <v>7</v>
      </c>
      <c r="AT176" s="20">
        <v>10</v>
      </c>
      <c r="AU176" s="300">
        <f t="shared" si="23"/>
        <v>223</v>
      </c>
      <c r="AV176" s="20">
        <v>190</v>
      </c>
      <c r="AW176" s="20">
        <v>4</v>
      </c>
      <c r="AX176" s="20">
        <v>20</v>
      </c>
      <c r="AY176" s="20">
        <v>0</v>
      </c>
      <c r="AZ176" s="20">
        <v>0</v>
      </c>
      <c r="BA176" s="20">
        <v>7</v>
      </c>
      <c r="BB176" s="20">
        <v>10</v>
      </c>
      <c r="BC176" s="300">
        <f t="shared" si="24"/>
        <v>231</v>
      </c>
      <c r="BD176" s="42">
        <f t="shared" si="25"/>
        <v>8</v>
      </c>
      <c r="BE176" s="42">
        <f t="shared" si="26"/>
        <v>0</v>
      </c>
      <c r="BF176" s="42">
        <f t="shared" si="27"/>
        <v>0</v>
      </c>
      <c r="BG176" s="42">
        <f t="shared" si="28"/>
        <v>0</v>
      </c>
      <c r="BH176" s="42">
        <f t="shared" si="29"/>
        <v>0</v>
      </c>
      <c r="BI176" s="42">
        <f t="shared" si="30"/>
        <v>0</v>
      </c>
      <c r="BJ176" s="42">
        <f t="shared" si="31"/>
        <v>0</v>
      </c>
      <c r="BK176" s="42">
        <f t="shared" si="32"/>
        <v>8</v>
      </c>
    </row>
    <row r="177" spans="1:63" ht="27" customHeight="1">
      <c r="A177" s="11">
        <f t="shared" si="33"/>
        <v>175</v>
      </c>
      <c r="B177" s="12" t="s">
        <v>1461</v>
      </c>
      <c r="C177" s="8">
        <v>1591</v>
      </c>
      <c r="D177" s="60" t="s">
        <v>1462</v>
      </c>
      <c r="E177" s="69">
        <v>60826831</v>
      </c>
      <c r="F177" s="62" t="s">
        <v>1463</v>
      </c>
      <c r="G177" s="63" t="s">
        <v>1249</v>
      </c>
      <c r="H177" s="13" t="s">
        <v>1464</v>
      </c>
      <c r="I177" s="14" t="s">
        <v>1251</v>
      </c>
      <c r="J177" s="64" t="s">
        <v>173</v>
      </c>
      <c r="K177" s="22">
        <v>31946</v>
      </c>
      <c r="L177" s="66" t="s">
        <v>174</v>
      </c>
      <c r="M177" s="23">
        <v>42592</v>
      </c>
      <c r="N177" s="23"/>
      <c r="O177" s="15" t="s">
        <v>32</v>
      </c>
      <c r="P177" s="16" t="s">
        <v>334</v>
      </c>
      <c r="Q177" s="16" t="s">
        <v>176</v>
      </c>
      <c r="R177" s="15" t="s">
        <v>177</v>
      </c>
      <c r="S177" s="17" t="s">
        <v>178</v>
      </c>
      <c r="T177" s="159"/>
      <c r="U177" s="159"/>
      <c r="V177" s="19" t="s">
        <v>195</v>
      </c>
      <c r="W177" s="19" t="s">
        <v>179</v>
      </c>
      <c r="X177" s="1">
        <v>8</v>
      </c>
      <c r="Y177" s="160" t="s">
        <v>179</v>
      </c>
      <c r="Z177" s="70"/>
      <c r="AA177" s="70" t="s">
        <v>181</v>
      </c>
      <c r="AB177" s="1"/>
      <c r="AC177" s="161" t="s">
        <v>382</v>
      </c>
      <c r="AD177" s="99" t="s">
        <v>184</v>
      </c>
      <c r="AE177" s="99" t="s">
        <v>184</v>
      </c>
      <c r="AF177" s="99" t="s">
        <v>184</v>
      </c>
      <c r="AG177" s="99" t="s">
        <v>184</v>
      </c>
      <c r="AH177" s="162"/>
      <c r="AI177" s="162"/>
      <c r="AJ177" s="19" t="s">
        <v>198</v>
      </c>
      <c r="AK177" s="19" t="s">
        <v>185</v>
      </c>
      <c r="AL177" s="19" t="s">
        <v>185</v>
      </c>
      <c r="AM177" s="107" t="s">
        <v>1296</v>
      </c>
      <c r="AN177" s="20">
        <v>182</v>
      </c>
      <c r="AO177" s="20">
        <v>4</v>
      </c>
      <c r="AP177" s="20">
        <v>0</v>
      </c>
      <c r="AQ177" s="20">
        <v>0</v>
      </c>
      <c r="AR177" s="20">
        <v>0</v>
      </c>
      <c r="AS177" s="20">
        <v>7</v>
      </c>
      <c r="AT177" s="20">
        <v>10</v>
      </c>
      <c r="AU177" s="300">
        <f t="shared" si="23"/>
        <v>203</v>
      </c>
      <c r="AV177" s="20">
        <v>190</v>
      </c>
      <c r="AW177" s="20">
        <v>4</v>
      </c>
      <c r="AX177" s="20">
        <v>0</v>
      </c>
      <c r="AY177" s="20">
        <v>0</v>
      </c>
      <c r="AZ177" s="20">
        <v>0</v>
      </c>
      <c r="BA177" s="20">
        <v>7</v>
      </c>
      <c r="BB177" s="20">
        <v>10</v>
      </c>
      <c r="BC177" s="300">
        <f t="shared" si="24"/>
        <v>211</v>
      </c>
      <c r="BD177" s="42">
        <f t="shared" si="25"/>
        <v>8</v>
      </c>
      <c r="BE177" s="42">
        <f t="shared" si="26"/>
        <v>0</v>
      </c>
      <c r="BF177" s="42">
        <f t="shared" si="27"/>
        <v>0</v>
      </c>
      <c r="BG177" s="42">
        <f t="shared" si="28"/>
        <v>0</v>
      </c>
      <c r="BH177" s="42">
        <f t="shared" si="29"/>
        <v>0</v>
      </c>
      <c r="BI177" s="42">
        <f t="shared" si="30"/>
        <v>0</v>
      </c>
      <c r="BJ177" s="42">
        <f t="shared" si="31"/>
        <v>0</v>
      </c>
      <c r="BK177" s="42">
        <f t="shared" si="32"/>
        <v>8</v>
      </c>
    </row>
    <row r="178" spans="1:63" ht="27" customHeight="1">
      <c r="A178" s="11">
        <f t="shared" si="33"/>
        <v>176</v>
      </c>
      <c r="B178" s="12" t="s">
        <v>1465</v>
      </c>
      <c r="C178" s="8">
        <v>1593</v>
      </c>
      <c r="D178" s="60" t="s">
        <v>1466</v>
      </c>
      <c r="E178" s="69">
        <v>180344209</v>
      </c>
      <c r="F178" s="62" t="s">
        <v>256</v>
      </c>
      <c r="G178" s="63" t="s">
        <v>1467</v>
      </c>
      <c r="H178" s="13" t="s">
        <v>16</v>
      </c>
      <c r="I178" s="14" t="s">
        <v>17</v>
      </c>
      <c r="J178" s="64" t="s">
        <v>173</v>
      </c>
      <c r="K178" s="22">
        <v>28495</v>
      </c>
      <c r="L178" s="66" t="s">
        <v>174</v>
      </c>
      <c r="M178" s="23">
        <v>42597</v>
      </c>
      <c r="N178" s="23"/>
      <c r="O178" s="15" t="s">
        <v>12</v>
      </c>
      <c r="P178" s="16" t="s">
        <v>13</v>
      </c>
      <c r="Q178" s="16" t="s">
        <v>176</v>
      </c>
      <c r="R178" s="15" t="s">
        <v>177</v>
      </c>
      <c r="S178" s="11" t="s">
        <v>223</v>
      </c>
      <c r="T178" s="159"/>
      <c r="U178" s="159"/>
      <c r="V178" s="19" t="s">
        <v>179</v>
      </c>
      <c r="W178" s="19" t="s">
        <v>179</v>
      </c>
      <c r="X178" s="1">
        <v>3</v>
      </c>
      <c r="Y178" s="160" t="s">
        <v>179</v>
      </c>
      <c r="Z178" s="70"/>
      <c r="AA178" s="70" t="s">
        <v>181</v>
      </c>
      <c r="AB178" s="1"/>
      <c r="AC178" s="161" t="s">
        <v>351</v>
      </c>
      <c r="AD178" s="99"/>
      <c r="AE178" s="99"/>
      <c r="AF178" s="108"/>
      <c r="AG178" s="106"/>
      <c r="AH178" s="162"/>
      <c r="AI178" s="162"/>
      <c r="AJ178" s="19" t="s">
        <v>198</v>
      </c>
      <c r="AK178" s="19" t="s">
        <v>185</v>
      </c>
      <c r="AL178" s="19" t="s">
        <v>185</v>
      </c>
      <c r="AM178" s="107" t="s">
        <v>1468</v>
      </c>
      <c r="AN178" s="20">
        <v>182</v>
      </c>
      <c r="AO178" s="20">
        <v>4</v>
      </c>
      <c r="AP178" s="20">
        <v>0</v>
      </c>
      <c r="AQ178" s="20">
        <v>0</v>
      </c>
      <c r="AR178" s="20">
        <v>0</v>
      </c>
      <c r="AS178" s="20">
        <v>7</v>
      </c>
      <c r="AT178" s="20">
        <v>10</v>
      </c>
      <c r="AU178" s="300">
        <f t="shared" si="23"/>
        <v>203</v>
      </c>
      <c r="AV178" s="20">
        <v>190</v>
      </c>
      <c r="AW178" s="20">
        <v>4</v>
      </c>
      <c r="AX178" s="20">
        <v>0</v>
      </c>
      <c r="AY178" s="20">
        <v>0</v>
      </c>
      <c r="AZ178" s="20">
        <v>0</v>
      </c>
      <c r="BA178" s="20">
        <v>7</v>
      </c>
      <c r="BB178" s="20">
        <v>10</v>
      </c>
      <c r="BC178" s="300">
        <f t="shared" si="24"/>
        <v>211</v>
      </c>
      <c r="BD178" s="42">
        <f t="shared" si="25"/>
        <v>8</v>
      </c>
      <c r="BE178" s="42">
        <f t="shared" si="26"/>
        <v>0</v>
      </c>
      <c r="BF178" s="42">
        <f t="shared" si="27"/>
        <v>0</v>
      </c>
      <c r="BG178" s="42">
        <f t="shared" si="28"/>
        <v>0</v>
      </c>
      <c r="BH178" s="42">
        <f t="shared" si="29"/>
        <v>0</v>
      </c>
      <c r="BI178" s="42">
        <f t="shared" si="30"/>
        <v>0</v>
      </c>
      <c r="BJ178" s="42">
        <f t="shared" si="31"/>
        <v>0</v>
      </c>
      <c r="BK178" s="42">
        <f t="shared" si="32"/>
        <v>8</v>
      </c>
    </row>
    <row r="179" spans="1:63" ht="27" customHeight="1">
      <c r="A179" s="11">
        <f t="shared" si="33"/>
        <v>177</v>
      </c>
      <c r="B179" s="12" t="s">
        <v>1469</v>
      </c>
      <c r="C179" s="8">
        <v>1599</v>
      </c>
      <c r="D179" s="60" t="s">
        <v>1470</v>
      </c>
      <c r="E179" s="69">
        <v>110325361</v>
      </c>
      <c r="F179" s="62" t="s">
        <v>1471</v>
      </c>
      <c r="G179" s="63" t="s">
        <v>1472</v>
      </c>
      <c r="H179" s="13" t="s">
        <v>1473</v>
      </c>
      <c r="I179" s="14" t="s">
        <v>1474</v>
      </c>
      <c r="J179" s="64" t="s">
        <v>173</v>
      </c>
      <c r="K179" s="22">
        <v>32607</v>
      </c>
      <c r="L179" s="66" t="s">
        <v>174</v>
      </c>
      <c r="M179" s="23">
        <v>42601</v>
      </c>
      <c r="N179" s="23"/>
      <c r="O179" s="15" t="s">
        <v>286</v>
      </c>
      <c r="P179" s="16" t="s">
        <v>277</v>
      </c>
      <c r="Q179" s="16" t="s">
        <v>244</v>
      </c>
      <c r="R179" s="15" t="s">
        <v>177</v>
      </c>
      <c r="S179" s="11" t="s">
        <v>223</v>
      </c>
      <c r="T179" s="159"/>
      <c r="U179" s="159"/>
      <c r="V179" s="19" t="s">
        <v>179</v>
      </c>
      <c r="W179" s="19" t="s">
        <v>179</v>
      </c>
      <c r="X179" s="1">
        <v>8</v>
      </c>
      <c r="Y179" s="160" t="s">
        <v>1475</v>
      </c>
      <c r="Z179" s="70"/>
      <c r="AA179" s="70" t="s">
        <v>181</v>
      </c>
      <c r="AB179" s="1"/>
      <c r="AC179" s="161" t="s">
        <v>182</v>
      </c>
      <c r="AD179" s="99"/>
      <c r="AE179" s="99"/>
      <c r="AF179" s="108"/>
      <c r="AG179" s="106"/>
      <c r="AH179" s="162"/>
      <c r="AI179" s="162"/>
      <c r="AJ179" s="19" t="s">
        <v>198</v>
      </c>
      <c r="AK179" s="19" t="s">
        <v>185</v>
      </c>
      <c r="AL179" s="19" t="s">
        <v>185</v>
      </c>
      <c r="AM179" s="107" t="s">
        <v>1331</v>
      </c>
      <c r="AN179" s="20">
        <v>182</v>
      </c>
      <c r="AO179" s="20">
        <v>4</v>
      </c>
      <c r="AP179" s="20">
        <v>20</v>
      </c>
      <c r="AQ179" s="20">
        <v>0</v>
      </c>
      <c r="AR179" s="20">
        <v>0</v>
      </c>
      <c r="AS179" s="20">
        <v>7</v>
      </c>
      <c r="AT179" s="20">
        <v>10</v>
      </c>
      <c r="AU179" s="300">
        <f t="shared" si="23"/>
        <v>223</v>
      </c>
      <c r="AV179" s="20">
        <v>190</v>
      </c>
      <c r="AW179" s="20">
        <v>4</v>
      </c>
      <c r="AX179" s="20">
        <v>20</v>
      </c>
      <c r="AY179" s="20">
        <v>0</v>
      </c>
      <c r="AZ179" s="20">
        <v>0</v>
      </c>
      <c r="BA179" s="20">
        <v>7</v>
      </c>
      <c r="BB179" s="20">
        <v>10</v>
      </c>
      <c r="BC179" s="300">
        <f t="shared" si="24"/>
        <v>231</v>
      </c>
      <c r="BD179" s="42">
        <f t="shared" si="25"/>
        <v>8</v>
      </c>
      <c r="BE179" s="42">
        <f t="shared" si="26"/>
        <v>0</v>
      </c>
      <c r="BF179" s="42">
        <f t="shared" si="27"/>
        <v>0</v>
      </c>
      <c r="BG179" s="42">
        <f t="shared" si="28"/>
        <v>0</v>
      </c>
      <c r="BH179" s="42">
        <f t="shared" si="29"/>
        <v>0</v>
      </c>
      <c r="BI179" s="42">
        <f t="shared" si="30"/>
        <v>0</v>
      </c>
      <c r="BJ179" s="42">
        <f t="shared" si="31"/>
        <v>0</v>
      </c>
      <c r="BK179" s="42">
        <f t="shared" si="32"/>
        <v>8</v>
      </c>
    </row>
    <row r="180" spans="1:63" ht="27" customHeight="1">
      <c r="A180" s="11">
        <f t="shared" si="33"/>
        <v>178</v>
      </c>
      <c r="B180" s="12" t="s">
        <v>1476</v>
      </c>
      <c r="C180" s="8">
        <v>1608</v>
      </c>
      <c r="D180" s="60" t="s">
        <v>1477</v>
      </c>
      <c r="E180" s="69">
        <v>130098050</v>
      </c>
      <c r="F180" s="62" t="s">
        <v>1478</v>
      </c>
      <c r="G180" s="63" t="s">
        <v>1479</v>
      </c>
      <c r="H180" s="13" t="s">
        <v>1480</v>
      </c>
      <c r="I180" s="14" t="s">
        <v>1481</v>
      </c>
      <c r="J180" s="64" t="s">
        <v>173</v>
      </c>
      <c r="K180" s="22">
        <v>31124</v>
      </c>
      <c r="L180" s="66" t="s">
        <v>174</v>
      </c>
      <c r="M180" s="23">
        <v>42615</v>
      </c>
      <c r="N180" s="23"/>
      <c r="O180" s="15" t="s">
        <v>32</v>
      </c>
      <c r="P180" s="16" t="s">
        <v>304</v>
      </c>
      <c r="Q180" s="16" t="s">
        <v>176</v>
      </c>
      <c r="R180" s="15" t="s">
        <v>177</v>
      </c>
      <c r="S180" s="11" t="s">
        <v>214</v>
      </c>
      <c r="T180" s="159"/>
      <c r="U180" s="159"/>
      <c r="V180" s="19" t="s">
        <v>179</v>
      </c>
      <c r="W180" s="19" t="s">
        <v>195</v>
      </c>
      <c r="X180" s="1">
        <v>9</v>
      </c>
      <c r="Y180" s="160" t="s">
        <v>1482</v>
      </c>
      <c r="Z180" s="70"/>
      <c r="AA180" s="70" t="s">
        <v>181</v>
      </c>
      <c r="AB180" s="1"/>
      <c r="AC180" s="161" t="s">
        <v>1483</v>
      </c>
      <c r="AD180" s="99"/>
      <c r="AE180" s="99"/>
      <c r="AF180" s="108"/>
      <c r="AG180" s="106"/>
      <c r="AH180" s="162"/>
      <c r="AI180" s="162"/>
      <c r="AJ180" s="19" t="s">
        <v>198</v>
      </c>
      <c r="AK180" s="19" t="s">
        <v>185</v>
      </c>
      <c r="AL180" s="19" t="s">
        <v>185</v>
      </c>
      <c r="AM180" s="107" t="s">
        <v>1484</v>
      </c>
      <c r="AN180" s="20">
        <v>182</v>
      </c>
      <c r="AO180" s="20">
        <v>4</v>
      </c>
      <c r="AP180" s="20">
        <v>0</v>
      </c>
      <c r="AQ180" s="20">
        <v>0</v>
      </c>
      <c r="AR180" s="20">
        <v>0</v>
      </c>
      <c r="AS180" s="20">
        <v>7</v>
      </c>
      <c r="AT180" s="20">
        <v>10</v>
      </c>
      <c r="AU180" s="300">
        <f t="shared" si="23"/>
        <v>203</v>
      </c>
      <c r="AV180" s="20">
        <v>190</v>
      </c>
      <c r="AW180" s="20">
        <v>4</v>
      </c>
      <c r="AX180" s="20">
        <v>0</v>
      </c>
      <c r="AY180" s="20">
        <v>0</v>
      </c>
      <c r="AZ180" s="20">
        <v>0</v>
      </c>
      <c r="BA180" s="20">
        <v>7</v>
      </c>
      <c r="BB180" s="20">
        <v>10</v>
      </c>
      <c r="BC180" s="300">
        <f t="shared" si="24"/>
        <v>211</v>
      </c>
      <c r="BD180" s="42">
        <f t="shared" si="25"/>
        <v>8</v>
      </c>
      <c r="BE180" s="42">
        <f t="shared" si="26"/>
        <v>0</v>
      </c>
      <c r="BF180" s="42">
        <f t="shared" si="27"/>
        <v>0</v>
      </c>
      <c r="BG180" s="42">
        <f t="shared" si="28"/>
        <v>0</v>
      </c>
      <c r="BH180" s="42">
        <f t="shared" si="29"/>
        <v>0</v>
      </c>
      <c r="BI180" s="42">
        <f t="shared" si="30"/>
        <v>0</v>
      </c>
      <c r="BJ180" s="42">
        <f t="shared" si="31"/>
        <v>0</v>
      </c>
      <c r="BK180" s="42">
        <f t="shared" si="32"/>
        <v>8</v>
      </c>
    </row>
    <row r="181" spans="1:63" ht="27" customHeight="1">
      <c r="A181" s="11">
        <f t="shared" si="33"/>
        <v>179</v>
      </c>
      <c r="B181" s="12" t="s">
        <v>1485</v>
      </c>
      <c r="C181" s="8">
        <v>1610</v>
      </c>
      <c r="D181" s="60" t="s">
        <v>1486</v>
      </c>
      <c r="E181" s="69">
        <v>130179626</v>
      </c>
      <c r="F181" s="62" t="s">
        <v>1487</v>
      </c>
      <c r="G181" s="63" t="s">
        <v>1488</v>
      </c>
      <c r="H181" s="13" t="s">
        <v>18</v>
      </c>
      <c r="I181" s="14" t="s">
        <v>19</v>
      </c>
      <c r="J181" s="64" t="s">
        <v>173</v>
      </c>
      <c r="K181" s="22">
        <v>29710</v>
      </c>
      <c r="L181" s="66" t="s">
        <v>174</v>
      </c>
      <c r="M181" s="23">
        <v>42618</v>
      </c>
      <c r="N181" s="23"/>
      <c r="O181" s="15" t="s">
        <v>12</v>
      </c>
      <c r="P181" s="16" t="s">
        <v>13</v>
      </c>
      <c r="Q181" s="16" t="s">
        <v>176</v>
      </c>
      <c r="R181" s="15" t="s">
        <v>177</v>
      </c>
      <c r="S181" s="11" t="s">
        <v>214</v>
      </c>
      <c r="T181" s="159"/>
      <c r="U181" s="159"/>
      <c r="V181" s="19" t="s">
        <v>179</v>
      </c>
      <c r="W181" s="19" t="s">
        <v>195</v>
      </c>
      <c r="X181" s="1">
        <v>5</v>
      </c>
      <c r="Y181" s="160" t="s">
        <v>1489</v>
      </c>
      <c r="Z181" s="70"/>
      <c r="AA181" s="70" t="s">
        <v>181</v>
      </c>
      <c r="AB181" s="1"/>
      <c r="AC181" s="161" t="s">
        <v>1490</v>
      </c>
      <c r="AD181" s="99"/>
      <c r="AE181" s="99"/>
      <c r="AF181" s="108"/>
      <c r="AG181" s="106"/>
      <c r="AH181" s="162"/>
      <c r="AI181" s="162"/>
      <c r="AJ181" s="19" t="s">
        <v>198</v>
      </c>
      <c r="AK181" s="19" t="s">
        <v>185</v>
      </c>
      <c r="AL181" s="19" t="s">
        <v>185</v>
      </c>
      <c r="AM181" s="107" t="s">
        <v>1491</v>
      </c>
      <c r="AN181" s="20">
        <v>182</v>
      </c>
      <c r="AO181" s="20">
        <v>4</v>
      </c>
      <c r="AP181" s="20">
        <v>0</v>
      </c>
      <c r="AQ181" s="20">
        <v>0</v>
      </c>
      <c r="AR181" s="20">
        <v>0</v>
      </c>
      <c r="AS181" s="20">
        <v>7</v>
      </c>
      <c r="AT181" s="20">
        <v>10</v>
      </c>
      <c r="AU181" s="300">
        <f t="shared" si="23"/>
        <v>203</v>
      </c>
      <c r="AV181" s="20">
        <v>190</v>
      </c>
      <c r="AW181" s="20">
        <v>4</v>
      </c>
      <c r="AX181" s="20">
        <v>0</v>
      </c>
      <c r="AY181" s="20">
        <v>0</v>
      </c>
      <c r="AZ181" s="20">
        <v>0</v>
      </c>
      <c r="BA181" s="20">
        <v>7</v>
      </c>
      <c r="BB181" s="20">
        <v>10</v>
      </c>
      <c r="BC181" s="300">
        <f t="shared" si="24"/>
        <v>211</v>
      </c>
      <c r="BD181" s="42">
        <f t="shared" si="25"/>
        <v>8</v>
      </c>
      <c r="BE181" s="42">
        <f t="shared" si="26"/>
        <v>0</v>
      </c>
      <c r="BF181" s="42">
        <f t="shared" si="27"/>
        <v>0</v>
      </c>
      <c r="BG181" s="42">
        <f t="shared" si="28"/>
        <v>0</v>
      </c>
      <c r="BH181" s="42">
        <f t="shared" si="29"/>
        <v>0</v>
      </c>
      <c r="BI181" s="42">
        <f t="shared" si="30"/>
        <v>0</v>
      </c>
      <c r="BJ181" s="42">
        <f t="shared" si="31"/>
        <v>0</v>
      </c>
      <c r="BK181" s="42">
        <f t="shared" si="32"/>
        <v>8</v>
      </c>
    </row>
    <row r="182" spans="1:63" ht="27" customHeight="1">
      <c r="A182" s="11">
        <f t="shared" si="33"/>
        <v>180</v>
      </c>
      <c r="B182" s="12" t="s">
        <v>1492</v>
      </c>
      <c r="C182" s="8">
        <v>1611</v>
      </c>
      <c r="D182" s="60" t="s">
        <v>1493</v>
      </c>
      <c r="E182" s="69">
        <v>61913514</v>
      </c>
      <c r="F182" s="62" t="s">
        <v>264</v>
      </c>
      <c r="G182" s="63" t="s">
        <v>754</v>
      </c>
      <c r="H182" s="13" t="s">
        <v>1494</v>
      </c>
      <c r="I182" s="14" t="s">
        <v>756</v>
      </c>
      <c r="J182" s="64" t="s">
        <v>173</v>
      </c>
      <c r="K182" s="22">
        <v>29315</v>
      </c>
      <c r="L182" s="66" t="s">
        <v>174</v>
      </c>
      <c r="M182" s="23">
        <v>42615</v>
      </c>
      <c r="N182" s="23"/>
      <c r="O182" s="15" t="s">
        <v>32</v>
      </c>
      <c r="P182" s="16" t="s">
        <v>260</v>
      </c>
      <c r="Q182" s="16" t="s">
        <v>176</v>
      </c>
      <c r="R182" s="15" t="s">
        <v>177</v>
      </c>
      <c r="S182" s="17" t="s">
        <v>178</v>
      </c>
      <c r="T182" s="159"/>
      <c r="U182" s="159"/>
      <c r="V182" s="19" t="s">
        <v>179</v>
      </c>
      <c r="W182" s="19" t="s">
        <v>179</v>
      </c>
      <c r="X182" s="1">
        <v>3</v>
      </c>
      <c r="Y182" s="61" t="s">
        <v>179</v>
      </c>
      <c r="Z182" s="70"/>
      <c r="AA182" s="70" t="s">
        <v>181</v>
      </c>
      <c r="AB182" s="1"/>
      <c r="AC182" s="161" t="s">
        <v>1169</v>
      </c>
      <c r="AD182" s="99"/>
      <c r="AE182" s="99"/>
      <c r="AF182" s="108"/>
      <c r="AG182" s="106"/>
      <c r="AH182" s="162"/>
      <c r="AI182" s="162"/>
      <c r="AJ182" s="19" t="s">
        <v>198</v>
      </c>
      <c r="AK182" s="19" t="s">
        <v>185</v>
      </c>
      <c r="AL182" s="19" t="s">
        <v>185</v>
      </c>
      <c r="AM182" s="107" t="s">
        <v>1229</v>
      </c>
      <c r="AN182" s="20">
        <v>182</v>
      </c>
      <c r="AO182" s="20">
        <v>4</v>
      </c>
      <c r="AP182" s="20">
        <v>0</v>
      </c>
      <c r="AQ182" s="20">
        <v>0</v>
      </c>
      <c r="AR182" s="20">
        <v>0</v>
      </c>
      <c r="AS182" s="20">
        <v>7</v>
      </c>
      <c r="AT182" s="20">
        <v>10</v>
      </c>
      <c r="AU182" s="300">
        <f t="shared" si="23"/>
        <v>203</v>
      </c>
      <c r="AV182" s="20">
        <v>190</v>
      </c>
      <c r="AW182" s="20">
        <v>4</v>
      </c>
      <c r="AX182" s="20">
        <v>0</v>
      </c>
      <c r="AY182" s="20">
        <v>0</v>
      </c>
      <c r="AZ182" s="20">
        <v>0</v>
      </c>
      <c r="BA182" s="20">
        <v>7</v>
      </c>
      <c r="BB182" s="20">
        <v>10</v>
      </c>
      <c r="BC182" s="300">
        <f t="shared" si="24"/>
        <v>211</v>
      </c>
      <c r="BD182" s="42">
        <f t="shared" si="25"/>
        <v>8</v>
      </c>
      <c r="BE182" s="42">
        <f t="shared" si="26"/>
        <v>0</v>
      </c>
      <c r="BF182" s="42">
        <f t="shared" si="27"/>
        <v>0</v>
      </c>
      <c r="BG182" s="42">
        <f t="shared" si="28"/>
        <v>0</v>
      </c>
      <c r="BH182" s="42">
        <f t="shared" si="29"/>
        <v>0</v>
      </c>
      <c r="BI182" s="42">
        <f t="shared" si="30"/>
        <v>0</v>
      </c>
      <c r="BJ182" s="42">
        <f t="shared" si="31"/>
        <v>0</v>
      </c>
      <c r="BK182" s="42">
        <f t="shared" si="32"/>
        <v>8</v>
      </c>
    </row>
    <row r="183" spans="1:63" ht="27" customHeight="1">
      <c r="A183" s="11">
        <f t="shared" si="33"/>
        <v>181</v>
      </c>
      <c r="B183" s="12" t="s">
        <v>1495</v>
      </c>
      <c r="C183" s="8">
        <v>1614</v>
      </c>
      <c r="D183" s="60" t="s">
        <v>1496</v>
      </c>
      <c r="E183" s="69">
        <v>100583040</v>
      </c>
      <c r="F183" s="62" t="s">
        <v>1497</v>
      </c>
      <c r="G183" s="63" t="s">
        <v>1498</v>
      </c>
      <c r="H183" s="13" t="s">
        <v>1499</v>
      </c>
      <c r="I183" s="14" t="s">
        <v>1500</v>
      </c>
      <c r="J183" s="64" t="s">
        <v>173</v>
      </c>
      <c r="K183" s="22">
        <v>33396</v>
      </c>
      <c r="L183" s="66" t="s">
        <v>174</v>
      </c>
      <c r="M183" s="23">
        <v>42648</v>
      </c>
      <c r="N183" s="23"/>
      <c r="O183" s="15" t="s">
        <v>32</v>
      </c>
      <c r="P183" s="16" t="s">
        <v>304</v>
      </c>
      <c r="Q183" s="16" t="s">
        <v>176</v>
      </c>
      <c r="R183" s="15" t="s">
        <v>177</v>
      </c>
      <c r="S183" s="17" t="s">
        <v>206</v>
      </c>
      <c r="T183" s="159"/>
      <c r="U183" s="159"/>
      <c r="V183" s="19" t="s">
        <v>195</v>
      </c>
      <c r="W183" s="19">
        <v>253</v>
      </c>
      <c r="X183" s="1">
        <v>8</v>
      </c>
      <c r="Y183" s="160" t="s">
        <v>1501</v>
      </c>
      <c r="Z183" s="70"/>
      <c r="AA183" s="70" t="s">
        <v>181</v>
      </c>
      <c r="AB183" s="1"/>
      <c r="AC183" s="161" t="s">
        <v>1364</v>
      </c>
      <c r="AD183" s="99" t="s">
        <v>184</v>
      </c>
      <c r="AE183" s="99"/>
      <c r="AF183" s="108"/>
      <c r="AG183" s="106"/>
      <c r="AH183" s="162"/>
      <c r="AI183" s="162"/>
      <c r="AJ183" s="19" t="s">
        <v>198</v>
      </c>
      <c r="AK183" s="19" t="s">
        <v>185</v>
      </c>
      <c r="AL183" s="19" t="s">
        <v>185</v>
      </c>
      <c r="AM183" s="107" t="s">
        <v>1502</v>
      </c>
      <c r="AN183" s="20">
        <v>182</v>
      </c>
      <c r="AO183" s="20">
        <v>4</v>
      </c>
      <c r="AP183" s="20">
        <v>0</v>
      </c>
      <c r="AQ183" s="20">
        <v>0</v>
      </c>
      <c r="AR183" s="20">
        <v>0</v>
      </c>
      <c r="AS183" s="20">
        <v>7</v>
      </c>
      <c r="AT183" s="20">
        <v>10</v>
      </c>
      <c r="AU183" s="300">
        <f t="shared" si="23"/>
        <v>203</v>
      </c>
      <c r="AV183" s="20">
        <v>190</v>
      </c>
      <c r="AW183" s="20">
        <v>4</v>
      </c>
      <c r="AX183" s="20">
        <v>0</v>
      </c>
      <c r="AY183" s="20">
        <v>0</v>
      </c>
      <c r="AZ183" s="20">
        <v>0</v>
      </c>
      <c r="BA183" s="20">
        <v>7</v>
      </c>
      <c r="BB183" s="20">
        <v>10</v>
      </c>
      <c r="BC183" s="300">
        <f t="shared" si="24"/>
        <v>211</v>
      </c>
      <c r="BD183" s="42">
        <f t="shared" si="25"/>
        <v>8</v>
      </c>
      <c r="BE183" s="42">
        <f t="shared" si="26"/>
        <v>0</v>
      </c>
      <c r="BF183" s="42">
        <f t="shared" si="27"/>
        <v>0</v>
      </c>
      <c r="BG183" s="42">
        <f t="shared" si="28"/>
        <v>0</v>
      </c>
      <c r="BH183" s="42">
        <f t="shared" si="29"/>
        <v>0</v>
      </c>
      <c r="BI183" s="42">
        <f t="shared" si="30"/>
        <v>0</v>
      </c>
      <c r="BJ183" s="42">
        <f t="shared" si="31"/>
        <v>0</v>
      </c>
      <c r="BK183" s="42">
        <f t="shared" si="32"/>
        <v>8</v>
      </c>
    </row>
    <row r="184" spans="1:63" ht="27" customHeight="1">
      <c r="A184" s="11">
        <f t="shared" si="33"/>
        <v>182</v>
      </c>
      <c r="B184" s="12" t="s">
        <v>1503</v>
      </c>
      <c r="C184" s="8">
        <v>1618</v>
      </c>
      <c r="D184" s="60" t="s">
        <v>1504</v>
      </c>
      <c r="E184" s="69">
        <v>130057590</v>
      </c>
      <c r="F184" s="62" t="s">
        <v>748</v>
      </c>
      <c r="G184" s="63" t="s">
        <v>1505</v>
      </c>
      <c r="H184" s="13" t="s">
        <v>749</v>
      </c>
      <c r="I184" s="14" t="s">
        <v>1506</v>
      </c>
      <c r="J184" s="64" t="s">
        <v>173</v>
      </c>
      <c r="K184" s="22">
        <v>31511</v>
      </c>
      <c r="L184" s="66" t="s">
        <v>174</v>
      </c>
      <c r="M184" s="23">
        <v>42656</v>
      </c>
      <c r="N184" s="23"/>
      <c r="O184" s="15" t="s">
        <v>32</v>
      </c>
      <c r="P184" s="16" t="s">
        <v>304</v>
      </c>
      <c r="Q184" s="16" t="s">
        <v>176</v>
      </c>
      <c r="R184" s="15" t="s">
        <v>177</v>
      </c>
      <c r="S184" s="17" t="s">
        <v>206</v>
      </c>
      <c r="T184" s="159"/>
      <c r="U184" s="159"/>
      <c r="V184" s="19" t="s">
        <v>195</v>
      </c>
      <c r="W184" s="19" t="s">
        <v>179</v>
      </c>
      <c r="X184" s="1">
        <v>9</v>
      </c>
      <c r="Y184" s="160" t="s">
        <v>1507</v>
      </c>
      <c r="Z184" s="70"/>
      <c r="AA184" s="70" t="s">
        <v>181</v>
      </c>
      <c r="AB184" s="1"/>
      <c r="AC184" s="161" t="s">
        <v>1508</v>
      </c>
      <c r="AD184" s="99" t="s">
        <v>184</v>
      </c>
      <c r="AE184" s="99"/>
      <c r="AF184" s="108"/>
      <c r="AG184" s="106"/>
      <c r="AH184" s="162"/>
      <c r="AI184" s="162"/>
      <c r="AJ184" s="19" t="s">
        <v>198</v>
      </c>
      <c r="AK184" s="19" t="s">
        <v>185</v>
      </c>
      <c r="AL184" s="19" t="s">
        <v>185</v>
      </c>
      <c r="AM184" s="107" t="s">
        <v>1509</v>
      </c>
      <c r="AN184" s="20">
        <v>182</v>
      </c>
      <c r="AO184" s="20">
        <v>0</v>
      </c>
      <c r="AP184" s="20">
        <v>0</v>
      </c>
      <c r="AQ184" s="20">
        <v>0</v>
      </c>
      <c r="AR184" s="20">
        <v>0</v>
      </c>
      <c r="AS184" s="20">
        <v>7</v>
      </c>
      <c r="AT184" s="20">
        <v>10</v>
      </c>
      <c r="AU184" s="300">
        <f t="shared" si="23"/>
        <v>199</v>
      </c>
      <c r="AV184" s="20">
        <v>190</v>
      </c>
      <c r="AW184" s="20">
        <v>0</v>
      </c>
      <c r="AX184" s="20">
        <v>0</v>
      </c>
      <c r="AY184" s="20">
        <v>0</v>
      </c>
      <c r="AZ184" s="20">
        <v>0</v>
      </c>
      <c r="BA184" s="20">
        <v>7</v>
      </c>
      <c r="BB184" s="20">
        <v>10</v>
      </c>
      <c r="BC184" s="300">
        <f t="shared" si="24"/>
        <v>207</v>
      </c>
      <c r="BD184" s="42">
        <f t="shared" si="25"/>
        <v>8</v>
      </c>
      <c r="BE184" s="42">
        <f t="shared" si="26"/>
        <v>0</v>
      </c>
      <c r="BF184" s="42">
        <f t="shared" si="27"/>
        <v>0</v>
      </c>
      <c r="BG184" s="42">
        <f t="shared" si="28"/>
        <v>0</v>
      </c>
      <c r="BH184" s="42">
        <f t="shared" si="29"/>
        <v>0</v>
      </c>
      <c r="BI184" s="42">
        <f t="shared" si="30"/>
        <v>0</v>
      </c>
      <c r="BJ184" s="42">
        <f t="shared" si="31"/>
        <v>0</v>
      </c>
      <c r="BK184" s="42">
        <f t="shared" si="32"/>
        <v>8</v>
      </c>
    </row>
    <row r="185" spans="1:63" ht="27" customHeight="1">
      <c r="A185" s="11">
        <f t="shared" si="33"/>
        <v>183</v>
      </c>
      <c r="B185" s="12" t="s">
        <v>1510</v>
      </c>
      <c r="C185" s="8">
        <v>1622</v>
      </c>
      <c r="D185" s="60" t="s">
        <v>1511</v>
      </c>
      <c r="E185" s="69">
        <v>60198868</v>
      </c>
      <c r="F185" s="62" t="s">
        <v>1512</v>
      </c>
      <c r="G185" s="63" t="s">
        <v>1513</v>
      </c>
      <c r="H185" s="13" t="s">
        <v>1514</v>
      </c>
      <c r="I185" s="14" t="s">
        <v>1515</v>
      </c>
      <c r="J185" s="64" t="s">
        <v>173</v>
      </c>
      <c r="K185" s="22">
        <v>26160</v>
      </c>
      <c r="L185" s="66" t="s">
        <v>174</v>
      </c>
      <c r="M185" s="23">
        <v>42655</v>
      </c>
      <c r="N185" s="23"/>
      <c r="O185" s="15" t="s">
        <v>79</v>
      </c>
      <c r="P185" s="16" t="s">
        <v>194</v>
      </c>
      <c r="Q185" s="16" t="s">
        <v>176</v>
      </c>
      <c r="R185" s="15" t="s">
        <v>177</v>
      </c>
      <c r="S185" s="17" t="s">
        <v>178</v>
      </c>
      <c r="T185" s="159"/>
      <c r="U185" s="159"/>
      <c r="V185" s="19" t="s">
        <v>195</v>
      </c>
      <c r="W185" s="19" t="s">
        <v>179</v>
      </c>
      <c r="X185" s="1">
        <v>4</v>
      </c>
      <c r="Y185" s="160" t="s">
        <v>1516</v>
      </c>
      <c r="Z185" s="70"/>
      <c r="AA185" s="70" t="s">
        <v>181</v>
      </c>
      <c r="AB185" s="1"/>
      <c r="AC185" s="161"/>
      <c r="AD185" s="99"/>
      <c r="AE185" s="99"/>
      <c r="AF185" s="108"/>
      <c r="AG185" s="106"/>
      <c r="AH185" s="162"/>
      <c r="AI185" s="162"/>
      <c r="AJ185" s="19" t="s">
        <v>198</v>
      </c>
      <c r="AK185" s="19" t="s">
        <v>185</v>
      </c>
      <c r="AL185" s="19" t="s">
        <v>185</v>
      </c>
      <c r="AM185" s="107" t="s">
        <v>1517</v>
      </c>
      <c r="AN185" s="20">
        <v>182</v>
      </c>
      <c r="AO185" s="20">
        <v>4</v>
      </c>
      <c r="AP185" s="20">
        <v>0</v>
      </c>
      <c r="AQ185" s="20">
        <v>80</v>
      </c>
      <c r="AR185" s="20">
        <v>0</v>
      </c>
      <c r="AS185" s="20">
        <v>7</v>
      </c>
      <c r="AT185" s="20">
        <v>10</v>
      </c>
      <c r="AU185" s="300">
        <f t="shared" si="23"/>
        <v>283</v>
      </c>
      <c r="AV185" s="20">
        <v>190</v>
      </c>
      <c r="AW185" s="20">
        <v>4</v>
      </c>
      <c r="AX185" s="20">
        <v>0</v>
      </c>
      <c r="AY185" s="20">
        <v>80</v>
      </c>
      <c r="AZ185" s="20">
        <v>0</v>
      </c>
      <c r="BA185" s="20">
        <v>7</v>
      </c>
      <c r="BB185" s="20">
        <v>10</v>
      </c>
      <c r="BC185" s="300">
        <f t="shared" si="24"/>
        <v>291</v>
      </c>
      <c r="BD185" s="42">
        <f t="shared" si="25"/>
        <v>8</v>
      </c>
      <c r="BE185" s="42">
        <f t="shared" si="26"/>
        <v>0</v>
      </c>
      <c r="BF185" s="42">
        <f t="shared" si="27"/>
        <v>0</v>
      </c>
      <c r="BG185" s="42">
        <f t="shared" si="28"/>
        <v>0</v>
      </c>
      <c r="BH185" s="42">
        <f t="shared" si="29"/>
        <v>0</v>
      </c>
      <c r="BI185" s="42">
        <f t="shared" si="30"/>
        <v>0</v>
      </c>
      <c r="BJ185" s="42">
        <f t="shared" si="31"/>
        <v>0</v>
      </c>
      <c r="BK185" s="42">
        <f t="shared" si="32"/>
        <v>8</v>
      </c>
    </row>
    <row r="186" spans="1:63" ht="27" customHeight="1">
      <c r="A186" s="11">
        <f t="shared" si="33"/>
        <v>184</v>
      </c>
      <c r="B186" s="12" t="s">
        <v>1518</v>
      </c>
      <c r="C186" s="8">
        <v>1627</v>
      </c>
      <c r="D186" s="60" t="s">
        <v>1519</v>
      </c>
      <c r="E186" s="69">
        <v>50106284</v>
      </c>
      <c r="F186" s="62" t="s">
        <v>1520</v>
      </c>
      <c r="G186" s="63" t="s">
        <v>1521</v>
      </c>
      <c r="H186" s="13" t="s">
        <v>1522</v>
      </c>
      <c r="I186" s="14" t="s">
        <v>1523</v>
      </c>
      <c r="J186" s="64" t="s">
        <v>173</v>
      </c>
      <c r="K186" s="22">
        <v>29676</v>
      </c>
      <c r="L186" s="66" t="s">
        <v>174</v>
      </c>
      <c r="M186" s="23">
        <v>42656</v>
      </c>
      <c r="N186" s="23"/>
      <c r="O186" s="15" t="s">
        <v>32</v>
      </c>
      <c r="P186" s="16" t="s">
        <v>260</v>
      </c>
      <c r="Q186" s="16" t="s">
        <v>176</v>
      </c>
      <c r="R186" s="15" t="s">
        <v>177</v>
      </c>
      <c r="S186" s="11" t="s">
        <v>214</v>
      </c>
      <c r="T186" s="159"/>
      <c r="U186" s="159"/>
      <c r="V186" s="19" t="s">
        <v>179</v>
      </c>
      <c r="W186" s="19">
        <v>5266</v>
      </c>
      <c r="X186" s="1">
        <v>6</v>
      </c>
      <c r="Y186" s="160" t="s">
        <v>1524</v>
      </c>
      <c r="Z186" s="70"/>
      <c r="AA186" s="70" t="s">
        <v>181</v>
      </c>
      <c r="AB186" s="1"/>
      <c r="AC186" s="161" t="s">
        <v>382</v>
      </c>
      <c r="AD186" s="99"/>
      <c r="AE186" s="99"/>
      <c r="AF186" s="108"/>
      <c r="AG186" s="106"/>
      <c r="AH186" s="162"/>
      <c r="AI186" s="162"/>
      <c r="AJ186" s="19" t="s">
        <v>198</v>
      </c>
      <c r="AK186" s="19" t="s">
        <v>185</v>
      </c>
      <c r="AL186" s="19" t="s">
        <v>185</v>
      </c>
      <c r="AM186" s="107" t="s">
        <v>1525</v>
      </c>
      <c r="AN186" s="20">
        <v>182</v>
      </c>
      <c r="AO186" s="20">
        <v>4</v>
      </c>
      <c r="AP186" s="20">
        <v>0</v>
      </c>
      <c r="AQ186" s="20">
        <v>0</v>
      </c>
      <c r="AR186" s="20">
        <v>0</v>
      </c>
      <c r="AS186" s="20">
        <v>7</v>
      </c>
      <c r="AT186" s="20">
        <v>10</v>
      </c>
      <c r="AU186" s="300">
        <f t="shared" si="23"/>
        <v>203</v>
      </c>
      <c r="AV186" s="20">
        <v>190</v>
      </c>
      <c r="AW186" s="20">
        <v>4</v>
      </c>
      <c r="AX186" s="20">
        <v>0</v>
      </c>
      <c r="AY186" s="20">
        <v>0</v>
      </c>
      <c r="AZ186" s="20">
        <v>0</v>
      </c>
      <c r="BA186" s="20">
        <v>7</v>
      </c>
      <c r="BB186" s="20">
        <v>10</v>
      </c>
      <c r="BC186" s="300">
        <f t="shared" si="24"/>
        <v>211</v>
      </c>
      <c r="BD186" s="42">
        <f t="shared" si="25"/>
        <v>8</v>
      </c>
      <c r="BE186" s="42">
        <f t="shared" si="26"/>
        <v>0</v>
      </c>
      <c r="BF186" s="42">
        <f t="shared" si="27"/>
        <v>0</v>
      </c>
      <c r="BG186" s="42">
        <f t="shared" si="28"/>
        <v>0</v>
      </c>
      <c r="BH186" s="42">
        <f t="shared" si="29"/>
        <v>0</v>
      </c>
      <c r="BI186" s="42">
        <f t="shared" si="30"/>
        <v>0</v>
      </c>
      <c r="BJ186" s="42">
        <f t="shared" si="31"/>
        <v>0</v>
      </c>
      <c r="BK186" s="42">
        <f t="shared" si="32"/>
        <v>8</v>
      </c>
    </row>
    <row r="187" spans="1:63" ht="27" customHeight="1">
      <c r="A187" s="11">
        <f t="shared" si="33"/>
        <v>185</v>
      </c>
      <c r="B187" s="12" t="s">
        <v>1526</v>
      </c>
      <c r="C187" s="8">
        <v>1637</v>
      </c>
      <c r="D187" s="60" t="s">
        <v>1527</v>
      </c>
      <c r="E187" s="69">
        <v>110418314</v>
      </c>
      <c r="F187" s="62" t="s">
        <v>1280</v>
      </c>
      <c r="G187" s="63" t="s">
        <v>1419</v>
      </c>
      <c r="H187" s="13" t="s">
        <v>1282</v>
      </c>
      <c r="I187" s="14" t="s">
        <v>1421</v>
      </c>
      <c r="J187" s="64" t="s">
        <v>173</v>
      </c>
      <c r="K187" s="22">
        <v>31307</v>
      </c>
      <c r="L187" s="66" t="s">
        <v>174</v>
      </c>
      <c r="M187" s="23">
        <v>42656</v>
      </c>
      <c r="N187" s="23"/>
      <c r="O187" s="15" t="s">
        <v>32</v>
      </c>
      <c r="P187" s="16" t="s">
        <v>381</v>
      </c>
      <c r="Q187" s="16" t="s">
        <v>176</v>
      </c>
      <c r="R187" s="15" t="s">
        <v>177</v>
      </c>
      <c r="S187" s="11" t="s">
        <v>223</v>
      </c>
      <c r="T187" s="159"/>
      <c r="U187" s="159"/>
      <c r="V187" s="19" t="s">
        <v>195</v>
      </c>
      <c r="W187" s="19">
        <v>248</v>
      </c>
      <c r="X187" s="1">
        <v>5</v>
      </c>
      <c r="Y187" s="160" t="s">
        <v>1528</v>
      </c>
      <c r="Z187" s="70"/>
      <c r="AA187" s="70" t="s">
        <v>181</v>
      </c>
      <c r="AB187" s="1"/>
      <c r="AC187" s="161" t="s">
        <v>359</v>
      </c>
      <c r="AD187" s="99"/>
      <c r="AE187" s="99"/>
      <c r="AF187" s="108"/>
      <c r="AG187" s="106"/>
      <c r="AH187" s="162"/>
      <c r="AI187" s="162"/>
      <c r="AJ187" s="19" t="s">
        <v>198</v>
      </c>
      <c r="AK187" s="19" t="s">
        <v>185</v>
      </c>
      <c r="AL187" s="19" t="s">
        <v>185</v>
      </c>
      <c r="AM187" s="107" t="s">
        <v>1484</v>
      </c>
      <c r="AN187" s="20">
        <v>182</v>
      </c>
      <c r="AO187" s="20">
        <v>4</v>
      </c>
      <c r="AP187" s="20">
        <v>0</v>
      </c>
      <c r="AQ187" s="20">
        <v>0</v>
      </c>
      <c r="AR187" s="20">
        <v>0</v>
      </c>
      <c r="AS187" s="20">
        <v>7</v>
      </c>
      <c r="AT187" s="20">
        <v>10</v>
      </c>
      <c r="AU187" s="300">
        <f t="shared" si="23"/>
        <v>203</v>
      </c>
      <c r="AV187" s="20">
        <v>190</v>
      </c>
      <c r="AW187" s="20">
        <v>4</v>
      </c>
      <c r="AX187" s="20">
        <v>0</v>
      </c>
      <c r="AY187" s="20">
        <v>0</v>
      </c>
      <c r="AZ187" s="20">
        <v>0</v>
      </c>
      <c r="BA187" s="20">
        <v>7</v>
      </c>
      <c r="BB187" s="20">
        <v>10</v>
      </c>
      <c r="BC187" s="300">
        <f t="shared" si="24"/>
        <v>211</v>
      </c>
      <c r="BD187" s="42">
        <f t="shared" si="25"/>
        <v>8</v>
      </c>
      <c r="BE187" s="42">
        <f t="shared" si="26"/>
        <v>0</v>
      </c>
      <c r="BF187" s="42">
        <f t="shared" si="27"/>
        <v>0</v>
      </c>
      <c r="BG187" s="42">
        <f t="shared" si="28"/>
        <v>0</v>
      </c>
      <c r="BH187" s="42">
        <f t="shared" si="29"/>
        <v>0</v>
      </c>
      <c r="BI187" s="42">
        <f t="shared" si="30"/>
        <v>0</v>
      </c>
      <c r="BJ187" s="42">
        <f t="shared" si="31"/>
        <v>0</v>
      </c>
      <c r="BK187" s="42">
        <f t="shared" si="32"/>
        <v>8</v>
      </c>
    </row>
    <row r="188" spans="1:63" ht="27" customHeight="1">
      <c r="A188" s="11">
        <f t="shared" si="33"/>
        <v>186</v>
      </c>
      <c r="B188" s="12" t="s">
        <v>1529</v>
      </c>
      <c r="C188" s="8">
        <v>1644</v>
      </c>
      <c r="D188" s="74" t="s">
        <v>1530</v>
      </c>
      <c r="E188" s="69">
        <v>130015372</v>
      </c>
      <c r="F188" s="62" t="s">
        <v>644</v>
      </c>
      <c r="G188" s="63" t="s">
        <v>575</v>
      </c>
      <c r="H188" s="13" t="s">
        <v>1531</v>
      </c>
      <c r="I188" s="14" t="s">
        <v>577</v>
      </c>
      <c r="J188" s="64" t="s">
        <v>173</v>
      </c>
      <c r="K188" s="22">
        <v>28541</v>
      </c>
      <c r="L188" s="66" t="s">
        <v>174</v>
      </c>
      <c r="M188" s="23">
        <v>42657</v>
      </c>
      <c r="N188" s="23"/>
      <c r="O188" s="15" t="s">
        <v>32</v>
      </c>
      <c r="P188" s="16" t="s">
        <v>1276</v>
      </c>
      <c r="Q188" s="16" t="s">
        <v>176</v>
      </c>
      <c r="R188" s="15" t="s">
        <v>177</v>
      </c>
      <c r="S188" s="17" t="s">
        <v>206</v>
      </c>
      <c r="T188" s="159"/>
      <c r="U188" s="159"/>
      <c r="V188" s="19" t="s">
        <v>195</v>
      </c>
      <c r="W188" s="19">
        <v>1127</v>
      </c>
      <c r="X188" s="1">
        <v>6</v>
      </c>
      <c r="Y188" s="160" t="s">
        <v>1532</v>
      </c>
      <c r="Z188" s="70"/>
      <c r="AA188" s="70" t="s">
        <v>181</v>
      </c>
      <c r="AB188" s="1"/>
      <c r="AC188" s="161" t="s">
        <v>1533</v>
      </c>
      <c r="AD188" s="99" t="s">
        <v>183</v>
      </c>
      <c r="AE188" s="99" t="s">
        <v>183</v>
      </c>
      <c r="AF188" s="108"/>
      <c r="AG188" s="106"/>
      <c r="AH188" s="162"/>
      <c r="AI188" s="162"/>
      <c r="AJ188" s="19" t="s">
        <v>198</v>
      </c>
      <c r="AK188" s="19" t="s">
        <v>185</v>
      </c>
      <c r="AL188" s="19" t="s">
        <v>185</v>
      </c>
      <c r="AM188" s="107" t="s">
        <v>1534</v>
      </c>
      <c r="AN188" s="20">
        <v>182</v>
      </c>
      <c r="AO188" s="20">
        <v>4</v>
      </c>
      <c r="AP188" s="20">
        <v>20</v>
      </c>
      <c r="AQ188" s="20">
        <v>0</v>
      </c>
      <c r="AR188" s="20">
        <v>0</v>
      </c>
      <c r="AS188" s="20">
        <v>7</v>
      </c>
      <c r="AT188" s="20">
        <v>10</v>
      </c>
      <c r="AU188" s="300">
        <f t="shared" si="23"/>
        <v>223</v>
      </c>
      <c r="AV188" s="20">
        <v>190</v>
      </c>
      <c r="AW188" s="20">
        <v>4</v>
      </c>
      <c r="AX188" s="20">
        <v>20</v>
      </c>
      <c r="AY188" s="20">
        <v>0</v>
      </c>
      <c r="AZ188" s="20">
        <v>0</v>
      </c>
      <c r="BA188" s="20">
        <v>7</v>
      </c>
      <c r="BB188" s="20">
        <v>10</v>
      </c>
      <c r="BC188" s="300">
        <f t="shared" si="24"/>
        <v>231</v>
      </c>
      <c r="BD188" s="42">
        <f t="shared" si="25"/>
        <v>8</v>
      </c>
      <c r="BE188" s="42">
        <f t="shared" si="26"/>
        <v>0</v>
      </c>
      <c r="BF188" s="42">
        <f t="shared" si="27"/>
        <v>0</v>
      </c>
      <c r="BG188" s="42">
        <f t="shared" si="28"/>
        <v>0</v>
      </c>
      <c r="BH188" s="42">
        <f t="shared" si="29"/>
        <v>0</v>
      </c>
      <c r="BI188" s="42">
        <f t="shared" si="30"/>
        <v>0</v>
      </c>
      <c r="BJ188" s="42">
        <f t="shared" si="31"/>
        <v>0</v>
      </c>
      <c r="BK188" s="42">
        <f t="shared" si="32"/>
        <v>8</v>
      </c>
    </row>
    <row r="189" spans="1:63" ht="27" customHeight="1">
      <c r="A189" s="11">
        <f t="shared" si="33"/>
        <v>187</v>
      </c>
      <c r="B189" s="12" t="s">
        <v>1535</v>
      </c>
      <c r="C189" s="8">
        <v>1648</v>
      </c>
      <c r="D189" s="74" t="s">
        <v>1536</v>
      </c>
      <c r="E189" s="69">
        <v>30533599</v>
      </c>
      <c r="F189" s="62" t="s">
        <v>1512</v>
      </c>
      <c r="G189" s="63" t="s">
        <v>1537</v>
      </c>
      <c r="H189" s="13" t="s">
        <v>1538</v>
      </c>
      <c r="I189" s="14" t="s">
        <v>1539</v>
      </c>
      <c r="J189" s="64" t="s">
        <v>173</v>
      </c>
      <c r="K189" s="22">
        <v>29691</v>
      </c>
      <c r="L189" s="66" t="s">
        <v>174</v>
      </c>
      <c r="M189" s="23">
        <v>42657</v>
      </c>
      <c r="N189" s="23"/>
      <c r="O189" s="15" t="s">
        <v>32</v>
      </c>
      <c r="P189" s="16" t="s">
        <v>343</v>
      </c>
      <c r="Q189" s="16" t="s">
        <v>176</v>
      </c>
      <c r="R189" s="15" t="s">
        <v>177</v>
      </c>
      <c r="S189" s="15" t="s">
        <v>722</v>
      </c>
      <c r="T189" s="159"/>
      <c r="U189" s="159"/>
      <c r="V189" s="19" t="s">
        <v>179</v>
      </c>
      <c r="W189" s="19">
        <v>848</v>
      </c>
      <c r="X189" s="1">
        <v>7</v>
      </c>
      <c r="Y189" s="160" t="s">
        <v>1540</v>
      </c>
      <c r="Z189" s="70"/>
      <c r="AA189" s="70" t="s">
        <v>181</v>
      </c>
      <c r="AB189" s="1"/>
      <c r="AC189" s="161" t="s">
        <v>382</v>
      </c>
      <c r="AD189" s="99" t="s">
        <v>184</v>
      </c>
      <c r="AE189" s="99"/>
      <c r="AF189" s="108"/>
      <c r="AG189" s="106"/>
      <c r="AH189" s="162"/>
      <c r="AI189" s="162"/>
      <c r="AJ189" s="19" t="s">
        <v>198</v>
      </c>
      <c r="AK189" s="19" t="s">
        <v>185</v>
      </c>
      <c r="AL189" s="19" t="s">
        <v>185</v>
      </c>
      <c r="AM189" s="107" t="s">
        <v>1541</v>
      </c>
      <c r="AN189" s="20">
        <v>182</v>
      </c>
      <c r="AO189" s="20">
        <v>4</v>
      </c>
      <c r="AP189" s="20">
        <v>0</v>
      </c>
      <c r="AQ189" s="20">
        <v>0</v>
      </c>
      <c r="AR189" s="20">
        <v>0</v>
      </c>
      <c r="AS189" s="20">
        <v>7</v>
      </c>
      <c r="AT189" s="20">
        <v>10</v>
      </c>
      <c r="AU189" s="300">
        <f t="shared" si="23"/>
        <v>203</v>
      </c>
      <c r="AV189" s="20">
        <v>190</v>
      </c>
      <c r="AW189" s="20">
        <v>4</v>
      </c>
      <c r="AX189" s="20">
        <v>0</v>
      </c>
      <c r="AY189" s="20">
        <v>0</v>
      </c>
      <c r="AZ189" s="20">
        <v>0</v>
      </c>
      <c r="BA189" s="20">
        <v>7</v>
      </c>
      <c r="BB189" s="20">
        <v>10</v>
      </c>
      <c r="BC189" s="300">
        <f t="shared" si="24"/>
        <v>211</v>
      </c>
      <c r="BD189" s="42">
        <f t="shared" si="25"/>
        <v>8</v>
      </c>
      <c r="BE189" s="42">
        <f t="shared" si="26"/>
        <v>0</v>
      </c>
      <c r="BF189" s="42">
        <f t="shared" si="27"/>
        <v>0</v>
      </c>
      <c r="BG189" s="42">
        <f t="shared" si="28"/>
        <v>0</v>
      </c>
      <c r="BH189" s="42">
        <f t="shared" si="29"/>
        <v>0</v>
      </c>
      <c r="BI189" s="42">
        <f t="shared" si="30"/>
        <v>0</v>
      </c>
      <c r="BJ189" s="42">
        <f t="shared" si="31"/>
        <v>0</v>
      </c>
      <c r="BK189" s="42">
        <f t="shared" si="32"/>
        <v>8</v>
      </c>
    </row>
    <row r="190" spans="1:63" ht="27" customHeight="1">
      <c r="A190" s="11">
        <f t="shared" si="33"/>
        <v>188</v>
      </c>
      <c r="B190" s="132" t="s">
        <v>1542</v>
      </c>
      <c r="C190" s="132">
        <v>1655</v>
      </c>
      <c r="D190" s="192" t="s">
        <v>1543</v>
      </c>
      <c r="E190" s="134">
        <v>90427624</v>
      </c>
      <c r="F190" s="135" t="s">
        <v>1544</v>
      </c>
      <c r="G190" s="136" t="s">
        <v>356</v>
      </c>
      <c r="H190" s="137" t="s">
        <v>1545</v>
      </c>
      <c r="I190" s="138" t="s">
        <v>1251</v>
      </c>
      <c r="J190" s="139" t="s">
        <v>173</v>
      </c>
      <c r="K190" s="140">
        <v>30385</v>
      </c>
      <c r="L190" s="141" t="s">
        <v>174</v>
      </c>
      <c r="M190" s="142">
        <v>42656</v>
      </c>
      <c r="N190" s="142"/>
      <c r="O190" s="143" t="s">
        <v>32</v>
      </c>
      <c r="P190" s="16" t="s">
        <v>296</v>
      </c>
      <c r="Q190" s="16" t="s">
        <v>176</v>
      </c>
      <c r="R190" s="143" t="s">
        <v>177</v>
      </c>
      <c r="S190" s="193" t="s">
        <v>1546</v>
      </c>
      <c r="T190" s="144"/>
      <c r="U190" s="144"/>
      <c r="V190" s="145" t="s">
        <v>179</v>
      </c>
      <c r="W190" s="145">
        <v>167</v>
      </c>
      <c r="X190" s="145">
        <v>5</v>
      </c>
      <c r="Y190" s="134" t="s">
        <v>1547</v>
      </c>
      <c r="Z190" s="146"/>
      <c r="AA190" s="146" t="s">
        <v>181</v>
      </c>
      <c r="AB190" s="145"/>
      <c r="AC190" s="167" t="s">
        <v>382</v>
      </c>
      <c r="AD190" s="168" t="s">
        <v>183</v>
      </c>
      <c r="AE190" s="168" t="s">
        <v>183</v>
      </c>
      <c r="AF190" s="148"/>
      <c r="AG190" s="147"/>
      <c r="AH190" s="149"/>
      <c r="AI190" s="149"/>
      <c r="AJ190" s="145" t="s">
        <v>198</v>
      </c>
      <c r="AK190" s="145" t="s">
        <v>185</v>
      </c>
      <c r="AL190" s="145" t="s">
        <v>185</v>
      </c>
      <c r="AM190" s="150" t="s">
        <v>1491</v>
      </c>
      <c r="AN190" s="20">
        <v>182</v>
      </c>
      <c r="AO190" s="20">
        <v>4</v>
      </c>
      <c r="AP190" s="20">
        <v>0</v>
      </c>
      <c r="AQ190" s="20">
        <v>0</v>
      </c>
      <c r="AR190" s="20">
        <v>0</v>
      </c>
      <c r="AS190" s="20">
        <v>7</v>
      </c>
      <c r="AT190" s="20">
        <v>10</v>
      </c>
      <c r="AU190" s="300">
        <f t="shared" si="23"/>
        <v>203</v>
      </c>
      <c r="AV190" s="20">
        <v>190</v>
      </c>
      <c r="AW190" s="20">
        <v>4</v>
      </c>
      <c r="AX190" s="20">
        <v>0</v>
      </c>
      <c r="AY190" s="20">
        <v>0</v>
      </c>
      <c r="AZ190" s="20">
        <v>0</v>
      </c>
      <c r="BA190" s="20">
        <v>7</v>
      </c>
      <c r="BB190" s="20">
        <v>10</v>
      </c>
      <c r="BC190" s="300">
        <f t="shared" si="24"/>
        <v>211</v>
      </c>
      <c r="BD190" s="42">
        <f t="shared" si="25"/>
        <v>8</v>
      </c>
      <c r="BE190" s="42">
        <f t="shared" si="26"/>
        <v>0</v>
      </c>
      <c r="BF190" s="42">
        <f t="shared" si="27"/>
        <v>0</v>
      </c>
      <c r="BG190" s="42">
        <f t="shared" si="28"/>
        <v>0</v>
      </c>
      <c r="BH190" s="42">
        <f t="shared" si="29"/>
        <v>0</v>
      </c>
      <c r="BI190" s="42">
        <f t="shared" si="30"/>
        <v>0</v>
      </c>
      <c r="BJ190" s="42">
        <f t="shared" si="31"/>
        <v>0</v>
      </c>
      <c r="BK190" s="42">
        <f t="shared" si="32"/>
        <v>8</v>
      </c>
    </row>
    <row r="191" spans="1:63" ht="27" customHeight="1">
      <c r="A191" s="11">
        <f t="shared" si="33"/>
        <v>189</v>
      </c>
      <c r="B191" s="12" t="s">
        <v>1548</v>
      </c>
      <c r="C191" s="8">
        <v>1657</v>
      </c>
      <c r="D191" s="74" t="s">
        <v>1549</v>
      </c>
      <c r="E191" s="69">
        <v>130208984</v>
      </c>
      <c r="F191" s="62" t="s">
        <v>958</v>
      </c>
      <c r="G191" s="63" t="s">
        <v>1550</v>
      </c>
      <c r="H191" s="13" t="s">
        <v>959</v>
      </c>
      <c r="I191" s="14" t="s">
        <v>1551</v>
      </c>
      <c r="J191" s="64" t="s">
        <v>173</v>
      </c>
      <c r="K191" s="22">
        <v>31058</v>
      </c>
      <c r="L191" s="66" t="s">
        <v>174</v>
      </c>
      <c r="M191" s="23">
        <v>42656</v>
      </c>
      <c r="N191" s="23"/>
      <c r="O191" s="15" t="s">
        <v>32</v>
      </c>
      <c r="P191" s="16" t="s">
        <v>1276</v>
      </c>
      <c r="Q191" s="16" t="s">
        <v>176</v>
      </c>
      <c r="R191" s="15" t="s">
        <v>177</v>
      </c>
      <c r="S191" s="15" t="s">
        <v>722</v>
      </c>
      <c r="T191" s="159"/>
      <c r="U191" s="159"/>
      <c r="V191" s="19" t="s">
        <v>179</v>
      </c>
      <c r="W191" s="19">
        <v>736</v>
      </c>
      <c r="X191" s="1" t="s">
        <v>179</v>
      </c>
      <c r="Y191" s="160" t="s">
        <v>179</v>
      </c>
      <c r="Z191" s="70" t="s">
        <v>181</v>
      </c>
      <c r="AA191" s="70"/>
      <c r="AB191" s="1"/>
      <c r="AC191" s="161"/>
      <c r="AD191" s="99"/>
      <c r="AE191" s="99"/>
      <c r="AF191" s="108"/>
      <c r="AG191" s="106"/>
      <c r="AH191" s="162"/>
      <c r="AI191" s="162"/>
      <c r="AJ191" s="19" t="s">
        <v>198</v>
      </c>
      <c r="AK191" s="19" t="s">
        <v>185</v>
      </c>
      <c r="AL191" s="19" t="s">
        <v>185</v>
      </c>
      <c r="AM191" s="107" t="s">
        <v>1484</v>
      </c>
      <c r="AN191" s="20">
        <v>182</v>
      </c>
      <c r="AO191" s="20">
        <v>4</v>
      </c>
      <c r="AP191" s="20">
        <v>20</v>
      </c>
      <c r="AQ191" s="20">
        <v>0</v>
      </c>
      <c r="AR191" s="20">
        <v>0</v>
      </c>
      <c r="AS191" s="20">
        <v>7</v>
      </c>
      <c r="AT191" s="20">
        <v>10</v>
      </c>
      <c r="AU191" s="300">
        <f t="shared" si="23"/>
        <v>223</v>
      </c>
      <c r="AV191" s="20">
        <v>190</v>
      </c>
      <c r="AW191" s="20">
        <v>4</v>
      </c>
      <c r="AX191" s="20">
        <v>20</v>
      </c>
      <c r="AY191" s="20">
        <v>0</v>
      </c>
      <c r="AZ191" s="20">
        <v>0</v>
      </c>
      <c r="BA191" s="20">
        <v>7</v>
      </c>
      <c r="BB191" s="20">
        <v>10</v>
      </c>
      <c r="BC191" s="300">
        <f t="shared" si="24"/>
        <v>231</v>
      </c>
      <c r="BD191" s="42">
        <f t="shared" si="25"/>
        <v>8</v>
      </c>
      <c r="BE191" s="42">
        <f t="shared" si="26"/>
        <v>0</v>
      </c>
      <c r="BF191" s="42">
        <f t="shared" si="27"/>
        <v>0</v>
      </c>
      <c r="BG191" s="42">
        <f t="shared" si="28"/>
        <v>0</v>
      </c>
      <c r="BH191" s="42">
        <f t="shared" si="29"/>
        <v>0</v>
      </c>
      <c r="BI191" s="42">
        <f t="shared" si="30"/>
        <v>0</v>
      </c>
      <c r="BJ191" s="42">
        <f t="shared" si="31"/>
        <v>0</v>
      </c>
      <c r="BK191" s="42">
        <f t="shared" si="32"/>
        <v>8</v>
      </c>
    </row>
    <row r="192" spans="1:63" ht="27" customHeight="1">
      <c r="A192" s="11">
        <f t="shared" si="33"/>
        <v>190</v>
      </c>
      <c r="B192" s="12" t="s">
        <v>1552</v>
      </c>
      <c r="C192" s="8">
        <v>1665</v>
      </c>
      <c r="D192" s="60" t="s">
        <v>1553</v>
      </c>
      <c r="E192" s="69">
        <v>130015349</v>
      </c>
      <c r="F192" s="62" t="s">
        <v>190</v>
      </c>
      <c r="G192" s="63" t="s">
        <v>1554</v>
      </c>
      <c r="H192" s="13" t="s">
        <v>694</v>
      </c>
      <c r="I192" s="14" t="s">
        <v>1555</v>
      </c>
      <c r="J192" s="64" t="s">
        <v>204</v>
      </c>
      <c r="K192" s="22">
        <v>22819</v>
      </c>
      <c r="L192" s="66" t="s">
        <v>174</v>
      </c>
      <c r="M192" s="23">
        <v>42657</v>
      </c>
      <c r="N192" s="23"/>
      <c r="O192" s="15" t="s">
        <v>32</v>
      </c>
      <c r="P192" s="16" t="s">
        <v>1556</v>
      </c>
      <c r="Q192" s="16" t="s">
        <v>176</v>
      </c>
      <c r="R192" s="15" t="s">
        <v>177</v>
      </c>
      <c r="S192" s="11" t="s">
        <v>326</v>
      </c>
      <c r="T192" s="159"/>
      <c r="U192" s="159"/>
      <c r="V192" s="19" t="s">
        <v>195</v>
      </c>
      <c r="W192" s="19">
        <v>4701</v>
      </c>
      <c r="X192" s="1">
        <v>6</v>
      </c>
      <c r="Y192" s="160" t="s">
        <v>179</v>
      </c>
      <c r="Z192" s="70"/>
      <c r="AA192" s="70" t="s">
        <v>181</v>
      </c>
      <c r="AB192" s="1"/>
      <c r="AC192" s="161" t="s">
        <v>133</v>
      </c>
      <c r="AD192" s="99"/>
      <c r="AE192" s="99"/>
      <c r="AF192" s="108"/>
      <c r="AG192" s="106"/>
      <c r="AH192" s="162"/>
      <c r="AI192" s="162"/>
      <c r="AJ192" s="19" t="s">
        <v>198</v>
      </c>
      <c r="AK192" s="19" t="s">
        <v>185</v>
      </c>
      <c r="AL192" s="19" t="s">
        <v>185</v>
      </c>
      <c r="AM192" s="107" t="s">
        <v>1557</v>
      </c>
      <c r="AN192" s="20">
        <v>182</v>
      </c>
      <c r="AO192" s="20">
        <v>4</v>
      </c>
      <c r="AP192" s="20">
        <v>0</v>
      </c>
      <c r="AQ192" s="20">
        <v>0</v>
      </c>
      <c r="AR192" s="20">
        <v>0</v>
      </c>
      <c r="AS192" s="20">
        <v>7</v>
      </c>
      <c r="AT192" s="20">
        <v>10</v>
      </c>
      <c r="AU192" s="300">
        <f t="shared" si="23"/>
        <v>203</v>
      </c>
      <c r="AV192" s="20">
        <v>190</v>
      </c>
      <c r="AW192" s="20">
        <v>4</v>
      </c>
      <c r="AX192" s="20">
        <v>0</v>
      </c>
      <c r="AY192" s="20">
        <v>0</v>
      </c>
      <c r="AZ192" s="20">
        <v>0</v>
      </c>
      <c r="BA192" s="20">
        <v>7</v>
      </c>
      <c r="BB192" s="20">
        <v>10</v>
      </c>
      <c r="BC192" s="300">
        <f t="shared" si="24"/>
        <v>211</v>
      </c>
      <c r="BD192" s="42">
        <f t="shared" si="25"/>
        <v>8</v>
      </c>
      <c r="BE192" s="42">
        <f t="shared" si="26"/>
        <v>0</v>
      </c>
      <c r="BF192" s="42">
        <f t="shared" si="27"/>
        <v>0</v>
      </c>
      <c r="BG192" s="42">
        <f t="shared" si="28"/>
        <v>0</v>
      </c>
      <c r="BH192" s="42">
        <f t="shared" si="29"/>
        <v>0</v>
      </c>
      <c r="BI192" s="42">
        <f t="shared" si="30"/>
        <v>0</v>
      </c>
      <c r="BJ192" s="42">
        <f t="shared" si="31"/>
        <v>0</v>
      </c>
      <c r="BK192" s="42">
        <f t="shared" si="32"/>
        <v>8</v>
      </c>
    </row>
    <row r="193" spans="1:63" ht="27" customHeight="1">
      <c r="A193" s="11">
        <f t="shared" si="33"/>
        <v>191</v>
      </c>
      <c r="B193" s="12" t="s">
        <v>1558</v>
      </c>
      <c r="C193" s="8">
        <v>1668</v>
      </c>
      <c r="D193" s="60" t="s">
        <v>1559</v>
      </c>
      <c r="E193" s="69">
        <v>90505352</v>
      </c>
      <c r="F193" s="62" t="s">
        <v>1560</v>
      </c>
      <c r="G193" s="63" t="s">
        <v>1561</v>
      </c>
      <c r="H193" s="13" t="s">
        <v>479</v>
      </c>
      <c r="I193" s="14" t="s">
        <v>1562</v>
      </c>
      <c r="J193" s="64" t="s">
        <v>173</v>
      </c>
      <c r="K193" s="22">
        <v>28927</v>
      </c>
      <c r="L193" s="66" t="s">
        <v>174</v>
      </c>
      <c r="M193" s="23">
        <v>42656</v>
      </c>
      <c r="N193" s="23"/>
      <c r="O193" s="15" t="s">
        <v>32</v>
      </c>
      <c r="P193" s="16" t="s">
        <v>296</v>
      </c>
      <c r="Q193" s="16" t="s">
        <v>176</v>
      </c>
      <c r="R193" s="15" t="s">
        <v>177</v>
      </c>
      <c r="S193" s="15" t="s">
        <v>722</v>
      </c>
      <c r="T193" s="159"/>
      <c r="U193" s="159"/>
      <c r="V193" s="19" t="s">
        <v>195</v>
      </c>
      <c r="W193" s="19">
        <v>958</v>
      </c>
      <c r="X193" s="1">
        <v>3</v>
      </c>
      <c r="Y193" s="160" t="s">
        <v>1563</v>
      </c>
      <c r="Z193" s="70"/>
      <c r="AA193" s="70" t="s">
        <v>181</v>
      </c>
      <c r="AB193" s="1"/>
      <c r="AC193" s="161" t="s">
        <v>1186</v>
      </c>
      <c r="AD193" s="99" t="s">
        <v>184</v>
      </c>
      <c r="AE193" s="99"/>
      <c r="AF193" s="108"/>
      <c r="AG193" s="106"/>
      <c r="AH193" s="162"/>
      <c r="AI193" s="162"/>
      <c r="AJ193" s="19" t="s">
        <v>198</v>
      </c>
      <c r="AK193" s="19" t="s">
        <v>185</v>
      </c>
      <c r="AL193" s="19" t="s">
        <v>185</v>
      </c>
      <c r="AM193" s="107" t="s">
        <v>1484</v>
      </c>
      <c r="AN193" s="20">
        <v>182</v>
      </c>
      <c r="AO193" s="20">
        <v>4</v>
      </c>
      <c r="AP193" s="20">
        <v>0</v>
      </c>
      <c r="AQ193" s="20">
        <v>0</v>
      </c>
      <c r="AR193" s="20">
        <v>0</v>
      </c>
      <c r="AS193" s="20">
        <v>7</v>
      </c>
      <c r="AT193" s="20">
        <v>10</v>
      </c>
      <c r="AU193" s="300">
        <f t="shared" si="23"/>
        <v>203</v>
      </c>
      <c r="AV193" s="20">
        <v>190</v>
      </c>
      <c r="AW193" s="20">
        <v>4</v>
      </c>
      <c r="AX193" s="20">
        <v>0</v>
      </c>
      <c r="AY193" s="20">
        <v>0</v>
      </c>
      <c r="AZ193" s="20">
        <v>0</v>
      </c>
      <c r="BA193" s="20">
        <v>7</v>
      </c>
      <c r="BB193" s="20">
        <v>10</v>
      </c>
      <c r="BC193" s="300">
        <f t="shared" si="24"/>
        <v>211</v>
      </c>
      <c r="BD193" s="42">
        <f t="shared" si="25"/>
        <v>8</v>
      </c>
      <c r="BE193" s="42">
        <f t="shared" si="26"/>
        <v>0</v>
      </c>
      <c r="BF193" s="42">
        <f t="shared" si="27"/>
        <v>0</v>
      </c>
      <c r="BG193" s="42">
        <f t="shared" si="28"/>
        <v>0</v>
      </c>
      <c r="BH193" s="42">
        <f t="shared" si="29"/>
        <v>0</v>
      </c>
      <c r="BI193" s="42">
        <f t="shared" si="30"/>
        <v>0</v>
      </c>
      <c r="BJ193" s="42">
        <f t="shared" si="31"/>
        <v>0</v>
      </c>
      <c r="BK193" s="42">
        <f t="shared" si="32"/>
        <v>8</v>
      </c>
    </row>
    <row r="194" spans="1:63" ht="27" customHeight="1">
      <c r="A194" s="11">
        <f t="shared" si="33"/>
        <v>192</v>
      </c>
      <c r="B194" s="12" t="s">
        <v>1564</v>
      </c>
      <c r="C194" s="8">
        <v>1653</v>
      </c>
      <c r="D194" s="60" t="s">
        <v>1565</v>
      </c>
      <c r="E194" s="69">
        <v>61461668</v>
      </c>
      <c r="F194" s="62" t="s">
        <v>355</v>
      </c>
      <c r="G194" s="63" t="s">
        <v>1566</v>
      </c>
      <c r="H194" s="13" t="s">
        <v>576</v>
      </c>
      <c r="I194" s="14" t="s">
        <v>1567</v>
      </c>
      <c r="J194" s="64" t="s">
        <v>173</v>
      </c>
      <c r="K194" s="22">
        <v>34588</v>
      </c>
      <c r="L194" s="66" t="s">
        <v>174</v>
      </c>
      <c r="M194" s="23">
        <v>42656</v>
      </c>
      <c r="N194" s="23"/>
      <c r="O194" s="15" t="s">
        <v>24</v>
      </c>
      <c r="P194" s="16" t="s">
        <v>25</v>
      </c>
      <c r="Q194" s="16" t="s">
        <v>176</v>
      </c>
      <c r="R194" s="15" t="s">
        <v>177</v>
      </c>
      <c r="S194" s="17" t="s">
        <v>178</v>
      </c>
      <c r="T194" s="159"/>
      <c r="U194" s="159"/>
      <c r="V194" s="19" t="s">
        <v>195</v>
      </c>
      <c r="W194" s="19">
        <v>527</v>
      </c>
      <c r="X194" s="1">
        <v>10</v>
      </c>
      <c r="Y194" s="160" t="s">
        <v>1568</v>
      </c>
      <c r="Z194" s="70"/>
      <c r="AA194" s="70" t="s">
        <v>181</v>
      </c>
      <c r="AB194" s="1"/>
      <c r="AC194" s="161" t="s">
        <v>1569</v>
      </c>
      <c r="AD194" s="99"/>
      <c r="AE194" s="99"/>
      <c r="AF194" s="108"/>
      <c r="AG194" s="106"/>
      <c r="AH194" s="162"/>
      <c r="AI194" s="162"/>
      <c r="AJ194" s="19" t="s">
        <v>198</v>
      </c>
      <c r="AK194" s="19" t="s">
        <v>185</v>
      </c>
      <c r="AL194" s="19" t="s">
        <v>185</v>
      </c>
      <c r="AM194" s="107" t="s">
        <v>1229</v>
      </c>
      <c r="AN194" s="20">
        <v>182</v>
      </c>
      <c r="AO194" s="20">
        <v>4</v>
      </c>
      <c r="AP194" s="20">
        <v>0</v>
      </c>
      <c r="AQ194" s="20">
        <v>20</v>
      </c>
      <c r="AR194" s="20">
        <v>0</v>
      </c>
      <c r="AS194" s="20">
        <v>7</v>
      </c>
      <c r="AT194" s="20">
        <v>10</v>
      </c>
      <c r="AU194" s="300">
        <f t="shared" si="23"/>
        <v>223</v>
      </c>
      <c r="AV194" s="20">
        <v>190</v>
      </c>
      <c r="AW194" s="20">
        <v>4</v>
      </c>
      <c r="AX194" s="20">
        <v>0</v>
      </c>
      <c r="AY194" s="20">
        <v>20</v>
      </c>
      <c r="AZ194" s="20">
        <v>0</v>
      </c>
      <c r="BA194" s="20">
        <v>7</v>
      </c>
      <c r="BB194" s="20">
        <v>10</v>
      </c>
      <c r="BC194" s="300">
        <f t="shared" si="24"/>
        <v>231</v>
      </c>
      <c r="BD194" s="42">
        <f t="shared" si="25"/>
        <v>8</v>
      </c>
      <c r="BE194" s="42">
        <f t="shared" si="26"/>
        <v>0</v>
      </c>
      <c r="BF194" s="42">
        <f t="shared" si="27"/>
        <v>0</v>
      </c>
      <c r="BG194" s="42">
        <f t="shared" si="28"/>
        <v>0</v>
      </c>
      <c r="BH194" s="42">
        <f t="shared" si="29"/>
        <v>0</v>
      </c>
      <c r="BI194" s="42">
        <f t="shared" si="30"/>
        <v>0</v>
      </c>
      <c r="BJ194" s="42">
        <f t="shared" si="31"/>
        <v>0</v>
      </c>
      <c r="BK194" s="42">
        <f t="shared" si="32"/>
        <v>8</v>
      </c>
    </row>
    <row r="195" spans="1:63" ht="27" customHeight="1">
      <c r="A195" s="11">
        <f t="shared" si="33"/>
        <v>193</v>
      </c>
      <c r="B195" s="12" t="s">
        <v>1570</v>
      </c>
      <c r="C195" s="8">
        <v>1666</v>
      </c>
      <c r="D195" s="60" t="s">
        <v>1571</v>
      </c>
      <c r="E195" s="69">
        <v>130107622</v>
      </c>
      <c r="F195" s="62" t="s">
        <v>855</v>
      </c>
      <c r="G195" s="63" t="s">
        <v>1572</v>
      </c>
      <c r="H195" s="13" t="s">
        <v>1573</v>
      </c>
      <c r="I195" s="14" t="s">
        <v>1574</v>
      </c>
      <c r="J195" s="64" t="s">
        <v>173</v>
      </c>
      <c r="K195" s="22">
        <v>29900</v>
      </c>
      <c r="L195" s="66" t="s">
        <v>174</v>
      </c>
      <c r="M195" s="23">
        <v>42656</v>
      </c>
      <c r="N195" s="23"/>
      <c r="O195" s="15" t="s">
        <v>32</v>
      </c>
      <c r="P195" s="16" t="s">
        <v>507</v>
      </c>
      <c r="Q195" s="16" t="s">
        <v>176</v>
      </c>
      <c r="R195" s="15" t="s">
        <v>177</v>
      </c>
      <c r="S195" s="17" t="s">
        <v>251</v>
      </c>
      <c r="T195" s="159"/>
      <c r="U195" s="159"/>
      <c r="V195" s="19" t="s">
        <v>195</v>
      </c>
      <c r="W195" s="19" t="s">
        <v>179</v>
      </c>
      <c r="X195" s="1">
        <v>5</v>
      </c>
      <c r="Y195" s="160" t="s">
        <v>1575</v>
      </c>
      <c r="Z195" s="70"/>
      <c r="AA195" s="70" t="s">
        <v>181</v>
      </c>
      <c r="AB195" s="1"/>
      <c r="AC195" s="161" t="s">
        <v>1576</v>
      </c>
      <c r="AD195" s="99"/>
      <c r="AE195" s="99"/>
      <c r="AF195" s="108"/>
      <c r="AG195" s="106"/>
      <c r="AH195" s="162"/>
      <c r="AI195" s="162"/>
      <c r="AJ195" s="19" t="s">
        <v>198</v>
      </c>
      <c r="AK195" s="19" t="s">
        <v>185</v>
      </c>
      <c r="AL195" s="19" t="s">
        <v>185</v>
      </c>
      <c r="AM195" s="107" t="s">
        <v>1577</v>
      </c>
      <c r="AN195" s="20">
        <v>182</v>
      </c>
      <c r="AO195" s="20">
        <v>4</v>
      </c>
      <c r="AP195" s="20">
        <v>0</v>
      </c>
      <c r="AQ195" s="20">
        <v>0</v>
      </c>
      <c r="AR195" s="20">
        <v>0</v>
      </c>
      <c r="AS195" s="20">
        <v>7</v>
      </c>
      <c r="AT195" s="20">
        <v>10</v>
      </c>
      <c r="AU195" s="300">
        <f t="shared" si="23"/>
        <v>203</v>
      </c>
      <c r="AV195" s="20">
        <v>190</v>
      </c>
      <c r="AW195" s="20">
        <v>4</v>
      </c>
      <c r="AX195" s="20">
        <v>0</v>
      </c>
      <c r="AY195" s="20">
        <v>0</v>
      </c>
      <c r="AZ195" s="20">
        <v>0</v>
      </c>
      <c r="BA195" s="20">
        <v>7</v>
      </c>
      <c r="BB195" s="20">
        <v>10</v>
      </c>
      <c r="BC195" s="300">
        <f t="shared" si="24"/>
        <v>211</v>
      </c>
      <c r="BD195" s="42">
        <f t="shared" si="25"/>
        <v>8</v>
      </c>
      <c r="BE195" s="42">
        <f t="shared" si="26"/>
        <v>0</v>
      </c>
      <c r="BF195" s="42">
        <f t="shared" si="27"/>
        <v>0</v>
      </c>
      <c r="BG195" s="42">
        <f t="shared" si="28"/>
        <v>0</v>
      </c>
      <c r="BH195" s="42">
        <f t="shared" si="29"/>
        <v>0</v>
      </c>
      <c r="BI195" s="42">
        <f t="shared" si="30"/>
        <v>0</v>
      </c>
      <c r="BJ195" s="42">
        <f t="shared" si="31"/>
        <v>0</v>
      </c>
      <c r="BK195" s="42">
        <f t="shared" si="32"/>
        <v>8</v>
      </c>
    </row>
    <row r="196" spans="1:63" ht="27" customHeight="1">
      <c r="A196" s="11">
        <f t="shared" si="33"/>
        <v>194</v>
      </c>
      <c r="B196" s="12" t="s">
        <v>1578</v>
      </c>
      <c r="C196" s="8">
        <v>1654</v>
      </c>
      <c r="D196" s="103" t="s">
        <v>1579</v>
      </c>
      <c r="E196" s="69">
        <v>110417581</v>
      </c>
      <c r="F196" s="62" t="s">
        <v>1580</v>
      </c>
      <c r="G196" s="63" t="s">
        <v>1581</v>
      </c>
      <c r="H196" s="13" t="s">
        <v>1582</v>
      </c>
      <c r="I196" s="14" t="s">
        <v>1414</v>
      </c>
      <c r="J196" s="64" t="s">
        <v>173</v>
      </c>
      <c r="K196" s="22">
        <v>34462</v>
      </c>
      <c r="L196" s="66" t="s">
        <v>174</v>
      </c>
      <c r="M196" s="23">
        <v>42657</v>
      </c>
      <c r="N196" s="23"/>
      <c r="O196" s="15" t="s">
        <v>32</v>
      </c>
      <c r="P196" s="16" t="s">
        <v>1276</v>
      </c>
      <c r="Q196" s="16" t="s">
        <v>176</v>
      </c>
      <c r="R196" s="15" t="s">
        <v>177</v>
      </c>
      <c r="S196" s="11" t="s">
        <v>223</v>
      </c>
      <c r="T196" s="159"/>
      <c r="U196" s="159"/>
      <c r="V196" s="19" t="s">
        <v>179</v>
      </c>
      <c r="W196" s="19" t="s">
        <v>179</v>
      </c>
      <c r="X196" s="1">
        <v>7</v>
      </c>
      <c r="Y196" s="160" t="s">
        <v>1583</v>
      </c>
      <c r="Z196" s="70"/>
      <c r="AA196" s="70" t="s">
        <v>181</v>
      </c>
      <c r="AB196" s="1"/>
      <c r="AC196" s="161" t="s">
        <v>1584</v>
      </c>
      <c r="AD196" s="99"/>
      <c r="AE196" s="99"/>
      <c r="AF196" s="108"/>
      <c r="AG196" s="106"/>
      <c r="AH196" s="162"/>
      <c r="AI196" s="162"/>
      <c r="AJ196" s="19" t="s">
        <v>198</v>
      </c>
      <c r="AK196" s="19" t="s">
        <v>185</v>
      </c>
      <c r="AL196" s="19" t="s">
        <v>185</v>
      </c>
      <c r="AM196" s="107" t="s">
        <v>1229</v>
      </c>
      <c r="AN196" s="20">
        <v>182</v>
      </c>
      <c r="AO196" s="20">
        <v>4</v>
      </c>
      <c r="AP196" s="20">
        <v>20</v>
      </c>
      <c r="AQ196" s="20">
        <v>0</v>
      </c>
      <c r="AR196" s="20">
        <v>0</v>
      </c>
      <c r="AS196" s="20">
        <v>7</v>
      </c>
      <c r="AT196" s="20">
        <v>10</v>
      </c>
      <c r="AU196" s="300">
        <f t="shared" ref="AU196:AU259" si="34">SUM(AN196:AT196)</f>
        <v>223</v>
      </c>
      <c r="AV196" s="20">
        <v>190</v>
      </c>
      <c r="AW196" s="20">
        <v>4</v>
      </c>
      <c r="AX196" s="20">
        <v>20</v>
      </c>
      <c r="AY196" s="20">
        <v>0</v>
      </c>
      <c r="AZ196" s="20">
        <v>0</v>
      </c>
      <c r="BA196" s="20">
        <v>7</v>
      </c>
      <c r="BB196" s="20">
        <v>10</v>
      </c>
      <c r="BC196" s="300">
        <f t="shared" ref="BC196:BC259" si="35">SUM(AV196:BB196)</f>
        <v>231</v>
      </c>
      <c r="BD196" s="42">
        <f t="shared" ref="BD196:BD259" si="36">AV196-AN196</f>
        <v>8</v>
      </c>
      <c r="BE196" s="42">
        <f t="shared" ref="BE196:BE259" si="37">AW196-AO196</f>
        <v>0</v>
      </c>
      <c r="BF196" s="42">
        <f t="shared" ref="BF196:BF259" si="38">AX196-AP196</f>
        <v>0</v>
      </c>
      <c r="BG196" s="42">
        <f t="shared" ref="BG196:BG259" si="39">AY196-AQ196</f>
        <v>0</v>
      </c>
      <c r="BH196" s="42">
        <f t="shared" ref="BH196:BH259" si="40">AZ196-AR196</f>
        <v>0</v>
      </c>
      <c r="BI196" s="42">
        <f t="shared" ref="BI196:BI259" si="41">BA196-AS196</f>
        <v>0</v>
      </c>
      <c r="BJ196" s="42">
        <f t="shared" ref="BJ196:BJ259" si="42">BB196-AT196</f>
        <v>0</v>
      </c>
      <c r="BK196" s="42">
        <f t="shared" ref="BK196:BK259" si="43">BC196-AU196</f>
        <v>8</v>
      </c>
    </row>
    <row r="197" spans="1:63" ht="27" customHeight="1">
      <c r="A197" s="11">
        <f t="shared" ref="A197:A260" si="44">1+A196</f>
        <v>195</v>
      </c>
      <c r="B197" s="12" t="s">
        <v>1585</v>
      </c>
      <c r="C197" s="8">
        <v>1689</v>
      </c>
      <c r="D197" s="60" t="s">
        <v>1586</v>
      </c>
      <c r="E197" s="69">
        <v>130113789</v>
      </c>
      <c r="F197" s="62" t="s">
        <v>1118</v>
      </c>
      <c r="G197" s="63" t="s">
        <v>1587</v>
      </c>
      <c r="H197" s="13" t="s">
        <v>1120</v>
      </c>
      <c r="I197" s="14" t="s">
        <v>1588</v>
      </c>
      <c r="J197" s="64" t="s">
        <v>173</v>
      </c>
      <c r="K197" s="22">
        <v>31417</v>
      </c>
      <c r="L197" s="66" t="s">
        <v>174</v>
      </c>
      <c r="M197" s="23">
        <v>42657</v>
      </c>
      <c r="N197" s="23"/>
      <c r="O197" s="15" t="s">
        <v>32</v>
      </c>
      <c r="P197" s="16" t="s">
        <v>296</v>
      </c>
      <c r="Q197" s="16" t="s">
        <v>176</v>
      </c>
      <c r="R197" s="17" t="s">
        <v>177</v>
      </c>
      <c r="S197" s="17" t="s">
        <v>178</v>
      </c>
      <c r="T197" s="18"/>
      <c r="U197" s="18"/>
      <c r="V197" s="68" t="s">
        <v>195</v>
      </c>
      <c r="W197" s="68" t="s">
        <v>179</v>
      </c>
      <c r="X197" s="68" t="s">
        <v>179</v>
      </c>
      <c r="Y197" s="69" t="s">
        <v>1589</v>
      </c>
      <c r="Z197" s="70"/>
      <c r="AA197" s="70" t="s">
        <v>181</v>
      </c>
      <c r="AB197" s="1"/>
      <c r="AC197" s="161" t="s">
        <v>1569</v>
      </c>
      <c r="AD197" s="99"/>
      <c r="AE197" s="99"/>
      <c r="AF197" s="108"/>
      <c r="AG197" s="106"/>
      <c r="AH197" s="162"/>
      <c r="AI197" s="162"/>
      <c r="AJ197" s="19" t="s">
        <v>198</v>
      </c>
      <c r="AK197" s="19" t="s">
        <v>185</v>
      </c>
      <c r="AL197" s="19" t="s">
        <v>185</v>
      </c>
      <c r="AM197" s="107" t="s">
        <v>1534</v>
      </c>
      <c r="AN197" s="20">
        <v>182</v>
      </c>
      <c r="AO197" s="20">
        <v>4</v>
      </c>
      <c r="AP197" s="20">
        <v>0</v>
      </c>
      <c r="AQ197" s="20">
        <v>30</v>
      </c>
      <c r="AR197" s="20">
        <v>0</v>
      </c>
      <c r="AS197" s="20">
        <v>7</v>
      </c>
      <c r="AT197" s="20">
        <v>10</v>
      </c>
      <c r="AU197" s="300">
        <f t="shared" si="34"/>
        <v>233</v>
      </c>
      <c r="AV197" s="20">
        <v>190</v>
      </c>
      <c r="AW197" s="20">
        <v>4</v>
      </c>
      <c r="AX197" s="20">
        <v>0</v>
      </c>
      <c r="AY197" s="20">
        <v>30</v>
      </c>
      <c r="AZ197" s="20">
        <v>0</v>
      </c>
      <c r="BA197" s="20">
        <v>7</v>
      </c>
      <c r="BB197" s="20">
        <v>10</v>
      </c>
      <c r="BC197" s="300">
        <f t="shared" si="35"/>
        <v>241</v>
      </c>
      <c r="BD197" s="42">
        <f t="shared" si="36"/>
        <v>8</v>
      </c>
      <c r="BE197" s="42">
        <f t="shared" si="37"/>
        <v>0</v>
      </c>
      <c r="BF197" s="42">
        <f t="shared" si="38"/>
        <v>0</v>
      </c>
      <c r="BG197" s="42">
        <f t="shared" si="39"/>
        <v>0</v>
      </c>
      <c r="BH197" s="42">
        <f t="shared" si="40"/>
        <v>0</v>
      </c>
      <c r="BI197" s="42">
        <f t="shared" si="41"/>
        <v>0</v>
      </c>
      <c r="BJ197" s="42">
        <f t="shared" si="42"/>
        <v>0</v>
      </c>
      <c r="BK197" s="42">
        <f t="shared" si="43"/>
        <v>8</v>
      </c>
    </row>
    <row r="198" spans="1:63" ht="27" customHeight="1">
      <c r="A198" s="11">
        <f t="shared" si="44"/>
        <v>196</v>
      </c>
      <c r="B198" s="12" t="s">
        <v>1590</v>
      </c>
      <c r="C198" s="8">
        <v>1659</v>
      </c>
      <c r="D198" s="60" t="s">
        <v>1591</v>
      </c>
      <c r="E198" s="69">
        <v>50645484</v>
      </c>
      <c r="F198" s="62" t="s">
        <v>1166</v>
      </c>
      <c r="G198" s="63" t="s">
        <v>1592</v>
      </c>
      <c r="H198" s="13" t="s">
        <v>1168</v>
      </c>
      <c r="I198" s="14" t="s">
        <v>1593</v>
      </c>
      <c r="J198" s="64" t="s">
        <v>173</v>
      </c>
      <c r="K198" s="22">
        <v>33027</v>
      </c>
      <c r="L198" s="66" t="s">
        <v>174</v>
      </c>
      <c r="M198" s="23">
        <v>42656</v>
      </c>
      <c r="N198" s="23"/>
      <c r="O198" s="15" t="s">
        <v>32</v>
      </c>
      <c r="P198" s="16" t="s">
        <v>507</v>
      </c>
      <c r="Q198" s="16" t="s">
        <v>176</v>
      </c>
      <c r="R198" s="15" t="s">
        <v>177</v>
      </c>
      <c r="S198" s="11" t="s">
        <v>214</v>
      </c>
      <c r="T198" s="159"/>
      <c r="U198" s="159"/>
      <c r="V198" s="19" t="s">
        <v>195</v>
      </c>
      <c r="W198" s="19">
        <v>4580</v>
      </c>
      <c r="X198" s="1">
        <v>6</v>
      </c>
      <c r="Y198" s="160" t="s">
        <v>1594</v>
      </c>
      <c r="Z198" s="70"/>
      <c r="AA198" s="70" t="s">
        <v>181</v>
      </c>
      <c r="AB198" s="1"/>
      <c r="AC198" s="161" t="s">
        <v>382</v>
      </c>
      <c r="AD198" s="99"/>
      <c r="AE198" s="99"/>
      <c r="AF198" s="108"/>
      <c r="AG198" s="106"/>
      <c r="AH198" s="162"/>
      <c r="AI198" s="162"/>
      <c r="AJ198" s="19" t="s">
        <v>198</v>
      </c>
      <c r="AK198" s="19" t="s">
        <v>185</v>
      </c>
      <c r="AL198" s="19" t="s">
        <v>185</v>
      </c>
      <c r="AM198" s="107" t="s">
        <v>1595</v>
      </c>
      <c r="AN198" s="20">
        <v>182</v>
      </c>
      <c r="AO198" s="20">
        <v>4</v>
      </c>
      <c r="AP198" s="20">
        <v>0</v>
      </c>
      <c r="AQ198" s="20">
        <v>0</v>
      </c>
      <c r="AR198" s="20">
        <v>0</v>
      </c>
      <c r="AS198" s="20">
        <v>7</v>
      </c>
      <c r="AT198" s="20">
        <v>10</v>
      </c>
      <c r="AU198" s="300">
        <f t="shared" si="34"/>
        <v>203</v>
      </c>
      <c r="AV198" s="20">
        <v>190</v>
      </c>
      <c r="AW198" s="20">
        <v>4</v>
      </c>
      <c r="AX198" s="20">
        <v>0</v>
      </c>
      <c r="AY198" s="20">
        <v>0</v>
      </c>
      <c r="AZ198" s="20">
        <v>0</v>
      </c>
      <c r="BA198" s="20">
        <v>7</v>
      </c>
      <c r="BB198" s="20">
        <v>10</v>
      </c>
      <c r="BC198" s="300">
        <f t="shared" si="35"/>
        <v>211</v>
      </c>
      <c r="BD198" s="42">
        <f t="shared" si="36"/>
        <v>8</v>
      </c>
      <c r="BE198" s="42">
        <f t="shared" si="37"/>
        <v>0</v>
      </c>
      <c r="BF198" s="42">
        <f t="shared" si="38"/>
        <v>0</v>
      </c>
      <c r="BG198" s="42">
        <f t="shared" si="39"/>
        <v>0</v>
      </c>
      <c r="BH198" s="42">
        <f t="shared" si="40"/>
        <v>0</v>
      </c>
      <c r="BI198" s="42">
        <f t="shared" si="41"/>
        <v>0</v>
      </c>
      <c r="BJ198" s="42">
        <f t="shared" si="42"/>
        <v>0</v>
      </c>
      <c r="BK198" s="42">
        <f t="shared" si="43"/>
        <v>8</v>
      </c>
    </row>
    <row r="199" spans="1:63" ht="27" customHeight="1">
      <c r="A199" s="11">
        <f t="shared" si="44"/>
        <v>197</v>
      </c>
      <c r="B199" s="12" t="s">
        <v>1596</v>
      </c>
      <c r="C199" s="8">
        <v>1696</v>
      </c>
      <c r="D199" s="74" t="s">
        <v>1597</v>
      </c>
      <c r="E199" s="69">
        <v>50105734</v>
      </c>
      <c r="F199" s="62" t="s">
        <v>1598</v>
      </c>
      <c r="G199" s="63" t="s">
        <v>1599</v>
      </c>
      <c r="H199" s="13" t="s">
        <v>1600</v>
      </c>
      <c r="I199" s="14" t="s">
        <v>1601</v>
      </c>
      <c r="J199" s="64" t="s">
        <v>173</v>
      </c>
      <c r="K199" s="22">
        <v>30377</v>
      </c>
      <c r="L199" s="66" t="s">
        <v>174</v>
      </c>
      <c r="M199" s="23">
        <v>42660</v>
      </c>
      <c r="N199" s="23"/>
      <c r="O199" s="15" t="s">
        <v>32</v>
      </c>
      <c r="P199" s="16" t="s">
        <v>260</v>
      </c>
      <c r="Q199" s="16" t="s">
        <v>176</v>
      </c>
      <c r="R199" s="15" t="s">
        <v>177</v>
      </c>
      <c r="S199" s="11" t="s">
        <v>214</v>
      </c>
      <c r="T199" s="159"/>
      <c r="U199" s="159"/>
      <c r="V199" s="19" t="s">
        <v>195</v>
      </c>
      <c r="W199" s="19" t="s">
        <v>179</v>
      </c>
      <c r="X199" s="1">
        <v>5</v>
      </c>
      <c r="Y199" s="160" t="s">
        <v>1602</v>
      </c>
      <c r="Z199" s="70"/>
      <c r="AA199" s="70"/>
      <c r="AB199" s="70" t="s">
        <v>181</v>
      </c>
      <c r="AC199" s="161"/>
      <c r="AD199" s="99" t="s">
        <v>184</v>
      </c>
      <c r="AE199" s="99" t="s">
        <v>184</v>
      </c>
      <c r="AF199" s="108"/>
      <c r="AG199" s="106"/>
      <c r="AH199" s="162"/>
      <c r="AI199" s="162"/>
      <c r="AJ199" s="19" t="s">
        <v>198</v>
      </c>
      <c r="AK199" s="19" t="s">
        <v>185</v>
      </c>
      <c r="AL199" s="19" t="s">
        <v>185</v>
      </c>
      <c r="AM199" s="107" t="s">
        <v>1541</v>
      </c>
      <c r="AN199" s="20">
        <v>182</v>
      </c>
      <c r="AO199" s="20">
        <v>0</v>
      </c>
      <c r="AP199" s="20">
        <v>0</v>
      </c>
      <c r="AQ199" s="20">
        <v>0</v>
      </c>
      <c r="AR199" s="20">
        <v>0</v>
      </c>
      <c r="AS199" s="20">
        <v>7</v>
      </c>
      <c r="AT199" s="20">
        <v>10</v>
      </c>
      <c r="AU199" s="300">
        <f t="shared" si="34"/>
        <v>199</v>
      </c>
      <c r="AV199" s="20">
        <v>190</v>
      </c>
      <c r="AW199" s="20">
        <v>0</v>
      </c>
      <c r="AX199" s="20">
        <v>0</v>
      </c>
      <c r="AY199" s="20">
        <v>0</v>
      </c>
      <c r="AZ199" s="20">
        <v>0</v>
      </c>
      <c r="BA199" s="20">
        <v>7</v>
      </c>
      <c r="BB199" s="20">
        <v>10</v>
      </c>
      <c r="BC199" s="300">
        <f t="shared" si="35"/>
        <v>207</v>
      </c>
      <c r="BD199" s="42">
        <f t="shared" si="36"/>
        <v>8</v>
      </c>
      <c r="BE199" s="42">
        <f t="shared" si="37"/>
        <v>0</v>
      </c>
      <c r="BF199" s="42">
        <f t="shared" si="38"/>
        <v>0</v>
      </c>
      <c r="BG199" s="42">
        <f t="shared" si="39"/>
        <v>0</v>
      </c>
      <c r="BH199" s="42">
        <f t="shared" si="40"/>
        <v>0</v>
      </c>
      <c r="BI199" s="42">
        <f t="shared" si="41"/>
        <v>0</v>
      </c>
      <c r="BJ199" s="42">
        <f t="shared" si="42"/>
        <v>0</v>
      </c>
      <c r="BK199" s="42">
        <f t="shared" si="43"/>
        <v>8</v>
      </c>
    </row>
    <row r="200" spans="1:63" ht="27" customHeight="1">
      <c r="A200" s="11">
        <f t="shared" si="44"/>
        <v>198</v>
      </c>
      <c r="B200" s="12" t="s">
        <v>1603</v>
      </c>
      <c r="C200" s="8">
        <v>1667</v>
      </c>
      <c r="D200" s="60" t="s">
        <v>1604</v>
      </c>
      <c r="E200" s="69">
        <v>51174117</v>
      </c>
      <c r="F200" s="62" t="s">
        <v>1605</v>
      </c>
      <c r="G200" s="63" t="s">
        <v>1606</v>
      </c>
      <c r="H200" s="13" t="s">
        <v>1607</v>
      </c>
      <c r="I200" s="14" t="s">
        <v>1608</v>
      </c>
      <c r="J200" s="64" t="s">
        <v>173</v>
      </c>
      <c r="K200" s="22">
        <v>31665</v>
      </c>
      <c r="L200" s="66" t="s">
        <v>174</v>
      </c>
      <c r="M200" s="23">
        <v>42657</v>
      </c>
      <c r="N200" s="23"/>
      <c r="O200" s="15" t="s">
        <v>32</v>
      </c>
      <c r="P200" s="16" t="s">
        <v>507</v>
      </c>
      <c r="Q200" s="16" t="s">
        <v>176</v>
      </c>
      <c r="R200" s="15" t="s">
        <v>177</v>
      </c>
      <c r="S200" s="11" t="s">
        <v>214</v>
      </c>
      <c r="T200" s="159"/>
      <c r="U200" s="159"/>
      <c r="V200" s="19" t="s">
        <v>195</v>
      </c>
      <c r="W200" s="19">
        <v>3505</v>
      </c>
      <c r="X200" s="1">
        <v>3</v>
      </c>
      <c r="Y200" s="160" t="s">
        <v>1609</v>
      </c>
      <c r="Z200" s="70"/>
      <c r="AA200" s="70" t="s">
        <v>181</v>
      </c>
      <c r="AB200" s="1"/>
      <c r="AC200" s="161" t="s">
        <v>1610</v>
      </c>
      <c r="AD200" s="99"/>
      <c r="AE200" s="99"/>
      <c r="AF200" s="108"/>
      <c r="AG200" s="106"/>
      <c r="AH200" s="162"/>
      <c r="AI200" s="162"/>
      <c r="AJ200" s="19" t="s">
        <v>198</v>
      </c>
      <c r="AK200" s="19" t="s">
        <v>185</v>
      </c>
      <c r="AL200" s="19" t="s">
        <v>185</v>
      </c>
      <c r="AM200" s="107" t="s">
        <v>1595</v>
      </c>
      <c r="AN200" s="20">
        <v>182</v>
      </c>
      <c r="AO200" s="20">
        <v>4</v>
      </c>
      <c r="AP200" s="20">
        <v>0</v>
      </c>
      <c r="AQ200" s="20">
        <v>0</v>
      </c>
      <c r="AR200" s="20">
        <v>0</v>
      </c>
      <c r="AS200" s="20">
        <v>7</v>
      </c>
      <c r="AT200" s="20">
        <v>10</v>
      </c>
      <c r="AU200" s="300">
        <f t="shared" si="34"/>
        <v>203</v>
      </c>
      <c r="AV200" s="20">
        <v>190</v>
      </c>
      <c r="AW200" s="20">
        <v>4</v>
      </c>
      <c r="AX200" s="20">
        <v>0</v>
      </c>
      <c r="AY200" s="20">
        <v>0</v>
      </c>
      <c r="AZ200" s="20">
        <v>0</v>
      </c>
      <c r="BA200" s="20">
        <v>7</v>
      </c>
      <c r="BB200" s="20">
        <v>10</v>
      </c>
      <c r="BC200" s="300">
        <f t="shared" si="35"/>
        <v>211</v>
      </c>
      <c r="BD200" s="42">
        <f t="shared" si="36"/>
        <v>8</v>
      </c>
      <c r="BE200" s="42">
        <f t="shared" si="37"/>
        <v>0</v>
      </c>
      <c r="BF200" s="42">
        <f t="shared" si="38"/>
        <v>0</v>
      </c>
      <c r="BG200" s="42">
        <f t="shared" si="39"/>
        <v>0</v>
      </c>
      <c r="BH200" s="42">
        <f t="shared" si="40"/>
        <v>0</v>
      </c>
      <c r="BI200" s="42">
        <f t="shared" si="41"/>
        <v>0</v>
      </c>
      <c r="BJ200" s="42">
        <f t="shared" si="42"/>
        <v>0</v>
      </c>
      <c r="BK200" s="42">
        <f t="shared" si="43"/>
        <v>8</v>
      </c>
    </row>
    <row r="201" spans="1:63" ht="27" customHeight="1">
      <c r="A201" s="11">
        <f t="shared" si="44"/>
        <v>199</v>
      </c>
      <c r="B201" s="12" t="s">
        <v>1611</v>
      </c>
      <c r="C201" s="8">
        <v>1700</v>
      </c>
      <c r="D201" s="74" t="s">
        <v>1612</v>
      </c>
      <c r="E201" s="69">
        <v>61725227</v>
      </c>
      <c r="F201" s="62" t="s">
        <v>1613</v>
      </c>
      <c r="G201" s="63" t="s">
        <v>1614</v>
      </c>
      <c r="H201" s="13" t="s">
        <v>20</v>
      </c>
      <c r="I201" s="14" t="s">
        <v>21</v>
      </c>
      <c r="J201" s="64" t="s">
        <v>204</v>
      </c>
      <c r="K201" s="22">
        <v>31093</v>
      </c>
      <c r="L201" s="66" t="s">
        <v>174</v>
      </c>
      <c r="M201" s="23">
        <v>42661</v>
      </c>
      <c r="N201" s="23"/>
      <c r="O201" s="15" t="s">
        <v>12</v>
      </c>
      <c r="P201" s="16" t="s">
        <v>13</v>
      </c>
      <c r="Q201" s="16" t="s">
        <v>176</v>
      </c>
      <c r="R201" s="15" t="s">
        <v>177</v>
      </c>
      <c r="S201" s="17" t="s">
        <v>178</v>
      </c>
      <c r="T201" s="159"/>
      <c r="U201" s="159"/>
      <c r="V201" s="19" t="s">
        <v>195</v>
      </c>
      <c r="W201" s="19">
        <v>1954</v>
      </c>
      <c r="X201" s="1">
        <v>7</v>
      </c>
      <c r="Y201" s="160" t="s">
        <v>1615</v>
      </c>
      <c r="Z201" s="70"/>
      <c r="AA201" s="70" t="s">
        <v>181</v>
      </c>
      <c r="AB201" s="1"/>
      <c r="AC201" s="161" t="s">
        <v>1616</v>
      </c>
      <c r="AD201" s="99"/>
      <c r="AE201" s="99"/>
      <c r="AF201" s="108"/>
      <c r="AG201" s="106"/>
      <c r="AH201" s="162"/>
      <c r="AI201" s="162"/>
      <c r="AJ201" s="19" t="s">
        <v>198</v>
      </c>
      <c r="AK201" s="19" t="s">
        <v>185</v>
      </c>
      <c r="AL201" s="19" t="s">
        <v>185</v>
      </c>
      <c r="AM201" s="107" t="s">
        <v>1534</v>
      </c>
      <c r="AN201" s="20">
        <v>182</v>
      </c>
      <c r="AO201" s="20">
        <v>4</v>
      </c>
      <c r="AP201" s="20">
        <v>0</v>
      </c>
      <c r="AQ201" s="20">
        <v>24</v>
      </c>
      <c r="AR201" s="20">
        <v>0</v>
      </c>
      <c r="AS201" s="20">
        <v>7</v>
      </c>
      <c r="AT201" s="20">
        <v>10</v>
      </c>
      <c r="AU201" s="300">
        <f t="shared" si="34"/>
        <v>227</v>
      </c>
      <c r="AV201" s="20">
        <v>190</v>
      </c>
      <c r="AW201" s="20">
        <v>4</v>
      </c>
      <c r="AX201" s="20">
        <v>0</v>
      </c>
      <c r="AY201" s="20">
        <v>24</v>
      </c>
      <c r="AZ201" s="20">
        <v>0</v>
      </c>
      <c r="BA201" s="20">
        <v>7</v>
      </c>
      <c r="BB201" s="20">
        <v>10</v>
      </c>
      <c r="BC201" s="300">
        <f t="shared" si="35"/>
        <v>235</v>
      </c>
      <c r="BD201" s="42">
        <f t="shared" si="36"/>
        <v>8</v>
      </c>
      <c r="BE201" s="42">
        <f t="shared" si="37"/>
        <v>0</v>
      </c>
      <c r="BF201" s="42">
        <f t="shared" si="38"/>
        <v>0</v>
      </c>
      <c r="BG201" s="42">
        <f t="shared" si="39"/>
        <v>0</v>
      </c>
      <c r="BH201" s="42">
        <f t="shared" si="40"/>
        <v>0</v>
      </c>
      <c r="BI201" s="42">
        <f t="shared" si="41"/>
        <v>0</v>
      </c>
      <c r="BJ201" s="42">
        <f t="shared" si="42"/>
        <v>0</v>
      </c>
      <c r="BK201" s="42">
        <f t="shared" si="43"/>
        <v>8</v>
      </c>
    </row>
    <row r="202" spans="1:63" ht="27" customHeight="1">
      <c r="A202" s="11">
        <f t="shared" si="44"/>
        <v>200</v>
      </c>
      <c r="B202" s="12" t="s">
        <v>1617</v>
      </c>
      <c r="C202" s="8">
        <v>1692</v>
      </c>
      <c r="D202" s="60" t="s">
        <v>1618</v>
      </c>
      <c r="E202" s="69">
        <v>61358412</v>
      </c>
      <c r="F202" s="62" t="s">
        <v>1619</v>
      </c>
      <c r="G202" s="63" t="s">
        <v>1620</v>
      </c>
      <c r="H202" s="13" t="s">
        <v>1621</v>
      </c>
      <c r="I202" s="14" t="s">
        <v>1622</v>
      </c>
      <c r="J202" s="64" t="s">
        <v>173</v>
      </c>
      <c r="K202" s="22">
        <v>34736</v>
      </c>
      <c r="L202" s="66" t="s">
        <v>174</v>
      </c>
      <c r="M202" s="23">
        <v>42657</v>
      </c>
      <c r="N202" s="23"/>
      <c r="O202" s="15" t="s">
        <v>32</v>
      </c>
      <c r="P202" s="16" t="s">
        <v>296</v>
      </c>
      <c r="Q202" s="16" t="s">
        <v>176</v>
      </c>
      <c r="R202" s="15" t="s">
        <v>177</v>
      </c>
      <c r="S202" s="17" t="s">
        <v>178</v>
      </c>
      <c r="T202" s="159"/>
      <c r="U202" s="159"/>
      <c r="V202" s="19" t="s">
        <v>179</v>
      </c>
      <c r="W202" s="19" t="s">
        <v>179</v>
      </c>
      <c r="X202" s="1">
        <v>8</v>
      </c>
      <c r="Y202" s="160" t="s">
        <v>1623</v>
      </c>
      <c r="Z202" s="70" t="s">
        <v>181</v>
      </c>
      <c r="AA202" s="70"/>
      <c r="AB202" s="1"/>
      <c r="AC202" s="161"/>
      <c r="AD202" s="99"/>
      <c r="AE202" s="99"/>
      <c r="AF202" s="108"/>
      <c r="AG202" s="106"/>
      <c r="AH202" s="162"/>
      <c r="AI202" s="162"/>
      <c r="AJ202" s="19" t="s">
        <v>198</v>
      </c>
      <c r="AK202" s="19" t="s">
        <v>185</v>
      </c>
      <c r="AL202" s="19" t="s">
        <v>185</v>
      </c>
      <c r="AM202" s="107" t="s">
        <v>1624</v>
      </c>
      <c r="AN202" s="20">
        <v>182</v>
      </c>
      <c r="AO202" s="20">
        <v>0</v>
      </c>
      <c r="AP202" s="20">
        <v>0</v>
      </c>
      <c r="AQ202" s="20">
        <v>0</v>
      </c>
      <c r="AR202" s="20">
        <v>0</v>
      </c>
      <c r="AS202" s="20">
        <v>7</v>
      </c>
      <c r="AT202" s="20">
        <v>10</v>
      </c>
      <c r="AU202" s="300">
        <f t="shared" si="34"/>
        <v>199</v>
      </c>
      <c r="AV202" s="20">
        <v>190</v>
      </c>
      <c r="AW202" s="20">
        <v>0</v>
      </c>
      <c r="AX202" s="20">
        <v>0</v>
      </c>
      <c r="AY202" s="20">
        <v>0</v>
      </c>
      <c r="AZ202" s="20">
        <v>0</v>
      </c>
      <c r="BA202" s="20">
        <v>7</v>
      </c>
      <c r="BB202" s="20">
        <v>10</v>
      </c>
      <c r="BC202" s="300">
        <f t="shared" si="35"/>
        <v>207</v>
      </c>
      <c r="BD202" s="42">
        <f t="shared" si="36"/>
        <v>8</v>
      </c>
      <c r="BE202" s="42">
        <f t="shared" si="37"/>
        <v>0</v>
      </c>
      <c r="BF202" s="42">
        <f t="shared" si="38"/>
        <v>0</v>
      </c>
      <c r="BG202" s="42">
        <f t="shared" si="39"/>
        <v>0</v>
      </c>
      <c r="BH202" s="42">
        <f t="shared" si="40"/>
        <v>0</v>
      </c>
      <c r="BI202" s="42">
        <f t="shared" si="41"/>
        <v>0</v>
      </c>
      <c r="BJ202" s="42">
        <f t="shared" si="42"/>
        <v>0</v>
      </c>
      <c r="BK202" s="42">
        <f t="shared" si="43"/>
        <v>8</v>
      </c>
    </row>
    <row r="203" spans="1:63" ht="27" customHeight="1">
      <c r="A203" s="11">
        <f t="shared" si="44"/>
        <v>201</v>
      </c>
      <c r="B203" s="12" t="s">
        <v>1625</v>
      </c>
      <c r="C203" s="8">
        <v>1710</v>
      </c>
      <c r="D203" s="74" t="s">
        <v>1626</v>
      </c>
      <c r="E203" s="69">
        <v>110182472</v>
      </c>
      <c r="F203" s="62" t="s">
        <v>256</v>
      </c>
      <c r="G203" s="63" t="s">
        <v>1119</v>
      </c>
      <c r="H203" s="13" t="s">
        <v>16</v>
      </c>
      <c r="I203" s="14" t="s">
        <v>1121</v>
      </c>
      <c r="J203" s="64" t="s">
        <v>173</v>
      </c>
      <c r="K203" s="22">
        <v>26342</v>
      </c>
      <c r="L203" s="66" t="s">
        <v>174</v>
      </c>
      <c r="M203" s="23">
        <v>42669</v>
      </c>
      <c r="N203" s="23"/>
      <c r="O203" s="15" t="s">
        <v>32</v>
      </c>
      <c r="P203" s="16" t="s">
        <v>1080</v>
      </c>
      <c r="Q203" s="16" t="s">
        <v>176</v>
      </c>
      <c r="R203" s="15" t="s">
        <v>177</v>
      </c>
      <c r="S203" s="11" t="s">
        <v>223</v>
      </c>
      <c r="T203" s="159"/>
      <c r="U203" s="159"/>
      <c r="V203" s="19" t="s">
        <v>179</v>
      </c>
      <c r="W203" s="19" t="s">
        <v>179</v>
      </c>
      <c r="X203" s="1">
        <v>3</v>
      </c>
      <c r="Y203" s="160" t="s">
        <v>1627</v>
      </c>
      <c r="Z203" s="70"/>
      <c r="AA203" s="70" t="s">
        <v>181</v>
      </c>
      <c r="AB203" s="1"/>
      <c r="AC203" s="161" t="s">
        <v>197</v>
      </c>
      <c r="AD203" s="99" t="s">
        <v>183</v>
      </c>
      <c r="AE203" s="99" t="s">
        <v>183</v>
      </c>
      <c r="AF203" s="99" t="s">
        <v>183</v>
      </c>
      <c r="AG203" s="106"/>
      <c r="AH203" s="162"/>
      <c r="AI203" s="162"/>
      <c r="AJ203" s="19" t="s">
        <v>198</v>
      </c>
      <c r="AK203" s="19" t="s">
        <v>185</v>
      </c>
      <c r="AL203" s="19" t="s">
        <v>185</v>
      </c>
      <c r="AM203" s="107" t="s">
        <v>1491</v>
      </c>
      <c r="AN203" s="20">
        <v>182</v>
      </c>
      <c r="AO203" s="20">
        <v>4</v>
      </c>
      <c r="AP203" s="20">
        <v>0</v>
      </c>
      <c r="AQ203" s="20">
        <v>0</v>
      </c>
      <c r="AR203" s="20">
        <v>0</v>
      </c>
      <c r="AS203" s="20">
        <v>7</v>
      </c>
      <c r="AT203" s="20">
        <v>10</v>
      </c>
      <c r="AU203" s="300">
        <f t="shared" si="34"/>
        <v>203</v>
      </c>
      <c r="AV203" s="20">
        <v>190</v>
      </c>
      <c r="AW203" s="20">
        <v>4</v>
      </c>
      <c r="AX203" s="20">
        <v>0</v>
      </c>
      <c r="AY203" s="20">
        <v>0</v>
      </c>
      <c r="AZ203" s="20">
        <v>0</v>
      </c>
      <c r="BA203" s="20">
        <v>7</v>
      </c>
      <c r="BB203" s="20">
        <v>10</v>
      </c>
      <c r="BC203" s="300">
        <f t="shared" si="35"/>
        <v>211</v>
      </c>
      <c r="BD203" s="42">
        <f t="shared" si="36"/>
        <v>8</v>
      </c>
      <c r="BE203" s="42">
        <f t="shared" si="37"/>
        <v>0</v>
      </c>
      <c r="BF203" s="42">
        <f t="shared" si="38"/>
        <v>0</v>
      </c>
      <c r="BG203" s="42">
        <f t="shared" si="39"/>
        <v>0</v>
      </c>
      <c r="BH203" s="42">
        <f t="shared" si="40"/>
        <v>0</v>
      </c>
      <c r="BI203" s="42">
        <f t="shared" si="41"/>
        <v>0</v>
      </c>
      <c r="BJ203" s="42">
        <f t="shared" si="42"/>
        <v>0</v>
      </c>
      <c r="BK203" s="42">
        <f t="shared" si="43"/>
        <v>8</v>
      </c>
    </row>
    <row r="204" spans="1:63" ht="27" customHeight="1">
      <c r="A204" s="11">
        <f t="shared" si="44"/>
        <v>202</v>
      </c>
      <c r="B204" s="12" t="s">
        <v>1628</v>
      </c>
      <c r="C204" s="8">
        <v>1711</v>
      </c>
      <c r="D204" s="74" t="s">
        <v>1629</v>
      </c>
      <c r="E204" s="69">
        <v>110311414</v>
      </c>
      <c r="F204" s="62" t="s">
        <v>1630</v>
      </c>
      <c r="G204" s="63" t="s">
        <v>130</v>
      </c>
      <c r="H204" s="13" t="s">
        <v>1631</v>
      </c>
      <c r="I204" s="14" t="s">
        <v>661</v>
      </c>
      <c r="J204" s="64" t="s">
        <v>173</v>
      </c>
      <c r="K204" s="22">
        <v>31446</v>
      </c>
      <c r="L204" s="66" t="s">
        <v>174</v>
      </c>
      <c r="M204" s="23">
        <v>42665</v>
      </c>
      <c r="N204" s="23"/>
      <c r="O204" s="15" t="s">
        <v>32</v>
      </c>
      <c r="P204" s="16" t="s">
        <v>1080</v>
      </c>
      <c r="Q204" s="16" t="s">
        <v>176</v>
      </c>
      <c r="R204" s="15" t="s">
        <v>177</v>
      </c>
      <c r="S204" s="11" t="s">
        <v>223</v>
      </c>
      <c r="T204" s="159"/>
      <c r="U204" s="159"/>
      <c r="V204" s="19" t="s">
        <v>179</v>
      </c>
      <c r="W204" s="19" t="s">
        <v>179</v>
      </c>
      <c r="X204" s="1">
        <v>4</v>
      </c>
      <c r="Y204" s="160" t="s">
        <v>1632</v>
      </c>
      <c r="Z204" s="70"/>
      <c r="AA204" s="70" t="s">
        <v>181</v>
      </c>
      <c r="AB204" s="1"/>
      <c r="AC204" s="161" t="s">
        <v>197</v>
      </c>
      <c r="AD204" s="99" t="s">
        <v>183</v>
      </c>
      <c r="AE204" s="99" t="s">
        <v>183</v>
      </c>
      <c r="AF204" s="108"/>
      <c r="AG204" s="106"/>
      <c r="AH204" s="162"/>
      <c r="AI204" s="162"/>
      <c r="AJ204" s="19" t="s">
        <v>198</v>
      </c>
      <c r="AK204" s="19" t="s">
        <v>185</v>
      </c>
      <c r="AL204" s="19" t="s">
        <v>185</v>
      </c>
      <c r="AM204" s="107" t="s">
        <v>1491</v>
      </c>
      <c r="AN204" s="20">
        <v>182</v>
      </c>
      <c r="AO204" s="20">
        <v>4</v>
      </c>
      <c r="AP204" s="20">
        <v>0</v>
      </c>
      <c r="AQ204" s="20">
        <v>15</v>
      </c>
      <c r="AR204" s="20">
        <v>0</v>
      </c>
      <c r="AS204" s="20">
        <v>7</v>
      </c>
      <c r="AT204" s="20">
        <v>10</v>
      </c>
      <c r="AU204" s="300">
        <f t="shared" si="34"/>
        <v>218</v>
      </c>
      <c r="AV204" s="20">
        <v>190</v>
      </c>
      <c r="AW204" s="20">
        <v>4</v>
      </c>
      <c r="AX204" s="20">
        <v>0</v>
      </c>
      <c r="AY204" s="20">
        <v>15</v>
      </c>
      <c r="AZ204" s="20">
        <v>0</v>
      </c>
      <c r="BA204" s="20">
        <v>7</v>
      </c>
      <c r="BB204" s="20">
        <v>10</v>
      </c>
      <c r="BC204" s="300">
        <f t="shared" si="35"/>
        <v>226</v>
      </c>
      <c r="BD204" s="42">
        <f t="shared" si="36"/>
        <v>8</v>
      </c>
      <c r="BE204" s="42">
        <f t="shared" si="37"/>
        <v>0</v>
      </c>
      <c r="BF204" s="42">
        <f t="shared" si="38"/>
        <v>0</v>
      </c>
      <c r="BG204" s="42">
        <f t="shared" si="39"/>
        <v>0</v>
      </c>
      <c r="BH204" s="42">
        <f t="shared" si="40"/>
        <v>0</v>
      </c>
      <c r="BI204" s="42">
        <f t="shared" si="41"/>
        <v>0</v>
      </c>
      <c r="BJ204" s="42">
        <f t="shared" si="42"/>
        <v>0</v>
      </c>
      <c r="BK204" s="42">
        <f t="shared" si="43"/>
        <v>8</v>
      </c>
    </row>
    <row r="205" spans="1:63" ht="27" customHeight="1">
      <c r="A205" s="11">
        <f t="shared" si="44"/>
        <v>203</v>
      </c>
      <c r="B205" s="12" t="s">
        <v>1633</v>
      </c>
      <c r="C205" s="8">
        <v>1719</v>
      </c>
      <c r="D205" s="74" t="s">
        <v>1634</v>
      </c>
      <c r="E205" s="69">
        <v>110424279</v>
      </c>
      <c r="F205" s="62" t="s">
        <v>1635</v>
      </c>
      <c r="G205" s="63" t="s">
        <v>1636</v>
      </c>
      <c r="H205" s="13" t="s">
        <v>1637</v>
      </c>
      <c r="I205" s="14" t="s">
        <v>1144</v>
      </c>
      <c r="J205" s="64" t="s">
        <v>173</v>
      </c>
      <c r="K205" s="22">
        <v>33394</v>
      </c>
      <c r="L205" s="66" t="s">
        <v>174</v>
      </c>
      <c r="M205" s="23">
        <v>42670</v>
      </c>
      <c r="N205" s="23"/>
      <c r="O205" s="15" t="s">
        <v>32</v>
      </c>
      <c r="P205" s="16" t="s">
        <v>334</v>
      </c>
      <c r="Q205" s="16" t="s">
        <v>176</v>
      </c>
      <c r="R205" s="15" t="s">
        <v>177</v>
      </c>
      <c r="S205" s="17" t="s">
        <v>206</v>
      </c>
      <c r="T205" s="159"/>
      <c r="U205" s="159"/>
      <c r="V205" s="19" t="s">
        <v>179</v>
      </c>
      <c r="W205" s="19" t="s">
        <v>179</v>
      </c>
      <c r="X205" s="1">
        <v>9</v>
      </c>
      <c r="Y205" s="160" t="s">
        <v>1638</v>
      </c>
      <c r="Z205" s="70"/>
      <c r="AA205" s="70" t="s">
        <v>181</v>
      </c>
      <c r="AB205" s="1"/>
      <c r="AC205" s="161" t="s">
        <v>133</v>
      </c>
      <c r="AD205" s="99"/>
      <c r="AE205" s="99"/>
      <c r="AF205" s="108"/>
      <c r="AG205" s="106"/>
      <c r="AH205" s="162"/>
      <c r="AI205" s="162"/>
      <c r="AJ205" s="19" t="s">
        <v>198</v>
      </c>
      <c r="AK205" s="19" t="s">
        <v>185</v>
      </c>
      <c r="AL205" s="19" t="s">
        <v>185</v>
      </c>
      <c r="AM205" s="107" t="s">
        <v>1229</v>
      </c>
      <c r="AN205" s="20">
        <v>182</v>
      </c>
      <c r="AO205" s="20">
        <v>4</v>
      </c>
      <c r="AP205" s="20">
        <v>0</v>
      </c>
      <c r="AQ205" s="20">
        <v>0</v>
      </c>
      <c r="AR205" s="20">
        <v>0</v>
      </c>
      <c r="AS205" s="20">
        <v>7</v>
      </c>
      <c r="AT205" s="20">
        <v>10</v>
      </c>
      <c r="AU205" s="300">
        <f t="shared" si="34"/>
        <v>203</v>
      </c>
      <c r="AV205" s="20">
        <v>190</v>
      </c>
      <c r="AW205" s="20">
        <v>4</v>
      </c>
      <c r="AX205" s="20">
        <v>0</v>
      </c>
      <c r="AY205" s="20">
        <v>0</v>
      </c>
      <c r="AZ205" s="20">
        <v>0</v>
      </c>
      <c r="BA205" s="20">
        <v>7</v>
      </c>
      <c r="BB205" s="20">
        <v>10</v>
      </c>
      <c r="BC205" s="300">
        <f t="shared" si="35"/>
        <v>211</v>
      </c>
      <c r="BD205" s="42">
        <f t="shared" si="36"/>
        <v>8</v>
      </c>
      <c r="BE205" s="42">
        <f t="shared" si="37"/>
        <v>0</v>
      </c>
      <c r="BF205" s="42">
        <f t="shared" si="38"/>
        <v>0</v>
      </c>
      <c r="BG205" s="42">
        <f t="shared" si="39"/>
        <v>0</v>
      </c>
      <c r="BH205" s="42">
        <f t="shared" si="40"/>
        <v>0</v>
      </c>
      <c r="BI205" s="42">
        <f t="shared" si="41"/>
        <v>0</v>
      </c>
      <c r="BJ205" s="42">
        <f t="shared" si="42"/>
        <v>0</v>
      </c>
      <c r="BK205" s="42">
        <f t="shared" si="43"/>
        <v>8</v>
      </c>
    </row>
    <row r="206" spans="1:63" ht="27" customHeight="1">
      <c r="A206" s="11">
        <f t="shared" si="44"/>
        <v>204</v>
      </c>
      <c r="B206" s="12" t="s">
        <v>1639</v>
      </c>
      <c r="C206" s="8">
        <v>1754</v>
      </c>
      <c r="D206" s="103" t="s">
        <v>1640</v>
      </c>
      <c r="E206" s="69">
        <v>240069624</v>
      </c>
      <c r="F206" s="62" t="s">
        <v>1641</v>
      </c>
      <c r="G206" s="63" t="s">
        <v>920</v>
      </c>
      <c r="H206" s="13" t="s">
        <v>1642</v>
      </c>
      <c r="I206" s="14" t="s">
        <v>1643</v>
      </c>
      <c r="J206" s="64" t="s">
        <v>173</v>
      </c>
      <c r="K206" s="22">
        <v>34700</v>
      </c>
      <c r="L206" s="66" t="s">
        <v>174</v>
      </c>
      <c r="M206" s="23">
        <v>42682</v>
      </c>
      <c r="N206" s="23"/>
      <c r="O206" s="15" t="s">
        <v>32</v>
      </c>
      <c r="P206" s="16" t="s">
        <v>334</v>
      </c>
      <c r="Q206" s="16" t="s">
        <v>176</v>
      </c>
      <c r="R206" s="15" t="s">
        <v>177</v>
      </c>
      <c r="S206" s="11" t="s">
        <v>1644</v>
      </c>
      <c r="T206" s="159"/>
      <c r="U206" s="159"/>
      <c r="V206" s="19" t="s">
        <v>179</v>
      </c>
      <c r="W206" s="19" t="s">
        <v>179</v>
      </c>
      <c r="X206" s="1">
        <v>4</v>
      </c>
      <c r="Y206" s="160" t="s">
        <v>1645</v>
      </c>
      <c r="Z206" s="70"/>
      <c r="AA206" s="70" t="s">
        <v>181</v>
      </c>
      <c r="AB206" s="1"/>
      <c r="AC206" s="161" t="s">
        <v>197</v>
      </c>
      <c r="AD206" s="99" t="s">
        <v>184</v>
      </c>
      <c r="AE206" s="99"/>
      <c r="AF206" s="108"/>
      <c r="AG206" s="106"/>
      <c r="AH206" s="162"/>
      <c r="AI206" s="162"/>
      <c r="AJ206" s="19" t="s">
        <v>198</v>
      </c>
      <c r="AK206" s="19" t="s">
        <v>185</v>
      </c>
      <c r="AL206" s="19" t="s">
        <v>185</v>
      </c>
      <c r="AM206" s="107" t="s">
        <v>1229</v>
      </c>
      <c r="AN206" s="20">
        <v>182</v>
      </c>
      <c r="AO206" s="20">
        <v>4</v>
      </c>
      <c r="AP206" s="20">
        <v>0</v>
      </c>
      <c r="AQ206" s="20">
        <v>0</v>
      </c>
      <c r="AR206" s="20">
        <v>0</v>
      </c>
      <c r="AS206" s="20">
        <v>7</v>
      </c>
      <c r="AT206" s="20">
        <v>10</v>
      </c>
      <c r="AU206" s="300">
        <f t="shared" si="34"/>
        <v>203</v>
      </c>
      <c r="AV206" s="20">
        <v>190</v>
      </c>
      <c r="AW206" s="20">
        <v>4</v>
      </c>
      <c r="AX206" s="20">
        <v>0</v>
      </c>
      <c r="AY206" s="20">
        <v>0</v>
      </c>
      <c r="AZ206" s="20">
        <v>0</v>
      </c>
      <c r="BA206" s="20">
        <v>7</v>
      </c>
      <c r="BB206" s="20">
        <v>10</v>
      </c>
      <c r="BC206" s="300">
        <f t="shared" si="35"/>
        <v>211</v>
      </c>
      <c r="BD206" s="42">
        <f t="shared" si="36"/>
        <v>8</v>
      </c>
      <c r="BE206" s="42">
        <f t="shared" si="37"/>
        <v>0</v>
      </c>
      <c r="BF206" s="42">
        <f t="shared" si="38"/>
        <v>0</v>
      </c>
      <c r="BG206" s="42">
        <f t="shared" si="39"/>
        <v>0</v>
      </c>
      <c r="BH206" s="42">
        <f t="shared" si="40"/>
        <v>0</v>
      </c>
      <c r="BI206" s="42">
        <f t="shared" si="41"/>
        <v>0</v>
      </c>
      <c r="BJ206" s="42">
        <f t="shared" si="42"/>
        <v>0</v>
      </c>
      <c r="BK206" s="42">
        <f t="shared" si="43"/>
        <v>8</v>
      </c>
    </row>
    <row r="207" spans="1:63" ht="27" customHeight="1">
      <c r="A207" s="11">
        <f t="shared" si="44"/>
        <v>205</v>
      </c>
      <c r="B207" s="12" t="s">
        <v>1646</v>
      </c>
      <c r="C207" s="8">
        <v>1727</v>
      </c>
      <c r="D207" s="103" t="s">
        <v>1647</v>
      </c>
      <c r="E207" s="69">
        <v>130198181</v>
      </c>
      <c r="F207" s="62" t="s">
        <v>1648</v>
      </c>
      <c r="G207" s="63" t="s">
        <v>700</v>
      </c>
      <c r="H207" s="13" t="s">
        <v>1600</v>
      </c>
      <c r="I207" s="14" t="s">
        <v>15</v>
      </c>
      <c r="J207" s="64" t="s">
        <v>173</v>
      </c>
      <c r="K207" s="22">
        <v>32694</v>
      </c>
      <c r="L207" s="66" t="s">
        <v>174</v>
      </c>
      <c r="M207" s="23">
        <v>42676</v>
      </c>
      <c r="N207" s="23"/>
      <c r="O207" s="15" t="s">
        <v>32</v>
      </c>
      <c r="P207" s="16" t="s">
        <v>334</v>
      </c>
      <c r="Q207" s="16" t="s">
        <v>176</v>
      </c>
      <c r="R207" s="15" t="s">
        <v>177</v>
      </c>
      <c r="S207" s="11" t="s">
        <v>223</v>
      </c>
      <c r="T207" s="159"/>
      <c r="U207" s="159"/>
      <c r="V207" s="19" t="s">
        <v>195</v>
      </c>
      <c r="W207" s="19">
        <v>3785</v>
      </c>
      <c r="X207" s="15" t="s">
        <v>1277</v>
      </c>
      <c r="Y207" s="160" t="s">
        <v>1649</v>
      </c>
      <c r="Z207" s="70"/>
      <c r="AA207" s="70" t="s">
        <v>181</v>
      </c>
      <c r="AB207" s="1"/>
      <c r="AC207" s="161" t="s">
        <v>1584</v>
      </c>
      <c r="AD207" s="99" t="s">
        <v>184</v>
      </c>
      <c r="AE207" s="99" t="s">
        <v>184</v>
      </c>
      <c r="AF207" s="108"/>
      <c r="AG207" s="106"/>
      <c r="AH207" s="162"/>
      <c r="AI207" s="162"/>
      <c r="AJ207" s="19" t="s">
        <v>198</v>
      </c>
      <c r="AK207" s="19" t="s">
        <v>185</v>
      </c>
      <c r="AL207" s="19" t="s">
        <v>185</v>
      </c>
      <c r="AM207" s="107" t="s">
        <v>1229</v>
      </c>
      <c r="AN207" s="20">
        <v>182</v>
      </c>
      <c r="AO207" s="20">
        <v>0</v>
      </c>
      <c r="AP207" s="20">
        <v>0</v>
      </c>
      <c r="AQ207" s="20">
        <v>0</v>
      </c>
      <c r="AR207" s="20">
        <v>0</v>
      </c>
      <c r="AS207" s="20">
        <v>7</v>
      </c>
      <c r="AT207" s="20">
        <v>10</v>
      </c>
      <c r="AU207" s="300">
        <f t="shared" si="34"/>
        <v>199</v>
      </c>
      <c r="AV207" s="20">
        <v>190</v>
      </c>
      <c r="AW207" s="20">
        <v>0</v>
      </c>
      <c r="AX207" s="20">
        <v>0</v>
      </c>
      <c r="AY207" s="20">
        <v>0</v>
      </c>
      <c r="AZ207" s="20">
        <v>0</v>
      </c>
      <c r="BA207" s="20">
        <v>7</v>
      </c>
      <c r="BB207" s="20">
        <v>10</v>
      </c>
      <c r="BC207" s="300">
        <f t="shared" si="35"/>
        <v>207</v>
      </c>
      <c r="BD207" s="42">
        <f t="shared" si="36"/>
        <v>8</v>
      </c>
      <c r="BE207" s="42">
        <f t="shared" si="37"/>
        <v>0</v>
      </c>
      <c r="BF207" s="42">
        <f t="shared" si="38"/>
        <v>0</v>
      </c>
      <c r="BG207" s="42">
        <f t="shared" si="39"/>
        <v>0</v>
      </c>
      <c r="BH207" s="42">
        <f t="shared" si="40"/>
        <v>0</v>
      </c>
      <c r="BI207" s="42">
        <f t="shared" si="41"/>
        <v>0</v>
      </c>
      <c r="BJ207" s="42">
        <f t="shared" si="42"/>
        <v>0</v>
      </c>
      <c r="BK207" s="42">
        <f t="shared" si="43"/>
        <v>8</v>
      </c>
    </row>
    <row r="208" spans="1:63" ht="27" customHeight="1">
      <c r="A208" s="11">
        <f t="shared" si="44"/>
        <v>206</v>
      </c>
      <c r="B208" s="12" t="s">
        <v>1650</v>
      </c>
      <c r="C208" s="8">
        <v>1743</v>
      </c>
      <c r="D208" s="103" t="s">
        <v>1651</v>
      </c>
      <c r="E208" s="69">
        <v>110526742</v>
      </c>
      <c r="F208" s="62" t="s">
        <v>1652</v>
      </c>
      <c r="G208" s="63" t="s">
        <v>1653</v>
      </c>
      <c r="H208" s="13" t="s">
        <v>1128</v>
      </c>
      <c r="I208" s="14" t="s">
        <v>1654</v>
      </c>
      <c r="J208" s="64" t="s">
        <v>173</v>
      </c>
      <c r="K208" s="22">
        <v>35827</v>
      </c>
      <c r="L208" s="66" t="s">
        <v>174</v>
      </c>
      <c r="M208" s="23">
        <v>42682</v>
      </c>
      <c r="N208" s="23"/>
      <c r="O208" s="15" t="s">
        <v>24</v>
      </c>
      <c r="P208" s="16" t="s">
        <v>631</v>
      </c>
      <c r="Q208" s="16" t="s">
        <v>176</v>
      </c>
      <c r="R208" s="15" t="s">
        <v>177</v>
      </c>
      <c r="S208" s="11" t="s">
        <v>223</v>
      </c>
      <c r="T208" s="159"/>
      <c r="U208" s="159"/>
      <c r="V208" s="19" t="s">
        <v>195</v>
      </c>
      <c r="W208" s="19">
        <v>2066</v>
      </c>
      <c r="X208" s="1">
        <v>6</v>
      </c>
      <c r="Y208" s="160" t="s">
        <v>1655</v>
      </c>
      <c r="Z208" s="70" t="s">
        <v>181</v>
      </c>
      <c r="AA208" s="70"/>
      <c r="AB208" s="1"/>
      <c r="AC208" s="161"/>
      <c r="AD208" s="99"/>
      <c r="AE208" s="99"/>
      <c r="AF208" s="108"/>
      <c r="AG208" s="106"/>
      <c r="AH208" s="162"/>
      <c r="AI208" s="162"/>
      <c r="AJ208" s="19" t="s">
        <v>198</v>
      </c>
      <c r="AK208" s="19" t="s">
        <v>185</v>
      </c>
      <c r="AL208" s="19" t="s">
        <v>185</v>
      </c>
      <c r="AM208" s="107" t="s">
        <v>1484</v>
      </c>
      <c r="AN208" s="20">
        <v>182</v>
      </c>
      <c r="AO208" s="20">
        <v>4</v>
      </c>
      <c r="AP208" s="20">
        <v>20</v>
      </c>
      <c r="AQ208" s="20">
        <v>0</v>
      </c>
      <c r="AR208" s="20">
        <v>0</v>
      </c>
      <c r="AS208" s="20">
        <v>7</v>
      </c>
      <c r="AT208" s="20">
        <v>10</v>
      </c>
      <c r="AU208" s="300">
        <f t="shared" si="34"/>
        <v>223</v>
      </c>
      <c r="AV208" s="20">
        <v>190</v>
      </c>
      <c r="AW208" s="20">
        <v>4</v>
      </c>
      <c r="AX208" s="20">
        <v>20</v>
      </c>
      <c r="AY208" s="20">
        <v>0</v>
      </c>
      <c r="AZ208" s="20">
        <v>0</v>
      </c>
      <c r="BA208" s="20">
        <v>7</v>
      </c>
      <c r="BB208" s="20">
        <v>10</v>
      </c>
      <c r="BC208" s="300">
        <f t="shared" si="35"/>
        <v>231</v>
      </c>
      <c r="BD208" s="42">
        <f t="shared" si="36"/>
        <v>8</v>
      </c>
      <c r="BE208" s="42">
        <f t="shared" si="37"/>
        <v>0</v>
      </c>
      <c r="BF208" s="42">
        <f t="shared" si="38"/>
        <v>0</v>
      </c>
      <c r="BG208" s="42">
        <f t="shared" si="39"/>
        <v>0</v>
      </c>
      <c r="BH208" s="42">
        <f t="shared" si="40"/>
        <v>0</v>
      </c>
      <c r="BI208" s="42">
        <f t="shared" si="41"/>
        <v>0</v>
      </c>
      <c r="BJ208" s="42">
        <f t="shared" si="42"/>
        <v>0</v>
      </c>
      <c r="BK208" s="42">
        <f t="shared" si="43"/>
        <v>8</v>
      </c>
    </row>
    <row r="209" spans="1:63" ht="27" customHeight="1">
      <c r="A209" s="11">
        <f t="shared" si="44"/>
        <v>207</v>
      </c>
      <c r="B209" s="12" t="s">
        <v>1656</v>
      </c>
      <c r="C209" s="8">
        <v>1726</v>
      </c>
      <c r="D209" s="103" t="s">
        <v>1657</v>
      </c>
      <c r="E209" s="69">
        <v>511793364</v>
      </c>
      <c r="F209" s="62" t="s">
        <v>1432</v>
      </c>
      <c r="G209" s="63" t="s">
        <v>1658</v>
      </c>
      <c r="H209" s="13" t="s">
        <v>1434</v>
      </c>
      <c r="I209" s="14" t="s">
        <v>1659</v>
      </c>
      <c r="J209" s="64" t="s">
        <v>173</v>
      </c>
      <c r="K209" s="22">
        <v>30319</v>
      </c>
      <c r="L209" s="66" t="s">
        <v>174</v>
      </c>
      <c r="M209" s="23">
        <v>42676</v>
      </c>
      <c r="N209" s="23"/>
      <c r="O209" s="15" t="s">
        <v>286</v>
      </c>
      <c r="P209" s="16" t="s">
        <v>556</v>
      </c>
      <c r="Q209" s="16" t="s">
        <v>176</v>
      </c>
      <c r="R209" s="15" t="s">
        <v>177</v>
      </c>
      <c r="S209" s="11" t="s">
        <v>214</v>
      </c>
      <c r="T209" s="159"/>
      <c r="U209" s="159"/>
      <c r="V209" s="19" t="s">
        <v>195</v>
      </c>
      <c r="W209" s="19">
        <v>2936</v>
      </c>
      <c r="X209" s="15" t="s">
        <v>1277</v>
      </c>
      <c r="Y209" s="160" t="s">
        <v>1660</v>
      </c>
      <c r="Z209" s="70"/>
      <c r="AA209" s="70" t="s">
        <v>181</v>
      </c>
      <c r="AB209" s="1"/>
      <c r="AC209" s="161" t="s">
        <v>1261</v>
      </c>
      <c r="AD209" s="99" t="s">
        <v>184</v>
      </c>
      <c r="AE209" s="99" t="s">
        <v>184</v>
      </c>
      <c r="AF209" s="108"/>
      <c r="AG209" s="106"/>
      <c r="AH209" s="162"/>
      <c r="AI209" s="162"/>
      <c r="AJ209" s="19" t="s">
        <v>198</v>
      </c>
      <c r="AK209" s="19" t="s">
        <v>185</v>
      </c>
      <c r="AL209" s="19" t="s">
        <v>185</v>
      </c>
      <c r="AM209" s="107" t="s">
        <v>1229</v>
      </c>
      <c r="AN209" s="20">
        <v>182</v>
      </c>
      <c r="AO209" s="20">
        <v>4</v>
      </c>
      <c r="AP209" s="20">
        <v>0</v>
      </c>
      <c r="AQ209" s="20">
        <v>0</v>
      </c>
      <c r="AR209" s="20">
        <v>0</v>
      </c>
      <c r="AS209" s="20">
        <v>7</v>
      </c>
      <c r="AT209" s="20">
        <v>10</v>
      </c>
      <c r="AU209" s="300">
        <f t="shared" si="34"/>
        <v>203</v>
      </c>
      <c r="AV209" s="20">
        <v>190</v>
      </c>
      <c r="AW209" s="20">
        <v>4</v>
      </c>
      <c r="AX209" s="20">
        <v>0</v>
      </c>
      <c r="AY209" s="20">
        <v>0</v>
      </c>
      <c r="AZ209" s="20">
        <v>0</v>
      </c>
      <c r="BA209" s="20">
        <v>7</v>
      </c>
      <c r="BB209" s="20">
        <v>10</v>
      </c>
      <c r="BC209" s="300">
        <f t="shared" si="35"/>
        <v>211</v>
      </c>
      <c r="BD209" s="42">
        <f t="shared" si="36"/>
        <v>8</v>
      </c>
      <c r="BE209" s="42">
        <f t="shared" si="37"/>
        <v>0</v>
      </c>
      <c r="BF209" s="42">
        <f t="shared" si="38"/>
        <v>0</v>
      </c>
      <c r="BG209" s="42">
        <f t="shared" si="39"/>
        <v>0</v>
      </c>
      <c r="BH209" s="42">
        <f t="shared" si="40"/>
        <v>0</v>
      </c>
      <c r="BI209" s="42">
        <f t="shared" si="41"/>
        <v>0</v>
      </c>
      <c r="BJ209" s="42">
        <f t="shared" si="42"/>
        <v>0</v>
      </c>
      <c r="BK209" s="42">
        <f t="shared" si="43"/>
        <v>8</v>
      </c>
    </row>
    <row r="210" spans="1:63" ht="27" customHeight="1">
      <c r="A210" s="11">
        <f t="shared" si="44"/>
        <v>208</v>
      </c>
      <c r="B210" s="12" t="s">
        <v>1661</v>
      </c>
      <c r="C210" s="8">
        <v>1747</v>
      </c>
      <c r="D210" s="74" t="s">
        <v>1662</v>
      </c>
      <c r="E210" s="69">
        <v>130199248</v>
      </c>
      <c r="F210" s="62" t="s">
        <v>1663</v>
      </c>
      <c r="G210" s="63" t="s">
        <v>1664</v>
      </c>
      <c r="H210" s="13" t="s">
        <v>1665</v>
      </c>
      <c r="I210" s="14" t="s">
        <v>1666</v>
      </c>
      <c r="J210" s="64" t="s">
        <v>173</v>
      </c>
      <c r="K210" s="22">
        <v>30688</v>
      </c>
      <c r="L210" s="66" t="s">
        <v>174</v>
      </c>
      <c r="M210" s="23">
        <v>42685</v>
      </c>
      <c r="N210" s="23"/>
      <c r="O210" s="15" t="s">
        <v>24</v>
      </c>
      <c r="P210" s="16" t="s">
        <v>631</v>
      </c>
      <c r="Q210" s="16" t="s">
        <v>176</v>
      </c>
      <c r="R210" s="15" t="s">
        <v>177</v>
      </c>
      <c r="S210" s="17" t="s">
        <v>206</v>
      </c>
      <c r="T210" s="159"/>
      <c r="U210" s="159"/>
      <c r="V210" s="19" t="s">
        <v>195</v>
      </c>
      <c r="W210" s="19">
        <v>14</v>
      </c>
      <c r="X210" s="1">
        <v>6</v>
      </c>
      <c r="Y210" s="160" t="s">
        <v>1667</v>
      </c>
      <c r="Z210" s="70"/>
      <c r="AA210" s="70" t="s">
        <v>181</v>
      </c>
      <c r="AB210" s="1"/>
      <c r="AC210" s="161" t="s">
        <v>133</v>
      </c>
      <c r="AD210" s="99" t="s">
        <v>184</v>
      </c>
      <c r="AE210" s="99"/>
      <c r="AF210" s="108"/>
      <c r="AG210" s="106"/>
      <c r="AH210" s="162"/>
      <c r="AI210" s="162"/>
      <c r="AJ210" s="19" t="s">
        <v>198</v>
      </c>
      <c r="AK210" s="19" t="s">
        <v>185</v>
      </c>
      <c r="AL210" s="19" t="s">
        <v>185</v>
      </c>
      <c r="AM210" s="107" t="s">
        <v>1484</v>
      </c>
      <c r="AN210" s="20">
        <v>182</v>
      </c>
      <c r="AO210" s="20">
        <v>4</v>
      </c>
      <c r="AP210" s="20">
        <v>20</v>
      </c>
      <c r="AQ210" s="20">
        <v>20</v>
      </c>
      <c r="AR210" s="20">
        <v>0</v>
      </c>
      <c r="AS210" s="20">
        <v>7</v>
      </c>
      <c r="AT210" s="20">
        <v>10</v>
      </c>
      <c r="AU210" s="300">
        <f t="shared" si="34"/>
        <v>243</v>
      </c>
      <c r="AV210" s="20">
        <v>190</v>
      </c>
      <c r="AW210" s="20">
        <v>4</v>
      </c>
      <c r="AX210" s="20">
        <v>20</v>
      </c>
      <c r="AY210" s="20">
        <v>20</v>
      </c>
      <c r="AZ210" s="20">
        <v>0</v>
      </c>
      <c r="BA210" s="20">
        <v>7</v>
      </c>
      <c r="BB210" s="20">
        <v>10</v>
      </c>
      <c r="BC210" s="300">
        <f t="shared" si="35"/>
        <v>251</v>
      </c>
      <c r="BD210" s="42">
        <f t="shared" si="36"/>
        <v>8</v>
      </c>
      <c r="BE210" s="42">
        <f t="shared" si="37"/>
        <v>0</v>
      </c>
      <c r="BF210" s="42">
        <f t="shared" si="38"/>
        <v>0</v>
      </c>
      <c r="BG210" s="42">
        <f t="shared" si="39"/>
        <v>0</v>
      </c>
      <c r="BH210" s="42">
        <f t="shared" si="40"/>
        <v>0</v>
      </c>
      <c r="BI210" s="42">
        <f t="shared" si="41"/>
        <v>0</v>
      </c>
      <c r="BJ210" s="42">
        <f t="shared" si="42"/>
        <v>0</v>
      </c>
      <c r="BK210" s="42">
        <f t="shared" si="43"/>
        <v>8</v>
      </c>
    </row>
    <row r="211" spans="1:63" ht="27" customHeight="1">
      <c r="A211" s="11">
        <f t="shared" si="44"/>
        <v>209</v>
      </c>
      <c r="B211" s="12" t="s">
        <v>1668</v>
      </c>
      <c r="C211" s="8">
        <v>1755</v>
      </c>
      <c r="D211" s="74" t="s">
        <v>1669</v>
      </c>
      <c r="E211" s="69">
        <v>110342005</v>
      </c>
      <c r="F211" s="62" t="s">
        <v>1061</v>
      </c>
      <c r="G211" s="63" t="s">
        <v>1670</v>
      </c>
      <c r="H211" s="13" t="s">
        <v>1063</v>
      </c>
      <c r="I211" s="14" t="s">
        <v>1671</v>
      </c>
      <c r="J211" s="64" t="s">
        <v>173</v>
      </c>
      <c r="K211" s="22">
        <v>33655</v>
      </c>
      <c r="L211" s="66" t="s">
        <v>174</v>
      </c>
      <c r="M211" s="23">
        <v>42692</v>
      </c>
      <c r="N211" s="23"/>
      <c r="O211" s="15" t="s">
        <v>32</v>
      </c>
      <c r="P211" s="16" t="s">
        <v>334</v>
      </c>
      <c r="Q211" s="16" t="s">
        <v>176</v>
      </c>
      <c r="R211" s="15" t="s">
        <v>177</v>
      </c>
      <c r="S211" s="11" t="s">
        <v>223</v>
      </c>
      <c r="T211" s="159"/>
      <c r="U211" s="159"/>
      <c r="V211" s="19" t="s">
        <v>179</v>
      </c>
      <c r="W211" s="19">
        <v>761</v>
      </c>
      <c r="X211" s="1">
        <v>7</v>
      </c>
      <c r="Y211" s="160" t="s">
        <v>1672</v>
      </c>
      <c r="Z211" s="70"/>
      <c r="AA211" s="70" t="s">
        <v>181</v>
      </c>
      <c r="AB211" s="1"/>
      <c r="AC211" s="161"/>
      <c r="AD211" s="99" t="s">
        <v>184</v>
      </c>
      <c r="AE211" s="99"/>
      <c r="AF211" s="108"/>
      <c r="AG211" s="106"/>
      <c r="AH211" s="162"/>
      <c r="AI211" s="162"/>
      <c r="AJ211" s="19" t="s">
        <v>198</v>
      </c>
      <c r="AK211" s="19" t="s">
        <v>185</v>
      </c>
      <c r="AL211" s="19" t="s">
        <v>185</v>
      </c>
      <c r="AM211" s="107" t="s">
        <v>1229</v>
      </c>
      <c r="AN211" s="20">
        <v>182</v>
      </c>
      <c r="AO211" s="20">
        <v>4</v>
      </c>
      <c r="AP211" s="20">
        <v>0</v>
      </c>
      <c r="AQ211" s="20">
        <v>0</v>
      </c>
      <c r="AR211" s="20">
        <v>0</v>
      </c>
      <c r="AS211" s="20">
        <v>7</v>
      </c>
      <c r="AT211" s="20">
        <v>10</v>
      </c>
      <c r="AU211" s="300">
        <f t="shared" si="34"/>
        <v>203</v>
      </c>
      <c r="AV211" s="20">
        <v>190</v>
      </c>
      <c r="AW211" s="20">
        <v>4</v>
      </c>
      <c r="AX211" s="20">
        <v>0</v>
      </c>
      <c r="AY211" s="20">
        <v>0</v>
      </c>
      <c r="AZ211" s="20">
        <v>0</v>
      </c>
      <c r="BA211" s="20">
        <v>7</v>
      </c>
      <c r="BB211" s="20">
        <v>10</v>
      </c>
      <c r="BC211" s="300">
        <f t="shared" si="35"/>
        <v>211</v>
      </c>
      <c r="BD211" s="42">
        <f t="shared" si="36"/>
        <v>8</v>
      </c>
      <c r="BE211" s="42">
        <f t="shared" si="37"/>
        <v>0</v>
      </c>
      <c r="BF211" s="42">
        <f t="shared" si="38"/>
        <v>0</v>
      </c>
      <c r="BG211" s="42">
        <f t="shared" si="39"/>
        <v>0</v>
      </c>
      <c r="BH211" s="42">
        <f t="shared" si="40"/>
        <v>0</v>
      </c>
      <c r="BI211" s="42">
        <f t="shared" si="41"/>
        <v>0</v>
      </c>
      <c r="BJ211" s="42">
        <f t="shared" si="42"/>
        <v>0</v>
      </c>
      <c r="BK211" s="42">
        <f t="shared" si="43"/>
        <v>8</v>
      </c>
    </row>
    <row r="212" spans="1:63" ht="27" customHeight="1">
      <c r="A212" s="11">
        <f t="shared" si="44"/>
        <v>210</v>
      </c>
      <c r="B212" s="12" t="s">
        <v>1673</v>
      </c>
      <c r="C212" s="8">
        <v>1766</v>
      </c>
      <c r="D212" s="60" t="s">
        <v>1674</v>
      </c>
      <c r="E212" s="69">
        <v>130060649</v>
      </c>
      <c r="F212" s="62" t="s">
        <v>869</v>
      </c>
      <c r="G212" s="63" t="s">
        <v>1418</v>
      </c>
      <c r="H212" s="13" t="s">
        <v>720</v>
      </c>
      <c r="I212" s="14" t="s">
        <v>1675</v>
      </c>
      <c r="J212" s="64" t="s">
        <v>173</v>
      </c>
      <c r="K212" s="22">
        <v>31264</v>
      </c>
      <c r="L212" s="66" t="s">
        <v>174</v>
      </c>
      <c r="M212" s="23">
        <v>42697</v>
      </c>
      <c r="N212" s="23"/>
      <c r="O212" s="15" t="s">
        <v>32</v>
      </c>
      <c r="P212" s="16" t="s">
        <v>296</v>
      </c>
      <c r="Q212" s="16" t="s">
        <v>176</v>
      </c>
      <c r="R212" s="15" t="s">
        <v>177</v>
      </c>
      <c r="S212" s="17" t="s">
        <v>251</v>
      </c>
      <c r="T212" s="159"/>
      <c r="U212" s="159"/>
      <c r="V212" s="19" t="s">
        <v>195</v>
      </c>
      <c r="W212" s="19" t="s">
        <v>179</v>
      </c>
      <c r="X212" s="1">
        <v>9</v>
      </c>
      <c r="Y212" s="160" t="s">
        <v>1676</v>
      </c>
      <c r="Z212" s="70"/>
      <c r="AA212" s="70" t="s">
        <v>181</v>
      </c>
      <c r="AB212" s="1"/>
      <c r="AC212" s="161" t="s">
        <v>133</v>
      </c>
      <c r="AD212" s="99"/>
      <c r="AE212" s="99"/>
      <c r="AF212" s="108"/>
      <c r="AG212" s="106"/>
      <c r="AH212" s="162"/>
      <c r="AI212" s="162"/>
      <c r="AJ212" s="19" t="s">
        <v>198</v>
      </c>
      <c r="AK212" s="19" t="s">
        <v>185</v>
      </c>
      <c r="AL212" s="19" t="s">
        <v>185</v>
      </c>
      <c r="AM212" s="107" t="s">
        <v>1557</v>
      </c>
      <c r="AN212" s="20">
        <v>182</v>
      </c>
      <c r="AO212" s="20">
        <v>4</v>
      </c>
      <c r="AP212" s="20">
        <v>0</v>
      </c>
      <c r="AQ212" s="20">
        <v>0</v>
      </c>
      <c r="AR212" s="20">
        <v>0</v>
      </c>
      <c r="AS212" s="20">
        <v>7</v>
      </c>
      <c r="AT212" s="20">
        <v>10</v>
      </c>
      <c r="AU212" s="300">
        <f t="shared" si="34"/>
        <v>203</v>
      </c>
      <c r="AV212" s="20">
        <v>190</v>
      </c>
      <c r="AW212" s="20">
        <v>4</v>
      </c>
      <c r="AX212" s="20">
        <v>0</v>
      </c>
      <c r="AY212" s="20">
        <v>0</v>
      </c>
      <c r="AZ212" s="20">
        <v>0</v>
      </c>
      <c r="BA212" s="20">
        <v>7</v>
      </c>
      <c r="BB212" s="20">
        <v>10</v>
      </c>
      <c r="BC212" s="300">
        <f t="shared" si="35"/>
        <v>211</v>
      </c>
      <c r="BD212" s="42">
        <f t="shared" si="36"/>
        <v>8</v>
      </c>
      <c r="BE212" s="42">
        <f t="shared" si="37"/>
        <v>0</v>
      </c>
      <c r="BF212" s="42">
        <f t="shared" si="38"/>
        <v>0</v>
      </c>
      <c r="BG212" s="42">
        <f t="shared" si="39"/>
        <v>0</v>
      </c>
      <c r="BH212" s="42">
        <f t="shared" si="40"/>
        <v>0</v>
      </c>
      <c r="BI212" s="42">
        <f t="shared" si="41"/>
        <v>0</v>
      </c>
      <c r="BJ212" s="42">
        <f t="shared" si="42"/>
        <v>0</v>
      </c>
      <c r="BK212" s="42">
        <f t="shared" si="43"/>
        <v>8</v>
      </c>
    </row>
    <row r="213" spans="1:63" ht="27" customHeight="1">
      <c r="A213" s="11">
        <f t="shared" si="44"/>
        <v>211</v>
      </c>
      <c r="B213" s="12" t="s">
        <v>1677</v>
      </c>
      <c r="C213" s="8">
        <v>1728</v>
      </c>
      <c r="D213" s="60" t="s">
        <v>1678</v>
      </c>
      <c r="E213" s="69">
        <v>130006869</v>
      </c>
      <c r="F213" s="62" t="s">
        <v>1679</v>
      </c>
      <c r="G213" s="63" t="s">
        <v>1680</v>
      </c>
      <c r="H213" s="13" t="s">
        <v>1681</v>
      </c>
      <c r="I213" s="14" t="s">
        <v>1682</v>
      </c>
      <c r="J213" s="64" t="s">
        <v>173</v>
      </c>
      <c r="K213" s="22">
        <v>27436</v>
      </c>
      <c r="L213" s="66" t="s">
        <v>174</v>
      </c>
      <c r="M213" s="23">
        <v>42677</v>
      </c>
      <c r="N213" s="23"/>
      <c r="O213" s="15" t="s">
        <v>24</v>
      </c>
      <c r="P213" s="16" t="s">
        <v>25</v>
      </c>
      <c r="Q213" s="16" t="s">
        <v>176</v>
      </c>
      <c r="R213" s="15" t="s">
        <v>177</v>
      </c>
      <c r="S213" s="17" t="s">
        <v>251</v>
      </c>
      <c r="T213" s="159"/>
      <c r="U213" s="159"/>
      <c r="V213" s="19" t="s">
        <v>195</v>
      </c>
      <c r="W213" s="19" t="s">
        <v>195</v>
      </c>
      <c r="X213" s="1">
        <v>6</v>
      </c>
      <c r="Y213" s="160" t="s">
        <v>1683</v>
      </c>
      <c r="Z213" s="70"/>
      <c r="AA213" s="70" t="s">
        <v>181</v>
      </c>
      <c r="AB213" s="1"/>
      <c r="AC213" s="161" t="s">
        <v>1684</v>
      </c>
      <c r="AD213" s="108" t="s">
        <v>1684</v>
      </c>
      <c r="AE213" s="99" t="s">
        <v>183</v>
      </c>
      <c r="AF213" s="99" t="s">
        <v>183</v>
      </c>
      <c r="AG213" s="106"/>
      <c r="AH213" s="162"/>
      <c r="AI213" s="162"/>
      <c r="AJ213" s="19" t="s">
        <v>198</v>
      </c>
      <c r="AK213" s="19" t="s">
        <v>185</v>
      </c>
      <c r="AL213" s="19" t="s">
        <v>185</v>
      </c>
      <c r="AM213" s="107" t="s">
        <v>1534</v>
      </c>
      <c r="AN213" s="20">
        <v>182</v>
      </c>
      <c r="AO213" s="20">
        <v>4</v>
      </c>
      <c r="AP213" s="20">
        <v>0</v>
      </c>
      <c r="AQ213" s="20">
        <v>0</v>
      </c>
      <c r="AR213" s="20">
        <v>0</v>
      </c>
      <c r="AS213" s="20">
        <v>7</v>
      </c>
      <c r="AT213" s="20">
        <v>10</v>
      </c>
      <c r="AU213" s="300">
        <f t="shared" si="34"/>
        <v>203</v>
      </c>
      <c r="AV213" s="20">
        <v>190</v>
      </c>
      <c r="AW213" s="20">
        <v>4</v>
      </c>
      <c r="AX213" s="20">
        <v>0</v>
      </c>
      <c r="AY213" s="20">
        <v>0</v>
      </c>
      <c r="AZ213" s="20">
        <v>0</v>
      </c>
      <c r="BA213" s="20">
        <v>7</v>
      </c>
      <c r="BB213" s="20">
        <v>10</v>
      </c>
      <c r="BC213" s="300">
        <f t="shared" si="35"/>
        <v>211</v>
      </c>
      <c r="BD213" s="42">
        <f t="shared" si="36"/>
        <v>8</v>
      </c>
      <c r="BE213" s="42">
        <f t="shared" si="37"/>
        <v>0</v>
      </c>
      <c r="BF213" s="42">
        <f t="shared" si="38"/>
        <v>0</v>
      </c>
      <c r="BG213" s="42">
        <f t="shared" si="39"/>
        <v>0</v>
      </c>
      <c r="BH213" s="42">
        <f t="shared" si="40"/>
        <v>0</v>
      </c>
      <c r="BI213" s="42">
        <f t="shared" si="41"/>
        <v>0</v>
      </c>
      <c r="BJ213" s="42">
        <f t="shared" si="42"/>
        <v>0</v>
      </c>
      <c r="BK213" s="42">
        <f t="shared" si="43"/>
        <v>8</v>
      </c>
    </row>
    <row r="214" spans="1:63" ht="27" customHeight="1">
      <c r="A214" s="11">
        <f t="shared" si="44"/>
        <v>212</v>
      </c>
      <c r="B214" s="12" t="s">
        <v>1685</v>
      </c>
      <c r="C214" s="8">
        <v>1779</v>
      </c>
      <c r="D214" s="103" t="s">
        <v>1686</v>
      </c>
      <c r="E214" s="69">
        <v>100295824</v>
      </c>
      <c r="F214" s="62" t="s">
        <v>1157</v>
      </c>
      <c r="G214" s="63" t="s">
        <v>1687</v>
      </c>
      <c r="H214" s="13" t="s">
        <v>1688</v>
      </c>
      <c r="I214" s="14" t="s">
        <v>98</v>
      </c>
      <c r="J214" s="64" t="s">
        <v>173</v>
      </c>
      <c r="K214" s="22">
        <v>30650</v>
      </c>
      <c r="L214" s="66" t="s">
        <v>174</v>
      </c>
      <c r="M214" s="23">
        <v>42712</v>
      </c>
      <c r="N214" s="23"/>
      <c r="O214" s="15" t="s">
        <v>32</v>
      </c>
      <c r="P214" s="16" t="s">
        <v>334</v>
      </c>
      <c r="Q214" s="16" t="s">
        <v>176</v>
      </c>
      <c r="R214" s="15" t="s">
        <v>177</v>
      </c>
      <c r="S214" s="17" t="s">
        <v>206</v>
      </c>
      <c r="T214" s="159"/>
      <c r="U214" s="159"/>
      <c r="V214" s="19" t="s">
        <v>195</v>
      </c>
      <c r="W214" s="19" t="s">
        <v>195</v>
      </c>
      <c r="X214" s="1">
        <v>7</v>
      </c>
      <c r="Y214" s="160" t="s">
        <v>1689</v>
      </c>
      <c r="Z214" s="70"/>
      <c r="AA214" s="70" t="s">
        <v>181</v>
      </c>
      <c r="AB214" s="1"/>
      <c r="AC214" s="161"/>
      <c r="AD214" s="99"/>
      <c r="AE214" s="99"/>
      <c r="AF214" s="108"/>
      <c r="AG214" s="106"/>
      <c r="AH214" s="162"/>
      <c r="AI214" s="162"/>
      <c r="AJ214" s="19" t="s">
        <v>198</v>
      </c>
      <c r="AK214" s="19" t="s">
        <v>185</v>
      </c>
      <c r="AL214" s="19" t="s">
        <v>185</v>
      </c>
      <c r="AM214" s="107" t="s">
        <v>1509</v>
      </c>
      <c r="AN214" s="20">
        <v>182</v>
      </c>
      <c r="AO214" s="20">
        <v>4</v>
      </c>
      <c r="AP214" s="20">
        <v>0</v>
      </c>
      <c r="AQ214" s="20">
        <v>0</v>
      </c>
      <c r="AR214" s="20">
        <v>0</v>
      </c>
      <c r="AS214" s="20">
        <v>7</v>
      </c>
      <c r="AT214" s="20">
        <v>10</v>
      </c>
      <c r="AU214" s="300">
        <f t="shared" si="34"/>
        <v>203</v>
      </c>
      <c r="AV214" s="20">
        <v>190</v>
      </c>
      <c r="AW214" s="20">
        <v>4</v>
      </c>
      <c r="AX214" s="20">
        <v>0</v>
      </c>
      <c r="AY214" s="20">
        <v>0</v>
      </c>
      <c r="AZ214" s="20">
        <v>0</v>
      </c>
      <c r="BA214" s="20">
        <v>7</v>
      </c>
      <c r="BB214" s="20">
        <v>10</v>
      </c>
      <c r="BC214" s="300">
        <f t="shared" si="35"/>
        <v>211</v>
      </c>
      <c r="BD214" s="42">
        <f t="shared" si="36"/>
        <v>8</v>
      </c>
      <c r="BE214" s="42">
        <f t="shared" si="37"/>
        <v>0</v>
      </c>
      <c r="BF214" s="42">
        <f t="shared" si="38"/>
        <v>0</v>
      </c>
      <c r="BG214" s="42">
        <f t="shared" si="39"/>
        <v>0</v>
      </c>
      <c r="BH214" s="42">
        <f t="shared" si="40"/>
        <v>0</v>
      </c>
      <c r="BI214" s="42">
        <f t="shared" si="41"/>
        <v>0</v>
      </c>
      <c r="BJ214" s="42">
        <f t="shared" si="42"/>
        <v>0</v>
      </c>
      <c r="BK214" s="42">
        <f t="shared" si="43"/>
        <v>8</v>
      </c>
    </row>
    <row r="215" spans="1:63" ht="27" customHeight="1">
      <c r="A215" s="11">
        <f t="shared" si="44"/>
        <v>213</v>
      </c>
      <c r="B215" s="12" t="s">
        <v>1690</v>
      </c>
      <c r="C215" s="8">
        <v>1793</v>
      </c>
      <c r="D215" s="60" t="s">
        <v>1691</v>
      </c>
      <c r="E215" s="69">
        <v>11061452</v>
      </c>
      <c r="F215" s="62" t="s">
        <v>1692</v>
      </c>
      <c r="G215" s="63" t="s">
        <v>1693</v>
      </c>
      <c r="H215" s="13" t="s">
        <v>1694</v>
      </c>
      <c r="I215" s="14" t="s">
        <v>1294</v>
      </c>
      <c r="J215" s="64" t="s">
        <v>173</v>
      </c>
      <c r="K215" s="22">
        <v>32725</v>
      </c>
      <c r="L215" s="66" t="s">
        <v>174</v>
      </c>
      <c r="M215" s="23">
        <v>42744</v>
      </c>
      <c r="N215" s="23"/>
      <c r="O215" s="15" t="s">
        <v>24</v>
      </c>
      <c r="P215" s="16" t="s">
        <v>25</v>
      </c>
      <c r="Q215" s="16" t="s">
        <v>176</v>
      </c>
      <c r="R215" s="15" t="s">
        <v>177</v>
      </c>
      <c r="S215" s="11" t="s">
        <v>223</v>
      </c>
      <c r="T215" s="159"/>
      <c r="U215" s="159"/>
      <c r="V215" s="19" t="s">
        <v>195</v>
      </c>
      <c r="W215" s="19" t="s">
        <v>195</v>
      </c>
      <c r="X215" s="1">
        <v>7</v>
      </c>
      <c r="Y215" s="160" t="s">
        <v>1695</v>
      </c>
      <c r="Z215" s="70"/>
      <c r="AA215" s="70" t="s">
        <v>181</v>
      </c>
      <c r="AB215" s="1"/>
      <c r="AC215" s="161" t="s">
        <v>133</v>
      </c>
      <c r="AD215" s="99" t="s">
        <v>1696</v>
      </c>
      <c r="AE215" s="99"/>
      <c r="AF215" s="108"/>
      <c r="AG215" s="106"/>
      <c r="AH215" s="162"/>
      <c r="AI215" s="162"/>
      <c r="AJ215" s="19" t="s">
        <v>198</v>
      </c>
      <c r="AK215" s="19" t="s">
        <v>185</v>
      </c>
      <c r="AL215" s="19" t="s">
        <v>185</v>
      </c>
      <c r="AM215" s="107" t="s">
        <v>1534</v>
      </c>
      <c r="AN215" s="20">
        <v>182</v>
      </c>
      <c r="AO215" s="20">
        <v>3</v>
      </c>
      <c r="AP215" s="20">
        <v>0</v>
      </c>
      <c r="AQ215" s="20">
        <v>20</v>
      </c>
      <c r="AR215" s="20">
        <v>0</v>
      </c>
      <c r="AS215" s="20">
        <v>7</v>
      </c>
      <c r="AT215" s="20">
        <v>10</v>
      </c>
      <c r="AU215" s="300">
        <f t="shared" si="34"/>
        <v>222</v>
      </c>
      <c r="AV215" s="20">
        <v>190</v>
      </c>
      <c r="AW215" s="20">
        <v>3</v>
      </c>
      <c r="AX215" s="20">
        <v>0</v>
      </c>
      <c r="AY215" s="20">
        <v>20</v>
      </c>
      <c r="AZ215" s="20">
        <v>0</v>
      </c>
      <c r="BA215" s="20">
        <v>7</v>
      </c>
      <c r="BB215" s="20">
        <v>10</v>
      </c>
      <c r="BC215" s="300">
        <f t="shared" si="35"/>
        <v>230</v>
      </c>
      <c r="BD215" s="42">
        <f t="shared" si="36"/>
        <v>8</v>
      </c>
      <c r="BE215" s="42">
        <f t="shared" si="37"/>
        <v>0</v>
      </c>
      <c r="BF215" s="42">
        <f t="shared" si="38"/>
        <v>0</v>
      </c>
      <c r="BG215" s="42">
        <f t="shared" si="39"/>
        <v>0</v>
      </c>
      <c r="BH215" s="42">
        <f t="shared" si="40"/>
        <v>0</v>
      </c>
      <c r="BI215" s="42">
        <f t="shared" si="41"/>
        <v>0</v>
      </c>
      <c r="BJ215" s="42">
        <f t="shared" si="42"/>
        <v>0</v>
      </c>
      <c r="BK215" s="42">
        <f t="shared" si="43"/>
        <v>8</v>
      </c>
    </row>
    <row r="216" spans="1:63" ht="27" customHeight="1">
      <c r="A216" s="11">
        <f t="shared" si="44"/>
        <v>214</v>
      </c>
      <c r="B216" s="12" t="s">
        <v>1697</v>
      </c>
      <c r="C216" s="8">
        <v>1795</v>
      </c>
      <c r="D216" s="74" t="s">
        <v>1698</v>
      </c>
      <c r="E216" s="69">
        <v>61725230</v>
      </c>
      <c r="F216" s="62" t="s">
        <v>1307</v>
      </c>
      <c r="G216" s="63" t="s">
        <v>1699</v>
      </c>
      <c r="H216" s="13" t="s">
        <v>1700</v>
      </c>
      <c r="I216" s="14" t="s">
        <v>1701</v>
      </c>
      <c r="J216" s="64" t="s">
        <v>204</v>
      </c>
      <c r="K216" s="22">
        <v>29426</v>
      </c>
      <c r="L216" s="66" t="s">
        <v>174</v>
      </c>
      <c r="M216" s="23">
        <v>42745</v>
      </c>
      <c r="N216" s="23"/>
      <c r="O216" s="15" t="s">
        <v>32</v>
      </c>
      <c r="P216" s="16" t="s">
        <v>1556</v>
      </c>
      <c r="Q216" s="16" t="s">
        <v>176</v>
      </c>
      <c r="R216" s="15" t="s">
        <v>177</v>
      </c>
      <c r="S216" s="17" t="s">
        <v>178</v>
      </c>
      <c r="T216" s="159"/>
      <c r="U216" s="159"/>
      <c r="V216" s="19" t="s">
        <v>195</v>
      </c>
      <c r="W216" s="19" t="s">
        <v>195</v>
      </c>
      <c r="X216" s="1">
        <v>12</v>
      </c>
      <c r="Y216" s="160" t="s">
        <v>1702</v>
      </c>
      <c r="Z216" s="70"/>
      <c r="AA216" s="70" t="s">
        <v>181</v>
      </c>
      <c r="AB216" s="1"/>
      <c r="AC216" s="161" t="s">
        <v>133</v>
      </c>
      <c r="AD216" s="99"/>
      <c r="AE216" s="99"/>
      <c r="AF216" s="108"/>
      <c r="AG216" s="106"/>
      <c r="AH216" s="162"/>
      <c r="AI216" s="162"/>
      <c r="AJ216" s="19" t="s">
        <v>198</v>
      </c>
      <c r="AK216" s="19" t="s">
        <v>185</v>
      </c>
      <c r="AL216" s="19" t="s">
        <v>185</v>
      </c>
      <c r="AM216" s="107" t="s">
        <v>1534</v>
      </c>
      <c r="AN216" s="20">
        <v>182</v>
      </c>
      <c r="AO216" s="20">
        <v>3</v>
      </c>
      <c r="AP216" s="20">
        <v>0</v>
      </c>
      <c r="AQ216" s="20">
        <v>0</v>
      </c>
      <c r="AR216" s="20">
        <v>0</v>
      </c>
      <c r="AS216" s="20">
        <v>7</v>
      </c>
      <c r="AT216" s="20">
        <v>10</v>
      </c>
      <c r="AU216" s="300">
        <f t="shared" si="34"/>
        <v>202</v>
      </c>
      <c r="AV216" s="20">
        <v>190</v>
      </c>
      <c r="AW216" s="20">
        <v>3</v>
      </c>
      <c r="AX216" s="20">
        <v>0</v>
      </c>
      <c r="AY216" s="20">
        <v>0</v>
      </c>
      <c r="AZ216" s="20">
        <v>0</v>
      </c>
      <c r="BA216" s="20">
        <v>7</v>
      </c>
      <c r="BB216" s="20">
        <v>10</v>
      </c>
      <c r="BC216" s="300">
        <f t="shared" si="35"/>
        <v>210</v>
      </c>
      <c r="BD216" s="42">
        <f t="shared" si="36"/>
        <v>8</v>
      </c>
      <c r="BE216" s="42">
        <f t="shared" si="37"/>
        <v>0</v>
      </c>
      <c r="BF216" s="42">
        <f t="shared" si="38"/>
        <v>0</v>
      </c>
      <c r="BG216" s="42">
        <f t="shared" si="39"/>
        <v>0</v>
      </c>
      <c r="BH216" s="42">
        <f t="shared" si="40"/>
        <v>0</v>
      </c>
      <c r="BI216" s="42">
        <f t="shared" si="41"/>
        <v>0</v>
      </c>
      <c r="BJ216" s="42">
        <f t="shared" si="42"/>
        <v>0</v>
      </c>
      <c r="BK216" s="42">
        <f t="shared" si="43"/>
        <v>8</v>
      </c>
    </row>
    <row r="217" spans="1:63" ht="27" customHeight="1">
      <c r="A217" s="11">
        <f t="shared" si="44"/>
        <v>215</v>
      </c>
      <c r="B217" s="12" t="s">
        <v>1703</v>
      </c>
      <c r="C217" s="8">
        <v>1800</v>
      </c>
      <c r="D217" s="103" t="s">
        <v>1704</v>
      </c>
      <c r="E217" s="69">
        <v>130193681</v>
      </c>
      <c r="F217" s="62" t="s">
        <v>958</v>
      </c>
      <c r="G217" s="63" t="s">
        <v>1705</v>
      </c>
      <c r="H217" s="13" t="s">
        <v>959</v>
      </c>
      <c r="I217" s="14" t="s">
        <v>1706</v>
      </c>
      <c r="J217" s="64" t="s">
        <v>173</v>
      </c>
      <c r="K217" s="22">
        <v>35374</v>
      </c>
      <c r="L217" s="66" t="s">
        <v>174</v>
      </c>
      <c r="M217" s="23">
        <v>42748</v>
      </c>
      <c r="N217" s="23"/>
      <c r="O217" s="15" t="s">
        <v>32</v>
      </c>
      <c r="P217" s="16" t="s">
        <v>599</v>
      </c>
      <c r="Q217" s="16" t="s">
        <v>176</v>
      </c>
      <c r="R217" s="15" t="s">
        <v>177</v>
      </c>
      <c r="S217" s="17" t="s">
        <v>251</v>
      </c>
      <c r="T217" s="159"/>
      <c r="U217" s="159"/>
      <c r="V217" s="19" t="s">
        <v>195</v>
      </c>
      <c r="W217" s="19" t="s">
        <v>195</v>
      </c>
      <c r="X217" s="1" t="s">
        <v>1707</v>
      </c>
      <c r="Y217" s="160" t="s">
        <v>1708</v>
      </c>
      <c r="Z217" s="70" t="s">
        <v>181</v>
      </c>
      <c r="AA217" s="70"/>
      <c r="AB217" s="1"/>
      <c r="AC217" s="161"/>
      <c r="AD217" s="99"/>
      <c r="AE217" s="99"/>
      <c r="AF217" s="108"/>
      <c r="AG217" s="106"/>
      <c r="AH217" s="162"/>
      <c r="AI217" s="162"/>
      <c r="AJ217" s="19" t="s">
        <v>198</v>
      </c>
      <c r="AK217" s="19" t="s">
        <v>185</v>
      </c>
      <c r="AL217" s="19" t="s">
        <v>185</v>
      </c>
      <c r="AM217" s="107" t="s">
        <v>1534</v>
      </c>
      <c r="AN217" s="20">
        <v>182</v>
      </c>
      <c r="AO217" s="20">
        <v>3</v>
      </c>
      <c r="AP217" s="20">
        <v>0</v>
      </c>
      <c r="AQ217" s="20">
        <v>20</v>
      </c>
      <c r="AR217" s="20">
        <v>0</v>
      </c>
      <c r="AS217" s="20">
        <v>7</v>
      </c>
      <c r="AT217" s="20">
        <v>10</v>
      </c>
      <c r="AU217" s="300">
        <f t="shared" si="34"/>
        <v>222</v>
      </c>
      <c r="AV217" s="20">
        <v>190</v>
      </c>
      <c r="AW217" s="20">
        <v>3</v>
      </c>
      <c r="AX217" s="20">
        <v>0</v>
      </c>
      <c r="AY217" s="20">
        <v>20</v>
      </c>
      <c r="AZ217" s="20">
        <v>0</v>
      </c>
      <c r="BA217" s="20">
        <v>7</v>
      </c>
      <c r="BB217" s="20">
        <v>10</v>
      </c>
      <c r="BC217" s="300">
        <f t="shared" si="35"/>
        <v>230</v>
      </c>
      <c r="BD217" s="42">
        <f t="shared" si="36"/>
        <v>8</v>
      </c>
      <c r="BE217" s="42">
        <f t="shared" si="37"/>
        <v>0</v>
      </c>
      <c r="BF217" s="42">
        <f t="shared" si="38"/>
        <v>0</v>
      </c>
      <c r="BG217" s="42">
        <f t="shared" si="39"/>
        <v>0</v>
      </c>
      <c r="BH217" s="42">
        <f t="shared" si="40"/>
        <v>0</v>
      </c>
      <c r="BI217" s="42">
        <f t="shared" si="41"/>
        <v>0</v>
      </c>
      <c r="BJ217" s="42">
        <f t="shared" si="42"/>
        <v>0</v>
      </c>
      <c r="BK217" s="42">
        <f t="shared" si="43"/>
        <v>8</v>
      </c>
    </row>
    <row r="218" spans="1:63" ht="27" customHeight="1">
      <c r="A218" s="11">
        <f t="shared" si="44"/>
        <v>216</v>
      </c>
      <c r="B218" s="12" t="s">
        <v>1709</v>
      </c>
      <c r="C218" s="8">
        <v>1811</v>
      </c>
      <c r="D218" s="103" t="s">
        <v>1710</v>
      </c>
      <c r="E218" s="69">
        <v>61396067</v>
      </c>
      <c r="F218" s="62" t="s">
        <v>1711</v>
      </c>
      <c r="G218" s="63" t="s">
        <v>1712</v>
      </c>
      <c r="H218" s="13" t="s">
        <v>1713</v>
      </c>
      <c r="I218" s="14" t="s">
        <v>1714</v>
      </c>
      <c r="J218" s="64" t="s">
        <v>173</v>
      </c>
      <c r="K218" s="22">
        <v>35683</v>
      </c>
      <c r="L218" s="66" t="s">
        <v>174</v>
      </c>
      <c r="M218" s="23">
        <v>42753</v>
      </c>
      <c r="N218" s="23"/>
      <c r="O218" s="15" t="s">
        <v>32</v>
      </c>
      <c r="P218" s="16" t="s">
        <v>260</v>
      </c>
      <c r="Q218" s="16" t="s">
        <v>176</v>
      </c>
      <c r="R218" s="15" t="s">
        <v>177</v>
      </c>
      <c r="S218" s="17" t="s">
        <v>178</v>
      </c>
      <c r="T218" s="159"/>
      <c r="U218" s="159"/>
      <c r="V218" s="19" t="s">
        <v>195</v>
      </c>
      <c r="W218" s="19" t="s">
        <v>195</v>
      </c>
      <c r="X218" s="1">
        <v>12</v>
      </c>
      <c r="Y218" s="160" t="s">
        <v>1715</v>
      </c>
      <c r="Z218" s="70"/>
      <c r="AA218" s="70" t="s">
        <v>181</v>
      </c>
      <c r="AB218" s="1"/>
      <c r="AC218" s="161" t="s">
        <v>366</v>
      </c>
      <c r="AD218" s="99" t="s">
        <v>183</v>
      </c>
      <c r="AE218" s="99"/>
      <c r="AF218" s="108"/>
      <c r="AG218" s="106"/>
      <c r="AH218" s="162"/>
      <c r="AI218" s="162"/>
      <c r="AJ218" s="19" t="s">
        <v>198</v>
      </c>
      <c r="AK218" s="19" t="s">
        <v>185</v>
      </c>
      <c r="AL218" s="19" t="s">
        <v>185</v>
      </c>
      <c r="AM218" s="107" t="s">
        <v>1502</v>
      </c>
      <c r="AN218" s="20">
        <v>182</v>
      </c>
      <c r="AO218" s="20">
        <v>3</v>
      </c>
      <c r="AP218" s="20">
        <v>0</v>
      </c>
      <c r="AQ218" s="20">
        <v>0</v>
      </c>
      <c r="AR218" s="20">
        <v>0</v>
      </c>
      <c r="AS218" s="20">
        <v>7</v>
      </c>
      <c r="AT218" s="20">
        <v>10</v>
      </c>
      <c r="AU218" s="300">
        <f t="shared" si="34"/>
        <v>202</v>
      </c>
      <c r="AV218" s="20">
        <v>190</v>
      </c>
      <c r="AW218" s="20">
        <v>3</v>
      </c>
      <c r="AX218" s="20">
        <v>0</v>
      </c>
      <c r="AY218" s="20">
        <v>0</v>
      </c>
      <c r="AZ218" s="20">
        <v>0</v>
      </c>
      <c r="BA218" s="20">
        <v>7</v>
      </c>
      <c r="BB218" s="20">
        <v>10</v>
      </c>
      <c r="BC218" s="300">
        <f t="shared" si="35"/>
        <v>210</v>
      </c>
      <c r="BD218" s="42">
        <f t="shared" si="36"/>
        <v>8</v>
      </c>
      <c r="BE218" s="42">
        <f t="shared" si="37"/>
        <v>0</v>
      </c>
      <c r="BF218" s="42">
        <f t="shared" si="38"/>
        <v>0</v>
      </c>
      <c r="BG218" s="42">
        <f t="shared" si="39"/>
        <v>0</v>
      </c>
      <c r="BH218" s="42">
        <f t="shared" si="40"/>
        <v>0</v>
      </c>
      <c r="BI218" s="42">
        <f t="shared" si="41"/>
        <v>0</v>
      </c>
      <c r="BJ218" s="42">
        <f t="shared" si="42"/>
        <v>0</v>
      </c>
      <c r="BK218" s="42">
        <f t="shared" si="43"/>
        <v>8</v>
      </c>
    </row>
    <row r="219" spans="1:63" ht="27" customHeight="1">
      <c r="A219" s="11">
        <f t="shared" si="44"/>
        <v>217</v>
      </c>
      <c r="B219" s="12" t="s">
        <v>1716</v>
      </c>
      <c r="C219" s="8">
        <v>1819</v>
      </c>
      <c r="D219" s="103" t="s">
        <v>1717</v>
      </c>
      <c r="E219" s="69">
        <v>200188775</v>
      </c>
      <c r="F219" s="62" t="s">
        <v>1718</v>
      </c>
      <c r="G219" s="63" t="s">
        <v>1719</v>
      </c>
      <c r="H219" s="13" t="s">
        <v>1720</v>
      </c>
      <c r="I219" s="14" t="s">
        <v>1721</v>
      </c>
      <c r="J219" s="64" t="s">
        <v>173</v>
      </c>
      <c r="K219" s="22">
        <v>31536</v>
      </c>
      <c r="L219" s="66" t="s">
        <v>174</v>
      </c>
      <c r="M219" s="23">
        <v>42758</v>
      </c>
      <c r="N219" s="23"/>
      <c r="O219" s="15" t="s">
        <v>32</v>
      </c>
      <c r="P219" s="16" t="s">
        <v>599</v>
      </c>
      <c r="Q219" s="16" t="s">
        <v>176</v>
      </c>
      <c r="R219" s="15" t="s">
        <v>177</v>
      </c>
      <c r="S219" s="17" t="s">
        <v>178</v>
      </c>
      <c r="T219" s="159"/>
      <c r="U219" s="159"/>
      <c r="V219" s="19" t="s">
        <v>179</v>
      </c>
      <c r="W219" s="19" t="s">
        <v>179</v>
      </c>
      <c r="X219" s="1">
        <v>7</v>
      </c>
      <c r="Y219" s="160" t="s">
        <v>1722</v>
      </c>
      <c r="Z219" s="70"/>
      <c r="AA219" s="70" t="s">
        <v>181</v>
      </c>
      <c r="AB219" s="1"/>
      <c r="AC219" s="161" t="s">
        <v>382</v>
      </c>
      <c r="AD219" s="99"/>
      <c r="AE219" s="99"/>
      <c r="AF219" s="108"/>
      <c r="AG219" s="106"/>
      <c r="AH219" s="162"/>
      <c r="AI219" s="162"/>
      <c r="AJ219" s="19" t="s">
        <v>198</v>
      </c>
      <c r="AK219" s="19" t="s">
        <v>185</v>
      </c>
      <c r="AL219" s="19" t="s">
        <v>185</v>
      </c>
      <c r="AM219" s="107" t="s">
        <v>1509</v>
      </c>
      <c r="AN219" s="20">
        <v>182</v>
      </c>
      <c r="AO219" s="20">
        <v>3</v>
      </c>
      <c r="AP219" s="20">
        <v>0</v>
      </c>
      <c r="AQ219" s="20">
        <v>0</v>
      </c>
      <c r="AR219" s="20">
        <v>0</v>
      </c>
      <c r="AS219" s="20">
        <v>7</v>
      </c>
      <c r="AT219" s="20">
        <v>10</v>
      </c>
      <c r="AU219" s="300">
        <f t="shared" si="34"/>
        <v>202</v>
      </c>
      <c r="AV219" s="20">
        <v>190</v>
      </c>
      <c r="AW219" s="20">
        <v>3</v>
      </c>
      <c r="AX219" s="20">
        <v>0</v>
      </c>
      <c r="AY219" s="20">
        <v>0</v>
      </c>
      <c r="AZ219" s="20">
        <v>0</v>
      </c>
      <c r="BA219" s="20">
        <v>7</v>
      </c>
      <c r="BB219" s="20">
        <v>10</v>
      </c>
      <c r="BC219" s="300">
        <f t="shared" si="35"/>
        <v>210</v>
      </c>
      <c r="BD219" s="42">
        <f t="shared" si="36"/>
        <v>8</v>
      </c>
      <c r="BE219" s="42">
        <f t="shared" si="37"/>
        <v>0</v>
      </c>
      <c r="BF219" s="42">
        <f t="shared" si="38"/>
        <v>0</v>
      </c>
      <c r="BG219" s="42">
        <f t="shared" si="39"/>
        <v>0</v>
      </c>
      <c r="BH219" s="42">
        <f t="shared" si="40"/>
        <v>0</v>
      </c>
      <c r="BI219" s="42">
        <f t="shared" si="41"/>
        <v>0</v>
      </c>
      <c r="BJ219" s="42">
        <f t="shared" si="42"/>
        <v>0</v>
      </c>
      <c r="BK219" s="42">
        <f t="shared" si="43"/>
        <v>8</v>
      </c>
    </row>
    <row r="220" spans="1:63" ht="27" customHeight="1">
      <c r="A220" s="11">
        <f t="shared" si="44"/>
        <v>218</v>
      </c>
      <c r="B220" s="12" t="s">
        <v>1723</v>
      </c>
      <c r="C220" s="8">
        <v>1831</v>
      </c>
      <c r="D220" s="60" t="s">
        <v>1724</v>
      </c>
      <c r="E220" s="69">
        <v>130098218</v>
      </c>
      <c r="F220" s="62" t="s">
        <v>190</v>
      </c>
      <c r="G220" s="63" t="s">
        <v>1725</v>
      </c>
      <c r="H220" s="13" t="s">
        <v>694</v>
      </c>
      <c r="I220" s="14" t="s">
        <v>1726</v>
      </c>
      <c r="J220" s="64" t="s">
        <v>173</v>
      </c>
      <c r="K220" s="22">
        <v>29637</v>
      </c>
      <c r="L220" s="66" t="s">
        <v>174</v>
      </c>
      <c r="M220" s="23">
        <v>42768</v>
      </c>
      <c r="N220" s="23"/>
      <c r="O220" s="15" t="s">
        <v>24</v>
      </c>
      <c r="P220" s="16" t="s">
        <v>25</v>
      </c>
      <c r="Q220" s="16" t="s">
        <v>176</v>
      </c>
      <c r="R220" s="15" t="s">
        <v>177</v>
      </c>
      <c r="S220" s="17" t="s">
        <v>251</v>
      </c>
      <c r="T220" s="159"/>
      <c r="U220" s="159"/>
      <c r="V220" s="19" t="s">
        <v>195</v>
      </c>
      <c r="W220" s="19">
        <v>6047</v>
      </c>
      <c r="X220" s="1">
        <v>6</v>
      </c>
      <c r="Y220" s="160" t="s">
        <v>1727</v>
      </c>
      <c r="Z220" s="70"/>
      <c r="AA220" s="70" t="s">
        <v>181</v>
      </c>
      <c r="AB220" s="1"/>
      <c r="AC220" s="161" t="s">
        <v>382</v>
      </c>
      <c r="AD220" s="99"/>
      <c r="AE220" s="99"/>
      <c r="AF220" s="108"/>
      <c r="AG220" s="106"/>
      <c r="AH220" s="162"/>
      <c r="AI220" s="162"/>
      <c r="AJ220" s="19" t="s">
        <v>198</v>
      </c>
      <c r="AK220" s="19" t="s">
        <v>185</v>
      </c>
      <c r="AL220" s="19" t="s">
        <v>185</v>
      </c>
      <c r="AM220" s="107" t="s">
        <v>1534</v>
      </c>
      <c r="AN220" s="20">
        <v>182</v>
      </c>
      <c r="AO220" s="20">
        <v>3</v>
      </c>
      <c r="AP220" s="20">
        <v>0</v>
      </c>
      <c r="AQ220" s="20">
        <v>0</v>
      </c>
      <c r="AR220" s="20">
        <v>0</v>
      </c>
      <c r="AS220" s="20">
        <v>7</v>
      </c>
      <c r="AT220" s="20">
        <v>10</v>
      </c>
      <c r="AU220" s="300">
        <f t="shared" si="34"/>
        <v>202</v>
      </c>
      <c r="AV220" s="20">
        <v>190</v>
      </c>
      <c r="AW220" s="20">
        <v>3</v>
      </c>
      <c r="AX220" s="20">
        <v>0</v>
      </c>
      <c r="AY220" s="20">
        <v>0</v>
      </c>
      <c r="AZ220" s="20">
        <v>0</v>
      </c>
      <c r="BA220" s="20">
        <v>7</v>
      </c>
      <c r="BB220" s="20">
        <v>10</v>
      </c>
      <c r="BC220" s="300">
        <f t="shared" si="35"/>
        <v>210</v>
      </c>
      <c r="BD220" s="42">
        <f t="shared" si="36"/>
        <v>8</v>
      </c>
      <c r="BE220" s="42">
        <f t="shared" si="37"/>
        <v>0</v>
      </c>
      <c r="BF220" s="42">
        <f t="shared" si="38"/>
        <v>0</v>
      </c>
      <c r="BG220" s="42">
        <f t="shared" si="39"/>
        <v>0</v>
      </c>
      <c r="BH220" s="42">
        <f t="shared" si="40"/>
        <v>0</v>
      </c>
      <c r="BI220" s="42">
        <f t="shared" si="41"/>
        <v>0</v>
      </c>
      <c r="BJ220" s="42">
        <f t="shared" si="42"/>
        <v>0</v>
      </c>
      <c r="BK220" s="42">
        <f t="shared" si="43"/>
        <v>8</v>
      </c>
    </row>
    <row r="221" spans="1:63" ht="27" customHeight="1">
      <c r="A221" s="11">
        <f t="shared" si="44"/>
        <v>219</v>
      </c>
      <c r="B221" s="12" t="s">
        <v>1728</v>
      </c>
      <c r="C221" s="8">
        <v>1827</v>
      </c>
      <c r="D221" s="74" t="s">
        <v>1729</v>
      </c>
      <c r="E221" s="69">
        <v>130179144</v>
      </c>
      <c r="F221" s="62" t="s">
        <v>1730</v>
      </c>
      <c r="G221" s="63" t="s">
        <v>1731</v>
      </c>
      <c r="H221" s="13" t="s">
        <v>1732</v>
      </c>
      <c r="I221" s="14" t="s">
        <v>1733</v>
      </c>
      <c r="J221" s="64" t="s">
        <v>173</v>
      </c>
      <c r="K221" s="22">
        <v>31452</v>
      </c>
      <c r="L221" s="66" t="s">
        <v>174</v>
      </c>
      <c r="M221" s="23">
        <v>42768</v>
      </c>
      <c r="N221" s="23"/>
      <c r="O221" s="15" t="s">
        <v>32</v>
      </c>
      <c r="P221" s="16" t="s">
        <v>397</v>
      </c>
      <c r="Q221" s="16" t="s">
        <v>176</v>
      </c>
      <c r="R221" s="15" t="s">
        <v>177</v>
      </c>
      <c r="S221" s="17" t="s">
        <v>178</v>
      </c>
      <c r="T221" s="159"/>
      <c r="U221" s="159"/>
      <c r="V221" s="19" t="s">
        <v>195</v>
      </c>
      <c r="W221" s="19">
        <v>68</v>
      </c>
      <c r="X221" s="1">
        <v>9</v>
      </c>
      <c r="Y221" s="160" t="s">
        <v>1734</v>
      </c>
      <c r="Z221" s="70"/>
      <c r="AA221" s="70"/>
      <c r="AB221" s="70" t="s">
        <v>181</v>
      </c>
      <c r="AC221" s="161"/>
      <c r="AD221" s="99"/>
      <c r="AE221" s="99"/>
      <c r="AF221" s="108"/>
      <c r="AG221" s="106"/>
      <c r="AH221" s="162"/>
      <c r="AI221" s="162"/>
      <c r="AJ221" s="19" t="s">
        <v>198</v>
      </c>
      <c r="AK221" s="19" t="s">
        <v>185</v>
      </c>
      <c r="AL221" s="19" t="s">
        <v>185</v>
      </c>
      <c r="AM221" s="107" t="s">
        <v>1491</v>
      </c>
      <c r="AN221" s="20">
        <v>182</v>
      </c>
      <c r="AO221" s="20">
        <v>3</v>
      </c>
      <c r="AP221" s="20">
        <v>0</v>
      </c>
      <c r="AQ221" s="20">
        <v>10</v>
      </c>
      <c r="AR221" s="20">
        <v>0</v>
      </c>
      <c r="AS221" s="20">
        <v>7</v>
      </c>
      <c r="AT221" s="20">
        <v>10</v>
      </c>
      <c r="AU221" s="300">
        <f t="shared" si="34"/>
        <v>212</v>
      </c>
      <c r="AV221" s="20">
        <v>190</v>
      </c>
      <c r="AW221" s="20">
        <v>3</v>
      </c>
      <c r="AX221" s="20">
        <v>0</v>
      </c>
      <c r="AY221" s="20">
        <v>10</v>
      </c>
      <c r="AZ221" s="20">
        <v>0</v>
      </c>
      <c r="BA221" s="20">
        <v>7</v>
      </c>
      <c r="BB221" s="20">
        <v>10</v>
      </c>
      <c r="BC221" s="300">
        <f t="shared" si="35"/>
        <v>220</v>
      </c>
      <c r="BD221" s="42">
        <f t="shared" si="36"/>
        <v>8</v>
      </c>
      <c r="BE221" s="42">
        <f t="shared" si="37"/>
        <v>0</v>
      </c>
      <c r="BF221" s="42">
        <f t="shared" si="38"/>
        <v>0</v>
      </c>
      <c r="BG221" s="42">
        <f t="shared" si="39"/>
        <v>0</v>
      </c>
      <c r="BH221" s="42">
        <f t="shared" si="40"/>
        <v>0</v>
      </c>
      <c r="BI221" s="42">
        <f t="shared" si="41"/>
        <v>0</v>
      </c>
      <c r="BJ221" s="42">
        <f t="shared" si="42"/>
        <v>0</v>
      </c>
      <c r="BK221" s="42">
        <f t="shared" si="43"/>
        <v>8</v>
      </c>
    </row>
    <row r="222" spans="1:63" ht="27" customHeight="1">
      <c r="A222" s="11">
        <f t="shared" si="44"/>
        <v>220</v>
      </c>
      <c r="B222" s="12" t="s">
        <v>1735</v>
      </c>
      <c r="C222" s="8">
        <v>1848</v>
      </c>
      <c r="D222" s="103" t="s">
        <v>1736</v>
      </c>
      <c r="E222" s="69">
        <v>30634344</v>
      </c>
      <c r="F222" s="62" t="s">
        <v>1737</v>
      </c>
      <c r="G222" s="63" t="s">
        <v>794</v>
      </c>
      <c r="H222" s="13" t="s">
        <v>1738</v>
      </c>
      <c r="I222" s="14" t="s">
        <v>796</v>
      </c>
      <c r="J222" s="64" t="s">
        <v>173</v>
      </c>
      <c r="K222" s="22">
        <v>31413</v>
      </c>
      <c r="L222" s="66" t="s">
        <v>174</v>
      </c>
      <c r="M222" s="23">
        <v>42797</v>
      </c>
      <c r="N222" s="23"/>
      <c r="O222" s="15" t="s">
        <v>32</v>
      </c>
      <c r="P222" s="16" t="s">
        <v>260</v>
      </c>
      <c r="Q222" s="16" t="s">
        <v>176</v>
      </c>
      <c r="R222" s="15" t="s">
        <v>177</v>
      </c>
      <c r="S222" s="11" t="s">
        <v>305</v>
      </c>
      <c r="T222" s="159"/>
      <c r="U222" s="159"/>
      <c r="V222" s="19" t="s">
        <v>179</v>
      </c>
      <c r="W222" s="19" t="s">
        <v>179</v>
      </c>
      <c r="X222" s="1">
        <v>11</v>
      </c>
      <c r="Y222" s="160" t="s">
        <v>1739</v>
      </c>
      <c r="Z222" s="70"/>
      <c r="AA222" s="70" t="s">
        <v>181</v>
      </c>
      <c r="AB222" s="1"/>
      <c r="AC222" s="161" t="s">
        <v>197</v>
      </c>
      <c r="AD222" s="99"/>
      <c r="AE222" s="99"/>
      <c r="AF222" s="108"/>
      <c r="AG222" s="106"/>
      <c r="AH222" s="162"/>
      <c r="AI222" s="162"/>
      <c r="AJ222" s="19" t="s">
        <v>198</v>
      </c>
      <c r="AK222" s="19" t="s">
        <v>185</v>
      </c>
      <c r="AL222" s="19" t="s">
        <v>185</v>
      </c>
      <c r="AM222" s="107" t="s">
        <v>1229</v>
      </c>
      <c r="AN222" s="20">
        <v>182</v>
      </c>
      <c r="AO222" s="20">
        <v>3</v>
      </c>
      <c r="AP222" s="20">
        <v>0</v>
      </c>
      <c r="AQ222" s="20">
        <v>0</v>
      </c>
      <c r="AR222" s="20">
        <v>0</v>
      </c>
      <c r="AS222" s="20">
        <v>7</v>
      </c>
      <c r="AT222" s="20">
        <v>10</v>
      </c>
      <c r="AU222" s="300">
        <f t="shared" si="34"/>
        <v>202</v>
      </c>
      <c r="AV222" s="20">
        <v>190</v>
      </c>
      <c r="AW222" s="20">
        <v>3</v>
      </c>
      <c r="AX222" s="20">
        <v>0</v>
      </c>
      <c r="AY222" s="20">
        <v>0</v>
      </c>
      <c r="AZ222" s="20">
        <v>0</v>
      </c>
      <c r="BA222" s="20">
        <v>7</v>
      </c>
      <c r="BB222" s="20">
        <v>10</v>
      </c>
      <c r="BC222" s="300">
        <f t="shared" si="35"/>
        <v>210</v>
      </c>
      <c r="BD222" s="42">
        <f t="shared" si="36"/>
        <v>8</v>
      </c>
      <c r="BE222" s="42">
        <f t="shared" si="37"/>
        <v>0</v>
      </c>
      <c r="BF222" s="42">
        <f t="shared" si="38"/>
        <v>0</v>
      </c>
      <c r="BG222" s="42">
        <f t="shared" si="39"/>
        <v>0</v>
      </c>
      <c r="BH222" s="42">
        <f t="shared" si="40"/>
        <v>0</v>
      </c>
      <c r="BI222" s="42">
        <f t="shared" si="41"/>
        <v>0</v>
      </c>
      <c r="BJ222" s="42">
        <f t="shared" si="42"/>
        <v>0</v>
      </c>
      <c r="BK222" s="42">
        <f t="shared" si="43"/>
        <v>8</v>
      </c>
    </row>
    <row r="223" spans="1:63" ht="27" customHeight="1">
      <c r="A223" s="11">
        <f t="shared" si="44"/>
        <v>221</v>
      </c>
      <c r="B223" s="12" t="s">
        <v>1740</v>
      </c>
      <c r="C223" s="8">
        <v>1853</v>
      </c>
      <c r="D223" s="74" t="s">
        <v>1741</v>
      </c>
      <c r="E223" s="69">
        <v>101331109</v>
      </c>
      <c r="F223" s="62" t="s">
        <v>958</v>
      </c>
      <c r="G223" s="63" t="s">
        <v>1742</v>
      </c>
      <c r="H223" s="13" t="s">
        <v>959</v>
      </c>
      <c r="I223" s="14" t="s">
        <v>1743</v>
      </c>
      <c r="J223" s="64" t="s">
        <v>173</v>
      </c>
      <c r="K223" s="22">
        <v>34469</v>
      </c>
      <c r="L223" s="66" t="s">
        <v>174</v>
      </c>
      <c r="M223" s="23">
        <v>42797</v>
      </c>
      <c r="N223" s="23"/>
      <c r="O223" s="15" t="s">
        <v>32</v>
      </c>
      <c r="P223" s="16" t="s">
        <v>260</v>
      </c>
      <c r="Q223" s="16" t="s">
        <v>176</v>
      </c>
      <c r="R223" s="15" t="s">
        <v>177</v>
      </c>
      <c r="S223" s="17" t="s">
        <v>206</v>
      </c>
      <c r="T223" s="159"/>
      <c r="U223" s="159"/>
      <c r="V223" s="19" t="s">
        <v>179</v>
      </c>
      <c r="W223" s="19" t="s">
        <v>179</v>
      </c>
      <c r="X223" s="1">
        <v>12</v>
      </c>
      <c r="Y223" s="160" t="s">
        <v>1744</v>
      </c>
      <c r="Z223" s="70" t="s">
        <v>181</v>
      </c>
      <c r="AA223" s="70"/>
      <c r="AB223" s="1"/>
      <c r="AC223" s="161"/>
      <c r="AD223" s="99"/>
      <c r="AE223" s="99"/>
      <c r="AF223" s="108"/>
      <c r="AG223" s="106"/>
      <c r="AH223" s="162"/>
      <c r="AI223" s="162"/>
      <c r="AJ223" s="19" t="s">
        <v>198</v>
      </c>
      <c r="AK223" s="19" t="s">
        <v>185</v>
      </c>
      <c r="AL223" s="19" t="s">
        <v>185</v>
      </c>
      <c r="AM223" s="107" t="s">
        <v>1229</v>
      </c>
      <c r="AN223" s="20">
        <v>182</v>
      </c>
      <c r="AO223" s="20">
        <v>3</v>
      </c>
      <c r="AP223" s="20">
        <v>0</v>
      </c>
      <c r="AQ223" s="20">
        <v>0</v>
      </c>
      <c r="AR223" s="20">
        <v>0</v>
      </c>
      <c r="AS223" s="20">
        <v>7</v>
      </c>
      <c r="AT223" s="20">
        <v>10</v>
      </c>
      <c r="AU223" s="300">
        <f t="shared" si="34"/>
        <v>202</v>
      </c>
      <c r="AV223" s="20">
        <v>190</v>
      </c>
      <c r="AW223" s="20">
        <v>3</v>
      </c>
      <c r="AX223" s="20">
        <v>0</v>
      </c>
      <c r="AY223" s="20">
        <v>0</v>
      </c>
      <c r="AZ223" s="20">
        <v>0</v>
      </c>
      <c r="BA223" s="20">
        <v>7</v>
      </c>
      <c r="BB223" s="20">
        <v>10</v>
      </c>
      <c r="BC223" s="300">
        <f t="shared" si="35"/>
        <v>210</v>
      </c>
      <c r="BD223" s="42">
        <f t="shared" si="36"/>
        <v>8</v>
      </c>
      <c r="BE223" s="42">
        <f t="shared" si="37"/>
        <v>0</v>
      </c>
      <c r="BF223" s="42">
        <f t="shared" si="38"/>
        <v>0</v>
      </c>
      <c r="BG223" s="42">
        <f t="shared" si="39"/>
        <v>0</v>
      </c>
      <c r="BH223" s="42">
        <f t="shared" si="40"/>
        <v>0</v>
      </c>
      <c r="BI223" s="42">
        <f t="shared" si="41"/>
        <v>0</v>
      </c>
      <c r="BJ223" s="42">
        <f t="shared" si="42"/>
        <v>0</v>
      </c>
      <c r="BK223" s="42">
        <f t="shared" si="43"/>
        <v>8</v>
      </c>
    </row>
    <row r="224" spans="1:63" ht="27" customHeight="1">
      <c r="A224" s="11">
        <f t="shared" si="44"/>
        <v>222</v>
      </c>
      <c r="B224" s="12" t="s">
        <v>1745</v>
      </c>
      <c r="C224" s="8">
        <v>1855</v>
      </c>
      <c r="D224" s="103" t="s">
        <v>1746</v>
      </c>
      <c r="E224" s="69">
        <v>30546786</v>
      </c>
      <c r="F224" s="62" t="s">
        <v>1747</v>
      </c>
      <c r="G224" s="63" t="s">
        <v>1748</v>
      </c>
      <c r="H224" s="13" t="s">
        <v>1749</v>
      </c>
      <c r="I224" s="14" t="s">
        <v>1750</v>
      </c>
      <c r="J224" s="64" t="s">
        <v>173</v>
      </c>
      <c r="K224" s="22">
        <v>34004</v>
      </c>
      <c r="L224" s="66" t="s">
        <v>174</v>
      </c>
      <c r="M224" s="23">
        <v>42797</v>
      </c>
      <c r="N224" s="23"/>
      <c r="O224" s="15" t="s">
        <v>24</v>
      </c>
      <c r="P224" s="16" t="s">
        <v>1380</v>
      </c>
      <c r="Q224" s="16" t="s">
        <v>244</v>
      </c>
      <c r="R224" s="15" t="s">
        <v>177</v>
      </c>
      <c r="S224" s="11" t="s">
        <v>305</v>
      </c>
      <c r="T224" s="159"/>
      <c r="U224" s="159"/>
      <c r="V224" s="19" t="s">
        <v>179</v>
      </c>
      <c r="W224" s="19" t="s">
        <v>179</v>
      </c>
      <c r="X224" s="1">
        <v>10</v>
      </c>
      <c r="Y224" s="160" t="s">
        <v>1751</v>
      </c>
      <c r="Z224" s="70"/>
      <c r="AA224" s="70" t="s">
        <v>181</v>
      </c>
      <c r="AB224" s="1"/>
      <c r="AC224" s="161" t="s">
        <v>1253</v>
      </c>
      <c r="AD224" s="99"/>
      <c r="AE224" s="99"/>
      <c r="AF224" s="108"/>
      <c r="AG224" s="106"/>
      <c r="AH224" s="162"/>
      <c r="AI224" s="162"/>
      <c r="AJ224" s="19" t="s">
        <v>198</v>
      </c>
      <c r="AK224" s="19" t="s">
        <v>185</v>
      </c>
      <c r="AL224" s="19" t="s">
        <v>185</v>
      </c>
      <c r="AM224" s="107" t="s">
        <v>1204</v>
      </c>
      <c r="AN224" s="20">
        <v>182</v>
      </c>
      <c r="AO224" s="20">
        <v>3</v>
      </c>
      <c r="AP224" s="20">
        <v>20</v>
      </c>
      <c r="AQ224" s="20">
        <v>0</v>
      </c>
      <c r="AR224" s="20">
        <v>0</v>
      </c>
      <c r="AS224" s="20">
        <v>7</v>
      </c>
      <c r="AT224" s="20">
        <v>10</v>
      </c>
      <c r="AU224" s="300">
        <f t="shared" si="34"/>
        <v>222</v>
      </c>
      <c r="AV224" s="20">
        <v>190</v>
      </c>
      <c r="AW224" s="20">
        <v>3</v>
      </c>
      <c r="AX224" s="20">
        <v>20</v>
      </c>
      <c r="AY224" s="20">
        <v>0</v>
      </c>
      <c r="AZ224" s="20">
        <v>0</v>
      </c>
      <c r="BA224" s="20">
        <v>7</v>
      </c>
      <c r="BB224" s="20">
        <v>10</v>
      </c>
      <c r="BC224" s="300">
        <f t="shared" si="35"/>
        <v>230</v>
      </c>
      <c r="BD224" s="42">
        <f t="shared" si="36"/>
        <v>8</v>
      </c>
      <c r="BE224" s="42">
        <f t="shared" si="37"/>
        <v>0</v>
      </c>
      <c r="BF224" s="42">
        <f t="shared" si="38"/>
        <v>0</v>
      </c>
      <c r="BG224" s="42">
        <f t="shared" si="39"/>
        <v>0</v>
      </c>
      <c r="BH224" s="42">
        <f t="shared" si="40"/>
        <v>0</v>
      </c>
      <c r="BI224" s="42">
        <f t="shared" si="41"/>
        <v>0</v>
      </c>
      <c r="BJ224" s="42">
        <f t="shared" si="42"/>
        <v>0</v>
      </c>
      <c r="BK224" s="42">
        <f t="shared" si="43"/>
        <v>8</v>
      </c>
    </row>
    <row r="225" spans="1:63" ht="27" customHeight="1">
      <c r="A225" s="11">
        <f t="shared" si="44"/>
        <v>223</v>
      </c>
      <c r="B225" s="132" t="s">
        <v>1752</v>
      </c>
      <c r="C225" s="132">
        <v>1857</v>
      </c>
      <c r="D225" s="192" t="s">
        <v>1753</v>
      </c>
      <c r="E225" s="134">
        <v>130156616</v>
      </c>
      <c r="F225" s="135" t="s">
        <v>958</v>
      </c>
      <c r="G225" s="136" t="s">
        <v>1754</v>
      </c>
      <c r="H225" s="137" t="s">
        <v>959</v>
      </c>
      <c r="I225" s="138" t="s">
        <v>1755</v>
      </c>
      <c r="J225" s="139" t="s">
        <v>173</v>
      </c>
      <c r="K225" s="140">
        <v>31478</v>
      </c>
      <c r="L225" s="141" t="s">
        <v>174</v>
      </c>
      <c r="M225" s="142">
        <v>42796</v>
      </c>
      <c r="N225" s="142"/>
      <c r="O225" s="143" t="s">
        <v>32</v>
      </c>
      <c r="P225" s="16" t="s">
        <v>304</v>
      </c>
      <c r="Q225" s="16" t="s">
        <v>176</v>
      </c>
      <c r="R225" s="143" t="s">
        <v>177</v>
      </c>
      <c r="S225" s="17" t="s">
        <v>251</v>
      </c>
      <c r="T225" s="144"/>
      <c r="U225" s="144"/>
      <c r="V225" s="145" t="s">
        <v>179</v>
      </c>
      <c r="W225" s="145" t="s">
        <v>179</v>
      </c>
      <c r="X225" s="145">
        <v>5</v>
      </c>
      <c r="Y225" s="134" t="s">
        <v>179</v>
      </c>
      <c r="Z225" s="146"/>
      <c r="AA225" s="146" t="s">
        <v>181</v>
      </c>
      <c r="AB225" s="145"/>
      <c r="AC225" s="167" t="s">
        <v>420</v>
      </c>
      <c r="AD225" s="168"/>
      <c r="AE225" s="168"/>
      <c r="AF225" s="148"/>
      <c r="AG225" s="147"/>
      <c r="AH225" s="149"/>
      <c r="AI225" s="149"/>
      <c r="AJ225" s="145" t="s">
        <v>198</v>
      </c>
      <c r="AK225" s="145" t="s">
        <v>185</v>
      </c>
      <c r="AL225" s="145" t="s">
        <v>185</v>
      </c>
      <c r="AM225" s="150" t="s">
        <v>1484</v>
      </c>
      <c r="AN225" s="20">
        <v>182</v>
      </c>
      <c r="AO225" s="20">
        <v>3</v>
      </c>
      <c r="AP225" s="20">
        <v>0</v>
      </c>
      <c r="AQ225" s="20">
        <v>0</v>
      </c>
      <c r="AR225" s="20">
        <v>0</v>
      </c>
      <c r="AS225" s="20">
        <v>7</v>
      </c>
      <c r="AT225" s="20">
        <v>10</v>
      </c>
      <c r="AU225" s="300">
        <f t="shared" si="34"/>
        <v>202</v>
      </c>
      <c r="AV225" s="20">
        <v>190</v>
      </c>
      <c r="AW225" s="20">
        <v>3</v>
      </c>
      <c r="AX225" s="20">
        <v>0</v>
      </c>
      <c r="AY225" s="20">
        <v>0</v>
      </c>
      <c r="AZ225" s="20">
        <v>0</v>
      </c>
      <c r="BA225" s="20">
        <v>7</v>
      </c>
      <c r="BB225" s="20">
        <v>10</v>
      </c>
      <c r="BC225" s="300">
        <f t="shared" si="35"/>
        <v>210</v>
      </c>
      <c r="BD225" s="42">
        <f t="shared" si="36"/>
        <v>8</v>
      </c>
      <c r="BE225" s="42">
        <f t="shared" si="37"/>
        <v>0</v>
      </c>
      <c r="BF225" s="42">
        <f t="shared" si="38"/>
        <v>0</v>
      </c>
      <c r="BG225" s="42">
        <f t="shared" si="39"/>
        <v>0</v>
      </c>
      <c r="BH225" s="42">
        <f t="shared" si="40"/>
        <v>0</v>
      </c>
      <c r="BI225" s="42">
        <f t="shared" si="41"/>
        <v>0</v>
      </c>
      <c r="BJ225" s="42">
        <f t="shared" si="42"/>
        <v>0</v>
      </c>
      <c r="BK225" s="42">
        <f t="shared" si="43"/>
        <v>8</v>
      </c>
    </row>
    <row r="226" spans="1:63" ht="27" customHeight="1">
      <c r="A226" s="11">
        <f t="shared" si="44"/>
        <v>224</v>
      </c>
      <c r="B226" s="12" t="s">
        <v>1756</v>
      </c>
      <c r="C226" s="8">
        <v>1861</v>
      </c>
      <c r="D226" s="74" t="s">
        <v>1757</v>
      </c>
      <c r="E226" s="69">
        <v>130131617</v>
      </c>
      <c r="F226" s="62" t="s">
        <v>1758</v>
      </c>
      <c r="G226" s="63" t="s">
        <v>1032</v>
      </c>
      <c r="H226" s="13" t="s">
        <v>1759</v>
      </c>
      <c r="I226" s="14" t="s">
        <v>1760</v>
      </c>
      <c r="J226" s="64" t="s">
        <v>173</v>
      </c>
      <c r="K226" s="22">
        <v>33254</v>
      </c>
      <c r="L226" s="66" t="s">
        <v>174</v>
      </c>
      <c r="M226" s="23">
        <v>42797</v>
      </c>
      <c r="N226" s="23"/>
      <c r="O226" s="15" t="s">
        <v>32</v>
      </c>
      <c r="P226" s="16" t="s">
        <v>1080</v>
      </c>
      <c r="Q226" s="16" t="s">
        <v>176</v>
      </c>
      <c r="R226" s="15" t="s">
        <v>177</v>
      </c>
      <c r="S226" s="17" t="s">
        <v>251</v>
      </c>
      <c r="T226" s="159"/>
      <c r="U226" s="159"/>
      <c r="V226" s="19" t="s">
        <v>179</v>
      </c>
      <c r="W226" s="19" t="s">
        <v>179</v>
      </c>
      <c r="X226" s="1">
        <v>8</v>
      </c>
      <c r="Y226" s="160">
        <v>969275853</v>
      </c>
      <c r="Z226" s="70"/>
      <c r="AA226" s="70" t="s">
        <v>181</v>
      </c>
      <c r="AB226" s="1"/>
      <c r="AC226" s="161" t="s">
        <v>197</v>
      </c>
      <c r="AD226" s="99"/>
      <c r="AE226" s="99"/>
      <c r="AF226" s="108"/>
      <c r="AG226" s="106"/>
      <c r="AH226" s="162"/>
      <c r="AI226" s="162"/>
      <c r="AJ226" s="19" t="s">
        <v>198</v>
      </c>
      <c r="AK226" s="19" t="s">
        <v>185</v>
      </c>
      <c r="AL226" s="19" t="s">
        <v>185</v>
      </c>
      <c r="AM226" s="107" t="s">
        <v>1204</v>
      </c>
      <c r="AN226" s="20">
        <v>182</v>
      </c>
      <c r="AO226" s="20">
        <v>3</v>
      </c>
      <c r="AP226" s="20">
        <v>0</v>
      </c>
      <c r="AQ226" s="20">
        <v>0</v>
      </c>
      <c r="AR226" s="20">
        <v>0</v>
      </c>
      <c r="AS226" s="20">
        <v>7</v>
      </c>
      <c r="AT226" s="20">
        <v>10</v>
      </c>
      <c r="AU226" s="300">
        <f t="shared" si="34"/>
        <v>202</v>
      </c>
      <c r="AV226" s="20">
        <v>190</v>
      </c>
      <c r="AW226" s="20">
        <v>3</v>
      </c>
      <c r="AX226" s="20">
        <v>0</v>
      </c>
      <c r="AY226" s="20">
        <v>0</v>
      </c>
      <c r="AZ226" s="20">
        <v>0</v>
      </c>
      <c r="BA226" s="20">
        <v>7</v>
      </c>
      <c r="BB226" s="20">
        <v>10</v>
      </c>
      <c r="BC226" s="300">
        <f t="shared" si="35"/>
        <v>210</v>
      </c>
      <c r="BD226" s="42">
        <f t="shared" si="36"/>
        <v>8</v>
      </c>
      <c r="BE226" s="42">
        <f t="shared" si="37"/>
        <v>0</v>
      </c>
      <c r="BF226" s="42">
        <f t="shared" si="38"/>
        <v>0</v>
      </c>
      <c r="BG226" s="42">
        <f t="shared" si="39"/>
        <v>0</v>
      </c>
      <c r="BH226" s="42">
        <f t="shared" si="40"/>
        <v>0</v>
      </c>
      <c r="BI226" s="42">
        <f t="shared" si="41"/>
        <v>0</v>
      </c>
      <c r="BJ226" s="42">
        <f t="shared" si="42"/>
        <v>0</v>
      </c>
      <c r="BK226" s="42">
        <f t="shared" si="43"/>
        <v>8</v>
      </c>
    </row>
    <row r="227" spans="1:63" ht="27" customHeight="1">
      <c r="A227" s="11">
        <f t="shared" si="44"/>
        <v>225</v>
      </c>
      <c r="B227" s="109" t="s">
        <v>1761</v>
      </c>
      <c r="C227" s="109">
        <v>1864</v>
      </c>
      <c r="D227" s="194" t="s">
        <v>1762</v>
      </c>
      <c r="E227" s="111">
        <v>61524996</v>
      </c>
      <c r="F227" s="112" t="s">
        <v>1763</v>
      </c>
      <c r="G227" s="113" t="s">
        <v>1764</v>
      </c>
      <c r="H227" s="114" t="s">
        <v>1765</v>
      </c>
      <c r="I227" s="115" t="s">
        <v>1766</v>
      </c>
      <c r="J227" s="116" t="s">
        <v>173</v>
      </c>
      <c r="K227" s="117">
        <v>34766</v>
      </c>
      <c r="L227" s="118" t="s">
        <v>174</v>
      </c>
      <c r="M227" s="119">
        <v>42797</v>
      </c>
      <c r="N227" s="119"/>
      <c r="O227" s="120" t="s">
        <v>32</v>
      </c>
      <c r="P227" s="16" t="s">
        <v>507</v>
      </c>
      <c r="Q227" s="16" t="s">
        <v>176</v>
      </c>
      <c r="R227" s="120" t="s">
        <v>177</v>
      </c>
      <c r="S227" s="120" t="s">
        <v>251</v>
      </c>
      <c r="T227" s="122"/>
      <c r="U227" s="122"/>
      <c r="V227" s="123" t="s">
        <v>179</v>
      </c>
      <c r="W227" s="123" t="s">
        <v>179</v>
      </c>
      <c r="X227" s="123">
        <v>5</v>
      </c>
      <c r="Y227" s="111" t="s">
        <v>1767</v>
      </c>
      <c r="Z227" s="125" t="s">
        <v>181</v>
      </c>
      <c r="AA227" s="125"/>
      <c r="AB227" s="123"/>
      <c r="AC227" s="170"/>
      <c r="AD227" s="151"/>
      <c r="AE227" s="151"/>
      <c r="AF227" s="153"/>
      <c r="AG227" s="152"/>
      <c r="AH227" s="128"/>
      <c r="AI227" s="128"/>
      <c r="AJ227" s="123" t="s">
        <v>198</v>
      </c>
      <c r="AK227" s="123" t="s">
        <v>185</v>
      </c>
      <c r="AL227" s="123" t="s">
        <v>185</v>
      </c>
      <c r="AM227" s="129" t="s">
        <v>1768</v>
      </c>
      <c r="AN227" s="20">
        <v>182</v>
      </c>
      <c r="AO227" s="20">
        <v>3</v>
      </c>
      <c r="AP227" s="20">
        <v>0</v>
      </c>
      <c r="AQ227" s="20">
        <v>10</v>
      </c>
      <c r="AR227" s="20">
        <v>0</v>
      </c>
      <c r="AS227" s="20">
        <v>7</v>
      </c>
      <c r="AT227" s="20">
        <v>10</v>
      </c>
      <c r="AU227" s="300">
        <f t="shared" si="34"/>
        <v>212</v>
      </c>
      <c r="AV227" s="20">
        <v>190</v>
      </c>
      <c r="AW227" s="20">
        <v>3</v>
      </c>
      <c r="AX227" s="20">
        <v>0</v>
      </c>
      <c r="AY227" s="20">
        <v>10</v>
      </c>
      <c r="AZ227" s="20">
        <v>0</v>
      </c>
      <c r="BA227" s="20">
        <v>7</v>
      </c>
      <c r="BB227" s="20">
        <v>10</v>
      </c>
      <c r="BC227" s="300">
        <f t="shared" si="35"/>
        <v>220</v>
      </c>
      <c r="BD227" s="42">
        <f t="shared" si="36"/>
        <v>8</v>
      </c>
      <c r="BE227" s="42">
        <f t="shared" si="37"/>
        <v>0</v>
      </c>
      <c r="BF227" s="42">
        <f t="shared" si="38"/>
        <v>0</v>
      </c>
      <c r="BG227" s="42">
        <f t="shared" si="39"/>
        <v>0</v>
      </c>
      <c r="BH227" s="42">
        <f t="shared" si="40"/>
        <v>0</v>
      </c>
      <c r="BI227" s="42">
        <f t="shared" si="41"/>
        <v>0</v>
      </c>
      <c r="BJ227" s="42">
        <f t="shared" si="42"/>
        <v>0</v>
      </c>
      <c r="BK227" s="42">
        <f t="shared" si="43"/>
        <v>8</v>
      </c>
    </row>
    <row r="228" spans="1:63" ht="27" customHeight="1">
      <c r="A228" s="11">
        <f t="shared" si="44"/>
        <v>226</v>
      </c>
      <c r="B228" s="12" t="s">
        <v>1769</v>
      </c>
      <c r="C228" s="8">
        <v>1874</v>
      </c>
      <c r="D228" s="103" t="s">
        <v>1770</v>
      </c>
      <c r="E228" s="69">
        <v>130115501</v>
      </c>
      <c r="F228" s="62" t="s">
        <v>552</v>
      </c>
      <c r="G228" s="63" t="s">
        <v>1385</v>
      </c>
      <c r="H228" s="13" t="s">
        <v>1771</v>
      </c>
      <c r="I228" s="14" t="s">
        <v>1387</v>
      </c>
      <c r="J228" s="64" t="s">
        <v>173</v>
      </c>
      <c r="K228" s="22">
        <v>34982</v>
      </c>
      <c r="L228" s="66" t="s">
        <v>174</v>
      </c>
      <c r="M228" s="23">
        <v>42804</v>
      </c>
      <c r="N228" s="23"/>
      <c r="O228" s="15" t="s">
        <v>32</v>
      </c>
      <c r="P228" s="16" t="s">
        <v>296</v>
      </c>
      <c r="Q228" s="16" t="s">
        <v>176</v>
      </c>
      <c r="R228" s="15" t="s">
        <v>177</v>
      </c>
      <c r="S228" s="17" t="s">
        <v>251</v>
      </c>
      <c r="T228" s="159"/>
      <c r="U228" s="159"/>
      <c r="V228" s="19" t="s">
        <v>179</v>
      </c>
      <c r="W228" s="19" t="s">
        <v>179</v>
      </c>
      <c r="X228" s="1">
        <v>7</v>
      </c>
      <c r="Y228" s="160" t="s">
        <v>1772</v>
      </c>
      <c r="Z228" s="70"/>
      <c r="AA228" s="70" t="s">
        <v>181</v>
      </c>
      <c r="AB228" s="1"/>
      <c r="AC228" s="161" t="s">
        <v>420</v>
      </c>
      <c r="AD228" s="99"/>
      <c r="AE228" s="99"/>
      <c r="AF228" s="108"/>
      <c r="AG228" s="106"/>
      <c r="AH228" s="162"/>
      <c r="AI228" s="162"/>
      <c r="AJ228" s="19" t="s">
        <v>198</v>
      </c>
      <c r="AK228" s="19" t="s">
        <v>185</v>
      </c>
      <c r="AL228" s="19" t="s">
        <v>185</v>
      </c>
      <c r="AM228" s="107" t="s">
        <v>1509</v>
      </c>
      <c r="AN228" s="20">
        <v>182</v>
      </c>
      <c r="AO228" s="20">
        <v>3</v>
      </c>
      <c r="AP228" s="20">
        <v>0</v>
      </c>
      <c r="AQ228" s="20">
        <v>0</v>
      </c>
      <c r="AR228" s="20">
        <v>0</v>
      </c>
      <c r="AS228" s="20">
        <v>7</v>
      </c>
      <c r="AT228" s="20">
        <v>10</v>
      </c>
      <c r="AU228" s="300">
        <f t="shared" si="34"/>
        <v>202</v>
      </c>
      <c r="AV228" s="20">
        <v>190</v>
      </c>
      <c r="AW228" s="20">
        <v>3</v>
      </c>
      <c r="AX228" s="20">
        <v>0</v>
      </c>
      <c r="AY228" s="20">
        <v>0</v>
      </c>
      <c r="AZ228" s="20">
        <v>0</v>
      </c>
      <c r="BA228" s="20">
        <v>7</v>
      </c>
      <c r="BB228" s="20">
        <v>10</v>
      </c>
      <c r="BC228" s="300">
        <f t="shared" si="35"/>
        <v>210</v>
      </c>
      <c r="BD228" s="42">
        <f t="shared" si="36"/>
        <v>8</v>
      </c>
      <c r="BE228" s="42">
        <f t="shared" si="37"/>
        <v>0</v>
      </c>
      <c r="BF228" s="42">
        <f t="shared" si="38"/>
        <v>0</v>
      </c>
      <c r="BG228" s="42">
        <f t="shared" si="39"/>
        <v>0</v>
      </c>
      <c r="BH228" s="42">
        <f t="shared" si="40"/>
        <v>0</v>
      </c>
      <c r="BI228" s="42">
        <f t="shared" si="41"/>
        <v>0</v>
      </c>
      <c r="BJ228" s="42">
        <f t="shared" si="42"/>
        <v>0</v>
      </c>
      <c r="BK228" s="42">
        <f t="shared" si="43"/>
        <v>8</v>
      </c>
    </row>
    <row r="229" spans="1:63" ht="27" customHeight="1">
      <c r="A229" s="11">
        <f t="shared" si="44"/>
        <v>227</v>
      </c>
      <c r="B229" s="12" t="s">
        <v>1773</v>
      </c>
      <c r="C229" s="8">
        <v>1884</v>
      </c>
      <c r="D229" s="103" t="s">
        <v>1774</v>
      </c>
      <c r="E229" s="69">
        <v>61109889</v>
      </c>
      <c r="F229" s="62" t="s">
        <v>1775</v>
      </c>
      <c r="G229" s="63" t="s">
        <v>1776</v>
      </c>
      <c r="H229" s="13" t="s">
        <v>1777</v>
      </c>
      <c r="I229" s="14" t="s">
        <v>1778</v>
      </c>
      <c r="J229" s="64" t="s">
        <v>173</v>
      </c>
      <c r="K229" s="22">
        <v>32207</v>
      </c>
      <c r="L229" s="66" t="s">
        <v>174</v>
      </c>
      <c r="M229" s="23">
        <v>42810</v>
      </c>
      <c r="N229" s="23"/>
      <c r="O229" s="15" t="s">
        <v>32</v>
      </c>
      <c r="P229" s="16" t="s">
        <v>1276</v>
      </c>
      <c r="Q229" s="16" t="s">
        <v>176</v>
      </c>
      <c r="R229" s="15" t="s">
        <v>177</v>
      </c>
      <c r="S229" s="17" t="s">
        <v>251</v>
      </c>
      <c r="T229" s="159"/>
      <c r="U229" s="159"/>
      <c r="V229" s="19" t="s">
        <v>179</v>
      </c>
      <c r="W229" s="19" t="s">
        <v>179</v>
      </c>
      <c r="X229" s="1">
        <v>5</v>
      </c>
      <c r="Y229" s="160">
        <v>882398844</v>
      </c>
      <c r="Z229" s="70"/>
      <c r="AA229" s="70" t="s">
        <v>181</v>
      </c>
      <c r="AB229" s="1"/>
      <c r="AC229" s="161" t="s">
        <v>420</v>
      </c>
      <c r="AD229" s="99"/>
      <c r="AE229" s="99"/>
      <c r="AF229" s="108"/>
      <c r="AG229" s="106"/>
      <c r="AH229" s="162"/>
      <c r="AI229" s="162"/>
      <c r="AJ229" s="19" t="s">
        <v>198</v>
      </c>
      <c r="AK229" s="19" t="s">
        <v>185</v>
      </c>
      <c r="AL229" s="19" t="s">
        <v>185</v>
      </c>
      <c r="AM229" s="107" t="s">
        <v>1557</v>
      </c>
      <c r="AN229" s="20">
        <v>182</v>
      </c>
      <c r="AO229" s="20">
        <v>0</v>
      </c>
      <c r="AP229" s="20">
        <v>0</v>
      </c>
      <c r="AQ229" s="20">
        <v>0</v>
      </c>
      <c r="AR229" s="20">
        <v>0</v>
      </c>
      <c r="AS229" s="20">
        <v>7</v>
      </c>
      <c r="AT229" s="20">
        <v>10</v>
      </c>
      <c r="AU229" s="300">
        <f t="shared" si="34"/>
        <v>199</v>
      </c>
      <c r="AV229" s="20">
        <v>190</v>
      </c>
      <c r="AW229" s="20">
        <v>0</v>
      </c>
      <c r="AX229" s="20">
        <v>0</v>
      </c>
      <c r="AY229" s="20">
        <v>0</v>
      </c>
      <c r="AZ229" s="20">
        <v>0</v>
      </c>
      <c r="BA229" s="20">
        <v>7</v>
      </c>
      <c r="BB229" s="20">
        <v>10</v>
      </c>
      <c r="BC229" s="300">
        <f t="shared" si="35"/>
        <v>207</v>
      </c>
      <c r="BD229" s="42">
        <f t="shared" si="36"/>
        <v>8</v>
      </c>
      <c r="BE229" s="42">
        <f t="shared" si="37"/>
        <v>0</v>
      </c>
      <c r="BF229" s="42">
        <f t="shared" si="38"/>
        <v>0</v>
      </c>
      <c r="BG229" s="42">
        <f t="shared" si="39"/>
        <v>0</v>
      </c>
      <c r="BH229" s="42">
        <f t="shared" si="40"/>
        <v>0</v>
      </c>
      <c r="BI229" s="42">
        <f t="shared" si="41"/>
        <v>0</v>
      </c>
      <c r="BJ229" s="42">
        <f t="shared" si="42"/>
        <v>0</v>
      </c>
      <c r="BK229" s="42">
        <f t="shared" si="43"/>
        <v>8</v>
      </c>
    </row>
    <row r="230" spans="1:63" ht="27" customHeight="1">
      <c r="A230" s="11">
        <f t="shared" si="44"/>
        <v>228</v>
      </c>
      <c r="B230" s="12" t="s">
        <v>1779</v>
      </c>
      <c r="C230" s="8">
        <v>1886</v>
      </c>
      <c r="D230" s="103" t="s">
        <v>1780</v>
      </c>
      <c r="E230" s="69">
        <v>110504089</v>
      </c>
      <c r="F230" s="62" t="s">
        <v>737</v>
      </c>
      <c r="G230" s="63" t="s">
        <v>1781</v>
      </c>
      <c r="H230" s="13" t="s">
        <v>22</v>
      </c>
      <c r="I230" s="14" t="s">
        <v>23</v>
      </c>
      <c r="J230" s="64" t="s">
        <v>204</v>
      </c>
      <c r="K230" s="22">
        <v>32759</v>
      </c>
      <c r="L230" s="66" t="s">
        <v>174</v>
      </c>
      <c r="M230" s="23">
        <v>42811</v>
      </c>
      <c r="N230" s="23"/>
      <c r="O230" s="15" t="s">
        <v>24</v>
      </c>
      <c r="P230" s="16" t="s">
        <v>13</v>
      </c>
      <c r="Q230" s="16" t="s">
        <v>176</v>
      </c>
      <c r="R230" s="15" t="s">
        <v>177</v>
      </c>
      <c r="S230" s="11" t="s">
        <v>223</v>
      </c>
      <c r="T230" s="159"/>
      <c r="U230" s="159"/>
      <c r="V230" s="19" t="s">
        <v>179</v>
      </c>
      <c r="W230" s="19" t="s">
        <v>179</v>
      </c>
      <c r="X230" s="1">
        <v>9</v>
      </c>
      <c r="Y230" s="160">
        <v>966552580</v>
      </c>
      <c r="Z230" s="70" t="s">
        <v>181</v>
      </c>
      <c r="AA230" s="70"/>
      <c r="AB230" s="1"/>
      <c r="AC230" s="161"/>
      <c r="AD230" s="99"/>
      <c r="AE230" s="99"/>
      <c r="AF230" s="108"/>
      <c r="AG230" s="106"/>
      <c r="AH230" s="162"/>
      <c r="AI230" s="162"/>
      <c r="AJ230" s="19" t="s">
        <v>198</v>
      </c>
      <c r="AK230" s="19" t="s">
        <v>185</v>
      </c>
      <c r="AL230" s="19" t="s">
        <v>185</v>
      </c>
      <c r="AM230" s="107" t="s">
        <v>1229</v>
      </c>
      <c r="AN230" s="20">
        <v>182</v>
      </c>
      <c r="AO230" s="20">
        <v>3</v>
      </c>
      <c r="AP230" s="20">
        <v>0</v>
      </c>
      <c r="AQ230" s="20">
        <v>15</v>
      </c>
      <c r="AR230" s="20">
        <v>0</v>
      </c>
      <c r="AS230" s="20">
        <v>7</v>
      </c>
      <c r="AT230" s="20">
        <v>10</v>
      </c>
      <c r="AU230" s="300">
        <f t="shared" si="34"/>
        <v>217</v>
      </c>
      <c r="AV230" s="20">
        <v>190</v>
      </c>
      <c r="AW230" s="20">
        <v>3</v>
      </c>
      <c r="AX230" s="20">
        <v>0</v>
      </c>
      <c r="AY230" s="20">
        <v>15</v>
      </c>
      <c r="AZ230" s="20">
        <v>0</v>
      </c>
      <c r="BA230" s="20">
        <v>7</v>
      </c>
      <c r="BB230" s="20">
        <v>10</v>
      </c>
      <c r="BC230" s="300">
        <f t="shared" si="35"/>
        <v>225</v>
      </c>
      <c r="BD230" s="42">
        <f t="shared" si="36"/>
        <v>8</v>
      </c>
      <c r="BE230" s="42">
        <f t="shared" si="37"/>
        <v>0</v>
      </c>
      <c r="BF230" s="42">
        <f t="shared" si="38"/>
        <v>0</v>
      </c>
      <c r="BG230" s="42">
        <f t="shared" si="39"/>
        <v>0</v>
      </c>
      <c r="BH230" s="42">
        <f t="shared" si="40"/>
        <v>0</v>
      </c>
      <c r="BI230" s="42">
        <f t="shared" si="41"/>
        <v>0</v>
      </c>
      <c r="BJ230" s="42">
        <f t="shared" si="42"/>
        <v>0</v>
      </c>
      <c r="BK230" s="42">
        <f t="shared" si="43"/>
        <v>8</v>
      </c>
    </row>
    <row r="231" spans="1:63" ht="27" customHeight="1">
      <c r="A231" s="11">
        <f t="shared" si="44"/>
        <v>229</v>
      </c>
      <c r="B231" s="12" t="s">
        <v>1782</v>
      </c>
      <c r="C231" s="8">
        <v>1870</v>
      </c>
      <c r="D231" s="74" t="s">
        <v>1783</v>
      </c>
      <c r="E231" s="69">
        <v>30451199</v>
      </c>
      <c r="F231" s="62" t="s">
        <v>1784</v>
      </c>
      <c r="G231" s="63" t="s">
        <v>1785</v>
      </c>
      <c r="H231" s="13" t="s">
        <v>1786</v>
      </c>
      <c r="I231" s="14" t="s">
        <v>893</v>
      </c>
      <c r="J231" s="64" t="s">
        <v>173</v>
      </c>
      <c r="K231" s="22">
        <v>31598</v>
      </c>
      <c r="L231" s="66" t="s">
        <v>174</v>
      </c>
      <c r="M231" s="23">
        <v>42801</v>
      </c>
      <c r="N231" s="23"/>
      <c r="O231" s="15" t="s">
        <v>32</v>
      </c>
      <c r="P231" s="16" t="s">
        <v>287</v>
      </c>
      <c r="Q231" s="16" t="s">
        <v>176</v>
      </c>
      <c r="R231" s="15" t="s">
        <v>177</v>
      </c>
      <c r="S231" s="11" t="s">
        <v>305</v>
      </c>
      <c r="T231" s="159"/>
      <c r="U231" s="159"/>
      <c r="V231" s="19" t="s">
        <v>179</v>
      </c>
      <c r="W231" s="19" t="s">
        <v>179</v>
      </c>
      <c r="X231" s="1">
        <v>9</v>
      </c>
      <c r="Y231" s="160" t="s">
        <v>1787</v>
      </c>
      <c r="Z231" s="70"/>
      <c r="AA231" s="70" t="s">
        <v>181</v>
      </c>
      <c r="AB231" s="1"/>
      <c r="AC231" s="161" t="s">
        <v>1788</v>
      </c>
      <c r="AD231" s="99"/>
      <c r="AE231" s="99"/>
      <c r="AF231" s="108"/>
      <c r="AG231" s="106"/>
      <c r="AH231" s="162"/>
      <c r="AI231" s="162"/>
      <c r="AJ231" s="19" t="s">
        <v>198</v>
      </c>
      <c r="AK231" s="19" t="s">
        <v>185</v>
      </c>
      <c r="AL231" s="19" t="s">
        <v>185</v>
      </c>
      <c r="AM231" s="107" t="s">
        <v>1229</v>
      </c>
      <c r="AN231" s="20">
        <v>182</v>
      </c>
      <c r="AO231" s="20">
        <v>3</v>
      </c>
      <c r="AP231" s="20">
        <v>20</v>
      </c>
      <c r="AQ231" s="20">
        <v>0</v>
      </c>
      <c r="AR231" s="20">
        <v>0</v>
      </c>
      <c r="AS231" s="20">
        <v>7</v>
      </c>
      <c r="AT231" s="20">
        <v>10</v>
      </c>
      <c r="AU231" s="300">
        <f t="shared" si="34"/>
        <v>222</v>
      </c>
      <c r="AV231" s="20">
        <v>190</v>
      </c>
      <c r="AW231" s="20">
        <v>3</v>
      </c>
      <c r="AX231" s="20">
        <v>20</v>
      </c>
      <c r="AY231" s="20">
        <v>0</v>
      </c>
      <c r="AZ231" s="20">
        <v>0</v>
      </c>
      <c r="BA231" s="20">
        <v>7</v>
      </c>
      <c r="BB231" s="20">
        <v>10</v>
      </c>
      <c r="BC231" s="300">
        <f t="shared" si="35"/>
        <v>230</v>
      </c>
      <c r="BD231" s="42">
        <f t="shared" si="36"/>
        <v>8</v>
      </c>
      <c r="BE231" s="42">
        <f t="shared" si="37"/>
        <v>0</v>
      </c>
      <c r="BF231" s="42">
        <f t="shared" si="38"/>
        <v>0</v>
      </c>
      <c r="BG231" s="42">
        <f t="shared" si="39"/>
        <v>0</v>
      </c>
      <c r="BH231" s="42">
        <f t="shared" si="40"/>
        <v>0</v>
      </c>
      <c r="BI231" s="42">
        <f t="shared" si="41"/>
        <v>0</v>
      </c>
      <c r="BJ231" s="42">
        <f t="shared" si="42"/>
        <v>0</v>
      </c>
      <c r="BK231" s="42">
        <f t="shared" si="43"/>
        <v>8</v>
      </c>
    </row>
    <row r="232" spans="1:63" ht="27" customHeight="1">
      <c r="A232" s="11">
        <f t="shared" si="44"/>
        <v>230</v>
      </c>
      <c r="B232" s="12" t="s">
        <v>1789</v>
      </c>
      <c r="C232" s="8">
        <v>1910</v>
      </c>
      <c r="D232" s="195" t="s">
        <v>1790</v>
      </c>
      <c r="E232" s="69">
        <v>110430090</v>
      </c>
      <c r="F232" s="62" t="s">
        <v>1791</v>
      </c>
      <c r="G232" s="63" t="s">
        <v>1792</v>
      </c>
      <c r="H232" s="13" t="s">
        <v>1793</v>
      </c>
      <c r="I232" s="14" t="s">
        <v>1794</v>
      </c>
      <c r="J232" s="64" t="s">
        <v>173</v>
      </c>
      <c r="K232" s="22">
        <v>35107</v>
      </c>
      <c r="L232" s="66" t="s">
        <v>174</v>
      </c>
      <c r="M232" s="154">
        <v>42828</v>
      </c>
      <c r="N232" s="154"/>
      <c r="O232" s="15" t="s">
        <v>79</v>
      </c>
      <c r="P232" s="16" t="s">
        <v>101</v>
      </c>
      <c r="Q232" s="16" t="s">
        <v>244</v>
      </c>
      <c r="R232" s="15" t="s">
        <v>177</v>
      </c>
      <c r="S232" s="16" t="s">
        <v>223</v>
      </c>
      <c r="T232" s="18"/>
      <c r="U232" s="18"/>
      <c r="V232" s="19" t="s">
        <v>179</v>
      </c>
      <c r="W232" s="19" t="s">
        <v>179</v>
      </c>
      <c r="X232" s="19" t="s">
        <v>404</v>
      </c>
      <c r="Y232" s="69" t="s">
        <v>1795</v>
      </c>
      <c r="Z232" s="70" t="s">
        <v>181</v>
      </c>
      <c r="AA232" s="78"/>
      <c r="AB232" s="68"/>
      <c r="AC232" s="163"/>
      <c r="AD232" s="164"/>
      <c r="AE232" s="164"/>
      <c r="AF232" s="165"/>
      <c r="AG232" s="166"/>
      <c r="AH232" s="79"/>
      <c r="AI232" s="79"/>
      <c r="AJ232" s="19" t="s">
        <v>198</v>
      </c>
      <c r="AK232" s="19" t="s">
        <v>185</v>
      </c>
      <c r="AL232" s="19" t="s">
        <v>185</v>
      </c>
      <c r="AM232" s="107" t="s">
        <v>1229</v>
      </c>
      <c r="AN232" s="20">
        <v>182</v>
      </c>
      <c r="AO232" s="20">
        <v>3</v>
      </c>
      <c r="AP232" s="20">
        <v>0</v>
      </c>
      <c r="AQ232" s="20">
        <v>73</v>
      </c>
      <c r="AR232" s="20">
        <v>15</v>
      </c>
      <c r="AS232" s="20">
        <v>7</v>
      </c>
      <c r="AT232" s="20">
        <v>10</v>
      </c>
      <c r="AU232" s="300">
        <f t="shared" si="34"/>
        <v>290</v>
      </c>
      <c r="AV232" s="20">
        <v>190</v>
      </c>
      <c r="AW232" s="20">
        <v>3</v>
      </c>
      <c r="AX232" s="20">
        <v>0</v>
      </c>
      <c r="AY232" s="20">
        <v>73</v>
      </c>
      <c r="AZ232" s="20">
        <v>15</v>
      </c>
      <c r="BA232" s="20">
        <v>7</v>
      </c>
      <c r="BB232" s="20">
        <v>10</v>
      </c>
      <c r="BC232" s="300">
        <f t="shared" si="35"/>
        <v>298</v>
      </c>
      <c r="BD232" s="42">
        <f t="shared" si="36"/>
        <v>8</v>
      </c>
      <c r="BE232" s="42">
        <f t="shared" si="37"/>
        <v>0</v>
      </c>
      <c r="BF232" s="42">
        <f t="shared" si="38"/>
        <v>0</v>
      </c>
      <c r="BG232" s="42">
        <f t="shared" si="39"/>
        <v>0</v>
      </c>
      <c r="BH232" s="42">
        <f t="shared" si="40"/>
        <v>0</v>
      </c>
      <c r="BI232" s="42">
        <f t="shared" si="41"/>
        <v>0</v>
      </c>
      <c r="BJ232" s="42">
        <f t="shared" si="42"/>
        <v>0</v>
      </c>
      <c r="BK232" s="42">
        <f t="shared" si="43"/>
        <v>8</v>
      </c>
    </row>
    <row r="233" spans="1:63" ht="27" customHeight="1">
      <c r="A233" s="11">
        <f t="shared" si="44"/>
        <v>231</v>
      </c>
      <c r="B233" s="12" t="s">
        <v>1796</v>
      </c>
      <c r="C233" s="8">
        <v>1917</v>
      </c>
      <c r="D233" s="103" t="s">
        <v>1797</v>
      </c>
      <c r="E233" s="69">
        <v>110456416</v>
      </c>
      <c r="F233" s="62" t="s">
        <v>825</v>
      </c>
      <c r="G233" s="63" t="s">
        <v>1798</v>
      </c>
      <c r="H233" s="13" t="s">
        <v>1799</v>
      </c>
      <c r="I233" s="14" t="s">
        <v>1800</v>
      </c>
      <c r="J233" s="64" t="s">
        <v>173</v>
      </c>
      <c r="K233" s="22">
        <v>33727</v>
      </c>
      <c r="L233" s="66" t="s">
        <v>174</v>
      </c>
      <c r="M233" s="23">
        <v>42845</v>
      </c>
      <c r="N233" s="23"/>
      <c r="O233" s="15" t="s">
        <v>32</v>
      </c>
      <c r="P233" s="16" t="s">
        <v>1276</v>
      </c>
      <c r="Q233" s="16" t="s">
        <v>176</v>
      </c>
      <c r="R233" s="15" t="s">
        <v>177</v>
      </c>
      <c r="S233" s="11" t="s">
        <v>223</v>
      </c>
      <c r="T233" s="159"/>
      <c r="U233" s="159"/>
      <c r="V233" s="19" t="s">
        <v>179</v>
      </c>
      <c r="W233" s="19" t="s">
        <v>179</v>
      </c>
      <c r="X233" s="1">
        <v>6</v>
      </c>
      <c r="Y233" s="160" t="s">
        <v>1801</v>
      </c>
      <c r="Z233" s="70"/>
      <c r="AA233" s="70" t="s">
        <v>181</v>
      </c>
      <c r="AB233" s="1"/>
      <c r="AC233" s="161" t="s">
        <v>197</v>
      </c>
      <c r="AD233" s="99"/>
      <c r="AE233" s="99"/>
      <c r="AF233" s="108"/>
      <c r="AG233" s="106"/>
      <c r="AH233" s="162"/>
      <c r="AI233" s="162"/>
      <c r="AJ233" s="19" t="s">
        <v>198</v>
      </c>
      <c r="AK233" s="19" t="s">
        <v>185</v>
      </c>
      <c r="AL233" s="19" t="s">
        <v>185</v>
      </c>
      <c r="AM233" s="107" t="s">
        <v>1229</v>
      </c>
      <c r="AN233" s="20">
        <v>182</v>
      </c>
      <c r="AO233" s="20">
        <v>3</v>
      </c>
      <c r="AP233" s="20">
        <v>20</v>
      </c>
      <c r="AQ233" s="20">
        <v>0</v>
      </c>
      <c r="AR233" s="20">
        <v>0</v>
      </c>
      <c r="AS233" s="20">
        <v>7</v>
      </c>
      <c r="AT233" s="20">
        <v>10</v>
      </c>
      <c r="AU233" s="300">
        <f t="shared" si="34"/>
        <v>222</v>
      </c>
      <c r="AV233" s="20">
        <v>190</v>
      </c>
      <c r="AW233" s="20">
        <v>3</v>
      </c>
      <c r="AX233" s="20">
        <v>20</v>
      </c>
      <c r="AY233" s="20">
        <v>0</v>
      </c>
      <c r="AZ233" s="20">
        <v>0</v>
      </c>
      <c r="BA233" s="20">
        <v>7</v>
      </c>
      <c r="BB233" s="20">
        <v>10</v>
      </c>
      <c r="BC233" s="300">
        <f t="shared" si="35"/>
        <v>230</v>
      </c>
      <c r="BD233" s="42">
        <f t="shared" si="36"/>
        <v>8</v>
      </c>
      <c r="BE233" s="42">
        <f t="shared" si="37"/>
        <v>0</v>
      </c>
      <c r="BF233" s="42">
        <f t="shared" si="38"/>
        <v>0</v>
      </c>
      <c r="BG233" s="42">
        <f t="shared" si="39"/>
        <v>0</v>
      </c>
      <c r="BH233" s="42">
        <f t="shared" si="40"/>
        <v>0</v>
      </c>
      <c r="BI233" s="42">
        <f t="shared" si="41"/>
        <v>0</v>
      </c>
      <c r="BJ233" s="42">
        <f t="shared" si="42"/>
        <v>0</v>
      </c>
      <c r="BK233" s="42">
        <f t="shared" si="43"/>
        <v>8</v>
      </c>
    </row>
    <row r="234" spans="1:63" ht="27" customHeight="1">
      <c r="A234" s="11">
        <f t="shared" si="44"/>
        <v>232</v>
      </c>
      <c r="B234" s="12" t="s">
        <v>1802</v>
      </c>
      <c r="C234" s="8">
        <v>1920</v>
      </c>
      <c r="D234" s="103" t="s">
        <v>1803</v>
      </c>
      <c r="E234" s="69">
        <v>110530664</v>
      </c>
      <c r="F234" s="62" t="s">
        <v>1061</v>
      </c>
      <c r="G234" s="63" t="s">
        <v>1804</v>
      </c>
      <c r="H234" s="13" t="s">
        <v>1063</v>
      </c>
      <c r="I234" s="14" t="s">
        <v>1805</v>
      </c>
      <c r="J234" s="64" t="s">
        <v>173</v>
      </c>
      <c r="K234" s="22">
        <v>35999</v>
      </c>
      <c r="L234" s="66" t="s">
        <v>174</v>
      </c>
      <c r="M234" s="23">
        <v>42846</v>
      </c>
      <c r="N234" s="23"/>
      <c r="O234" s="15" t="s">
        <v>32</v>
      </c>
      <c r="P234" s="16" t="s">
        <v>1080</v>
      </c>
      <c r="Q234" s="16" t="s">
        <v>176</v>
      </c>
      <c r="R234" s="15" t="s">
        <v>177</v>
      </c>
      <c r="S234" s="11" t="s">
        <v>223</v>
      </c>
      <c r="T234" s="159"/>
      <c r="U234" s="159"/>
      <c r="V234" s="19" t="s">
        <v>179</v>
      </c>
      <c r="W234" s="19" t="s">
        <v>179</v>
      </c>
      <c r="X234" s="1">
        <v>7</v>
      </c>
      <c r="Y234" s="160" t="s">
        <v>1806</v>
      </c>
      <c r="Z234" s="70" t="s">
        <v>181</v>
      </c>
      <c r="AA234" s="70"/>
      <c r="AB234" s="1"/>
      <c r="AC234" s="161"/>
      <c r="AD234" s="99"/>
      <c r="AE234" s="99"/>
      <c r="AF234" s="108"/>
      <c r="AG234" s="106"/>
      <c r="AH234" s="162"/>
      <c r="AI234" s="162"/>
      <c r="AJ234" s="19" t="s">
        <v>198</v>
      </c>
      <c r="AK234" s="19" t="s">
        <v>185</v>
      </c>
      <c r="AL234" s="19" t="s">
        <v>185</v>
      </c>
      <c r="AM234" s="107" t="s">
        <v>1595</v>
      </c>
      <c r="AN234" s="20">
        <v>182</v>
      </c>
      <c r="AO234" s="20">
        <v>3</v>
      </c>
      <c r="AP234" s="20">
        <v>0</v>
      </c>
      <c r="AQ234" s="20">
        <v>0</v>
      </c>
      <c r="AR234" s="20">
        <v>0</v>
      </c>
      <c r="AS234" s="20">
        <v>7</v>
      </c>
      <c r="AT234" s="20">
        <v>10</v>
      </c>
      <c r="AU234" s="300">
        <f t="shared" si="34"/>
        <v>202</v>
      </c>
      <c r="AV234" s="20">
        <v>190</v>
      </c>
      <c r="AW234" s="20">
        <v>3</v>
      </c>
      <c r="AX234" s="20">
        <v>0</v>
      </c>
      <c r="AY234" s="20">
        <v>0</v>
      </c>
      <c r="AZ234" s="20">
        <v>0</v>
      </c>
      <c r="BA234" s="20">
        <v>7</v>
      </c>
      <c r="BB234" s="20">
        <v>10</v>
      </c>
      <c r="BC234" s="300">
        <f t="shared" si="35"/>
        <v>210</v>
      </c>
      <c r="BD234" s="42">
        <f t="shared" si="36"/>
        <v>8</v>
      </c>
      <c r="BE234" s="42">
        <f t="shared" si="37"/>
        <v>0</v>
      </c>
      <c r="BF234" s="42">
        <f t="shared" si="38"/>
        <v>0</v>
      </c>
      <c r="BG234" s="42">
        <f t="shared" si="39"/>
        <v>0</v>
      </c>
      <c r="BH234" s="42">
        <f t="shared" si="40"/>
        <v>0</v>
      </c>
      <c r="BI234" s="42">
        <f t="shared" si="41"/>
        <v>0</v>
      </c>
      <c r="BJ234" s="42">
        <f t="shared" si="42"/>
        <v>0</v>
      </c>
      <c r="BK234" s="42">
        <f t="shared" si="43"/>
        <v>8</v>
      </c>
    </row>
    <row r="235" spans="1:63" ht="27" customHeight="1">
      <c r="A235" s="11">
        <f t="shared" si="44"/>
        <v>233</v>
      </c>
      <c r="B235" s="12" t="s">
        <v>1807</v>
      </c>
      <c r="C235" s="8">
        <v>1923</v>
      </c>
      <c r="D235" s="103" t="s">
        <v>1808</v>
      </c>
      <c r="E235" s="69">
        <v>51164135</v>
      </c>
      <c r="F235" s="62" t="s">
        <v>1809</v>
      </c>
      <c r="G235" s="63" t="s">
        <v>1810</v>
      </c>
      <c r="H235" s="13" t="s">
        <v>1811</v>
      </c>
      <c r="I235" s="14" t="s">
        <v>1812</v>
      </c>
      <c r="J235" s="64" t="s">
        <v>173</v>
      </c>
      <c r="K235" s="22">
        <v>31233</v>
      </c>
      <c r="L235" s="66" t="s">
        <v>174</v>
      </c>
      <c r="M235" s="23">
        <v>42846</v>
      </c>
      <c r="N235" s="23"/>
      <c r="O235" s="15" t="s">
        <v>32</v>
      </c>
      <c r="P235" s="16" t="s">
        <v>304</v>
      </c>
      <c r="Q235" s="16" t="s">
        <v>176</v>
      </c>
      <c r="R235" s="15" t="s">
        <v>177</v>
      </c>
      <c r="S235" s="11" t="s">
        <v>214</v>
      </c>
      <c r="T235" s="159"/>
      <c r="U235" s="159"/>
      <c r="V235" s="19" t="s">
        <v>179</v>
      </c>
      <c r="W235" s="19" t="s">
        <v>179</v>
      </c>
      <c r="X235" s="1">
        <v>5</v>
      </c>
      <c r="Y235" s="160" t="s">
        <v>1813</v>
      </c>
      <c r="Z235" s="70"/>
      <c r="AA235" s="70" t="s">
        <v>181</v>
      </c>
      <c r="AB235" s="70"/>
      <c r="AC235" s="161" t="s">
        <v>197</v>
      </c>
      <c r="AD235" s="99"/>
      <c r="AE235" s="99"/>
      <c r="AF235" s="108"/>
      <c r="AG235" s="106"/>
      <c r="AH235" s="162"/>
      <c r="AI235" s="162"/>
      <c r="AJ235" s="19" t="s">
        <v>198</v>
      </c>
      <c r="AK235" s="19" t="s">
        <v>185</v>
      </c>
      <c r="AL235" s="19" t="s">
        <v>185</v>
      </c>
      <c r="AM235" s="107" t="s">
        <v>1814</v>
      </c>
      <c r="AN235" s="20">
        <v>182</v>
      </c>
      <c r="AO235" s="20">
        <v>3</v>
      </c>
      <c r="AP235" s="20">
        <v>0</v>
      </c>
      <c r="AQ235" s="20">
        <v>0</v>
      </c>
      <c r="AR235" s="20">
        <v>0</v>
      </c>
      <c r="AS235" s="20">
        <v>7</v>
      </c>
      <c r="AT235" s="20">
        <v>10</v>
      </c>
      <c r="AU235" s="300">
        <f t="shared" si="34"/>
        <v>202</v>
      </c>
      <c r="AV235" s="20">
        <v>190</v>
      </c>
      <c r="AW235" s="20">
        <v>3</v>
      </c>
      <c r="AX235" s="20">
        <v>0</v>
      </c>
      <c r="AY235" s="20">
        <v>0</v>
      </c>
      <c r="AZ235" s="20">
        <v>0</v>
      </c>
      <c r="BA235" s="20">
        <v>7</v>
      </c>
      <c r="BB235" s="20">
        <v>10</v>
      </c>
      <c r="BC235" s="300">
        <f t="shared" si="35"/>
        <v>210</v>
      </c>
      <c r="BD235" s="42">
        <f t="shared" si="36"/>
        <v>8</v>
      </c>
      <c r="BE235" s="42">
        <f t="shared" si="37"/>
        <v>0</v>
      </c>
      <c r="BF235" s="42">
        <f t="shared" si="38"/>
        <v>0</v>
      </c>
      <c r="BG235" s="42">
        <f t="shared" si="39"/>
        <v>0</v>
      </c>
      <c r="BH235" s="42">
        <f t="shared" si="40"/>
        <v>0</v>
      </c>
      <c r="BI235" s="42">
        <f t="shared" si="41"/>
        <v>0</v>
      </c>
      <c r="BJ235" s="42">
        <f t="shared" si="42"/>
        <v>0</v>
      </c>
      <c r="BK235" s="42">
        <f t="shared" si="43"/>
        <v>8</v>
      </c>
    </row>
    <row r="236" spans="1:63" ht="27" customHeight="1">
      <c r="A236" s="11">
        <f t="shared" si="44"/>
        <v>234</v>
      </c>
      <c r="B236" s="12" t="s">
        <v>1815</v>
      </c>
      <c r="C236" s="8">
        <v>1925</v>
      </c>
      <c r="D236" s="60" t="s">
        <v>1816</v>
      </c>
      <c r="E236" s="69">
        <v>130099860</v>
      </c>
      <c r="F236" s="62" t="s">
        <v>452</v>
      </c>
      <c r="G236" s="63" t="s">
        <v>1817</v>
      </c>
      <c r="H236" s="13" t="s">
        <v>454</v>
      </c>
      <c r="I236" s="14" t="s">
        <v>1818</v>
      </c>
      <c r="J236" s="64" t="s">
        <v>173</v>
      </c>
      <c r="K236" s="22">
        <v>32417</v>
      </c>
      <c r="L236" s="66" t="s">
        <v>174</v>
      </c>
      <c r="M236" s="23">
        <v>42846</v>
      </c>
      <c r="N236" s="23"/>
      <c r="O236" s="15" t="s">
        <v>32</v>
      </c>
      <c r="P236" s="16" t="s">
        <v>222</v>
      </c>
      <c r="Q236" s="16" t="s">
        <v>176</v>
      </c>
      <c r="R236" s="15" t="s">
        <v>177</v>
      </c>
      <c r="S236" s="17" t="s">
        <v>251</v>
      </c>
      <c r="T236" s="159"/>
      <c r="U236" s="159"/>
      <c r="V236" s="19" t="s">
        <v>179</v>
      </c>
      <c r="W236" s="19" t="s">
        <v>179</v>
      </c>
      <c r="X236" s="1">
        <v>7</v>
      </c>
      <c r="Y236" s="160" t="s">
        <v>1819</v>
      </c>
      <c r="Z236" s="70"/>
      <c r="AA236" s="70" t="s">
        <v>181</v>
      </c>
      <c r="AB236" s="70"/>
      <c r="AC236" s="161" t="s">
        <v>1820</v>
      </c>
      <c r="AD236" s="99"/>
      <c r="AE236" s="99"/>
      <c r="AF236" s="108"/>
      <c r="AG236" s="106"/>
      <c r="AH236" s="162"/>
      <c r="AI236" s="162"/>
      <c r="AJ236" s="19" t="s">
        <v>198</v>
      </c>
      <c r="AK236" s="19" t="s">
        <v>185</v>
      </c>
      <c r="AL236" s="19" t="s">
        <v>185</v>
      </c>
      <c r="AM236" s="107" t="s">
        <v>1509</v>
      </c>
      <c r="AN236" s="20">
        <v>182</v>
      </c>
      <c r="AO236" s="20">
        <v>3</v>
      </c>
      <c r="AP236" s="20">
        <v>0</v>
      </c>
      <c r="AQ236" s="20">
        <v>0</v>
      </c>
      <c r="AR236" s="20">
        <v>0</v>
      </c>
      <c r="AS236" s="20">
        <v>7</v>
      </c>
      <c r="AT236" s="20">
        <v>10</v>
      </c>
      <c r="AU236" s="300">
        <f t="shared" si="34"/>
        <v>202</v>
      </c>
      <c r="AV236" s="20">
        <v>190</v>
      </c>
      <c r="AW236" s="20">
        <v>3</v>
      </c>
      <c r="AX236" s="20">
        <v>0</v>
      </c>
      <c r="AY236" s="20">
        <v>0</v>
      </c>
      <c r="AZ236" s="20">
        <v>0</v>
      </c>
      <c r="BA236" s="20">
        <v>7</v>
      </c>
      <c r="BB236" s="20">
        <v>10</v>
      </c>
      <c r="BC236" s="300">
        <f t="shared" si="35"/>
        <v>210</v>
      </c>
      <c r="BD236" s="42">
        <f t="shared" si="36"/>
        <v>8</v>
      </c>
      <c r="BE236" s="42">
        <f t="shared" si="37"/>
        <v>0</v>
      </c>
      <c r="BF236" s="42">
        <f t="shared" si="38"/>
        <v>0</v>
      </c>
      <c r="BG236" s="42">
        <f t="shared" si="39"/>
        <v>0</v>
      </c>
      <c r="BH236" s="42">
        <f t="shared" si="40"/>
        <v>0</v>
      </c>
      <c r="BI236" s="42">
        <f t="shared" si="41"/>
        <v>0</v>
      </c>
      <c r="BJ236" s="42">
        <f t="shared" si="42"/>
        <v>0</v>
      </c>
      <c r="BK236" s="42">
        <f t="shared" si="43"/>
        <v>8</v>
      </c>
    </row>
    <row r="237" spans="1:63" ht="27" customHeight="1">
      <c r="A237" s="11">
        <f t="shared" si="44"/>
        <v>235</v>
      </c>
      <c r="B237" s="12" t="s">
        <v>1821</v>
      </c>
      <c r="C237" s="8">
        <v>1931</v>
      </c>
      <c r="D237" s="103" t="s">
        <v>1822</v>
      </c>
      <c r="E237" s="69">
        <v>130175060</v>
      </c>
      <c r="F237" s="62" t="s">
        <v>1823</v>
      </c>
      <c r="G237" s="63" t="s">
        <v>274</v>
      </c>
      <c r="H237" s="13" t="s">
        <v>1824</v>
      </c>
      <c r="I237" s="14" t="s">
        <v>1825</v>
      </c>
      <c r="J237" s="64" t="s">
        <v>173</v>
      </c>
      <c r="K237" s="22">
        <v>29465</v>
      </c>
      <c r="L237" s="66" t="s">
        <v>174</v>
      </c>
      <c r="M237" s="23">
        <v>42846</v>
      </c>
      <c r="N237" s="23"/>
      <c r="O237" s="15" t="s">
        <v>32</v>
      </c>
      <c r="P237" s="16" t="s">
        <v>334</v>
      </c>
      <c r="Q237" s="16" t="s">
        <v>176</v>
      </c>
      <c r="R237" s="15" t="s">
        <v>177</v>
      </c>
      <c r="S237" s="17" t="s">
        <v>251</v>
      </c>
      <c r="T237" s="159"/>
      <c r="U237" s="159"/>
      <c r="V237" s="19" t="s">
        <v>179</v>
      </c>
      <c r="W237" s="19" t="s">
        <v>179</v>
      </c>
      <c r="X237" s="1">
        <v>6</v>
      </c>
      <c r="Y237" s="160" t="s">
        <v>1826</v>
      </c>
      <c r="Z237" s="70"/>
      <c r="AA237" s="70" t="s">
        <v>181</v>
      </c>
      <c r="AB237" s="70"/>
      <c r="AC237" s="161" t="s">
        <v>197</v>
      </c>
      <c r="AD237" s="99"/>
      <c r="AE237" s="99"/>
      <c r="AF237" s="108"/>
      <c r="AG237" s="106"/>
      <c r="AH237" s="162"/>
      <c r="AI237" s="162"/>
      <c r="AJ237" s="19" t="s">
        <v>198</v>
      </c>
      <c r="AK237" s="19" t="s">
        <v>185</v>
      </c>
      <c r="AL237" s="19" t="s">
        <v>185</v>
      </c>
      <c r="AM237" s="107" t="s">
        <v>1229</v>
      </c>
      <c r="AN237" s="20">
        <v>182</v>
      </c>
      <c r="AO237" s="20">
        <v>3</v>
      </c>
      <c r="AP237" s="20">
        <v>0</v>
      </c>
      <c r="AQ237" s="20">
        <v>0</v>
      </c>
      <c r="AR237" s="20">
        <v>0</v>
      </c>
      <c r="AS237" s="20">
        <v>7</v>
      </c>
      <c r="AT237" s="20">
        <v>10</v>
      </c>
      <c r="AU237" s="300">
        <f t="shared" si="34"/>
        <v>202</v>
      </c>
      <c r="AV237" s="20">
        <v>190</v>
      </c>
      <c r="AW237" s="20">
        <v>3</v>
      </c>
      <c r="AX237" s="20">
        <v>0</v>
      </c>
      <c r="AY237" s="20">
        <v>0</v>
      </c>
      <c r="AZ237" s="20">
        <v>0</v>
      </c>
      <c r="BA237" s="20">
        <v>7</v>
      </c>
      <c r="BB237" s="20">
        <v>10</v>
      </c>
      <c r="BC237" s="300">
        <f t="shared" si="35"/>
        <v>210</v>
      </c>
      <c r="BD237" s="42">
        <f t="shared" si="36"/>
        <v>8</v>
      </c>
      <c r="BE237" s="42">
        <f t="shared" si="37"/>
        <v>0</v>
      </c>
      <c r="BF237" s="42">
        <f t="shared" si="38"/>
        <v>0</v>
      </c>
      <c r="BG237" s="42">
        <f t="shared" si="39"/>
        <v>0</v>
      </c>
      <c r="BH237" s="42">
        <f t="shared" si="40"/>
        <v>0</v>
      </c>
      <c r="BI237" s="42">
        <f t="shared" si="41"/>
        <v>0</v>
      </c>
      <c r="BJ237" s="42">
        <f t="shared" si="42"/>
        <v>0</v>
      </c>
      <c r="BK237" s="42">
        <f t="shared" si="43"/>
        <v>8</v>
      </c>
    </row>
    <row r="238" spans="1:63" ht="27" customHeight="1">
      <c r="A238" s="11">
        <f t="shared" si="44"/>
        <v>236</v>
      </c>
      <c r="B238" s="12" t="s">
        <v>1827</v>
      </c>
      <c r="C238" s="8">
        <v>1939</v>
      </c>
      <c r="D238" s="60" t="s">
        <v>1828</v>
      </c>
      <c r="E238" s="69">
        <v>30550587</v>
      </c>
      <c r="F238" s="62" t="s">
        <v>330</v>
      </c>
      <c r="G238" s="63" t="s">
        <v>1315</v>
      </c>
      <c r="H238" s="13" t="s">
        <v>1215</v>
      </c>
      <c r="I238" s="14" t="s">
        <v>1829</v>
      </c>
      <c r="J238" s="64" t="s">
        <v>173</v>
      </c>
      <c r="K238" s="22">
        <v>33977</v>
      </c>
      <c r="L238" s="66" t="s">
        <v>174</v>
      </c>
      <c r="M238" s="23">
        <v>42849</v>
      </c>
      <c r="N238" s="23"/>
      <c r="O238" s="15" t="s">
        <v>32</v>
      </c>
      <c r="P238" s="16" t="s">
        <v>222</v>
      </c>
      <c r="Q238" s="16" t="s">
        <v>176</v>
      </c>
      <c r="R238" s="15" t="s">
        <v>177</v>
      </c>
      <c r="S238" s="11" t="s">
        <v>305</v>
      </c>
      <c r="T238" s="159"/>
      <c r="U238" s="159"/>
      <c r="V238" s="19" t="s">
        <v>179</v>
      </c>
      <c r="W238" s="19" t="s">
        <v>179</v>
      </c>
      <c r="X238" s="1">
        <v>5</v>
      </c>
      <c r="Y238" s="160" t="s">
        <v>1830</v>
      </c>
      <c r="Z238" s="70" t="s">
        <v>181</v>
      </c>
      <c r="AA238" s="70"/>
      <c r="AB238" s="1"/>
      <c r="AC238" s="161"/>
      <c r="AD238" s="99"/>
      <c r="AE238" s="99"/>
      <c r="AF238" s="108"/>
      <c r="AG238" s="106"/>
      <c r="AH238" s="162"/>
      <c r="AI238" s="162"/>
      <c r="AJ238" s="19" t="s">
        <v>198</v>
      </c>
      <c r="AK238" s="19" t="s">
        <v>185</v>
      </c>
      <c r="AL238" s="19" t="s">
        <v>185</v>
      </c>
      <c r="AM238" s="107" t="s">
        <v>1229</v>
      </c>
      <c r="AN238" s="20">
        <v>182</v>
      </c>
      <c r="AO238" s="20">
        <v>3</v>
      </c>
      <c r="AP238" s="20">
        <v>0</v>
      </c>
      <c r="AQ238" s="20">
        <v>0</v>
      </c>
      <c r="AR238" s="20">
        <v>0</v>
      </c>
      <c r="AS238" s="20">
        <v>7</v>
      </c>
      <c r="AT238" s="20">
        <v>10</v>
      </c>
      <c r="AU238" s="300">
        <f t="shared" si="34"/>
        <v>202</v>
      </c>
      <c r="AV238" s="20">
        <v>190</v>
      </c>
      <c r="AW238" s="20">
        <v>3</v>
      </c>
      <c r="AX238" s="20">
        <v>0</v>
      </c>
      <c r="AY238" s="20">
        <v>0</v>
      </c>
      <c r="AZ238" s="20">
        <v>0</v>
      </c>
      <c r="BA238" s="20">
        <v>7</v>
      </c>
      <c r="BB238" s="20">
        <v>10</v>
      </c>
      <c r="BC238" s="300">
        <f t="shared" si="35"/>
        <v>210</v>
      </c>
      <c r="BD238" s="42">
        <f t="shared" si="36"/>
        <v>8</v>
      </c>
      <c r="BE238" s="42">
        <f t="shared" si="37"/>
        <v>0</v>
      </c>
      <c r="BF238" s="42">
        <f t="shared" si="38"/>
        <v>0</v>
      </c>
      <c r="BG238" s="42">
        <f t="shared" si="39"/>
        <v>0</v>
      </c>
      <c r="BH238" s="42">
        <f t="shared" si="40"/>
        <v>0</v>
      </c>
      <c r="BI238" s="42">
        <f t="shared" si="41"/>
        <v>0</v>
      </c>
      <c r="BJ238" s="42">
        <f t="shared" si="42"/>
        <v>0</v>
      </c>
      <c r="BK238" s="42">
        <f t="shared" si="43"/>
        <v>8</v>
      </c>
    </row>
    <row r="239" spans="1:63" ht="27" customHeight="1">
      <c r="A239" s="11">
        <f t="shared" si="44"/>
        <v>237</v>
      </c>
      <c r="B239" s="12" t="s">
        <v>1831</v>
      </c>
      <c r="C239" s="8">
        <v>1942</v>
      </c>
      <c r="D239" s="103" t="s">
        <v>1832</v>
      </c>
      <c r="E239" s="69">
        <v>130101777</v>
      </c>
      <c r="F239" s="62" t="s">
        <v>971</v>
      </c>
      <c r="G239" s="63" t="s">
        <v>1833</v>
      </c>
      <c r="H239" s="13" t="s">
        <v>972</v>
      </c>
      <c r="I239" s="14" t="s">
        <v>1834</v>
      </c>
      <c r="J239" s="64" t="s">
        <v>173</v>
      </c>
      <c r="K239" s="22">
        <v>33361</v>
      </c>
      <c r="L239" s="66" t="s">
        <v>174</v>
      </c>
      <c r="M239" s="23">
        <v>42847</v>
      </c>
      <c r="N239" s="23"/>
      <c r="O239" s="15" t="s">
        <v>32</v>
      </c>
      <c r="P239" s="16" t="s">
        <v>599</v>
      </c>
      <c r="Q239" s="16" t="s">
        <v>176</v>
      </c>
      <c r="R239" s="15" t="s">
        <v>177</v>
      </c>
      <c r="S239" s="17" t="s">
        <v>251</v>
      </c>
      <c r="T239" s="159"/>
      <c r="U239" s="159"/>
      <c r="V239" s="19" t="s">
        <v>179</v>
      </c>
      <c r="W239" s="19" t="s">
        <v>179</v>
      </c>
      <c r="X239" s="1">
        <v>7</v>
      </c>
      <c r="Y239" s="61" t="s">
        <v>179</v>
      </c>
      <c r="Z239" s="70" t="s">
        <v>181</v>
      </c>
      <c r="AA239" s="70"/>
      <c r="AB239" s="1"/>
      <c r="AC239" s="161"/>
      <c r="AD239" s="99"/>
      <c r="AE239" s="99"/>
      <c r="AF239" s="108"/>
      <c r="AG239" s="106"/>
      <c r="AH239" s="162"/>
      <c r="AI239" s="162"/>
      <c r="AJ239" s="19" t="s">
        <v>198</v>
      </c>
      <c r="AK239" s="19" t="s">
        <v>185</v>
      </c>
      <c r="AL239" s="19" t="s">
        <v>185</v>
      </c>
      <c r="AM239" s="107" t="s">
        <v>1768</v>
      </c>
      <c r="AN239" s="20">
        <v>182</v>
      </c>
      <c r="AO239" s="20">
        <v>3</v>
      </c>
      <c r="AP239" s="20">
        <v>0</v>
      </c>
      <c r="AQ239" s="20">
        <v>0</v>
      </c>
      <c r="AR239" s="20">
        <v>0</v>
      </c>
      <c r="AS239" s="20">
        <v>7</v>
      </c>
      <c r="AT239" s="20">
        <v>10</v>
      </c>
      <c r="AU239" s="300">
        <f t="shared" si="34"/>
        <v>202</v>
      </c>
      <c r="AV239" s="20">
        <v>190</v>
      </c>
      <c r="AW239" s="20">
        <v>3</v>
      </c>
      <c r="AX239" s="20">
        <v>0</v>
      </c>
      <c r="AY239" s="20">
        <v>0</v>
      </c>
      <c r="AZ239" s="20">
        <v>0</v>
      </c>
      <c r="BA239" s="20">
        <v>7</v>
      </c>
      <c r="BB239" s="20">
        <v>10</v>
      </c>
      <c r="BC239" s="300">
        <f t="shared" si="35"/>
        <v>210</v>
      </c>
      <c r="BD239" s="42">
        <f t="shared" si="36"/>
        <v>8</v>
      </c>
      <c r="BE239" s="42">
        <f t="shared" si="37"/>
        <v>0</v>
      </c>
      <c r="BF239" s="42">
        <f t="shared" si="38"/>
        <v>0</v>
      </c>
      <c r="BG239" s="42">
        <f t="shared" si="39"/>
        <v>0</v>
      </c>
      <c r="BH239" s="42">
        <f t="shared" si="40"/>
        <v>0</v>
      </c>
      <c r="BI239" s="42">
        <f t="shared" si="41"/>
        <v>0</v>
      </c>
      <c r="BJ239" s="42">
        <f t="shared" si="42"/>
        <v>0</v>
      </c>
      <c r="BK239" s="42">
        <f t="shared" si="43"/>
        <v>8</v>
      </c>
    </row>
    <row r="240" spans="1:63" ht="27" customHeight="1">
      <c r="A240" s="11">
        <f t="shared" si="44"/>
        <v>238</v>
      </c>
      <c r="B240" s="12" t="s">
        <v>1835</v>
      </c>
      <c r="C240" s="8">
        <v>1943</v>
      </c>
      <c r="D240" s="103" t="s">
        <v>1836</v>
      </c>
      <c r="E240" s="69">
        <v>110450870</v>
      </c>
      <c r="F240" s="62" t="s">
        <v>1837</v>
      </c>
      <c r="G240" s="63" t="s">
        <v>1838</v>
      </c>
      <c r="H240" s="13" t="s">
        <v>1839</v>
      </c>
      <c r="I240" s="14" t="s">
        <v>1840</v>
      </c>
      <c r="J240" s="64" t="s">
        <v>173</v>
      </c>
      <c r="K240" s="22">
        <v>34995</v>
      </c>
      <c r="L240" s="66" t="s">
        <v>174</v>
      </c>
      <c r="M240" s="23">
        <v>42849</v>
      </c>
      <c r="N240" s="23"/>
      <c r="O240" s="15" t="s">
        <v>32</v>
      </c>
      <c r="P240" s="16" t="s">
        <v>343</v>
      </c>
      <c r="Q240" s="16" t="s">
        <v>176</v>
      </c>
      <c r="R240" s="15" t="s">
        <v>177</v>
      </c>
      <c r="S240" s="11" t="s">
        <v>223</v>
      </c>
      <c r="T240" s="159"/>
      <c r="U240" s="159"/>
      <c r="V240" s="19" t="s">
        <v>179</v>
      </c>
      <c r="W240" s="19" t="s">
        <v>179</v>
      </c>
      <c r="X240" s="1">
        <v>5</v>
      </c>
      <c r="Y240" s="160" t="s">
        <v>1841</v>
      </c>
      <c r="Z240" s="70"/>
      <c r="AA240" s="70"/>
      <c r="AB240" s="70" t="s">
        <v>181</v>
      </c>
      <c r="AC240" s="161"/>
      <c r="AD240" s="99"/>
      <c r="AE240" s="99"/>
      <c r="AF240" s="108"/>
      <c r="AG240" s="106"/>
      <c r="AH240" s="162"/>
      <c r="AI240" s="162"/>
      <c r="AJ240" s="19" t="s">
        <v>198</v>
      </c>
      <c r="AK240" s="19" t="s">
        <v>185</v>
      </c>
      <c r="AL240" s="19" t="s">
        <v>185</v>
      </c>
      <c r="AM240" s="107" t="s">
        <v>1534</v>
      </c>
      <c r="AN240" s="20">
        <v>182</v>
      </c>
      <c r="AO240" s="20">
        <v>3</v>
      </c>
      <c r="AP240" s="20">
        <v>0</v>
      </c>
      <c r="AQ240" s="20">
        <v>0</v>
      </c>
      <c r="AR240" s="20">
        <v>0</v>
      </c>
      <c r="AS240" s="20">
        <v>7</v>
      </c>
      <c r="AT240" s="20">
        <v>10</v>
      </c>
      <c r="AU240" s="300">
        <f t="shared" si="34"/>
        <v>202</v>
      </c>
      <c r="AV240" s="20">
        <v>190</v>
      </c>
      <c r="AW240" s="20">
        <v>3</v>
      </c>
      <c r="AX240" s="20">
        <v>0</v>
      </c>
      <c r="AY240" s="20">
        <v>0</v>
      </c>
      <c r="AZ240" s="20">
        <v>0</v>
      </c>
      <c r="BA240" s="20">
        <v>7</v>
      </c>
      <c r="BB240" s="20">
        <v>10</v>
      </c>
      <c r="BC240" s="300">
        <f t="shared" si="35"/>
        <v>210</v>
      </c>
      <c r="BD240" s="42">
        <f t="shared" si="36"/>
        <v>8</v>
      </c>
      <c r="BE240" s="42">
        <f t="shared" si="37"/>
        <v>0</v>
      </c>
      <c r="BF240" s="42">
        <f t="shared" si="38"/>
        <v>0</v>
      </c>
      <c r="BG240" s="42">
        <f t="shared" si="39"/>
        <v>0</v>
      </c>
      <c r="BH240" s="42">
        <f t="shared" si="40"/>
        <v>0</v>
      </c>
      <c r="BI240" s="42">
        <f t="shared" si="41"/>
        <v>0</v>
      </c>
      <c r="BJ240" s="42">
        <f t="shared" si="42"/>
        <v>0</v>
      </c>
      <c r="BK240" s="42">
        <f t="shared" si="43"/>
        <v>8</v>
      </c>
    </row>
    <row r="241" spans="1:63" ht="27" customHeight="1">
      <c r="A241" s="11">
        <f t="shared" si="44"/>
        <v>239</v>
      </c>
      <c r="B241" s="12" t="s">
        <v>1842</v>
      </c>
      <c r="C241" s="8">
        <v>1944</v>
      </c>
      <c r="D241" s="103" t="s">
        <v>1843</v>
      </c>
      <c r="E241" s="69">
        <v>51479326</v>
      </c>
      <c r="F241" s="62" t="s">
        <v>727</v>
      </c>
      <c r="G241" s="63" t="s">
        <v>1844</v>
      </c>
      <c r="H241" s="13" t="s">
        <v>1845</v>
      </c>
      <c r="I241" s="14" t="s">
        <v>1846</v>
      </c>
      <c r="J241" s="64" t="s">
        <v>173</v>
      </c>
      <c r="K241" s="22">
        <v>31853</v>
      </c>
      <c r="L241" s="66" t="s">
        <v>174</v>
      </c>
      <c r="M241" s="23">
        <v>42849</v>
      </c>
      <c r="N241" s="23"/>
      <c r="O241" s="15" t="s">
        <v>32</v>
      </c>
      <c r="P241" s="16" t="s">
        <v>277</v>
      </c>
      <c r="Q241" s="16" t="s">
        <v>244</v>
      </c>
      <c r="R241" s="15" t="s">
        <v>177</v>
      </c>
      <c r="S241" s="11" t="s">
        <v>214</v>
      </c>
      <c r="T241" s="159"/>
      <c r="U241" s="159"/>
      <c r="V241" s="19" t="s">
        <v>179</v>
      </c>
      <c r="W241" s="19" t="s">
        <v>179</v>
      </c>
      <c r="X241" s="1">
        <v>8</v>
      </c>
      <c r="Y241" s="160" t="s">
        <v>1847</v>
      </c>
      <c r="Z241" s="70"/>
      <c r="AA241" s="70" t="s">
        <v>181</v>
      </c>
      <c r="AB241" s="1"/>
      <c r="AC241" s="161" t="s">
        <v>197</v>
      </c>
      <c r="AD241" s="99"/>
      <c r="AE241" s="99"/>
      <c r="AF241" s="108"/>
      <c r="AG241" s="106"/>
      <c r="AH241" s="162"/>
      <c r="AI241" s="162"/>
      <c r="AJ241" s="19" t="s">
        <v>198</v>
      </c>
      <c r="AK241" s="19" t="s">
        <v>185</v>
      </c>
      <c r="AL241" s="19" t="s">
        <v>185</v>
      </c>
      <c r="AM241" s="107" t="s">
        <v>1229</v>
      </c>
      <c r="AN241" s="20">
        <v>182</v>
      </c>
      <c r="AO241" s="20">
        <v>3</v>
      </c>
      <c r="AP241" s="20">
        <v>20</v>
      </c>
      <c r="AQ241" s="20">
        <v>0</v>
      </c>
      <c r="AR241" s="20">
        <v>0</v>
      </c>
      <c r="AS241" s="20">
        <v>7</v>
      </c>
      <c r="AT241" s="20">
        <v>10</v>
      </c>
      <c r="AU241" s="300">
        <f t="shared" si="34"/>
        <v>222</v>
      </c>
      <c r="AV241" s="20">
        <v>190</v>
      </c>
      <c r="AW241" s="20">
        <v>3</v>
      </c>
      <c r="AX241" s="20">
        <v>20</v>
      </c>
      <c r="AY241" s="20">
        <v>0</v>
      </c>
      <c r="AZ241" s="20">
        <v>0</v>
      </c>
      <c r="BA241" s="20">
        <v>7</v>
      </c>
      <c r="BB241" s="20">
        <v>10</v>
      </c>
      <c r="BC241" s="300">
        <f t="shared" si="35"/>
        <v>230</v>
      </c>
      <c r="BD241" s="42">
        <f t="shared" si="36"/>
        <v>8</v>
      </c>
      <c r="BE241" s="42">
        <f t="shared" si="37"/>
        <v>0</v>
      </c>
      <c r="BF241" s="42">
        <f t="shared" si="38"/>
        <v>0</v>
      </c>
      <c r="BG241" s="42">
        <f t="shared" si="39"/>
        <v>0</v>
      </c>
      <c r="BH241" s="42">
        <f t="shared" si="40"/>
        <v>0</v>
      </c>
      <c r="BI241" s="42">
        <f t="shared" si="41"/>
        <v>0</v>
      </c>
      <c r="BJ241" s="42">
        <f t="shared" si="42"/>
        <v>0</v>
      </c>
      <c r="BK241" s="42">
        <f t="shared" si="43"/>
        <v>8</v>
      </c>
    </row>
    <row r="242" spans="1:63" ht="27" customHeight="1">
      <c r="A242" s="11">
        <f t="shared" si="44"/>
        <v>240</v>
      </c>
      <c r="B242" s="12" t="s">
        <v>1848</v>
      </c>
      <c r="C242" s="8">
        <v>1945</v>
      </c>
      <c r="D242" s="103" t="s">
        <v>1849</v>
      </c>
      <c r="E242" s="69">
        <v>120034850</v>
      </c>
      <c r="F242" s="62" t="s">
        <v>476</v>
      </c>
      <c r="G242" s="63" t="s">
        <v>1024</v>
      </c>
      <c r="H242" s="13" t="s">
        <v>1056</v>
      </c>
      <c r="I242" s="14" t="s">
        <v>1026</v>
      </c>
      <c r="J242" s="64" t="s">
        <v>173</v>
      </c>
      <c r="K242" s="22">
        <v>35285</v>
      </c>
      <c r="L242" s="66" t="s">
        <v>174</v>
      </c>
      <c r="M242" s="23">
        <v>42849</v>
      </c>
      <c r="N242" s="23"/>
      <c r="O242" s="15" t="s">
        <v>24</v>
      </c>
      <c r="P242" s="16" t="s">
        <v>631</v>
      </c>
      <c r="Q242" s="16" t="s">
        <v>176</v>
      </c>
      <c r="R242" s="15" t="s">
        <v>177</v>
      </c>
      <c r="S242" s="11" t="s">
        <v>701</v>
      </c>
      <c r="T242" s="159"/>
      <c r="U242" s="159"/>
      <c r="V242" s="19" t="s">
        <v>179</v>
      </c>
      <c r="W242" s="19" t="s">
        <v>179</v>
      </c>
      <c r="X242" s="1">
        <v>5</v>
      </c>
      <c r="Y242" s="160" t="s">
        <v>1850</v>
      </c>
      <c r="Z242" s="70"/>
      <c r="AA242" s="70" t="s">
        <v>181</v>
      </c>
      <c r="AB242" s="1"/>
      <c r="AC242" s="161" t="s">
        <v>1090</v>
      </c>
      <c r="AD242" s="99"/>
      <c r="AE242" s="99"/>
      <c r="AF242" s="108"/>
      <c r="AG242" s="106"/>
      <c r="AH242" s="162"/>
      <c r="AI242" s="162"/>
      <c r="AJ242" s="19" t="s">
        <v>198</v>
      </c>
      <c r="AK242" s="19" t="s">
        <v>185</v>
      </c>
      <c r="AL242" s="19" t="s">
        <v>185</v>
      </c>
      <c r="AM242" s="107" t="s">
        <v>1229</v>
      </c>
      <c r="AN242" s="20">
        <v>182</v>
      </c>
      <c r="AO242" s="20">
        <v>3</v>
      </c>
      <c r="AP242" s="20">
        <v>0</v>
      </c>
      <c r="AQ242" s="20">
        <v>0</v>
      </c>
      <c r="AR242" s="20">
        <v>0</v>
      </c>
      <c r="AS242" s="20">
        <v>7</v>
      </c>
      <c r="AT242" s="20">
        <v>10</v>
      </c>
      <c r="AU242" s="300">
        <f t="shared" si="34"/>
        <v>202</v>
      </c>
      <c r="AV242" s="20">
        <v>190</v>
      </c>
      <c r="AW242" s="20">
        <v>3</v>
      </c>
      <c r="AX242" s="20">
        <v>0</v>
      </c>
      <c r="AY242" s="20">
        <v>0</v>
      </c>
      <c r="AZ242" s="20">
        <v>0</v>
      </c>
      <c r="BA242" s="20">
        <v>7</v>
      </c>
      <c r="BB242" s="20">
        <v>10</v>
      </c>
      <c r="BC242" s="300">
        <f t="shared" si="35"/>
        <v>210</v>
      </c>
      <c r="BD242" s="42">
        <f t="shared" si="36"/>
        <v>8</v>
      </c>
      <c r="BE242" s="42">
        <f t="shared" si="37"/>
        <v>0</v>
      </c>
      <c r="BF242" s="42">
        <f t="shared" si="38"/>
        <v>0</v>
      </c>
      <c r="BG242" s="42">
        <f t="shared" si="39"/>
        <v>0</v>
      </c>
      <c r="BH242" s="42">
        <f t="shared" si="40"/>
        <v>0</v>
      </c>
      <c r="BI242" s="42">
        <f t="shared" si="41"/>
        <v>0</v>
      </c>
      <c r="BJ242" s="42">
        <f t="shared" si="42"/>
        <v>0</v>
      </c>
      <c r="BK242" s="42">
        <f t="shared" si="43"/>
        <v>8</v>
      </c>
    </row>
    <row r="243" spans="1:63" ht="27" customHeight="1">
      <c r="A243" s="11">
        <f t="shared" si="44"/>
        <v>241</v>
      </c>
      <c r="B243" s="12" t="s">
        <v>1851</v>
      </c>
      <c r="C243" s="8">
        <v>1948</v>
      </c>
      <c r="D243" s="103" t="s">
        <v>1852</v>
      </c>
      <c r="E243" s="69">
        <v>130205220</v>
      </c>
      <c r="F243" s="62" t="s">
        <v>522</v>
      </c>
      <c r="G243" s="63" t="s">
        <v>1853</v>
      </c>
      <c r="H243" s="13" t="s">
        <v>524</v>
      </c>
      <c r="I243" s="14" t="s">
        <v>1854</v>
      </c>
      <c r="J243" s="64" t="s">
        <v>173</v>
      </c>
      <c r="K243" s="22">
        <v>32357</v>
      </c>
      <c r="L243" s="66" t="s">
        <v>174</v>
      </c>
      <c r="M243" s="23">
        <v>42850</v>
      </c>
      <c r="N243" s="23"/>
      <c r="O243" s="15" t="s">
        <v>32</v>
      </c>
      <c r="P243" s="16" t="s">
        <v>296</v>
      </c>
      <c r="Q243" s="16" t="s">
        <v>176</v>
      </c>
      <c r="R243" s="15" t="s">
        <v>177</v>
      </c>
      <c r="S243" s="17" t="s">
        <v>251</v>
      </c>
      <c r="T243" s="159"/>
      <c r="U243" s="159"/>
      <c r="V243" s="19" t="s">
        <v>179</v>
      </c>
      <c r="W243" s="19" t="s">
        <v>179</v>
      </c>
      <c r="X243" s="1">
        <v>6</v>
      </c>
      <c r="Y243" s="160">
        <v>70863446</v>
      </c>
      <c r="Z243" s="70"/>
      <c r="AA243" s="70" t="s">
        <v>181</v>
      </c>
      <c r="AB243" s="70"/>
      <c r="AC243" s="161" t="s">
        <v>420</v>
      </c>
      <c r="AD243" s="99"/>
      <c r="AE243" s="99"/>
      <c r="AF243" s="108"/>
      <c r="AG243" s="106"/>
      <c r="AH243" s="162"/>
      <c r="AI243" s="162"/>
      <c r="AJ243" s="19" t="s">
        <v>198</v>
      </c>
      <c r="AK243" s="19" t="s">
        <v>185</v>
      </c>
      <c r="AL243" s="19" t="s">
        <v>185</v>
      </c>
      <c r="AM243" s="107" t="s">
        <v>1557</v>
      </c>
      <c r="AN243" s="20">
        <v>182</v>
      </c>
      <c r="AO243" s="20">
        <v>0</v>
      </c>
      <c r="AP243" s="20">
        <v>0</v>
      </c>
      <c r="AQ243" s="20">
        <v>0</v>
      </c>
      <c r="AR243" s="20">
        <v>0</v>
      </c>
      <c r="AS243" s="20">
        <v>7</v>
      </c>
      <c r="AT243" s="20">
        <v>10</v>
      </c>
      <c r="AU243" s="300">
        <f t="shared" si="34"/>
        <v>199</v>
      </c>
      <c r="AV243" s="20">
        <v>190</v>
      </c>
      <c r="AW243" s="20">
        <v>0</v>
      </c>
      <c r="AX243" s="20">
        <v>0</v>
      </c>
      <c r="AY243" s="20">
        <v>0</v>
      </c>
      <c r="AZ243" s="20">
        <v>0</v>
      </c>
      <c r="BA243" s="20">
        <v>7</v>
      </c>
      <c r="BB243" s="20">
        <v>10</v>
      </c>
      <c r="BC243" s="300">
        <f t="shared" si="35"/>
        <v>207</v>
      </c>
      <c r="BD243" s="42">
        <f t="shared" si="36"/>
        <v>8</v>
      </c>
      <c r="BE243" s="42">
        <f t="shared" si="37"/>
        <v>0</v>
      </c>
      <c r="BF243" s="42">
        <f t="shared" si="38"/>
        <v>0</v>
      </c>
      <c r="BG243" s="42">
        <f t="shared" si="39"/>
        <v>0</v>
      </c>
      <c r="BH243" s="42">
        <f t="shared" si="40"/>
        <v>0</v>
      </c>
      <c r="BI243" s="42">
        <f t="shared" si="41"/>
        <v>0</v>
      </c>
      <c r="BJ243" s="42">
        <f t="shared" si="42"/>
        <v>0</v>
      </c>
      <c r="BK243" s="42">
        <f t="shared" si="43"/>
        <v>8</v>
      </c>
    </row>
    <row r="244" spans="1:63" ht="27" customHeight="1">
      <c r="A244" s="11">
        <f t="shared" si="44"/>
        <v>242</v>
      </c>
      <c r="B244" s="12" t="s">
        <v>1855</v>
      </c>
      <c r="C244" s="8">
        <v>1980</v>
      </c>
      <c r="D244" s="103" t="s">
        <v>1856</v>
      </c>
      <c r="E244" s="69">
        <v>130134621</v>
      </c>
      <c r="F244" s="62" t="s">
        <v>1857</v>
      </c>
      <c r="G244" s="63" t="s">
        <v>1858</v>
      </c>
      <c r="H244" s="13" t="s">
        <v>1859</v>
      </c>
      <c r="I244" s="14" t="s">
        <v>1860</v>
      </c>
      <c r="J244" s="64" t="s">
        <v>173</v>
      </c>
      <c r="K244" s="22">
        <v>35659</v>
      </c>
      <c r="L244" s="66" t="s">
        <v>174</v>
      </c>
      <c r="M244" s="23">
        <v>43709</v>
      </c>
      <c r="N244" s="196">
        <v>42860</v>
      </c>
      <c r="O244" s="15" t="s">
        <v>286</v>
      </c>
      <c r="P244" s="16" t="s">
        <v>556</v>
      </c>
      <c r="Q244" s="16" t="s">
        <v>176</v>
      </c>
      <c r="R244" s="15" t="s">
        <v>177</v>
      </c>
      <c r="S244" s="11" t="s">
        <v>214</v>
      </c>
      <c r="T244" s="159"/>
      <c r="U244" s="159"/>
      <c r="V244" s="19" t="s">
        <v>195</v>
      </c>
      <c r="W244" s="19">
        <v>2219</v>
      </c>
      <c r="X244" s="1">
        <v>2</v>
      </c>
      <c r="Y244" s="160" t="s">
        <v>1861</v>
      </c>
      <c r="Z244" s="70" t="s">
        <v>181</v>
      </c>
      <c r="AA244" s="70"/>
      <c r="AB244" s="1"/>
      <c r="AC244" s="161"/>
      <c r="AD244" s="99"/>
      <c r="AE244" s="99"/>
      <c r="AF244" s="108"/>
      <c r="AG244" s="106"/>
      <c r="AH244" s="162"/>
      <c r="AI244" s="162"/>
      <c r="AJ244" s="19" t="s">
        <v>198</v>
      </c>
      <c r="AK244" s="19" t="s">
        <v>185</v>
      </c>
      <c r="AL244" s="19" t="s">
        <v>185</v>
      </c>
      <c r="AM244" s="107" t="s">
        <v>1229</v>
      </c>
      <c r="AN244" s="20">
        <v>182</v>
      </c>
      <c r="AO244" s="20">
        <v>0</v>
      </c>
      <c r="AP244" s="20">
        <v>0</v>
      </c>
      <c r="AQ244" s="20">
        <v>0</v>
      </c>
      <c r="AR244" s="20">
        <v>0</v>
      </c>
      <c r="AS244" s="20">
        <v>7</v>
      </c>
      <c r="AT244" s="20">
        <v>10</v>
      </c>
      <c r="AU244" s="300">
        <f t="shared" si="34"/>
        <v>199</v>
      </c>
      <c r="AV244" s="20">
        <v>190</v>
      </c>
      <c r="AW244" s="20">
        <v>0</v>
      </c>
      <c r="AX244" s="20">
        <v>0</v>
      </c>
      <c r="AY244" s="20">
        <v>0</v>
      </c>
      <c r="AZ244" s="20">
        <v>0</v>
      </c>
      <c r="BA244" s="20">
        <v>7</v>
      </c>
      <c r="BB244" s="20">
        <v>10</v>
      </c>
      <c r="BC244" s="300">
        <f t="shared" si="35"/>
        <v>207</v>
      </c>
      <c r="BD244" s="42">
        <f t="shared" si="36"/>
        <v>8</v>
      </c>
      <c r="BE244" s="42">
        <f t="shared" si="37"/>
        <v>0</v>
      </c>
      <c r="BF244" s="42">
        <f t="shared" si="38"/>
        <v>0</v>
      </c>
      <c r="BG244" s="42">
        <f t="shared" si="39"/>
        <v>0</v>
      </c>
      <c r="BH244" s="42">
        <f t="shared" si="40"/>
        <v>0</v>
      </c>
      <c r="BI244" s="42">
        <f t="shared" si="41"/>
        <v>0</v>
      </c>
      <c r="BJ244" s="42">
        <f t="shared" si="42"/>
        <v>0</v>
      </c>
      <c r="BK244" s="42">
        <f t="shared" si="43"/>
        <v>8</v>
      </c>
    </row>
    <row r="245" spans="1:63" ht="27" customHeight="1">
      <c r="A245" s="11">
        <f t="shared" si="44"/>
        <v>243</v>
      </c>
      <c r="B245" s="12" t="s">
        <v>1862</v>
      </c>
      <c r="C245" s="8">
        <v>1960</v>
      </c>
      <c r="D245" s="103" t="s">
        <v>1863</v>
      </c>
      <c r="E245" s="197" t="s">
        <v>1864</v>
      </c>
      <c r="F245" s="62" t="s">
        <v>1865</v>
      </c>
      <c r="G245" s="63" t="s">
        <v>1866</v>
      </c>
      <c r="H245" s="13" t="s">
        <v>1867</v>
      </c>
      <c r="I245" s="14" t="s">
        <v>1868</v>
      </c>
      <c r="J245" s="64" t="s">
        <v>173</v>
      </c>
      <c r="K245" s="22">
        <v>35068</v>
      </c>
      <c r="L245" s="66" t="s">
        <v>174</v>
      </c>
      <c r="M245" s="23">
        <v>43709</v>
      </c>
      <c r="N245" s="196">
        <v>42858</v>
      </c>
      <c r="O245" s="15" t="s">
        <v>32</v>
      </c>
      <c r="P245" s="16" t="s">
        <v>260</v>
      </c>
      <c r="Q245" s="16" t="s">
        <v>176</v>
      </c>
      <c r="R245" s="15" t="s">
        <v>177</v>
      </c>
      <c r="S245" s="17" t="s">
        <v>178</v>
      </c>
      <c r="T245" s="159"/>
      <c r="U245" s="159"/>
      <c r="V245" s="19" t="s">
        <v>195</v>
      </c>
      <c r="W245" s="19">
        <v>3196</v>
      </c>
      <c r="X245" s="198" t="s">
        <v>179</v>
      </c>
      <c r="Y245" s="160" t="s">
        <v>1869</v>
      </c>
      <c r="Z245" s="70" t="s">
        <v>181</v>
      </c>
      <c r="AA245" s="70"/>
      <c r="AB245" s="1"/>
      <c r="AC245" s="161"/>
      <c r="AD245" s="99"/>
      <c r="AE245" s="99"/>
      <c r="AF245" s="108"/>
      <c r="AG245" s="106"/>
      <c r="AH245" s="162"/>
      <c r="AI245" s="162"/>
      <c r="AJ245" s="19" t="s">
        <v>198</v>
      </c>
      <c r="AK245" s="19" t="s">
        <v>185</v>
      </c>
      <c r="AL245" s="19" t="s">
        <v>185</v>
      </c>
      <c r="AM245" s="107" t="s">
        <v>1229</v>
      </c>
      <c r="AN245" s="20">
        <v>182</v>
      </c>
      <c r="AO245" s="20">
        <v>0</v>
      </c>
      <c r="AP245" s="20">
        <v>0</v>
      </c>
      <c r="AQ245" s="20">
        <v>0</v>
      </c>
      <c r="AR245" s="20">
        <v>0</v>
      </c>
      <c r="AS245" s="20">
        <v>7</v>
      </c>
      <c r="AT245" s="20">
        <v>10</v>
      </c>
      <c r="AU245" s="300">
        <f t="shared" si="34"/>
        <v>199</v>
      </c>
      <c r="AV245" s="20">
        <v>190</v>
      </c>
      <c r="AW245" s="20">
        <v>0</v>
      </c>
      <c r="AX245" s="20">
        <v>0</v>
      </c>
      <c r="AY245" s="20">
        <v>0</v>
      </c>
      <c r="AZ245" s="20">
        <v>0</v>
      </c>
      <c r="BA245" s="20">
        <v>7</v>
      </c>
      <c r="BB245" s="20">
        <v>10</v>
      </c>
      <c r="BC245" s="300">
        <f t="shared" si="35"/>
        <v>207</v>
      </c>
      <c r="BD245" s="42">
        <f t="shared" si="36"/>
        <v>8</v>
      </c>
      <c r="BE245" s="42">
        <f t="shared" si="37"/>
        <v>0</v>
      </c>
      <c r="BF245" s="42">
        <f t="shared" si="38"/>
        <v>0</v>
      </c>
      <c r="BG245" s="42">
        <f t="shared" si="39"/>
        <v>0</v>
      </c>
      <c r="BH245" s="42">
        <f t="shared" si="40"/>
        <v>0</v>
      </c>
      <c r="BI245" s="42">
        <f t="shared" si="41"/>
        <v>0</v>
      </c>
      <c r="BJ245" s="42">
        <f t="shared" si="42"/>
        <v>0</v>
      </c>
      <c r="BK245" s="42">
        <f t="shared" si="43"/>
        <v>8</v>
      </c>
    </row>
    <row r="246" spans="1:63" ht="27" customHeight="1">
      <c r="A246" s="11">
        <f t="shared" si="44"/>
        <v>244</v>
      </c>
      <c r="B246" s="132" t="s">
        <v>1870</v>
      </c>
      <c r="C246" s="132">
        <v>1993</v>
      </c>
      <c r="D246" s="192" t="s">
        <v>1871</v>
      </c>
      <c r="E246" s="134">
        <v>110311867</v>
      </c>
      <c r="F246" s="135" t="s">
        <v>1872</v>
      </c>
      <c r="G246" s="136" t="s">
        <v>1873</v>
      </c>
      <c r="H246" s="137" t="s">
        <v>490</v>
      </c>
      <c r="I246" s="138" t="s">
        <v>1874</v>
      </c>
      <c r="J246" s="139" t="s">
        <v>173</v>
      </c>
      <c r="K246" s="140">
        <v>31994</v>
      </c>
      <c r="L246" s="141" t="s">
        <v>174</v>
      </c>
      <c r="M246" s="23">
        <v>43709</v>
      </c>
      <c r="N246" s="196">
        <v>42873</v>
      </c>
      <c r="O246" s="143" t="s">
        <v>32</v>
      </c>
      <c r="P246" s="16" t="s">
        <v>304</v>
      </c>
      <c r="Q246" s="16" t="s">
        <v>176</v>
      </c>
      <c r="R246" s="143" t="s">
        <v>177</v>
      </c>
      <c r="S246" s="193" t="s">
        <v>223</v>
      </c>
      <c r="T246" s="144"/>
      <c r="U246" s="144"/>
      <c r="V246" s="199" t="s">
        <v>179</v>
      </c>
      <c r="W246" s="145">
        <v>3170</v>
      </c>
      <c r="X246" s="145">
        <v>6</v>
      </c>
      <c r="Y246" s="134" t="s">
        <v>1875</v>
      </c>
      <c r="Z246" s="146"/>
      <c r="AA246" s="146" t="s">
        <v>181</v>
      </c>
      <c r="AB246" s="145"/>
      <c r="AC246" s="167" t="s">
        <v>1569</v>
      </c>
      <c r="AD246" s="168"/>
      <c r="AE246" s="168"/>
      <c r="AF246" s="148"/>
      <c r="AG246" s="147"/>
      <c r="AH246" s="149"/>
      <c r="AI246" s="149"/>
      <c r="AJ246" s="145" t="s">
        <v>198</v>
      </c>
      <c r="AK246" s="145" t="s">
        <v>185</v>
      </c>
      <c r="AL246" s="145" t="s">
        <v>185</v>
      </c>
      <c r="AM246" s="150" t="s">
        <v>1491</v>
      </c>
      <c r="AN246" s="20">
        <v>182</v>
      </c>
      <c r="AO246" s="20">
        <v>0</v>
      </c>
      <c r="AP246" s="20">
        <v>0</v>
      </c>
      <c r="AQ246" s="20">
        <v>0</v>
      </c>
      <c r="AR246" s="20">
        <v>0</v>
      </c>
      <c r="AS246" s="20">
        <v>7</v>
      </c>
      <c r="AT246" s="20">
        <v>10</v>
      </c>
      <c r="AU246" s="300">
        <f t="shared" si="34"/>
        <v>199</v>
      </c>
      <c r="AV246" s="20">
        <v>190</v>
      </c>
      <c r="AW246" s="20">
        <v>0</v>
      </c>
      <c r="AX246" s="20">
        <v>0</v>
      </c>
      <c r="AY246" s="20">
        <v>0</v>
      </c>
      <c r="AZ246" s="20">
        <v>0</v>
      </c>
      <c r="BA246" s="20">
        <v>7</v>
      </c>
      <c r="BB246" s="20">
        <v>10</v>
      </c>
      <c r="BC246" s="300">
        <f t="shared" si="35"/>
        <v>207</v>
      </c>
      <c r="BD246" s="42">
        <f t="shared" si="36"/>
        <v>8</v>
      </c>
      <c r="BE246" s="42">
        <f t="shared" si="37"/>
        <v>0</v>
      </c>
      <c r="BF246" s="42">
        <f t="shared" si="38"/>
        <v>0</v>
      </c>
      <c r="BG246" s="42">
        <f t="shared" si="39"/>
        <v>0</v>
      </c>
      <c r="BH246" s="42">
        <f t="shared" si="40"/>
        <v>0</v>
      </c>
      <c r="BI246" s="42">
        <f t="shared" si="41"/>
        <v>0</v>
      </c>
      <c r="BJ246" s="42">
        <f t="shared" si="42"/>
        <v>0</v>
      </c>
      <c r="BK246" s="42">
        <f t="shared" si="43"/>
        <v>8</v>
      </c>
    </row>
    <row r="247" spans="1:63" ht="27" customHeight="1">
      <c r="A247" s="11">
        <f t="shared" si="44"/>
        <v>245</v>
      </c>
      <c r="B247" s="12" t="s">
        <v>1876</v>
      </c>
      <c r="C247" s="8">
        <v>2022</v>
      </c>
      <c r="D247" s="103" t="s">
        <v>1877</v>
      </c>
      <c r="E247" s="69">
        <v>130177389</v>
      </c>
      <c r="F247" s="62" t="s">
        <v>431</v>
      </c>
      <c r="G247" s="63" t="s">
        <v>1878</v>
      </c>
      <c r="H247" s="13" t="s">
        <v>1879</v>
      </c>
      <c r="I247" s="14" t="s">
        <v>1880</v>
      </c>
      <c r="J247" s="64" t="s">
        <v>173</v>
      </c>
      <c r="K247" s="22">
        <v>29219</v>
      </c>
      <c r="L247" s="66" t="s">
        <v>174</v>
      </c>
      <c r="M247" s="23">
        <v>43709</v>
      </c>
      <c r="N247" s="196">
        <v>42899</v>
      </c>
      <c r="O247" s="15" t="s">
        <v>32</v>
      </c>
      <c r="P247" s="16" t="s">
        <v>334</v>
      </c>
      <c r="Q247" s="16" t="s">
        <v>176</v>
      </c>
      <c r="R247" s="15" t="s">
        <v>177</v>
      </c>
      <c r="S247" s="17" t="s">
        <v>251</v>
      </c>
      <c r="T247" s="159"/>
      <c r="U247" s="159"/>
      <c r="V247" s="198" t="s">
        <v>179</v>
      </c>
      <c r="W247" s="19">
        <v>23</v>
      </c>
      <c r="X247" s="1">
        <v>5</v>
      </c>
      <c r="Y247" s="160" t="s">
        <v>1881</v>
      </c>
      <c r="Z247" s="70"/>
      <c r="AA247" s="70"/>
      <c r="AB247" s="70" t="s">
        <v>181</v>
      </c>
      <c r="AC247" s="161"/>
      <c r="AD247" s="99" t="s">
        <v>184</v>
      </c>
      <c r="AE247" s="99" t="s">
        <v>184</v>
      </c>
      <c r="AF247" s="108"/>
      <c r="AG247" s="106"/>
      <c r="AH247" s="162"/>
      <c r="AI247" s="162"/>
      <c r="AJ247" s="19" t="s">
        <v>198</v>
      </c>
      <c r="AK247" s="19" t="s">
        <v>185</v>
      </c>
      <c r="AL247" s="19" t="s">
        <v>185</v>
      </c>
      <c r="AM247" s="107" t="s">
        <v>1509</v>
      </c>
      <c r="AN247" s="20">
        <v>182</v>
      </c>
      <c r="AO247" s="20">
        <v>0</v>
      </c>
      <c r="AP247" s="20">
        <v>0</v>
      </c>
      <c r="AQ247" s="20">
        <v>0</v>
      </c>
      <c r="AR247" s="20">
        <v>0</v>
      </c>
      <c r="AS247" s="20">
        <v>7</v>
      </c>
      <c r="AT247" s="20">
        <v>10</v>
      </c>
      <c r="AU247" s="300">
        <f t="shared" si="34"/>
        <v>199</v>
      </c>
      <c r="AV247" s="20">
        <v>190</v>
      </c>
      <c r="AW247" s="20">
        <v>0</v>
      </c>
      <c r="AX247" s="20">
        <v>0</v>
      </c>
      <c r="AY247" s="20">
        <v>0</v>
      </c>
      <c r="AZ247" s="20">
        <v>0</v>
      </c>
      <c r="BA247" s="20">
        <v>7</v>
      </c>
      <c r="BB247" s="20">
        <v>10</v>
      </c>
      <c r="BC247" s="300">
        <f t="shared" si="35"/>
        <v>207</v>
      </c>
      <c r="BD247" s="42">
        <f t="shared" si="36"/>
        <v>8</v>
      </c>
      <c r="BE247" s="42">
        <f t="shared" si="37"/>
        <v>0</v>
      </c>
      <c r="BF247" s="42">
        <f t="shared" si="38"/>
        <v>0</v>
      </c>
      <c r="BG247" s="42">
        <f t="shared" si="39"/>
        <v>0</v>
      </c>
      <c r="BH247" s="42">
        <f t="shared" si="40"/>
        <v>0</v>
      </c>
      <c r="BI247" s="42">
        <f t="shared" si="41"/>
        <v>0</v>
      </c>
      <c r="BJ247" s="42">
        <f t="shared" si="42"/>
        <v>0</v>
      </c>
      <c r="BK247" s="42">
        <f t="shared" si="43"/>
        <v>8</v>
      </c>
    </row>
    <row r="248" spans="1:63" ht="27" customHeight="1">
      <c r="A248" s="11">
        <f t="shared" si="44"/>
        <v>246</v>
      </c>
      <c r="B248" s="12" t="s">
        <v>1882</v>
      </c>
      <c r="C248" s="8">
        <v>2037</v>
      </c>
      <c r="D248" s="103" t="s">
        <v>1883</v>
      </c>
      <c r="E248" s="197"/>
      <c r="F248" s="62" t="s">
        <v>1884</v>
      </c>
      <c r="G248" s="63" t="s">
        <v>1885</v>
      </c>
      <c r="H248" s="13" t="s">
        <v>1886</v>
      </c>
      <c r="I248" s="14" t="s">
        <v>1887</v>
      </c>
      <c r="J248" s="64" t="s">
        <v>204</v>
      </c>
      <c r="K248" s="22">
        <v>31810</v>
      </c>
      <c r="L248" s="66" t="s">
        <v>174</v>
      </c>
      <c r="M248" s="23">
        <v>43709</v>
      </c>
      <c r="N248" s="196">
        <v>42917</v>
      </c>
      <c r="O248" s="15" t="s">
        <v>79</v>
      </c>
      <c r="P248" s="16" t="s">
        <v>101</v>
      </c>
      <c r="Q248" s="16" t="s">
        <v>176</v>
      </c>
      <c r="R248" s="15" t="s">
        <v>177</v>
      </c>
      <c r="S248" s="17" t="s">
        <v>178</v>
      </c>
      <c r="T248" s="159"/>
      <c r="U248" s="159"/>
      <c r="V248" s="19" t="s">
        <v>179</v>
      </c>
      <c r="W248" s="19" t="s">
        <v>179</v>
      </c>
      <c r="X248" s="1">
        <v>12</v>
      </c>
      <c r="Y248" s="200" t="s">
        <v>1888</v>
      </c>
      <c r="Z248" s="70"/>
      <c r="AA248" s="70" t="s">
        <v>181</v>
      </c>
      <c r="AB248" s="1"/>
      <c r="AC248" s="161"/>
      <c r="AD248" s="99" t="s">
        <v>184</v>
      </c>
      <c r="AE248" s="99"/>
      <c r="AF248" s="108"/>
      <c r="AG248" s="106"/>
      <c r="AH248" s="162"/>
      <c r="AI248" s="162"/>
      <c r="AJ248" s="19" t="s">
        <v>198</v>
      </c>
      <c r="AK248" s="19" t="s">
        <v>185</v>
      </c>
      <c r="AL248" s="19" t="s">
        <v>185</v>
      </c>
      <c r="AM248" s="107" t="s">
        <v>1889</v>
      </c>
      <c r="AN248" s="20">
        <v>182</v>
      </c>
      <c r="AO248" s="20">
        <v>0</v>
      </c>
      <c r="AP248" s="20">
        <v>0</v>
      </c>
      <c r="AQ248" s="20">
        <v>150</v>
      </c>
      <c r="AR248" s="20">
        <v>50</v>
      </c>
      <c r="AS248" s="20">
        <v>7</v>
      </c>
      <c r="AT248" s="20">
        <v>10</v>
      </c>
      <c r="AU248" s="300">
        <f t="shared" si="34"/>
        <v>399</v>
      </c>
      <c r="AV248" s="20">
        <v>190</v>
      </c>
      <c r="AW248" s="20">
        <v>0</v>
      </c>
      <c r="AX248" s="20">
        <v>0</v>
      </c>
      <c r="AY248" s="20">
        <v>150</v>
      </c>
      <c r="AZ248" s="20">
        <v>50</v>
      </c>
      <c r="BA248" s="20">
        <v>7</v>
      </c>
      <c r="BB248" s="20">
        <v>10</v>
      </c>
      <c r="BC248" s="300">
        <f t="shared" si="35"/>
        <v>407</v>
      </c>
      <c r="BD248" s="42">
        <f t="shared" si="36"/>
        <v>8</v>
      </c>
      <c r="BE248" s="42">
        <f t="shared" si="37"/>
        <v>0</v>
      </c>
      <c r="BF248" s="42">
        <f t="shared" si="38"/>
        <v>0</v>
      </c>
      <c r="BG248" s="42">
        <f t="shared" si="39"/>
        <v>0</v>
      </c>
      <c r="BH248" s="42">
        <f t="shared" si="40"/>
        <v>0</v>
      </c>
      <c r="BI248" s="42">
        <f t="shared" si="41"/>
        <v>0</v>
      </c>
      <c r="BJ248" s="42">
        <f t="shared" si="42"/>
        <v>0</v>
      </c>
      <c r="BK248" s="42">
        <f t="shared" si="43"/>
        <v>8</v>
      </c>
    </row>
    <row r="249" spans="1:63" ht="27" customHeight="1">
      <c r="A249" s="11">
        <f t="shared" si="44"/>
        <v>247</v>
      </c>
      <c r="B249" s="12" t="s">
        <v>1890</v>
      </c>
      <c r="C249" s="8">
        <v>2107</v>
      </c>
      <c r="D249" s="103" t="s">
        <v>1891</v>
      </c>
      <c r="E249" s="69">
        <v>100831519</v>
      </c>
      <c r="F249" s="62" t="s">
        <v>1892</v>
      </c>
      <c r="G249" s="63" t="s">
        <v>1893</v>
      </c>
      <c r="H249" s="13" t="s">
        <v>1894</v>
      </c>
      <c r="I249" s="14" t="s">
        <v>1895</v>
      </c>
      <c r="J249" s="64" t="s">
        <v>173</v>
      </c>
      <c r="K249" s="22">
        <v>35705</v>
      </c>
      <c r="L249" s="66" t="s">
        <v>174</v>
      </c>
      <c r="M249" s="23">
        <v>43709</v>
      </c>
      <c r="N249" s="196">
        <v>42931</v>
      </c>
      <c r="O249" s="15" t="s">
        <v>32</v>
      </c>
      <c r="P249" s="16" t="s">
        <v>599</v>
      </c>
      <c r="Q249" s="16" t="s">
        <v>176</v>
      </c>
      <c r="R249" s="15" t="s">
        <v>177</v>
      </c>
      <c r="S249" s="17" t="s">
        <v>206</v>
      </c>
      <c r="T249" s="159"/>
      <c r="U249" s="159"/>
      <c r="V249" s="19" t="s">
        <v>195</v>
      </c>
      <c r="W249" s="19">
        <v>363</v>
      </c>
      <c r="X249" s="1">
        <v>3</v>
      </c>
      <c r="Y249" s="61" t="s">
        <v>179</v>
      </c>
      <c r="Z249" s="70"/>
      <c r="AA249" s="70" t="s">
        <v>181</v>
      </c>
      <c r="AB249" s="1"/>
      <c r="AC249" s="161"/>
      <c r="AD249" s="99"/>
      <c r="AE249" s="99"/>
      <c r="AF249" s="108"/>
      <c r="AG249" s="106"/>
      <c r="AH249" s="162"/>
      <c r="AI249" s="162"/>
      <c r="AJ249" s="19" t="s">
        <v>198</v>
      </c>
      <c r="AK249" s="19" t="s">
        <v>185</v>
      </c>
      <c r="AL249" s="19" t="s">
        <v>185</v>
      </c>
      <c r="AM249" s="107" t="s">
        <v>1896</v>
      </c>
      <c r="AN249" s="20">
        <v>182</v>
      </c>
      <c r="AO249" s="20">
        <v>0</v>
      </c>
      <c r="AP249" s="20">
        <v>0</v>
      </c>
      <c r="AQ249" s="20">
        <v>0</v>
      </c>
      <c r="AR249" s="20">
        <v>0</v>
      </c>
      <c r="AS249" s="20">
        <v>7</v>
      </c>
      <c r="AT249" s="20">
        <v>10</v>
      </c>
      <c r="AU249" s="300">
        <f t="shared" si="34"/>
        <v>199</v>
      </c>
      <c r="AV249" s="20">
        <v>190</v>
      </c>
      <c r="AW249" s="20">
        <v>0</v>
      </c>
      <c r="AX249" s="20">
        <v>0</v>
      </c>
      <c r="AY249" s="20">
        <v>0</v>
      </c>
      <c r="AZ249" s="20">
        <v>0</v>
      </c>
      <c r="BA249" s="20">
        <v>7</v>
      </c>
      <c r="BB249" s="20">
        <v>10</v>
      </c>
      <c r="BC249" s="300">
        <f t="shared" si="35"/>
        <v>207</v>
      </c>
      <c r="BD249" s="42">
        <f t="shared" si="36"/>
        <v>8</v>
      </c>
      <c r="BE249" s="42">
        <f t="shared" si="37"/>
        <v>0</v>
      </c>
      <c r="BF249" s="42">
        <f t="shared" si="38"/>
        <v>0</v>
      </c>
      <c r="BG249" s="42">
        <f t="shared" si="39"/>
        <v>0</v>
      </c>
      <c r="BH249" s="42">
        <f t="shared" si="40"/>
        <v>0</v>
      </c>
      <c r="BI249" s="42">
        <f t="shared" si="41"/>
        <v>0</v>
      </c>
      <c r="BJ249" s="42">
        <f t="shared" si="42"/>
        <v>0</v>
      </c>
      <c r="BK249" s="42">
        <f t="shared" si="43"/>
        <v>8</v>
      </c>
    </row>
    <row r="250" spans="1:63" ht="27" customHeight="1">
      <c r="A250" s="11">
        <f t="shared" si="44"/>
        <v>248</v>
      </c>
      <c r="B250" s="12" t="s">
        <v>1897</v>
      </c>
      <c r="C250" s="8">
        <v>2103</v>
      </c>
      <c r="D250" s="103" t="s">
        <v>1898</v>
      </c>
      <c r="E250" s="69">
        <v>130196571</v>
      </c>
      <c r="F250" s="62" t="s">
        <v>1899</v>
      </c>
      <c r="G250" s="63" t="s">
        <v>1636</v>
      </c>
      <c r="H250" s="13" t="s">
        <v>1900</v>
      </c>
      <c r="I250" s="14" t="s">
        <v>1144</v>
      </c>
      <c r="J250" s="64" t="s">
        <v>173</v>
      </c>
      <c r="K250" s="22">
        <v>33270</v>
      </c>
      <c r="L250" s="66" t="s">
        <v>174</v>
      </c>
      <c r="M250" s="23">
        <v>43709</v>
      </c>
      <c r="N250" s="196">
        <v>42930</v>
      </c>
      <c r="O250" s="15" t="s">
        <v>32</v>
      </c>
      <c r="P250" s="16" t="s">
        <v>381</v>
      </c>
      <c r="Q250" s="16" t="s">
        <v>176</v>
      </c>
      <c r="R250" s="15" t="s">
        <v>177</v>
      </c>
      <c r="S250" s="17" t="s">
        <v>251</v>
      </c>
      <c r="T250" s="159"/>
      <c r="U250" s="159"/>
      <c r="V250" s="19" t="s">
        <v>179</v>
      </c>
      <c r="W250" s="19">
        <v>1826</v>
      </c>
      <c r="X250" s="1">
        <v>5</v>
      </c>
      <c r="Y250" s="160">
        <v>93423269</v>
      </c>
      <c r="Z250" s="70"/>
      <c r="AA250" s="70" t="s">
        <v>181</v>
      </c>
      <c r="AB250" s="1"/>
      <c r="AC250" s="161" t="s">
        <v>420</v>
      </c>
      <c r="AD250" s="99"/>
      <c r="AE250" s="99"/>
      <c r="AF250" s="108"/>
      <c r="AG250" s="106"/>
      <c r="AH250" s="162"/>
      <c r="AI250" s="162"/>
      <c r="AJ250" s="19" t="s">
        <v>198</v>
      </c>
      <c r="AK250" s="19" t="s">
        <v>185</v>
      </c>
      <c r="AL250" s="19" t="s">
        <v>185</v>
      </c>
      <c r="AM250" s="107" t="s">
        <v>1534</v>
      </c>
      <c r="AN250" s="20">
        <v>182</v>
      </c>
      <c r="AO250" s="20">
        <v>0</v>
      </c>
      <c r="AP250" s="20">
        <v>0</v>
      </c>
      <c r="AQ250" s="20">
        <v>0</v>
      </c>
      <c r="AR250" s="20">
        <v>0</v>
      </c>
      <c r="AS250" s="20">
        <v>7</v>
      </c>
      <c r="AT250" s="20">
        <v>10</v>
      </c>
      <c r="AU250" s="300">
        <f t="shared" si="34"/>
        <v>199</v>
      </c>
      <c r="AV250" s="20">
        <v>190</v>
      </c>
      <c r="AW250" s="20">
        <v>0</v>
      </c>
      <c r="AX250" s="20">
        <v>0</v>
      </c>
      <c r="AY250" s="20">
        <v>0</v>
      </c>
      <c r="AZ250" s="20">
        <v>0</v>
      </c>
      <c r="BA250" s="20">
        <v>7</v>
      </c>
      <c r="BB250" s="20">
        <v>10</v>
      </c>
      <c r="BC250" s="300">
        <f t="shared" si="35"/>
        <v>207</v>
      </c>
      <c r="BD250" s="42">
        <f t="shared" si="36"/>
        <v>8</v>
      </c>
      <c r="BE250" s="42">
        <f t="shared" si="37"/>
        <v>0</v>
      </c>
      <c r="BF250" s="42">
        <f t="shared" si="38"/>
        <v>0</v>
      </c>
      <c r="BG250" s="42">
        <f t="shared" si="39"/>
        <v>0</v>
      </c>
      <c r="BH250" s="42">
        <f t="shared" si="40"/>
        <v>0</v>
      </c>
      <c r="BI250" s="42">
        <f t="shared" si="41"/>
        <v>0</v>
      </c>
      <c r="BJ250" s="42">
        <f t="shared" si="42"/>
        <v>0</v>
      </c>
      <c r="BK250" s="42">
        <f t="shared" si="43"/>
        <v>8</v>
      </c>
    </row>
    <row r="251" spans="1:63" ht="27" customHeight="1">
      <c r="A251" s="11">
        <f t="shared" si="44"/>
        <v>249</v>
      </c>
      <c r="B251" s="12" t="s">
        <v>1901</v>
      </c>
      <c r="C251" s="8">
        <v>2043</v>
      </c>
      <c r="D251" s="103" t="s">
        <v>1902</v>
      </c>
      <c r="E251" s="197" t="s">
        <v>1903</v>
      </c>
      <c r="F251" s="62" t="s">
        <v>1904</v>
      </c>
      <c r="G251" s="63" t="s">
        <v>1905</v>
      </c>
      <c r="H251" s="13" t="s">
        <v>1906</v>
      </c>
      <c r="I251" s="14" t="s">
        <v>1907</v>
      </c>
      <c r="J251" s="64" t="s">
        <v>173</v>
      </c>
      <c r="K251" s="22">
        <v>34037</v>
      </c>
      <c r="L251" s="66" t="s">
        <v>174</v>
      </c>
      <c r="M251" s="23">
        <v>43709</v>
      </c>
      <c r="N251" s="196">
        <v>42920</v>
      </c>
      <c r="O251" s="15" t="s">
        <v>32</v>
      </c>
      <c r="P251" s="16" t="s">
        <v>287</v>
      </c>
      <c r="Q251" s="16" t="s">
        <v>176</v>
      </c>
      <c r="R251" s="15" t="s">
        <v>177</v>
      </c>
      <c r="S251" s="11" t="s">
        <v>326</v>
      </c>
      <c r="T251" s="159"/>
      <c r="U251" s="159"/>
      <c r="V251" s="19" t="s">
        <v>195</v>
      </c>
      <c r="W251" s="19">
        <v>4097</v>
      </c>
      <c r="X251" s="1">
        <v>6</v>
      </c>
      <c r="Y251" s="160" t="s">
        <v>1908</v>
      </c>
      <c r="Z251" s="70"/>
      <c r="AA251" s="70" t="s">
        <v>181</v>
      </c>
      <c r="AB251" s="1"/>
      <c r="AC251" s="161"/>
      <c r="AD251" s="99"/>
      <c r="AE251" s="99"/>
      <c r="AF251" s="108"/>
      <c r="AG251" s="106"/>
      <c r="AH251" s="162"/>
      <c r="AI251" s="162"/>
      <c r="AJ251" s="19" t="s">
        <v>198</v>
      </c>
      <c r="AK251" s="19" t="s">
        <v>185</v>
      </c>
      <c r="AL251" s="19" t="s">
        <v>185</v>
      </c>
      <c r="AM251" s="107" t="s">
        <v>1204</v>
      </c>
      <c r="AN251" s="20">
        <v>182</v>
      </c>
      <c r="AO251" s="20">
        <v>0</v>
      </c>
      <c r="AP251" s="20">
        <v>20</v>
      </c>
      <c r="AQ251" s="20">
        <v>10</v>
      </c>
      <c r="AR251" s="20">
        <v>0</v>
      </c>
      <c r="AS251" s="20">
        <v>7</v>
      </c>
      <c r="AT251" s="20">
        <v>10</v>
      </c>
      <c r="AU251" s="300">
        <f t="shared" si="34"/>
        <v>229</v>
      </c>
      <c r="AV251" s="20">
        <v>190</v>
      </c>
      <c r="AW251" s="20">
        <v>0</v>
      </c>
      <c r="AX251" s="20">
        <v>20</v>
      </c>
      <c r="AY251" s="20">
        <v>10</v>
      </c>
      <c r="AZ251" s="20">
        <v>0</v>
      </c>
      <c r="BA251" s="20">
        <v>7</v>
      </c>
      <c r="BB251" s="20">
        <v>10</v>
      </c>
      <c r="BC251" s="300">
        <f t="shared" si="35"/>
        <v>237</v>
      </c>
      <c r="BD251" s="42">
        <f t="shared" si="36"/>
        <v>8</v>
      </c>
      <c r="BE251" s="42">
        <f t="shared" si="37"/>
        <v>0</v>
      </c>
      <c r="BF251" s="42">
        <f t="shared" si="38"/>
        <v>0</v>
      </c>
      <c r="BG251" s="42">
        <f t="shared" si="39"/>
        <v>0</v>
      </c>
      <c r="BH251" s="42">
        <f t="shared" si="40"/>
        <v>0</v>
      </c>
      <c r="BI251" s="42">
        <f t="shared" si="41"/>
        <v>0</v>
      </c>
      <c r="BJ251" s="42">
        <f t="shared" si="42"/>
        <v>0</v>
      </c>
      <c r="BK251" s="42">
        <f t="shared" si="43"/>
        <v>8</v>
      </c>
    </row>
    <row r="252" spans="1:63" ht="27" customHeight="1">
      <c r="A252" s="11">
        <f t="shared" si="44"/>
        <v>250</v>
      </c>
      <c r="B252" s="12" t="s">
        <v>1909</v>
      </c>
      <c r="C252" s="8">
        <v>2041</v>
      </c>
      <c r="D252" s="103" t="s">
        <v>1910</v>
      </c>
      <c r="E252" s="197" t="s">
        <v>1911</v>
      </c>
      <c r="F252" s="62" t="s">
        <v>1912</v>
      </c>
      <c r="G252" s="63" t="s">
        <v>826</v>
      </c>
      <c r="H252" s="13" t="s">
        <v>1913</v>
      </c>
      <c r="I252" s="14" t="s">
        <v>1914</v>
      </c>
      <c r="J252" s="64" t="s">
        <v>173</v>
      </c>
      <c r="K252" s="22">
        <v>31902</v>
      </c>
      <c r="L252" s="66" t="s">
        <v>174</v>
      </c>
      <c r="M252" s="23">
        <v>43709</v>
      </c>
      <c r="N252" s="196">
        <v>42920</v>
      </c>
      <c r="O252" s="15" t="s">
        <v>32</v>
      </c>
      <c r="P252" s="16" t="s">
        <v>287</v>
      </c>
      <c r="Q252" s="16" t="s">
        <v>176</v>
      </c>
      <c r="R252" s="15" t="s">
        <v>177</v>
      </c>
      <c r="S252" s="11" t="s">
        <v>214</v>
      </c>
      <c r="T252" s="159"/>
      <c r="U252" s="159"/>
      <c r="V252" s="19" t="s">
        <v>195</v>
      </c>
      <c r="W252" s="19">
        <v>4121</v>
      </c>
      <c r="X252" s="1">
        <v>4</v>
      </c>
      <c r="Y252" s="160" t="s">
        <v>1915</v>
      </c>
      <c r="Z252" s="70"/>
      <c r="AA252" s="70" t="s">
        <v>181</v>
      </c>
      <c r="AB252" s="1"/>
      <c r="AC252" s="161" t="s">
        <v>197</v>
      </c>
      <c r="AD252" s="99"/>
      <c r="AE252" s="99"/>
      <c r="AF252" s="108"/>
      <c r="AG252" s="106"/>
      <c r="AH252" s="162"/>
      <c r="AI252" s="162"/>
      <c r="AJ252" s="19" t="s">
        <v>198</v>
      </c>
      <c r="AK252" s="19" t="s">
        <v>185</v>
      </c>
      <c r="AL252" s="19" t="s">
        <v>185</v>
      </c>
      <c r="AM252" s="107" t="s">
        <v>1204</v>
      </c>
      <c r="AN252" s="20">
        <v>182</v>
      </c>
      <c r="AO252" s="20">
        <v>0</v>
      </c>
      <c r="AP252" s="20">
        <v>0</v>
      </c>
      <c r="AQ252" s="20">
        <v>0</v>
      </c>
      <c r="AR252" s="20">
        <v>0</v>
      </c>
      <c r="AS252" s="20">
        <v>7</v>
      </c>
      <c r="AT252" s="20">
        <v>10</v>
      </c>
      <c r="AU252" s="300">
        <f t="shared" si="34"/>
        <v>199</v>
      </c>
      <c r="AV252" s="20">
        <v>190</v>
      </c>
      <c r="AW252" s="20">
        <v>0</v>
      </c>
      <c r="AX252" s="20">
        <v>0</v>
      </c>
      <c r="AY252" s="20">
        <v>0</v>
      </c>
      <c r="AZ252" s="20">
        <v>0</v>
      </c>
      <c r="BA252" s="20">
        <v>7</v>
      </c>
      <c r="BB252" s="20">
        <v>10</v>
      </c>
      <c r="BC252" s="300">
        <f t="shared" si="35"/>
        <v>207</v>
      </c>
      <c r="BD252" s="42">
        <f t="shared" si="36"/>
        <v>8</v>
      </c>
      <c r="BE252" s="42">
        <f t="shared" si="37"/>
        <v>0</v>
      </c>
      <c r="BF252" s="42">
        <f t="shared" si="38"/>
        <v>0</v>
      </c>
      <c r="BG252" s="42">
        <f t="shared" si="39"/>
        <v>0</v>
      </c>
      <c r="BH252" s="42">
        <f t="shared" si="40"/>
        <v>0</v>
      </c>
      <c r="BI252" s="42">
        <f t="shared" si="41"/>
        <v>0</v>
      </c>
      <c r="BJ252" s="42">
        <f t="shared" si="42"/>
        <v>0</v>
      </c>
      <c r="BK252" s="42">
        <f t="shared" si="43"/>
        <v>8</v>
      </c>
    </row>
    <row r="253" spans="1:63" ht="27" customHeight="1">
      <c r="A253" s="11">
        <f t="shared" si="44"/>
        <v>251</v>
      </c>
      <c r="B253" s="12" t="s">
        <v>1916</v>
      </c>
      <c r="C253" s="8">
        <v>2121</v>
      </c>
      <c r="D253" s="103" t="s">
        <v>1917</v>
      </c>
      <c r="E253" s="69">
        <v>250088826</v>
      </c>
      <c r="F253" s="62" t="s">
        <v>1865</v>
      </c>
      <c r="G253" s="63" t="s">
        <v>1249</v>
      </c>
      <c r="H253" s="13" t="s">
        <v>1867</v>
      </c>
      <c r="I253" s="14" t="s">
        <v>1251</v>
      </c>
      <c r="J253" s="64" t="s">
        <v>173</v>
      </c>
      <c r="K253" s="22">
        <v>32523</v>
      </c>
      <c r="L253" s="66" t="s">
        <v>174</v>
      </c>
      <c r="M253" s="23">
        <v>43709</v>
      </c>
      <c r="N253" s="196">
        <v>42936</v>
      </c>
      <c r="O253" s="15" t="s">
        <v>32</v>
      </c>
      <c r="P253" s="16" t="s">
        <v>313</v>
      </c>
      <c r="Q253" s="16" t="s">
        <v>244</v>
      </c>
      <c r="R253" s="15" t="s">
        <v>177</v>
      </c>
      <c r="S253" s="17" t="s">
        <v>178</v>
      </c>
      <c r="T253" s="159"/>
      <c r="U253" s="159"/>
      <c r="V253" s="19" t="s">
        <v>195</v>
      </c>
      <c r="W253" s="19">
        <v>3192</v>
      </c>
      <c r="X253" s="1">
        <v>6</v>
      </c>
      <c r="Y253" s="160" t="s">
        <v>1918</v>
      </c>
      <c r="Z253" s="70"/>
      <c r="AA253" s="70"/>
      <c r="AB253" s="1"/>
      <c r="AC253" s="161"/>
      <c r="AD253" s="99"/>
      <c r="AE253" s="99"/>
      <c r="AF253" s="108"/>
      <c r="AG253" s="106"/>
      <c r="AH253" s="162"/>
      <c r="AI253" s="162"/>
      <c r="AJ253" s="19" t="s">
        <v>198</v>
      </c>
      <c r="AK253" s="19" t="s">
        <v>185</v>
      </c>
      <c r="AL253" s="19" t="s">
        <v>185</v>
      </c>
      <c r="AM253" s="107" t="s">
        <v>1204</v>
      </c>
      <c r="AN253" s="20">
        <v>182</v>
      </c>
      <c r="AO253" s="20">
        <v>0</v>
      </c>
      <c r="AP253" s="20">
        <v>20</v>
      </c>
      <c r="AQ253" s="20">
        <v>0</v>
      </c>
      <c r="AR253" s="20">
        <v>0</v>
      </c>
      <c r="AS253" s="20">
        <v>7</v>
      </c>
      <c r="AT253" s="20">
        <v>10</v>
      </c>
      <c r="AU253" s="300">
        <f t="shared" si="34"/>
        <v>219</v>
      </c>
      <c r="AV253" s="20">
        <v>190</v>
      </c>
      <c r="AW253" s="20">
        <v>0</v>
      </c>
      <c r="AX253" s="20">
        <v>20</v>
      </c>
      <c r="AY253" s="20">
        <v>0</v>
      </c>
      <c r="AZ253" s="20">
        <v>0</v>
      </c>
      <c r="BA253" s="20">
        <v>7</v>
      </c>
      <c r="BB253" s="20">
        <v>10</v>
      </c>
      <c r="BC253" s="300">
        <f t="shared" si="35"/>
        <v>227</v>
      </c>
      <c r="BD253" s="42">
        <f t="shared" si="36"/>
        <v>8</v>
      </c>
      <c r="BE253" s="42">
        <f t="shared" si="37"/>
        <v>0</v>
      </c>
      <c r="BF253" s="42">
        <f t="shared" si="38"/>
        <v>0</v>
      </c>
      <c r="BG253" s="42">
        <f t="shared" si="39"/>
        <v>0</v>
      </c>
      <c r="BH253" s="42">
        <f t="shared" si="40"/>
        <v>0</v>
      </c>
      <c r="BI253" s="42">
        <f t="shared" si="41"/>
        <v>0</v>
      </c>
      <c r="BJ253" s="42">
        <f t="shared" si="42"/>
        <v>0</v>
      </c>
      <c r="BK253" s="42">
        <f t="shared" si="43"/>
        <v>8</v>
      </c>
    </row>
    <row r="254" spans="1:63" ht="27" customHeight="1">
      <c r="A254" s="11">
        <f t="shared" si="44"/>
        <v>252</v>
      </c>
      <c r="B254" s="12" t="s">
        <v>1919</v>
      </c>
      <c r="C254" s="8">
        <v>2108</v>
      </c>
      <c r="D254" s="103" t="s">
        <v>1920</v>
      </c>
      <c r="E254" s="201" t="s">
        <v>1921</v>
      </c>
      <c r="F254" s="90" t="s">
        <v>1592</v>
      </c>
      <c r="G254" s="91" t="s">
        <v>1922</v>
      </c>
      <c r="H254" s="24" t="s">
        <v>1593</v>
      </c>
      <c r="I254" s="25" t="s">
        <v>1923</v>
      </c>
      <c r="J254" s="82" t="s">
        <v>173</v>
      </c>
      <c r="K254" s="26">
        <v>31869</v>
      </c>
      <c r="L254" s="66" t="s">
        <v>174</v>
      </c>
      <c r="M254" s="23">
        <v>43709</v>
      </c>
      <c r="N254" s="196">
        <v>42931</v>
      </c>
      <c r="O254" s="15" t="s">
        <v>32</v>
      </c>
      <c r="P254" s="16" t="s">
        <v>599</v>
      </c>
      <c r="Q254" s="16" t="s">
        <v>176</v>
      </c>
      <c r="R254" s="15" t="s">
        <v>177</v>
      </c>
      <c r="S254" s="11" t="s">
        <v>214</v>
      </c>
      <c r="T254" s="159"/>
      <c r="U254" s="159"/>
      <c r="V254" s="19" t="s">
        <v>195</v>
      </c>
      <c r="W254" s="19">
        <v>309</v>
      </c>
      <c r="X254" s="1">
        <v>5</v>
      </c>
      <c r="Y254" s="160" t="s">
        <v>1924</v>
      </c>
      <c r="Z254" s="70" t="s">
        <v>181</v>
      </c>
      <c r="AA254" s="70"/>
      <c r="AB254" s="1"/>
      <c r="AC254" s="161"/>
      <c r="AD254" s="99"/>
      <c r="AE254" s="99"/>
      <c r="AF254" s="108"/>
      <c r="AG254" s="106"/>
      <c r="AH254" s="162"/>
      <c r="AI254" s="162"/>
      <c r="AJ254" s="19" t="s">
        <v>198</v>
      </c>
      <c r="AK254" s="19" t="s">
        <v>185</v>
      </c>
      <c r="AL254" s="19" t="s">
        <v>185</v>
      </c>
      <c r="AM254" s="107" t="s">
        <v>1525</v>
      </c>
      <c r="AN254" s="20">
        <v>182</v>
      </c>
      <c r="AO254" s="20">
        <v>0</v>
      </c>
      <c r="AP254" s="20">
        <v>0</v>
      </c>
      <c r="AQ254" s="20">
        <v>0</v>
      </c>
      <c r="AR254" s="20">
        <v>0</v>
      </c>
      <c r="AS254" s="20">
        <v>7</v>
      </c>
      <c r="AT254" s="20">
        <v>10</v>
      </c>
      <c r="AU254" s="300">
        <f t="shared" si="34"/>
        <v>199</v>
      </c>
      <c r="AV254" s="20">
        <v>190</v>
      </c>
      <c r="AW254" s="20">
        <v>0</v>
      </c>
      <c r="AX254" s="20">
        <v>0</v>
      </c>
      <c r="AY254" s="20">
        <v>0</v>
      </c>
      <c r="AZ254" s="20">
        <v>0</v>
      </c>
      <c r="BA254" s="20">
        <v>7</v>
      </c>
      <c r="BB254" s="20">
        <v>10</v>
      </c>
      <c r="BC254" s="300">
        <f t="shared" si="35"/>
        <v>207</v>
      </c>
      <c r="BD254" s="42">
        <f t="shared" si="36"/>
        <v>8</v>
      </c>
      <c r="BE254" s="42">
        <f t="shared" si="37"/>
        <v>0</v>
      </c>
      <c r="BF254" s="42">
        <f t="shared" si="38"/>
        <v>0</v>
      </c>
      <c r="BG254" s="42">
        <f t="shared" si="39"/>
        <v>0</v>
      </c>
      <c r="BH254" s="42">
        <f t="shared" si="40"/>
        <v>0</v>
      </c>
      <c r="BI254" s="42">
        <f t="shared" si="41"/>
        <v>0</v>
      </c>
      <c r="BJ254" s="42">
        <f t="shared" si="42"/>
        <v>0</v>
      </c>
      <c r="BK254" s="42">
        <f t="shared" si="43"/>
        <v>8</v>
      </c>
    </row>
    <row r="255" spans="1:63" ht="27" customHeight="1">
      <c r="A255" s="11">
        <f t="shared" si="44"/>
        <v>253</v>
      </c>
      <c r="B255" s="12" t="s">
        <v>1925</v>
      </c>
      <c r="C255" s="8">
        <v>2091</v>
      </c>
      <c r="D255" s="103" t="s">
        <v>1926</v>
      </c>
      <c r="E255" s="61">
        <v>130199241</v>
      </c>
      <c r="F255" s="90" t="s">
        <v>415</v>
      </c>
      <c r="G255" s="91" t="s">
        <v>1927</v>
      </c>
      <c r="H255" s="24" t="s">
        <v>1928</v>
      </c>
      <c r="I255" s="25" t="s">
        <v>1929</v>
      </c>
      <c r="J255" s="82" t="s">
        <v>173</v>
      </c>
      <c r="K255" s="26">
        <v>35292</v>
      </c>
      <c r="L255" s="66" t="s">
        <v>174</v>
      </c>
      <c r="M255" s="23">
        <v>43709</v>
      </c>
      <c r="N255" s="196">
        <v>42928</v>
      </c>
      <c r="O255" s="15" t="s">
        <v>32</v>
      </c>
      <c r="P255" s="16" t="s">
        <v>287</v>
      </c>
      <c r="Q255" s="16" t="s">
        <v>176</v>
      </c>
      <c r="R255" s="15" t="s">
        <v>177</v>
      </c>
      <c r="S255" s="17" t="s">
        <v>251</v>
      </c>
      <c r="T255" s="159"/>
      <c r="U255" s="159"/>
      <c r="V255" s="19" t="s">
        <v>179</v>
      </c>
      <c r="W255" s="19" t="s">
        <v>179</v>
      </c>
      <c r="X255" s="1">
        <v>5</v>
      </c>
      <c r="Y255" s="160" t="s">
        <v>1930</v>
      </c>
      <c r="Z255" s="70" t="s">
        <v>181</v>
      </c>
      <c r="AA255" s="70"/>
      <c r="AB255" s="1"/>
      <c r="AC255" s="161"/>
      <c r="AD255" s="99"/>
      <c r="AE255" s="99"/>
      <c r="AF255" s="108"/>
      <c r="AG255" s="106"/>
      <c r="AH255" s="162"/>
      <c r="AI255" s="162"/>
      <c r="AJ255" s="19" t="s">
        <v>198</v>
      </c>
      <c r="AK255" s="19" t="s">
        <v>185</v>
      </c>
      <c r="AL255" s="19" t="s">
        <v>185</v>
      </c>
      <c r="AM255" s="107" t="s">
        <v>1931</v>
      </c>
      <c r="AN255" s="20">
        <v>182</v>
      </c>
      <c r="AO255" s="20">
        <v>0</v>
      </c>
      <c r="AP255" s="20">
        <v>20</v>
      </c>
      <c r="AQ255" s="20">
        <v>0</v>
      </c>
      <c r="AR255" s="20">
        <v>0</v>
      </c>
      <c r="AS255" s="20">
        <v>7</v>
      </c>
      <c r="AT255" s="20">
        <v>10</v>
      </c>
      <c r="AU255" s="300">
        <f t="shared" si="34"/>
        <v>219</v>
      </c>
      <c r="AV255" s="20">
        <v>190</v>
      </c>
      <c r="AW255" s="20">
        <v>0</v>
      </c>
      <c r="AX255" s="20">
        <v>20</v>
      </c>
      <c r="AY255" s="20">
        <v>0</v>
      </c>
      <c r="AZ255" s="20">
        <v>0</v>
      </c>
      <c r="BA255" s="20">
        <v>7</v>
      </c>
      <c r="BB255" s="20">
        <v>10</v>
      </c>
      <c r="BC255" s="300">
        <f t="shared" si="35"/>
        <v>227</v>
      </c>
      <c r="BD255" s="42">
        <f t="shared" si="36"/>
        <v>8</v>
      </c>
      <c r="BE255" s="42">
        <f t="shared" si="37"/>
        <v>0</v>
      </c>
      <c r="BF255" s="42">
        <f t="shared" si="38"/>
        <v>0</v>
      </c>
      <c r="BG255" s="42">
        <f t="shared" si="39"/>
        <v>0</v>
      </c>
      <c r="BH255" s="42">
        <f t="shared" si="40"/>
        <v>0</v>
      </c>
      <c r="BI255" s="42">
        <f t="shared" si="41"/>
        <v>0</v>
      </c>
      <c r="BJ255" s="42">
        <f t="shared" si="42"/>
        <v>0</v>
      </c>
      <c r="BK255" s="42">
        <f t="shared" si="43"/>
        <v>8</v>
      </c>
    </row>
    <row r="256" spans="1:63" ht="27" customHeight="1">
      <c r="A256" s="11">
        <f t="shared" si="44"/>
        <v>254</v>
      </c>
      <c r="B256" s="12" t="s">
        <v>1932</v>
      </c>
      <c r="C256" s="8">
        <v>2054</v>
      </c>
      <c r="D256" s="103" t="s">
        <v>1933</v>
      </c>
      <c r="E256" s="61">
        <v>110532454</v>
      </c>
      <c r="F256" s="90" t="s">
        <v>1934</v>
      </c>
      <c r="G256" s="91" t="s">
        <v>1935</v>
      </c>
      <c r="H256" s="24" t="s">
        <v>1637</v>
      </c>
      <c r="I256" s="25" t="s">
        <v>1936</v>
      </c>
      <c r="J256" s="82" t="s">
        <v>173</v>
      </c>
      <c r="K256" s="26">
        <v>32936</v>
      </c>
      <c r="L256" s="66" t="s">
        <v>174</v>
      </c>
      <c r="M256" s="23">
        <v>43709</v>
      </c>
      <c r="N256" s="196">
        <v>42921</v>
      </c>
      <c r="O256" s="15" t="s">
        <v>32</v>
      </c>
      <c r="P256" s="16" t="s">
        <v>304</v>
      </c>
      <c r="Q256" s="16" t="s">
        <v>176</v>
      </c>
      <c r="R256" s="15" t="s">
        <v>177</v>
      </c>
      <c r="S256" s="17" t="s">
        <v>206</v>
      </c>
      <c r="T256" s="159"/>
      <c r="U256" s="159"/>
      <c r="V256" s="19" t="s">
        <v>195</v>
      </c>
      <c r="W256" s="19">
        <v>548</v>
      </c>
      <c r="X256" s="1">
        <v>9</v>
      </c>
      <c r="Y256" s="160" t="s">
        <v>179</v>
      </c>
      <c r="Z256" s="70"/>
      <c r="AA256" s="70" t="s">
        <v>181</v>
      </c>
      <c r="AB256" s="1"/>
      <c r="AC256" s="161"/>
      <c r="AD256" s="99"/>
      <c r="AE256" s="99"/>
      <c r="AF256" s="108"/>
      <c r="AG256" s="106"/>
      <c r="AH256" s="162"/>
      <c r="AI256" s="162"/>
      <c r="AJ256" s="19" t="s">
        <v>198</v>
      </c>
      <c r="AK256" s="19" t="s">
        <v>185</v>
      </c>
      <c r="AL256" s="19" t="s">
        <v>185</v>
      </c>
      <c r="AM256" s="107" t="s">
        <v>1768</v>
      </c>
      <c r="AN256" s="20">
        <v>182</v>
      </c>
      <c r="AO256" s="20">
        <v>0</v>
      </c>
      <c r="AP256" s="20">
        <v>0</v>
      </c>
      <c r="AQ256" s="20">
        <v>0</v>
      </c>
      <c r="AR256" s="20">
        <v>0</v>
      </c>
      <c r="AS256" s="20">
        <v>7</v>
      </c>
      <c r="AT256" s="20">
        <v>10</v>
      </c>
      <c r="AU256" s="300">
        <f t="shared" si="34"/>
        <v>199</v>
      </c>
      <c r="AV256" s="20">
        <v>190</v>
      </c>
      <c r="AW256" s="20">
        <v>0</v>
      </c>
      <c r="AX256" s="20">
        <v>0</v>
      </c>
      <c r="AY256" s="20">
        <v>0</v>
      </c>
      <c r="AZ256" s="20">
        <v>0</v>
      </c>
      <c r="BA256" s="20">
        <v>7</v>
      </c>
      <c r="BB256" s="20">
        <v>10</v>
      </c>
      <c r="BC256" s="300">
        <f t="shared" si="35"/>
        <v>207</v>
      </c>
      <c r="BD256" s="42">
        <f t="shared" si="36"/>
        <v>8</v>
      </c>
      <c r="BE256" s="42">
        <f t="shared" si="37"/>
        <v>0</v>
      </c>
      <c r="BF256" s="42">
        <f t="shared" si="38"/>
        <v>0</v>
      </c>
      <c r="BG256" s="42">
        <f t="shared" si="39"/>
        <v>0</v>
      </c>
      <c r="BH256" s="42">
        <f t="shared" si="40"/>
        <v>0</v>
      </c>
      <c r="BI256" s="42">
        <f t="shared" si="41"/>
        <v>0</v>
      </c>
      <c r="BJ256" s="42">
        <f t="shared" si="42"/>
        <v>0</v>
      </c>
      <c r="BK256" s="42">
        <f t="shared" si="43"/>
        <v>8</v>
      </c>
    </row>
    <row r="257" spans="1:63" ht="27" customHeight="1">
      <c r="A257" s="11">
        <f t="shared" si="44"/>
        <v>255</v>
      </c>
      <c r="B257" s="12" t="s">
        <v>1937</v>
      </c>
      <c r="C257" s="8">
        <v>2080</v>
      </c>
      <c r="D257" s="103" t="s">
        <v>1938</v>
      </c>
      <c r="E257" s="201" t="s">
        <v>1939</v>
      </c>
      <c r="F257" s="90" t="s">
        <v>1940</v>
      </c>
      <c r="G257" s="91" t="s">
        <v>1941</v>
      </c>
      <c r="H257" s="24" t="s">
        <v>1942</v>
      </c>
      <c r="I257" s="25" t="s">
        <v>1943</v>
      </c>
      <c r="J257" s="82" t="s">
        <v>173</v>
      </c>
      <c r="K257" s="26">
        <v>32978</v>
      </c>
      <c r="L257" s="66" t="s">
        <v>174</v>
      </c>
      <c r="M257" s="23">
        <v>43709</v>
      </c>
      <c r="N257" s="196">
        <v>42927</v>
      </c>
      <c r="O257" s="15" t="s">
        <v>32</v>
      </c>
      <c r="P257" s="16" t="s">
        <v>381</v>
      </c>
      <c r="Q257" s="16" t="s">
        <v>244</v>
      </c>
      <c r="R257" s="15" t="s">
        <v>177</v>
      </c>
      <c r="S257" s="11" t="s">
        <v>214</v>
      </c>
      <c r="T257" s="159"/>
      <c r="U257" s="159"/>
      <c r="V257" s="19" t="s">
        <v>195</v>
      </c>
      <c r="W257" s="19" t="s">
        <v>179</v>
      </c>
      <c r="X257" s="1">
        <v>4</v>
      </c>
      <c r="Y257" s="160" t="s">
        <v>1944</v>
      </c>
      <c r="Z257" s="70"/>
      <c r="AA257" s="70" t="s">
        <v>181</v>
      </c>
      <c r="AB257" s="1"/>
      <c r="AC257" s="161"/>
      <c r="AD257" s="99"/>
      <c r="AE257" s="99"/>
      <c r="AF257" s="108"/>
      <c r="AG257" s="106"/>
      <c r="AH257" s="162"/>
      <c r="AI257" s="162"/>
      <c r="AJ257" s="19" t="s">
        <v>198</v>
      </c>
      <c r="AK257" s="19" t="s">
        <v>185</v>
      </c>
      <c r="AL257" s="19" t="s">
        <v>185</v>
      </c>
      <c r="AM257" s="107" t="s">
        <v>1595</v>
      </c>
      <c r="AN257" s="20">
        <v>182</v>
      </c>
      <c r="AO257" s="20">
        <v>0</v>
      </c>
      <c r="AP257" s="20">
        <v>0</v>
      </c>
      <c r="AQ257" s="20">
        <v>0</v>
      </c>
      <c r="AR257" s="20">
        <v>0</v>
      </c>
      <c r="AS257" s="20">
        <v>7</v>
      </c>
      <c r="AT257" s="20">
        <v>10</v>
      </c>
      <c r="AU257" s="300">
        <f t="shared" si="34"/>
        <v>199</v>
      </c>
      <c r="AV257" s="20">
        <v>190</v>
      </c>
      <c r="AW257" s="20">
        <v>0</v>
      </c>
      <c r="AX257" s="20">
        <v>0</v>
      </c>
      <c r="AY257" s="20">
        <v>0</v>
      </c>
      <c r="AZ257" s="20">
        <v>0</v>
      </c>
      <c r="BA257" s="20">
        <v>7</v>
      </c>
      <c r="BB257" s="20">
        <v>10</v>
      </c>
      <c r="BC257" s="300">
        <f t="shared" si="35"/>
        <v>207</v>
      </c>
      <c r="BD257" s="42">
        <f t="shared" si="36"/>
        <v>8</v>
      </c>
      <c r="BE257" s="42">
        <f t="shared" si="37"/>
        <v>0</v>
      </c>
      <c r="BF257" s="42">
        <f t="shared" si="38"/>
        <v>0</v>
      </c>
      <c r="BG257" s="42">
        <f t="shared" si="39"/>
        <v>0</v>
      </c>
      <c r="BH257" s="42">
        <f t="shared" si="40"/>
        <v>0</v>
      </c>
      <c r="BI257" s="42">
        <f t="shared" si="41"/>
        <v>0</v>
      </c>
      <c r="BJ257" s="42">
        <f t="shared" si="42"/>
        <v>0</v>
      </c>
      <c r="BK257" s="42">
        <f t="shared" si="43"/>
        <v>8</v>
      </c>
    </row>
    <row r="258" spans="1:63" ht="27" customHeight="1">
      <c r="A258" s="11">
        <f t="shared" si="44"/>
        <v>256</v>
      </c>
      <c r="B258" s="12" t="s">
        <v>1945</v>
      </c>
      <c r="C258" s="8">
        <v>2066</v>
      </c>
      <c r="D258" s="103" t="s">
        <v>1946</v>
      </c>
      <c r="E258" s="69">
        <v>130197361</v>
      </c>
      <c r="F258" s="62" t="s">
        <v>393</v>
      </c>
      <c r="G258" s="63" t="s">
        <v>1947</v>
      </c>
      <c r="H258" s="13" t="s">
        <v>1948</v>
      </c>
      <c r="I258" s="14" t="s">
        <v>1949</v>
      </c>
      <c r="J258" s="82" t="s">
        <v>173</v>
      </c>
      <c r="K258" s="26">
        <v>36193</v>
      </c>
      <c r="L258" s="66" t="s">
        <v>174</v>
      </c>
      <c r="M258" s="23">
        <v>43709</v>
      </c>
      <c r="N258" s="196">
        <v>42922</v>
      </c>
      <c r="O258" s="15" t="s">
        <v>32</v>
      </c>
      <c r="P258" s="16" t="s">
        <v>296</v>
      </c>
      <c r="Q258" s="16" t="s">
        <v>176</v>
      </c>
      <c r="R258" s="15" t="s">
        <v>177</v>
      </c>
      <c r="S258" s="11" t="s">
        <v>223</v>
      </c>
      <c r="T258" s="159"/>
      <c r="U258" s="159"/>
      <c r="V258" s="19" t="s">
        <v>179</v>
      </c>
      <c r="W258" s="19" t="s">
        <v>179</v>
      </c>
      <c r="X258" s="1">
        <v>9</v>
      </c>
      <c r="Y258" s="160" t="s">
        <v>1950</v>
      </c>
      <c r="Z258" s="70" t="s">
        <v>181</v>
      </c>
      <c r="AA258" s="70"/>
      <c r="AB258" s="1"/>
      <c r="AC258" s="161"/>
      <c r="AD258" s="99"/>
      <c r="AE258" s="99"/>
      <c r="AF258" s="108"/>
      <c r="AG258" s="106"/>
      <c r="AH258" s="162"/>
      <c r="AI258" s="162"/>
      <c r="AJ258" s="19" t="s">
        <v>198</v>
      </c>
      <c r="AK258" s="19" t="s">
        <v>185</v>
      </c>
      <c r="AL258" s="19" t="s">
        <v>185</v>
      </c>
      <c r="AM258" s="107" t="s">
        <v>1229</v>
      </c>
      <c r="AN258" s="20">
        <v>182</v>
      </c>
      <c r="AO258" s="20">
        <v>0</v>
      </c>
      <c r="AP258" s="20">
        <v>0</v>
      </c>
      <c r="AQ258" s="20">
        <v>0</v>
      </c>
      <c r="AR258" s="20">
        <v>0</v>
      </c>
      <c r="AS258" s="20">
        <v>7</v>
      </c>
      <c r="AT258" s="20">
        <v>10</v>
      </c>
      <c r="AU258" s="300">
        <f t="shared" si="34"/>
        <v>199</v>
      </c>
      <c r="AV258" s="20">
        <v>190</v>
      </c>
      <c r="AW258" s="20">
        <v>0</v>
      </c>
      <c r="AX258" s="20">
        <v>0</v>
      </c>
      <c r="AY258" s="20">
        <v>0</v>
      </c>
      <c r="AZ258" s="20">
        <v>0</v>
      </c>
      <c r="BA258" s="20">
        <v>7</v>
      </c>
      <c r="BB258" s="20">
        <v>10</v>
      </c>
      <c r="BC258" s="300">
        <f t="shared" si="35"/>
        <v>207</v>
      </c>
      <c r="BD258" s="42">
        <f t="shared" si="36"/>
        <v>8</v>
      </c>
      <c r="BE258" s="42">
        <f t="shared" si="37"/>
        <v>0</v>
      </c>
      <c r="BF258" s="42">
        <f t="shared" si="38"/>
        <v>0</v>
      </c>
      <c r="BG258" s="42">
        <f t="shared" si="39"/>
        <v>0</v>
      </c>
      <c r="BH258" s="42">
        <f t="shared" si="40"/>
        <v>0</v>
      </c>
      <c r="BI258" s="42">
        <f t="shared" si="41"/>
        <v>0</v>
      </c>
      <c r="BJ258" s="42">
        <f t="shared" si="42"/>
        <v>0</v>
      </c>
      <c r="BK258" s="42">
        <f t="shared" si="43"/>
        <v>8</v>
      </c>
    </row>
    <row r="259" spans="1:63" ht="27" customHeight="1">
      <c r="A259" s="11">
        <f t="shared" si="44"/>
        <v>257</v>
      </c>
      <c r="B259" s="12" t="s">
        <v>1951</v>
      </c>
      <c r="C259" s="8">
        <v>2051</v>
      </c>
      <c r="D259" s="103" t="s">
        <v>1952</v>
      </c>
      <c r="E259" s="69">
        <v>130184447</v>
      </c>
      <c r="F259" s="62" t="s">
        <v>1953</v>
      </c>
      <c r="G259" s="63" t="s">
        <v>1954</v>
      </c>
      <c r="H259" s="13" t="s">
        <v>1955</v>
      </c>
      <c r="I259" s="14" t="s">
        <v>1956</v>
      </c>
      <c r="J259" s="82" t="s">
        <v>173</v>
      </c>
      <c r="K259" s="26">
        <v>31846</v>
      </c>
      <c r="L259" s="66" t="s">
        <v>174</v>
      </c>
      <c r="M259" s="23">
        <v>43709</v>
      </c>
      <c r="N259" s="196">
        <v>42921</v>
      </c>
      <c r="O259" s="15" t="s">
        <v>32</v>
      </c>
      <c r="P259" s="16" t="s">
        <v>296</v>
      </c>
      <c r="Q259" s="16" t="s">
        <v>176</v>
      </c>
      <c r="R259" s="15" t="s">
        <v>177</v>
      </c>
      <c r="S259" s="17" t="s">
        <v>251</v>
      </c>
      <c r="T259" s="159"/>
      <c r="U259" s="159"/>
      <c r="V259" s="19" t="s">
        <v>179</v>
      </c>
      <c r="W259" s="19" t="s">
        <v>179</v>
      </c>
      <c r="X259" s="1">
        <v>5</v>
      </c>
      <c r="Y259" s="160" t="s">
        <v>1957</v>
      </c>
      <c r="Z259" s="70"/>
      <c r="AA259" s="70"/>
      <c r="AB259" s="1"/>
      <c r="AC259" s="161"/>
      <c r="AD259" s="99"/>
      <c r="AE259" s="99"/>
      <c r="AF259" s="108"/>
      <c r="AG259" s="106"/>
      <c r="AH259" s="162"/>
      <c r="AI259" s="162"/>
      <c r="AJ259" s="19" t="s">
        <v>198</v>
      </c>
      <c r="AK259" s="19" t="s">
        <v>185</v>
      </c>
      <c r="AL259" s="19" t="s">
        <v>185</v>
      </c>
      <c r="AM259" s="107" t="s">
        <v>1509</v>
      </c>
      <c r="AN259" s="20">
        <v>182</v>
      </c>
      <c r="AO259" s="20">
        <v>0</v>
      </c>
      <c r="AP259" s="20">
        <v>0</v>
      </c>
      <c r="AQ259" s="20">
        <v>0</v>
      </c>
      <c r="AR259" s="20">
        <v>0</v>
      </c>
      <c r="AS259" s="20">
        <v>7</v>
      </c>
      <c r="AT259" s="20">
        <v>10</v>
      </c>
      <c r="AU259" s="300">
        <f t="shared" si="34"/>
        <v>199</v>
      </c>
      <c r="AV259" s="20">
        <v>190</v>
      </c>
      <c r="AW259" s="20">
        <v>0</v>
      </c>
      <c r="AX259" s="20">
        <v>0</v>
      </c>
      <c r="AY259" s="20">
        <v>0</v>
      </c>
      <c r="AZ259" s="20">
        <v>0</v>
      </c>
      <c r="BA259" s="20">
        <v>7</v>
      </c>
      <c r="BB259" s="20">
        <v>10</v>
      </c>
      <c r="BC259" s="300">
        <f t="shared" si="35"/>
        <v>207</v>
      </c>
      <c r="BD259" s="42">
        <f t="shared" si="36"/>
        <v>8</v>
      </c>
      <c r="BE259" s="42">
        <f t="shared" si="37"/>
        <v>0</v>
      </c>
      <c r="BF259" s="42">
        <f t="shared" si="38"/>
        <v>0</v>
      </c>
      <c r="BG259" s="42">
        <f t="shared" si="39"/>
        <v>0</v>
      </c>
      <c r="BH259" s="42">
        <f t="shared" si="40"/>
        <v>0</v>
      </c>
      <c r="BI259" s="42">
        <f t="shared" si="41"/>
        <v>0</v>
      </c>
      <c r="BJ259" s="42">
        <f t="shared" si="42"/>
        <v>0</v>
      </c>
      <c r="BK259" s="42">
        <f t="shared" si="43"/>
        <v>8</v>
      </c>
    </row>
    <row r="260" spans="1:63" ht="27" customHeight="1">
      <c r="A260" s="11">
        <f t="shared" si="44"/>
        <v>258</v>
      </c>
      <c r="B260" s="12" t="s">
        <v>1958</v>
      </c>
      <c r="C260" s="8">
        <v>2044</v>
      </c>
      <c r="D260" s="103" t="s">
        <v>1959</v>
      </c>
      <c r="E260" s="201" t="s">
        <v>1960</v>
      </c>
      <c r="F260" s="90" t="s">
        <v>670</v>
      </c>
      <c r="G260" s="91" t="s">
        <v>1315</v>
      </c>
      <c r="H260" s="24" t="s">
        <v>1961</v>
      </c>
      <c r="I260" s="25" t="s">
        <v>1316</v>
      </c>
      <c r="J260" s="82" t="s">
        <v>173</v>
      </c>
      <c r="K260" s="26">
        <v>31200</v>
      </c>
      <c r="L260" s="66" t="s">
        <v>174</v>
      </c>
      <c r="M260" s="23">
        <v>43709</v>
      </c>
      <c r="N260" s="196">
        <v>42920</v>
      </c>
      <c r="O260" s="15" t="s">
        <v>32</v>
      </c>
      <c r="P260" s="16" t="s">
        <v>287</v>
      </c>
      <c r="Q260" s="16" t="s">
        <v>176</v>
      </c>
      <c r="R260" s="15" t="s">
        <v>177</v>
      </c>
      <c r="S260" s="11" t="s">
        <v>305</v>
      </c>
      <c r="T260" s="159"/>
      <c r="U260" s="159"/>
      <c r="V260" s="19" t="s">
        <v>195</v>
      </c>
      <c r="W260" s="19">
        <v>1151</v>
      </c>
      <c r="X260" s="1">
        <v>9</v>
      </c>
      <c r="Y260" s="160" t="s">
        <v>1962</v>
      </c>
      <c r="Z260" s="70"/>
      <c r="AA260" s="70" t="s">
        <v>181</v>
      </c>
      <c r="AB260" s="1"/>
      <c r="AC260" s="161"/>
      <c r="AD260" s="99" t="s">
        <v>184</v>
      </c>
      <c r="AE260" s="99" t="s">
        <v>184</v>
      </c>
      <c r="AF260" s="99" t="s">
        <v>184</v>
      </c>
      <c r="AG260" s="106"/>
      <c r="AH260" s="162"/>
      <c r="AI260" s="162"/>
      <c r="AJ260" s="19" t="s">
        <v>198</v>
      </c>
      <c r="AK260" s="19" t="s">
        <v>185</v>
      </c>
      <c r="AL260" s="19" t="s">
        <v>185</v>
      </c>
      <c r="AM260" s="107" t="s">
        <v>1204</v>
      </c>
      <c r="AN260" s="20">
        <v>182</v>
      </c>
      <c r="AO260" s="20">
        <v>0</v>
      </c>
      <c r="AP260" s="20">
        <v>20</v>
      </c>
      <c r="AQ260" s="20">
        <v>0</v>
      </c>
      <c r="AR260" s="20">
        <v>0</v>
      </c>
      <c r="AS260" s="20">
        <v>7</v>
      </c>
      <c r="AT260" s="20">
        <v>10</v>
      </c>
      <c r="AU260" s="300">
        <f t="shared" ref="AU260:AU323" si="45">SUM(AN260:AT260)</f>
        <v>219</v>
      </c>
      <c r="AV260" s="20">
        <v>190</v>
      </c>
      <c r="AW260" s="20">
        <v>0</v>
      </c>
      <c r="AX260" s="20">
        <v>20</v>
      </c>
      <c r="AY260" s="20">
        <v>0</v>
      </c>
      <c r="AZ260" s="20">
        <v>0</v>
      </c>
      <c r="BA260" s="20">
        <v>7</v>
      </c>
      <c r="BB260" s="20">
        <v>10</v>
      </c>
      <c r="BC260" s="300">
        <f t="shared" ref="BC260:BC323" si="46">SUM(AV260:BB260)</f>
        <v>227</v>
      </c>
      <c r="BD260" s="42">
        <f t="shared" ref="BD260:BD323" si="47">AV260-AN260</f>
        <v>8</v>
      </c>
      <c r="BE260" s="42">
        <f t="shared" ref="BE260:BE323" si="48">AW260-AO260</f>
        <v>0</v>
      </c>
      <c r="BF260" s="42">
        <f t="shared" ref="BF260:BF323" si="49">AX260-AP260</f>
        <v>0</v>
      </c>
      <c r="BG260" s="42">
        <f t="shared" ref="BG260:BG323" si="50">AY260-AQ260</f>
        <v>0</v>
      </c>
      <c r="BH260" s="42">
        <f t="shared" ref="BH260:BH323" si="51">AZ260-AR260</f>
        <v>0</v>
      </c>
      <c r="BI260" s="42">
        <f t="shared" ref="BI260:BI323" si="52">BA260-AS260</f>
        <v>0</v>
      </c>
      <c r="BJ260" s="42">
        <f t="shared" ref="BJ260:BJ323" si="53">BB260-AT260</f>
        <v>0</v>
      </c>
      <c r="BK260" s="42">
        <f t="shared" ref="BK260:BK323" si="54">BC260-AU260</f>
        <v>8</v>
      </c>
    </row>
    <row r="261" spans="1:63" ht="27" customHeight="1">
      <c r="A261" s="11">
        <f t="shared" ref="A261:A324" si="55">1+A260</f>
        <v>259</v>
      </c>
      <c r="B261" s="12" t="s">
        <v>1963</v>
      </c>
      <c r="C261" s="8">
        <v>2093</v>
      </c>
      <c r="D261" s="103" t="s">
        <v>1964</v>
      </c>
      <c r="E261" s="201" t="s">
        <v>1965</v>
      </c>
      <c r="F261" s="90" t="s">
        <v>355</v>
      </c>
      <c r="G261" s="91" t="s">
        <v>1966</v>
      </c>
      <c r="H261" s="24" t="s">
        <v>576</v>
      </c>
      <c r="I261" s="25" t="s">
        <v>1003</v>
      </c>
      <c r="J261" s="82" t="s">
        <v>173</v>
      </c>
      <c r="K261" s="26">
        <v>35449</v>
      </c>
      <c r="L261" s="66" t="s">
        <v>174</v>
      </c>
      <c r="M261" s="23">
        <v>43709</v>
      </c>
      <c r="N261" s="196">
        <v>42929</v>
      </c>
      <c r="O261" s="15" t="s">
        <v>32</v>
      </c>
      <c r="P261" s="16" t="s">
        <v>599</v>
      </c>
      <c r="Q261" s="16" t="s">
        <v>176</v>
      </c>
      <c r="R261" s="15" t="s">
        <v>177</v>
      </c>
      <c r="S261" s="17" t="s">
        <v>178</v>
      </c>
      <c r="T261" s="159"/>
      <c r="U261" s="159"/>
      <c r="V261" s="19" t="s">
        <v>195</v>
      </c>
      <c r="W261" s="19" t="s">
        <v>195</v>
      </c>
      <c r="X261" s="1" t="s">
        <v>179</v>
      </c>
      <c r="Y261" s="160" t="s">
        <v>1967</v>
      </c>
      <c r="Z261" s="70"/>
      <c r="AA261" s="70">
        <v>1</v>
      </c>
      <c r="AB261" s="1"/>
      <c r="AC261" s="161"/>
      <c r="AD261" s="99"/>
      <c r="AE261" s="99"/>
      <c r="AF261" s="108"/>
      <c r="AG261" s="106"/>
      <c r="AH261" s="162"/>
      <c r="AI261" s="162"/>
      <c r="AJ261" s="19" t="s">
        <v>198</v>
      </c>
      <c r="AK261" s="19" t="s">
        <v>185</v>
      </c>
      <c r="AL261" s="19" t="s">
        <v>185</v>
      </c>
      <c r="AM261" s="107" t="s">
        <v>1229</v>
      </c>
      <c r="AN261" s="20">
        <v>182</v>
      </c>
      <c r="AO261" s="20">
        <v>0</v>
      </c>
      <c r="AP261" s="20">
        <v>0</v>
      </c>
      <c r="AQ261" s="20">
        <v>0</v>
      </c>
      <c r="AR261" s="20">
        <v>0</v>
      </c>
      <c r="AS261" s="20">
        <v>7</v>
      </c>
      <c r="AT261" s="20">
        <v>10</v>
      </c>
      <c r="AU261" s="300">
        <f t="shared" si="45"/>
        <v>199</v>
      </c>
      <c r="AV261" s="20">
        <v>190</v>
      </c>
      <c r="AW261" s="20">
        <v>0</v>
      </c>
      <c r="AX261" s="20">
        <v>0</v>
      </c>
      <c r="AY261" s="20">
        <v>0</v>
      </c>
      <c r="AZ261" s="20">
        <v>0</v>
      </c>
      <c r="BA261" s="20">
        <v>7</v>
      </c>
      <c r="BB261" s="20">
        <v>10</v>
      </c>
      <c r="BC261" s="300">
        <f t="shared" si="46"/>
        <v>207</v>
      </c>
      <c r="BD261" s="42">
        <f t="shared" si="47"/>
        <v>8</v>
      </c>
      <c r="BE261" s="42">
        <f t="shared" si="48"/>
        <v>0</v>
      </c>
      <c r="BF261" s="42">
        <f t="shared" si="49"/>
        <v>0</v>
      </c>
      <c r="BG261" s="42">
        <f t="shared" si="50"/>
        <v>0</v>
      </c>
      <c r="BH261" s="42">
        <f t="shared" si="51"/>
        <v>0</v>
      </c>
      <c r="BI261" s="42">
        <f t="shared" si="52"/>
        <v>0</v>
      </c>
      <c r="BJ261" s="42">
        <f t="shared" si="53"/>
        <v>0</v>
      </c>
      <c r="BK261" s="42">
        <f t="shared" si="54"/>
        <v>8</v>
      </c>
    </row>
    <row r="262" spans="1:63" ht="27" customHeight="1">
      <c r="A262" s="11">
        <f t="shared" si="55"/>
        <v>260</v>
      </c>
      <c r="B262" s="12" t="s">
        <v>1968</v>
      </c>
      <c r="C262" s="8">
        <v>2112</v>
      </c>
      <c r="D262" s="103" t="s">
        <v>1969</v>
      </c>
      <c r="E262" s="201" t="s">
        <v>1970</v>
      </c>
      <c r="F262" s="90" t="s">
        <v>1971</v>
      </c>
      <c r="G262" s="91" t="s">
        <v>1972</v>
      </c>
      <c r="H262" s="24" t="s">
        <v>1973</v>
      </c>
      <c r="I262" s="25" t="s">
        <v>1974</v>
      </c>
      <c r="J262" s="82" t="s">
        <v>173</v>
      </c>
      <c r="K262" s="26">
        <v>31518</v>
      </c>
      <c r="L262" s="66" t="s">
        <v>174</v>
      </c>
      <c r="M262" s="23">
        <v>43709</v>
      </c>
      <c r="N262" s="196">
        <v>42931</v>
      </c>
      <c r="O262" s="15" t="s">
        <v>32</v>
      </c>
      <c r="P262" s="16" t="s">
        <v>1080</v>
      </c>
      <c r="Q262" s="16" t="s">
        <v>176</v>
      </c>
      <c r="R262" s="15" t="s">
        <v>177</v>
      </c>
      <c r="S262" s="11" t="s">
        <v>214</v>
      </c>
      <c r="T262" s="159"/>
      <c r="U262" s="159"/>
      <c r="V262" s="19" t="s">
        <v>195</v>
      </c>
      <c r="W262" s="19" t="s">
        <v>179</v>
      </c>
      <c r="X262" s="1">
        <v>6</v>
      </c>
      <c r="Y262" s="160" t="s">
        <v>1975</v>
      </c>
      <c r="Z262" s="70"/>
      <c r="AA262" s="70">
        <v>1</v>
      </c>
      <c r="AB262" s="1"/>
      <c r="AC262" s="161" t="s">
        <v>351</v>
      </c>
      <c r="AD262" s="99" t="s">
        <v>184</v>
      </c>
      <c r="AE262" s="99" t="s">
        <v>184</v>
      </c>
      <c r="AF262" s="108"/>
      <c r="AG262" s="106"/>
      <c r="AH262" s="162"/>
      <c r="AI262" s="162"/>
      <c r="AJ262" s="19" t="s">
        <v>198</v>
      </c>
      <c r="AK262" s="19" t="s">
        <v>185</v>
      </c>
      <c r="AL262" s="19" t="s">
        <v>185</v>
      </c>
      <c r="AM262" s="107" t="s">
        <v>1541</v>
      </c>
      <c r="AN262" s="20">
        <v>182</v>
      </c>
      <c r="AO262" s="20">
        <v>0</v>
      </c>
      <c r="AP262" s="20">
        <v>0</v>
      </c>
      <c r="AQ262" s="20">
        <v>0</v>
      </c>
      <c r="AR262" s="20">
        <v>0</v>
      </c>
      <c r="AS262" s="20">
        <v>7</v>
      </c>
      <c r="AT262" s="20">
        <v>10</v>
      </c>
      <c r="AU262" s="300">
        <f t="shared" si="45"/>
        <v>199</v>
      </c>
      <c r="AV262" s="20">
        <v>190</v>
      </c>
      <c r="AW262" s="20">
        <v>0</v>
      </c>
      <c r="AX262" s="20">
        <v>0</v>
      </c>
      <c r="AY262" s="20">
        <v>0</v>
      </c>
      <c r="AZ262" s="20">
        <v>0</v>
      </c>
      <c r="BA262" s="20">
        <v>7</v>
      </c>
      <c r="BB262" s="20">
        <v>10</v>
      </c>
      <c r="BC262" s="300">
        <f t="shared" si="46"/>
        <v>207</v>
      </c>
      <c r="BD262" s="42">
        <f t="shared" si="47"/>
        <v>8</v>
      </c>
      <c r="BE262" s="42">
        <f t="shared" si="48"/>
        <v>0</v>
      </c>
      <c r="BF262" s="42">
        <f t="shared" si="49"/>
        <v>0</v>
      </c>
      <c r="BG262" s="42">
        <f t="shared" si="50"/>
        <v>0</v>
      </c>
      <c r="BH262" s="42">
        <f t="shared" si="51"/>
        <v>0</v>
      </c>
      <c r="BI262" s="42">
        <f t="shared" si="52"/>
        <v>0</v>
      </c>
      <c r="BJ262" s="42">
        <f t="shared" si="53"/>
        <v>0</v>
      </c>
      <c r="BK262" s="42">
        <f t="shared" si="54"/>
        <v>8</v>
      </c>
    </row>
    <row r="263" spans="1:63" ht="27" customHeight="1">
      <c r="A263" s="11">
        <f t="shared" si="55"/>
        <v>261</v>
      </c>
      <c r="B263" s="12" t="s">
        <v>1976</v>
      </c>
      <c r="C263" s="8">
        <v>2127</v>
      </c>
      <c r="D263" s="103" t="s">
        <v>1977</v>
      </c>
      <c r="E263" s="201">
        <v>100644593</v>
      </c>
      <c r="F263" s="90" t="s">
        <v>1978</v>
      </c>
      <c r="G263" s="91" t="s">
        <v>1979</v>
      </c>
      <c r="H263" s="24" t="s">
        <v>1894</v>
      </c>
      <c r="I263" s="25" t="s">
        <v>1980</v>
      </c>
      <c r="J263" s="82" t="s">
        <v>173</v>
      </c>
      <c r="K263" s="26">
        <v>34444</v>
      </c>
      <c r="L263" s="66" t="s">
        <v>174</v>
      </c>
      <c r="M263" s="23">
        <v>43709</v>
      </c>
      <c r="N263" s="196">
        <v>42949</v>
      </c>
      <c r="O263" s="15" t="s">
        <v>32</v>
      </c>
      <c r="P263" s="16" t="s">
        <v>287</v>
      </c>
      <c r="Q263" s="16" t="s">
        <v>176</v>
      </c>
      <c r="R263" s="15" t="s">
        <v>177</v>
      </c>
      <c r="S263" s="17" t="s">
        <v>206</v>
      </c>
      <c r="T263" s="159"/>
      <c r="U263" s="159"/>
      <c r="V263" s="19" t="s">
        <v>195</v>
      </c>
      <c r="W263" s="19" t="s">
        <v>195</v>
      </c>
      <c r="X263" s="1">
        <v>7</v>
      </c>
      <c r="Y263" s="160" t="s">
        <v>1981</v>
      </c>
      <c r="Z263" s="70"/>
      <c r="AA263" s="70">
        <v>1</v>
      </c>
      <c r="AB263" s="1"/>
      <c r="AC263" s="161" t="s">
        <v>420</v>
      </c>
      <c r="AD263" s="99"/>
      <c r="AE263" s="99"/>
      <c r="AF263" s="108"/>
      <c r="AG263" s="106"/>
      <c r="AH263" s="162"/>
      <c r="AI263" s="162"/>
      <c r="AJ263" s="19" t="s">
        <v>198</v>
      </c>
      <c r="AK263" s="19" t="s">
        <v>185</v>
      </c>
      <c r="AL263" s="19" t="s">
        <v>185</v>
      </c>
      <c r="AM263" s="107" t="s">
        <v>1896</v>
      </c>
      <c r="AN263" s="20">
        <v>182</v>
      </c>
      <c r="AO263" s="20">
        <v>0</v>
      </c>
      <c r="AP263" s="20">
        <v>0</v>
      </c>
      <c r="AQ263" s="20">
        <v>0</v>
      </c>
      <c r="AR263" s="20">
        <v>0</v>
      </c>
      <c r="AS263" s="20">
        <v>7</v>
      </c>
      <c r="AT263" s="20">
        <v>10</v>
      </c>
      <c r="AU263" s="300">
        <f t="shared" si="45"/>
        <v>199</v>
      </c>
      <c r="AV263" s="20">
        <v>190</v>
      </c>
      <c r="AW263" s="20">
        <v>0</v>
      </c>
      <c r="AX263" s="20">
        <v>0</v>
      </c>
      <c r="AY263" s="20">
        <v>0</v>
      </c>
      <c r="AZ263" s="20">
        <v>0</v>
      </c>
      <c r="BA263" s="20">
        <v>7</v>
      </c>
      <c r="BB263" s="20">
        <v>10</v>
      </c>
      <c r="BC263" s="300">
        <f t="shared" si="46"/>
        <v>207</v>
      </c>
      <c r="BD263" s="42">
        <f t="shared" si="47"/>
        <v>8</v>
      </c>
      <c r="BE263" s="42">
        <f t="shared" si="48"/>
        <v>0</v>
      </c>
      <c r="BF263" s="42">
        <f t="shared" si="49"/>
        <v>0</v>
      </c>
      <c r="BG263" s="42">
        <f t="shared" si="50"/>
        <v>0</v>
      </c>
      <c r="BH263" s="42">
        <f t="shared" si="51"/>
        <v>0</v>
      </c>
      <c r="BI263" s="42">
        <f t="shared" si="52"/>
        <v>0</v>
      </c>
      <c r="BJ263" s="42">
        <f t="shared" si="53"/>
        <v>0</v>
      </c>
      <c r="BK263" s="42">
        <f t="shared" si="54"/>
        <v>8</v>
      </c>
    </row>
    <row r="264" spans="1:63" ht="27" customHeight="1">
      <c r="A264" s="11">
        <f t="shared" si="55"/>
        <v>262</v>
      </c>
      <c r="B264" s="12" t="s">
        <v>1982</v>
      </c>
      <c r="C264" s="8">
        <v>2130</v>
      </c>
      <c r="D264" s="103" t="s">
        <v>1983</v>
      </c>
      <c r="E264" s="201">
        <v>21179101</v>
      </c>
      <c r="F264" s="90" t="s">
        <v>213</v>
      </c>
      <c r="G264" s="91" t="s">
        <v>514</v>
      </c>
      <c r="H264" s="24" t="s">
        <v>1984</v>
      </c>
      <c r="I264" s="25" t="s">
        <v>516</v>
      </c>
      <c r="J264" s="82" t="s">
        <v>173</v>
      </c>
      <c r="K264" s="26">
        <v>35860</v>
      </c>
      <c r="L264" s="66" t="s">
        <v>174</v>
      </c>
      <c r="M264" s="23">
        <v>43709</v>
      </c>
      <c r="N264" s="196">
        <v>42949</v>
      </c>
      <c r="O264" s="15" t="s">
        <v>32</v>
      </c>
      <c r="P264" s="16" t="s">
        <v>313</v>
      </c>
      <c r="Q264" s="16" t="s">
        <v>244</v>
      </c>
      <c r="R264" s="15" t="s">
        <v>177</v>
      </c>
      <c r="S264" s="11" t="s">
        <v>326</v>
      </c>
      <c r="T264" s="159"/>
      <c r="U264" s="159"/>
      <c r="V264" s="19" t="s">
        <v>195</v>
      </c>
      <c r="W264" s="19" t="s">
        <v>195</v>
      </c>
      <c r="X264" s="1">
        <v>3</v>
      </c>
      <c r="Y264" s="160" t="s">
        <v>1985</v>
      </c>
      <c r="Z264" s="70"/>
      <c r="AA264" s="70">
        <v>1</v>
      </c>
      <c r="AB264" s="1"/>
      <c r="AC264" s="161" t="s">
        <v>359</v>
      </c>
      <c r="AD264" s="99"/>
      <c r="AE264" s="99"/>
      <c r="AF264" s="108"/>
      <c r="AG264" s="106"/>
      <c r="AH264" s="162"/>
      <c r="AI264" s="162"/>
      <c r="AJ264" s="19" t="s">
        <v>198</v>
      </c>
      <c r="AK264" s="19" t="s">
        <v>185</v>
      </c>
      <c r="AL264" s="19" t="s">
        <v>185</v>
      </c>
      <c r="AM264" s="107" t="s">
        <v>1229</v>
      </c>
      <c r="AN264" s="20">
        <v>182</v>
      </c>
      <c r="AO264" s="20">
        <v>0</v>
      </c>
      <c r="AP264" s="20">
        <v>20</v>
      </c>
      <c r="AQ264" s="20">
        <v>0</v>
      </c>
      <c r="AR264" s="20">
        <v>0</v>
      </c>
      <c r="AS264" s="20">
        <v>7</v>
      </c>
      <c r="AT264" s="20">
        <v>10</v>
      </c>
      <c r="AU264" s="300">
        <f t="shared" si="45"/>
        <v>219</v>
      </c>
      <c r="AV264" s="20">
        <v>190</v>
      </c>
      <c r="AW264" s="20">
        <v>0</v>
      </c>
      <c r="AX264" s="20">
        <v>20</v>
      </c>
      <c r="AY264" s="20">
        <v>0</v>
      </c>
      <c r="AZ264" s="20">
        <v>0</v>
      </c>
      <c r="BA264" s="20">
        <v>7</v>
      </c>
      <c r="BB264" s="20">
        <v>10</v>
      </c>
      <c r="BC264" s="300">
        <f t="shared" si="46"/>
        <v>227</v>
      </c>
      <c r="BD264" s="42">
        <f t="shared" si="47"/>
        <v>8</v>
      </c>
      <c r="BE264" s="42">
        <f t="shared" si="48"/>
        <v>0</v>
      </c>
      <c r="BF264" s="42">
        <f t="shared" si="49"/>
        <v>0</v>
      </c>
      <c r="BG264" s="42">
        <f t="shared" si="50"/>
        <v>0</v>
      </c>
      <c r="BH264" s="42">
        <f t="shared" si="51"/>
        <v>0</v>
      </c>
      <c r="BI264" s="42">
        <f t="shared" si="52"/>
        <v>0</v>
      </c>
      <c r="BJ264" s="42">
        <f t="shared" si="53"/>
        <v>0</v>
      </c>
      <c r="BK264" s="42">
        <f t="shared" si="54"/>
        <v>8</v>
      </c>
    </row>
    <row r="265" spans="1:63" ht="27" customHeight="1">
      <c r="A265" s="11">
        <f t="shared" si="55"/>
        <v>263</v>
      </c>
      <c r="B265" s="12" t="s">
        <v>1986</v>
      </c>
      <c r="C265" s="8">
        <v>2242</v>
      </c>
      <c r="D265" s="103" t="s">
        <v>1987</v>
      </c>
      <c r="E265" s="201" t="s">
        <v>1988</v>
      </c>
      <c r="F265" s="90" t="s">
        <v>316</v>
      </c>
      <c r="G265" s="91" t="s">
        <v>363</v>
      </c>
      <c r="H265" s="24" t="s">
        <v>1989</v>
      </c>
      <c r="I265" s="25" t="s">
        <v>365</v>
      </c>
      <c r="J265" s="82" t="s">
        <v>173</v>
      </c>
      <c r="K265" s="26">
        <v>34837</v>
      </c>
      <c r="L265" s="66" t="s">
        <v>174</v>
      </c>
      <c r="M265" s="23">
        <v>43709</v>
      </c>
      <c r="N265" s="196">
        <v>42962</v>
      </c>
      <c r="O265" s="11" t="s">
        <v>79</v>
      </c>
      <c r="P265" s="16" t="s">
        <v>1990</v>
      </c>
      <c r="Q265" s="16" t="s">
        <v>176</v>
      </c>
      <c r="R265" s="15" t="s">
        <v>177</v>
      </c>
      <c r="S265" s="11" t="s">
        <v>214</v>
      </c>
      <c r="T265" s="159"/>
      <c r="U265" s="159"/>
      <c r="V265" s="19" t="s">
        <v>195</v>
      </c>
      <c r="W265" s="19" t="s">
        <v>179</v>
      </c>
      <c r="X265" s="1" t="s">
        <v>1991</v>
      </c>
      <c r="Y265" s="160" t="s">
        <v>1992</v>
      </c>
      <c r="Z265" s="70">
        <v>1</v>
      </c>
      <c r="AA265" s="70"/>
      <c r="AB265" s="1"/>
      <c r="AC265" s="161"/>
      <c r="AD265" s="99"/>
      <c r="AE265" s="99"/>
      <c r="AF265" s="108"/>
      <c r="AG265" s="106"/>
      <c r="AH265" s="162"/>
      <c r="AI265" s="162"/>
      <c r="AJ265" s="19" t="s">
        <v>198</v>
      </c>
      <c r="AK265" s="19" t="s">
        <v>185</v>
      </c>
      <c r="AL265" s="19" t="s">
        <v>185</v>
      </c>
      <c r="AM265" s="107" t="s">
        <v>1229</v>
      </c>
      <c r="AN265" s="20">
        <v>182</v>
      </c>
      <c r="AO265" s="20">
        <v>0</v>
      </c>
      <c r="AP265" s="20">
        <v>0</v>
      </c>
      <c r="AQ265" s="20">
        <v>130</v>
      </c>
      <c r="AR265" s="20">
        <v>15</v>
      </c>
      <c r="AS265" s="20">
        <v>7</v>
      </c>
      <c r="AT265" s="20">
        <v>10</v>
      </c>
      <c r="AU265" s="300">
        <f t="shared" si="45"/>
        <v>344</v>
      </c>
      <c r="AV265" s="20">
        <v>190</v>
      </c>
      <c r="AW265" s="20">
        <v>0</v>
      </c>
      <c r="AX265" s="20">
        <v>0</v>
      </c>
      <c r="AY265" s="20">
        <v>130</v>
      </c>
      <c r="AZ265" s="20">
        <v>15</v>
      </c>
      <c r="BA265" s="20">
        <v>7</v>
      </c>
      <c r="BB265" s="20">
        <v>10</v>
      </c>
      <c r="BC265" s="300">
        <f t="shared" si="46"/>
        <v>352</v>
      </c>
      <c r="BD265" s="42">
        <f t="shared" si="47"/>
        <v>8</v>
      </c>
      <c r="BE265" s="42">
        <f t="shared" si="48"/>
        <v>0</v>
      </c>
      <c r="BF265" s="42">
        <f t="shared" si="49"/>
        <v>0</v>
      </c>
      <c r="BG265" s="42">
        <f t="shared" si="50"/>
        <v>0</v>
      </c>
      <c r="BH265" s="42">
        <f t="shared" si="51"/>
        <v>0</v>
      </c>
      <c r="BI265" s="42">
        <f t="shared" si="52"/>
        <v>0</v>
      </c>
      <c r="BJ265" s="42">
        <f t="shared" si="53"/>
        <v>0</v>
      </c>
      <c r="BK265" s="42">
        <f t="shared" si="54"/>
        <v>8</v>
      </c>
    </row>
    <row r="266" spans="1:63" ht="27" customHeight="1">
      <c r="A266" s="11">
        <f t="shared" si="55"/>
        <v>264</v>
      </c>
      <c r="B266" s="12" t="s">
        <v>1993</v>
      </c>
      <c r="C266" s="8">
        <v>2133</v>
      </c>
      <c r="D266" s="103" t="s">
        <v>1994</v>
      </c>
      <c r="E266" s="201" t="s">
        <v>1995</v>
      </c>
      <c r="F266" s="90" t="s">
        <v>1996</v>
      </c>
      <c r="G266" s="91" t="s">
        <v>1997</v>
      </c>
      <c r="H266" s="24" t="s">
        <v>1998</v>
      </c>
      <c r="I266" s="25" t="s">
        <v>1999</v>
      </c>
      <c r="J266" s="82" t="s">
        <v>173</v>
      </c>
      <c r="K266" s="26">
        <v>30081</v>
      </c>
      <c r="L266" s="66" t="s">
        <v>174</v>
      </c>
      <c r="M266" s="23">
        <v>43709</v>
      </c>
      <c r="N266" s="196">
        <v>42949</v>
      </c>
      <c r="O266" s="15" t="s">
        <v>32</v>
      </c>
      <c r="P266" s="16" t="s">
        <v>381</v>
      </c>
      <c r="Q266" s="16" t="s">
        <v>176</v>
      </c>
      <c r="R266" s="15" t="s">
        <v>177</v>
      </c>
      <c r="S266" s="11" t="s">
        <v>214</v>
      </c>
      <c r="T266" s="159"/>
      <c r="U266" s="159"/>
      <c r="V266" s="19" t="s">
        <v>195</v>
      </c>
      <c r="W266" s="19" t="s">
        <v>195</v>
      </c>
      <c r="X266" s="1">
        <v>6</v>
      </c>
      <c r="Y266" s="160" t="s">
        <v>2000</v>
      </c>
      <c r="Z266" s="70"/>
      <c r="AA266" s="70">
        <v>1</v>
      </c>
      <c r="AB266" s="1"/>
      <c r="AC266" s="161" t="s">
        <v>197</v>
      </c>
      <c r="AD266" s="99"/>
      <c r="AE266" s="99"/>
      <c r="AF266" s="108"/>
      <c r="AG266" s="106"/>
      <c r="AH266" s="162"/>
      <c r="AI266" s="162"/>
      <c r="AJ266" s="19" t="s">
        <v>198</v>
      </c>
      <c r="AK266" s="19" t="s">
        <v>185</v>
      </c>
      <c r="AL266" s="19" t="s">
        <v>185</v>
      </c>
      <c r="AM266" s="107" t="s">
        <v>1768</v>
      </c>
      <c r="AN266" s="20">
        <v>182</v>
      </c>
      <c r="AO266" s="20">
        <v>0</v>
      </c>
      <c r="AP266" s="20">
        <v>0</v>
      </c>
      <c r="AQ266" s="20">
        <v>0</v>
      </c>
      <c r="AR266" s="20">
        <v>0</v>
      </c>
      <c r="AS266" s="20">
        <v>7</v>
      </c>
      <c r="AT266" s="20">
        <v>10</v>
      </c>
      <c r="AU266" s="300">
        <f t="shared" si="45"/>
        <v>199</v>
      </c>
      <c r="AV266" s="20">
        <v>190</v>
      </c>
      <c r="AW266" s="20">
        <v>0</v>
      </c>
      <c r="AX266" s="20">
        <v>0</v>
      </c>
      <c r="AY266" s="20">
        <v>0</v>
      </c>
      <c r="AZ266" s="20">
        <v>0</v>
      </c>
      <c r="BA266" s="20">
        <v>7</v>
      </c>
      <c r="BB266" s="20">
        <v>10</v>
      </c>
      <c r="BC266" s="300">
        <f t="shared" si="46"/>
        <v>207</v>
      </c>
      <c r="BD266" s="42">
        <f t="shared" si="47"/>
        <v>8</v>
      </c>
      <c r="BE266" s="42">
        <f t="shared" si="48"/>
        <v>0</v>
      </c>
      <c r="BF266" s="42">
        <f t="shared" si="49"/>
        <v>0</v>
      </c>
      <c r="BG266" s="42">
        <f t="shared" si="50"/>
        <v>0</v>
      </c>
      <c r="BH266" s="42">
        <f t="shared" si="51"/>
        <v>0</v>
      </c>
      <c r="BI266" s="42">
        <f t="shared" si="52"/>
        <v>0</v>
      </c>
      <c r="BJ266" s="42">
        <f t="shared" si="53"/>
        <v>0</v>
      </c>
      <c r="BK266" s="42">
        <f t="shared" si="54"/>
        <v>8</v>
      </c>
    </row>
    <row r="267" spans="1:63" ht="27" customHeight="1">
      <c r="A267" s="11">
        <f t="shared" si="55"/>
        <v>265</v>
      </c>
      <c r="B267" s="12" t="s">
        <v>2001</v>
      </c>
      <c r="C267" s="8">
        <v>2250</v>
      </c>
      <c r="D267" s="103" t="s">
        <v>2002</v>
      </c>
      <c r="E267" s="201"/>
      <c r="F267" s="90" t="s">
        <v>2003</v>
      </c>
      <c r="G267" s="91" t="s">
        <v>2004</v>
      </c>
      <c r="H267" s="24" t="s">
        <v>2005</v>
      </c>
      <c r="I267" s="25" t="s">
        <v>2006</v>
      </c>
      <c r="J267" s="82" t="s">
        <v>173</v>
      </c>
      <c r="K267" s="26">
        <v>33856</v>
      </c>
      <c r="L267" s="66" t="s">
        <v>174</v>
      </c>
      <c r="M267" s="23">
        <v>43709</v>
      </c>
      <c r="N267" s="196">
        <v>42985</v>
      </c>
      <c r="O267" s="15" t="s">
        <v>32</v>
      </c>
      <c r="P267" s="16" t="s">
        <v>1276</v>
      </c>
      <c r="Q267" s="16" t="s">
        <v>176</v>
      </c>
      <c r="R267" s="15" t="s">
        <v>177</v>
      </c>
      <c r="S267" s="11" t="s">
        <v>326</v>
      </c>
      <c r="T267" s="159"/>
      <c r="U267" s="159"/>
      <c r="V267" s="19" t="s">
        <v>195</v>
      </c>
      <c r="W267" s="19" t="s">
        <v>195</v>
      </c>
      <c r="X267" s="1">
        <v>6</v>
      </c>
      <c r="Y267" s="160" t="s">
        <v>2007</v>
      </c>
      <c r="Z267" s="70"/>
      <c r="AA267" s="70">
        <v>1</v>
      </c>
      <c r="AB267" s="1"/>
      <c r="AC267" s="161" t="s">
        <v>197</v>
      </c>
      <c r="AD267" s="99"/>
      <c r="AE267" s="99"/>
      <c r="AF267" s="108"/>
      <c r="AG267" s="106"/>
      <c r="AH267" s="162"/>
      <c r="AI267" s="162"/>
      <c r="AJ267" s="19" t="s">
        <v>198</v>
      </c>
      <c r="AK267" s="19" t="s">
        <v>185</v>
      </c>
      <c r="AL267" s="19" t="s">
        <v>185</v>
      </c>
      <c r="AM267" s="107" t="s">
        <v>1595</v>
      </c>
      <c r="AN267" s="20">
        <v>182</v>
      </c>
      <c r="AO267" s="20">
        <v>0</v>
      </c>
      <c r="AP267" s="20">
        <v>20</v>
      </c>
      <c r="AQ267" s="20">
        <v>0</v>
      </c>
      <c r="AR267" s="20">
        <v>0</v>
      </c>
      <c r="AS267" s="20">
        <v>7</v>
      </c>
      <c r="AT267" s="20">
        <v>10</v>
      </c>
      <c r="AU267" s="300">
        <f t="shared" si="45"/>
        <v>219</v>
      </c>
      <c r="AV267" s="20">
        <v>190</v>
      </c>
      <c r="AW267" s="20">
        <v>0</v>
      </c>
      <c r="AX267" s="20">
        <v>20</v>
      </c>
      <c r="AY267" s="20">
        <v>0</v>
      </c>
      <c r="AZ267" s="20">
        <v>0</v>
      </c>
      <c r="BA267" s="20">
        <v>7</v>
      </c>
      <c r="BB267" s="20">
        <v>10</v>
      </c>
      <c r="BC267" s="300">
        <f t="shared" si="46"/>
        <v>227</v>
      </c>
      <c r="BD267" s="42">
        <f t="shared" si="47"/>
        <v>8</v>
      </c>
      <c r="BE267" s="42">
        <f t="shared" si="48"/>
        <v>0</v>
      </c>
      <c r="BF267" s="42">
        <f t="shared" si="49"/>
        <v>0</v>
      </c>
      <c r="BG267" s="42">
        <f t="shared" si="50"/>
        <v>0</v>
      </c>
      <c r="BH267" s="42">
        <f t="shared" si="51"/>
        <v>0</v>
      </c>
      <c r="BI267" s="42">
        <f t="shared" si="52"/>
        <v>0</v>
      </c>
      <c r="BJ267" s="42">
        <f t="shared" si="53"/>
        <v>0</v>
      </c>
      <c r="BK267" s="42">
        <f t="shared" si="54"/>
        <v>8</v>
      </c>
    </row>
    <row r="268" spans="1:63" ht="27" customHeight="1">
      <c r="A268" s="11">
        <f t="shared" si="55"/>
        <v>266</v>
      </c>
      <c r="B268" s="12" t="s">
        <v>2008</v>
      </c>
      <c r="C268" s="8">
        <v>2311</v>
      </c>
      <c r="D268" s="103" t="s">
        <v>2009</v>
      </c>
      <c r="E268" s="201">
        <v>110460693</v>
      </c>
      <c r="F268" s="90" t="s">
        <v>460</v>
      </c>
      <c r="G268" s="91" t="s">
        <v>2010</v>
      </c>
      <c r="H268" s="24" t="s">
        <v>27</v>
      </c>
      <c r="I268" s="25" t="s">
        <v>2011</v>
      </c>
      <c r="J268" s="82" t="s">
        <v>173</v>
      </c>
      <c r="K268" s="26">
        <v>35345</v>
      </c>
      <c r="L268" s="66" t="s">
        <v>174</v>
      </c>
      <c r="M268" s="154">
        <v>43739</v>
      </c>
      <c r="N268" s="196">
        <v>43028</v>
      </c>
      <c r="O268" s="15" t="s">
        <v>24</v>
      </c>
      <c r="P268" s="16" t="s">
        <v>1380</v>
      </c>
      <c r="Q268" s="16" t="s">
        <v>244</v>
      </c>
      <c r="R268" s="15" t="s">
        <v>177</v>
      </c>
      <c r="S268" s="11" t="s">
        <v>223</v>
      </c>
      <c r="T268" s="159"/>
      <c r="U268" s="159"/>
      <c r="V268" s="19" t="s">
        <v>195</v>
      </c>
      <c r="W268" s="19" t="s">
        <v>195</v>
      </c>
      <c r="X268" s="1">
        <v>8</v>
      </c>
      <c r="Y268" s="160" t="s">
        <v>2012</v>
      </c>
      <c r="Z268" s="70"/>
      <c r="AA268" s="70"/>
      <c r="AB268" s="1"/>
      <c r="AC268" s="161"/>
      <c r="AD268" s="99"/>
      <c r="AE268" s="99"/>
      <c r="AF268" s="108"/>
      <c r="AG268" s="106"/>
      <c r="AH268" s="162"/>
      <c r="AI268" s="162"/>
      <c r="AJ268" s="19" t="s">
        <v>198</v>
      </c>
      <c r="AK268" s="19" t="s">
        <v>185</v>
      </c>
      <c r="AL268" s="19" t="s">
        <v>185</v>
      </c>
      <c r="AM268" s="107" t="s">
        <v>1229</v>
      </c>
      <c r="AN268" s="20">
        <v>182</v>
      </c>
      <c r="AO268" s="20">
        <v>0</v>
      </c>
      <c r="AP268" s="20">
        <v>20</v>
      </c>
      <c r="AQ268" s="20">
        <v>0</v>
      </c>
      <c r="AR268" s="20">
        <v>0</v>
      </c>
      <c r="AS268" s="20">
        <v>7</v>
      </c>
      <c r="AT268" s="20">
        <v>10</v>
      </c>
      <c r="AU268" s="300">
        <f t="shared" si="45"/>
        <v>219</v>
      </c>
      <c r="AV268" s="20">
        <v>190</v>
      </c>
      <c r="AW268" s="20">
        <v>0</v>
      </c>
      <c r="AX268" s="20">
        <v>20</v>
      </c>
      <c r="AY268" s="20">
        <v>0</v>
      </c>
      <c r="AZ268" s="20">
        <v>0</v>
      </c>
      <c r="BA268" s="20">
        <v>7</v>
      </c>
      <c r="BB268" s="20">
        <v>10</v>
      </c>
      <c r="BC268" s="300">
        <f t="shared" si="46"/>
        <v>227</v>
      </c>
      <c r="BD268" s="42">
        <f t="shared" si="47"/>
        <v>8</v>
      </c>
      <c r="BE268" s="42">
        <f t="shared" si="48"/>
        <v>0</v>
      </c>
      <c r="BF268" s="42">
        <f t="shared" si="49"/>
        <v>0</v>
      </c>
      <c r="BG268" s="42">
        <f t="shared" si="50"/>
        <v>0</v>
      </c>
      <c r="BH268" s="42">
        <f t="shared" si="51"/>
        <v>0</v>
      </c>
      <c r="BI268" s="42">
        <f t="shared" si="52"/>
        <v>0</v>
      </c>
      <c r="BJ268" s="42">
        <f t="shared" si="53"/>
        <v>0</v>
      </c>
      <c r="BK268" s="42">
        <f t="shared" si="54"/>
        <v>8</v>
      </c>
    </row>
    <row r="269" spans="1:63" ht="27" customHeight="1">
      <c r="A269" s="11">
        <f t="shared" si="55"/>
        <v>267</v>
      </c>
      <c r="B269" s="12" t="s">
        <v>2013</v>
      </c>
      <c r="C269" s="8">
        <v>2313</v>
      </c>
      <c r="D269" s="103" t="s">
        <v>2014</v>
      </c>
      <c r="E269" s="201" t="s">
        <v>2015</v>
      </c>
      <c r="F269" s="90" t="s">
        <v>1809</v>
      </c>
      <c r="G269" s="91" t="s">
        <v>2016</v>
      </c>
      <c r="H269" s="24" t="s">
        <v>1811</v>
      </c>
      <c r="I269" s="25" t="s">
        <v>1160</v>
      </c>
      <c r="J269" s="82" t="s">
        <v>173</v>
      </c>
      <c r="K269" s="26">
        <v>32033</v>
      </c>
      <c r="L269" s="66" t="s">
        <v>174</v>
      </c>
      <c r="M269" s="154">
        <v>43739</v>
      </c>
      <c r="N269" s="196">
        <v>43028</v>
      </c>
      <c r="O269" s="15" t="s">
        <v>32</v>
      </c>
      <c r="P269" s="16" t="s">
        <v>287</v>
      </c>
      <c r="Q269" s="16" t="s">
        <v>176</v>
      </c>
      <c r="R269" s="15" t="s">
        <v>177</v>
      </c>
      <c r="S269" s="11" t="s">
        <v>1113</v>
      </c>
      <c r="T269" s="159"/>
      <c r="U269" s="159"/>
      <c r="V269" s="19" t="s">
        <v>195</v>
      </c>
      <c r="W269" s="19" t="s">
        <v>179</v>
      </c>
      <c r="X269" s="1">
        <v>6</v>
      </c>
      <c r="Y269" s="160" t="s">
        <v>2017</v>
      </c>
      <c r="Z269" s="70"/>
      <c r="AA269" s="70">
        <v>1</v>
      </c>
      <c r="AB269" s="1"/>
      <c r="AC269" s="161" t="s">
        <v>2018</v>
      </c>
      <c r="AD269" s="99" t="s">
        <v>183</v>
      </c>
      <c r="AE269" s="99" t="s">
        <v>183</v>
      </c>
      <c r="AF269" s="108"/>
      <c r="AG269" s="106"/>
      <c r="AH269" s="162"/>
      <c r="AI269" s="162"/>
      <c r="AJ269" s="19" t="s">
        <v>198</v>
      </c>
      <c r="AK269" s="19" t="s">
        <v>185</v>
      </c>
      <c r="AL269" s="19" t="s">
        <v>185</v>
      </c>
      <c r="AM269" s="107" t="s">
        <v>1541</v>
      </c>
      <c r="AN269" s="20">
        <v>182</v>
      </c>
      <c r="AO269" s="20">
        <v>0</v>
      </c>
      <c r="AP269" s="20">
        <v>0</v>
      </c>
      <c r="AQ269" s="20">
        <v>0</v>
      </c>
      <c r="AR269" s="20">
        <v>0</v>
      </c>
      <c r="AS269" s="20">
        <v>7</v>
      </c>
      <c r="AT269" s="20">
        <v>10</v>
      </c>
      <c r="AU269" s="300">
        <f t="shared" si="45"/>
        <v>199</v>
      </c>
      <c r="AV269" s="20">
        <v>190</v>
      </c>
      <c r="AW269" s="20">
        <v>0</v>
      </c>
      <c r="AX269" s="20">
        <v>0</v>
      </c>
      <c r="AY269" s="20">
        <v>0</v>
      </c>
      <c r="AZ269" s="20">
        <v>0</v>
      </c>
      <c r="BA269" s="20">
        <v>7</v>
      </c>
      <c r="BB269" s="20">
        <v>10</v>
      </c>
      <c r="BC269" s="300">
        <f t="shared" si="46"/>
        <v>207</v>
      </c>
      <c r="BD269" s="42">
        <f t="shared" si="47"/>
        <v>8</v>
      </c>
      <c r="BE269" s="42">
        <f t="shared" si="48"/>
        <v>0</v>
      </c>
      <c r="BF269" s="42">
        <f t="shared" si="49"/>
        <v>0</v>
      </c>
      <c r="BG269" s="42">
        <f t="shared" si="50"/>
        <v>0</v>
      </c>
      <c r="BH269" s="42">
        <f t="shared" si="51"/>
        <v>0</v>
      </c>
      <c r="BI269" s="42">
        <f t="shared" si="52"/>
        <v>0</v>
      </c>
      <c r="BJ269" s="42">
        <f t="shared" si="53"/>
        <v>0</v>
      </c>
      <c r="BK269" s="42">
        <f t="shared" si="54"/>
        <v>8</v>
      </c>
    </row>
    <row r="270" spans="1:63" ht="27" customHeight="1">
      <c r="A270" s="11">
        <f t="shared" si="55"/>
        <v>268</v>
      </c>
      <c r="B270" s="12" t="s">
        <v>2019</v>
      </c>
      <c r="C270" s="8">
        <v>2305</v>
      </c>
      <c r="D270" s="103" t="s">
        <v>2020</v>
      </c>
      <c r="E270" s="201" t="s">
        <v>2021</v>
      </c>
      <c r="F270" s="90" t="s">
        <v>2022</v>
      </c>
      <c r="G270" s="91" t="s">
        <v>460</v>
      </c>
      <c r="H270" s="24" t="s">
        <v>26</v>
      </c>
      <c r="I270" s="25" t="s">
        <v>27</v>
      </c>
      <c r="J270" s="82" t="s">
        <v>204</v>
      </c>
      <c r="K270" s="26">
        <v>25691</v>
      </c>
      <c r="L270" s="66" t="s">
        <v>174</v>
      </c>
      <c r="M270" s="154">
        <v>43739</v>
      </c>
      <c r="N270" s="196">
        <v>43022</v>
      </c>
      <c r="O270" s="15" t="s">
        <v>12</v>
      </c>
      <c r="P270" s="16" t="s">
        <v>13</v>
      </c>
      <c r="Q270" s="16" t="s">
        <v>176</v>
      </c>
      <c r="R270" s="15" t="s">
        <v>177</v>
      </c>
      <c r="S270" s="17" t="s">
        <v>178</v>
      </c>
      <c r="T270" s="159"/>
      <c r="U270" s="159"/>
      <c r="V270" s="19" t="s">
        <v>179</v>
      </c>
      <c r="W270" s="19" t="s">
        <v>179</v>
      </c>
      <c r="X270" s="1">
        <v>3</v>
      </c>
      <c r="Y270" s="160" t="s">
        <v>179</v>
      </c>
      <c r="Z270" s="70"/>
      <c r="AA270" s="70">
        <v>1</v>
      </c>
      <c r="AB270" s="1"/>
      <c r="AC270" s="161"/>
      <c r="AD270" s="99"/>
      <c r="AE270" s="99"/>
      <c r="AF270" s="108"/>
      <c r="AG270" s="106"/>
      <c r="AH270" s="162"/>
      <c r="AI270" s="162"/>
      <c r="AJ270" s="19" t="s">
        <v>198</v>
      </c>
      <c r="AK270" s="19" t="s">
        <v>185</v>
      </c>
      <c r="AL270" s="19" t="s">
        <v>185</v>
      </c>
      <c r="AM270" s="107" t="s">
        <v>1229</v>
      </c>
      <c r="AN270" s="20">
        <v>182</v>
      </c>
      <c r="AO270" s="20">
        <v>0</v>
      </c>
      <c r="AP270" s="20">
        <v>0</v>
      </c>
      <c r="AQ270" s="20">
        <v>23</v>
      </c>
      <c r="AR270" s="20">
        <v>0</v>
      </c>
      <c r="AS270" s="20">
        <v>7</v>
      </c>
      <c r="AT270" s="20">
        <v>10</v>
      </c>
      <c r="AU270" s="300">
        <f t="shared" si="45"/>
        <v>222</v>
      </c>
      <c r="AV270" s="20">
        <v>190</v>
      </c>
      <c r="AW270" s="20">
        <v>0</v>
      </c>
      <c r="AX270" s="20">
        <v>0</v>
      </c>
      <c r="AY270" s="20">
        <v>23</v>
      </c>
      <c r="AZ270" s="20">
        <v>0</v>
      </c>
      <c r="BA270" s="20">
        <v>7</v>
      </c>
      <c r="BB270" s="20">
        <v>10</v>
      </c>
      <c r="BC270" s="300">
        <f t="shared" si="46"/>
        <v>230</v>
      </c>
      <c r="BD270" s="42">
        <f t="shared" si="47"/>
        <v>8</v>
      </c>
      <c r="BE270" s="42">
        <f t="shared" si="48"/>
        <v>0</v>
      </c>
      <c r="BF270" s="42">
        <f t="shared" si="49"/>
        <v>0</v>
      </c>
      <c r="BG270" s="42">
        <f t="shared" si="50"/>
        <v>0</v>
      </c>
      <c r="BH270" s="42">
        <f t="shared" si="51"/>
        <v>0</v>
      </c>
      <c r="BI270" s="42">
        <f t="shared" si="52"/>
        <v>0</v>
      </c>
      <c r="BJ270" s="42">
        <f t="shared" si="53"/>
        <v>0</v>
      </c>
      <c r="BK270" s="42">
        <f t="shared" si="54"/>
        <v>8</v>
      </c>
    </row>
    <row r="271" spans="1:63" ht="27" customHeight="1">
      <c r="A271" s="11">
        <f t="shared" si="55"/>
        <v>269</v>
      </c>
      <c r="B271" s="12" t="s">
        <v>2023</v>
      </c>
      <c r="C271" s="8">
        <v>2304</v>
      </c>
      <c r="D271" s="103" t="s">
        <v>2024</v>
      </c>
      <c r="E271" s="201" t="s">
        <v>2025</v>
      </c>
      <c r="F271" s="90" t="s">
        <v>742</v>
      </c>
      <c r="G271" s="91" t="s">
        <v>2026</v>
      </c>
      <c r="H271" s="24" t="s">
        <v>2027</v>
      </c>
      <c r="I271" s="25" t="s">
        <v>2028</v>
      </c>
      <c r="J271" s="82" t="s">
        <v>173</v>
      </c>
      <c r="K271" s="26">
        <v>27881</v>
      </c>
      <c r="L271" s="66" t="s">
        <v>174</v>
      </c>
      <c r="M271" s="154">
        <v>43739</v>
      </c>
      <c r="N271" s="196">
        <v>43022</v>
      </c>
      <c r="O271" s="15" t="s">
        <v>24</v>
      </c>
      <c r="P271" s="16" t="s">
        <v>25</v>
      </c>
      <c r="Q271" s="16" t="s">
        <v>176</v>
      </c>
      <c r="R271" s="15" t="s">
        <v>177</v>
      </c>
      <c r="S271" s="17" t="s">
        <v>178</v>
      </c>
      <c r="T271" s="159"/>
      <c r="U271" s="159"/>
      <c r="V271" s="19" t="s">
        <v>179</v>
      </c>
      <c r="W271" s="19" t="s">
        <v>179</v>
      </c>
      <c r="X271" s="1">
        <v>6</v>
      </c>
      <c r="Y271" s="160" t="s">
        <v>179</v>
      </c>
      <c r="Z271" s="70"/>
      <c r="AA271" s="70">
        <v>1</v>
      </c>
      <c r="AB271" s="1"/>
      <c r="AC271" s="161"/>
      <c r="AD271" s="99"/>
      <c r="AE271" s="99"/>
      <c r="AF271" s="108"/>
      <c r="AG271" s="106"/>
      <c r="AH271" s="162"/>
      <c r="AI271" s="162"/>
      <c r="AJ271" s="19" t="s">
        <v>198</v>
      </c>
      <c r="AK271" s="19" t="s">
        <v>185</v>
      </c>
      <c r="AL271" s="19" t="s">
        <v>185</v>
      </c>
      <c r="AM271" s="107" t="s">
        <v>1229</v>
      </c>
      <c r="AN271" s="20">
        <v>182</v>
      </c>
      <c r="AO271" s="20">
        <v>0</v>
      </c>
      <c r="AP271" s="20">
        <v>0</v>
      </c>
      <c r="AQ271" s="20">
        <v>0</v>
      </c>
      <c r="AR271" s="20">
        <v>0</v>
      </c>
      <c r="AS271" s="20">
        <v>7</v>
      </c>
      <c r="AT271" s="20">
        <v>10</v>
      </c>
      <c r="AU271" s="300">
        <f t="shared" si="45"/>
        <v>199</v>
      </c>
      <c r="AV271" s="20">
        <v>190</v>
      </c>
      <c r="AW271" s="20">
        <v>0</v>
      </c>
      <c r="AX271" s="20">
        <v>0</v>
      </c>
      <c r="AY271" s="20">
        <v>0</v>
      </c>
      <c r="AZ271" s="20">
        <v>0</v>
      </c>
      <c r="BA271" s="20">
        <v>7</v>
      </c>
      <c r="BB271" s="20">
        <v>10</v>
      </c>
      <c r="BC271" s="300">
        <f t="shared" si="46"/>
        <v>207</v>
      </c>
      <c r="BD271" s="42">
        <f t="shared" si="47"/>
        <v>8</v>
      </c>
      <c r="BE271" s="42">
        <f t="shared" si="48"/>
        <v>0</v>
      </c>
      <c r="BF271" s="42">
        <f t="shared" si="49"/>
        <v>0</v>
      </c>
      <c r="BG271" s="42">
        <f t="shared" si="50"/>
        <v>0</v>
      </c>
      <c r="BH271" s="42">
        <f t="shared" si="51"/>
        <v>0</v>
      </c>
      <c r="BI271" s="42">
        <f t="shared" si="52"/>
        <v>0</v>
      </c>
      <c r="BJ271" s="42">
        <f t="shared" si="53"/>
        <v>0</v>
      </c>
      <c r="BK271" s="42">
        <f t="shared" si="54"/>
        <v>8</v>
      </c>
    </row>
    <row r="272" spans="1:63" ht="27" customHeight="1">
      <c r="A272" s="11">
        <f t="shared" si="55"/>
        <v>270</v>
      </c>
      <c r="B272" s="12" t="s">
        <v>2029</v>
      </c>
      <c r="C272" s="8">
        <v>2301</v>
      </c>
      <c r="D272" s="103" t="s">
        <v>2030</v>
      </c>
      <c r="E272" s="201" t="s">
        <v>2031</v>
      </c>
      <c r="F272" s="90" t="s">
        <v>2032</v>
      </c>
      <c r="G272" s="91" t="s">
        <v>2033</v>
      </c>
      <c r="H272" s="24" t="s">
        <v>2034</v>
      </c>
      <c r="I272" s="25" t="s">
        <v>2035</v>
      </c>
      <c r="J272" s="82" t="s">
        <v>173</v>
      </c>
      <c r="K272" s="26">
        <v>35895</v>
      </c>
      <c r="L272" s="66" t="s">
        <v>174</v>
      </c>
      <c r="M272" s="154">
        <v>43739</v>
      </c>
      <c r="N272" s="196">
        <v>43020</v>
      </c>
      <c r="O272" s="15" t="s">
        <v>32</v>
      </c>
      <c r="P272" s="16" t="s">
        <v>277</v>
      </c>
      <c r="Q272" s="16" t="s">
        <v>244</v>
      </c>
      <c r="R272" s="15" t="s">
        <v>177</v>
      </c>
      <c r="S272" s="11" t="s">
        <v>326</v>
      </c>
      <c r="T272" s="159"/>
      <c r="U272" s="159"/>
      <c r="V272" s="19" t="s">
        <v>179</v>
      </c>
      <c r="W272" s="19" t="s">
        <v>195</v>
      </c>
      <c r="X272" s="1">
        <v>7</v>
      </c>
      <c r="Y272" s="160" t="s">
        <v>2036</v>
      </c>
      <c r="Z272" s="70"/>
      <c r="AA272" s="70">
        <v>1</v>
      </c>
      <c r="AB272" s="1"/>
      <c r="AC272" s="161" t="s">
        <v>1358</v>
      </c>
      <c r="AD272" s="99"/>
      <c r="AE272" s="99"/>
      <c r="AF272" s="108"/>
      <c r="AG272" s="106"/>
      <c r="AH272" s="162"/>
      <c r="AI272" s="162"/>
      <c r="AJ272" s="19" t="s">
        <v>198</v>
      </c>
      <c r="AK272" s="19" t="s">
        <v>185</v>
      </c>
      <c r="AL272" s="19" t="s">
        <v>185</v>
      </c>
      <c r="AM272" s="107" t="s">
        <v>1229</v>
      </c>
      <c r="AN272" s="20">
        <v>182</v>
      </c>
      <c r="AO272" s="20">
        <v>0</v>
      </c>
      <c r="AP272" s="20">
        <v>0</v>
      </c>
      <c r="AQ272" s="20">
        <v>0</v>
      </c>
      <c r="AR272" s="20">
        <v>0</v>
      </c>
      <c r="AS272" s="20">
        <v>7</v>
      </c>
      <c r="AT272" s="20">
        <v>10</v>
      </c>
      <c r="AU272" s="300">
        <f t="shared" si="45"/>
        <v>199</v>
      </c>
      <c r="AV272" s="20">
        <v>190</v>
      </c>
      <c r="AW272" s="20">
        <v>0</v>
      </c>
      <c r="AX272" s="20">
        <v>0</v>
      </c>
      <c r="AY272" s="20">
        <v>0</v>
      </c>
      <c r="AZ272" s="20">
        <v>0</v>
      </c>
      <c r="BA272" s="20">
        <v>7</v>
      </c>
      <c r="BB272" s="20">
        <v>10</v>
      </c>
      <c r="BC272" s="300">
        <f t="shared" si="46"/>
        <v>207</v>
      </c>
      <c r="BD272" s="42">
        <f t="shared" si="47"/>
        <v>8</v>
      </c>
      <c r="BE272" s="42">
        <f t="shared" si="48"/>
        <v>0</v>
      </c>
      <c r="BF272" s="42">
        <f t="shared" si="49"/>
        <v>0</v>
      </c>
      <c r="BG272" s="42">
        <f t="shared" si="50"/>
        <v>0</v>
      </c>
      <c r="BH272" s="42">
        <f t="shared" si="51"/>
        <v>0</v>
      </c>
      <c r="BI272" s="42">
        <f t="shared" si="52"/>
        <v>0</v>
      </c>
      <c r="BJ272" s="42">
        <f t="shared" si="53"/>
        <v>0</v>
      </c>
      <c r="BK272" s="42">
        <f t="shared" si="54"/>
        <v>8</v>
      </c>
    </row>
    <row r="273" spans="1:63" ht="27" customHeight="1">
      <c r="A273" s="11">
        <f t="shared" si="55"/>
        <v>271</v>
      </c>
      <c r="B273" s="12" t="s">
        <v>2037</v>
      </c>
      <c r="C273" s="8">
        <v>2274</v>
      </c>
      <c r="D273" s="103" t="s">
        <v>2038</v>
      </c>
      <c r="E273" s="201">
        <v>180778572</v>
      </c>
      <c r="F273" s="90" t="s">
        <v>1865</v>
      </c>
      <c r="G273" s="91" t="s">
        <v>1447</v>
      </c>
      <c r="H273" s="24" t="s">
        <v>1867</v>
      </c>
      <c r="I273" s="25" t="s">
        <v>2039</v>
      </c>
      <c r="J273" s="82" t="s">
        <v>173</v>
      </c>
      <c r="K273" s="26">
        <v>30569</v>
      </c>
      <c r="L273" s="66" t="s">
        <v>174</v>
      </c>
      <c r="M273" s="154">
        <v>43739</v>
      </c>
      <c r="N273" s="196">
        <v>43011</v>
      </c>
      <c r="O273" s="15" t="s">
        <v>32</v>
      </c>
      <c r="P273" s="16" t="s">
        <v>222</v>
      </c>
      <c r="Q273" s="16" t="s">
        <v>176</v>
      </c>
      <c r="R273" s="15" t="s">
        <v>177</v>
      </c>
      <c r="S273" s="17" t="s">
        <v>206</v>
      </c>
      <c r="T273" s="159"/>
      <c r="U273" s="159"/>
      <c r="V273" s="19" t="s">
        <v>195</v>
      </c>
      <c r="W273" s="19" t="s">
        <v>179</v>
      </c>
      <c r="X273" s="1">
        <v>7</v>
      </c>
      <c r="Y273" s="160" t="s">
        <v>2040</v>
      </c>
      <c r="Z273" s="70"/>
      <c r="AA273" s="70">
        <v>1</v>
      </c>
      <c r="AB273" s="1"/>
      <c r="AC273" s="161" t="s">
        <v>351</v>
      </c>
      <c r="AD273" s="99" t="s">
        <v>183</v>
      </c>
      <c r="AE273" s="99" t="s">
        <v>183</v>
      </c>
      <c r="AF273" s="108"/>
      <c r="AG273" s="106"/>
      <c r="AH273" s="162"/>
      <c r="AI273" s="162"/>
      <c r="AJ273" s="19" t="s">
        <v>198</v>
      </c>
      <c r="AK273" s="19" t="s">
        <v>185</v>
      </c>
      <c r="AL273" s="19" t="s">
        <v>185</v>
      </c>
      <c r="AM273" s="107" t="s">
        <v>1204</v>
      </c>
      <c r="AN273" s="20">
        <v>182</v>
      </c>
      <c r="AO273" s="20">
        <v>0</v>
      </c>
      <c r="AP273" s="20">
        <v>0</v>
      </c>
      <c r="AQ273" s="20">
        <v>0</v>
      </c>
      <c r="AR273" s="20">
        <v>0</v>
      </c>
      <c r="AS273" s="20">
        <v>7</v>
      </c>
      <c r="AT273" s="20">
        <v>10</v>
      </c>
      <c r="AU273" s="300">
        <f t="shared" si="45"/>
        <v>199</v>
      </c>
      <c r="AV273" s="20">
        <v>190</v>
      </c>
      <c r="AW273" s="20">
        <v>0</v>
      </c>
      <c r="AX273" s="20">
        <v>0</v>
      </c>
      <c r="AY273" s="20">
        <v>0</v>
      </c>
      <c r="AZ273" s="20">
        <v>0</v>
      </c>
      <c r="BA273" s="20">
        <v>7</v>
      </c>
      <c r="BB273" s="20">
        <v>10</v>
      </c>
      <c r="BC273" s="300">
        <f t="shared" si="46"/>
        <v>207</v>
      </c>
      <c r="BD273" s="42">
        <f t="shared" si="47"/>
        <v>8</v>
      </c>
      <c r="BE273" s="42">
        <f t="shared" si="48"/>
        <v>0</v>
      </c>
      <c r="BF273" s="42">
        <f t="shared" si="49"/>
        <v>0</v>
      </c>
      <c r="BG273" s="42">
        <f t="shared" si="50"/>
        <v>0</v>
      </c>
      <c r="BH273" s="42">
        <f t="shared" si="51"/>
        <v>0</v>
      </c>
      <c r="BI273" s="42">
        <f t="shared" si="52"/>
        <v>0</v>
      </c>
      <c r="BJ273" s="42">
        <f t="shared" si="53"/>
        <v>0</v>
      </c>
      <c r="BK273" s="42">
        <f t="shared" si="54"/>
        <v>8</v>
      </c>
    </row>
    <row r="274" spans="1:63" ht="27" customHeight="1">
      <c r="A274" s="11">
        <f t="shared" si="55"/>
        <v>272</v>
      </c>
      <c r="B274" s="12" t="s">
        <v>2041</v>
      </c>
      <c r="C274" s="8">
        <v>2263</v>
      </c>
      <c r="D274" s="103" t="s">
        <v>2042</v>
      </c>
      <c r="E274" s="201" t="s">
        <v>2043</v>
      </c>
      <c r="F274" s="90" t="s">
        <v>1166</v>
      </c>
      <c r="G274" s="91" t="s">
        <v>2044</v>
      </c>
      <c r="H274" s="24" t="s">
        <v>1168</v>
      </c>
      <c r="I274" s="25" t="s">
        <v>538</v>
      </c>
      <c r="J274" s="82" t="s">
        <v>173</v>
      </c>
      <c r="K274" s="26">
        <v>33835</v>
      </c>
      <c r="L274" s="66" t="s">
        <v>174</v>
      </c>
      <c r="M274" s="154">
        <v>43556</v>
      </c>
      <c r="N274" s="196">
        <v>43010</v>
      </c>
      <c r="O274" s="15" t="s">
        <v>32</v>
      </c>
      <c r="P274" s="16" t="s">
        <v>381</v>
      </c>
      <c r="Q274" s="16" t="s">
        <v>244</v>
      </c>
      <c r="R274" s="15" t="s">
        <v>177</v>
      </c>
      <c r="S274" s="11" t="s">
        <v>214</v>
      </c>
      <c r="T274" s="159"/>
      <c r="U274" s="159"/>
      <c r="V274" s="19" t="s">
        <v>195</v>
      </c>
      <c r="W274" s="19" t="s">
        <v>195</v>
      </c>
      <c r="X274" s="1">
        <v>5</v>
      </c>
      <c r="Y274" s="160" t="s">
        <v>2045</v>
      </c>
      <c r="Z274" s="70"/>
      <c r="AA274" s="70">
        <v>1</v>
      </c>
      <c r="AB274" s="1"/>
      <c r="AC274" s="161"/>
      <c r="AD274" s="99"/>
      <c r="AE274" s="99"/>
      <c r="AF274" s="108"/>
      <c r="AG274" s="106"/>
      <c r="AH274" s="162"/>
      <c r="AI274" s="162"/>
      <c r="AJ274" s="19" t="s">
        <v>198</v>
      </c>
      <c r="AK274" s="19" t="s">
        <v>185</v>
      </c>
      <c r="AL274" s="19" t="s">
        <v>185</v>
      </c>
      <c r="AM274" s="107" t="s">
        <v>1541</v>
      </c>
      <c r="AN274" s="20">
        <v>182</v>
      </c>
      <c r="AO274" s="20">
        <v>0</v>
      </c>
      <c r="AP274" s="20">
        <v>0</v>
      </c>
      <c r="AQ274" s="20">
        <v>0</v>
      </c>
      <c r="AR274" s="20">
        <v>0</v>
      </c>
      <c r="AS274" s="20">
        <v>7</v>
      </c>
      <c r="AT274" s="20">
        <v>10</v>
      </c>
      <c r="AU274" s="300">
        <f t="shared" si="45"/>
        <v>199</v>
      </c>
      <c r="AV274" s="20">
        <v>190</v>
      </c>
      <c r="AW274" s="20">
        <v>0</v>
      </c>
      <c r="AX274" s="20">
        <v>0</v>
      </c>
      <c r="AY274" s="20">
        <v>0</v>
      </c>
      <c r="AZ274" s="20">
        <v>0</v>
      </c>
      <c r="BA274" s="20">
        <v>7</v>
      </c>
      <c r="BB274" s="20">
        <v>10</v>
      </c>
      <c r="BC274" s="300">
        <f t="shared" si="46"/>
        <v>207</v>
      </c>
      <c r="BD274" s="42">
        <f t="shared" si="47"/>
        <v>8</v>
      </c>
      <c r="BE274" s="42">
        <f t="shared" si="48"/>
        <v>0</v>
      </c>
      <c r="BF274" s="42">
        <f t="shared" si="49"/>
        <v>0</v>
      </c>
      <c r="BG274" s="42">
        <f t="shared" si="50"/>
        <v>0</v>
      </c>
      <c r="BH274" s="42">
        <f t="shared" si="51"/>
        <v>0</v>
      </c>
      <c r="BI274" s="42">
        <f t="shared" si="52"/>
        <v>0</v>
      </c>
      <c r="BJ274" s="42">
        <f t="shared" si="53"/>
        <v>0</v>
      </c>
      <c r="BK274" s="42">
        <f t="shared" si="54"/>
        <v>8</v>
      </c>
    </row>
    <row r="275" spans="1:63" ht="27" customHeight="1">
      <c r="A275" s="11">
        <f t="shared" si="55"/>
        <v>273</v>
      </c>
      <c r="B275" s="12" t="s">
        <v>2046</v>
      </c>
      <c r="C275" s="8">
        <v>2286</v>
      </c>
      <c r="D275" s="103" t="s">
        <v>2047</v>
      </c>
      <c r="E275" s="201" t="s">
        <v>2048</v>
      </c>
      <c r="F275" s="90" t="s">
        <v>989</v>
      </c>
      <c r="G275" s="91" t="s">
        <v>2049</v>
      </c>
      <c r="H275" s="24" t="s">
        <v>991</v>
      </c>
      <c r="I275" s="25" t="s">
        <v>2050</v>
      </c>
      <c r="J275" s="82" t="s">
        <v>173</v>
      </c>
      <c r="K275" s="26">
        <v>31491</v>
      </c>
      <c r="L275" s="66" t="s">
        <v>174</v>
      </c>
      <c r="M275" s="154">
        <v>43739</v>
      </c>
      <c r="N275" s="196">
        <v>43012</v>
      </c>
      <c r="O275" s="15" t="s">
        <v>32</v>
      </c>
      <c r="P275" s="16" t="s">
        <v>1080</v>
      </c>
      <c r="Q275" s="16" t="s">
        <v>176</v>
      </c>
      <c r="R275" s="15" t="s">
        <v>177</v>
      </c>
      <c r="S275" s="11" t="s">
        <v>326</v>
      </c>
      <c r="T275" s="159"/>
      <c r="U275" s="159"/>
      <c r="V275" s="19" t="s">
        <v>195</v>
      </c>
      <c r="W275" s="19" t="s">
        <v>179</v>
      </c>
      <c r="X275" s="1">
        <v>5</v>
      </c>
      <c r="Y275" s="160" t="s">
        <v>2051</v>
      </c>
      <c r="Z275" s="70"/>
      <c r="AA275" s="70">
        <v>1</v>
      </c>
      <c r="AB275" s="1"/>
      <c r="AC275" s="161" t="s">
        <v>197</v>
      </c>
      <c r="AD275" s="99" t="s">
        <v>183</v>
      </c>
      <c r="AE275" s="99" t="s">
        <v>183</v>
      </c>
      <c r="AF275" s="108"/>
      <c r="AG275" s="106"/>
      <c r="AH275" s="162"/>
      <c r="AI275" s="162"/>
      <c r="AJ275" s="19" t="s">
        <v>198</v>
      </c>
      <c r="AK275" s="19" t="s">
        <v>185</v>
      </c>
      <c r="AL275" s="19" t="s">
        <v>185</v>
      </c>
      <c r="AM275" s="107" t="s">
        <v>1229</v>
      </c>
      <c r="AN275" s="20">
        <v>182</v>
      </c>
      <c r="AO275" s="20">
        <v>0</v>
      </c>
      <c r="AP275" s="20">
        <v>0</v>
      </c>
      <c r="AQ275" s="20">
        <v>0</v>
      </c>
      <c r="AR275" s="20">
        <v>0</v>
      </c>
      <c r="AS275" s="20">
        <v>7</v>
      </c>
      <c r="AT275" s="20">
        <v>10</v>
      </c>
      <c r="AU275" s="300">
        <f t="shared" si="45"/>
        <v>199</v>
      </c>
      <c r="AV275" s="20">
        <v>190</v>
      </c>
      <c r="AW275" s="20">
        <v>0</v>
      </c>
      <c r="AX275" s="20">
        <v>0</v>
      </c>
      <c r="AY275" s="20">
        <v>0</v>
      </c>
      <c r="AZ275" s="20">
        <v>0</v>
      </c>
      <c r="BA275" s="20">
        <v>7</v>
      </c>
      <c r="BB275" s="20">
        <v>10</v>
      </c>
      <c r="BC275" s="300">
        <f t="shared" si="46"/>
        <v>207</v>
      </c>
      <c r="BD275" s="42">
        <f t="shared" si="47"/>
        <v>8</v>
      </c>
      <c r="BE275" s="42">
        <f t="shared" si="48"/>
        <v>0</v>
      </c>
      <c r="BF275" s="42">
        <f t="shared" si="49"/>
        <v>0</v>
      </c>
      <c r="BG275" s="42">
        <f t="shared" si="50"/>
        <v>0</v>
      </c>
      <c r="BH275" s="42">
        <f t="shared" si="51"/>
        <v>0</v>
      </c>
      <c r="BI275" s="42">
        <f t="shared" si="52"/>
        <v>0</v>
      </c>
      <c r="BJ275" s="42">
        <f t="shared" si="53"/>
        <v>0</v>
      </c>
      <c r="BK275" s="42">
        <f t="shared" si="54"/>
        <v>8</v>
      </c>
    </row>
    <row r="276" spans="1:63" ht="27" customHeight="1">
      <c r="A276" s="11">
        <f t="shared" si="55"/>
        <v>274</v>
      </c>
      <c r="B276" s="12" t="s">
        <v>2052</v>
      </c>
      <c r="C276" s="8">
        <v>2257</v>
      </c>
      <c r="D276" s="103" t="s">
        <v>2053</v>
      </c>
      <c r="E276" s="201">
        <v>110341894</v>
      </c>
      <c r="F276" s="90" t="s">
        <v>2054</v>
      </c>
      <c r="G276" s="91" t="s">
        <v>2055</v>
      </c>
      <c r="H276" s="24" t="s">
        <v>2056</v>
      </c>
      <c r="I276" s="25" t="s">
        <v>2057</v>
      </c>
      <c r="J276" s="82" t="s">
        <v>173</v>
      </c>
      <c r="K276" s="26">
        <v>32663</v>
      </c>
      <c r="L276" s="66" t="s">
        <v>174</v>
      </c>
      <c r="M276" s="154">
        <v>43739</v>
      </c>
      <c r="N276" s="196">
        <v>43010</v>
      </c>
      <c r="O276" s="15" t="s">
        <v>32</v>
      </c>
      <c r="P276" s="16" t="s">
        <v>343</v>
      </c>
      <c r="Q276" s="16" t="s">
        <v>176</v>
      </c>
      <c r="R276" s="15" t="s">
        <v>177</v>
      </c>
      <c r="S276" s="11" t="s">
        <v>223</v>
      </c>
      <c r="T276" s="159"/>
      <c r="U276" s="159"/>
      <c r="V276" s="19" t="s">
        <v>195</v>
      </c>
      <c r="W276" s="19" t="s">
        <v>195</v>
      </c>
      <c r="X276" s="1">
        <v>5</v>
      </c>
      <c r="Y276" s="61" t="s">
        <v>179</v>
      </c>
      <c r="Z276" s="70">
        <v>1</v>
      </c>
      <c r="AA276" s="70"/>
      <c r="AB276" s="1"/>
      <c r="AC276" s="161"/>
      <c r="AD276" s="99"/>
      <c r="AE276" s="99"/>
      <c r="AF276" s="108"/>
      <c r="AG276" s="106"/>
      <c r="AH276" s="162"/>
      <c r="AI276" s="162"/>
      <c r="AJ276" s="19" t="s">
        <v>198</v>
      </c>
      <c r="AK276" s="19" t="s">
        <v>185</v>
      </c>
      <c r="AL276" s="19" t="s">
        <v>185</v>
      </c>
      <c r="AM276" s="107" t="s">
        <v>1229</v>
      </c>
      <c r="AN276" s="20">
        <v>182</v>
      </c>
      <c r="AO276" s="20">
        <v>0</v>
      </c>
      <c r="AP276" s="20">
        <v>0</v>
      </c>
      <c r="AQ276" s="20">
        <v>10</v>
      </c>
      <c r="AR276" s="20">
        <v>0</v>
      </c>
      <c r="AS276" s="20">
        <v>7</v>
      </c>
      <c r="AT276" s="20">
        <v>10</v>
      </c>
      <c r="AU276" s="300">
        <f t="shared" si="45"/>
        <v>209</v>
      </c>
      <c r="AV276" s="20">
        <v>190</v>
      </c>
      <c r="AW276" s="20">
        <v>0</v>
      </c>
      <c r="AX276" s="20">
        <v>0</v>
      </c>
      <c r="AY276" s="20">
        <v>10</v>
      </c>
      <c r="AZ276" s="20">
        <v>0</v>
      </c>
      <c r="BA276" s="20">
        <v>7</v>
      </c>
      <c r="BB276" s="20">
        <v>10</v>
      </c>
      <c r="BC276" s="300">
        <f t="shared" si="46"/>
        <v>217</v>
      </c>
      <c r="BD276" s="42">
        <f t="shared" si="47"/>
        <v>8</v>
      </c>
      <c r="BE276" s="42">
        <f t="shared" si="48"/>
        <v>0</v>
      </c>
      <c r="BF276" s="42">
        <f t="shared" si="49"/>
        <v>0</v>
      </c>
      <c r="BG276" s="42">
        <f t="shared" si="50"/>
        <v>0</v>
      </c>
      <c r="BH276" s="42">
        <f t="shared" si="51"/>
        <v>0</v>
      </c>
      <c r="BI276" s="42">
        <f t="shared" si="52"/>
        <v>0</v>
      </c>
      <c r="BJ276" s="42">
        <f t="shared" si="53"/>
        <v>0</v>
      </c>
      <c r="BK276" s="42">
        <f t="shared" si="54"/>
        <v>8</v>
      </c>
    </row>
    <row r="277" spans="1:63" ht="27" customHeight="1">
      <c r="A277" s="11">
        <f t="shared" si="55"/>
        <v>275</v>
      </c>
      <c r="B277" s="12" t="s">
        <v>2058</v>
      </c>
      <c r="C277" s="8">
        <v>2325</v>
      </c>
      <c r="D277" s="103" t="s">
        <v>2059</v>
      </c>
      <c r="E277" s="201">
        <v>61569968</v>
      </c>
      <c r="F277" s="90" t="s">
        <v>173</v>
      </c>
      <c r="G277" s="91" t="s">
        <v>2060</v>
      </c>
      <c r="H277" s="24" t="s">
        <v>28</v>
      </c>
      <c r="I277" s="25" t="s">
        <v>29</v>
      </c>
      <c r="J277" s="82" t="s">
        <v>204</v>
      </c>
      <c r="K277" s="26">
        <v>33004</v>
      </c>
      <c r="L277" s="66" t="s">
        <v>174</v>
      </c>
      <c r="M277" s="154">
        <v>43770</v>
      </c>
      <c r="N277" s="196">
        <v>43050</v>
      </c>
      <c r="O277" s="15" t="s">
        <v>12</v>
      </c>
      <c r="P277" s="16" t="s">
        <v>13</v>
      </c>
      <c r="Q277" s="16" t="s">
        <v>176</v>
      </c>
      <c r="R277" s="15" t="s">
        <v>177</v>
      </c>
      <c r="S277" s="17" t="s">
        <v>178</v>
      </c>
      <c r="T277" s="159"/>
      <c r="U277" s="159"/>
      <c r="V277" s="19" t="s">
        <v>179</v>
      </c>
      <c r="W277" s="19" t="s">
        <v>195</v>
      </c>
      <c r="X277" s="1">
        <v>7</v>
      </c>
      <c r="Y277" s="61" t="s">
        <v>2061</v>
      </c>
      <c r="Z277" s="70"/>
      <c r="AA277" s="70"/>
      <c r="AB277" s="1"/>
      <c r="AC277" s="161"/>
      <c r="AD277" s="99"/>
      <c r="AE277" s="99"/>
      <c r="AF277" s="108"/>
      <c r="AG277" s="106"/>
      <c r="AH277" s="162"/>
      <c r="AI277" s="162"/>
      <c r="AJ277" s="19" t="s">
        <v>198</v>
      </c>
      <c r="AK277" s="19" t="s">
        <v>185</v>
      </c>
      <c r="AL277" s="19" t="s">
        <v>185</v>
      </c>
      <c r="AM277" s="107" t="s">
        <v>1229</v>
      </c>
      <c r="AN277" s="20">
        <v>182</v>
      </c>
      <c r="AO277" s="20">
        <v>0</v>
      </c>
      <c r="AP277" s="20">
        <v>0</v>
      </c>
      <c r="AQ277" s="20">
        <v>23</v>
      </c>
      <c r="AR277" s="20">
        <v>0</v>
      </c>
      <c r="AS277" s="20">
        <v>7</v>
      </c>
      <c r="AT277" s="20">
        <v>10</v>
      </c>
      <c r="AU277" s="300">
        <f t="shared" si="45"/>
        <v>222</v>
      </c>
      <c r="AV277" s="20">
        <v>190</v>
      </c>
      <c r="AW277" s="20">
        <v>0</v>
      </c>
      <c r="AX277" s="20">
        <v>0</v>
      </c>
      <c r="AY277" s="20">
        <v>23</v>
      </c>
      <c r="AZ277" s="20">
        <v>0</v>
      </c>
      <c r="BA277" s="20">
        <v>7</v>
      </c>
      <c r="BB277" s="20">
        <v>10</v>
      </c>
      <c r="BC277" s="300">
        <f t="shared" si="46"/>
        <v>230</v>
      </c>
      <c r="BD277" s="42">
        <f t="shared" si="47"/>
        <v>8</v>
      </c>
      <c r="BE277" s="42">
        <f t="shared" si="48"/>
        <v>0</v>
      </c>
      <c r="BF277" s="42">
        <f t="shared" si="49"/>
        <v>0</v>
      </c>
      <c r="BG277" s="42">
        <f t="shared" si="50"/>
        <v>0</v>
      </c>
      <c r="BH277" s="42">
        <f t="shared" si="51"/>
        <v>0</v>
      </c>
      <c r="BI277" s="42">
        <f t="shared" si="52"/>
        <v>0</v>
      </c>
      <c r="BJ277" s="42">
        <f t="shared" si="53"/>
        <v>0</v>
      </c>
      <c r="BK277" s="42">
        <f t="shared" si="54"/>
        <v>8</v>
      </c>
    </row>
    <row r="278" spans="1:63" ht="27" customHeight="1">
      <c r="A278" s="11">
        <f t="shared" si="55"/>
        <v>276</v>
      </c>
      <c r="B278" s="12" t="s">
        <v>2062</v>
      </c>
      <c r="C278" s="8">
        <v>2338</v>
      </c>
      <c r="D278" s="103" t="s">
        <v>2063</v>
      </c>
      <c r="E278" s="201">
        <v>150716185</v>
      </c>
      <c r="F278" s="90" t="s">
        <v>1935</v>
      </c>
      <c r="G278" s="91" t="s">
        <v>2064</v>
      </c>
      <c r="H278" s="24" t="s">
        <v>1936</v>
      </c>
      <c r="I278" s="25" t="s">
        <v>2065</v>
      </c>
      <c r="J278" s="82" t="s">
        <v>173</v>
      </c>
      <c r="K278" s="26">
        <v>34309</v>
      </c>
      <c r="L278" s="66" t="s">
        <v>174</v>
      </c>
      <c r="M278" s="154">
        <v>43770</v>
      </c>
      <c r="N278" s="196">
        <v>43053</v>
      </c>
      <c r="O278" s="15" t="s">
        <v>32</v>
      </c>
      <c r="P278" s="16" t="s">
        <v>304</v>
      </c>
      <c r="Q278" s="16" t="s">
        <v>176</v>
      </c>
      <c r="R278" s="15" t="s">
        <v>177</v>
      </c>
      <c r="S278" s="11"/>
      <c r="T278" s="159"/>
      <c r="U278" s="159"/>
      <c r="V278" s="19" t="s">
        <v>195</v>
      </c>
      <c r="W278" s="19" t="s">
        <v>195</v>
      </c>
      <c r="X278" s="1">
        <v>4</v>
      </c>
      <c r="Y278" s="61" t="s">
        <v>2066</v>
      </c>
      <c r="Z278" s="70">
        <v>1</v>
      </c>
      <c r="AA278" s="70"/>
      <c r="AB278" s="1"/>
      <c r="AC278" s="161"/>
      <c r="AD278" s="99"/>
      <c r="AE278" s="99"/>
      <c r="AF278" s="108"/>
      <c r="AG278" s="106"/>
      <c r="AH278" s="162"/>
      <c r="AI278" s="162"/>
      <c r="AJ278" s="19" t="s">
        <v>198</v>
      </c>
      <c r="AK278" s="19" t="s">
        <v>185</v>
      </c>
      <c r="AL278" s="19" t="s">
        <v>185</v>
      </c>
      <c r="AM278" s="107" t="s">
        <v>1491</v>
      </c>
      <c r="AN278" s="20">
        <v>182</v>
      </c>
      <c r="AO278" s="20">
        <v>0</v>
      </c>
      <c r="AP278" s="20">
        <v>0</v>
      </c>
      <c r="AQ278" s="20">
        <v>0</v>
      </c>
      <c r="AR278" s="20">
        <v>0</v>
      </c>
      <c r="AS278" s="20">
        <v>7</v>
      </c>
      <c r="AT278" s="20">
        <v>10</v>
      </c>
      <c r="AU278" s="300">
        <f t="shared" si="45"/>
        <v>199</v>
      </c>
      <c r="AV278" s="20">
        <v>190</v>
      </c>
      <c r="AW278" s="20">
        <v>0</v>
      </c>
      <c r="AX278" s="20">
        <v>0</v>
      </c>
      <c r="AY278" s="20">
        <v>0</v>
      </c>
      <c r="AZ278" s="20">
        <v>0</v>
      </c>
      <c r="BA278" s="20">
        <v>7</v>
      </c>
      <c r="BB278" s="20">
        <v>10</v>
      </c>
      <c r="BC278" s="300">
        <f t="shared" si="46"/>
        <v>207</v>
      </c>
      <c r="BD278" s="42">
        <f t="shared" si="47"/>
        <v>8</v>
      </c>
      <c r="BE278" s="42">
        <f t="shared" si="48"/>
        <v>0</v>
      </c>
      <c r="BF278" s="42">
        <f t="shared" si="49"/>
        <v>0</v>
      </c>
      <c r="BG278" s="42">
        <f t="shared" si="50"/>
        <v>0</v>
      </c>
      <c r="BH278" s="42">
        <f t="shared" si="51"/>
        <v>0</v>
      </c>
      <c r="BI278" s="42">
        <f t="shared" si="52"/>
        <v>0</v>
      </c>
      <c r="BJ278" s="42">
        <f t="shared" si="53"/>
        <v>0</v>
      </c>
      <c r="BK278" s="42">
        <f t="shared" si="54"/>
        <v>8</v>
      </c>
    </row>
    <row r="279" spans="1:63" ht="27" customHeight="1">
      <c r="A279" s="11">
        <f t="shared" si="55"/>
        <v>277</v>
      </c>
      <c r="B279" s="12" t="s">
        <v>2067</v>
      </c>
      <c r="C279" s="8">
        <v>2401</v>
      </c>
      <c r="D279" s="103" t="s">
        <v>2068</v>
      </c>
      <c r="E279" s="201" t="s">
        <v>2069</v>
      </c>
      <c r="F279" s="90" t="s">
        <v>1823</v>
      </c>
      <c r="G279" s="91" t="s">
        <v>2070</v>
      </c>
      <c r="H279" s="24" t="s">
        <v>1824</v>
      </c>
      <c r="I279" s="25" t="s">
        <v>2071</v>
      </c>
      <c r="J279" s="82" t="s">
        <v>173</v>
      </c>
      <c r="K279" s="26">
        <v>35065</v>
      </c>
      <c r="L279" s="66" t="s">
        <v>174</v>
      </c>
      <c r="M279" s="23">
        <v>43709</v>
      </c>
      <c r="N279" s="154">
        <v>43160</v>
      </c>
      <c r="O279" s="15" t="s">
        <v>32</v>
      </c>
      <c r="P279" s="16" t="s">
        <v>222</v>
      </c>
      <c r="Q279" s="16" t="s">
        <v>176</v>
      </c>
      <c r="R279" s="15" t="s">
        <v>177</v>
      </c>
      <c r="S279" s="11" t="s">
        <v>223</v>
      </c>
      <c r="T279" s="159"/>
      <c r="U279" s="159"/>
      <c r="V279" s="19" t="s">
        <v>179</v>
      </c>
      <c r="W279" s="19" t="s">
        <v>179</v>
      </c>
      <c r="X279" s="1">
        <v>6</v>
      </c>
      <c r="Y279" s="61" t="s">
        <v>2072</v>
      </c>
      <c r="Z279" s="70">
        <v>1</v>
      </c>
      <c r="AA279" s="70"/>
      <c r="AB279" s="1"/>
      <c r="AC279" s="161"/>
      <c r="AD279" s="99"/>
      <c r="AE279" s="99"/>
      <c r="AF279" s="108"/>
      <c r="AG279" s="106"/>
      <c r="AH279" s="162"/>
      <c r="AI279" s="162"/>
      <c r="AJ279" s="19" t="s">
        <v>198</v>
      </c>
      <c r="AK279" s="19" t="s">
        <v>185</v>
      </c>
      <c r="AL279" s="19" t="s">
        <v>185</v>
      </c>
      <c r="AM279" s="107" t="s">
        <v>2073</v>
      </c>
      <c r="AN279" s="20">
        <v>182</v>
      </c>
      <c r="AO279" s="20">
        <v>0</v>
      </c>
      <c r="AP279" s="20">
        <v>0</v>
      </c>
      <c r="AQ279" s="20">
        <v>0</v>
      </c>
      <c r="AR279" s="20">
        <v>0</v>
      </c>
      <c r="AS279" s="20">
        <v>7</v>
      </c>
      <c r="AT279" s="20">
        <v>10</v>
      </c>
      <c r="AU279" s="300">
        <f t="shared" si="45"/>
        <v>199</v>
      </c>
      <c r="AV279" s="20">
        <v>190</v>
      </c>
      <c r="AW279" s="20">
        <v>0</v>
      </c>
      <c r="AX279" s="20">
        <v>0</v>
      </c>
      <c r="AY279" s="20">
        <v>0</v>
      </c>
      <c r="AZ279" s="20">
        <v>0</v>
      </c>
      <c r="BA279" s="20">
        <v>7</v>
      </c>
      <c r="BB279" s="20">
        <v>10</v>
      </c>
      <c r="BC279" s="300">
        <f t="shared" si="46"/>
        <v>207</v>
      </c>
      <c r="BD279" s="42">
        <f t="shared" si="47"/>
        <v>8</v>
      </c>
      <c r="BE279" s="42">
        <f t="shared" si="48"/>
        <v>0</v>
      </c>
      <c r="BF279" s="42">
        <f t="shared" si="49"/>
        <v>0</v>
      </c>
      <c r="BG279" s="42">
        <f t="shared" si="50"/>
        <v>0</v>
      </c>
      <c r="BH279" s="42">
        <f t="shared" si="51"/>
        <v>0</v>
      </c>
      <c r="BI279" s="42">
        <f t="shared" si="52"/>
        <v>0</v>
      </c>
      <c r="BJ279" s="42">
        <f t="shared" si="53"/>
        <v>0</v>
      </c>
      <c r="BK279" s="42">
        <f t="shared" si="54"/>
        <v>8</v>
      </c>
    </row>
    <row r="280" spans="1:63" ht="27" customHeight="1">
      <c r="A280" s="11">
        <f t="shared" si="55"/>
        <v>278</v>
      </c>
      <c r="B280" s="12" t="s">
        <v>2074</v>
      </c>
      <c r="C280" s="8">
        <v>2403</v>
      </c>
      <c r="D280" s="103">
        <v>296031813012</v>
      </c>
      <c r="E280" s="201" t="s">
        <v>2075</v>
      </c>
      <c r="F280" s="90" t="s">
        <v>568</v>
      </c>
      <c r="G280" s="91" t="s">
        <v>2076</v>
      </c>
      <c r="H280" s="24" t="s">
        <v>537</v>
      </c>
      <c r="I280" s="25" t="s">
        <v>2077</v>
      </c>
      <c r="J280" s="82" t="s">
        <v>173</v>
      </c>
      <c r="K280" s="26">
        <v>35098</v>
      </c>
      <c r="L280" s="66" t="s">
        <v>174</v>
      </c>
      <c r="M280" s="23">
        <v>43709</v>
      </c>
      <c r="N280" s="154">
        <v>43166</v>
      </c>
      <c r="O280" s="15" t="s">
        <v>32</v>
      </c>
      <c r="P280" s="16" t="s">
        <v>296</v>
      </c>
      <c r="Q280" s="16" t="s">
        <v>176</v>
      </c>
      <c r="R280" s="15" t="s">
        <v>177</v>
      </c>
      <c r="S280" s="17" t="s">
        <v>178</v>
      </c>
      <c r="T280" s="159"/>
      <c r="U280" s="159"/>
      <c r="V280" s="19" t="s">
        <v>179</v>
      </c>
      <c r="W280" s="19" t="s">
        <v>195</v>
      </c>
      <c r="X280" s="1">
        <v>11</v>
      </c>
      <c r="Y280" s="61" t="s">
        <v>2078</v>
      </c>
      <c r="Z280" s="70">
        <v>1</v>
      </c>
      <c r="AA280" s="70"/>
      <c r="AB280" s="1"/>
      <c r="AC280" s="161"/>
      <c r="AD280" s="99"/>
      <c r="AE280" s="99"/>
      <c r="AF280" s="108"/>
      <c r="AG280" s="106"/>
      <c r="AH280" s="162"/>
      <c r="AI280" s="162"/>
      <c r="AJ280" s="19" t="s">
        <v>198</v>
      </c>
      <c r="AK280" s="19" t="s">
        <v>185</v>
      </c>
      <c r="AL280" s="19" t="s">
        <v>185</v>
      </c>
      <c r="AM280" s="107" t="s">
        <v>2079</v>
      </c>
      <c r="AN280" s="20">
        <v>182</v>
      </c>
      <c r="AO280" s="20">
        <v>0</v>
      </c>
      <c r="AP280" s="20">
        <v>0</v>
      </c>
      <c r="AQ280" s="20">
        <v>10</v>
      </c>
      <c r="AR280" s="20">
        <v>0</v>
      </c>
      <c r="AS280" s="20">
        <v>7</v>
      </c>
      <c r="AT280" s="20">
        <v>10</v>
      </c>
      <c r="AU280" s="300">
        <f t="shared" si="45"/>
        <v>209</v>
      </c>
      <c r="AV280" s="20">
        <v>190</v>
      </c>
      <c r="AW280" s="20">
        <v>0</v>
      </c>
      <c r="AX280" s="20">
        <v>0</v>
      </c>
      <c r="AY280" s="20">
        <v>10</v>
      </c>
      <c r="AZ280" s="20">
        <v>0</v>
      </c>
      <c r="BA280" s="20">
        <v>7</v>
      </c>
      <c r="BB280" s="20">
        <v>10</v>
      </c>
      <c r="BC280" s="300">
        <f t="shared" si="46"/>
        <v>217</v>
      </c>
      <c r="BD280" s="42">
        <f t="shared" si="47"/>
        <v>8</v>
      </c>
      <c r="BE280" s="42">
        <f t="shared" si="48"/>
        <v>0</v>
      </c>
      <c r="BF280" s="42">
        <f t="shared" si="49"/>
        <v>0</v>
      </c>
      <c r="BG280" s="42">
        <f t="shared" si="50"/>
        <v>0</v>
      </c>
      <c r="BH280" s="42">
        <f t="shared" si="51"/>
        <v>0</v>
      </c>
      <c r="BI280" s="42">
        <f t="shared" si="52"/>
        <v>0</v>
      </c>
      <c r="BJ280" s="42">
        <f t="shared" si="53"/>
        <v>0</v>
      </c>
      <c r="BK280" s="42">
        <f t="shared" si="54"/>
        <v>8</v>
      </c>
    </row>
    <row r="281" spans="1:63" ht="27" customHeight="1">
      <c r="A281" s="11">
        <f t="shared" si="55"/>
        <v>279</v>
      </c>
      <c r="B281" s="12"/>
      <c r="C281" s="8">
        <v>2378</v>
      </c>
      <c r="D281" s="103" t="s">
        <v>2080</v>
      </c>
      <c r="E281" s="201" t="s">
        <v>2081</v>
      </c>
      <c r="F281" s="90" t="s">
        <v>2082</v>
      </c>
      <c r="G281" s="91" t="s">
        <v>1248</v>
      </c>
      <c r="H281" s="24" t="s">
        <v>2083</v>
      </c>
      <c r="I281" s="25" t="s">
        <v>1250</v>
      </c>
      <c r="J281" s="82" t="s">
        <v>173</v>
      </c>
      <c r="K281" s="26">
        <v>31631</v>
      </c>
      <c r="L281" s="66" t="s">
        <v>174</v>
      </c>
      <c r="M281" s="154">
        <v>43800</v>
      </c>
      <c r="N281" s="196">
        <v>43075</v>
      </c>
      <c r="O281" s="15" t="s">
        <v>32</v>
      </c>
      <c r="P281" s="16" t="s">
        <v>507</v>
      </c>
      <c r="Q281" s="16" t="s">
        <v>176</v>
      </c>
      <c r="R281" s="15" t="s">
        <v>177</v>
      </c>
      <c r="S281" s="17" t="s">
        <v>251</v>
      </c>
      <c r="T281" s="159"/>
      <c r="U281" s="159"/>
      <c r="V281" s="19" t="s">
        <v>195</v>
      </c>
      <c r="W281" s="19" t="s">
        <v>195</v>
      </c>
      <c r="X281" s="1">
        <v>12</v>
      </c>
      <c r="Y281" s="61"/>
      <c r="Z281" s="70"/>
      <c r="AA281" s="70">
        <v>1</v>
      </c>
      <c r="AB281" s="70"/>
      <c r="AC281" s="107"/>
      <c r="AD281" s="202" t="s">
        <v>184</v>
      </c>
      <c r="AE281" s="202" t="s">
        <v>184</v>
      </c>
      <c r="AF281" s="203"/>
      <c r="AG281" s="204"/>
      <c r="AH281" s="205"/>
      <c r="AI281" s="205"/>
      <c r="AJ281" s="72" t="s">
        <v>198</v>
      </c>
      <c r="AK281" s="72" t="s">
        <v>185</v>
      </c>
      <c r="AL281" s="72" t="s">
        <v>185</v>
      </c>
      <c r="AM281" s="107" t="s">
        <v>2073</v>
      </c>
      <c r="AN281" s="20">
        <v>182</v>
      </c>
      <c r="AO281" s="20">
        <v>0</v>
      </c>
      <c r="AP281" s="20">
        <v>0</v>
      </c>
      <c r="AQ281" s="20">
        <v>0</v>
      </c>
      <c r="AR281" s="20">
        <v>0</v>
      </c>
      <c r="AS281" s="20">
        <v>7</v>
      </c>
      <c r="AT281" s="20">
        <v>10</v>
      </c>
      <c r="AU281" s="300">
        <f t="shared" si="45"/>
        <v>199</v>
      </c>
      <c r="AV281" s="20">
        <v>190</v>
      </c>
      <c r="AW281" s="20">
        <v>0</v>
      </c>
      <c r="AX281" s="20">
        <v>0</v>
      </c>
      <c r="AY281" s="20">
        <v>0</v>
      </c>
      <c r="AZ281" s="20">
        <v>0</v>
      </c>
      <c r="BA281" s="20">
        <v>7</v>
      </c>
      <c r="BB281" s="20">
        <v>10</v>
      </c>
      <c r="BC281" s="300">
        <f t="shared" si="46"/>
        <v>207</v>
      </c>
      <c r="BD281" s="42">
        <f t="shared" si="47"/>
        <v>8</v>
      </c>
      <c r="BE281" s="42">
        <f t="shared" si="48"/>
        <v>0</v>
      </c>
      <c r="BF281" s="42">
        <f t="shared" si="49"/>
        <v>0</v>
      </c>
      <c r="BG281" s="42">
        <f t="shared" si="50"/>
        <v>0</v>
      </c>
      <c r="BH281" s="42">
        <f t="shared" si="51"/>
        <v>0</v>
      </c>
      <c r="BI281" s="42">
        <f t="shared" si="52"/>
        <v>0</v>
      </c>
      <c r="BJ281" s="42">
        <f t="shared" si="53"/>
        <v>0</v>
      </c>
      <c r="BK281" s="42">
        <f t="shared" si="54"/>
        <v>8</v>
      </c>
    </row>
    <row r="282" spans="1:63" ht="27" customHeight="1">
      <c r="A282" s="11">
        <f t="shared" si="55"/>
        <v>280</v>
      </c>
      <c r="B282" s="12"/>
      <c r="C282" s="8">
        <v>2381</v>
      </c>
      <c r="D282" s="103" t="s">
        <v>2084</v>
      </c>
      <c r="E282" s="201" t="s">
        <v>2085</v>
      </c>
      <c r="F282" s="90" t="s">
        <v>467</v>
      </c>
      <c r="G282" s="91" t="s">
        <v>1893</v>
      </c>
      <c r="H282" s="24" t="s">
        <v>469</v>
      </c>
      <c r="I282" s="25" t="s">
        <v>1895</v>
      </c>
      <c r="J282" s="82" t="s">
        <v>173</v>
      </c>
      <c r="K282" s="26">
        <v>32615</v>
      </c>
      <c r="L282" s="66" t="s">
        <v>174</v>
      </c>
      <c r="M282" s="154">
        <v>43800</v>
      </c>
      <c r="N282" s="196">
        <v>43082</v>
      </c>
      <c r="O282" s="15" t="s">
        <v>32</v>
      </c>
      <c r="P282" s="16" t="s">
        <v>222</v>
      </c>
      <c r="Q282" s="16" t="s">
        <v>176</v>
      </c>
      <c r="R282" s="15" t="s">
        <v>177</v>
      </c>
      <c r="S282" s="17" t="s">
        <v>251</v>
      </c>
      <c r="T282" s="159"/>
      <c r="U282" s="159"/>
      <c r="V282" s="19" t="s">
        <v>195</v>
      </c>
      <c r="W282" s="19" t="s">
        <v>195</v>
      </c>
      <c r="X282" s="1"/>
      <c r="Y282" s="61"/>
      <c r="Z282" s="70"/>
      <c r="AA282" s="70">
        <v>1</v>
      </c>
      <c r="AB282" s="70"/>
      <c r="AC282" s="107" t="s">
        <v>133</v>
      </c>
      <c r="AD282" s="202"/>
      <c r="AE282" s="202"/>
      <c r="AF282" s="203"/>
      <c r="AG282" s="204"/>
      <c r="AH282" s="205"/>
      <c r="AI282" s="205"/>
      <c r="AJ282" s="72" t="s">
        <v>198</v>
      </c>
      <c r="AK282" s="72" t="s">
        <v>185</v>
      </c>
      <c r="AL282" s="72" t="s">
        <v>185</v>
      </c>
      <c r="AM282" s="107" t="s">
        <v>2079</v>
      </c>
      <c r="AN282" s="20">
        <v>182</v>
      </c>
      <c r="AO282" s="20">
        <v>0</v>
      </c>
      <c r="AP282" s="20">
        <v>0</v>
      </c>
      <c r="AQ282" s="20">
        <v>0</v>
      </c>
      <c r="AR282" s="20">
        <v>0</v>
      </c>
      <c r="AS282" s="20">
        <v>7</v>
      </c>
      <c r="AT282" s="20">
        <v>10</v>
      </c>
      <c r="AU282" s="300">
        <f t="shared" si="45"/>
        <v>199</v>
      </c>
      <c r="AV282" s="20">
        <v>190</v>
      </c>
      <c r="AW282" s="20">
        <v>0</v>
      </c>
      <c r="AX282" s="20">
        <v>0</v>
      </c>
      <c r="AY282" s="20">
        <v>0</v>
      </c>
      <c r="AZ282" s="20">
        <v>0</v>
      </c>
      <c r="BA282" s="20">
        <v>7</v>
      </c>
      <c r="BB282" s="20">
        <v>10</v>
      </c>
      <c r="BC282" s="300">
        <f t="shared" si="46"/>
        <v>207</v>
      </c>
      <c r="BD282" s="42">
        <f t="shared" si="47"/>
        <v>8</v>
      </c>
      <c r="BE282" s="42">
        <f t="shared" si="48"/>
        <v>0</v>
      </c>
      <c r="BF282" s="42">
        <f t="shared" si="49"/>
        <v>0</v>
      </c>
      <c r="BG282" s="42">
        <f t="shared" si="50"/>
        <v>0</v>
      </c>
      <c r="BH282" s="42">
        <f t="shared" si="51"/>
        <v>0</v>
      </c>
      <c r="BI282" s="42">
        <f t="shared" si="52"/>
        <v>0</v>
      </c>
      <c r="BJ282" s="42">
        <f t="shared" si="53"/>
        <v>0</v>
      </c>
      <c r="BK282" s="42">
        <f t="shared" si="54"/>
        <v>8</v>
      </c>
    </row>
    <row r="283" spans="1:63" ht="27" customHeight="1">
      <c r="A283" s="11">
        <f t="shared" si="55"/>
        <v>281</v>
      </c>
      <c r="B283" s="12"/>
      <c r="C283" s="8">
        <v>2426</v>
      </c>
      <c r="D283" s="103" t="s">
        <v>2086</v>
      </c>
      <c r="E283" s="201" t="s">
        <v>2087</v>
      </c>
      <c r="F283" s="90" t="s">
        <v>2088</v>
      </c>
      <c r="G283" s="91" t="s">
        <v>2089</v>
      </c>
      <c r="H283" s="24" t="s">
        <v>81</v>
      </c>
      <c r="I283" s="25" t="s">
        <v>82</v>
      </c>
      <c r="J283" s="82" t="s">
        <v>204</v>
      </c>
      <c r="K283" s="26">
        <v>32516</v>
      </c>
      <c r="L283" s="66" t="s">
        <v>174</v>
      </c>
      <c r="M283" s="154">
        <v>43770</v>
      </c>
      <c r="N283" s="23">
        <v>43222</v>
      </c>
      <c r="O283" s="15" t="s">
        <v>32</v>
      </c>
      <c r="P283" s="16" t="s">
        <v>83</v>
      </c>
      <c r="Q283" s="16" t="s">
        <v>176</v>
      </c>
      <c r="R283" s="15" t="s">
        <v>177</v>
      </c>
      <c r="S283" s="11" t="s">
        <v>223</v>
      </c>
      <c r="T283" s="159"/>
      <c r="U283" s="159"/>
      <c r="V283" s="19" t="s">
        <v>195</v>
      </c>
      <c r="W283" s="19" t="s">
        <v>195</v>
      </c>
      <c r="X283" s="1">
        <v>10</v>
      </c>
      <c r="Y283" s="61">
        <v>15768447</v>
      </c>
      <c r="Z283" s="206"/>
      <c r="AA283" s="70">
        <v>1</v>
      </c>
      <c r="AB283" s="207"/>
      <c r="AC283" s="107" t="s">
        <v>133</v>
      </c>
      <c r="AD283" s="202" t="s">
        <v>184</v>
      </c>
      <c r="AE283" s="202"/>
      <c r="AF283" s="203"/>
      <c r="AG283" s="204"/>
      <c r="AH283" s="205"/>
      <c r="AI283" s="205"/>
      <c r="AJ283" s="72" t="s">
        <v>198</v>
      </c>
      <c r="AK283" s="72" t="s">
        <v>185</v>
      </c>
      <c r="AL283" s="72" t="s">
        <v>185</v>
      </c>
      <c r="AM283" s="107" t="s">
        <v>2090</v>
      </c>
      <c r="AN283" s="20">
        <v>182</v>
      </c>
      <c r="AO283" s="20">
        <v>0</v>
      </c>
      <c r="AP283" s="20">
        <v>0</v>
      </c>
      <c r="AQ283" s="20">
        <v>25</v>
      </c>
      <c r="AR283" s="20">
        <v>0</v>
      </c>
      <c r="AS283" s="20">
        <v>7</v>
      </c>
      <c r="AT283" s="20">
        <v>10</v>
      </c>
      <c r="AU283" s="300">
        <f t="shared" si="45"/>
        <v>224</v>
      </c>
      <c r="AV283" s="20">
        <v>190</v>
      </c>
      <c r="AW283" s="20">
        <v>0</v>
      </c>
      <c r="AX283" s="20">
        <v>0</v>
      </c>
      <c r="AY283" s="20">
        <v>25</v>
      </c>
      <c r="AZ283" s="20">
        <v>0</v>
      </c>
      <c r="BA283" s="20">
        <v>7</v>
      </c>
      <c r="BB283" s="20">
        <v>10</v>
      </c>
      <c r="BC283" s="300">
        <f t="shared" si="46"/>
        <v>232</v>
      </c>
      <c r="BD283" s="42">
        <f t="shared" si="47"/>
        <v>8</v>
      </c>
      <c r="BE283" s="42">
        <f t="shared" si="48"/>
        <v>0</v>
      </c>
      <c r="BF283" s="42">
        <f t="shared" si="49"/>
        <v>0</v>
      </c>
      <c r="BG283" s="42">
        <f t="shared" si="50"/>
        <v>0</v>
      </c>
      <c r="BH283" s="42">
        <f t="shared" si="51"/>
        <v>0</v>
      </c>
      <c r="BI283" s="42">
        <f t="shared" si="52"/>
        <v>0</v>
      </c>
      <c r="BJ283" s="42">
        <f t="shared" si="53"/>
        <v>0</v>
      </c>
      <c r="BK283" s="42">
        <f t="shared" si="54"/>
        <v>8</v>
      </c>
    </row>
    <row r="284" spans="1:63" ht="27" customHeight="1">
      <c r="A284" s="11">
        <f t="shared" si="55"/>
        <v>282</v>
      </c>
      <c r="B284" s="12"/>
      <c r="C284" s="8">
        <v>2432</v>
      </c>
      <c r="D284" s="103" t="s">
        <v>2091</v>
      </c>
      <c r="E284" s="201" t="s">
        <v>2092</v>
      </c>
      <c r="F284" s="90" t="s">
        <v>2093</v>
      </c>
      <c r="G284" s="91" t="s">
        <v>2094</v>
      </c>
      <c r="H284" s="24" t="s">
        <v>2095</v>
      </c>
      <c r="I284" s="25" t="s">
        <v>2096</v>
      </c>
      <c r="J284" s="82" t="s">
        <v>173</v>
      </c>
      <c r="K284" s="26">
        <v>30749</v>
      </c>
      <c r="L284" s="66" t="s">
        <v>174</v>
      </c>
      <c r="M284" s="154">
        <v>43770</v>
      </c>
      <c r="N284" s="23">
        <v>43245</v>
      </c>
      <c r="O284" s="15" t="s">
        <v>32</v>
      </c>
      <c r="P284" s="16" t="s">
        <v>631</v>
      </c>
      <c r="Q284" s="16" t="s">
        <v>176</v>
      </c>
      <c r="R284" s="15" t="s">
        <v>177</v>
      </c>
      <c r="S284" s="17" t="s">
        <v>178</v>
      </c>
      <c r="T284" s="159"/>
      <c r="U284" s="159"/>
      <c r="V284" s="19" t="s">
        <v>195</v>
      </c>
      <c r="W284" s="19" t="s">
        <v>195</v>
      </c>
      <c r="X284" s="1">
        <v>3</v>
      </c>
      <c r="Y284" s="61"/>
      <c r="Z284" s="70"/>
      <c r="AA284" s="70">
        <v>1</v>
      </c>
      <c r="AB284" s="70"/>
      <c r="AC284" s="107"/>
      <c r="AD284" s="202"/>
      <c r="AE284" s="202"/>
      <c r="AF284" s="203"/>
      <c r="AG284" s="204"/>
      <c r="AH284" s="205"/>
      <c r="AI284" s="205"/>
      <c r="AJ284" s="72" t="s">
        <v>198</v>
      </c>
      <c r="AK284" s="72" t="s">
        <v>185</v>
      </c>
      <c r="AL284" s="72" t="s">
        <v>185</v>
      </c>
      <c r="AM284" s="107" t="s">
        <v>2097</v>
      </c>
      <c r="AN284" s="20">
        <v>182</v>
      </c>
      <c r="AO284" s="20">
        <v>0</v>
      </c>
      <c r="AP284" s="20">
        <v>0</v>
      </c>
      <c r="AQ284" s="20">
        <v>0</v>
      </c>
      <c r="AR284" s="20">
        <v>0</v>
      </c>
      <c r="AS284" s="20">
        <v>7</v>
      </c>
      <c r="AT284" s="20">
        <v>10</v>
      </c>
      <c r="AU284" s="300">
        <f t="shared" si="45"/>
        <v>199</v>
      </c>
      <c r="AV284" s="20">
        <v>190</v>
      </c>
      <c r="AW284" s="20">
        <v>0</v>
      </c>
      <c r="AX284" s="20">
        <v>0</v>
      </c>
      <c r="AY284" s="20">
        <v>0</v>
      </c>
      <c r="AZ284" s="20">
        <v>0</v>
      </c>
      <c r="BA284" s="20">
        <v>7</v>
      </c>
      <c r="BB284" s="20">
        <v>10</v>
      </c>
      <c r="BC284" s="300">
        <f t="shared" si="46"/>
        <v>207</v>
      </c>
      <c r="BD284" s="42">
        <f t="shared" si="47"/>
        <v>8</v>
      </c>
      <c r="BE284" s="42">
        <f t="shared" si="48"/>
        <v>0</v>
      </c>
      <c r="BF284" s="42">
        <f t="shared" si="49"/>
        <v>0</v>
      </c>
      <c r="BG284" s="42">
        <f t="shared" si="50"/>
        <v>0</v>
      </c>
      <c r="BH284" s="42">
        <f t="shared" si="51"/>
        <v>0</v>
      </c>
      <c r="BI284" s="42">
        <f t="shared" si="52"/>
        <v>0</v>
      </c>
      <c r="BJ284" s="42">
        <f t="shared" si="53"/>
        <v>0</v>
      </c>
      <c r="BK284" s="42">
        <f t="shared" si="54"/>
        <v>8</v>
      </c>
    </row>
    <row r="285" spans="1:63" ht="27" customHeight="1">
      <c r="A285" s="11">
        <f t="shared" si="55"/>
        <v>283</v>
      </c>
      <c r="B285" s="12"/>
      <c r="C285" s="8">
        <v>2431</v>
      </c>
      <c r="D285" s="103" t="s">
        <v>2098</v>
      </c>
      <c r="E285" s="201" t="s">
        <v>2099</v>
      </c>
      <c r="F285" s="90" t="s">
        <v>355</v>
      </c>
      <c r="G285" s="91" t="s">
        <v>2100</v>
      </c>
      <c r="H285" s="24" t="s">
        <v>2101</v>
      </c>
      <c r="I285" s="25" t="s">
        <v>2102</v>
      </c>
      <c r="J285" s="82" t="s">
        <v>173</v>
      </c>
      <c r="K285" s="26">
        <v>36671</v>
      </c>
      <c r="L285" s="66" t="s">
        <v>174</v>
      </c>
      <c r="M285" s="154">
        <v>43770</v>
      </c>
      <c r="N285" s="23">
        <v>43245</v>
      </c>
      <c r="O285" s="15" t="s">
        <v>32</v>
      </c>
      <c r="P285" s="16" t="s">
        <v>631</v>
      </c>
      <c r="Q285" s="16" t="s">
        <v>176</v>
      </c>
      <c r="R285" s="15" t="s">
        <v>177</v>
      </c>
      <c r="S285" s="17" t="s">
        <v>178</v>
      </c>
      <c r="T285" s="159"/>
      <c r="U285" s="159"/>
      <c r="V285" s="19" t="s">
        <v>195</v>
      </c>
      <c r="W285" s="19" t="s">
        <v>195</v>
      </c>
      <c r="X285" s="1">
        <v>3</v>
      </c>
      <c r="Y285" s="61"/>
      <c r="Z285" s="70"/>
      <c r="AA285" s="70">
        <v>1</v>
      </c>
      <c r="AB285" s="70"/>
      <c r="AC285" s="107"/>
      <c r="AD285" s="202"/>
      <c r="AE285" s="202"/>
      <c r="AF285" s="203"/>
      <c r="AG285" s="204"/>
      <c r="AH285" s="205"/>
      <c r="AI285" s="205"/>
      <c r="AJ285" s="72" t="s">
        <v>198</v>
      </c>
      <c r="AK285" s="72" t="s">
        <v>185</v>
      </c>
      <c r="AL285" s="72" t="s">
        <v>185</v>
      </c>
      <c r="AM285" s="107" t="s">
        <v>2097</v>
      </c>
      <c r="AN285" s="20">
        <v>182</v>
      </c>
      <c r="AO285" s="20">
        <v>0</v>
      </c>
      <c r="AP285" s="20">
        <v>0</v>
      </c>
      <c r="AQ285" s="20">
        <v>0</v>
      </c>
      <c r="AR285" s="20">
        <v>0</v>
      </c>
      <c r="AS285" s="20">
        <v>7</v>
      </c>
      <c r="AT285" s="20">
        <v>10</v>
      </c>
      <c r="AU285" s="300">
        <f t="shared" si="45"/>
        <v>199</v>
      </c>
      <c r="AV285" s="20">
        <v>190</v>
      </c>
      <c r="AW285" s="20">
        <v>0</v>
      </c>
      <c r="AX285" s="20">
        <v>0</v>
      </c>
      <c r="AY285" s="20">
        <v>0</v>
      </c>
      <c r="AZ285" s="20">
        <v>0</v>
      </c>
      <c r="BA285" s="20">
        <v>7</v>
      </c>
      <c r="BB285" s="20">
        <v>10</v>
      </c>
      <c r="BC285" s="300">
        <f t="shared" si="46"/>
        <v>207</v>
      </c>
      <c r="BD285" s="42">
        <f t="shared" si="47"/>
        <v>8</v>
      </c>
      <c r="BE285" s="42">
        <f t="shared" si="48"/>
        <v>0</v>
      </c>
      <c r="BF285" s="42">
        <f t="shared" si="49"/>
        <v>0</v>
      </c>
      <c r="BG285" s="42">
        <f t="shared" si="50"/>
        <v>0</v>
      </c>
      <c r="BH285" s="42">
        <f t="shared" si="51"/>
        <v>0</v>
      </c>
      <c r="BI285" s="42">
        <f t="shared" si="52"/>
        <v>0</v>
      </c>
      <c r="BJ285" s="42">
        <f t="shared" si="53"/>
        <v>0</v>
      </c>
      <c r="BK285" s="42">
        <f t="shared" si="54"/>
        <v>8</v>
      </c>
    </row>
    <row r="286" spans="1:63" ht="27" customHeight="1">
      <c r="A286" s="11">
        <f t="shared" si="55"/>
        <v>284</v>
      </c>
      <c r="B286" s="12"/>
      <c r="C286" s="8">
        <v>2437</v>
      </c>
      <c r="D286" s="103" t="s">
        <v>2103</v>
      </c>
      <c r="E286" s="201" t="s">
        <v>2104</v>
      </c>
      <c r="F286" s="90" t="s">
        <v>317</v>
      </c>
      <c r="G286" s="91" t="s">
        <v>892</v>
      </c>
      <c r="H286" s="24" t="s">
        <v>319</v>
      </c>
      <c r="I286" s="25" t="s">
        <v>2105</v>
      </c>
      <c r="J286" s="82" t="s">
        <v>173</v>
      </c>
      <c r="K286" s="26">
        <v>30483</v>
      </c>
      <c r="L286" s="66" t="s">
        <v>174</v>
      </c>
      <c r="M286" s="208">
        <v>43800</v>
      </c>
      <c r="N286" s="23">
        <v>43264</v>
      </c>
      <c r="O286" s="23" t="s">
        <v>32</v>
      </c>
      <c r="P286" s="16" t="s">
        <v>381</v>
      </c>
      <c r="Q286" s="16" t="s">
        <v>176</v>
      </c>
      <c r="R286" s="11" t="s">
        <v>177</v>
      </c>
      <c r="S286" s="15" t="s">
        <v>223</v>
      </c>
      <c r="T286" s="159"/>
      <c r="U286" s="159"/>
      <c r="V286" s="159" t="s">
        <v>195</v>
      </c>
      <c r="W286" s="19" t="s">
        <v>195</v>
      </c>
      <c r="X286" s="19"/>
      <c r="Y286" s="160">
        <v>976721396</v>
      </c>
      <c r="Z286" s="209"/>
      <c r="AA286" s="70" t="s">
        <v>181</v>
      </c>
      <c r="AB286" s="70"/>
      <c r="AC286" s="70"/>
      <c r="AD286" s="107" t="s">
        <v>183</v>
      </c>
      <c r="AE286" s="202" t="s">
        <v>183</v>
      </c>
      <c r="AF286" s="202"/>
      <c r="AG286" s="203"/>
      <c r="AH286" s="204"/>
      <c r="AI286" s="205"/>
      <c r="AJ286" s="207" t="s">
        <v>198</v>
      </c>
      <c r="AK286" s="72" t="s">
        <v>185</v>
      </c>
      <c r="AL286" s="72" t="s">
        <v>185</v>
      </c>
      <c r="AM286" s="72" t="s">
        <v>1229</v>
      </c>
      <c r="AN286" s="20">
        <v>182</v>
      </c>
      <c r="AO286" s="20">
        <v>0</v>
      </c>
      <c r="AP286" s="20">
        <v>0</v>
      </c>
      <c r="AQ286" s="20">
        <v>10</v>
      </c>
      <c r="AR286" s="20">
        <v>0</v>
      </c>
      <c r="AS286" s="20">
        <v>7</v>
      </c>
      <c r="AT286" s="20">
        <v>10</v>
      </c>
      <c r="AU286" s="300">
        <f t="shared" si="45"/>
        <v>209</v>
      </c>
      <c r="AV286" s="20">
        <v>190</v>
      </c>
      <c r="AW286" s="20">
        <v>0</v>
      </c>
      <c r="AX286" s="20">
        <v>0</v>
      </c>
      <c r="AY286" s="20">
        <v>10</v>
      </c>
      <c r="AZ286" s="20">
        <v>0</v>
      </c>
      <c r="BA286" s="20">
        <v>7</v>
      </c>
      <c r="BB286" s="20">
        <v>10</v>
      </c>
      <c r="BC286" s="300">
        <f t="shared" si="46"/>
        <v>217</v>
      </c>
      <c r="BD286" s="42">
        <f t="shared" si="47"/>
        <v>8</v>
      </c>
      <c r="BE286" s="42">
        <f t="shared" si="48"/>
        <v>0</v>
      </c>
      <c r="BF286" s="42">
        <f t="shared" si="49"/>
        <v>0</v>
      </c>
      <c r="BG286" s="42">
        <f t="shared" si="50"/>
        <v>0</v>
      </c>
      <c r="BH286" s="42">
        <f t="shared" si="51"/>
        <v>0</v>
      </c>
      <c r="BI286" s="42">
        <f t="shared" si="52"/>
        <v>0</v>
      </c>
      <c r="BJ286" s="42">
        <f t="shared" si="53"/>
        <v>0</v>
      </c>
      <c r="BK286" s="42">
        <f t="shared" si="54"/>
        <v>8</v>
      </c>
    </row>
    <row r="287" spans="1:63" ht="27" customHeight="1">
      <c r="A287" s="11">
        <f t="shared" si="55"/>
        <v>285</v>
      </c>
      <c r="B287" s="12"/>
      <c r="C287" s="8">
        <v>2435</v>
      </c>
      <c r="D287" s="103" t="s">
        <v>2106</v>
      </c>
      <c r="E287" s="201" t="s">
        <v>2107</v>
      </c>
      <c r="F287" s="90" t="s">
        <v>1791</v>
      </c>
      <c r="G287" s="91" t="s">
        <v>1636</v>
      </c>
      <c r="H287" s="24" t="s">
        <v>2108</v>
      </c>
      <c r="I287" s="25" t="s">
        <v>2109</v>
      </c>
      <c r="J287" s="82" t="s">
        <v>173</v>
      </c>
      <c r="K287" s="26">
        <v>32785</v>
      </c>
      <c r="L287" s="66" t="s">
        <v>174</v>
      </c>
      <c r="M287" s="208">
        <v>43800</v>
      </c>
      <c r="N287" s="23">
        <v>43263</v>
      </c>
      <c r="O287" s="23" t="s">
        <v>32</v>
      </c>
      <c r="P287" s="16" t="s">
        <v>381</v>
      </c>
      <c r="Q287" s="16" t="s">
        <v>176</v>
      </c>
      <c r="R287" s="11" t="s">
        <v>177</v>
      </c>
      <c r="S287" s="17" t="s">
        <v>206</v>
      </c>
      <c r="T287" s="159"/>
      <c r="U287" s="159"/>
      <c r="V287" s="159" t="s">
        <v>195</v>
      </c>
      <c r="W287" s="19" t="s">
        <v>195</v>
      </c>
      <c r="X287" s="19"/>
      <c r="Y287" s="160">
        <v>965279787</v>
      </c>
      <c r="Z287" s="209"/>
      <c r="AA287" s="70" t="s">
        <v>181</v>
      </c>
      <c r="AB287" s="70"/>
      <c r="AC287" s="70"/>
      <c r="AD287" s="107" t="s">
        <v>183</v>
      </c>
      <c r="AE287" s="202" t="s">
        <v>183</v>
      </c>
      <c r="AF287" s="202"/>
      <c r="AG287" s="203"/>
      <c r="AH287" s="204"/>
      <c r="AI287" s="205"/>
      <c r="AJ287" s="207" t="s">
        <v>198</v>
      </c>
      <c r="AK287" s="72" t="s">
        <v>185</v>
      </c>
      <c r="AL287" s="72" t="s">
        <v>185</v>
      </c>
      <c r="AM287" s="72" t="s">
        <v>1229</v>
      </c>
      <c r="AN287" s="20">
        <v>182</v>
      </c>
      <c r="AO287" s="20">
        <v>0</v>
      </c>
      <c r="AP287" s="20">
        <v>0</v>
      </c>
      <c r="AQ287" s="20">
        <v>0</v>
      </c>
      <c r="AR287" s="20">
        <v>0</v>
      </c>
      <c r="AS287" s="20">
        <v>7</v>
      </c>
      <c r="AT287" s="20">
        <v>10</v>
      </c>
      <c r="AU287" s="300">
        <f t="shared" si="45"/>
        <v>199</v>
      </c>
      <c r="AV287" s="20">
        <v>190</v>
      </c>
      <c r="AW287" s="20">
        <v>0</v>
      </c>
      <c r="AX287" s="20">
        <v>0</v>
      </c>
      <c r="AY287" s="20">
        <v>0</v>
      </c>
      <c r="AZ287" s="20">
        <v>0</v>
      </c>
      <c r="BA287" s="20">
        <v>7</v>
      </c>
      <c r="BB287" s="20">
        <v>10</v>
      </c>
      <c r="BC287" s="300">
        <f t="shared" si="46"/>
        <v>207</v>
      </c>
      <c r="BD287" s="42">
        <f t="shared" si="47"/>
        <v>8</v>
      </c>
      <c r="BE287" s="42">
        <f t="shared" si="48"/>
        <v>0</v>
      </c>
      <c r="BF287" s="42">
        <f t="shared" si="49"/>
        <v>0</v>
      </c>
      <c r="BG287" s="42">
        <f t="shared" si="50"/>
        <v>0</v>
      </c>
      <c r="BH287" s="42">
        <f t="shared" si="51"/>
        <v>0</v>
      </c>
      <c r="BI287" s="42">
        <f t="shared" si="52"/>
        <v>0</v>
      </c>
      <c r="BJ287" s="42">
        <f t="shared" si="53"/>
        <v>0</v>
      </c>
      <c r="BK287" s="42">
        <f t="shared" si="54"/>
        <v>8</v>
      </c>
    </row>
    <row r="288" spans="1:63" ht="27" customHeight="1">
      <c r="A288" s="11">
        <f t="shared" si="55"/>
        <v>286</v>
      </c>
      <c r="B288" s="12"/>
      <c r="C288" s="8">
        <v>2444</v>
      </c>
      <c r="D288" s="103" t="s">
        <v>2110</v>
      </c>
      <c r="E288" s="201" t="s">
        <v>2111</v>
      </c>
      <c r="F288" s="90" t="s">
        <v>2112</v>
      </c>
      <c r="G288" s="91" t="s">
        <v>2113</v>
      </c>
      <c r="H288" s="24" t="s">
        <v>30</v>
      </c>
      <c r="I288" s="25" t="s">
        <v>31</v>
      </c>
      <c r="J288" s="82" t="s">
        <v>173</v>
      </c>
      <c r="K288" s="26">
        <v>26613</v>
      </c>
      <c r="L288" s="66" t="s">
        <v>174</v>
      </c>
      <c r="M288" s="23">
        <v>43647</v>
      </c>
      <c r="N288" s="23">
        <v>43273</v>
      </c>
      <c r="O288" s="23" t="s">
        <v>32</v>
      </c>
      <c r="P288" s="16" t="s">
        <v>13</v>
      </c>
      <c r="Q288" s="16" t="s">
        <v>176</v>
      </c>
      <c r="R288" s="11" t="s">
        <v>177</v>
      </c>
      <c r="S288" s="15" t="s">
        <v>223</v>
      </c>
      <c r="T288" s="159"/>
      <c r="U288" s="159"/>
      <c r="V288" s="159" t="s">
        <v>195</v>
      </c>
      <c r="W288" s="19" t="s">
        <v>195</v>
      </c>
      <c r="X288" s="19"/>
      <c r="Y288" s="160">
        <v>968309346</v>
      </c>
      <c r="Z288" s="209" t="s">
        <v>181</v>
      </c>
      <c r="AA288" s="70"/>
      <c r="AB288" s="70"/>
      <c r="AC288" s="70"/>
      <c r="AD288" s="107" t="s">
        <v>182</v>
      </c>
      <c r="AE288" s="202" t="s">
        <v>182</v>
      </c>
      <c r="AF288" s="202" t="s">
        <v>183</v>
      </c>
      <c r="AG288" s="203"/>
      <c r="AH288" s="204"/>
      <c r="AI288" s="205"/>
      <c r="AJ288" s="207" t="s">
        <v>198</v>
      </c>
      <c r="AK288" s="72" t="s">
        <v>185</v>
      </c>
      <c r="AL288" s="72" t="s">
        <v>185</v>
      </c>
      <c r="AM288" s="72" t="s">
        <v>1229</v>
      </c>
      <c r="AN288" s="20">
        <v>182</v>
      </c>
      <c r="AO288" s="20">
        <v>0</v>
      </c>
      <c r="AP288" s="20">
        <v>0</v>
      </c>
      <c r="AQ288" s="20">
        <v>0</v>
      </c>
      <c r="AR288" s="20">
        <v>0</v>
      </c>
      <c r="AS288" s="20">
        <v>7</v>
      </c>
      <c r="AT288" s="20">
        <v>10</v>
      </c>
      <c r="AU288" s="300">
        <f t="shared" si="45"/>
        <v>199</v>
      </c>
      <c r="AV288" s="20">
        <v>190</v>
      </c>
      <c r="AW288" s="20">
        <v>0</v>
      </c>
      <c r="AX288" s="20">
        <v>0</v>
      </c>
      <c r="AY288" s="20">
        <v>0</v>
      </c>
      <c r="AZ288" s="20">
        <v>0</v>
      </c>
      <c r="BA288" s="20">
        <v>7</v>
      </c>
      <c r="BB288" s="20">
        <v>10</v>
      </c>
      <c r="BC288" s="300">
        <f t="shared" si="46"/>
        <v>207</v>
      </c>
      <c r="BD288" s="42">
        <f t="shared" si="47"/>
        <v>8</v>
      </c>
      <c r="BE288" s="42">
        <f t="shared" si="48"/>
        <v>0</v>
      </c>
      <c r="BF288" s="42">
        <f t="shared" si="49"/>
        <v>0</v>
      </c>
      <c r="BG288" s="42">
        <f t="shared" si="50"/>
        <v>0</v>
      </c>
      <c r="BH288" s="42">
        <f t="shared" si="51"/>
        <v>0</v>
      </c>
      <c r="BI288" s="42">
        <f t="shared" si="52"/>
        <v>0</v>
      </c>
      <c r="BJ288" s="42">
        <f t="shared" si="53"/>
        <v>0</v>
      </c>
      <c r="BK288" s="42">
        <f t="shared" si="54"/>
        <v>8</v>
      </c>
    </row>
    <row r="289" spans="1:63" ht="27" customHeight="1">
      <c r="A289" s="11">
        <f t="shared" si="55"/>
        <v>287</v>
      </c>
      <c r="B289" s="12"/>
      <c r="C289" s="8">
        <v>2448</v>
      </c>
      <c r="D289" s="103" t="s">
        <v>2114</v>
      </c>
      <c r="E289" s="201" t="s">
        <v>291</v>
      </c>
      <c r="F289" s="90" t="s">
        <v>2115</v>
      </c>
      <c r="G289" s="91" t="s">
        <v>786</v>
      </c>
      <c r="H289" s="24" t="s">
        <v>2116</v>
      </c>
      <c r="I289" s="25" t="s">
        <v>2117</v>
      </c>
      <c r="J289" s="82" t="s">
        <v>173</v>
      </c>
      <c r="K289" s="26">
        <v>36068</v>
      </c>
      <c r="L289" s="66" t="s">
        <v>174</v>
      </c>
      <c r="M289" s="23">
        <v>43647</v>
      </c>
      <c r="N289" s="23">
        <v>43273</v>
      </c>
      <c r="O289" s="23" t="s">
        <v>32</v>
      </c>
      <c r="P289" s="16" t="s">
        <v>25</v>
      </c>
      <c r="Q289" s="16" t="s">
        <v>176</v>
      </c>
      <c r="R289" s="11" t="s">
        <v>177</v>
      </c>
      <c r="S289" s="15" t="s">
        <v>498</v>
      </c>
      <c r="T289" s="159"/>
      <c r="U289" s="159"/>
      <c r="V289" s="159" t="s">
        <v>195</v>
      </c>
      <c r="W289" s="19" t="s">
        <v>195</v>
      </c>
      <c r="X289" s="19"/>
      <c r="Y289" s="160">
        <v>962097751</v>
      </c>
      <c r="Z289" s="209"/>
      <c r="AA289" s="70"/>
      <c r="AB289" s="70"/>
      <c r="AC289" s="70"/>
      <c r="AD289" s="107"/>
      <c r="AE289" s="202"/>
      <c r="AF289" s="202"/>
      <c r="AG289" s="203"/>
      <c r="AH289" s="204"/>
      <c r="AI289" s="205"/>
      <c r="AJ289" s="207" t="s">
        <v>198</v>
      </c>
      <c r="AK289" s="72" t="s">
        <v>185</v>
      </c>
      <c r="AL289" s="72" t="s">
        <v>185</v>
      </c>
      <c r="AM289" s="72" t="s">
        <v>1229</v>
      </c>
      <c r="AN289" s="20">
        <v>182</v>
      </c>
      <c r="AO289" s="20">
        <v>0</v>
      </c>
      <c r="AP289" s="20">
        <v>0</v>
      </c>
      <c r="AQ289" s="20">
        <v>0</v>
      </c>
      <c r="AR289" s="20">
        <v>0</v>
      </c>
      <c r="AS289" s="20">
        <v>7</v>
      </c>
      <c r="AT289" s="20">
        <v>10</v>
      </c>
      <c r="AU289" s="300">
        <f t="shared" si="45"/>
        <v>199</v>
      </c>
      <c r="AV289" s="20">
        <v>190</v>
      </c>
      <c r="AW289" s="20">
        <v>0</v>
      </c>
      <c r="AX289" s="20">
        <v>0</v>
      </c>
      <c r="AY289" s="20">
        <v>0</v>
      </c>
      <c r="AZ289" s="20">
        <v>0</v>
      </c>
      <c r="BA289" s="20">
        <v>7</v>
      </c>
      <c r="BB289" s="20">
        <v>10</v>
      </c>
      <c r="BC289" s="300">
        <f t="shared" si="46"/>
        <v>207</v>
      </c>
      <c r="BD289" s="42">
        <f t="shared" si="47"/>
        <v>8</v>
      </c>
      <c r="BE289" s="42">
        <f t="shared" si="48"/>
        <v>0</v>
      </c>
      <c r="BF289" s="42">
        <f t="shared" si="49"/>
        <v>0</v>
      </c>
      <c r="BG289" s="42">
        <f t="shared" si="50"/>
        <v>0</v>
      </c>
      <c r="BH289" s="42">
        <f t="shared" si="51"/>
        <v>0</v>
      </c>
      <c r="BI289" s="42">
        <f t="shared" si="52"/>
        <v>0</v>
      </c>
      <c r="BJ289" s="42">
        <f t="shared" si="53"/>
        <v>0</v>
      </c>
      <c r="BK289" s="42">
        <f t="shared" si="54"/>
        <v>8</v>
      </c>
    </row>
    <row r="290" spans="1:63" ht="27" customHeight="1">
      <c r="A290" s="11">
        <f t="shared" si="55"/>
        <v>288</v>
      </c>
      <c r="B290" s="12"/>
      <c r="C290" s="8">
        <v>2451</v>
      </c>
      <c r="D290" s="103" t="s">
        <v>2118</v>
      </c>
      <c r="E290" s="201" t="s">
        <v>2119</v>
      </c>
      <c r="F290" s="90" t="s">
        <v>711</v>
      </c>
      <c r="G290" s="91" t="s">
        <v>2120</v>
      </c>
      <c r="H290" s="24" t="s">
        <v>2121</v>
      </c>
      <c r="I290" s="25" t="s">
        <v>2122</v>
      </c>
      <c r="J290" s="82" t="s">
        <v>173</v>
      </c>
      <c r="K290" s="26">
        <v>32725</v>
      </c>
      <c r="L290" s="66" t="s">
        <v>174</v>
      </c>
      <c r="M290" s="23">
        <v>43647</v>
      </c>
      <c r="N290" s="23">
        <v>43277</v>
      </c>
      <c r="O290" s="23" t="s">
        <v>32</v>
      </c>
      <c r="P290" s="16" t="s">
        <v>304</v>
      </c>
      <c r="Q290" s="16" t="s">
        <v>176</v>
      </c>
      <c r="R290" s="11" t="s">
        <v>177</v>
      </c>
      <c r="S290" s="15" t="s">
        <v>223</v>
      </c>
      <c r="T290" s="159"/>
      <c r="U290" s="159"/>
      <c r="V290" s="159" t="s">
        <v>195</v>
      </c>
      <c r="W290" s="19" t="s">
        <v>195</v>
      </c>
      <c r="X290" s="19">
        <v>8</v>
      </c>
      <c r="Y290" s="160"/>
      <c r="Z290" s="209"/>
      <c r="AA290" s="70"/>
      <c r="AB290" s="70"/>
      <c r="AC290" s="70"/>
      <c r="AD290" s="107"/>
      <c r="AE290" s="202"/>
      <c r="AF290" s="202"/>
      <c r="AG290" s="203"/>
      <c r="AH290" s="204"/>
      <c r="AI290" s="205"/>
      <c r="AJ290" s="207" t="s">
        <v>198</v>
      </c>
      <c r="AK290" s="72" t="s">
        <v>185</v>
      </c>
      <c r="AL290" s="72" t="s">
        <v>185</v>
      </c>
      <c r="AM290" s="72" t="s">
        <v>1229</v>
      </c>
      <c r="AN290" s="20">
        <v>182</v>
      </c>
      <c r="AO290" s="20">
        <v>0</v>
      </c>
      <c r="AP290" s="20">
        <v>0</v>
      </c>
      <c r="AQ290" s="20">
        <v>10</v>
      </c>
      <c r="AR290" s="20">
        <v>0</v>
      </c>
      <c r="AS290" s="20">
        <v>7</v>
      </c>
      <c r="AT290" s="20">
        <v>10</v>
      </c>
      <c r="AU290" s="300">
        <f t="shared" si="45"/>
        <v>209</v>
      </c>
      <c r="AV290" s="20">
        <v>190</v>
      </c>
      <c r="AW290" s="20">
        <v>0</v>
      </c>
      <c r="AX290" s="20">
        <v>0</v>
      </c>
      <c r="AY290" s="20">
        <v>10</v>
      </c>
      <c r="AZ290" s="20">
        <v>0</v>
      </c>
      <c r="BA290" s="20">
        <v>7</v>
      </c>
      <c r="BB290" s="20">
        <v>10</v>
      </c>
      <c r="BC290" s="300">
        <f t="shared" si="46"/>
        <v>217</v>
      </c>
      <c r="BD290" s="42">
        <f t="shared" si="47"/>
        <v>8</v>
      </c>
      <c r="BE290" s="42">
        <f t="shared" si="48"/>
        <v>0</v>
      </c>
      <c r="BF290" s="42">
        <f t="shared" si="49"/>
        <v>0</v>
      </c>
      <c r="BG290" s="42">
        <f t="shared" si="50"/>
        <v>0</v>
      </c>
      <c r="BH290" s="42">
        <f t="shared" si="51"/>
        <v>0</v>
      </c>
      <c r="BI290" s="42">
        <f t="shared" si="52"/>
        <v>0</v>
      </c>
      <c r="BJ290" s="42">
        <f t="shared" si="53"/>
        <v>0</v>
      </c>
      <c r="BK290" s="42">
        <f t="shared" si="54"/>
        <v>8</v>
      </c>
    </row>
    <row r="291" spans="1:63" ht="27" customHeight="1">
      <c r="A291" s="11">
        <f t="shared" si="55"/>
        <v>289</v>
      </c>
      <c r="B291" s="12"/>
      <c r="C291" s="8">
        <v>2469</v>
      </c>
      <c r="D291" s="103" t="s">
        <v>2123</v>
      </c>
      <c r="E291" s="201" t="s">
        <v>2124</v>
      </c>
      <c r="F291" s="90" t="s">
        <v>2125</v>
      </c>
      <c r="G291" s="91" t="s">
        <v>408</v>
      </c>
      <c r="H291" s="24" t="s">
        <v>2126</v>
      </c>
      <c r="I291" s="25" t="s">
        <v>2127</v>
      </c>
      <c r="J291" s="82" t="s">
        <v>173</v>
      </c>
      <c r="K291" s="26">
        <v>30170</v>
      </c>
      <c r="L291" s="66" t="s">
        <v>174</v>
      </c>
      <c r="M291" s="23">
        <v>43647</v>
      </c>
      <c r="N291" s="23">
        <v>43287</v>
      </c>
      <c r="O291" s="23" t="s">
        <v>32</v>
      </c>
      <c r="P291" s="16" t="s">
        <v>296</v>
      </c>
      <c r="Q291" s="16" t="s">
        <v>176</v>
      </c>
      <c r="R291" s="11" t="s">
        <v>177</v>
      </c>
      <c r="S291" s="11" t="s">
        <v>214</v>
      </c>
      <c r="T291" s="159"/>
      <c r="U291" s="159"/>
      <c r="V291" s="19" t="s">
        <v>195</v>
      </c>
      <c r="W291" s="19" t="s">
        <v>195</v>
      </c>
      <c r="X291" s="1">
        <v>6</v>
      </c>
      <c r="Y291" s="61" t="s">
        <v>2128</v>
      </c>
      <c r="Z291" s="70"/>
      <c r="AA291" s="70" t="s">
        <v>181</v>
      </c>
      <c r="AB291" s="70"/>
      <c r="AC291" s="107"/>
      <c r="AD291" s="202" t="s">
        <v>183</v>
      </c>
      <c r="AE291" s="202"/>
      <c r="AF291" s="203"/>
      <c r="AG291" s="204"/>
      <c r="AH291" s="205"/>
      <c r="AI291" s="205"/>
      <c r="AJ291" s="207" t="s">
        <v>198</v>
      </c>
      <c r="AK291" s="72" t="s">
        <v>185</v>
      </c>
      <c r="AL291" s="72" t="s">
        <v>185</v>
      </c>
      <c r="AM291" s="72" t="s">
        <v>1229</v>
      </c>
      <c r="AN291" s="20">
        <v>182</v>
      </c>
      <c r="AO291" s="20">
        <v>0</v>
      </c>
      <c r="AP291" s="20">
        <v>0</v>
      </c>
      <c r="AQ291" s="20">
        <v>0</v>
      </c>
      <c r="AR291" s="20">
        <v>0</v>
      </c>
      <c r="AS291" s="20">
        <v>7</v>
      </c>
      <c r="AT291" s="20">
        <v>10</v>
      </c>
      <c r="AU291" s="300">
        <f t="shared" si="45"/>
        <v>199</v>
      </c>
      <c r="AV291" s="20">
        <v>190</v>
      </c>
      <c r="AW291" s="20">
        <v>0</v>
      </c>
      <c r="AX291" s="20">
        <v>0</v>
      </c>
      <c r="AY291" s="20">
        <v>0</v>
      </c>
      <c r="AZ291" s="20">
        <v>0</v>
      </c>
      <c r="BA291" s="20">
        <v>7</v>
      </c>
      <c r="BB291" s="20">
        <v>10</v>
      </c>
      <c r="BC291" s="300">
        <f t="shared" si="46"/>
        <v>207</v>
      </c>
      <c r="BD291" s="42">
        <f t="shared" si="47"/>
        <v>8</v>
      </c>
      <c r="BE291" s="42">
        <f t="shared" si="48"/>
        <v>0</v>
      </c>
      <c r="BF291" s="42">
        <f t="shared" si="49"/>
        <v>0</v>
      </c>
      <c r="BG291" s="42">
        <f t="shared" si="50"/>
        <v>0</v>
      </c>
      <c r="BH291" s="42">
        <f t="shared" si="51"/>
        <v>0</v>
      </c>
      <c r="BI291" s="42">
        <f t="shared" si="52"/>
        <v>0</v>
      </c>
      <c r="BJ291" s="42">
        <f t="shared" si="53"/>
        <v>0</v>
      </c>
      <c r="BK291" s="42">
        <f t="shared" si="54"/>
        <v>8</v>
      </c>
    </row>
    <row r="292" spans="1:63" ht="27" customHeight="1">
      <c r="A292" s="11">
        <f t="shared" si="55"/>
        <v>290</v>
      </c>
      <c r="B292" s="12"/>
      <c r="C292" s="8">
        <v>2478</v>
      </c>
      <c r="D292" s="103" t="s">
        <v>2129</v>
      </c>
      <c r="E292" s="201" t="s">
        <v>2130</v>
      </c>
      <c r="F292" s="90" t="s">
        <v>1758</v>
      </c>
      <c r="G292" s="91" t="s">
        <v>1293</v>
      </c>
      <c r="H292" s="24" t="s">
        <v>2131</v>
      </c>
      <c r="I292" s="25" t="s">
        <v>2132</v>
      </c>
      <c r="J292" s="82" t="s">
        <v>173</v>
      </c>
      <c r="K292" s="26">
        <v>29373</v>
      </c>
      <c r="L292" s="66" t="s">
        <v>174</v>
      </c>
      <c r="M292" s="23">
        <v>43678</v>
      </c>
      <c r="N292" s="23">
        <v>43299</v>
      </c>
      <c r="O292" s="23" t="s">
        <v>32</v>
      </c>
      <c r="P292" s="16" t="s">
        <v>381</v>
      </c>
      <c r="Q292" s="16" t="s">
        <v>176</v>
      </c>
      <c r="R292" s="11" t="s">
        <v>177</v>
      </c>
      <c r="S292" s="17" t="s">
        <v>251</v>
      </c>
      <c r="T292" s="159"/>
      <c r="U292" s="159"/>
      <c r="V292" s="19" t="s">
        <v>195</v>
      </c>
      <c r="W292" s="19" t="s">
        <v>195</v>
      </c>
      <c r="X292" s="1">
        <v>5</v>
      </c>
      <c r="Y292" s="61" t="s">
        <v>2133</v>
      </c>
      <c r="Z292" s="70"/>
      <c r="AA292" s="70" t="s">
        <v>181</v>
      </c>
      <c r="AB292" s="70"/>
      <c r="AC292" s="107"/>
      <c r="AD292" s="202" t="s">
        <v>184</v>
      </c>
      <c r="AE292" s="202"/>
      <c r="AF292" s="203"/>
      <c r="AG292" s="204"/>
      <c r="AH292" s="205"/>
      <c r="AI292" s="205"/>
      <c r="AJ292" s="207" t="s">
        <v>198</v>
      </c>
      <c r="AK292" s="72" t="s">
        <v>185</v>
      </c>
      <c r="AL292" s="72" t="s">
        <v>185</v>
      </c>
      <c r="AM292" s="72" t="s">
        <v>1509</v>
      </c>
      <c r="AN292" s="20">
        <v>182</v>
      </c>
      <c r="AO292" s="20">
        <v>0</v>
      </c>
      <c r="AP292" s="20">
        <v>0</v>
      </c>
      <c r="AQ292" s="20">
        <v>0</v>
      </c>
      <c r="AR292" s="20">
        <v>0</v>
      </c>
      <c r="AS292" s="20">
        <v>7</v>
      </c>
      <c r="AT292" s="20">
        <v>10</v>
      </c>
      <c r="AU292" s="300">
        <f t="shared" si="45"/>
        <v>199</v>
      </c>
      <c r="AV292" s="20">
        <v>190</v>
      </c>
      <c r="AW292" s="20">
        <v>0</v>
      </c>
      <c r="AX292" s="20">
        <v>0</v>
      </c>
      <c r="AY292" s="20">
        <v>0</v>
      </c>
      <c r="AZ292" s="20">
        <v>0</v>
      </c>
      <c r="BA292" s="20">
        <v>7</v>
      </c>
      <c r="BB292" s="20">
        <v>10</v>
      </c>
      <c r="BC292" s="300">
        <f t="shared" si="46"/>
        <v>207</v>
      </c>
      <c r="BD292" s="42">
        <f t="shared" si="47"/>
        <v>8</v>
      </c>
      <c r="BE292" s="42">
        <f t="shared" si="48"/>
        <v>0</v>
      </c>
      <c r="BF292" s="42">
        <f t="shared" si="49"/>
        <v>0</v>
      </c>
      <c r="BG292" s="42">
        <f t="shared" si="50"/>
        <v>0</v>
      </c>
      <c r="BH292" s="42">
        <f t="shared" si="51"/>
        <v>0</v>
      </c>
      <c r="BI292" s="42">
        <f t="shared" si="52"/>
        <v>0</v>
      </c>
      <c r="BJ292" s="42">
        <f t="shared" si="53"/>
        <v>0</v>
      </c>
      <c r="BK292" s="42">
        <f t="shared" si="54"/>
        <v>8</v>
      </c>
    </row>
    <row r="293" spans="1:63" ht="27" customHeight="1">
      <c r="A293" s="11">
        <f t="shared" si="55"/>
        <v>291</v>
      </c>
      <c r="B293" s="12"/>
      <c r="C293" s="8">
        <v>2480</v>
      </c>
      <c r="D293" s="103" t="s">
        <v>2134</v>
      </c>
      <c r="E293" s="201" t="s">
        <v>2135</v>
      </c>
      <c r="F293" s="90" t="s">
        <v>2136</v>
      </c>
      <c r="G293" s="91" t="s">
        <v>2137</v>
      </c>
      <c r="H293" s="24" t="s">
        <v>2138</v>
      </c>
      <c r="I293" s="25" t="s">
        <v>2139</v>
      </c>
      <c r="J293" s="82" t="s">
        <v>173</v>
      </c>
      <c r="K293" s="26">
        <v>35888</v>
      </c>
      <c r="L293" s="66" t="s">
        <v>174</v>
      </c>
      <c r="M293" s="23">
        <v>43678</v>
      </c>
      <c r="N293" s="23">
        <v>43299</v>
      </c>
      <c r="O293" s="23" t="s">
        <v>24</v>
      </c>
      <c r="P293" s="16" t="s">
        <v>25</v>
      </c>
      <c r="Q293" s="16" t="s">
        <v>176</v>
      </c>
      <c r="R293" s="11" t="s">
        <v>177</v>
      </c>
      <c r="S293" s="17" t="s">
        <v>251</v>
      </c>
      <c r="T293" s="159"/>
      <c r="U293" s="159"/>
      <c r="V293" s="19" t="s">
        <v>195</v>
      </c>
      <c r="W293" s="19" t="s">
        <v>195</v>
      </c>
      <c r="X293" s="1">
        <v>8</v>
      </c>
      <c r="Y293" s="61" t="s">
        <v>2140</v>
      </c>
      <c r="Z293" s="70"/>
      <c r="AA293" s="70" t="s">
        <v>181</v>
      </c>
      <c r="AB293" s="70"/>
      <c r="AC293" s="107"/>
      <c r="AD293" s="202"/>
      <c r="AE293" s="202"/>
      <c r="AF293" s="203"/>
      <c r="AG293" s="204"/>
      <c r="AH293" s="205"/>
      <c r="AI293" s="205"/>
      <c r="AJ293" s="207" t="s">
        <v>198</v>
      </c>
      <c r="AK293" s="72" t="s">
        <v>185</v>
      </c>
      <c r="AL293" s="72" t="s">
        <v>185</v>
      </c>
      <c r="AM293" s="72" t="s">
        <v>1534</v>
      </c>
      <c r="AN293" s="20">
        <v>182</v>
      </c>
      <c r="AO293" s="20">
        <v>0</v>
      </c>
      <c r="AP293" s="20">
        <v>0</v>
      </c>
      <c r="AQ293" s="20">
        <v>0</v>
      </c>
      <c r="AR293" s="20">
        <v>0</v>
      </c>
      <c r="AS293" s="20">
        <v>7</v>
      </c>
      <c r="AT293" s="20">
        <v>10</v>
      </c>
      <c r="AU293" s="300">
        <f t="shared" si="45"/>
        <v>199</v>
      </c>
      <c r="AV293" s="20">
        <v>190</v>
      </c>
      <c r="AW293" s="20">
        <v>0</v>
      </c>
      <c r="AX293" s="20">
        <v>0</v>
      </c>
      <c r="AY293" s="20">
        <v>0</v>
      </c>
      <c r="AZ293" s="20">
        <v>0</v>
      </c>
      <c r="BA293" s="20">
        <v>7</v>
      </c>
      <c r="BB293" s="20">
        <v>10</v>
      </c>
      <c r="BC293" s="300">
        <f t="shared" si="46"/>
        <v>207</v>
      </c>
      <c r="BD293" s="42">
        <f t="shared" si="47"/>
        <v>8</v>
      </c>
      <c r="BE293" s="42">
        <f t="shared" si="48"/>
        <v>0</v>
      </c>
      <c r="BF293" s="42">
        <f t="shared" si="49"/>
        <v>0</v>
      </c>
      <c r="BG293" s="42">
        <f t="shared" si="50"/>
        <v>0</v>
      </c>
      <c r="BH293" s="42">
        <f t="shared" si="51"/>
        <v>0</v>
      </c>
      <c r="BI293" s="42">
        <f t="shared" si="52"/>
        <v>0</v>
      </c>
      <c r="BJ293" s="42">
        <f t="shared" si="53"/>
        <v>0</v>
      </c>
      <c r="BK293" s="42">
        <f t="shared" si="54"/>
        <v>8</v>
      </c>
    </row>
    <row r="294" spans="1:63" ht="27" customHeight="1">
      <c r="A294" s="11">
        <f t="shared" si="55"/>
        <v>292</v>
      </c>
      <c r="B294" s="8"/>
      <c r="C294" s="8">
        <v>2481</v>
      </c>
      <c r="D294" s="195" t="s">
        <v>2141</v>
      </c>
      <c r="E294" s="197" t="s">
        <v>2142</v>
      </c>
      <c r="F294" s="62" t="s">
        <v>415</v>
      </c>
      <c r="G294" s="63" t="s">
        <v>408</v>
      </c>
      <c r="H294" s="13" t="s">
        <v>417</v>
      </c>
      <c r="I294" s="14" t="s">
        <v>2127</v>
      </c>
      <c r="J294" s="64" t="s">
        <v>173</v>
      </c>
      <c r="K294" s="22">
        <v>32154</v>
      </c>
      <c r="L294" s="77" t="s">
        <v>174</v>
      </c>
      <c r="M294" s="23">
        <v>43678</v>
      </c>
      <c r="N294" s="154">
        <v>43314</v>
      </c>
      <c r="O294" s="154" t="s">
        <v>32</v>
      </c>
      <c r="P294" s="16" t="s">
        <v>381</v>
      </c>
      <c r="Q294" s="16" t="s">
        <v>176</v>
      </c>
      <c r="R294" s="16" t="s">
        <v>177</v>
      </c>
      <c r="S294" s="17" t="s">
        <v>251</v>
      </c>
      <c r="T294" s="18"/>
      <c r="U294" s="18"/>
      <c r="V294" s="68" t="s">
        <v>195</v>
      </c>
      <c r="W294" s="68" t="s">
        <v>195</v>
      </c>
      <c r="X294" s="68">
        <v>9</v>
      </c>
      <c r="Y294" s="69" t="s">
        <v>2143</v>
      </c>
      <c r="Z294" s="78" t="s">
        <v>181</v>
      </c>
      <c r="AA294" s="78"/>
      <c r="AB294" s="78"/>
      <c r="AC294" s="169"/>
      <c r="AD294" s="210" t="s">
        <v>184</v>
      </c>
      <c r="AE294" s="210"/>
      <c r="AF294" s="211"/>
      <c r="AG294" s="212"/>
      <c r="AH294" s="213"/>
      <c r="AI294" s="213"/>
      <c r="AJ294" s="81" t="s">
        <v>198</v>
      </c>
      <c r="AK294" s="81" t="s">
        <v>185</v>
      </c>
      <c r="AL294" s="81" t="s">
        <v>185</v>
      </c>
      <c r="AM294" s="81" t="s">
        <v>1229</v>
      </c>
      <c r="AN294" s="20">
        <v>182</v>
      </c>
      <c r="AO294" s="20">
        <v>0</v>
      </c>
      <c r="AP294" s="20">
        <v>0</v>
      </c>
      <c r="AQ294" s="20">
        <v>0</v>
      </c>
      <c r="AR294" s="20">
        <v>0</v>
      </c>
      <c r="AS294" s="20">
        <v>7</v>
      </c>
      <c r="AT294" s="20">
        <v>10</v>
      </c>
      <c r="AU294" s="300">
        <f t="shared" si="45"/>
        <v>199</v>
      </c>
      <c r="AV294" s="20">
        <v>190</v>
      </c>
      <c r="AW294" s="20">
        <v>0</v>
      </c>
      <c r="AX294" s="20">
        <v>0</v>
      </c>
      <c r="AY294" s="20">
        <v>0</v>
      </c>
      <c r="AZ294" s="20">
        <v>0</v>
      </c>
      <c r="BA294" s="20">
        <v>7</v>
      </c>
      <c r="BB294" s="20">
        <v>10</v>
      </c>
      <c r="BC294" s="300">
        <f t="shared" si="46"/>
        <v>207</v>
      </c>
      <c r="BD294" s="42">
        <f t="shared" si="47"/>
        <v>8</v>
      </c>
      <c r="BE294" s="42">
        <f t="shared" si="48"/>
        <v>0</v>
      </c>
      <c r="BF294" s="42">
        <f t="shared" si="49"/>
        <v>0</v>
      </c>
      <c r="BG294" s="42">
        <f t="shared" si="50"/>
        <v>0</v>
      </c>
      <c r="BH294" s="42">
        <f t="shared" si="51"/>
        <v>0</v>
      </c>
      <c r="BI294" s="42">
        <f t="shared" si="52"/>
        <v>0</v>
      </c>
      <c r="BJ294" s="42">
        <f t="shared" si="53"/>
        <v>0</v>
      </c>
      <c r="BK294" s="42">
        <f t="shared" si="54"/>
        <v>8</v>
      </c>
    </row>
    <row r="295" spans="1:63" ht="27" customHeight="1">
      <c r="A295" s="11">
        <f t="shared" si="55"/>
        <v>293</v>
      </c>
      <c r="B295" s="12"/>
      <c r="C295" s="8">
        <v>2482</v>
      </c>
      <c r="D295" s="103" t="s">
        <v>2144</v>
      </c>
      <c r="E295" s="201" t="s">
        <v>2145</v>
      </c>
      <c r="F295" s="90" t="s">
        <v>2146</v>
      </c>
      <c r="G295" s="91" t="s">
        <v>2147</v>
      </c>
      <c r="H295" s="24" t="s">
        <v>2148</v>
      </c>
      <c r="I295" s="25" t="s">
        <v>2149</v>
      </c>
      <c r="J295" s="64" t="s">
        <v>173</v>
      </c>
      <c r="K295" s="26">
        <v>34460</v>
      </c>
      <c r="L295" s="77" t="s">
        <v>174</v>
      </c>
      <c r="M295" s="23">
        <v>43678</v>
      </c>
      <c r="N295" s="23">
        <v>43314</v>
      </c>
      <c r="O295" s="154" t="s">
        <v>32</v>
      </c>
      <c r="P295" s="16" t="s">
        <v>287</v>
      </c>
      <c r="Q295" s="16" t="s">
        <v>176</v>
      </c>
      <c r="R295" s="16" t="s">
        <v>177</v>
      </c>
      <c r="S295" s="16" t="s">
        <v>223</v>
      </c>
      <c r="T295" s="159"/>
      <c r="U295" s="159"/>
      <c r="V295" s="68" t="s">
        <v>195</v>
      </c>
      <c r="W295" s="68" t="s">
        <v>195</v>
      </c>
      <c r="X295" s="1">
        <v>12</v>
      </c>
      <c r="Y295" s="61" t="s">
        <v>2150</v>
      </c>
      <c r="Z295" s="21"/>
      <c r="AA295" s="78" t="s">
        <v>181</v>
      </c>
      <c r="AB295" s="70"/>
      <c r="AC295" s="107"/>
      <c r="AD295" s="202"/>
      <c r="AE295" s="202"/>
      <c r="AF295" s="203"/>
      <c r="AG295" s="204"/>
      <c r="AH295" s="205"/>
      <c r="AI295" s="205"/>
      <c r="AJ295" s="81" t="s">
        <v>198</v>
      </c>
      <c r="AK295" s="81" t="s">
        <v>185</v>
      </c>
      <c r="AL295" s="81" t="s">
        <v>185</v>
      </c>
      <c r="AM295" s="81" t="s">
        <v>1229</v>
      </c>
      <c r="AN295" s="20">
        <v>182</v>
      </c>
      <c r="AO295" s="20">
        <v>0</v>
      </c>
      <c r="AP295" s="20">
        <v>20</v>
      </c>
      <c r="AQ295" s="20">
        <v>0</v>
      </c>
      <c r="AR295" s="20">
        <v>0</v>
      </c>
      <c r="AS295" s="20">
        <v>7</v>
      </c>
      <c r="AT295" s="20">
        <v>10</v>
      </c>
      <c r="AU295" s="300">
        <f t="shared" si="45"/>
        <v>219</v>
      </c>
      <c r="AV295" s="20">
        <v>190</v>
      </c>
      <c r="AW295" s="20">
        <v>0</v>
      </c>
      <c r="AX295" s="20">
        <v>20</v>
      </c>
      <c r="AY295" s="20">
        <v>0</v>
      </c>
      <c r="AZ295" s="20">
        <v>0</v>
      </c>
      <c r="BA295" s="20">
        <v>7</v>
      </c>
      <c r="BB295" s="20">
        <v>10</v>
      </c>
      <c r="BC295" s="300">
        <f t="shared" si="46"/>
        <v>227</v>
      </c>
      <c r="BD295" s="42">
        <f t="shared" si="47"/>
        <v>8</v>
      </c>
      <c r="BE295" s="42">
        <f t="shared" si="48"/>
        <v>0</v>
      </c>
      <c r="BF295" s="42">
        <f t="shared" si="49"/>
        <v>0</v>
      </c>
      <c r="BG295" s="42">
        <f t="shared" si="50"/>
        <v>0</v>
      </c>
      <c r="BH295" s="42">
        <f t="shared" si="51"/>
        <v>0</v>
      </c>
      <c r="BI295" s="42">
        <f t="shared" si="52"/>
        <v>0</v>
      </c>
      <c r="BJ295" s="42">
        <f t="shared" si="53"/>
        <v>0</v>
      </c>
      <c r="BK295" s="42">
        <f t="shared" si="54"/>
        <v>8</v>
      </c>
    </row>
    <row r="296" spans="1:63" ht="27" customHeight="1">
      <c r="A296" s="11">
        <f t="shared" si="55"/>
        <v>294</v>
      </c>
      <c r="B296" s="12"/>
      <c r="C296" s="8">
        <v>2491</v>
      </c>
      <c r="D296" s="103" t="s">
        <v>2151</v>
      </c>
      <c r="E296" s="201" t="s">
        <v>2152</v>
      </c>
      <c r="F296" s="90" t="s">
        <v>1157</v>
      </c>
      <c r="G296" s="91" t="s">
        <v>2153</v>
      </c>
      <c r="H296" s="24" t="s">
        <v>53</v>
      </c>
      <c r="I296" s="25" t="s">
        <v>2154</v>
      </c>
      <c r="J296" s="82" t="s">
        <v>173</v>
      </c>
      <c r="K296" s="26">
        <v>30272</v>
      </c>
      <c r="L296" s="77" t="s">
        <v>174</v>
      </c>
      <c r="M296" s="23">
        <v>43678</v>
      </c>
      <c r="N296" s="23">
        <v>43318</v>
      </c>
      <c r="O296" s="154" t="s">
        <v>32</v>
      </c>
      <c r="P296" s="16" t="s">
        <v>25</v>
      </c>
      <c r="Q296" s="16" t="s">
        <v>176</v>
      </c>
      <c r="R296" s="16" t="s">
        <v>177</v>
      </c>
      <c r="S296" s="16" t="s">
        <v>223</v>
      </c>
      <c r="T296" s="159"/>
      <c r="U296" s="159"/>
      <c r="V296" s="68" t="s">
        <v>195</v>
      </c>
      <c r="W296" s="68" t="s">
        <v>195</v>
      </c>
      <c r="X296" s="1">
        <v>10</v>
      </c>
      <c r="Y296" s="61" t="s">
        <v>2155</v>
      </c>
      <c r="Z296" s="70"/>
      <c r="AA296" s="78" t="s">
        <v>181</v>
      </c>
      <c r="AB296" s="70"/>
      <c r="AC296" s="107"/>
      <c r="AD296" s="210" t="s">
        <v>184</v>
      </c>
      <c r="AE296" s="210" t="s">
        <v>184</v>
      </c>
      <c r="AF296" s="203"/>
      <c r="AG296" s="204"/>
      <c r="AH296" s="205"/>
      <c r="AI296" s="205"/>
      <c r="AJ296" s="81" t="s">
        <v>198</v>
      </c>
      <c r="AK296" s="81" t="s">
        <v>185</v>
      </c>
      <c r="AL296" s="81" t="s">
        <v>185</v>
      </c>
      <c r="AM296" s="81" t="s">
        <v>1229</v>
      </c>
      <c r="AN296" s="20">
        <v>182</v>
      </c>
      <c r="AO296" s="20">
        <v>0</v>
      </c>
      <c r="AP296" s="20">
        <v>0</v>
      </c>
      <c r="AQ296" s="20">
        <v>0</v>
      </c>
      <c r="AR296" s="20">
        <v>0</v>
      </c>
      <c r="AS296" s="20">
        <v>7</v>
      </c>
      <c r="AT296" s="20">
        <v>10</v>
      </c>
      <c r="AU296" s="300">
        <f t="shared" si="45"/>
        <v>199</v>
      </c>
      <c r="AV296" s="20">
        <v>190</v>
      </c>
      <c r="AW296" s="20">
        <v>0</v>
      </c>
      <c r="AX296" s="20">
        <v>0</v>
      </c>
      <c r="AY296" s="20">
        <v>0</v>
      </c>
      <c r="AZ296" s="20">
        <v>0</v>
      </c>
      <c r="BA296" s="20">
        <v>7</v>
      </c>
      <c r="BB296" s="20">
        <v>10</v>
      </c>
      <c r="BC296" s="300">
        <f t="shared" si="46"/>
        <v>207</v>
      </c>
      <c r="BD296" s="42">
        <f t="shared" si="47"/>
        <v>8</v>
      </c>
      <c r="BE296" s="42">
        <f t="shared" si="48"/>
        <v>0</v>
      </c>
      <c r="BF296" s="42">
        <f t="shared" si="49"/>
        <v>0</v>
      </c>
      <c r="BG296" s="42">
        <f t="shared" si="50"/>
        <v>0</v>
      </c>
      <c r="BH296" s="42">
        <f t="shared" si="51"/>
        <v>0</v>
      </c>
      <c r="BI296" s="42">
        <f t="shared" si="52"/>
        <v>0</v>
      </c>
      <c r="BJ296" s="42">
        <f t="shared" si="53"/>
        <v>0</v>
      </c>
      <c r="BK296" s="42">
        <f t="shared" si="54"/>
        <v>8</v>
      </c>
    </row>
    <row r="297" spans="1:63" ht="27" customHeight="1">
      <c r="A297" s="11">
        <f t="shared" si="55"/>
        <v>295</v>
      </c>
      <c r="B297" s="12"/>
      <c r="C297" s="8">
        <v>2494</v>
      </c>
      <c r="D297" s="103" t="s">
        <v>2156</v>
      </c>
      <c r="E297" s="201" t="s">
        <v>2157</v>
      </c>
      <c r="F297" s="90" t="s">
        <v>2158</v>
      </c>
      <c r="G297" s="91" t="s">
        <v>2159</v>
      </c>
      <c r="H297" s="24" t="s">
        <v>2160</v>
      </c>
      <c r="I297" s="25" t="s">
        <v>2161</v>
      </c>
      <c r="J297" s="82" t="s">
        <v>173</v>
      </c>
      <c r="K297" s="26">
        <v>31052</v>
      </c>
      <c r="L297" s="77" t="s">
        <v>174</v>
      </c>
      <c r="M297" s="23">
        <v>43678</v>
      </c>
      <c r="N297" s="23">
        <v>43319</v>
      </c>
      <c r="O297" s="154" t="s">
        <v>32</v>
      </c>
      <c r="P297" s="16" t="s">
        <v>1080</v>
      </c>
      <c r="Q297" s="16" t="s">
        <v>176</v>
      </c>
      <c r="R297" s="16" t="s">
        <v>177</v>
      </c>
      <c r="S297" s="11" t="s">
        <v>836</v>
      </c>
      <c r="T297" s="159"/>
      <c r="U297" s="159"/>
      <c r="V297" s="68" t="s">
        <v>195</v>
      </c>
      <c r="W297" s="68" t="s">
        <v>195</v>
      </c>
      <c r="X297" s="1">
        <v>2</v>
      </c>
      <c r="Y297" s="61" t="s">
        <v>2157</v>
      </c>
      <c r="Z297" s="70"/>
      <c r="AA297" s="78" t="s">
        <v>181</v>
      </c>
      <c r="AB297" s="70"/>
      <c r="AC297" s="107"/>
      <c r="AD297" s="210" t="s">
        <v>184</v>
      </c>
      <c r="AE297" s="202"/>
      <c r="AF297" s="203"/>
      <c r="AG297" s="204"/>
      <c r="AH297" s="205"/>
      <c r="AI297" s="205"/>
      <c r="AJ297" s="81" t="s">
        <v>198</v>
      </c>
      <c r="AK297" s="81" t="s">
        <v>185</v>
      </c>
      <c r="AL297" s="81" t="s">
        <v>185</v>
      </c>
      <c r="AM297" s="81" t="s">
        <v>1525</v>
      </c>
      <c r="AN297" s="20">
        <v>182</v>
      </c>
      <c r="AO297" s="20">
        <v>0</v>
      </c>
      <c r="AP297" s="20">
        <v>0</v>
      </c>
      <c r="AQ297" s="20">
        <v>0</v>
      </c>
      <c r="AR297" s="20">
        <v>0</v>
      </c>
      <c r="AS297" s="20">
        <v>7</v>
      </c>
      <c r="AT297" s="20">
        <v>10</v>
      </c>
      <c r="AU297" s="300">
        <f t="shared" si="45"/>
        <v>199</v>
      </c>
      <c r="AV297" s="20">
        <v>190</v>
      </c>
      <c r="AW297" s="20">
        <v>0</v>
      </c>
      <c r="AX297" s="20">
        <v>0</v>
      </c>
      <c r="AY297" s="20">
        <v>0</v>
      </c>
      <c r="AZ297" s="20">
        <v>0</v>
      </c>
      <c r="BA297" s="20">
        <v>7</v>
      </c>
      <c r="BB297" s="20">
        <v>10</v>
      </c>
      <c r="BC297" s="300">
        <f t="shared" si="46"/>
        <v>207</v>
      </c>
      <c r="BD297" s="42">
        <f t="shared" si="47"/>
        <v>8</v>
      </c>
      <c r="BE297" s="42">
        <f t="shared" si="48"/>
        <v>0</v>
      </c>
      <c r="BF297" s="42">
        <f t="shared" si="49"/>
        <v>0</v>
      </c>
      <c r="BG297" s="42">
        <f t="shared" si="50"/>
        <v>0</v>
      </c>
      <c r="BH297" s="42">
        <f t="shared" si="51"/>
        <v>0</v>
      </c>
      <c r="BI297" s="42">
        <f t="shared" si="52"/>
        <v>0</v>
      </c>
      <c r="BJ297" s="42">
        <f t="shared" si="53"/>
        <v>0</v>
      </c>
      <c r="BK297" s="42">
        <f t="shared" si="54"/>
        <v>8</v>
      </c>
    </row>
    <row r="298" spans="1:63" ht="27" customHeight="1">
      <c r="A298" s="11">
        <f t="shared" si="55"/>
        <v>296</v>
      </c>
      <c r="B298" s="12"/>
      <c r="C298" s="8">
        <v>2519</v>
      </c>
      <c r="D298" s="103" t="s">
        <v>2162</v>
      </c>
      <c r="E298" s="201" t="s">
        <v>2163</v>
      </c>
      <c r="F298" s="90" t="s">
        <v>802</v>
      </c>
      <c r="G298" s="91" t="s">
        <v>2164</v>
      </c>
      <c r="H298" s="24" t="s">
        <v>2165</v>
      </c>
      <c r="I298" s="25" t="s">
        <v>2166</v>
      </c>
      <c r="J298" s="82" t="s">
        <v>173</v>
      </c>
      <c r="K298" s="26">
        <v>29389</v>
      </c>
      <c r="L298" s="66" t="s">
        <v>174</v>
      </c>
      <c r="M298" s="23">
        <v>43709</v>
      </c>
      <c r="N298" s="154">
        <v>43333</v>
      </c>
      <c r="O298" s="154" t="s">
        <v>32</v>
      </c>
      <c r="P298" s="16" t="s">
        <v>381</v>
      </c>
      <c r="Q298" s="16" t="s">
        <v>176</v>
      </c>
      <c r="R298" s="16" t="s">
        <v>177</v>
      </c>
      <c r="S298" s="11" t="s">
        <v>223</v>
      </c>
      <c r="T298" s="159"/>
      <c r="U298" s="159"/>
      <c r="V298" s="68" t="s">
        <v>195</v>
      </c>
      <c r="W298" s="68" t="s">
        <v>195</v>
      </c>
      <c r="X298" s="1"/>
      <c r="Y298" s="61" t="s">
        <v>2167</v>
      </c>
      <c r="Z298" s="70"/>
      <c r="AA298" s="78" t="s">
        <v>181</v>
      </c>
      <c r="AB298" s="70"/>
      <c r="AC298" s="107"/>
      <c r="AD298" s="202" t="s">
        <v>183</v>
      </c>
      <c r="AE298" s="202" t="s">
        <v>183</v>
      </c>
      <c r="AF298" s="202" t="s">
        <v>183</v>
      </c>
      <c r="AG298" s="204"/>
      <c r="AH298" s="205"/>
      <c r="AI298" s="205"/>
      <c r="AJ298" s="81" t="s">
        <v>198</v>
      </c>
      <c r="AK298" s="81" t="s">
        <v>185</v>
      </c>
      <c r="AL298" s="81" t="s">
        <v>185</v>
      </c>
      <c r="AM298" s="81" t="s">
        <v>1229</v>
      </c>
      <c r="AN298" s="20">
        <v>182</v>
      </c>
      <c r="AO298" s="20">
        <v>0</v>
      </c>
      <c r="AP298" s="20">
        <v>0</v>
      </c>
      <c r="AQ298" s="20">
        <v>0</v>
      </c>
      <c r="AR298" s="20">
        <v>0</v>
      </c>
      <c r="AS298" s="20">
        <v>7</v>
      </c>
      <c r="AT298" s="20">
        <v>10</v>
      </c>
      <c r="AU298" s="300">
        <f t="shared" si="45"/>
        <v>199</v>
      </c>
      <c r="AV298" s="20">
        <v>190</v>
      </c>
      <c r="AW298" s="20">
        <v>0</v>
      </c>
      <c r="AX298" s="20">
        <v>0</v>
      </c>
      <c r="AY298" s="20">
        <v>0</v>
      </c>
      <c r="AZ298" s="20">
        <v>0</v>
      </c>
      <c r="BA298" s="20">
        <v>7</v>
      </c>
      <c r="BB298" s="20">
        <v>10</v>
      </c>
      <c r="BC298" s="300">
        <f t="shared" si="46"/>
        <v>207</v>
      </c>
      <c r="BD298" s="42">
        <f t="shared" si="47"/>
        <v>8</v>
      </c>
      <c r="BE298" s="42">
        <f t="shared" si="48"/>
        <v>0</v>
      </c>
      <c r="BF298" s="42">
        <f t="shared" si="49"/>
        <v>0</v>
      </c>
      <c r="BG298" s="42">
        <f t="shared" si="50"/>
        <v>0</v>
      </c>
      <c r="BH298" s="42">
        <f t="shared" si="51"/>
        <v>0</v>
      </c>
      <c r="BI298" s="42">
        <f t="shared" si="52"/>
        <v>0</v>
      </c>
      <c r="BJ298" s="42">
        <f t="shared" si="53"/>
        <v>0</v>
      </c>
      <c r="BK298" s="42">
        <f t="shared" si="54"/>
        <v>8</v>
      </c>
    </row>
    <row r="299" spans="1:63" ht="27" customHeight="1">
      <c r="A299" s="11">
        <f t="shared" si="55"/>
        <v>297</v>
      </c>
      <c r="B299" s="12"/>
      <c r="C299" s="8">
        <v>2522</v>
      </c>
      <c r="D299" s="103" t="s">
        <v>2168</v>
      </c>
      <c r="E299" s="201" t="s">
        <v>2169</v>
      </c>
      <c r="F299" s="90" t="s">
        <v>2170</v>
      </c>
      <c r="G299" s="91" t="s">
        <v>2171</v>
      </c>
      <c r="H299" s="24" t="s">
        <v>2172</v>
      </c>
      <c r="I299" s="25" t="s">
        <v>2173</v>
      </c>
      <c r="J299" s="82" t="s">
        <v>173</v>
      </c>
      <c r="K299" s="26">
        <v>34251</v>
      </c>
      <c r="L299" s="77" t="s">
        <v>174</v>
      </c>
      <c r="M299" s="23">
        <v>43709</v>
      </c>
      <c r="N299" s="154">
        <v>43344</v>
      </c>
      <c r="O299" s="154" t="s">
        <v>32</v>
      </c>
      <c r="P299" s="16" t="s">
        <v>25</v>
      </c>
      <c r="Q299" s="16" t="s">
        <v>176</v>
      </c>
      <c r="R299" s="16" t="s">
        <v>177</v>
      </c>
      <c r="S299" s="17" t="s">
        <v>251</v>
      </c>
      <c r="T299" s="159"/>
      <c r="U299" s="159"/>
      <c r="V299" s="68" t="s">
        <v>195</v>
      </c>
      <c r="W299" s="68" t="s">
        <v>195</v>
      </c>
      <c r="X299" s="1">
        <v>5</v>
      </c>
      <c r="Y299" s="61" t="s">
        <v>2174</v>
      </c>
      <c r="Z299" s="70"/>
      <c r="AA299" s="78" t="s">
        <v>181</v>
      </c>
      <c r="AB299" s="70"/>
      <c r="AC299" s="107"/>
      <c r="AD299" s="202"/>
      <c r="AE299" s="202"/>
      <c r="AF299" s="203"/>
      <c r="AG299" s="204"/>
      <c r="AH299" s="205"/>
      <c r="AI299" s="205"/>
      <c r="AJ299" s="81" t="s">
        <v>198</v>
      </c>
      <c r="AK299" s="81" t="s">
        <v>185</v>
      </c>
      <c r="AL299" s="81" t="s">
        <v>185</v>
      </c>
      <c r="AM299" s="81" t="s">
        <v>1229</v>
      </c>
      <c r="AN299" s="20">
        <v>182</v>
      </c>
      <c r="AO299" s="20">
        <v>0</v>
      </c>
      <c r="AP299" s="20">
        <v>0</v>
      </c>
      <c r="AQ299" s="20">
        <v>0</v>
      </c>
      <c r="AR299" s="20">
        <v>0</v>
      </c>
      <c r="AS299" s="20">
        <v>7</v>
      </c>
      <c r="AT299" s="20">
        <v>10</v>
      </c>
      <c r="AU299" s="300">
        <f t="shared" si="45"/>
        <v>199</v>
      </c>
      <c r="AV299" s="20">
        <v>190</v>
      </c>
      <c r="AW299" s="20">
        <v>0</v>
      </c>
      <c r="AX299" s="20">
        <v>0</v>
      </c>
      <c r="AY299" s="20">
        <v>0</v>
      </c>
      <c r="AZ299" s="20">
        <v>0</v>
      </c>
      <c r="BA299" s="20">
        <v>7</v>
      </c>
      <c r="BB299" s="20">
        <v>10</v>
      </c>
      <c r="BC299" s="300">
        <f t="shared" si="46"/>
        <v>207</v>
      </c>
      <c r="BD299" s="42">
        <f t="shared" si="47"/>
        <v>8</v>
      </c>
      <c r="BE299" s="42">
        <f t="shared" si="48"/>
        <v>0</v>
      </c>
      <c r="BF299" s="42">
        <f t="shared" si="49"/>
        <v>0</v>
      </c>
      <c r="BG299" s="42">
        <f t="shared" si="50"/>
        <v>0</v>
      </c>
      <c r="BH299" s="42">
        <f t="shared" si="51"/>
        <v>0</v>
      </c>
      <c r="BI299" s="42">
        <f t="shared" si="52"/>
        <v>0</v>
      </c>
      <c r="BJ299" s="42">
        <f t="shared" si="53"/>
        <v>0</v>
      </c>
      <c r="BK299" s="42">
        <f t="shared" si="54"/>
        <v>8</v>
      </c>
    </row>
    <row r="300" spans="1:63" ht="27" customHeight="1">
      <c r="A300" s="11">
        <f t="shared" si="55"/>
        <v>298</v>
      </c>
      <c r="B300" s="12"/>
      <c r="C300" s="8">
        <v>2524</v>
      </c>
      <c r="D300" s="103" t="s">
        <v>2175</v>
      </c>
      <c r="E300" s="201" t="s">
        <v>2176</v>
      </c>
      <c r="F300" s="90" t="s">
        <v>1471</v>
      </c>
      <c r="G300" s="91" t="s">
        <v>317</v>
      </c>
      <c r="H300" s="24" t="s">
        <v>2177</v>
      </c>
      <c r="I300" s="25" t="s">
        <v>319</v>
      </c>
      <c r="J300" s="82" t="s">
        <v>173</v>
      </c>
      <c r="K300" s="26">
        <v>29803</v>
      </c>
      <c r="L300" s="66" t="s">
        <v>174</v>
      </c>
      <c r="M300" s="23">
        <v>43709</v>
      </c>
      <c r="N300" s="154">
        <v>43348</v>
      </c>
      <c r="O300" s="154" t="s">
        <v>32</v>
      </c>
      <c r="P300" s="16" t="s">
        <v>334</v>
      </c>
      <c r="Q300" s="16" t="s">
        <v>176</v>
      </c>
      <c r="R300" s="16" t="s">
        <v>177</v>
      </c>
      <c r="S300" s="17" t="s">
        <v>206</v>
      </c>
      <c r="T300" s="159"/>
      <c r="U300" s="159"/>
      <c r="V300" s="68" t="s">
        <v>195</v>
      </c>
      <c r="W300" s="68" t="s">
        <v>195</v>
      </c>
      <c r="X300" s="1">
        <v>3</v>
      </c>
      <c r="Y300" s="61" t="s">
        <v>2178</v>
      </c>
      <c r="Z300" s="70"/>
      <c r="AA300" s="78" t="s">
        <v>181</v>
      </c>
      <c r="AB300" s="70"/>
      <c r="AC300" s="107"/>
      <c r="AD300" s="202" t="s">
        <v>183</v>
      </c>
      <c r="AE300" s="202" t="s">
        <v>183</v>
      </c>
      <c r="AF300" s="202" t="s">
        <v>184</v>
      </c>
      <c r="AG300" s="204"/>
      <c r="AH300" s="205"/>
      <c r="AI300" s="205"/>
      <c r="AJ300" s="81" t="s">
        <v>198</v>
      </c>
      <c r="AK300" s="81" t="s">
        <v>185</v>
      </c>
      <c r="AL300" s="81" t="s">
        <v>185</v>
      </c>
      <c r="AM300" s="81" t="s">
        <v>1204</v>
      </c>
      <c r="AN300" s="20">
        <v>182</v>
      </c>
      <c r="AO300" s="20">
        <v>0</v>
      </c>
      <c r="AP300" s="20">
        <v>0</v>
      </c>
      <c r="AQ300" s="20">
        <v>0</v>
      </c>
      <c r="AR300" s="20">
        <v>0</v>
      </c>
      <c r="AS300" s="20">
        <v>7</v>
      </c>
      <c r="AT300" s="20">
        <v>10</v>
      </c>
      <c r="AU300" s="300">
        <f t="shared" si="45"/>
        <v>199</v>
      </c>
      <c r="AV300" s="20">
        <v>190</v>
      </c>
      <c r="AW300" s="20">
        <v>0</v>
      </c>
      <c r="AX300" s="20">
        <v>0</v>
      </c>
      <c r="AY300" s="20">
        <v>0</v>
      </c>
      <c r="AZ300" s="20">
        <v>0</v>
      </c>
      <c r="BA300" s="20">
        <v>7</v>
      </c>
      <c r="BB300" s="20">
        <v>10</v>
      </c>
      <c r="BC300" s="300">
        <f t="shared" si="46"/>
        <v>207</v>
      </c>
      <c r="BD300" s="42">
        <f t="shared" si="47"/>
        <v>8</v>
      </c>
      <c r="BE300" s="42">
        <f t="shared" si="48"/>
        <v>0</v>
      </c>
      <c r="BF300" s="42">
        <f t="shared" si="49"/>
        <v>0</v>
      </c>
      <c r="BG300" s="42">
        <f t="shared" si="50"/>
        <v>0</v>
      </c>
      <c r="BH300" s="42">
        <f t="shared" si="51"/>
        <v>0</v>
      </c>
      <c r="BI300" s="42">
        <f t="shared" si="52"/>
        <v>0</v>
      </c>
      <c r="BJ300" s="42">
        <f t="shared" si="53"/>
        <v>0</v>
      </c>
      <c r="BK300" s="42">
        <f t="shared" si="54"/>
        <v>8</v>
      </c>
    </row>
    <row r="301" spans="1:63" ht="27" customHeight="1">
      <c r="A301" s="11">
        <f t="shared" si="55"/>
        <v>299</v>
      </c>
      <c r="B301" s="12"/>
      <c r="C301" s="8">
        <v>2536</v>
      </c>
      <c r="D301" s="103" t="s">
        <v>2179</v>
      </c>
      <c r="E301" s="201" t="s">
        <v>2180</v>
      </c>
      <c r="F301" s="90" t="s">
        <v>2181</v>
      </c>
      <c r="G301" s="91" t="s">
        <v>1966</v>
      </c>
      <c r="H301" s="24" t="s">
        <v>2182</v>
      </c>
      <c r="I301" s="25" t="s">
        <v>2183</v>
      </c>
      <c r="J301" s="82" t="s">
        <v>173</v>
      </c>
      <c r="K301" s="26">
        <v>35309</v>
      </c>
      <c r="L301" s="66" t="s">
        <v>174</v>
      </c>
      <c r="M301" s="154">
        <v>43770</v>
      </c>
      <c r="N301" s="23">
        <v>43389</v>
      </c>
      <c r="O301" s="154" t="s">
        <v>32</v>
      </c>
      <c r="P301" s="16" t="s">
        <v>296</v>
      </c>
      <c r="Q301" s="16" t="s">
        <v>176</v>
      </c>
      <c r="R301" s="16" t="s">
        <v>177</v>
      </c>
      <c r="S301" s="11" t="s">
        <v>214</v>
      </c>
      <c r="T301" s="159"/>
      <c r="U301" s="159"/>
      <c r="V301" s="68" t="s">
        <v>195</v>
      </c>
      <c r="W301" s="68" t="s">
        <v>195</v>
      </c>
      <c r="X301" s="1">
        <v>8</v>
      </c>
      <c r="Y301" s="61" t="s">
        <v>2184</v>
      </c>
      <c r="Z301" s="78"/>
      <c r="AA301" s="78" t="s">
        <v>181</v>
      </c>
      <c r="AB301" s="70"/>
      <c r="AC301" s="107"/>
      <c r="AD301" s="202"/>
      <c r="AE301" s="202"/>
      <c r="AF301" s="203"/>
      <c r="AG301" s="204"/>
      <c r="AH301" s="205"/>
      <c r="AI301" s="205"/>
      <c r="AJ301" s="81" t="s">
        <v>198</v>
      </c>
      <c r="AK301" s="81" t="s">
        <v>185</v>
      </c>
      <c r="AL301" s="81" t="s">
        <v>185</v>
      </c>
      <c r="AM301" s="81" t="s">
        <v>1541</v>
      </c>
      <c r="AN301" s="20">
        <v>182</v>
      </c>
      <c r="AO301" s="20">
        <v>0</v>
      </c>
      <c r="AP301" s="20">
        <v>0</v>
      </c>
      <c r="AQ301" s="20">
        <v>0</v>
      </c>
      <c r="AR301" s="20">
        <v>0</v>
      </c>
      <c r="AS301" s="20">
        <v>7</v>
      </c>
      <c r="AT301" s="20">
        <v>10</v>
      </c>
      <c r="AU301" s="300">
        <f t="shared" si="45"/>
        <v>199</v>
      </c>
      <c r="AV301" s="20">
        <v>190</v>
      </c>
      <c r="AW301" s="20">
        <v>0</v>
      </c>
      <c r="AX301" s="20">
        <v>0</v>
      </c>
      <c r="AY301" s="20">
        <v>0</v>
      </c>
      <c r="AZ301" s="20">
        <v>0</v>
      </c>
      <c r="BA301" s="20">
        <v>7</v>
      </c>
      <c r="BB301" s="20">
        <v>10</v>
      </c>
      <c r="BC301" s="300">
        <f t="shared" si="46"/>
        <v>207</v>
      </c>
      <c r="BD301" s="42">
        <f t="shared" si="47"/>
        <v>8</v>
      </c>
      <c r="BE301" s="42">
        <f t="shared" si="48"/>
        <v>0</v>
      </c>
      <c r="BF301" s="42">
        <f t="shared" si="49"/>
        <v>0</v>
      </c>
      <c r="BG301" s="42">
        <f t="shared" si="50"/>
        <v>0</v>
      </c>
      <c r="BH301" s="42">
        <f t="shared" si="51"/>
        <v>0</v>
      </c>
      <c r="BI301" s="42">
        <f t="shared" si="52"/>
        <v>0</v>
      </c>
      <c r="BJ301" s="42">
        <f t="shared" si="53"/>
        <v>0</v>
      </c>
      <c r="BK301" s="42">
        <f t="shared" si="54"/>
        <v>8</v>
      </c>
    </row>
    <row r="302" spans="1:63" ht="27" customHeight="1">
      <c r="A302" s="11">
        <f t="shared" si="55"/>
        <v>300</v>
      </c>
      <c r="B302" s="12"/>
      <c r="C302" s="8">
        <v>2539</v>
      </c>
      <c r="D302" s="103" t="s">
        <v>2185</v>
      </c>
      <c r="E302" s="201" t="s">
        <v>2186</v>
      </c>
      <c r="F302" s="90" t="s">
        <v>415</v>
      </c>
      <c r="G302" s="91" t="s">
        <v>899</v>
      </c>
      <c r="H302" s="24" t="s">
        <v>417</v>
      </c>
      <c r="I302" s="25" t="s">
        <v>2187</v>
      </c>
      <c r="J302" s="82" t="s">
        <v>173</v>
      </c>
      <c r="K302" s="26">
        <v>31934</v>
      </c>
      <c r="L302" s="66" t="s">
        <v>174</v>
      </c>
      <c r="M302" s="154">
        <v>43770</v>
      </c>
      <c r="N302" s="23">
        <v>43390</v>
      </c>
      <c r="O302" s="154" t="s">
        <v>32</v>
      </c>
      <c r="P302" s="16" t="s">
        <v>1080</v>
      </c>
      <c r="Q302" s="16" t="s">
        <v>176</v>
      </c>
      <c r="R302" s="16" t="s">
        <v>177</v>
      </c>
      <c r="S302" s="17" t="s">
        <v>251</v>
      </c>
      <c r="T302" s="159"/>
      <c r="U302" s="159"/>
      <c r="V302" s="68" t="s">
        <v>195</v>
      </c>
      <c r="W302" s="68" t="s">
        <v>195</v>
      </c>
      <c r="X302" s="1">
        <v>6</v>
      </c>
      <c r="Y302" s="61" t="s">
        <v>2188</v>
      </c>
      <c r="Z302" s="70"/>
      <c r="AA302" s="78" t="s">
        <v>181</v>
      </c>
      <c r="AB302" s="70"/>
      <c r="AC302" s="107"/>
      <c r="AD302" s="202"/>
      <c r="AE302" s="202"/>
      <c r="AF302" s="203"/>
      <c r="AG302" s="204"/>
      <c r="AH302" s="205"/>
      <c r="AI302" s="205"/>
      <c r="AJ302" s="81" t="s">
        <v>198</v>
      </c>
      <c r="AK302" s="81" t="s">
        <v>185</v>
      </c>
      <c r="AL302" s="81" t="s">
        <v>185</v>
      </c>
      <c r="AM302" s="81" t="s">
        <v>1204</v>
      </c>
      <c r="AN302" s="20">
        <v>182</v>
      </c>
      <c r="AO302" s="20">
        <v>0</v>
      </c>
      <c r="AP302" s="20">
        <v>0</v>
      </c>
      <c r="AQ302" s="20">
        <v>0</v>
      </c>
      <c r="AR302" s="20">
        <v>0</v>
      </c>
      <c r="AS302" s="20">
        <v>7</v>
      </c>
      <c r="AT302" s="20">
        <v>10</v>
      </c>
      <c r="AU302" s="300">
        <f t="shared" si="45"/>
        <v>199</v>
      </c>
      <c r="AV302" s="20">
        <v>190</v>
      </c>
      <c r="AW302" s="20">
        <v>0</v>
      </c>
      <c r="AX302" s="20">
        <v>0</v>
      </c>
      <c r="AY302" s="20">
        <v>0</v>
      </c>
      <c r="AZ302" s="20">
        <v>0</v>
      </c>
      <c r="BA302" s="20">
        <v>7</v>
      </c>
      <c r="BB302" s="20">
        <v>10</v>
      </c>
      <c r="BC302" s="300">
        <f t="shared" si="46"/>
        <v>207</v>
      </c>
      <c r="BD302" s="42">
        <f t="shared" si="47"/>
        <v>8</v>
      </c>
      <c r="BE302" s="42">
        <f t="shared" si="48"/>
        <v>0</v>
      </c>
      <c r="BF302" s="42">
        <f t="shared" si="49"/>
        <v>0</v>
      </c>
      <c r="BG302" s="42">
        <f t="shared" si="50"/>
        <v>0</v>
      </c>
      <c r="BH302" s="42">
        <f t="shared" si="51"/>
        <v>0</v>
      </c>
      <c r="BI302" s="42">
        <f t="shared" si="52"/>
        <v>0</v>
      </c>
      <c r="BJ302" s="42">
        <f t="shared" si="53"/>
        <v>0</v>
      </c>
      <c r="BK302" s="42">
        <f t="shared" si="54"/>
        <v>8</v>
      </c>
    </row>
    <row r="303" spans="1:63" ht="27" customHeight="1">
      <c r="A303" s="11">
        <f t="shared" si="55"/>
        <v>301</v>
      </c>
      <c r="B303" s="12"/>
      <c r="C303" s="8">
        <v>2546</v>
      </c>
      <c r="D303" s="103" t="s">
        <v>2189</v>
      </c>
      <c r="E303" s="201" t="s">
        <v>2190</v>
      </c>
      <c r="F303" s="90" t="s">
        <v>568</v>
      </c>
      <c r="G303" s="91" t="s">
        <v>2191</v>
      </c>
      <c r="H303" s="24" t="s">
        <v>2192</v>
      </c>
      <c r="I303" s="25" t="s">
        <v>2193</v>
      </c>
      <c r="J303" s="82" t="s">
        <v>173</v>
      </c>
      <c r="K303" s="26">
        <v>30906</v>
      </c>
      <c r="L303" s="66" t="s">
        <v>174</v>
      </c>
      <c r="M303" s="154">
        <v>43770</v>
      </c>
      <c r="N303" s="23">
        <v>43407</v>
      </c>
      <c r="O303" s="15" t="s">
        <v>32</v>
      </c>
      <c r="P303" s="16" t="s">
        <v>343</v>
      </c>
      <c r="Q303" s="16" t="s">
        <v>176</v>
      </c>
      <c r="R303" s="15" t="s">
        <v>177</v>
      </c>
      <c r="S303" s="11" t="s">
        <v>223</v>
      </c>
      <c r="T303" s="159"/>
      <c r="U303" s="159"/>
      <c r="V303" s="19" t="s">
        <v>195</v>
      </c>
      <c r="W303" s="19" t="s">
        <v>195</v>
      </c>
      <c r="X303" s="1">
        <v>4</v>
      </c>
      <c r="Y303" s="61"/>
      <c r="Z303" s="70"/>
      <c r="AA303" s="70"/>
      <c r="AB303" s="70">
        <v>1</v>
      </c>
      <c r="AC303" s="107"/>
      <c r="AD303" s="202"/>
      <c r="AE303" s="202"/>
      <c r="AF303" s="203"/>
      <c r="AG303" s="204"/>
      <c r="AH303" s="205"/>
      <c r="AI303" s="205"/>
      <c r="AJ303" s="72" t="s">
        <v>198</v>
      </c>
      <c r="AK303" s="72" t="s">
        <v>185</v>
      </c>
      <c r="AL303" s="72" t="s">
        <v>185</v>
      </c>
      <c r="AM303" s="107" t="s">
        <v>2194</v>
      </c>
      <c r="AN303" s="20">
        <v>182</v>
      </c>
      <c r="AO303" s="20">
        <v>0</v>
      </c>
      <c r="AP303" s="20">
        <v>0</v>
      </c>
      <c r="AQ303" s="20">
        <v>0</v>
      </c>
      <c r="AR303" s="20">
        <v>0</v>
      </c>
      <c r="AS303" s="20">
        <v>7</v>
      </c>
      <c r="AT303" s="20">
        <v>10</v>
      </c>
      <c r="AU303" s="300">
        <f t="shared" si="45"/>
        <v>199</v>
      </c>
      <c r="AV303" s="20">
        <v>190</v>
      </c>
      <c r="AW303" s="20">
        <v>0</v>
      </c>
      <c r="AX303" s="20">
        <v>0</v>
      </c>
      <c r="AY303" s="20">
        <v>0</v>
      </c>
      <c r="AZ303" s="20">
        <v>0</v>
      </c>
      <c r="BA303" s="20">
        <v>7</v>
      </c>
      <c r="BB303" s="20">
        <v>10</v>
      </c>
      <c r="BC303" s="300">
        <f t="shared" si="46"/>
        <v>207</v>
      </c>
      <c r="BD303" s="42">
        <f t="shared" si="47"/>
        <v>8</v>
      </c>
      <c r="BE303" s="42">
        <f t="shared" si="48"/>
        <v>0</v>
      </c>
      <c r="BF303" s="42">
        <f t="shared" si="49"/>
        <v>0</v>
      </c>
      <c r="BG303" s="42">
        <f t="shared" si="50"/>
        <v>0</v>
      </c>
      <c r="BH303" s="42">
        <f t="shared" si="51"/>
        <v>0</v>
      </c>
      <c r="BI303" s="42">
        <f t="shared" si="52"/>
        <v>0</v>
      </c>
      <c r="BJ303" s="42">
        <f t="shared" si="53"/>
        <v>0</v>
      </c>
      <c r="BK303" s="42">
        <f t="shared" si="54"/>
        <v>8</v>
      </c>
    </row>
    <row r="304" spans="1:63" ht="27" customHeight="1">
      <c r="A304" s="11">
        <f t="shared" si="55"/>
        <v>302</v>
      </c>
      <c r="B304" s="12"/>
      <c r="C304" s="8">
        <v>2544</v>
      </c>
      <c r="D304" s="103" t="s">
        <v>2195</v>
      </c>
      <c r="E304" s="201" t="s">
        <v>291</v>
      </c>
      <c r="F304" s="90" t="s">
        <v>2003</v>
      </c>
      <c r="G304" s="91" t="s">
        <v>2196</v>
      </c>
      <c r="H304" s="24" t="s">
        <v>2197</v>
      </c>
      <c r="I304" s="25" t="s">
        <v>2198</v>
      </c>
      <c r="J304" s="82" t="s">
        <v>204</v>
      </c>
      <c r="K304" s="26">
        <v>34071</v>
      </c>
      <c r="L304" s="66" t="s">
        <v>174</v>
      </c>
      <c r="M304" s="154">
        <v>43770</v>
      </c>
      <c r="N304" s="23">
        <v>43405</v>
      </c>
      <c r="O304" s="15" t="s">
        <v>79</v>
      </c>
      <c r="P304" s="16" t="s">
        <v>101</v>
      </c>
      <c r="Q304" s="16" t="s">
        <v>176</v>
      </c>
      <c r="R304" s="15" t="s">
        <v>177</v>
      </c>
      <c r="S304" s="11" t="s">
        <v>223</v>
      </c>
      <c r="T304" s="159"/>
      <c r="U304" s="159"/>
      <c r="V304" s="19" t="s">
        <v>195</v>
      </c>
      <c r="W304" s="19" t="s">
        <v>195</v>
      </c>
      <c r="X304" s="1" t="s">
        <v>1991</v>
      </c>
      <c r="Y304" s="61" t="s">
        <v>2199</v>
      </c>
      <c r="Z304" s="70"/>
      <c r="AA304" s="78" t="s">
        <v>181</v>
      </c>
      <c r="AB304" s="70"/>
      <c r="AC304" s="107"/>
      <c r="AD304" s="202"/>
      <c r="AE304" s="202"/>
      <c r="AF304" s="203"/>
      <c r="AG304" s="204"/>
      <c r="AH304" s="205"/>
      <c r="AI304" s="205"/>
      <c r="AJ304" s="81" t="s">
        <v>198</v>
      </c>
      <c r="AK304" s="81" t="s">
        <v>185</v>
      </c>
      <c r="AL304" s="81" t="s">
        <v>185</v>
      </c>
      <c r="AM304" s="81" t="s">
        <v>1229</v>
      </c>
      <c r="AN304" s="20">
        <v>182</v>
      </c>
      <c r="AO304" s="20">
        <v>0</v>
      </c>
      <c r="AP304" s="20">
        <v>0</v>
      </c>
      <c r="AQ304" s="20">
        <v>71</v>
      </c>
      <c r="AR304" s="20">
        <v>10</v>
      </c>
      <c r="AS304" s="20">
        <v>7</v>
      </c>
      <c r="AT304" s="20">
        <v>10</v>
      </c>
      <c r="AU304" s="300">
        <f t="shared" si="45"/>
        <v>280</v>
      </c>
      <c r="AV304" s="20">
        <v>190</v>
      </c>
      <c r="AW304" s="20">
        <v>0</v>
      </c>
      <c r="AX304" s="20">
        <v>0</v>
      </c>
      <c r="AY304" s="20">
        <v>71</v>
      </c>
      <c r="AZ304" s="20">
        <v>10</v>
      </c>
      <c r="BA304" s="20">
        <v>7</v>
      </c>
      <c r="BB304" s="20">
        <v>10</v>
      </c>
      <c r="BC304" s="300">
        <f t="shared" si="46"/>
        <v>288</v>
      </c>
      <c r="BD304" s="42">
        <f t="shared" si="47"/>
        <v>8</v>
      </c>
      <c r="BE304" s="42">
        <f t="shared" si="48"/>
        <v>0</v>
      </c>
      <c r="BF304" s="42">
        <f t="shared" si="49"/>
        <v>0</v>
      </c>
      <c r="BG304" s="42">
        <f t="shared" si="50"/>
        <v>0</v>
      </c>
      <c r="BH304" s="42">
        <f t="shared" si="51"/>
        <v>0</v>
      </c>
      <c r="BI304" s="42">
        <f t="shared" si="52"/>
        <v>0</v>
      </c>
      <c r="BJ304" s="42">
        <f t="shared" si="53"/>
        <v>0</v>
      </c>
      <c r="BK304" s="42">
        <f t="shared" si="54"/>
        <v>8</v>
      </c>
    </row>
    <row r="305" spans="1:63" ht="27" customHeight="1">
      <c r="A305" s="11">
        <f t="shared" si="55"/>
        <v>303</v>
      </c>
      <c r="B305" s="12"/>
      <c r="C305" s="8">
        <v>2548</v>
      </c>
      <c r="D305" s="103" t="s">
        <v>2200</v>
      </c>
      <c r="E305" s="201" t="s">
        <v>2201</v>
      </c>
      <c r="F305" s="90" t="s">
        <v>711</v>
      </c>
      <c r="G305" s="91" t="s">
        <v>899</v>
      </c>
      <c r="H305" s="24" t="s">
        <v>2121</v>
      </c>
      <c r="I305" s="25" t="s">
        <v>2202</v>
      </c>
      <c r="J305" s="82" t="s">
        <v>173</v>
      </c>
      <c r="K305" s="26">
        <v>30169</v>
      </c>
      <c r="L305" s="66" t="s">
        <v>174</v>
      </c>
      <c r="M305" s="154">
        <v>43770</v>
      </c>
      <c r="N305" s="23">
        <v>43407</v>
      </c>
      <c r="O305" s="15" t="s">
        <v>32</v>
      </c>
      <c r="P305" s="16" t="s">
        <v>304</v>
      </c>
      <c r="Q305" s="16" t="s">
        <v>176</v>
      </c>
      <c r="R305" s="15" t="s">
        <v>177</v>
      </c>
      <c r="S305" s="17" t="s">
        <v>206</v>
      </c>
      <c r="T305" s="159"/>
      <c r="U305" s="159"/>
      <c r="V305" s="19" t="s">
        <v>195</v>
      </c>
      <c r="W305" s="19" t="s">
        <v>195</v>
      </c>
      <c r="X305" s="1">
        <v>4</v>
      </c>
      <c r="Y305" s="61" t="s">
        <v>2203</v>
      </c>
      <c r="Z305" s="70"/>
      <c r="AA305" s="78" t="s">
        <v>181</v>
      </c>
      <c r="AB305" s="78"/>
      <c r="AC305" s="107"/>
      <c r="AD305" s="202"/>
      <c r="AE305" s="202"/>
      <c r="AF305" s="203"/>
      <c r="AG305" s="204"/>
      <c r="AH305" s="205"/>
      <c r="AI305" s="205"/>
      <c r="AJ305" s="81" t="s">
        <v>198</v>
      </c>
      <c r="AK305" s="81" t="s">
        <v>185</v>
      </c>
      <c r="AL305" s="81" t="s">
        <v>185</v>
      </c>
      <c r="AM305" s="81" t="s">
        <v>1484</v>
      </c>
      <c r="AN305" s="20">
        <v>182</v>
      </c>
      <c r="AO305" s="20">
        <v>0</v>
      </c>
      <c r="AP305" s="20">
        <v>0</v>
      </c>
      <c r="AQ305" s="20">
        <v>0</v>
      </c>
      <c r="AR305" s="20">
        <v>0</v>
      </c>
      <c r="AS305" s="20">
        <v>7</v>
      </c>
      <c r="AT305" s="20">
        <v>10</v>
      </c>
      <c r="AU305" s="300">
        <f t="shared" si="45"/>
        <v>199</v>
      </c>
      <c r="AV305" s="20">
        <v>190</v>
      </c>
      <c r="AW305" s="20">
        <v>0</v>
      </c>
      <c r="AX305" s="20">
        <v>0</v>
      </c>
      <c r="AY305" s="20">
        <v>0</v>
      </c>
      <c r="AZ305" s="20">
        <v>0</v>
      </c>
      <c r="BA305" s="20">
        <v>7</v>
      </c>
      <c r="BB305" s="20">
        <v>10</v>
      </c>
      <c r="BC305" s="300">
        <f t="shared" si="46"/>
        <v>207</v>
      </c>
      <c r="BD305" s="42">
        <f t="shared" si="47"/>
        <v>8</v>
      </c>
      <c r="BE305" s="42">
        <f t="shared" si="48"/>
        <v>0</v>
      </c>
      <c r="BF305" s="42">
        <f t="shared" si="49"/>
        <v>0</v>
      </c>
      <c r="BG305" s="42">
        <f t="shared" si="50"/>
        <v>0</v>
      </c>
      <c r="BH305" s="42">
        <f t="shared" si="51"/>
        <v>0</v>
      </c>
      <c r="BI305" s="42">
        <f t="shared" si="52"/>
        <v>0</v>
      </c>
      <c r="BJ305" s="42">
        <f t="shared" si="53"/>
        <v>0</v>
      </c>
      <c r="BK305" s="42">
        <f t="shared" si="54"/>
        <v>8</v>
      </c>
    </row>
    <row r="306" spans="1:63" ht="27" customHeight="1">
      <c r="A306" s="11">
        <f t="shared" si="55"/>
        <v>304</v>
      </c>
      <c r="B306" s="12"/>
      <c r="C306" s="8">
        <v>2551</v>
      </c>
      <c r="D306" s="103" t="s">
        <v>2204</v>
      </c>
      <c r="E306" s="201" t="s">
        <v>2205</v>
      </c>
      <c r="F306" s="90" t="s">
        <v>2206</v>
      </c>
      <c r="G306" s="91" t="s">
        <v>2207</v>
      </c>
      <c r="H306" s="24" t="s">
        <v>2208</v>
      </c>
      <c r="I306" s="25" t="s">
        <v>2209</v>
      </c>
      <c r="J306" s="82" t="s">
        <v>173</v>
      </c>
      <c r="K306" s="26">
        <v>36770</v>
      </c>
      <c r="L306" s="66" t="s">
        <v>174</v>
      </c>
      <c r="M306" s="154">
        <v>43770</v>
      </c>
      <c r="N306" s="23">
        <v>43411</v>
      </c>
      <c r="O306" s="15" t="s">
        <v>32</v>
      </c>
      <c r="P306" s="16" t="s">
        <v>1338</v>
      </c>
      <c r="Q306" s="16" t="s">
        <v>176</v>
      </c>
      <c r="R306" s="15" t="s">
        <v>177</v>
      </c>
      <c r="S306" s="11" t="s">
        <v>223</v>
      </c>
      <c r="T306" s="159"/>
      <c r="U306" s="159"/>
      <c r="V306" s="19" t="s">
        <v>195</v>
      </c>
      <c r="W306" s="19" t="s">
        <v>195</v>
      </c>
      <c r="X306" s="1">
        <v>5</v>
      </c>
      <c r="Y306" s="61"/>
      <c r="Z306" s="70"/>
      <c r="AA306" s="78" t="s">
        <v>181</v>
      </c>
      <c r="AB306" s="70"/>
      <c r="AC306" s="107"/>
      <c r="AD306" s="202"/>
      <c r="AE306" s="202"/>
      <c r="AF306" s="203"/>
      <c r="AG306" s="204"/>
      <c r="AH306" s="205"/>
      <c r="AI306" s="205"/>
      <c r="AJ306" s="81" t="s">
        <v>198</v>
      </c>
      <c r="AK306" s="81" t="s">
        <v>185</v>
      </c>
      <c r="AL306" s="81" t="s">
        <v>185</v>
      </c>
      <c r="AM306" s="81" t="s">
        <v>1229</v>
      </c>
      <c r="AN306" s="20">
        <v>182</v>
      </c>
      <c r="AO306" s="20">
        <v>0</v>
      </c>
      <c r="AP306" s="20">
        <v>0</v>
      </c>
      <c r="AQ306" s="20">
        <v>0</v>
      </c>
      <c r="AR306" s="20">
        <v>0</v>
      </c>
      <c r="AS306" s="20">
        <v>7</v>
      </c>
      <c r="AT306" s="20">
        <v>10</v>
      </c>
      <c r="AU306" s="300">
        <f t="shared" si="45"/>
        <v>199</v>
      </c>
      <c r="AV306" s="20">
        <v>190</v>
      </c>
      <c r="AW306" s="20">
        <v>0</v>
      </c>
      <c r="AX306" s="20">
        <v>0</v>
      </c>
      <c r="AY306" s="20">
        <v>0</v>
      </c>
      <c r="AZ306" s="20">
        <v>0</v>
      </c>
      <c r="BA306" s="20">
        <v>7</v>
      </c>
      <c r="BB306" s="20">
        <v>10</v>
      </c>
      <c r="BC306" s="300">
        <f t="shared" si="46"/>
        <v>207</v>
      </c>
      <c r="BD306" s="42">
        <f t="shared" si="47"/>
        <v>8</v>
      </c>
      <c r="BE306" s="42">
        <f t="shared" si="48"/>
        <v>0</v>
      </c>
      <c r="BF306" s="42">
        <f t="shared" si="49"/>
        <v>0</v>
      </c>
      <c r="BG306" s="42">
        <f t="shared" si="50"/>
        <v>0</v>
      </c>
      <c r="BH306" s="42">
        <f t="shared" si="51"/>
        <v>0</v>
      </c>
      <c r="BI306" s="42">
        <f t="shared" si="52"/>
        <v>0</v>
      </c>
      <c r="BJ306" s="42">
        <f t="shared" si="53"/>
        <v>0</v>
      </c>
      <c r="BK306" s="42">
        <f t="shared" si="54"/>
        <v>8</v>
      </c>
    </row>
    <row r="307" spans="1:63" ht="27" customHeight="1">
      <c r="A307" s="11">
        <f t="shared" si="55"/>
        <v>305</v>
      </c>
      <c r="B307" s="12"/>
      <c r="C307" s="8">
        <v>2554</v>
      </c>
      <c r="D307" s="103" t="s">
        <v>2210</v>
      </c>
      <c r="E307" s="201" t="s">
        <v>2211</v>
      </c>
      <c r="F307" s="90" t="s">
        <v>2212</v>
      </c>
      <c r="G307" s="91" t="s">
        <v>2213</v>
      </c>
      <c r="H307" s="24" t="s">
        <v>2214</v>
      </c>
      <c r="I307" s="25" t="s">
        <v>2215</v>
      </c>
      <c r="J307" s="82" t="s">
        <v>204</v>
      </c>
      <c r="K307" s="26">
        <v>34011</v>
      </c>
      <c r="L307" s="66" t="s">
        <v>174</v>
      </c>
      <c r="M307" s="154">
        <v>43770</v>
      </c>
      <c r="N307" s="23">
        <v>43413</v>
      </c>
      <c r="O307" s="15" t="s">
        <v>32</v>
      </c>
      <c r="P307" s="16" t="s">
        <v>547</v>
      </c>
      <c r="Q307" s="16" t="s">
        <v>176</v>
      </c>
      <c r="R307" s="15" t="s">
        <v>177</v>
      </c>
      <c r="S307" s="11" t="s">
        <v>1113</v>
      </c>
      <c r="T307" s="159"/>
      <c r="U307" s="159"/>
      <c r="V307" s="19" t="s">
        <v>195</v>
      </c>
      <c r="W307" s="19" t="s">
        <v>195</v>
      </c>
      <c r="X307" s="1"/>
      <c r="Y307" s="61"/>
      <c r="Z307" s="70"/>
      <c r="AA307" s="78" t="s">
        <v>181</v>
      </c>
      <c r="AB307" s="70"/>
      <c r="AC307" s="107"/>
      <c r="AD307" s="202"/>
      <c r="AE307" s="202"/>
      <c r="AF307" s="203"/>
      <c r="AG307" s="204"/>
      <c r="AH307" s="205"/>
      <c r="AI307" s="205"/>
      <c r="AJ307" s="81" t="s">
        <v>198</v>
      </c>
      <c r="AK307" s="81" t="s">
        <v>185</v>
      </c>
      <c r="AL307" s="81" t="s">
        <v>185</v>
      </c>
      <c r="AM307" s="81" t="s">
        <v>1557</v>
      </c>
      <c r="AN307" s="20">
        <v>182</v>
      </c>
      <c r="AO307" s="20">
        <v>0</v>
      </c>
      <c r="AP307" s="20">
        <v>0</v>
      </c>
      <c r="AQ307" s="20">
        <v>0</v>
      </c>
      <c r="AR307" s="20">
        <v>0</v>
      </c>
      <c r="AS307" s="20">
        <v>7</v>
      </c>
      <c r="AT307" s="20">
        <v>10</v>
      </c>
      <c r="AU307" s="300">
        <f t="shared" si="45"/>
        <v>199</v>
      </c>
      <c r="AV307" s="20">
        <v>190</v>
      </c>
      <c r="AW307" s="20">
        <v>0</v>
      </c>
      <c r="AX307" s="20">
        <v>0</v>
      </c>
      <c r="AY307" s="20">
        <v>0</v>
      </c>
      <c r="AZ307" s="20">
        <v>0</v>
      </c>
      <c r="BA307" s="20">
        <v>7</v>
      </c>
      <c r="BB307" s="20">
        <v>10</v>
      </c>
      <c r="BC307" s="300">
        <f t="shared" si="46"/>
        <v>207</v>
      </c>
      <c r="BD307" s="42">
        <f t="shared" si="47"/>
        <v>8</v>
      </c>
      <c r="BE307" s="42">
        <f t="shared" si="48"/>
        <v>0</v>
      </c>
      <c r="BF307" s="42">
        <f t="shared" si="49"/>
        <v>0</v>
      </c>
      <c r="BG307" s="42">
        <f t="shared" si="50"/>
        <v>0</v>
      </c>
      <c r="BH307" s="42">
        <f t="shared" si="51"/>
        <v>0</v>
      </c>
      <c r="BI307" s="42">
        <f t="shared" si="52"/>
        <v>0</v>
      </c>
      <c r="BJ307" s="42">
        <f t="shared" si="53"/>
        <v>0</v>
      </c>
      <c r="BK307" s="42">
        <f t="shared" si="54"/>
        <v>8</v>
      </c>
    </row>
    <row r="308" spans="1:63" ht="27" customHeight="1">
      <c r="A308" s="11">
        <f t="shared" si="55"/>
        <v>306</v>
      </c>
      <c r="B308" s="12"/>
      <c r="C308" s="8">
        <v>2553</v>
      </c>
      <c r="D308" s="103" t="s">
        <v>2216</v>
      </c>
      <c r="E308" s="201" t="s">
        <v>2217</v>
      </c>
      <c r="F308" s="90" t="s">
        <v>445</v>
      </c>
      <c r="G308" s="91" t="s">
        <v>2218</v>
      </c>
      <c r="H308" s="24" t="s">
        <v>2219</v>
      </c>
      <c r="I308" s="25" t="s">
        <v>2220</v>
      </c>
      <c r="J308" s="82" t="s">
        <v>173</v>
      </c>
      <c r="K308" s="26">
        <v>32518</v>
      </c>
      <c r="L308" s="66" t="s">
        <v>174</v>
      </c>
      <c r="M308" s="154">
        <v>43770</v>
      </c>
      <c r="N308" s="23">
        <v>43413</v>
      </c>
      <c r="O308" s="15" t="s">
        <v>32</v>
      </c>
      <c r="P308" s="16" t="s">
        <v>381</v>
      </c>
      <c r="Q308" s="16" t="s">
        <v>176</v>
      </c>
      <c r="R308" s="15" t="s">
        <v>177</v>
      </c>
      <c r="S308" s="17" t="s">
        <v>251</v>
      </c>
      <c r="T308" s="159"/>
      <c r="U308" s="159"/>
      <c r="V308" s="19" t="s">
        <v>195</v>
      </c>
      <c r="W308" s="19" t="s">
        <v>195</v>
      </c>
      <c r="X308" s="1">
        <v>6</v>
      </c>
      <c r="Y308" s="61" t="s">
        <v>2221</v>
      </c>
      <c r="Z308" s="70"/>
      <c r="AA308" s="78" t="s">
        <v>181</v>
      </c>
      <c r="AB308" s="70"/>
      <c r="AC308" s="107"/>
      <c r="AD308" s="202"/>
      <c r="AE308" s="202"/>
      <c r="AF308" s="203"/>
      <c r="AG308" s="204"/>
      <c r="AH308" s="205"/>
      <c r="AI308" s="205"/>
      <c r="AJ308" s="81" t="s">
        <v>198</v>
      </c>
      <c r="AK308" s="81" t="s">
        <v>185</v>
      </c>
      <c r="AL308" s="81" t="s">
        <v>185</v>
      </c>
      <c r="AM308" s="81" t="s">
        <v>1484</v>
      </c>
      <c r="AN308" s="20">
        <v>182</v>
      </c>
      <c r="AO308" s="20">
        <v>0</v>
      </c>
      <c r="AP308" s="20">
        <v>0</v>
      </c>
      <c r="AQ308" s="20">
        <v>0</v>
      </c>
      <c r="AR308" s="20">
        <v>0</v>
      </c>
      <c r="AS308" s="20">
        <v>7</v>
      </c>
      <c r="AT308" s="20">
        <v>10</v>
      </c>
      <c r="AU308" s="300">
        <f t="shared" si="45"/>
        <v>199</v>
      </c>
      <c r="AV308" s="20">
        <v>190</v>
      </c>
      <c r="AW308" s="20">
        <v>0</v>
      </c>
      <c r="AX308" s="20">
        <v>0</v>
      </c>
      <c r="AY308" s="20">
        <v>0</v>
      </c>
      <c r="AZ308" s="20">
        <v>0</v>
      </c>
      <c r="BA308" s="20">
        <v>7</v>
      </c>
      <c r="BB308" s="20">
        <v>10</v>
      </c>
      <c r="BC308" s="300">
        <f t="shared" si="46"/>
        <v>207</v>
      </c>
      <c r="BD308" s="42">
        <f t="shared" si="47"/>
        <v>8</v>
      </c>
      <c r="BE308" s="42">
        <f t="shared" si="48"/>
        <v>0</v>
      </c>
      <c r="BF308" s="42">
        <f t="shared" si="49"/>
        <v>0</v>
      </c>
      <c r="BG308" s="42">
        <f t="shared" si="50"/>
        <v>0</v>
      </c>
      <c r="BH308" s="42">
        <f t="shared" si="51"/>
        <v>0</v>
      </c>
      <c r="BI308" s="42">
        <f t="shared" si="52"/>
        <v>0</v>
      </c>
      <c r="BJ308" s="42">
        <f t="shared" si="53"/>
        <v>0</v>
      </c>
      <c r="BK308" s="42">
        <f t="shared" si="54"/>
        <v>8</v>
      </c>
    </row>
    <row r="309" spans="1:63" ht="27" customHeight="1">
      <c r="A309" s="11">
        <f t="shared" si="55"/>
        <v>307</v>
      </c>
      <c r="B309" s="12"/>
      <c r="C309" s="8">
        <v>2555</v>
      </c>
      <c r="D309" s="103" t="s">
        <v>2222</v>
      </c>
      <c r="E309" s="201" t="s">
        <v>2223</v>
      </c>
      <c r="F309" s="90" t="s">
        <v>2224</v>
      </c>
      <c r="G309" s="91" t="s">
        <v>2225</v>
      </c>
      <c r="H309" s="24" t="s">
        <v>46</v>
      </c>
      <c r="I309" s="25" t="s">
        <v>2226</v>
      </c>
      <c r="J309" s="82" t="s">
        <v>173</v>
      </c>
      <c r="K309" s="26">
        <v>35104</v>
      </c>
      <c r="L309" s="66" t="s">
        <v>174</v>
      </c>
      <c r="M309" s="154">
        <v>43770</v>
      </c>
      <c r="N309" s="23">
        <v>43413</v>
      </c>
      <c r="O309" s="15" t="s">
        <v>32</v>
      </c>
      <c r="P309" s="16" t="s">
        <v>1338</v>
      </c>
      <c r="Q309" s="16" t="s">
        <v>176</v>
      </c>
      <c r="R309" s="15" t="s">
        <v>177</v>
      </c>
      <c r="S309" s="11" t="s">
        <v>428</v>
      </c>
      <c r="T309" s="159"/>
      <c r="U309" s="159"/>
      <c r="V309" s="19" t="s">
        <v>195</v>
      </c>
      <c r="W309" s="19" t="s">
        <v>195</v>
      </c>
      <c r="X309" s="1">
        <v>3</v>
      </c>
      <c r="Y309" s="61" t="s">
        <v>2227</v>
      </c>
      <c r="Z309" s="70"/>
      <c r="AA309" s="78" t="s">
        <v>181</v>
      </c>
      <c r="AB309" s="70"/>
      <c r="AC309" s="107"/>
      <c r="AD309" s="202"/>
      <c r="AE309" s="202"/>
      <c r="AF309" s="203"/>
      <c r="AG309" s="204"/>
      <c r="AH309" s="205"/>
      <c r="AI309" s="205"/>
      <c r="AJ309" s="81" t="s">
        <v>198</v>
      </c>
      <c r="AK309" s="81" t="s">
        <v>185</v>
      </c>
      <c r="AL309" s="81" t="s">
        <v>185</v>
      </c>
      <c r="AM309" s="81" t="s">
        <v>1557</v>
      </c>
      <c r="AN309" s="20">
        <v>182</v>
      </c>
      <c r="AO309" s="20">
        <v>0</v>
      </c>
      <c r="AP309" s="20">
        <v>0</v>
      </c>
      <c r="AQ309" s="20">
        <v>0</v>
      </c>
      <c r="AR309" s="20">
        <v>0</v>
      </c>
      <c r="AS309" s="20">
        <v>7</v>
      </c>
      <c r="AT309" s="20">
        <v>10</v>
      </c>
      <c r="AU309" s="300">
        <f t="shared" si="45"/>
        <v>199</v>
      </c>
      <c r="AV309" s="20">
        <v>190</v>
      </c>
      <c r="AW309" s="20">
        <v>0</v>
      </c>
      <c r="AX309" s="20">
        <v>0</v>
      </c>
      <c r="AY309" s="20">
        <v>0</v>
      </c>
      <c r="AZ309" s="20">
        <v>0</v>
      </c>
      <c r="BA309" s="20">
        <v>7</v>
      </c>
      <c r="BB309" s="20">
        <v>10</v>
      </c>
      <c r="BC309" s="300">
        <f t="shared" si="46"/>
        <v>207</v>
      </c>
      <c r="BD309" s="42">
        <f t="shared" si="47"/>
        <v>8</v>
      </c>
      <c r="BE309" s="42">
        <f t="shared" si="48"/>
        <v>0</v>
      </c>
      <c r="BF309" s="42">
        <f t="shared" si="49"/>
        <v>0</v>
      </c>
      <c r="BG309" s="42">
        <f t="shared" si="50"/>
        <v>0</v>
      </c>
      <c r="BH309" s="42">
        <f t="shared" si="51"/>
        <v>0</v>
      </c>
      <c r="BI309" s="42">
        <f t="shared" si="52"/>
        <v>0</v>
      </c>
      <c r="BJ309" s="42">
        <f t="shared" si="53"/>
        <v>0</v>
      </c>
      <c r="BK309" s="42">
        <f t="shared" si="54"/>
        <v>8</v>
      </c>
    </row>
    <row r="310" spans="1:63" ht="27" customHeight="1">
      <c r="A310" s="11">
        <f t="shared" si="55"/>
        <v>308</v>
      </c>
      <c r="B310" s="12"/>
      <c r="C310" s="12">
        <v>2566</v>
      </c>
      <c r="D310" s="103" t="s">
        <v>2228</v>
      </c>
      <c r="E310" s="201">
        <v>100902093</v>
      </c>
      <c r="F310" s="90" t="s">
        <v>2229</v>
      </c>
      <c r="G310" s="91" t="s">
        <v>826</v>
      </c>
      <c r="H310" s="24" t="s">
        <v>2230</v>
      </c>
      <c r="I310" s="25" t="s">
        <v>2231</v>
      </c>
      <c r="J310" s="82" t="s">
        <v>173</v>
      </c>
      <c r="K310" s="26">
        <v>31869</v>
      </c>
      <c r="L310" s="66" t="s">
        <v>174</v>
      </c>
      <c r="M310" s="208">
        <v>43800</v>
      </c>
      <c r="N310" s="23">
        <v>43421</v>
      </c>
      <c r="O310" s="15" t="s">
        <v>32</v>
      </c>
      <c r="P310" s="16" t="s">
        <v>296</v>
      </c>
      <c r="Q310" s="16" t="s">
        <v>176</v>
      </c>
      <c r="R310" s="15" t="s">
        <v>177</v>
      </c>
      <c r="S310" s="17" t="s">
        <v>206</v>
      </c>
      <c r="T310" s="159"/>
      <c r="U310" s="159"/>
      <c r="V310" s="19" t="s">
        <v>195</v>
      </c>
      <c r="W310" s="19" t="s">
        <v>195</v>
      </c>
      <c r="X310" s="1">
        <v>5</v>
      </c>
      <c r="Y310" s="198" t="s">
        <v>2232</v>
      </c>
      <c r="Z310" s="70"/>
      <c r="AA310" s="1"/>
      <c r="AB310" s="161"/>
      <c r="AC310" s="99"/>
      <c r="AD310" s="99"/>
      <c r="AE310" s="106"/>
      <c r="AF310" s="106"/>
      <c r="AG310" s="3"/>
      <c r="AH310" s="3"/>
      <c r="AI310" s="19"/>
      <c r="AJ310" s="19" t="s">
        <v>185</v>
      </c>
      <c r="AK310" s="19" t="s">
        <v>185</v>
      </c>
      <c r="AL310" s="81" t="s">
        <v>185</v>
      </c>
      <c r="AM310" s="107" t="s">
        <v>1229</v>
      </c>
      <c r="AN310" s="20">
        <v>182</v>
      </c>
      <c r="AO310" s="20">
        <v>0</v>
      </c>
      <c r="AP310" s="20">
        <v>0</v>
      </c>
      <c r="AQ310" s="20">
        <v>0</v>
      </c>
      <c r="AR310" s="20">
        <v>0</v>
      </c>
      <c r="AS310" s="20">
        <v>7</v>
      </c>
      <c r="AT310" s="20">
        <v>10</v>
      </c>
      <c r="AU310" s="300">
        <f t="shared" si="45"/>
        <v>199</v>
      </c>
      <c r="AV310" s="20">
        <v>190</v>
      </c>
      <c r="AW310" s="20">
        <v>0</v>
      </c>
      <c r="AX310" s="20">
        <v>0</v>
      </c>
      <c r="AY310" s="20">
        <v>0</v>
      </c>
      <c r="AZ310" s="20">
        <v>0</v>
      </c>
      <c r="BA310" s="20">
        <v>7</v>
      </c>
      <c r="BB310" s="20">
        <v>10</v>
      </c>
      <c r="BC310" s="300">
        <f t="shared" si="46"/>
        <v>207</v>
      </c>
      <c r="BD310" s="42">
        <f t="shared" si="47"/>
        <v>8</v>
      </c>
      <c r="BE310" s="42">
        <f t="shared" si="48"/>
        <v>0</v>
      </c>
      <c r="BF310" s="42">
        <f t="shared" si="49"/>
        <v>0</v>
      </c>
      <c r="BG310" s="42">
        <f t="shared" si="50"/>
        <v>0</v>
      </c>
      <c r="BH310" s="42">
        <f t="shared" si="51"/>
        <v>0</v>
      </c>
      <c r="BI310" s="42">
        <f t="shared" si="52"/>
        <v>0</v>
      </c>
      <c r="BJ310" s="42">
        <f t="shared" si="53"/>
        <v>0</v>
      </c>
      <c r="BK310" s="42">
        <f t="shared" si="54"/>
        <v>8</v>
      </c>
    </row>
    <row r="311" spans="1:63" ht="27" customHeight="1">
      <c r="A311" s="11">
        <f t="shared" si="55"/>
        <v>309</v>
      </c>
      <c r="B311" s="12"/>
      <c r="C311" s="8">
        <v>2572</v>
      </c>
      <c r="D311" s="103" t="s">
        <v>2233</v>
      </c>
      <c r="E311" s="201" t="s">
        <v>2234</v>
      </c>
      <c r="F311" s="90" t="s">
        <v>2235</v>
      </c>
      <c r="G311" s="91" t="s">
        <v>2236</v>
      </c>
      <c r="H311" s="24" t="s">
        <v>1786</v>
      </c>
      <c r="I311" s="25" t="s">
        <v>2237</v>
      </c>
      <c r="J311" s="82" t="s">
        <v>173</v>
      </c>
      <c r="K311" s="26">
        <v>34397</v>
      </c>
      <c r="L311" s="66" t="s">
        <v>174</v>
      </c>
      <c r="M311" s="208">
        <v>43800</v>
      </c>
      <c r="N311" s="23">
        <v>43421</v>
      </c>
      <c r="O311" s="15" t="s">
        <v>32</v>
      </c>
      <c r="P311" s="16" t="s">
        <v>222</v>
      </c>
      <c r="Q311" s="16" t="s">
        <v>176</v>
      </c>
      <c r="R311" s="15" t="s">
        <v>177</v>
      </c>
      <c r="S311" s="17" t="s">
        <v>251</v>
      </c>
      <c r="T311" s="159"/>
      <c r="U311" s="159"/>
      <c r="V311" s="19" t="s">
        <v>195</v>
      </c>
      <c r="W311" s="19" t="s">
        <v>195</v>
      </c>
      <c r="X311" s="19">
        <v>4</v>
      </c>
      <c r="Y311" s="1" t="s">
        <v>2238</v>
      </c>
      <c r="Z311" s="70" t="s">
        <v>181</v>
      </c>
      <c r="AA311" s="70"/>
      <c r="AB311" s="70"/>
      <c r="AC311" s="107"/>
      <c r="AD311" s="202"/>
      <c r="AE311" s="202"/>
      <c r="AF311" s="203"/>
      <c r="AG311" s="204"/>
      <c r="AH311" s="205"/>
      <c r="AI311" s="205"/>
      <c r="AJ311" s="81" t="s">
        <v>185</v>
      </c>
      <c r="AK311" s="81" t="s">
        <v>185</v>
      </c>
      <c r="AL311" s="81" t="s">
        <v>185</v>
      </c>
      <c r="AM311" s="81" t="s">
        <v>1509</v>
      </c>
      <c r="AN311" s="20">
        <v>182</v>
      </c>
      <c r="AO311" s="20">
        <v>0</v>
      </c>
      <c r="AP311" s="20">
        <v>0</v>
      </c>
      <c r="AQ311" s="20">
        <v>0</v>
      </c>
      <c r="AR311" s="20">
        <v>0</v>
      </c>
      <c r="AS311" s="20">
        <v>7</v>
      </c>
      <c r="AT311" s="20">
        <v>10</v>
      </c>
      <c r="AU311" s="300">
        <f t="shared" si="45"/>
        <v>199</v>
      </c>
      <c r="AV311" s="20">
        <v>190</v>
      </c>
      <c r="AW311" s="20">
        <v>0</v>
      </c>
      <c r="AX311" s="20">
        <v>0</v>
      </c>
      <c r="AY311" s="20">
        <v>0</v>
      </c>
      <c r="AZ311" s="20">
        <v>0</v>
      </c>
      <c r="BA311" s="20">
        <v>7</v>
      </c>
      <c r="BB311" s="20">
        <v>10</v>
      </c>
      <c r="BC311" s="300">
        <f t="shared" si="46"/>
        <v>207</v>
      </c>
      <c r="BD311" s="42">
        <f t="shared" si="47"/>
        <v>8</v>
      </c>
      <c r="BE311" s="42">
        <f t="shared" si="48"/>
        <v>0</v>
      </c>
      <c r="BF311" s="42">
        <f t="shared" si="49"/>
        <v>0</v>
      </c>
      <c r="BG311" s="42">
        <f t="shared" si="50"/>
        <v>0</v>
      </c>
      <c r="BH311" s="42">
        <f t="shared" si="51"/>
        <v>0</v>
      </c>
      <c r="BI311" s="42">
        <f t="shared" si="52"/>
        <v>0</v>
      </c>
      <c r="BJ311" s="42">
        <f t="shared" si="53"/>
        <v>0</v>
      </c>
      <c r="BK311" s="42">
        <f t="shared" si="54"/>
        <v>8</v>
      </c>
    </row>
    <row r="312" spans="1:63" ht="27" customHeight="1">
      <c r="A312" s="11">
        <f t="shared" si="55"/>
        <v>310</v>
      </c>
      <c r="B312" s="12"/>
      <c r="C312" s="12">
        <v>2573</v>
      </c>
      <c r="D312" s="60" t="s">
        <v>2239</v>
      </c>
      <c r="E312" s="61">
        <v>110244944</v>
      </c>
      <c r="F312" s="90" t="s">
        <v>1935</v>
      </c>
      <c r="G312" s="91" t="s">
        <v>2240</v>
      </c>
      <c r="H312" s="24" t="s">
        <v>2241</v>
      </c>
      <c r="I312" s="25" t="s">
        <v>2242</v>
      </c>
      <c r="J312" s="82" t="s">
        <v>204</v>
      </c>
      <c r="K312" s="83">
        <v>30560</v>
      </c>
      <c r="L312" s="66" t="s">
        <v>174</v>
      </c>
      <c r="M312" s="208">
        <v>43800</v>
      </c>
      <c r="N312" s="23">
        <v>43421</v>
      </c>
      <c r="O312" s="15" t="s">
        <v>32</v>
      </c>
      <c r="P312" s="16" t="s">
        <v>13</v>
      </c>
      <c r="Q312" s="16" t="s">
        <v>176</v>
      </c>
      <c r="R312" s="15" t="s">
        <v>177</v>
      </c>
      <c r="S312" s="17" t="s">
        <v>251</v>
      </c>
      <c r="T312" s="159"/>
      <c r="U312" s="159"/>
      <c r="V312" s="19" t="s">
        <v>195</v>
      </c>
      <c r="W312" s="19" t="s">
        <v>195</v>
      </c>
      <c r="X312" s="1">
        <v>9</v>
      </c>
      <c r="Y312" s="61" t="s">
        <v>2243</v>
      </c>
      <c r="Z312" s="70"/>
      <c r="AA312" s="70" t="s">
        <v>181</v>
      </c>
      <c r="AB312" s="70"/>
      <c r="AC312" s="107"/>
      <c r="AD312" s="202"/>
      <c r="AE312" s="202"/>
      <c r="AF312" s="203"/>
      <c r="AG312" s="204"/>
      <c r="AH312" s="205"/>
      <c r="AI312" s="205"/>
      <c r="AJ312" s="81" t="s">
        <v>198</v>
      </c>
      <c r="AK312" s="81" t="s">
        <v>185</v>
      </c>
      <c r="AL312" s="81" t="s">
        <v>185</v>
      </c>
      <c r="AM312" s="107" t="s">
        <v>1484</v>
      </c>
      <c r="AN312" s="20">
        <v>182</v>
      </c>
      <c r="AO312" s="20">
        <v>0</v>
      </c>
      <c r="AP312" s="20">
        <v>0</v>
      </c>
      <c r="AQ312" s="20">
        <v>133</v>
      </c>
      <c r="AR312" s="20">
        <v>30</v>
      </c>
      <c r="AS312" s="20">
        <v>7</v>
      </c>
      <c r="AT312" s="20">
        <v>10</v>
      </c>
      <c r="AU312" s="300">
        <f t="shared" si="45"/>
        <v>362</v>
      </c>
      <c r="AV312" s="20">
        <v>190</v>
      </c>
      <c r="AW312" s="20">
        <v>0</v>
      </c>
      <c r="AX312" s="20">
        <v>0</v>
      </c>
      <c r="AY312" s="20">
        <v>133</v>
      </c>
      <c r="AZ312" s="20">
        <v>30</v>
      </c>
      <c r="BA312" s="20">
        <v>7</v>
      </c>
      <c r="BB312" s="20">
        <v>10</v>
      </c>
      <c r="BC312" s="300">
        <f t="shared" si="46"/>
        <v>370</v>
      </c>
      <c r="BD312" s="42">
        <f t="shared" si="47"/>
        <v>8</v>
      </c>
      <c r="BE312" s="42">
        <f t="shared" si="48"/>
        <v>0</v>
      </c>
      <c r="BF312" s="42">
        <f t="shared" si="49"/>
        <v>0</v>
      </c>
      <c r="BG312" s="42">
        <f t="shared" si="50"/>
        <v>0</v>
      </c>
      <c r="BH312" s="42">
        <f t="shared" si="51"/>
        <v>0</v>
      </c>
      <c r="BI312" s="42">
        <f t="shared" si="52"/>
        <v>0</v>
      </c>
      <c r="BJ312" s="42">
        <f t="shared" si="53"/>
        <v>0</v>
      </c>
      <c r="BK312" s="42">
        <f t="shared" si="54"/>
        <v>8</v>
      </c>
    </row>
    <row r="313" spans="1:63" ht="27" customHeight="1">
      <c r="A313" s="11">
        <f t="shared" si="55"/>
        <v>311</v>
      </c>
      <c r="B313" s="12"/>
      <c r="C313" s="8">
        <v>2570</v>
      </c>
      <c r="D313" s="103" t="s">
        <v>2244</v>
      </c>
      <c r="E313" s="201" t="s">
        <v>2245</v>
      </c>
      <c r="F313" s="90" t="s">
        <v>958</v>
      </c>
      <c r="G313" s="91" t="s">
        <v>2246</v>
      </c>
      <c r="H313" s="24" t="s">
        <v>2247</v>
      </c>
      <c r="I313" s="25" t="s">
        <v>2248</v>
      </c>
      <c r="J313" s="82" t="s">
        <v>173</v>
      </c>
      <c r="K313" s="26">
        <v>31603</v>
      </c>
      <c r="L313" s="66" t="s">
        <v>174</v>
      </c>
      <c r="M313" s="208">
        <v>43800</v>
      </c>
      <c r="N313" s="23">
        <v>43421</v>
      </c>
      <c r="O313" s="15" t="s">
        <v>32</v>
      </c>
      <c r="P313" s="16" t="s">
        <v>296</v>
      </c>
      <c r="Q313" s="16" t="s">
        <v>176</v>
      </c>
      <c r="R313" s="15" t="s">
        <v>177</v>
      </c>
      <c r="S313" s="17" t="s">
        <v>251</v>
      </c>
      <c r="T313" s="159"/>
      <c r="U313" s="159"/>
      <c r="V313" s="19" t="s">
        <v>195</v>
      </c>
      <c r="W313" s="19" t="s">
        <v>195</v>
      </c>
      <c r="X313" s="1">
        <v>8</v>
      </c>
      <c r="Y313" s="61" t="s">
        <v>2249</v>
      </c>
      <c r="Z313" s="70"/>
      <c r="AA313" s="70" t="s">
        <v>181</v>
      </c>
      <c r="AB313" s="70"/>
      <c r="AC313" s="107"/>
      <c r="AD313" s="202"/>
      <c r="AE313" s="202"/>
      <c r="AF313" s="203"/>
      <c r="AG313" s="204"/>
      <c r="AH313" s="205"/>
      <c r="AI313" s="205"/>
      <c r="AJ313" s="81" t="s">
        <v>198</v>
      </c>
      <c r="AK313" s="81" t="s">
        <v>185</v>
      </c>
      <c r="AL313" s="81" t="s">
        <v>185</v>
      </c>
      <c r="AM313" s="107" t="s">
        <v>1525</v>
      </c>
      <c r="AN313" s="20">
        <v>182</v>
      </c>
      <c r="AO313" s="20">
        <v>0</v>
      </c>
      <c r="AP313" s="20">
        <v>0</v>
      </c>
      <c r="AQ313" s="20">
        <v>0</v>
      </c>
      <c r="AR313" s="20">
        <v>0</v>
      </c>
      <c r="AS313" s="20">
        <v>7</v>
      </c>
      <c r="AT313" s="20">
        <v>10</v>
      </c>
      <c r="AU313" s="300">
        <f t="shared" si="45"/>
        <v>199</v>
      </c>
      <c r="AV313" s="20">
        <v>190</v>
      </c>
      <c r="AW313" s="20">
        <v>0</v>
      </c>
      <c r="AX313" s="20">
        <v>0</v>
      </c>
      <c r="AY313" s="20">
        <v>0</v>
      </c>
      <c r="AZ313" s="20">
        <v>0</v>
      </c>
      <c r="BA313" s="20">
        <v>7</v>
      </c>
      <c r="BB313" s="20">
        <v>10</v>
      </c>
      <c r="BC313" s="300">
        <f t="shared" si="46"/>
        <v>207</v>
      </c>
      <c r="BD313" s="42">
        <f t="shared" si="47"/>
        <v>8</v>
      </c>
      <c r="BE313" s="42">
        <f t="shared" si="48"/>
        <v>0</v>
      </c>
      <c r="BF313" s="42">
        <f t="shared" si="49"/>
        <v>0</v>
      </c>
      <c r="BG313" s="42">
        <f t="shared" si="50"/>
        <v>0</v>
      </c>
      <c r="BH313" s="42">
        <f t="shared" si="51"/>
        <v>0</v>
      </c>
      <c r="BI313" s="42">
        <f t="shared" si="52"/>
        <v>0</v>
      </c>
      <c r="BJ313" s="42">
        <f t="shared" si="53"/>
        <v>0</v>
      </c>
      <c r="BK313" s="42">
        <f t="shared" si="54"/>
        <v>8</v>
      </c>
    </row>
    <row r="314" spans="1:63" ht="27" customHeight="1">
      <c r="A314" s="11">
        <f t="shared" si="55"/>
        <v>312</v>
      </c>
      <c r="B314" s="12"/>
      <c r="C314" s="8">
        <v>2590</v>
      </c>
      <c r="D314" s="103" t="s">
        <v>2250</v>
      </c>
      <c r="E314" s="201" t="s">
        <v>2251</v>
      </c>
      <c r="F314" s="90" t="s">
        <v>2252</v>
      </c>
      <c r="G314" s="91" t="s">
        <v>2032</v>
      </c>
      <c r="H314" s="24" t="s">
        <v>2253</v>
      </c>
      <c r="I314" s="25" t="s">
        <v>2254</v>
      </c>
      <c r="J314" s="82" t="s">
        <v>173</v>
      </c>
      <c r="K314" s="26">
        <v>32942</v>
      </c>
      <c r="L314" s="66" t="s">
        <v>174</v>
      </c>
      <c r="M314" s="208">
        <v>43800</v>
      </c>
      <c r="N314" s="23">
        <v>43421</v>
      </c>
      <c r="O314" s="15" t="s">
        <v>32</v>
      </c>
      <c r="P314" s="16" t="s">
        <v>296</v>
      </c>
      <c r="Q314" s="16" t="s">
        <v>176</v>
      </c>
      <c r="R314" s="15" t="s">
        <v>177</v>
      </c>
      <c r="S314" s="11" t="s">
        <v>214</v>
      </c>
      <c r="T314" s="159"/>
      <c r="U314" s="159"/>
      <c r="V314" s="19" t="s">
        <v>195</v>
      </c>
      <c r="W314" s="19" t="s">
        <v>195</v>
      </c>
      <c r="X314" s="1">
        <v>5</v>
      </c>
      <c r="Y314" s="61"/>
      <c r="Z314" s="70"/>
      <c r="AA314" s="70" t="s">
        <v>181</v>
      </c>
      <c r="AB314" s="70"/>
      <c r="AC314" s="107"/>
      <c r="AD314" s="202"/>
      <c r="AE314" s="202"/>
      <c r="AF314" s="203"/>
      <c r="AG314" s="204"/>
      <c r="AH314" s="205"/>
      <c r="AI314" s="205"/>
      <c r="AJ314" s="81" t="s">
        <v>198</v>
      </c>
      <c r="AK314" s="81" t="s">
        <v>185</v>
      </c>
      <c r="AL314" s="81" t="s">
        <v>185</v>
      </c>
      <c r="AM314" s="107" t="s">
        <v>1229</v>
      </c>
      <c r="AN314" s="20">
        <v>182</v>
      </c>
      <c r="AO314" s="20">
        <v>0</v>
      </c>
      <c r="AP314" s="20">
        <v>0</v>
      </c>
      <c r="AQ314" s="20">
        <v>0</v>
      </c>
      <c r="AR314" s="20">
        <v>0</v>
      </c>
      <c r="AS314" s="20">
        <v>7</v>
      </c>
      <c r="AT314" s="20">
        <v>10</v>
      </c>
      <c r="AU314" s="300">
        <f t="shared" si="45"/>
        <v>199</v>
      </c>
      <c r="AV314" s="20">
        <v>190</v>
      </c>
      <c r="AW314" s="20">
        <v>0</v>
      </c>
      <c r="AX314" s="20">
        <v>0</v>
      </c>
      <c r="AY314" s="20">
        <v>0</v>
      </c>
      <c r="AZ314" s="20">
        <v>0</v>
      </c>
      <c r="BA314" s="20">
        <v>7</v>
      </c>
      <c r="BB314" s="20">
        <v>10</v>
      </c>
      <c r="BC314" s="300">
        <f t="shared" si="46"/>
        <v>207</v>
      </c>
      <c r="BD314" s="42">
        <f t="shared" si="47"/>
        <v>8</v>
      </c>
      <c r="BE314" s="42">
        <f t="shared" si="48"/>
        <v>0</v>
      </c>
      <c r="BF314" s="42">
        <f t="shared" si="49"/>
        <v>0</v>
      </c>
      <c r="BG314" s="42">
        <f t="shared" si="50"/>
        <v>0</v>
      </c>
      <c r="BH314" s="42">
        <f t="shared" si="51"/>
        <v>0</v>
      </c>
      <c r="BI314" s="42">
        <f t="shared" si="52"/>
        <v>0</v>
      </c>
      <c r="BJ314" s="42">
        <f t="shared" si="53"/>
        <v>0</v>
      </c>
      <c r="BK314" s="42">
        <f t="shared" si="54"/>
        <v>8</v>
      </c>
    </row>
    <row r="315" spans="1:63" ht="27" customHeight="1">
      <c r="A315" s="11">
        <f t="shared" si="55"/>
        <v>313</v>
      </c>
      <c r="B315" s="12"/>
      <c r="C315" s="8">
        <v>2589</v>
      </c>
      <c r="D315" s="103" t="s">
        <v>2255</v>
      </c>
      <c r="E315" s="201" t="s">
        <v>2256</v>
      </c>
      <c r="F315" s="90" t="s">
        <v>2257</v>
      </c>
      <c r="G315" s="91" t="s">
        <v>2258</v>
      </c>
      <c r="H315" s="24" t="s">
        <v>2259</v>
      </c>
      <c r="I315" s="25" t="s">
        <v>2260</v>
      </c>
      <c r="J315" s="82" t="s">
        <v>173</v>
      </c>
      <c r="K315" s="26">
        <v>31961</v>
      </c>
      <c r="L315" s="66" t="s">
        <v>174</v>
      </c>
      <c r="M315" s="208">
        <v>43800</v>
      </c>
      <c r="N315" s="23">
        <v>43421</v>
      </c>
      <c r="O315" s="15" t="s">
        <v>32</v>
      </c>
      <c r="P315" s="16" t="s">
        <v>1338</v>
      </c>
      <c r="Q315" s="16" t="s">
        <v>176</v>
      </c>
      <c r="R315" s="15" t="s">
        <v>177</v>
      </c>
      <c r="S315" s="11" t="s">
        <v>223</v>
      </c>
      <c r="T315" s="159"/>
      <c r="U315" s="159"/>
      <c r="V315" s="19" t="s">
        <v>195</v>
      </c>
      <c r="W315" s="19" t="s">
        <v>195</v>
      </c>
      <c r="X315" s="1">
        <v>6</v>
      </c>
      <c r="Y315" s="61"/>
      <c r="Z315" s="70"/>
      <c r="AA315" s="70" t="s">
        <v>181</v>
      </c>
      <c r="AB315" s="70"/>
      <c r="AC315" s="107"/>
      <c r="AD315" s="202"/>
      <c r="AE315" s="202"/>
      <c r="AF315" s="203"/>
      <c r="AG315" s="204"/>
      <c r="AH315" s="205"/>
      <c r="AI315" s="205"/>
      <c r="AJ315" s="81" t="s">
        <v>198</v>
      </c>
      <c r="AK315" s="81" t="s">
        <v>185</v>
      </c>
      <c r="AL315" s="81" t="s">
        <v>185</v>
      </c>
      <c r="AM315" s="107" t="s">
        <v>1484</v>
      </c>
      <c r="AN315" s="20">
        <v>182</v>
      </c>
      <c r="AO315" s="20">
        <v>0</v>
      </c>
      <c r="AP315" s="20">
        <v>0</v>
      </c>
      <c r="AQ315" s="20">
        <v>0</v>
      </c>
      <c r="AR315" s="20">
        <v>0</v>
      </c>
      <c r="AS315" s="20">
        <v>7</v>
      </c>
      <c r="AT315" s="20">
        <v>10</v>
      </c>
      <c r="AU315" s="300">
        <f t="shared" si="45"/>
        <v>199</v>
      </c>
      <c r="AV315" s="20">
        <v>190</v>
      </c>
      <c r="AW315" s="20">
        <v>0</v>
      </c>
      <c r="AX315" s="20">
        <v>0</v>
      </c>
      <c r="AY315" s="20">
        <v>0</v>
      </c>
      <c r="AZ315" s="20">
        <v>0</v>
      </c>
      <c r="BA315" s="20">
        <v>7</v>
      </c>
      <c r="BB315" s="20">
        <v>10</v>
      </c>
      <c r="BC315" s="300">
        <f t="shared" si="46"/>
        <v>207</v>
      </c>
      <c r="BD315" s="42">
        <f t="shared" si="47"/>
        <v>8</v>
      </c>
      <c r="BE315" s="42">
        <f t="shared" si="48"/>
        <v>0</v>
      </c>
      <c r="BF315" s="42">
        <f t="shared" si="49"/>
        <v>0</v>
      </c>
      <c r="BG315" s="42">
        <f t="shared" si="50"/>
        <v>0</v>
      </c>
      <c r="BH315" s="42">
        <f t="shared" si="51"/>
        <v>0</v>
      </c>
      <c r="BI315" s="42">
        <f t="shared" si="52"/>
        <v>0</v>
      </c>
      <c r="BJ315" s="42">
        <f t="shared" si="53"/>
        <v>0</v>
      </c>
      <c r="BK315" s="42">
        <f t="shared" si="54"/>
        <v>8</v>
      </c>
    </row>
    <row r="316" spans="1:63" ht="27" customHeight="1">
      <c r="A316" s="11">
        <f t="shared" si="55"/>
        <v>314</v>
      </c>
      <c r="B316" s="8"/>
      <c r="C316" s="8">
        <v>2593</v>
      </c>
      <c r="D316" s="195" t="s">
        <v>2261</v>
      </c>
      <c r="E316" s="197" t="s">
        <v>2262</v>
      </c>
      <c r="F316" s="62" t="s">
        <v>876</v>
      </c>
      <c r="G316" s="63" t="s">
        <v>2263</v>
      </c>
      <c r="H316" s="13" t="s">
        <v>877</v>
      </c>
      <c r="I316" s="14" t="s">
        <v>2264</v>
      </c>
      <c r="J316" s="64" t="s">
        <v>173</v>
      </c>
      <c r="K316" s="22">
        <v>35827</v>
      </c>
      <c r="L316" s="77" t="s">
        <v>174</v>
      </c>
      <c r="M316" s="154">
        <v>43647</v>
      </c>
      <c r="N316" s="154">
        <v>43467</v>
      </c>
      <c r="O316" s="17" t="s">
        <v>32</v>
      </c>
      <c r="P316" s="16" t="s">
        <v>381</v>
      </c>
      <c r="Q316" s="16" t="s">
        <v>176</v>
      </c>
      <c r="R316" s="17" t="s">
        <v>177</v>
      </c>
      <c r="S316" s="16" t="s">
        <v>305</v>
      </c>
      <c r="T316" s="18"/>
      <c r="U316" s="214"/>
      <c r="V316" s="68" t="s">
        <v>195</v>
      </c>
      <c r="W316" s="68" t="s">
        <v>195</v>
      </c>
      <c r="X316" s="68">
        <v>7</v>
      </c>
      <c r="Y316" s="215" t="s">
        <v>2265</v>
      </c>
      <c r="Z316" s="7"/>
      <c r="AA316" s="78">
        <v>1</v>
      </c>
      <c r="AB316" s="7"/>
      <c r="AC316" s="163" t="s">
        <v>351</v>
      </c>
      <c r="AD316" s="164"/>
      <c r="AE316" s="166"/>
      <c r="AF316" s="166"/>
      <c r="AG316" s="5"/>
      <c r="AH316" s="5"/>
      <c r="AI316" s="7"/>
      <c r="AJ316" s="68" t="s">
        <v>198</v>
      </c>
      <c r="AK316" s="68" t="s">
        <v>185</v>
      </c>
      <c r="AL316" s="68" t="s">
        <v>185</v>
      </c>
      <c r="AM316" s="169" t="s">
        <v>1204</v>
      </c>
      <c r="AN316" s="20">
        <v>182</v>
      </c>
      <c r="AO316" s="20">
        <v>0</v>
      </c>
      <c r="AP316" s="20">
        <v>0</v>
      </c>
      <c r="AQ316" s="20">
        <v>0</v>
      </c>
      <c r="AR316" s="20">
        <v>0</v>
      </c>
      <c r="AS316" s="20">
        <v>7</v>
      </c>
      <c r="AT316" s="20">
        <v>10</v>
      </c>
      <c r="AU316" s="300">
        <f t="shared" si="45"/>
        <v>199</v>
      </c>
      <c r="AV316" s="20">
        <v>190</v>
      </c>
      <c r="AW316" s="20">
        <v>0</v>
      </c>
      <c r="AX316" s="20">
        <v>0</v>
      </c>
      <c r="AY316" s="20">
        <v>0</v>
      </c>
      <c r="AZ316" s="20">
        <v>0</v>
      </c>
      <c r="BA316" s="20">
        <v>7</v>
      </c>
      <c r="BB316" s="20">
        <v>10</v>
      </c>
      <c r="BC316" s="300">
        <f t="shared" si="46"/>
        <v>207</v>
      </c>
      <c r="BD316" s="42">
        <f t="shared" si="47"/>
        <v>8</v>
      </c>
      <c r="BE316" s="42">
        <f t="shared" si="48"/>
        <v>0</v>
      </c>
      <c r="BF316" s="42">
        <f t="shared" si="49"/>
        <v>0</v>
      </c>
      <c r="BG316" s="42">
        <f t="shared" si="50"/>
        <v>0</v>
      </c>
      <c r="BH316" s="42">
        <f t="shared" si="51"/>
        <v>0</v>
      </c>
      <c r="BI316" s="42">
        <f t="shared" si="52"/>
        <v>0</v>
      </c>
      <c r="BJ316" s="42">
        <f t="shared" si="53"/>
        <v>0</v>
      </c>
      <c r="BK316" s="42">
        <f t="shared" si="54"/>
        <v>8</v>
      </c>
    </row>
    <row r="317" spans="1:63" ht="27" customHeight="1">
      <c r="A317" s="11">
        <f t="shared" si="55"/>
        <v>315</v>
      </c>
      <c r="B317" s="12"/>
      <c r="C317" s="9">
        <v>2606</v>
      </c>
      <c r="D317" s="103" t="s">
        <v>2266</v>
      </c>
      <c r="E317" s="61">
        <v>130192649</v>
      </c>
      <c r="F317" s="90" t="s">
        <v>2267</v>
      </c>
      <c r="G317" s="91" t="s">
        <v>2268</v>
      </c>
      <c r="H317" s="24" t="s">
        <v>2269</v>
      </c>
      <c r="I317" s="25" t="s">
        <v>2270</v>
      </c>
      <c r="J317" s="82" t="s">
        <v>173</v>
      </c>
      <c r="K317" s="26">
        <v>33299</v>
      </c>
      <c r="L317" s="66" t="s">
        <v>174</v>
      </c>
      <c r="M317" s="23">
        <v>43647</v>
      </c>
      <c r="N317" s="23">
        <v>43469</v>
      </c>
      <c r="O317" s="15" t="s">
        <v>32</v>
      </c>
      <c r="P317" s="16" t="s">
        <v>260</v>
      </c>
      <c r="Q317" s="16" t="s">
        <v>176</v>
      </c>
      <c r="R317" s="15" t="s">
        <v>177</v>
      </c>
      <c r="S317" s="17" t="s">
        <v>251</v>
      </c>
      <c r="T317" s="159"/>
      <c r="U317" s="159"/>
      <c r="V317" s="19" t="s">
        <v>195</v>
      </c>
      <c r="W317" s="19" t="s">
        <v>195</v>
      </c>
      <c r="X317" s="1">
        <v>6</v>
      </c>
      <c r="Y317" s="61" t="s">
        <v>2271</v>
      </c>
      <c r="Z317" s="70"/>
      <c r="AA317" s="70" t="s">
        <v>181</v>
      </c>
      <c r="AB317" s="70"/>
      <c r="AC317" s="107"/>
      <c r="AD317" s="202" t="s">
        <v>184</v>
      </c>
      <c r="AE317" s="202"/>
      <c r="AF317" s="203"/>
      <c r="AG317" s="204"/>
      <c r="AH317" s="205"/>
      <c r="AI317" s="205"/>
      <c r="AJ317" s="81" t="s">
        <v>198</v>
      </c>
      <c r="AK317" s="81" t="s">
        <v>185</v>
      </c>
      <c r="AL317" s="81" t="s">
        <v>185</v>
      </c>
      <c r="AM317" s="72" t="s">
        <v>2272</v>
      </c>
      <c r="AN317" s="20">
        <v>182</v>
      </c>
      <c r="AO317" s="20">
        <v>0</v>
      </c>
      <c r="AP317" s="20">
        <v>0</v>
      </c>
      <c r="AQ317" s="20">
        <v>0</v>
      </c>
      <c r="AR317" s="20">
        <v>0</v>
      </c>
      <c r="AS317" s="20">
        <v>7</v>
      </c>
      <c r="AT317" s="20">
        <v>10</v>
      </c>
      <c r="AU317" s="300">
        <f t="shared" si="45"/>
        <v>199</v>
      </c>
      <c r="AV317" s="20">
        <v>190</v>
      </c>
      <c r="AW317" s="20">
        <v>0</v>
      </c>
      <c r="AX317" s="20">
        <v>0</v>
      </c>
      <c r="AY317" s="20">
        <v>0</v>
      </c>
      <c r="AZ317" s="20">
        <v>0</v>
      </c>
      <c r="BA317" s="20">
        <v>7</v>
      </c>
      <c r="BB317" s="20">
        <v>10</v>
      </c>
      <c r="BC317" s="300">
        <f t="shared" si="46"/>
        <v>207</v>
      </c>
      <c r="BD317" s="42">
        <f t="shared" si="47"/>
        <v>8</v>
      </c>
      <c r="BE317" s="42">
        <f t="shared" si="48"/>
        <v>0</v>
      </c>
      <c r="BF317" s="42">
        <f t="shared" si="49"/>
        <v>0</v>
      </c>
      <c r="BG317" s="42">
        <f t="shared" si="50"/>
        <v>0</v>
      </c>
      <c r="BH317" s="42">
        <f t="shared" si="51"/>
        <v>0</v>
      </c>
      <c r="BI317" s="42">
        <f t="shared" si="52"/>
        <v>0</v>
      </c>
      <c r="BJ317" s="42">
        <f t="shared" si="53"/>
        <v>0</v>
      </c>
      <c r="BK317" s="42">
        <f t="shared" si="54"/>
        <v>8</v>
      </c>
    </row>
    <row r="318" spans="1:63" ht="27" customHeight="1">
      <c r="A318" s="11">
        <f t="shared" si="55"/>
        <v>316</v>
      </c>
      <c r="B318" s="12"/>
      <c r="C318" s="8">
        <v>2614</v>
      </c>
      <c r="D318" s="103" t="s">
        <v>2273</v>
      </c>
      <c r="E318" s="201" t="s">
        <v>2274</v>
      </c>
      <c r="F318" s="90" t="s">
        <v>2275</v>
      </c>
      <c r="G318" s="91" t="s">
        <v>2276</v>
      </c>
      <c r="H318" s="24" t="s">
        <v>33</v>
      </c>
      <c r="I318" s="25" t="s">
        <v>34</v>
      </c>
      <c r="J318" s="82" t="s">
        <v>204</v>
      </c>
      <c r="K318" s="26">
        <v>34917</v>
      </c>
      <c r="L318" s="66" t="s">
        <v>174</v>
      </c>
      <c r="M318" s="23">
        <v>43647</v>
      </c>
      <c r="N318" s="23">
        <v>43474</v>
      </c>
      <c r="O318" s="15" t="s">
        <v>32</v>
      </c>
      <c r="P318" s="16" t="s">
        <v>13</v>
      </c>
      <c r="Q318" s="16" t="s">
        <v>176</v>
      </c>
      <c r="R318" s="11" t="s">
        <v>177</v>
      </c>
      <c r="S318" s="11" t="s">
        <v>1113</v>
      </c>
      <c r="T318" s="159"/>
      <c r="U318" s="159"/>
      <c r="V318" s="19" t="s">
        <v>195</v>
      </c>
      <c r="W318" s="19" t="s">
        <v>195</v>
      </c>
      <c r="X318" s="1">
        <v>3</v>
      </c>
      <c r="Y318" s="61" t="s">
        <v>2277</v>
      </c>
      <c r="Z318" s="70"/>
      <c r="AA318" s="70" t="s">
        <v>181</v>
      </c>
      <c r="AB318" s="70"/>
      <c r="AC318" s="107"/>
      <c r="AD318" s="202" t="s">
        <v>184</v>
      </c>
      <c r="AE318" s="202"/>
      <c r="AF318" s="203"/>
      <c r="AG318" s="216"/>
      <c r="AH318" s="205"/>
      <c r="AI318" s="205"/>
      <c r="AJ318" s="81" t="s">
        <v>198</v>
      </c>
      <c r="AK318" s="81" t="s">
        <v>185</v>
      </c>
      <c r="AL318" s="81" t="s">
        <v>185</v>
      </c>
      <c r="AM318" s="72" t="s">
        <v>1557</v>
      </c>
      <c r="AN318" s="20">
        <v>182</v>
      </c>
      <c r="AO318" s="20">
        <v>0</v>
      </c>
      <c r="AP318" s="20">
        <v>0</v>
      </c>
      <c r="AQ318" s="20">
        <v>15</v>
      </c>
      <c r="AR318" s="20">
        <v>0</v>
      </c>
      <c r="AS318" s="20">
        <v>7</v>
      </c>
      <c r="AT318" s="20">
        <v>10</v>
      </c>
      <c r="AU318" s="300">
        <f t="shared" si="45"/>
        <v>214</v>
      </c>
      <c r="AV318" s="20">
        <v>190</v>
      </c>
      <c r="AW318" s="20">
        <v>0</v>
      </c>
      <c r="AX318" s="20">
        <v>0</v>
      </c>
      <c r="AY318" s="20">
        <v>15</v>
      </c>
      <c r="AZ318" s="20">
        <v>0</v>
      </c>
      <c r="BA318" s="20">
        <v>7</v>
      </c>
      <c r="BB318" s="20">
        <v>10</v>
      </c>
      <c r="BC318" s="300">
        <f t="shared" si="46"/>
        <v>222</v>
      </c>
      <c r="BD318" s="42">
        <f t="shared" si="47"/>
        <v>8</v>
      </c>
      <c r="BE318" s="42">
        <f t="shared" si="48"/>
        <v>0</v>
      </c>
      <c r="BF318" s="42">
        <f t="shared" si="49"/>
        <v>0</v>
      </c>
      <c r="BG318" s="42">
        <f t="shared" si="50"/>
        <v>0</v>
      </c>
      <c r="BH318" s="42">
        <f t="shared" si="51"/>
        <v>0</v>
      </c>
      <c r="BI318" s="42">
        <f t="shared" si="52"/>
        <v>0</v>
      </c>
      <c r="BJ318" s="42">
        <f t="shared" si="53"/>
        <v>0</v>
      </c>
      <c r="BK318" s="42">
        <f t="shared" si="54"/>
        <v>8</v>
      </c>
    </row>
    <row r="319" spans="1:63" ht="27" customHeight="1">
      <c r="A319" s="11">
        <f t="shared" si="55"/>
        <v>317</v>
      </c>
      <c r="B319" s="12"/>
      <c r="C319" s="8">
        <v>2612</v>
      </c>
      <c r="D319" s="103" t="s">
        <v>2278</v>
      </c>
      <c r="E319" s="201" t="s">
        <v>2279</v>
      </c>
      <c r="F319" s="90" t="s">
        <v>919</v>
      </c>
      <c r="G319" s="91" t="s">
        <v>2280</v>
      </c>
      <c r="H319" s="24" t="s">
        <v>921</v>
      </c>
      <c r="I319" s="25" t="s">
        <v>2281</v>
      </c>
      <c r="J319" s="82" t="s">
        <v>173</v>
      </c>
      <c r="K319" s="26">
        <v>36742</v>
      </c>
      <c r="L319" s="66" t="s">
        <v>174</v>
      </c>
      <c r="M319" s="23">
        <v>43647</v>
      </c>
      <c r="N319" s="23">
        <v>43474</v>
      </c>
      <c r="O319" s="15" t="s">
        <v>32</v>
      </c>
      <c r="P319" s="16" t="s">
        <v>222</v>
      </c>
      <c r="Q319" s="16" t="s">
        <v>176</v>
      </c>
      <c r="R319" s="11" t="s">
        <v>177</v>
      </c>
      <c r="S319" s="11" t="s">
        <v>223</v>
      </c>
      <c r="T319" s="159"/>
      <c r="U319" s="159"/>
      <c r="V319" s="19" t="s">
        <v>195</v>
      </c>
      <c r="W319" s="19" t="s">
        <v>195</v>
      </c>
      <c r="X319" s="1">
        <v>12</v>
      </c>
      <c r="Y319" s="61" t="s">
        <v>2282</v>
      </c>
      <c r="Z319" s="70" t="s">
        <v>181</v>
      </c>
      <c r="AA319" s="70"/>
      <c r="AB319" s="70"/>
      <c r="AC319" s="107"/>
      <c r="AD319" s="202"/>
      <c r="AE319" s="202"/>
      <c r="AF319" s="203"/>
      <c r="AG319" s="204"/>
      <c r="AH319" s="205"/>
      <c r="AI319" s="205"/>
      <c r="AJ319" s="81" t="s">
        <v>198</v>
      </c>
      <c r="AK319" s="81" t="s">
        <v>185</v>
      </c>
      <c r="AL319" s="81" t="s">
        <v>185</v>
      </c>
      <c r="AM319" s="72" t="s">
        <v>2283</v>
      </c>
      <c r="AN319" s="20">
        <v>182</v>
      </c>
      <c r="AO319" s="20">
        <v>0</v>
      </c>
      <c r="AP319" s="20">
        <v>0</v>
      </c>
      <c r="AQ319" s="20">
        <v>0</v>
      </c>
      <c r="AR319" s="20">
        <v>0</v>
      </c>
      <c r="AS319" s="20">
        <v>7</v>
      </c>
      <c r="AT319" s="20">
        <v>10</v>
      </c>
      <c r="AU319" s="300">
        <f t="shared" si="45"/>
        <v>199</v>
      </c>
      <c r="AV319" s="20">
        <v>190</v>
      </c>
      <c r="AW319" s="20">
        <v>0</v>
      </c>
      <c r="AX319" s="20">
        <v>0</v>
      </c>
      <c r="AY319" s="20">
        <v>0</v>
      </c>
      <c r="AZ319" s="20">
        <v>0</v>
      </c>
      <c r="BA319" s="20">
        <v>7</v>
      </c>
      <c r="BB319" s="20">
        <v>10</v>
      </c>
      <c r="BC319" s="300">
        <f t="shared" si="46"/>
        <v>207</v>
      </c>
      <c r="BD319" s="42">
        <f t="shared" si="47"/>
        <v>8</v>
      </c>
      <c r="BE319" s="42">
        <f t="shared" si="48"/>
        <v>0</v>
      </c>
      <c r="BF319" s="42">
        <f t="shared" si="49"/>
        <v>0</v>
      </c>
      <c r="BG319" s="42">
        <f t="shared" si="50"/>
        <v>0</v>
      </c>
      <c r="BH319" s="42">
        <f t="shared" si="51"/>
        <v>0</v>
      </c>
      <c r="BI319" s="42">
        <f t="shared" si="52"/>
        <v>0</v>
      </c>
      <c r="BJ319" s="42">
        <f t="shared" si="53"/>
        <v>0</v>
      </c>
      <c r="BK319" s="42">
        <f t="shared" si="54"/>
        <v>8</v>
      </c>
    </row>
    <row r="320" spans="1:63" ht="27" customHeight="1">
      <c r="A320" s="11">
        <f t="shared" si="55"/>
        <v>318</v>
      </c>
      <c r="B320" s="12"/>
      <c r="C320" s="8">
        <v>2604</v>
      </c>
      <c r="D320" s="103" t="s">
        <v>2284</v>
      </c>
      <c r="E320" s="201" t="s">
        <v>2285</v>
      </c>
      <c r="F320" s="90" t="s">
        <v>452</v>
      </c>
      <c r="G320" s="91" t="s">
        <v>2286</v>
      </c>
      <c r="H320" s="24" t="s">
        <v>454</v>
      </c>
      <c r="I320" s="25" t="s">
        <v>2287</v>
      </c>
      <c r="J320" s="82" t="s">
        <v>173</v>
      </c>
      <c r="K320" s="26">
        <v>30904</v>
      </c>
      <c r="L320" s="66" t="s">
        <v>174</v>
      </c>
      <c r="M320" s="23">
        <v>43647</v>
      </c>
      <c r="N320" s="23">
        <v>43468</v>
      </c>
      <c r="O320" s="23" t="s">
        <v>32</v>
      </c>
      <c r="P320" s="16" t="s">
        <v>296</v>
      </c>
      <c r="Q320" s="16" t="s">
        <v>176</v>
      </c>
      <c r="R320" s="11" t="s">
        <v>177</v>
      </c>
      <c r="S320" s="11" t="s">
        <v>223</v>
      </c>
      <c r="T320" s="159"/>
      <c r="U320" s="159"/>
      <c r="V320" s="19" t="s">
        <v>179</v>
      </c>
      <c r="W320" s="19" t="s">
        <v>195</v>
      </c>
      <c r="X320" s="1">
        <v>7</v>
      </c>
      <c r="Y320" s="61" t="s">
        <v>2288</v>
      </c>
      <c r="Z320" s="70"/>
      <c r="AA320" s="70" t="s">
        <v>181</v>
      </c>
      <c r="AB320" s="70"/>
      <c r="AC320" s="107"/>
      <c r="AD320" s="202" t="s">
        <v>183</v>
      </c>
      <c r="AE320" s="202" t="s">
        <v>184</v>
      </c>
      <c r="AF320" s="203"/>
      <c r="AG320" s="204"/>
      <c r="AH320" s="205"/>
      <c r="AI320" s="205"/>
      <c r="AJ320" s="81" t="s">
        <v>198</v>
      </c>
      <c r="AK320" s="81" t="s">
        <v>185</v>
      </c>
      <c r="AL320" s="81" t="s">
        <v>185</v>
      </c>
      <c r="AM320" s="72" t="s">
        <v>2283</v>
      </c>
      <c r="AN320" s="20">
        <v>182</v>
      </c>
      <c r="AO320" s="20">
        <v>0</v>
      </c>
      <c r="AP320" s="20">
        <v>0</v>
      </c>
      <c r="AQ320" s="20">
        <v>0</v>
      </c>
      <c r="AR320" s="20">
        <v>0</v>
      </c>
      <c r="AS320" s="20">
        <v>7</v>
      </c>
      <c r="AT320" s="20">
        <v>10</v>
      </c>
      <c r="AU320" s="300">
        <f t="shared" si="45"/>
        <v>199</v>
      </c>
      <c r="AV320" s="20">
        <v>190</v>
      </c>
      <c r="AW320" s="20">
        <v>0</v>
      </c>
      <c r="AX320" s="20">
        <v>0</v>
      </c>
      <c r="AY320" s="20">
        <v>0</v>
      </c>
      <c r="AZ320" s="20">
        <v>0</v>
      </c>
      <c r="BA320" s="20">
        <v>7</v>
      </c>
      <c r="BB320" s="20">
        <v>10</v>
      </c>
      <c r="BC320" s="300">
        <f t="shared" si="46"/>
        <v>207</v>
      </c>
      <c r="BD320" s="42">
        <f t="shared" si="47"/>
        <v>8</v>
      </c>
      <c r="BE320" s="42">
        <f t="shared" si="48"/>
        <v>0</v>
      </c>
      <c r="BF320" s="42">
        <f t="shared" si="49"/>
        <v>0</v>
      </c>
      <c r="BG320" s="42">
        <f t="shared" si="50"/>
        <v>0</v>
      </c>
      <c r="BH320" s="42">
        <f t="shared" si="51"/>
        <v>0</v>
      </c>
      <c r="BI320" s="42">
        <f t="shared" si="52"/>
        <v>0</v>
      </c>
      <c r="BJ320" s="42">
        <f t="shared" si="53"/>
        <v>0</v>
      </c>
      <c r="BK320" s="42">
        <f t="shared" si="54"/>
        <v>8</v>
      </c>
    </row>
    <row r="321" spans="1:63" ht="27" customHeight="1">
      <c r="A321" s="11">
        <f t="shared" si="55"/>
        <v>319</v>
      </c>
      <c r="B321" s="12"/>
      <c r="C321" s="8">
        <v>2598</v>
      </c>
      <c r="D321" s="103" t="s">
        <v>2289</v>
      </c>
      <c r="E321" s="201" t="s">
        <v>2290</v>
      </c>
      <c r="F321" s="90" t="s">
        <v>2291</v>
      </c>
      <c r="G321" s="91" t="s">
        <v>2292</v>
      </c>
      <c r="H321" s="24" t="s">
        <v>2293</v>
      </c>
      <c r="I321" s="25" t="s">
        <v>2294</v>
      </c>
      <c r="J321" s="82" t="s">
        <v>173</v>
      </c>
      <c r="K321" s="26">
        <v>30806</v>
      </c>
      <c r="L321" s="66" t="s">
        <v>174</v>
      </c>
      <c r="M321" s="23">
        <v>43647</v>
      </c>
      <c r="N321" s="23">
        <v>43468</v>
      </c>
      <c r="O321" s="23" t="s">
        <v>32</v>
      </c>
      <c r="P321" s="16" t="s">
        <v>304</v>
      </c>
      <c r="Q321" s="16" t="s">
        <v>176</v>
      </c>
      <c r="R321" s="11" t="s">
        <v>177</v>
      </c>
      <c r="S321" s="11" t="s">
        <v>214</v>
      </c>
      <c r="T321" s="159"/>
      <c r="U321" s="159"/>
      <c r="V321" s="19" t="s">
        <v>195</v>
      </c>
      <c r="W321" s="19" t="s">
        <v>179</v>
      </c>
      <c r="X321" s="1">
        <v>6</v>
      </c>
      <c r="Y321" s="61" t="s">
        <v>2295</v>
      </c>
      <c r="Z321" s="70"/>
      <c r="AA321" s="70" t="s">
        <v>181</v>
      </c>
      <c r="AB321" s="70"/>
      <c r="AC321" s="107"/>
      <c r="AD321" s="202" t="s">
        <v>183</v>
      </c>
      <c r="AE321" s="202" t="s">
        <v>184</v>
      </c>
      <c r="AF321" s="203"/>
      <c r="AG321" s="204"/>
      <c r="AH321" s="205"/>
      <c r="AI321" s="205"/>
      <c r="AJ321" s="81" t="s">
        <v>198</v>
      </c>
      <c r="AK321" s="81" t="s">
        <v>185</v>
      </c>
      <c r="AL321" s="81" t="s">
        <v>185</v>
      </c>
      <c r="AM321" s="72" t="s">
        <v>2283</v>
      </c>
      <c r="AN321" s="20">
        <v>182</v>
      </c>
      <c r="AO321" s="20">
        <v>0</v>
      </c>
      <c r="AP321" s="20">
        <v>0</v>
      </c>
      <c r="AQ321" s="20">
        <v>0</v>
      </c>
      <c r="AR321" s="20">
        <v>0</v>
      </c>
      <c r="AS321" s="20">
        <v>7</v>
      </c>
      <c r="AT321" s="20">
        <v>10</v>
      </c>
      <c r="AU321" s="300">
        <f t="shared" si="45"/>
        <v>199</v>
      </c>
      <c r="AV321" s="20">
        <v>190</v>
      </c>
      <c r="AW321" s="20">
        <v>0</v>
      </c>
      <c r="AX321" s="20">
        <v>0</v>
      </c>
      <c r="AY321" s="20">
        <v>0</v>
      </c>
      <c r="AZ321" s="20">
        <v>0</v>
      </c>
      <c r="BA321" s="20">
        <v>7</v>
      </c>
      <c r="BB321" s="20">
        <v>10</v>
      </c>
      <c r="BC321" s="300">
        <f t="shared" si="46"/>
        <v>207</v>
      </c>
      <c r="BD321" s="42">
        <f t="shared" si="47"/>
        <v>8</v>
      </c>
      <c r="BE321" s="42">
        <f t="shared" si="48"/>
        <v>0</v>
      </c>
      <c r="BF321" s="42">
        <f t="shared" si="49"/>
        <v>0</v>
      </c>
      <c r="BG321" s="42">
        <f t="shared" si="50"/>
        <v>0</v>
      </c>
      <c r="BH321" s="42">
        <f t="shared" si="51"/>
        <v>0</v>
      </c>
      <c r="BI321" s="42">
        <f t="shared" si="52"/>
        <v>0</v>
      </c>
      <c r="BJ321" s="42">
        <f t="shared" si="53"/>
        <v>0</v>
      </c>
      <c r="BK321" s="42">
        <f t="shared" si="54"/>
        <v>8</v>
      </c>
    </row>
    <row r="322" spans="1:63" ht="27" customHeight="1">
      <c r="A322" s="11">
        <f t="shared" si="55"/>
        <v>320</v>
      </c>
      <c r="B322" s="12"/>
      <c r="C322" s="8">
        <v>2603</v>
      </c>
      <c r="D322" s="103" t="s">
        <v>2296</v>
      </c>
      <c r="E322" s="201" t="s">
        <v>2297</v>
      </c>
      <c r="F322" s="90" t="s">
        <v>958</v>
      </c>
      <c r="G322" s="91" t="s">
        <v>2298</v>
      </c>
      <c r="H322" s="24" t="s">
        <v>959</v>
      </c>
      <c r="I322" s="25" t="s">
        <v>2299</v>
      </c>
      <c r="J322" s="82" t="s">
        <v>173</v>
      </c>
      <c r="K322" s="26">
        <v>35613</v>
      </c>
      <c r="L322" s="66" t="s">
        <v>174</v>
      </c>
      <c r="M322" s="23">
        <v>43647</v>
      </c>
      <c r="N322" s="23">
        <v>43468</v>
      </c>
      <c r="O322" s="23" t="s">
        <v>32</v>
      </c>
      <c r="P322" s="16" t="s">
        <v>343</v>
      </c>
      <c r="Q322" s="16" t="s">
        <v>176</v>
      </c>
      <c r="R322" s="11" t="s">
        <v>177</v>
      </c>
      <c r="S322" s="17" t="s">
        <v>251</v>
      </c>
      <c r="T322" s="159"/>
      <c r="U322" s="159"/>
      <c r="V322" s="19" t="s">
        <v>179</v>
      </c>
      <c r="W322" s="19" t="s">
        <v>195</v>
      </c>
      <c r="X322" s="1">
        <v>5</v>
      </c>
      <c r="Y322" s="61" t="s">
        <v>2300</v>
      </c>
      <c r="Z322" s="70"/>
      <c r="AA322" s="70" t="s">
        <v>181</v>
      </c>
      <c r="AB322" s="70"/>
      <c r="AC322" s="107"/>
      <c r="AD322" s="202"/>
      <c r="AE322" s="202"/>
      <c r="AF322" s="203"/>
      <c r="AG322" s="204"/>
      <c r="AH322" s="205"/>
      <c r="AI322" s="205"/>
      <c r="AJ322" s="81" t="s">
        <v>198</v>
      </c>
      <c r="AK322" s="81" t="s">
        <v>185</v>
      </c>
      <c r="AL322" s="81" t="s">
        <v>185</v>
      </c>
      <c r="AM322" s="72" t="s">
        <v>2301</v>
      </c>
      <c r="AN322" s="20">
        <v>182</v>
      </c>
      <c r="AO322" s="20">
        <v>0</v>
      </c>
      <c r="AP322" s="20">
        <v>0</v>
      </c>
      <c r="AQ322" s="20">
        <v>0</v>
      </c>
      <c r="AR322" s="20">
        <v>0</v>
      </c>
      <c r="AS322" s="20">
        <v>7</v>
      </c>
      <c r="AT322" s="20">
        <v>10</v>
      </c>
      <c r="AU322" s="300">
        <f t="shared" si="45"/>
        <v>199</v>
      </c>
      <c r="AV322" s="20">
        <v>190</v>
      </c>
      <c r="AW322" s="20">
        <v>0</v>
      </c>
      <c r="AX322" s="20">
        <v>0</v>
      </c>
      <c r="AY322" s="20">
        <v>0</v>
      </c>
      <c r="AZ322" s="20">
        <v>0</v>
      </c>
      <c r="BA322" s="20">
        <v>7</v>
      </c>
      <c r="BB322" s="20">
        <v>10</v>
      </c>
      <c r="BC322" s="300">
        <f t="shared" si="46"/>
        <v>207</v>
      </c>
      <c r="BD322" s="42">
        <f t="shared" si="47"/>
        <v>8</v>
      </c>
      <c r="BE322" s="42">
        <f t="shared" si="48"/>
        <v>0</v>
      </c>
      <c r="BF322" s="42">
        <f t="shared" si="49"/>
        <v>0</v>
      </c>
      <c r="BG322" s="42">
        <f t="shared" si="50"/>
        <v>0</v>
      </c>
      <c r="BH322" s="42">
        <f t="shared" si="51"/>
        <v>0</v>
      </c>
      <c r="BI322" s="42">
        <f t="shared" si="52"/>
        <v>0</v>
      </c>
      <c r="BJ322" s="42">
        <f t="shared" si="53"/>
        <v>0</v>
      </c>
      <c r="BK322" s="42">
        <f t="shared" si="54"/>
        <v>8</v>
      </c>
    </row>
    <row r="323" spans="1:63" ht="27" customHeight="1">
      <c r="A323" s="11">
        <f t="shared" si="55"/>
        <v>321</v>
      </c>
      <c r="B323" s="12"/>
      <c r="C323" s="8">
        <v>2620</v>
      </c>
      <c r="D323" s="8" t="s">
        <v>2302</v>
      </c>
      <c r="E323" s="201" t="s">
        <v>2303</v>
      </c>
      <c r="F323" s="90" t="s">
        <v>2304</v>
      </c>
      <c r="G323" s="91" t="s">
        <v>2305</v>
      </c>
      <c r="H323" s="24" t="s">
        <v>2306</v>
      </c>
      <c r="I323" s="25" t="s">
        <v>2307</v>
      </c>
      <c r="J323" s="82" t="s">
        <v>173</v>
      </c>
      <c r="K323" s="26">
        <v>31623</v>
      </c>
      <c r="L323" s="66" t="s">
        <v>174</v>
      </c>
      <c r="M323" s="23">
        <v>43647</v>
      </c>
      <c r="N323" s="23">
        <v>43476</v>
      </c>
      <c r="O323" s="23" t="s">
        <v>32</v>
      </c>
      <c r="P323" s="16" t="s">
        <v>343</v>
      </c>
      <c r="Q323" s="16" t="s">
        <v>176</v>
      </c>
      <c r="R323" s="11" t="s">
        <v>177</v>
      </c>
      <c r="S323" s="17" t="s">
        <v>251</v>
      </c>
      <c r="T323" s="159"/>
      <c r="U323" s="159"/>
      <c r="V323" s="19" t="s">
        <v>195</v>
      </c>
      <c r="W323" s="19" t="s">
        <v>195</v>
      </c>
      <c r="X323" s="1">
        <v>3</v>
      </c>
      <c r="Y323" s="61" t="s">
        <v>2308</v>
      </c>
      <c r="Z323" s="70"/>
      <c r="AA323" s="70" t="s">
        <v>181</v>
      </c>
      <c r="AB323" s="70"/>
      <c r="AC323" s="107"/>
      <c r="AD323" s="202" t="s">
        <v>184</v>
      </c>
      <c r="AE323" s="203" t="s">
        <v>184</v>
      </c>
      <c r="AF323" s="203"/>
      <c r="AG323" s="204"/>
      <c r="AH323" s="205"/>
      <c r="AI323" s="205"/>
      <c r="AJ323" s="81" t="s">
        <v>198</v>
      </c>
      <c r="AK323" s="81" t="s">
        <v>185</v>
      </c>
      <c r="AL323" s="81" t="s">
        <v>185</v>
      </c>
      <c r="AM323" s="72" t="s">
        <v>2309</v>
      </c>
      <c r="AN323" s="20">
        <v>182</v>
      </c>
      <c r="AO323" s="20">
        <v>0</v>
      </c>
      <c r="AP323" s="20">
        <v>0</v>
      </c>
      <c r="AQ323" s="20">
        <v>0</v>
      </c>
      <c r="AR323" s="20">
        <v>0</v>
      </c>
      <c r="AS323" s="20">
        <v>7</v>
      </c>
      <c r="AT323" s="20">
        <v>10</v>
      </c>
      <c r="AU323" s="300">
        <f t="shared" si="45"/>
        <v>199</v>
      </c>
      <c r="AV323" s="20">
        <v>190</v>
      </c>
      <c r="AW323" s="20">
        <v>0</v>
      </c>
      <c r="AX323" s="20">
        <v>0</v>
      </c>
      <c r="AY323" s="20">
        <v>0</v>
      </c>
      <c r="AZ323" s="20">
        <v>0</v>
      </c>
      <c r="BA323" s="20">
        <v>7</v>
      </c>
      <c r="BB323" s="20">
        <v>10</v>
      </c>
      <c r="BC323" s="300">
        <f t="shared" si="46"/>
        <v>207</v>
      </c>
      <c r="BD323" s="42">
        <f t="shared" si="47"/>
        <v>8</v>
      </c>
      <c r="BE323" s="42">
        <f t="shared" si="48"/>
        <v>0</v>
      </c>
      <c r="BF323" s="42">
        <f t="shared" si="49"/>
        <v>0</v>
      </c>
      <c r="BG323" s="42">
        <f t="shared" si="50"/>
        <v>0</v>
      </c>
      <c r="BH323" s="42">
        <f t="shared" si="51"/>
        <v>0</v>
      </c>
      <c r="BI323" s="42">
        <f t="shared" si="52"/>
        <v>0</v>
      </c>
      <c r="BJ323" s="42">
        <f t="shared" si="53"/>
        <v>0</v>
      </c>
      <c r="BK323" s="42">
        <f t="shared" si="54"/>
        <v>8</v>
      </c>
    </row>
    <row r="324" spans="1:63" ht="27" customHeight="1">
      <c r="A324" s="11">
        <f t="shared" si="55"/>
        <v>322</v>
      </c>
      <c r="B324" s="12"/>
      <c r="C324" s="8">
        <v>2637</v>
      </c>
      <c r="D324" s="103" t="s">
        <v>2310</v>
      </c>
      <c r="E324" s="201" t="s">
        <v>2311</v>
      </c>
      <c r="F324" s="90" t="s">
        <v>2312</v>
      </c>
      <c r="G324" s="91" t="s">
        <v>2313</v>
      </c>
      <c r="H324" s="24" t="s">
        <v>2314</v>
      </c>
      <c r="I324" s="25" t="s">
        <v>2315</v>
      </c>
      <c r="J324" s="82" t="s">
        <v>173</v>
      </c>
      <c r="K324" s="26">
        <v>31696</v>
      </c>
      <c r="L324" s="66" t="s">
        <v>174</v>
      </c>
      <c r="M324" s="23">
        <v>43678</v>
      </c>
      <c r="N324" s="23">
        <v>43488</v>
      </c>
      <c r="O324" s="23" t="s">
        <v>32</v>
      </c>
      <c r="P324" s="16" t="s">
        <v>1080</v>
      </c>
      <c r="Q324" s="16" t="s">
        <v>176</v>
      </c>
      <c r="R324" s="11" t="s">
        <v>177</v>
      </c>
      <c r="S324" s="11" t="s">
        <v>223</v>
      </c>
      <c r="T324" s="159"/>
      <c r="U324" s="159"/>
      <c r="V324" s="19" t="s">
        <v>195</v>
      </c>
      <c r="W324" s="19" t="s">
        <v>195</v>
      </c>
      <c r="X324" s="1">
        <v>7</v>
      </c>
      <c r="Y324" s="61" t="s">
        <v>2316</v>
      </c>
      <c r="Z324" s="70"/>
      <c r="AA324" s="70" t="s">
        <v>181</v>
      </c>
      <c r="AB324" s="70"/>
      <c r="AC324" s="107"/>
      <c r="AD324" s="202" t="s">
        <v>184</v>
      </c>
      <c r="AE324" s="202" t="s">
        <v>184</v>
      </c>
      <c r="AF324" s="203"/>
      <c r="AG324" s="204"/>
      <c r="AH324" s="205"/>
      <c r="AI324" s="205"/>
      <c r="AJ324" s="81" t="s">
        <v>198</v>
      </c>
      <c r="AK324" s="81" t="s">
        <v>185</v>
      </c>
      <c r="AL324" s="81" t="s">
        <v>185</v>
      </c>
      <c r="AM324" s="72" t="s">
        <v>2283</v>
      </c>
      <c r="AN324" s="20">
        <v>182</v>
      </c>
      <c r="AO324" s="20">
        <v>0</v>
      </c>
      <c r="AP324" s="20">
        <v>0</v>
      </c>
      <c r="AQ324" s="20">
        <v>0</v>
      </c>
      <c r="AR324" s="20">
        <v>0</v>
      </c>
      <c r="AS324" s="20">
        <v>7</v>
      </c>
      <c r="AT324" s="20">
        <v>10</v>
      </c>
      <c r="AU324" s="300">
        <f t="shared" ref="AU324:AU387" si="56">SUM(AN324:AT324)</f>
        <v>199</v>
      </c>
      <c r="AV324" s="20">
        <v>190</v>
      </c>
      <c r="AW324" s="20">
        <v>0</v>
      </c>
      <c r="AX324" s="20">
        <v>0</v>
      </c>
      <c r="AY324" s="20">
        <v>0</v>
      </c>
      <c r="AZ324" s="20">
        <v>0</v>
      </c>
      <c r="BA324" s="20">
        <v>7</v>
      </c>
      <c r="BB324" s="20">
        <v>10</v>
      </c>
      <c r="BC324" s="300">
        <f t="shared" ref="BC324:BC387" si="57">SUM(AV324:BB324)</f>
        <v>207</v>
      </c>
      <c r="BD324" s="42">
        <f t="shared" ref="BD324:BD387" si="58">AV324-AN324</f>
        <v>8</v>
      </c>
      <c r="BE324" s="42">
        <f t="shared" ref="BE324:BE387" si="59">AW324-AO324</f>
        <v>0</v>
      </c>
      <c r="BF324" s="42">
        <f t="shared" ref="BF324:BF387" si="60">AX324-AP324</f>
        <v>0</v>
      </c>
      <c r="BG324" s="42">
        <f t="shared" ref="BG324:BG387" si="61">AY324-AQ324</f>
        <v>0</v>
      </c>
      <c r="BH324" s="42">
        <f t="shared" ref="BH324:BH387" si="62">AZ324-AR324</f>
        <v>0</v>
      </c>
      <c r="BI324" s="42">
        <f t="shared" ref="BI324:BI387" si="63">BA324-AS324</f>
        <v>0</v>
      </c>
      <c r="BJ324" s="42">
        <f t="shared" ref="BJ324:BJ387" si="64">BB324-AT324</f>
        <v>0</v>
      </c>
      <c r="BK324" s="42">
        <f t="shared" ref="BK324:BK387" si="65">BC324-AU324</f>
        <v>8</v>
      </c>
    </row>
    <row r="325" spans="1:63" ht="27" customHeight="1">
      <c r="A325" s="11">
        <f t="shared" ref="A325:A388" si="66">1+A324</f>
        <v>323</v>
      </c>
      <c r="B325" s="12"/>
      <c r="C325" s="8">
        <v>2628</v>
      </c>
      <c r="D325" s="103" t="s">
        <v>2317</v>
      </c>
      <c r="E325" s="201" t="s">
        <v>2318</v>
      </c>
      <c r="F325" s="90" t="s">
        <v>2319</v>
      </c>
      <c r="G325" s="91" t="s">
        <v>2320</v>
      </c>
      <c r="H325" s="24" t="s">
        <v>2321</v>
      </c>
      <c r="I325" s="25" t="s">
        <v>2322</v>
      </c>
      <c r="J325" s="82" t="s">
        <v>173</v>
      </c>
      <c r="K325" s="26">
        <v>35493</v>
      </c>
      <c r="L325" s="66" t="s">
        <v>174</v>
      </c>
      <c r="M325" s="23">
        <v>43678</v>
      </c>
      <c r="N325" s="23">
        <v>43482</v>
      </c>
      <c r="O325" s="23" t="s">
        <v>32</v>
      </c>
      <c r="P325" s="16" t="s">
        <v>381</v>
      </c>
      <c r="Q325" s="16" t="s">
        <v>176</v>
      </c>
      <c r="R325" s="11" t="s">
        <v>177</v>
      </c>
      <c r="S325" s="11" t="s">
        <v>1104</v>
      </c>
      <c r="T325" s="159"/>
      <c r="U325" s="159"/>
      <c r="V325" s="19" t="s">
        <v>195</v>
      </c>
      <c r="W325" s="19" t="s">
        <v>195</v>
      </c>
      <c r="X325" s="1">
        <v>8</v>
      </c>
      <c r="Y325" s="61" t="s">
        <v>2323</v>
      </c>
      <c r="Z325" s="70"/>
      <c r="AA325" s="70" t="s">
        <v>181</v>
      </c>
      <c r="AB325" s="70"/>
      <c r="AC325" s="107"/>
      <c r="AD325" s="202" t="s">
        <v>184</v>
      </c>
      <c r="AE325" s="202"/>
      <c r="AF325" s="203"/>
      <c r="AG325" s="204"/>
      <c r="AH325" s="205"/>
      <c r="AI325" s="205"/>
      <c r="AJ325" s="81" t="s">
        <v>198</v>
      </c>
      <c r="AK325" s="81" t="s">
        <v>185</v>
      </c>
      <c r="AL325" s="81" t="s">
        <v>185</v>
      </c>
      <c r="AM325" s="72" t="s">
        <v>2324</v>
      </c>
      <c r="AN325" s="20">
        <v>182</v>
      </c>
      <c r="AO325" s="20">
        <v>0</v>
      </c>
      <c r="AP325" s="20">
        <v>0</v>
      </c>
      <c r="AQ325" s="20">
        <v>0</v>
      </c>
      <c r="AR325" s="20">
        <v>0</v>
      </c>
      <c r="AS325" s="20">
        <v>7</v>
      </c>
      <c r="AT325" s="20">
        <v>10</v>
      </c>
      <c r="AU325" s="300">
        <f t="shared" si="56"/>
        <v>199</v>
      </c>
      <c r="AV325" s="20">
        <v>190</v>
      </c>
      <c r="AW325" s="20">
        <v>0</v>
      </c>
      <c r="AX325" s="20">
        <v>0</v>
      </c>
      <c r="AY325" s="20">
        <v>0</v>
      </c>
      <c r="AZ325" s="20">
        <v>0</v>
      </c>
      <c r="BA325" s="20">
        <v>7</v>
      </c>
      <c r="BB325" s="20">
        <v>10</v>
      </c>
      <c r="BC325" s="300">
        <f t="shared" si="57"/>
        <v>207</v>
      </c>
      <c r="BD325" s="42">
        <f t="shared" si="58"/>
        <v>8</v>
      </c>
      <c r="BE325" s="42">
        <f t="shared" si="59"/>
        <v>0</v>
      </c>
      <c r="BF325" s="42">
        <f t="shared" si="60"/>
        <v>0</v>
      </c>
      <c r="BG325" s="42">
        <f t="shared" si="61"/>
        <v>0</v>
      </c>
      <c r="BH325" s="42">
        <f t="shared" si="62"/>
        <v>0</v>
      </c>
      <c r="BI325" s="42">
        <f t="shared" si="63"/>
        <v>0</v>
      </c>
      <c r="BJ325" s="42">
        <f t="shared" si="64"/>
        <v>0</v>
      </c>
      <c r="BK325" s="42">
        <f t="shared" si="65"/>
        <v>8</v>
      </c>
    </row>
    <row r="326" spans="1:63" ht="27" customHeight="1">
      <c r="A326" s="11">
        <f t="shared" si="66"/>
        <v>324</v>
      </c>
      <c r="B326" s="12"/>
      <c r="C326" s="8">
        <v>2642</v>
      </c>
      <c r="D326" s="103" t="s">
        <v>2325</v>
      </c>
      <c r="E326" s="201" t="s">
        <v>2326</v>
      </c>
      <c r="F326" s="90" t="s">
        <v>552</v>
      </c>
      <c r="G326" s="91" t="s">
        <v>1001</v>
      </c>
      <c r="H326" s="24" t="s">
        <v>2327</v>
      </c>
      <c r="I326" s="25" t="s">
        <v>2328</v>
      </c>
      <c r="J326" s="82" t="s">
        <v>173</v>
      </c>
      <c r="K326" s="26">
        <v>29838</v>
      </c>
      <c r="L326" s="66" t="s">
        <v>174</v>
      </c>
      <c r="M326" s="23">
        <v>43678</v>
      </c>
      <c r="N326" s="23">
        <v>43493</v>
      </c>
      <c r="O326" s="23" t="s">
        <v>32</v>
      </c>
      <c r="P326" s="16" t="s">
        <v>222</v>
      </c>
      <c r="Q326" s="16" t="s">
        <v>176</v>
      </c>
      <c r="R326" s="11" t="s">
        <v>177</v>
      </c>
      <c r="S326" s="11" t="s">
        <v>214</v>
      </c>
      <c r="T326" s="159"/>
      <c r="U326" s="159"/>
      <c r="V326" s="19" t="s">
        <v>195</v>
      </c>
      <c r="W326" s="19" t="s">
        <v>195</v>
      </c>
      <c r="X326" s="1">
        <v>6</v>
      </c>
      <c r="Y326" s="61" t="s">
        <v>2329</v>
      </c>
      <c r="Z326" s="70"/>
      <c r="AA326" s="70" t="s">
        <v>181</v>
      </c>
      <c r="AB326" s="70"/>
      <c r="AC326" s="107"/>
      <c r="AD326" s="202" t="s">
        <v>2330</v>
      </c>
      <c r="AE326" s="202" t="s">
        <v>184</v>
      </c>
      <c r="AF326" s="203" t="s">
        <v>184</v>
      </c>
      <c r="AG326" s="204"/>
      <c r="AH326" s="205"/>
      <c r="AI326" s="205"/>
      <c r="AJ326" s="81" t="s">
        <v>198</v>
      </c>
      <c r="AK326" s="81" t="s">
        <v>185</v>
      </c>
      <c r="AL326" s="81" t="s">
        <v>185</v>
      </c>
      <c r="AM326" s="72" t="s">
        <v>2331</v>
      </c>
      <c r="AN326" s="20">
        <v>182</v>
      </c>
      <c r="AO326" s="20">
        <v>0</v>
      </c>
      <c r="AP326" s="20">
        <v>0</v>
      </c>
      <c r="AQ326" s="20">
        <v>0</v>
      </c>
      <c r="AR326" s="20">
        <v>0</v>
      </c>
      <c r="AS326" s="20">
        <v>7</v>
      </c>
      <c r="AT326" s="20">
        <v>10</v>
      </c>
      <c r="AU326" s="300">
        <f t="shared" si="56"/>
        <v>199</v>
      </c>
      <c r="AV326" s="20">
        <v>190</v>
      </c>
      <c r="AW326" s="20">
        <v>0</v>
      </c>
      <c r="AX326" s="20">
        <v>0</v>
      </c>
      <c r="AY326" s="20">
        <v>0</v>
      </c>
      <c r="AZ326" s="20">
        <v>0</v>
      </c>
      <c r="BA326" s="20">
        <v>7</v>
      </c>
      <c r="BB326" s="20">
        <v>10</v>
      </c>
      <c r="BC326" s="300">
        <f t="shared" si="57"/>
        <v>207</v>
      </c>
      <c r="BD326" s="42">
        <f t="shared" si="58"/>
        <v>8</v>
      </c>
      <c r="BE326" s="42">
        <f t="shared" si="59"/>
        <v>0</v>
      </c>
      <c r="BF326" s="42">
        <f t="shared" si="60"/>
        <v>0</v>
      </c>
      <c r="BG326" s="42">
        <f t="shared" si="61"/>
        <v>0</v>
      </c>
      <c r="BH326" s="42">
        <f t="shared" si="62"/>
        <v>0</v>
      </c>
      <c r="BI326" s="42">
        <f t="shared" si="63"/>
        <v>0</v>
      </c>
      <c r="BJ326" s="42">
        <f t="shared" si="64"/>
        <v>0</v>
      </c>
      <c r="BK326" s="42">
        <f t="shared" si="65"/>
        <v>8</v>
      </c>
    </row>
    <row r="327" spans="1:63" ht="27" customHeight="1">
      <c r="A327" s="11">
        <f t="shared" si="66"/>
        <v>325</v>
      </c>
      <c r="B327" s="12"/>
      <c r="C327" s="8">
        <v>2638</v>
      </c>
      <c r="D327" s="103" t="s">
        <v>2332</v>
      </c>
      <c r="E327" s="201" t="s">
        <v>2333</v>
      </c>
      <c r="F327" s="90" t="s">
        <v>2334</v>
      </c>
      <c r="G327" s="91" t="s">
        <v>1572</v>
      </c>
      <c r="H327" s="24" t="s">
        <v>2335</v>
      </c>
      <c r="I327" s="25" t="s">
        <v>2336</v>
      </c>
      <c r="J327" s="82" t="s">
        <v>173</v>
      </c>
      <c r="K327" s="26">
        <v>33407</v>
      </c>
      <c r="L327" s="66" t="s">
        <v>174</v>
      </c>
      <c r="M327" s="23">
        <v>43678</v>
      </c>
      <c r="N327" s="23">
        <v>43491</v>
      </c>
      <c r="O327" s="23" t="s">
        <v>32</v>
      </c>
      <c r="P327" s="16" t="s">
        <v>507</v>
      </c>
      <c r="Q327" s="16" t="s">
        <v>176</v>
      </c>
      <c r="R327" s="11" t="s">
        <v>177</v>
      </c>
      <c r="S327" s="11" t="s">
        <v>214</v>
      </c>
      <c r="T327" s="159"/>
      <c r="U327" s="159"/>
      <c r="V327" s="19" t="s">
        <v>195</v>
      </c>
      <c r="W327" s="19" t="s">
        <v>195</v>
      </c>
      <c r="X327" s="1">
        <v>5</v>
      </c>
      <c r="Y327" s="61" t="s">
        <v>2337</v>
      </c>
      <c r="Z327" s="70"/>
      <c r="AA327" s="70" t="s">
        <v>181</v>
      </c>
      <c r="AB327" s="70"/>
      <c r="AC327" s="107"/>
      <c r="AD327" s="202" t="s">
        <v>184</v>
      </c>
      <c r="AE327" s="202"/>
      <c r="AF327" s="203"/>
      <c r="AG327" s="204"/>
      <c r="AH327" s="205"/>
      <c r="AI327" s="205"/>
      <c r="AJ327" s="81" t="s">
        <v>198</v>
      </c>
      <c r="AK327" s="81" t="s">
        <v>185</v>
      </c>
      <c r="AL327" s="81" t="s">
        <v>185</v>
      </c>
      <c r="AM327" s="72" t="s">
        <v>2338</v>
      </c>
      <c r="AN327" s="20">
        <v>182</v>
      </c>
      <c r="AO327" s="20">
        <v>0</v>
      </c>
      <c r="AP327" s="20">
        <v>0</v>
      </c>
      <c r="AQ327" s="20">
        <v>0</v>
      </c>
      <c r="AR327" s="20">
        <v>0</v>
      </c>
      <c r="AS327" s="20">
        <v>7</v>
      </c>
      <c r="AT327" s="20">
        <v>10</v>
      </c>
      <c r="AU327" s="300">
        <f t="shared" si="56"/>
        <v>199</v>
      </c>
      <c r="AV327" s="20">
        <v>190</v>
      </c>
      <c r="AW327" s="20">
        <v>0</v>
      </c>
      <c r="AX327" s="20">
        <v>0</v>
      </c>
      <c r="AY327" s="20">
        <v>0</v>
      </c>
      <c r="AZ327" s="20">
        <v>0</v>
      </c>
      <c r="BA327" s="20">
        <v>7</v>
      </c>
      <c r="BB327" s="20">
        <v>10</v>
      </c>
      <c r="BC327" s="300">
        <f t="shared" si="57"/>
        <v>207</v>
      </c>
      <c r="BD327" s="42">
        <f t="shared" si="58"/>
        <v>8</v>
      </c>
      <c r="BE327" s="42">
        <f t="shared" si="59"/>
        <v>0</v>
      </c>
      <c r="BF327" s="42">
        <f t="shared" si="60"/>
        <v>0</v>
      </c>
      <c r="BG327" s="42">
        <f t="shared" si="61"/>
        <v>0</v>
      </c>
      <c r="BH327" s="42">
        <f t="shared" si="62"/>
        <v>0</v>
      </c>
      <c r="BI327" s="42">
        <f t="shared" si="63"/>
        <v>0</v>
      </c>
      <c r="BJ327" s="42">
        <f t="shared" si="64"/>
        <v>0</v>
      </c>
      <c r="BK327" s="42">
        <f t="shared" si="65"/>
        <v>8</v>
      </c>
    </row>
    <row r="328" spans="1:63" ht="27" customHeight="1">
      <c r="A328" s="11">
        <f t="shared" si="66"/>
        <v>326</v>
      </c>
      <c r="B328" s="12"/>
      <c r="C328" s="8">
        <v>2654</v>
      </c>
      <c r="D328" s="103" t="s">
        <v>2339</v>
      </c>
      <c r="E328" s="201" t="s">
        <v>2340</v>
      </c>
      <c r="F328" s="90" t="s">
        <v>2341</v>
      </c>
      <c r="G328" s="91" t="s">
        <v>1248</v>
      </c>
      <c r="H328" s="24" t="s">
        <v>2342</v>
      </c>
      <c r="I328" s="25" t="s">
        <v>1250</v>
      </c>
      <c r="J328" s="82" t="s">
        <v>173</v>
      </c>
      <c r="K328" s="26">
        <v>34061</v>
      </c>
      <c r="L328" s="66" t="s">
        <v>174</v>
      </c>
      <c r="M328" s="23">
        <v>43678</v>
      </c>
      <c r="N328" s="23">
        <v>43497</v>
      </c>
      <c r="O328" s="23" t="s">
        <v>32</v>
      </c>
      <c r="P328" s="16" t="s">
        <v>1080</v>
      </c>
      <c r="Q328" s="16" t="s">
        <v>176</v>
      </c>
      <c r="R328" s="11" t="s">
        <v>177</v>
      </c>
      <c r="S328" s="17" t="s">
        <v>251</v>
      </c>
      <c r="T328" s="159"/>
      <c r="U328" s="159"/>
      <c r="V328" s="19" t="s">
        <v>2343</v>
      </c>
      <c r="W328" s="19" t="s">
        <v>2343</v>
      </c>
      <c r="X328" s="1">
        <v>2</v>
      </c>
      <c r="Y328" s="61"/>
      <c r="Z328" s="70"/>
      <c r="AA328" s="70" t="s">
        <v>181</v>
      </c>
      <c r="AB328" s="70"/>
      <c r="AC328" s="107"/>
      <c r="AD328" s="202" t="s">
        <v>184</v>
      </c>
      <c r="AE328" s="202"/>
      <c r="AF328" s="203"/>
      <c r="AG328" s="204"/>
      <c r="AH328" s="205"/>
      <c r="AI328" s="205"/>
      <c r="AJ328" s="81" t="s">
        <v>198</v>
      </c>
      <c r="AK328" s="81" t="s">
        <v>185</v>
      </c>
      <c r="AL328" s="81" t="s">
        <v>185</v>
      </c>
      <c r="AM328" s="72" t="s">
        <v>2344</v>
      </c>
      <c r="AN328" s="20">
        <v>182</v>
      </c>
      <c r="AO328" s="20">
        <v>0</v>
      </c>
      <c r="AP328" s="20">
        <v>0</v>
      </c>
      <c r="AQ328" s="20">
        <v>0</v>
      </c>
      <c r="AR328" s="20">
        <v>0</v>
      </c>
      <c r="AS328" s="20">
        <v>7</v>
      </c>
      <c r="AT328" s="20">
        <v>10</v>
      </c>
      <c r="AU328" s="300">
        <f t="shared" si="56"/>
        <v>199</v>
      </c>
      <c r="AV328" s="20">
        <v>190</v>
      </c>
      <c r="AW328" s="20">
        <v>0</v>
      </c>
      <c r="AX328" s="20">
        <v>0</v>
      </c>
      <c r="AY328" s="20">
        <v>0</v>
      </c>
      <c r="AZ328" s="20">
        <v>0</v>
      </c>
      <c r="BA328" s="20">
        <v>7</v>
      </c>
      <c r="BB328" s="20">
        <v>10</v>
      </c>
      <c r="BC328" s="300">
        <f t="shared" si="57"/>
        <v>207</v>
      </c>
      <c r="BD328" s="42">
        <f t="shared" si="58"/>
        <v>8</v>
      </c>
      <c r="BE328" s="42">
        <f t="shared" si="59"/>
        <v>0</v>
      </c>
      <c r="BF328" s="42">
        <f t="shared" si="60"/>
        <v>0</v>
      </c>
      <c r="BG328" s="42">
        <f t="shared" si="61"/>
        <v>0</v>
      </c>
      <c r="BH328" s="42">
        <f t="shared" si="62"/>
        <v>0</v>
      </c>
      <c r="BI328" s="42">
        <f t="shared" si="63"/>
        <v>0</v>
      </c>
      <c r="BJ328" s="42">
        <f t="shared" si="64"/>
        <v>0</v>
      </c>
      <c r="BK328" s="42">
        <f t="shared" si="65"/>
        <v>8</v>
      </c>
    </row>
    <row r="329" spans="1:63" ht="27" customHeight="1">
      <c r="A329" s="11">
        <f t="shared" si="66"/>
        <v>327</v>
      </c>
      <c r="B329" s="12"/>
      <c r="C329" s="8">
        <v>2678</v>
      </c>
      <c r="D329" s="103" t="s">
        <v>2345</v>
      </c>
      <c r="E329" s="201" t="s">
        <v>2346</v>
      </c>
      <c r="F329" s="90" t="s">
        <v>670</v>
      </c>
      <c r="G329" s="91" t="s">
        <v>2347</v>
      </c>
      <c r="H329" s="24" t="s">
        <v>1961</v>
      </c>
      <c r="I329" s="25" t="s">
        <v>2230</v>
      </c>
      <c r="J329" s="82" t="s">
        <v>173</v>
      </c>
      <c r="K329" s="26">
        <v>33645</v>
      </c>
      <c r="L329" s="66" t="s">
        <v>174</v>
      </c>
      <c r="M329" s="23">
        <v>43678</v>
      </c>
      <c r="N329" s="23">
        <v>43498</v>
      </c>
      <c r="O329" s="23" t="s">
        <v>32</v>
      </c>
      <c r="P329" s="16" t="s">
        <v>1080</v>
      </c>
      <c r="Q329" s="16" t="s">
        <v>176</v>
      </c>
      <c r="R329" s="11" t="s">
        <v>177</v>
      </c>
      <c r="S329" s="11" t="s">
        <v>223</v>
      </c>
      <c r="T329" s="159"/>
      <c r="U329" s="159"/>
      <c r="V329" s="19" t="s">
        <v>195</v>
      </c>
      <c r="W329" s="19" t="s">
        <v>195</v>
      </c>
      <c r="X329" s="1">
        <v>5</v>
      </c>
      <c r="Y329" s="160" t="s">
        <v>2348</v>
      </c>
      <c r="Z329" s="70"/>
      <c r="AA329" s="70" t="s">
        <v>181</v>
      </c>
      <c r="AB329" s="1"/>
      <c r="AC329" s="107"/>
      <c r="AD329" s="202" t="s">
        <v>184</v>
      </c>
      <c r="AE329" s="202"/>
      <c r="AF329" s="203"/>
      <c r="AG329" s="204"/>
      <c r="AH329" s="205"/>
      <c r="AI329" s="205"/>
      <c r="AJ329" s="81" t="s">
        <v>198</v>
      </c>
      <c r="AK329" s="81" t="s">
        <v>185</v>
      </c>
      <c r="AL329" s="81" t="s">
        <v>185</v>
      </c>
      <c r="AM329" s="72" t="s">
        <v>2349</v>
      </c>
      <c r="AN329" s="20">
        <v>182</v>
      </c>
      <c r="AO329" s="20">
        <v>0</v>
      </c>
      <c r="AP329" s="20">
        <v>0</v>
      </c>
      <c r="AQ329" s="20">
        <v>0</v>
      </c>
      <c r="AR329" s="20">
        <v>0</v>
      </c>
      <c r="AS329" s="20">
        <v>7</v>
      </c>
      <c r="AT329" s="20">
        <v>10</v>
      </c>
      <c r="AU329" s="300">
        <f t="shared" si="56"/>
        <v>199</v>
      </c>
      <c r="AV329" s="20">
        <v>190</v>
      </c>
      <c r="AW329" s="20">
        <v>0</v>
      </c>
      <c r="AX329" s="20">
        <v>0</v>
      </c>
      <c r="AY329" s="20">
        <v>0</v>
      </c>
      <c r="AZ329" s="20">
        <v>0</v>
      </c>
      <c r="BA329" s="20">
        <v>7</v>
      </c>
      <c r="BB329" s="20">
        <v>10</v>
      </c>
      <c r="BC329" s="300">
        <f t="shared" si="57"/>
        <v>207</v>
      </c>
      <c r="BD329" s="42">
        <f t="shared" si="58"/>
        <v>8</v>
      </c>
      <c r="BE329" s="42">
        <f t="shared" si="59"/>
        <v>0</v>
      </c>
      <c r="BF329" s="42">
        <f t="shared" si="60"/>
        <v>0</v>
      </c>
      <c r="BG329" s="42">
        <f t="shared" si="61"/>
        <v>0</v>
      </c>
      <c r="BH329" s="42">
        <f t="shared" si="62"/>
        <v>0</v>
      </c>
      <c r="BI329" s="42">
        <f t="shared" si="63"/>
        <v>0</v>
      </c>
      <c r="BJ329" s="42">
        <f t="shared" si="64"/>
        <v>0</v>
      </c>
      <c r="BK329" s="42">
        <f t="shared" si="65"/>
        <v>8</v>
      </c>
    </row>
    <row r="330" spans="1:63" ht="27" customHeight="1">
      <c r="A330" s="11">
        <f t="shared" si="66"/>
        <v>328</v>
      </c>
      <c r="B330" s="12"/>
      <c r="C330" s="8">
        <v>2706</v>
      </c>
      <c r="D330" s="103" t="s">
        <v>2350</v>
      </c>
      <c r="E330" s="201" t="s">
        <v>2351</v>
      </c>
      <c r="F330" s="90" t="s">
        <v>2352</v>
      </c>
      <c r="G330" s="91" t="s">
        <v>2246</v>
      </c>
      <c r="H330" s="24" t="s">
        <v>2353</v>
      </c>
      <c r="I330" s="25" t="s">
        <v>2248</v>
      </c>
      <c r="J330" s="82" t="s">
        <v>173</v>
      </c>
      <c r="K330" s="26">
        <v>35801</v>
      </c>
      <c r="L330" s="66" t="s">
        <v>174</v>
      </c>
      <c r="M330" s="23">
        <v>43678</v>
      </c>
      <c r="N330" s="23">
        <v>43502</v>
      </c>
      <c r="O330" s="23" t="s">
        <v>32</v>
      </c>
      <c r="P330" s="16" t="s">
        <v>343</v>
      </c>
      <c r="Q330" s="16" t="s">
        <v>176</v>
      </c>
      <c r="R330" s="11" t="s">
        <v>177</v>
      </c>
      <c r="S330" s="11" t="s">
        <v>2354</v>
      </c>
      <c r="T330" s="159"/>
      <c r="U330" s="159"/>
      <c r="V330" s="19" t="s">
        <v>179</v>
      </c>
      <c r="W330" s="19" t="s">
        <v>179</v>
      </c>
      <c r="X330" s="1" t="s">
        <v>179</v>
      </c>
      <c r="Y330" s="160" t="s">
        <v>2355</v>
      </c>
      <c r="Z330" s="70"/>
      <c r="AA330" s="70"/>
      <c r="AB330" s="1"/>
      <c r="AC330" s="107"/>
      <c r="AD330" s="202"/>
      <c r="AE330" s="202"/>
      <c r="AF330" s="203"/>
      <c r="AG330" s="204"/>
      <c r="AH330" s="205"/>
      <c r="AI330" s="205"/>
      <c r="AJ330" s="81" t="s">
        <v>198</v>
      </c>
      <c r="AK330" s="81" t="s">
        <v>185</v>
      </c>
      <c r="AL330" s="81" t="s">
        <v>185</v>
      </c>
      <c r="AM330" s="72" t="s">
        <v>2349</v>
      </c>
      <c r="AN330" s="20">
        <v>182</v>
      </c>
      <c r="AO330" s="20">
        <v>0</v>
      </c>
      <c r="AP330" s="20">
        <v>0</v>
      </c>
      <c r="AQ330" s="20">
        <v>0</v>
      </c>
      <c r="AR330" s="20">
        <v>0</v>
      </c>
      <c r="AS330" s="20">
        <v>7</v>
      </c>
      <c r="AT330" s="20">
        <v>10</v>
      </c>
      <c r="AU330" s="300">
        <f t="shared" si="56"/>
        <v>199</v>
      </c>
      <c r="AV330" s="20">
        <v>190</v>
      </c>
      <c r="AW330" s="20">
        <v>0</v>
      </c>
      <c r="AX330" s="20">
        <v>0</v>
      </c>
      <c r="AY330" s="20">
        <v>0</v>
      </c>
      <c r="AZ330" s="20">
        <v>0</v>
      </c>
      <c r="BA330" s="20">
        <v>7</v>
      </c>
      <c r="BB330" s="20">
        <v>10</v>
      </c>
      <c r="BC330" s="300">
        <f t="shared" si="57"/>
        <v>207</v>
      </c>
      <c r="BD330" s="42">
        <f t="shared" si="58"/>
        <v>8</v>
      </c>
      <c r="BE330" s="42">
        <f t="shared" si="59"/>
        <v>0</v>
      </c>
      <c r="BF330" s="42">
        <f t="shared" si="60"/>
        <v>0</v>
      </c>
      <c r="BG330" s="42">
        <f t="shared" si="61"/>
        <v>0</v>
      </c>
      <c r="BH330" s="42">
        <f t="shared" si="62"/>
        <v>0</v>
      </c>
      <c r="BI330" s="42">
        <f t="shared" si="63"/>
        <v>0</v>
      </c>
      <c r="BJ330" s="42">
        <f t="shared" si="64"/>
        <v>0</v>
      </c>
      <c r="BK330" s="42">
        <f t="shared" si="65"/>
        <v>8</v>
      </c>
    </row>
    <row r="331" spans="1:63" ht="27" customHeight="1">
      <c r="A331" s="11">
        <f t="shared" si="66"/>
        <v>329</v>
      </c>
      <c r="B331" s="12"/>
      <c r="C331" s="8">
        <v>2715</v>
      </c>
      <c r="D331" s="103" t="s">
        <v>2356</v>
      </c>
      <c r="E331" s="201" t="s">
        <v>2357</v>
      </c>
      <c r="F331" s="90" t="s">
        <v>2358</v>
      </c>
      <c r="G331" s="91" t="s">
        <v>2359</v>
      </c>
      <c r="H331" s="24" t="s">
        <v>2360</v>
      </c>
      <c r="I331" s="25" t="s">
        <v>2361</v>
      </c>
      <c r="J331" s="82" t="s">
        <v>173</v>
      </c>
      <c r="K331" s="26">
        <v>33727</v>
      </c>
      <c r="L331" s="66" t="s">
        <v>174</v>
      </c>
      <c r="M331" s="23">
        <v>43678</v>
      </c>
      <c r="N331" s="23">
        <v>43504</v>
      </c>
      <c r="O331" s="23" t="s">
        <v>32</v>
      </c>
      <c r="P331" s="16" t="s">
        <v>304</v>
      </c>
      <c r="Q331" s="16" t="s">
        <v>176</v>
      </c>
      <c r="R331" s="11" t="s">
        <v>177</v>
      </c>
      <c r="S331" s="11" t="s">
        <v>2354</v>
      </c>
      <c r="T331" s="159"/>
      <c r="U331" s="159"/>
      <c r="V331" s="19" t="s">
        <v>179</v>
      </c>
      <c r="W331" s="19" t="s">
        <v>179</v>
      </c>
      <c r="X331" s="1" t="s">
        <v>179</v>
      </c>
      <c r="Y331" s="160" t="s">
        <v>2362</v>
      </c>
      <c r="Z331" s="70"/>
      <c r="AA331" s="70"/>
      <c r="AB331" s="1"/>
      <c r="AC331" s="107"/>
      <c r="AD331" s="202"/>
      <c r="AE331" s="202"/>
      <c r="AF331" s="203"/>
      <c r="AG331" s="204"/>
      <c r="AH331" s="205"/>
      <c r="AI331" s="205"/>
      <c r="AJ331" s="81" t="s">
        <v>198</v>
      </c>
      <c r="AK331" s="81" t="s">
        <v>185</v>
      </c>
      <c r="AL331" s="81" t="s">
        <v>185</v>
      </c>
      <c r="AM331" s="72" t="s">
        <v>2349</v>
      </c>
      <c r="AN331" s="20">
        <v>182</v>
      </c>
      <c r="AO331" s="20">
        <v>0</v>
      </c>
      <c r="AP331" s="20">
        <v>0</v>
      </c>
      <c r="AQ331" s="20">
        <v>0</v>
      </c>
      <c r="AR331" s="20">
        <v>0</v>
      </c>
      <c r="AS331" s="20">
        <v>7</v>
      </c>
      <c r="AT331" s="20">
        <v>10</v>
      </c>
      <c r="AU331" s="300">
        <f t="shared" si="56"/>
        <v>199</v>
      </c>
      <c r="AV331" s="20">
        <v>190</v>
      </c>
      <c r="AW331" s="20">
        <v>0</v>
      </c>
      <c r="AX331" s="20">
        <v>0</v>
      </c>
      <c r="AY331" s="20">
        <v>0</v>
      </c>
      <c r="AZ331" s="20">
        <v>0</v>
      </c>
      <c r="BA331" s="20">
        <v>7</v>
      </c>
      <c r="BB331" s="20">
        <v>10</v>
      </c>
      <c r="BC331" s="300">
        <f t="shared" si="57"/>
        <v>207</v>
      </c>
      <c r="BD331" s="42">
        <f t="shared" si="58"/>
        <v>8</v>
      </c>
      <c r="BE331" s="42">
        <f t="shared" si="59"/>
        <v>0</v>
      </c>
      <c r="BF331" s="42">
        <f t="shared" si="60"/>
        <v>0</v>
      </c>
      <c r="BG331" s="42">
        <f t="shared" si="61"/>
        <v>0</v>
      </c>
      <c r="BH331" s="42">
        <f t="shared" si="62"/>
        <v>0</v>
      </c>
      <c r="BI331" s="42">
        <f t="shared" si="63"/>
        <v>0</v>
      </c>
      <c r="BJ331" s="42">
        <f t="shared" si="64"/>
        <v>0</v>
      </c>
      <c r="BK331" s="42">
        <f t="shared" si="65"/>
        <v>8</v>
      </c>
    </row>
    <row r="332" spans="1:63" ht="27" customHeight="1">
      <c r="A332" s="11">
        <f t="shared" si="66"/>
        <v>330</v>
      </c>
      <c r="B332" s="12"/>
      <c r="C332" s="8">
        <v>2702</v>
      </c>
      <c r="D332" s="103" t="s">
        <v>2363</v>
      </c>
      <c r="E332" s="201" t="s">
        <v>2364</v>
      </c>
      <c r="F332" s="90" t="s">
        <v>1865</v>
      </c>
      <c r="G332" s="91" t="s">
        <v>2365</v>
      </c>
      <c r="H332" s="24" t="s">
        <v>2366</v>
      </c>
      <c r="I332" s="25" t="s">
        <v>2367</v>
      </c>
      <c r="J332" s="82" t="s">
        <v>173</v>
      </c>
      <c r="K332" s="26">
        <v>30012</v>
      </c>
      <c r="L332" s="66" t="s">
        <v>174</v>
      </c>
      <c r="M332" s="23">
        <v>43678</v>
      </c>
      <c r="N332" s="23">
        <v>43502</v>
      </c>
      <c r="O332" s="23" t="s">
        <v>32</v>
      </c>
      <c r="P332" s="16" t="s">
        <v>260</v>
      </c>
      <c r="Q332" s="16" t="s">
        <v>176</v>
      </c>
      <c r="R332" s="11" t="s">
        <v>177</v>
      </c>
      <c r="S332" s="11" t="s">
        <v>2354</v>
      </c>
      <c r="T332" s="159"/>
      <c r="U332" s="159"/>
      <c r="V332" s="19" t="s">
        <v>179</v>
      </c>
      <c r="W332" s="19" t="s">
        <v>179</v>
      </c>
      <c r="X332" s="1" t="s">
        <v>179</v>
      </c>
      <c r="Y332" s="160" t="s">
        <v>179</v>
      </c>
      <c r="Z332" s="70"/>
      <c r="AA332" s="70"/>
      <c r="AB332" s="1"/>
      <c r="AC332" s="107"/>
      <c r="AD332" s="202"/>
      <c r="AE332" s="202"/>
      <c r="AF332" s="203"/>
      <c r="AG332" s="204"/>
      <c r="AH332" s="205"/>
      <c r="AI332" s="205"/>
      <c r="AJ332" s="81" t="s">
        <v>198</v>
      </c>
      <c r="AK332" s="81" t="s">
        <v>185</v>
      </c>
      <c r="AL332" s="81" t="s">
        <v>185</v>
      </c>
      <c r="AM332" s="72" t="s">
        <v>2349</v>
      </c>
      <c r="AN332" s="20">
        <v>182</v>
      </c>
      <c r="AO332" s="20">
        <v>0</v>
      </c>
      <c r="AP332" s="20">
        <v>0</v>
      </c>
      <c r="AQ332" s="20">
        <v>0</v>
      </c>
      <c r="AR332" s="20">
        <v>0</v>
      </c>
      <c r="AS332" s="20">
        <v>7</v>
      </c>
      <c r="AT332" s="20">
        <v>10</v>
      </c>
      <c r="AU332" s="300">
        <f t="shared" si="56"/>
        <v>199</v>
      </c>
      <c r="AV332" s="20">
        <v>190</v>
      </c>
      <c r="AW332" s="20">
        <v>0</v>
      </c>
      <c r="AX332" s="20">
        <v>0</v>
      </c>
      <c r="AY332" s="20">
        <v>0</v>
      </c>
      <c r="AZ332" s="20">
        <v>0</v>
      </c>
      <c r="BA332" s="20">
        <v>7</v>
      </c>
      <c r="BB332" s="20">
        <v>10</v>
      </c>
      <c r="BC332" s="300">
        <f t="shared" si="57"/>
        <v>207</v>
      </c>
      <c r="BD332" s="42">
        <f t="shared" si="58"/>
        <v>8</v>
      </c>
      <c r="BE332" s="42">
        <f t="shared" si="59"/>
        <v>0</v>
      </c>
      <c r="BF332" s="42">
        <f t="shared" si="60"/>
        <v>0</v>
      </c>
      <c r="BG332" s="42">
        <f t="shared" si="61"/>
        <v>0</v>
      </c>
      <c r="BH332" s="42">
        <f t="shared" si="62"/>
        <v>0</v>
      </c>
      <c r="BI332" s="42">
        <f t="shared" si="63"/>
        <v>0</v>
      </c>
      <c r="BJ332" s="42">
        <f t="shared" si="64"/>
        <v>0</v>
      </c>
      <c r="BK332" s="42">
        <f t="shared" si="65"/>
        <v>8</v>
      </c>
    </row>
    <row r="333" spans="1:63" ht="27" customHeight="1">
      <c r="A333" s="11">
        <f t="shared" si="66"/>
        <v>331</v>
      </c>
      <c r="B333" s="12"/>
      <c r="C333" s="8">
        <v>2716</v>
      </c>
      <c r="D333" s="103" t="s">
        <v>2368</v>
      </c>
      <c r="E333" s="201" t="s">
        <v>2369</v>
      </c>
      <c r="F333" s="90" t="s">
        <v>2370</v>
      </c>
      <c r="G333" s="91" t="s">
        <v>2371</v>
      </c>
      <c r="H333" s="24" t="s">
        <v>2372</v>
      </c>
      <c r="I333" s="25" t="s">
        <v>2373</v>
      </c>
      <c r="J333" s="82" t="s">
        <v>173</v>
      </c>
      <c r="K333" s="26">
        <v>32265</v>
      </c>
      <c r="L333" s="66" t="s">
        <v>174</v>
      </c>
      <c r="M333" s="23">
        <v>43678</v>
      </c>
      <c r="N333" s="23">
        <v>43504</v>
      </c>
      <c r="O333" s="23" t="s">
        <v>32</v>
      </c>
      <c r="P333" s="16" t="s">
        <v>1080</v>
      </c>
      <c r="Q333" s="16" t="s">
        <v>176</v>
      </c>
      <c r="R333" s="11" t="s">
        <v>177</v>
      </c>
      <c r="S333" s="11" t="s">
        <v>2354</v>
      </c>
      <c r="T333" s="159"/>
      <c r="U333" s="159"/>
      <c r="V333" s="19" t="s">
        <v>179</v>
      </c>
      <c r="W333" s="19" t="s">
        <v>179</v>
      </c>
      <c r="X333" s="1" t="s">
        <v>179</v>
      </c>
      <c r="Y333" s="160" t="s">
        <v>2374</v>
      </c>
      <c r="Z333" s="70"/>
      <c r="AA333" s="70"/>
      <c r="AB333" s="1"/>
      <c r="AC333" s="107"/>
      <c r="AD333" s="202"/>
      <c r="AE333" s="202"/>
      <c r="AF333" s="203"/>
      <c r="AG333" s="204"/>
      <c r="AH333" s="205"/>
      <c r="AI333" s="205"/>
      <c r="AJ333" s="81" t="s">
        <v>198</v>
      </c>
      <c r="AK333" s="81" t="s">
        <v>185</v>
      </c>
      <c r="AL333" s="81" t="s">
        <v>185</v>
      </c>
      <c r="AM333" s="72" t="s">
        <v>2349</v>
      </c>
      <c r="AN333" s="20">
        <v>182</v>
      </c>
      <c r="AO333" s="20">
        <v>0</v>
      </c>
      <c r="AP333" s="20">
        <v>0</v>
      </c>
      <c r="AQ333" s="20">
        <v>0</v>
      </c>
      <c r="AR333" s="20">
        <v>0</v>
      </c>
      <c r="AS333" s="20">
        <v>7</v>
      </c>
      <c r="AT333" s="20">
        <v>10</v>
      </c>
      <c r="AU333" s="300">
        <f t="shared" si="56"/>
        <v>199</v>
      </c>
      <c r="AV333" s="20">
        <v>190</v>
      </c>
      <c r="AW333" s="20">
        <v>0</v>
      </c>
      <c r="AX333" s="20">
        <v>0</v>
      </c>
      <c r="AY333" s="20">
        <v>0</v>
      </c>
      <c r="AZ333" s="20">
        <v>0</v>
      </c>
      <c r="BA333" s="20">
        <v>7</v>
      </c>
      <c r="BB333" s="20">
        <v>10</v>
      </c>
      <c r="BC333" s="300">
        <f t="shared" si="57"/>
        <v>207</v>
      </c>
      <c r="BD333" s="42">
        <f t="shared" si="58"/>
        <v>8</v>
      </c>
      <c r="BE333" s="42">
        <f t="shared" si="59"/>
        <v>0</v>
      </c>
      <c r="BF333" s="42">
        <f t="shared" si="60"/>
        <v>0</v>
      </c>
      <c r="BG333" s="42">
        <f t="shared" si="61"/>
        <v>0</v>
      </c>
      <c r="BH333" s="42">
        <f t="shared" si="62"/>
        <v>0</v>
      </c>
      <c r="BI333" s="42">
        <f t="shared" si="63"/>
        <v>0</v>
      </c>
      <c r="BJ333" s="42">
        <f t="shared" si="64"/>
        <v>0</v>
      </c>
      <c r="BK333" s="42">
        <f t="shared" si="65"/>
        <v>8</v>
      </c>
    </row>
    <row r="334" spans="1:63" ht="27" customHeight="1">
      <c r="A334" s="11">
        <f t="shared" si="66"/>
        <v>332</v>
      </c>
      <c r="B334" s="12"/>
      <c r="C334" s="8">
        <v>2695</v>
      </c>
      <c r="D334" s="103" t="s">
        <v>2375</v>
      </c>
      <c r="E334" s="201" t="s">
        <v>2376</v>
      </c>
      <c r="F334" s="90" t="s">
        <v>1157</v>
      </c>
      <c r="G334" s="91" t="s">
        <v>2377</v>
      </c>
      <c r="H334" s="24" t="s">
        <v>53</v>
      </c>
      <c r="I334" s="25" t="s">
        <v>2378</v>
      </c>
      <c r="J334" s="82" t="s">
        <v>173</v>
      </c>
      <c r="K334" s="26">
        <v>32307</v>
      </c>
      <c r="L334" s="66" t="s">
        <v>174</v>
      </c>
      <c r="M334" s="23">
        <v>43678</v>
      </c>
      <c r="N334" s="23">
        <v>43503</v>
      </c>
      <c r="O334" s="23" t="s">
        <v>32</v>
      </c>
      <c r="P334" s="16" t="s">
        <v>381</v>
      </c>
      <c r="Q334" s="16" t="s">
        <v>176</v>
      </c>
      <c r="R334" s="11" t="s">
        <v>177</v>
      </c>
      <c r="S334" s="11" t="s">
        <v>2379</v>
      </c>
      <c r="T334" s="159"/>
      <c r="U334" s="159"/>
      <c r="V334" s="19" t="s">
        <v>179</v>
      </c>
      <c r="W334" s="19" t="s">
        <v>179</v>
      </c>
      <c r="X334" s="1" t="s">
        <v>179</v>
      </c>
      <c r="Y334" s="160" t="s">
        <v>179</v>
      </c>
      <c r="Z334" s="70"/>
      <c r="AA334" s="70"/>
      <c r="AB334" s="1"/>
      <c r="AC334" s="107"/>
      <c r="AD334" s="202"/>
      <c r="AE334" s="202"/>
      <c r="AF334" s="203"/>
      <c r="AG334" s="204"/>
      <c r="AH334" s="205"/>
      <c r="AI334" s="205"/>
      <c r="AJ334" s="81" t="s">
        <v>198</v>
      </c>
      <c r="AK334" s="81" t="s">
        <v>185</v>
      </c>
      <c r="AL334" s="81" t="s">
        <v>185</v>
      </c>
      <c r="AM334" s="72" t="s">
        <v>2349</v>
      </c>
      <c r="AN334" s="20">
        <v>182</v>
      </c>
      <c r="AO334" s="20">
        <v>0</v>
      </c>
      <c r="AP334" s="20">
        <v>0</v>
      </c>
      <c r="AQ334" s="20">
        <v>0</v>
      </c>
      <c r="AR334" s="20">
        <v>0</v>
      </c>
      <c r="AS334" s="20">
        <v>7</v>
      </c>
      <c r="AT334" s="20">
        <v>10</v>
      </c>
      <c r="AU334" s="300">
        <f t="shared" si="56"/>
        <v>199</v>
      </c>
      <c r="AV334" s="20">
        <v>190</v>
      </c>
      <c r="AW334" s="20">
        <v>0</v>
      </c>
      <c r="AX334" s="20">
        <v>0</v>
      </c>
      <c r="AY334" s="20">
        <v>0</v>
      </c>
      <c r="AZ334" s="20">
        <v>0</v>
      </c>
      <c r="BA334" s="20">
        <v>7</v>
      </c>
      <c r="BB334" s="20">
        <v>10</v>
      </c>
      <c r="BC334" s="300">
        <f t="shared" si="57"/>
        <v>207</v>
      </c>
      <c r="BD334" s="42">
        <f t="shared" si="58"/>
        <v>8</v>
      </c>
      <c r="BE334" s="42">
        <f t="shared" si="59"/>
        <v>0</v>
      </c>
      <c r="BF334" s="42">
        <f t="shared" si="60"/>
        <v>0</v>
      </c>
      <c r="BG334" s="42">
        <f t="shared" si="61"/>
        <v>0</v>
      </c>
      <c r="BH334" s="42">
        <f t="shared" si="62"/>
        <v>0</v>
      </c>
      <c r="BI334" s="42">
        <f t="shared" si="63"/>
        <v>0</v>
      </c>
      <c r="BJ334" s="42">
        <f t="shared" si="64"/>
        <v>0</v>
      </c>
      <c r="BK334" s="42">
        <f t="shared" si="65"/>
        <v>8</v>
      </c>
    </row>
    <row r="335" spans="1:63" ht="27" customHeight="1">
      <c r="A335" s="11">
        <f t="shared" si="66"/>
        <v>333</v>
      </c>
      <c r="B335" s="12"/>
      <c r="C335" s="8">
        <v>2697</v>
      </c>
      <c r="D335" s="103" t="s">
        <v>2380</v>
      </c>
      <c r="E335" s="201" t="s">
        <v>2381</v>
      </c>
      <c r="F335" s="90" t="s">
        <v>2382</v>
      </c>
      <c r="G335" s="91" t="s">
        <v>1119</v>
      </c>
      <c r="H335" s="24" t="s">
        <v>2383</v>
      </c>
      <c r="I335" s="25" t="s">
        <v>2384</v>
      </c>
      <c r="J335" s="82" t="s">
        <v>173</v>
      </c>
      <c r="K335" s="26">
        <v>32418</v>
      </c>
      <c r="L335" s="66" t="s">
        <v>174</v>
      </c>
      <c r="M335" s="23">
        <v>43678</v>
      </c>
      <c r="N335" s="23">
        <v>43503</v>
      </c>
      <c r="O335" s="23" t="s">
        <v>32</v>
      </c>
      <c r="P335" s="16" t="s">
        <v>397</v>
      </c>
      <c r="Q335" s="16" t="s">
        <v>176</v>
      </c>
      <c r="R335" s="11" t="s">
        <v>177</v>
      </c>
      <c r="S335" s="11" t="s">
        <v>2354</v>
      </c>
      <c r="T335" s="159"/>
      <c r="U335" s="159"/>
      <c r="V335" s="19" t="s">
        <v>179</v>
      </c>
      <c r="W335" s="19" t="s">
        <v>179</v>
      </c>
      <c r="X335" s="1">
        <v>7</v>
      </c>
      <c r="Y335" s="160" t="s">
        <v>2385</v>
      </c>
      <c r="Z335" s="70"/>
      <c r="AA335" s="70"/>
      <c r="AB335" s="1"/>
      <c r="AC335" s="107"/>
      <c r="AD335" s="202"/>
      <c r="AE335" s="202"/>
      <c r="AF335" s="203"/>
      <c r="AG335" s="204"/>
      <c r="AH335" s="205"/>
      <c r="AI335" s="205"/>
      <c r="AJ335" s="81" t="s">
        <v>198</v>
      </c>
      <c r="AK335" s="81" t="s">
        <v>185</v>
      </c>
      <c r="AL335" s="81" t="s">
        <v>185</v>
      </c>
      <c r="AM335" s="72" t="s">
        <v>2349</v>
      </c>
      <c r="AN335" s="20">
        <v>182</v>
      </c>
      <c r="AO335" s="20">
        <v>0</v>
      </c>
      <c r="AP335" s="20">
        <v>0</v>
      </c>
      <c r="AQ335" s="20">
        <v>0</v>
      </c>
      <c r="AR335" s="20">
        <v>0</v>
      </c>
      <c r="AS335" s="20">
        <v>7</v>
      </c>
      <c r="AT335" s="20">
        <v>10</v>
      </c>
      <c r="AU335" s="300">
        <f t="shared" si="56"/>
        <v>199</v>
      </c>
      <c r="AV335" s="20">
        <v>190</v>
      </c>
      <c r="AW335" s="20">
        <v>0</v>
      </c>
      <c r="AX335" s="20">
        <v>0</v>
      </c>
      <c r="AY335" s="20">
        <v>0</v>
      </c>
      <c r="AZ335" s="20">
        <v>0</v>
      </c>
      <c r="BA335" s="20">
        <v>7</v>
      </c>
      <c r="BB335" s="20">
        <v>10</v>
      </c>
      <c r="BC335" s="300">
        <f t="shared" si="57"/>
        <v>207</v>
      </c>
      <c r="BD335" s="42">
        <f t="shared" si="58"/>
        <v>8</v>
      </c>
      <c r="BE335" s="42">
        <f t="shared" si="59"/>
        <v>0</v>
      </c>
      <c r="BF335" s="42">
        <f t="shared" si="60"/>
        <v>0</v>
      </c>
      <c r="BG335" s="42">
        <f t="shared" si="61"/>
        <v>0</v>
      </c>
      <c r="BH335" s="42">
        <f t="shared" si="62"/>
        <v>0</v>
      </c>
      <c r="BI335" s="42">
        <f t="shared" si="63"/>
        <v>0</v>
      </c>
      <c r="BJ335" s="42">
        <f t="shared" si="64"/>
        <v>0</v>
      </c>
      <c r="BK335" s="42">
        <f t="shared" si="65"/>
        <v>8</v>
      </c>
    </row>
    <row r="336" spans="1:63" ht="27" customHeight="1">
      <c r="A336" s="11">
        <f t="shared" si="66"/>
        <v>334</v>
      </c>
      <c r="B336" s="12"/>
      <c r="C336" s="8">
        <v>2701</v>
      </c>
      <c r="D336" s="103" t="s">
        <v>2386</v>
      </c>
      <c r="E336" s="201" t="s">
        <v>2387</v>
      </c>
      <c r="F336" s="90" t="s">
        <v>2388</v>
      </c>
      <c r="G336" s="91" t="s">
        <v>2389</v>
      </c>
      <c r="H336" s="24" t="s">
        <v>2390</v>
      </c>
      <c r="I336" s="25" t="s">
        <v>2391</v>
      </c>
      <c r="J336" s="82" t="s">
        <v>173</v>
      </c>
      <c r="K336" s="26">
        <v>30532</v>
      </c>
      <c r="L336" s="66" t="s">
        <v>174</v>
      </c>
      <c r="M336" s="23">
        <v>43678</v>
      </c>
      <c r="N336" s="23">
        <v>43502</v>
      </c>
      <c r="O336" s="23" t="s">
        <v>32</v>
      </c>
      <c r="P336" s="16" t="s">
        <v>304</v>
      </c>
      <c r="Q336" s="16" t="s">
        <v>176</v>
      </c>
      <c r="R336" s="11" t="s">
        <v>177</v>
      </c>
      <c r="S336" s="11" t="s">
        <v>2392</v>
      </c>
      <c r="T336" s="159"/>
      <c r="U336" s="159"/>
      <c r="V336" s="19" t="s">
        <v>179</v>
      </c>
      <c r="W336" s="19" t="s">
        <v>179</v>
      </c>
      <c r="X336" s="1" t="s">
        <v>179</v>
      </c>
      <c r="Y336" s="160" t="s">
        <v>179</v>
      </c>
      <c r="Z336" s="70"/>
      <c r="AA336" s="70"/>
      <c r="AB336" s="1"/>
      <c r="AC336" s="107"/>
      <c r="AD336" s="202"/>
      <c r="AE336" s="202"/>
      <c r="AF336" s="203"/>
      <c r="AG336" s="204"/>
      <c r="AH336" s="205"/>
      <c r="AI336" s="205"/>
      <c r="AJ336" s="81" t="s">
        <v>198</v>
      </c>
      <c r="AK336" s="81" t="s">
        <v>185</v>
      </c>
      <c r="AL336" s="81" t="s">
        <v>185</v>
      </c>
      <c r="AM336" s="72" t="s">
        <v>2349</v>
      </c>
      <c r="AN336" s="20">
        <v>182</v>
      </c>
      <c r="AO336" s="20">
        <v>0</v>
      </c>
      <c r="AP336" s="20">
        <v>0</v>
      </c>
      <c r="AQ336" s="20">
        <v>0</v>
      </c>
      <c r="AR336" s="20">
        <v>0</v>
      </c>
      <c r="AS336" s="20">
        <v>7</v>
      </c>
      <c r="AT336" s="20">
        <v>10</v>
      </c>
      <c r="AU336" s="300">
        <f t="shared" si="56"/>
        <v>199</v>
      </c>
      <c r="AV336" s="20">
        <v>190</v>
      </c>
      <c r="AW336" s="20">
        <v>0</v>
      </c>
      <c r="AX336" s="20">
        <v>0</v>
      </c>
      <c r="AY336" s="20">
        <v>0</v>
      </c>
      <c r="AZ336" s="20">
        <v>0</v>
      </c>
      <c r="BA336" s="20">
        <v>7</v>
      </c>
      <c r="BB336" s="20">
        <v>10</v>
      </c>
      <c r="BC336" s="300">
        <f t="shared" si="57"/>
        <v>207</v>
      </c>
      <c r="BD336" s="42">
        <f t="shared" si="58"/>
        <v>8</v>
      </c>
      <c r="BE336" s="42">
        <f t="shared" si="59"/>
        <v>0</v>
      </c>
      <c r="BF336" s="42">
        <f t="shared" si="60"/>
        <v>0</v>
      </c>
      <c r="BG336" s="42">
        <f t="shared" si="61"/>
        <v>0</v>
      </c>
      <c r="BH336" s="42">
        <f t="shared" si="62"/>
        <v>0</v>
      </c>
      <c r="BI336" s="42">
        <f t="shared" si="63"/>
        <v>0</v>
      </c>
      <c r="BJ336" s="42">
        <f t="shared" si="64"/>
        <v>0</v>
      </c>
      <c r="BK336" s="42">
        <f t="shared" si="65"/>
        <v>8</v>
      </c>
    </row>
    <row r="337" spans="1:63" ht="27" customHeight="1">
      <c r="A337" s="11">
        <f t="shared" si="66"/>
        <v>335</v>
      </c>
      <c r="B337" s="12"/>
      <c r="C337" s="8">
        <v>2694</v>
      </c>
      <c r="D337" s="103" t="s">
        <v>2393</v>
      </c>
      <c r="E337" s="201" t="s">
        <v>2394</v>
      </c>
      <c r="F337" s="90" t="s">
        <v>2395</v>
      </c>
      <c r="G337" s="91" t="s">
        <v>1966</v>
      </c>
      <c r="H337" s="24" t="s">
        <v>2396</v>
      </c>
      <c r="I337" s="25" t="s">
        <v>2397</v>
      </c>
      <c r="J337" s="82" t="s">
        <v>173</v>
      </c>
      <c r="K337" s="26">
        <v>29489</v>
      </c>
      <c r="L337" s="66" t="s">
        <v>174</v>
      </c>
      <c r="M337" s="23">
        <v>43678</v>
      </c>
      <c r="N337" s="23">
        <v>43504</v>
      </c>
      <c r="O337" s="23" t="s">
        <v>32</v>
      </c>
      <c r="P337" s="16" t="s">
        <v>599</v>
      </c>
      <c r="Q337" s="16" t="s">
        <v>176</v>
      </c>
      <c r="R337" s="11" t="s">
        <v>177</v>
      </c>
      <c r="S337" s="11" t="s">
        <v>2392</v>
      </c>
      <c r="T337" s="159"/>
      <c r="U337" s="159"/>
      <c r="V337" s="19" t="s">
        <v>195</v>
      </c>
      <c r="W337" s="19" t="s">
        <v>195</v>
      </c>
      <c r="X337" s="1">
        <v>5</v>
      </c>
      <c r="Y337" s="160" t="s">
        <v>2398</v>
      </c>
      <c r="Z337" s="70"/>
      <c r="AA337" s="70"/>
      <c r="AB337" s="1"/>
      <c r="AC337" s="107"/>
      <c r="AD337" s="202" t="s">
        <v>184</v>
      </c>
      <c r="AE337" s="202" t="s">
        <v>184</v>
      </c>
      <c r="AF337" s="203"/>
      <c r="AG337" s="204"/>
      <c r="AH337" s="205"/>
      <c r="AI337" s="205"/>
      <c r="AJ337" s="81" t="s">
        <v>198</v>
      </c>
      <c r="AK337" s="81" t="s">
        <v>185</v>
      </c>
      <c r="AL337" s="81" t="s">
        <v>185</v>
      </c>
      <c r="AM337" s="72" t="s">
        <v>2349</v>
      </c>
      <c r="AN337" s="20">
        <v>182</v>
      </c>
      <c r="AO337" s="20">
        <v>0</v>
      </c>
      <c r="AP337" s="20">
        <v>0</v>
      </c>
      <c r="AQ337" s="20">
        <v>0</v>
      </c>
      <c r="AR337" s="20">
        <v>0</v>
      </c>
      <c r="AS337" s="20">
        <v>7</v>
      </c>
      <c r="AT337" s="20">
        <v>10</v>
      </c>
      <c r="AU337" s="300">
        <f t="shared" si="56"/>
        <v>199</v>
      </c>
      <c r="AV337" s="20">
        <v>190</v>
      </c>
      <c r="AW337" s="20">
        <v>0</v>
      </c>
      <c r="AX337" s="20">
        <v>0</v>
      </c>
      <c r="AY337" s="20">
        <v>0</v>
      </c>
      <c r="AZ337" s="20">
        <v>0</v>
      </c>
      <c r="BA337" s="20">
        <v>7</v>
      </c>
      <c r="BB337" s="20">
        <v>10</v>
      </c>
      <c r="BC337" s="300">
        <f t="shared" si="57"/>
        <v>207</v>
      </c>
      <c r="BD337" s="42">
        <f t="shared" si="58"/>
        <v>8</v>
      </c>
      <c r="BE337" s="42">
        <f t="shared" si="59"/>
        <v>0</v>
      </c>
      <c r="BF337" s="42">
        <f t="shared" si="60"/>
        <v>0</v>
      </c>
      <c r="BG337" s="42">
        <f t="shared" si="61"/>
        <v>0</v>
      </c>
      <c r="BH337" s="42">
        <f t="shared" si="62"/>
        <v>0</v>
      </c>
      <c r="BI337" s="42">
        <f t="shared" si="63"/>
        <v>0</v>
      </c>
      <c r="BJ337" s="42">
        <f t="shared" si="64"/>
        <v>0</v>
      </c>
      <c r="BK337" s="42">
        <f t="shared" si="65"/>
        <v>8</v>
      </c>
    </row>
    <row r="338" spans="1:63" ht="27" customHeight="1">
      <c r="A338" s="11">
        <f t="shared" si="66"/>
        <v>336</v>
      </c>
      <c r="B338" s="12"/>
      <c r="C338" s="8">
        <v>2679</v>
      </c>
      <c r="D338" s="103" t="s">
        <v>2399</v>
      </c>
      <c r="E338" s="201" t="s">
        <v>2400</v>
      </c>
      <c r="F338" s="90" t="s">
        <v>2401</v>
      </c>
      <c r="G338" s="91" t="s">
        <v>2402</v>
      </c>
      <c r="H338" s="24" t="s">
        <v>2403</v>
      </c>
      <c r="I338" s="25" t="s">
        <v>2404</v>
      </c>
      <c r="J338" s="82" t="s">
        <v>204</v>
      </c>
      <c r="K338" s="26">
        <v>26419</v>
      </c>
      <c r="L338" s="66" t="s">
        <v>174</v>
      </c>
      <c r="M338" s="23">
        <v>43678</v>
      </c>
      <c r="N338" s="23">
        <v>43498</v>
      </c>
      <c r="O338" s="23" t="s">
        <v>32</v>
      </c>
      <c r="P338" s="16" t="s">
        <v>2405</v>
      </c>
      <c r="Q338" s="16" t="s">
        <v>244</v>
      </c>
      <c r="R338" s="11" t="s">
        <v>177</v>
      </c>
      <c r="S338" s="11" t="s">
        <v>2379</v>
      </c>
      <c r="T338" s="159"/>
      <c r="U338" s="159"/>
      <c r="V338" s="19" t="s">
        <v>195</v>
      </c>
      <c r="W338" s="19" t="s">
        <v>179</v>
      </c>
      <c r="X338" s="1">
        <v>11</v>
      </c>
      <c r="Y338" s="160" t="s">
        <v>2406</v>
      </c>
      <c r="Z338" s="70"/>
      <c r="AA338" s="70"/>
      <c r="AB338" s="1"/>
      <c r="AC338" s="107"/>
      <c r="AD338" s="202" t="s">
        <v>183</v>
      </c>
      <c r="AE338" s="202" t="s">
        <v>184</v>
      </c>
      <c r="AF338" s="203"/>
      <c r="AG338" s="204"/>
      <c r="AH338" s="205"/>
      <c r="AI338" s="205"/>
      <c r="AJ338" s="81" t="s">
        <v>198</v>
      </c>
      <c r="AK338" s="81" t="s">
        <v>185</v>
      </c>
      <c r="AL338" s="81" t="s">
        <v>185</v>
      </c>
      <c r="AM338" s="72" t="s">
        <v>2349</v>
      </c>
      <c r="AN338" s="20">
        <v>182</v>
      </c>
      <c r="AO338" s="20">
        <v>0</v>
      </c>
      <c r="AP338" s="20">
        <v>20</v>
      </c>
      <c r="AQ338" s="20">
        <v>148</v>
      </c>
      <c r="AR338" s="20">
        <v>0</v>
      </c>
      <c r="AS338" s="20">
        <v>7</v>
      </c>
      <c r="AT338" s="20">
        <v>10</v>
      </c>
      <c r="AU338" s="300">
        <f t="shared" si="56"/>
        <v>367</v>
      </c>
      <c r="AV338" s="20">
        <v>190</v>
      </c>
      <c r="AW338" s="20">
        <v>0</v>
      </c>
      <c r="AX338" s="20">
        <v>20</v>
      </c>
      <c r="AY338" s="20">
        <v>148</v>
      </c>
      <c r="AZ338" s="20">
        <v>0</v>
      </c>
      <c r="BA338" s="20">
        <v>7</v>
      </c>
      <c r="BB338" s="20">
        <v>10</v>
      </c>
      <c r="BC338" s="300">
        <f t="shared" si="57"/>
        <v>375</v>
      </c>
      <c r="BD338" s="42">
        <f t="shared" si="58"/>
        <v>8</v>
      </c>
      <c r="BE338" s="42">
        <f t="shared" si="59"/>
        <v>0</v>
      </c>
      <c r="BF338" s="42">
        <f t="shared" si="60"/>
        <v>0</v>
      </c>
      <c r="BG338" s="42">
        <f t="shared" si="61"/>
        <v>0</v>
      </c>
      <c r="BH338" s="42">
        <f t="shared" si="62"/>
        <v>0</v>
      </c>
      <c r="BI338" s="42">
        <f t="shared" si="63"/>
        <v>0</v>
      </c>
      <c r="BJ338" s="42">
        <f t="shared" si="64"/>
        <v>0</v>
      </c>
      <c r="BK338" s="42">
        <f t="shared" si="65"/>
        <v>8</v>
      </c>
    </row>
    <row r="339" spans="1:63" ht="27" customHeight="1">
      <c r="A339" s="11">
        <f t="shared" si="66"/>
        <v>337</v>
      </c>
      <c r="B339" s="12"/>
      <c r="C339" s="8">
        <v>2649</v>
      </c>
      <c r="D339" s="103" t="s">
        <v>2407</v>
      </c>
      <c r="E339" s="201" t="s">
        <v>2408</v>
      </c>
      <c r="F339" s="90" t="s">
        <v>2409</v>
      </c>
      <c r="G339" s="91" t="s">
        <v>2410</v>
      </c>
      <c r="H339" s="24" t="s">
        <v>2411</v>
      </c>
      <c r="I339" s="25" t="s">
        <v>2412</v>
      </c>
      <c r="J339" s="82" t="s">
        <v>173</v>
      </c>
      <c r="K339" s="26">
        <v>36558</v>
      </c>
      <c r="L339" s="66" t="s">
        <v>174</v>
      </c>
      <c r="M339" s="23">
        <v>43678</v>
      </c>
      <c r="N339" s="23">
        <v>43497</v>
      </c>
      <c r="O339" s="23" t="s">
        <v>32</v>
      </c>
      <c r="P339" s="16" t="s">
        <v>599</v>
      </c>
      <c r="Q339" s="16" t="s">
        <v>176</v>
      </c>
      <c r="R339" s="11" t="s">
        <v>177</v>
      </c>
      <c r="S339" s="11" t="s">
        <v>2413</v>
      </c>
      <c r="T339" s="159"/>
      <c r="U339" s="159"/>
      <c r="V339" s="19" t="s">
        <v>179</v>
      </c>
      <c r="W339" s="19" t="s">
        <v>179</v>
      </c>
      <c r="X339" s="1">
        <v>6</v>
      </c>
      <c r="Y339" s="160" t="s">
        <v>2414</v>
      </c>
      <c r="Z339" s="70"/>
      <c r="AA339" s="70"/>
      <c r="AB339" s="1"/>
      <c r="AC339" s="107"/>
      <c r="AD339" s="202"/>
      <c r="AE339" s="202"/>
      <c r="AF339" s="203"/>
      <c r="AG339" s="204"/>
      <c r="AH339" s="205"/>
      <c r="AI339" s="205"/>
      <c r="AJ339" s="81" t="s">
        <v>198</v>
      </c>
      <c r="AK339" s="81" t="s">
        <v>185</v>
      </c>
      <c r="AL339" s="81" t="s">
        <v>185</v>
      </c>
      <c r="AM339" s="72" t="s">
        <v>2349</v>
      </c>
      <c r="AN339" s="20">
        <v>182</v>
      </c>
      <c r="AO339" s="20">
        <v>0</v>
      </c>
      <c r="AP339" s="20">
        <v>0</v>
      </c>
      <c r="AQ339" s="20">
        <v>0</v>
      </c>
      <c r="AR339" s="20">
        <v>0</v>
      </c>
      <c r="AS339" s="20">
        <v>7</v>
      </c>
      <c r="AT339" s="20">
        <v>10</v>
      </c>
      <c r="AU339" s="300">
        <f t="shared" si="56"/>
        <v>199</v>
      </c>
      <c r="AV339" s="20">
        <v>190</v>
      </c>
      <c r="AW339" s="20">
        <v>0</v>
      </c>
      <c r="AX339" s="20">
        <v>0</v>
      </c>
      <c r="AY339" s="20">
        <v>0</v>
      </c>
      <c r="AZ339" s="20">
        <v>0</v>
      </c>
      <c r="BA339" s="20">
        <v>7</v>
      </c>
      <c r="BB339" s="20">
        <v>10</v>
      </c>
      <c r="BC339" s="300">
        <f t="shared" si="57"/>
        <v>207</v>
      </c>
      <c r="BD339" s="42">
        <f t="shared" si="58"/>
        <v>8</v>
      </c>
      <c r="BE339" s="42">
        <f t="shared" si="59"/>
        <v>0</v>
      </c>
      <c r="BF339" s="42">
        <f t="shared" si="60"/>
        <v>0</v>
      </c>
      <c r="BG339" s="42">
        <f t="shared" si="61"/>
        <v>0</v>
      </c>
      <c r="BH339" s="42">
        <f t="shared" si="62"/>
        <v>0</v>
      </c>
      <c r="BI339" s="42">
        <f t="shared" si="63"/>
        <v>0</v>
      </c>
      <c r="BJ339" s="42">
        <f t="shared" si="64"/>
        <v>0</v>
      </c>
      <c r="BK339" s="42">
        <f t="shared" si="65"/>
        <v>8</v>
      </c>
    </row>
    <row r="340" spans="1:63" ht="27" customHeight="1">
      <c r="A340" s="11">
        <f t="shared" si="66"/>
        <v>338</v>
      </c>
      <c r="B340" s="12"/>
      <c r="C340" s="8">
        <v>2735</v>
      </c>
      <c r="D340" s="103" t="s">
        <v>2415</v>
      </c>
      <c r="E340" s="201" t="s">
        <v>2416</v>
      </c>
      <c r="F340" s="90" t="s">
        <v>2003</v>
      </c>
      <c r="G340" s="91" t="s">
        <v>2417</v>
      </c>
      <c r="H340" s="24" t="s">
        <v>2197</v>
      </c>
      <c r="I340" s="25" t="s">
        <v>2418</v>
      </c>
      <c r="J340" s="82" t="s">
        <v>204</v>
      </c>
      <c r="K340" s="26">
        <v>34556</v>
      </c>
      <c r="L340" s="66" t="s">
        <v>174</v>
      </c>
      <c r="M340" s="23">
        <v>43678</v>
      </c>
      <c r="N340" s="23">
        <v>43511</v>
      </c>
      <c r="O340" s="23" t="s">
        <v>32</v>
      </c>
      <c r="P340" s="16" t="s">
        <v>507</v>
      </c>
      <c r="Q340" s="16" t="s">
        <v>176</v>
      </c>
      <c r="R340" s="11" t="s">
        <v>177</v>
      </c>
      <c r="S340" s="11" t="s">
        <v>2354</v>
      </c>
      <c r="T340" s="159"/>
      <c r="U340" s="159"/>
      <c r="V340" s="19" t="s">
        <v>195</v>
      </c>
      <c r="W340" s="19" t="s">
        <v>195</v>
      </c>
      <c r="X340" s="1" t="s">
        <v>179</v>
      </c>
      <c r="Y340" s="160" t="s">
        <v>2419</v>
      </c>
      <c r="Z340" s="70"/>
      <c r="AA340" s="70"/>
      <c r="AB340" s="1"/>
      <c r="AC340" s="107"/>
      <c r="AD340" s="202"/>
      <c r="AE340" s="202"/>
      <c r="AF340" s="203"/>
      <c r="AG340" s="204"/>
      <c r="AH340" s="205"/>
      <c r="AI340" s="205"/>
      <c r="AJ340" s="81" t="s">
        <v>198</v>
      </c>
      <c r="AK340" s="81" t="s">
        <v>185</v>
      </c>
      <c r="AL340" s="81" t="s">
        <v>185</v>
      </c>
      <c r="AM340" s="72" t="s">
        <v>2349</v>
      </c>
      <c r="AN340" s="20">
        <v>182</v>
      </c>
      <c r="AO340" s="20">
        <v>0</v>
      </c>
      <c r="AP340" s="20">
        <v>0</v>
      </c>
      <c r="AQ340" s="20">
        <v>0</v>
      </c>
      <c r="AR340" s="20">
        <v>0</v>
      </c>
      <c r="AS340" s="20">
        <v>7</v>
      </c>
      <c r="AT340" s="20">
        <v>10</v>
      </c>
      <c r="AU340" s="300">
        <f t="shared" si="56"/>
        <v>199</v>
      </c>
      <c r="AV340" s="20">
        <v>190</v>
      </c>
      <c r="AW340" s="20">
        <v>0</v>
      </c>
      <c r="AX340" s="20">
        <v>0</v>
      </c>
      <c r="AY340" s="20">
        <v>0</v>
      </c>
      <c r="AZ340" s="20">
        <v>0</v>
      </c>
      <c r="BA340" s="20">
        <v>7</v>
      </c>
      <c r="BB340" s="20">
        <v>10</v>
      </c>
      <c r="BC340" s="300">
        <f t="shared" si="57"/>
        <v>207</v>
      </c>
      <c r="BD340" s="42">
        <f t="shared" si="58"/>
        <v>8</v>
      </c>
      <c r="BE340" s="42">
        <f t="shared" si="59"/>
        <v>0</v>
      </c>
      <c r="BF340" s="42">
        <f t="shared" si="60"/>
        <v>0</v>
      </c>
      <c r="BG340" s="42">
        <f t="shared" si="61"/>
        <v>0</v>
      </c>
      <c r="BH340" s="42">
        <f t="shared" si="62"/>
        <v>0</v>
      </c>
      <c r="BI340" s="42">
        <f t="shared" si="63"/>
        <v>0</v>
      </c>
      <c r="BJ340" s="42">
        <f t="shared" si="64"/>
        <v>0</v>
      </c>
      <c r="BK340" s="42">
        <f t="shared" si="65"/>
        <v>8</v>
      </c>
    </row>
    <row r="341" spans="1:63" ht="27" customHeight="1">
      <c r="A341" s="11">
        <f t="shared" si="66"/>
        <v>339</v>
      </c>
      <c r="B341" s="12"/>
      <c r="C341" s="8">
        <v>2666</v>
      </c>
      <c r="D341" s="103" t="s">
        <v>2420</v>
      </c>
      <c r="E341" s="201" t="s">
        <v>2421</v>
      </c>
      <c r="F341" s="90" t="s">
        <v>2422</v>
      </c>
      <c r="G341" s="91" t="s">
        <v>2423</v>
      </c>
      <c r="H341" s="24" t="s">
        <v>106</v>
      </c>
      <c r="I341" s="25" t="s">
        <v>2424</v>
      </c>
      <c r="J341" s="82" t="s">
        <v>173</v>
      </c>
      <c r="K341" s="26">
        <v>36266</v>
      </c>
      <c r="L341" s="66" t="s">
        <v>174</v>
      </c>
      <c r="M341" s="23">
        <v>43678</v>
      </c>
      <c r="N341" s="23">
        <v>43498</v>
      </c>
      <c r="O341" s="23" t="s">
        <v>32</v>
      </c>
      <c r="P341" s="16" t="s">
        <v>381</v>
      </c>
      <c r="Q341" s="16" t="s">
        <v>176</v>
      </c>
      <c r="R341" s="11" t="s">
        <v>177</v>
      </c>
      <c r="S341" s="11" t="s">
        <v>2425</v>
      </c>
      <c r="T341" s="159"/>
      <c r="U341" s="159"/>
      <c r="V341" s="19" t="s">
        <v>195</v>
      </c>
      <c r="W341" s="19" t="s">
        <v>195</v>
      </c>
      <c r="X341" s="1">
        <v>7</v>
      </c>
      <c r="Y341" s="160" t="s">
        <v>2426</v>
      </c>
      <c r="Z341" s="70"/>
      <c r="AA341" s="70"/>
      <c r="AB341" s="1"/>
      <c r="AC341" s="107"/>
      <c r="AD341" s="202" t="s">
        <v>184</v>
      </c>
      <c r="AE341" s="202"/>
      <c r="AF341" s="203"/>
      <c r="AG341" s="204"/>
      <c r="AH341" s="205"/>
      <c r="AI341" s="205"/>
      <c r="AJ341" s="81" t="s">
        <v>198</v>
      </c>
      <c r="AK341" s="81" t="s">
        <v>185</v>
      </c>
      <c r="AL341" s="81" t="s">
        <v>185</v>
      </c>
      <c r="AM341" s="72" t="s">
        <v>2349</v>
      </c>
      <c r="AN341" s="20">
        <v>182</v>
      </c>
      <c r="AO341" s="20">
        <v>0</v>
      </c>
      <c r="AP341" s="20">
        <v>0</v>
      </c>
      <c r="AQ341" s="20">
        <v>0</v>
      </c>
      <c r="AR341" s="20">
        <v>0</v>
      </c>
      <c r="AS341" s="20">
        <v>7</v>
      </c>
      <c r="AT341" s="20">
        <v>10</v>
      </c>
      <c r="AU341" s="300">
        <f t="shared" si="56"/>
        <v>199</v>
      </c>
      <c r="AV341" s="20">
        <v>190</v>
      </c>
      <c r="AW341" s="20">
        <v>0</v>
      </c>
      <c r="AX341" s="20">
        <v>0</v>
      </c>
      <c r="AY341" s="20">
        <v>0</v>
      </c>
      <c r="AZ341" s="20">
        <v>0</v>
      </c>
      <c r="BA341" s="20">
        <v>7</v>
      </c>
      <c r="BB341" s="20">
        <v>10</v>
      </c>
      <c r="BC341" s="300">
        <f t="shared" si="57"/>
        <v>207</v>
      </c>
      <c r="BD341" s="42">
        <f t="shared" si="58"/>
        <v>8</v>
      </c>
      <c r="BE341" s="42">
        <f t="shared" si="59"/>
        <v>0</v>
      </c>
      <c r="BF341" s="42">
        <f t="shared" si="60"/>
        <v>0</v>
      </c>
      <c r="BG341" s="42">
        <f t="shared" si="61"/>
        <v>0</v>
      </c>
      <c r="BH341" s="42">
        <f t="shared" si="62"/>
        <v>0</v>
      </c>
      <c r="BI341" s="42">
        <f t="shared" si="63"/>
        <v>0</v>
      </c>
      <c r="BJ341" s="42">
        <f t="shared" si="64"/>
        <v>0</v>
      </c>
      <c r="BK341" s="42">
        <f t="shared" si="65"/>
        <v>8</v>
      </c>
    </row>
    <row r="342" spans="1:63" ht="27" customHeight="1">
      <c r="A342" s="11">
        <f t="shared" si="66"/>
        <v>340</v>
      </c>
      <c r="B342" s="12"/>
      <c r="C342" s="8">
        <v>2741</v>
      </c>
      <c r="D342" s="103" t="s">
        <v>2427</v>
      </c>
      <c r="E342" s="201" t="s">
        <v>2428</v>
      </c>
      <c r="F342" s="90" t="s">
        <v>2429</v>
      </c>
      <c r="G342" s="91" t="s">
        <v>2430</v>
      </c>
      <c r="H342" s="24" t="s">
        <v>35</v>
      </c>
      <c r="I342" s="25" t="s">
        <v>36</v>
      </c>
      <c r="J342" s="82" t="s">
        <v>204</v>
      </c>
      <c r="K342" s="26">
        <v>34662</v>
      </c>
      <c r="L342" s="66" t="s">
        <v>174</v>
      </c>
      <c r="M342" s="23">
        <v>43709</v>
      </c>
      <c r="N342" s="23">
        <v>43515</v>
      </c>
      <c r="O342" s="23" t="s">
        <v>32</v>
      </c>
      <c r="P342" s="16" t="s">
        <v>13</v>
      </c>
      <c r="Q342" s="16" t="s">
        <v>176</v>
      </c>
      <c r="R342" s="11" t="s">
        <v>177</v>
      </c>
      <c r="S342" s="11" t="s">
        <v>2354</v>
      </c>
      <c r="T342" s="159"/>
      <c r="U342" s="159"/>
      <c r="V342" s="19" t="s">
        <v>179</v>
      </c>
      <c r="W342" s="19" t="s">
        <v>179</v>
      </c>
      <c r="X342" s="1">
        <v>7</v>
      </c>
      <c r="Y342" s="160" t="s">
        <v>2431</v>
      </c>
      <c r="Z342" s="70"/>
      <c r="AA342" s="70"/>
      <c r="AB342" s="1"/>
      <c r="AC342" s="107"/>
      <c r="AD342" s="202"/>
      <c r="AE342" s="202"/>
      <c r="AF342" s="203"/>
      <c r="AG342" s="204"/>
      <c r="AH342" s="205"/>
      <c r="AI342" s="205"/>
      <c r="AJ342" s="81" t="s">
        <v>198</v>
      </c>
      <c r="AK342" s="81" t="s">
        <v>185</v>
      </c>
      <c r="AL342" s="81" t="s">
        <v>185</v>
      </c>
      <c r="AM342" s="72" t="s">
        <v>2349</v>
      </c>
      <c r="AN342" s="20">
        <v>182</v>
      </c>
      <c r="AO342" s="20">
        <v>0</v>
      </c>
      <c r="AP342" s="20">
        <v>0</v>
      </c>
      <c r="AQ342" s="20">
        <v>15</v>
      </c>
      <c r="AR342" s="20">
        <v>0</v>
      </c>
      <c r="AS342" s="20">
        <v>7</v>
      </c>
      <c r="AT342" s="20">
        <v>10</v>
      </c>
      <c r="AU342" s="300">
        <f t="shared" si="56"/>
        <v>214</v>
      </c>
      <c r="AV342" s="20">
        <v>190</v>
      </c>
      <c r="AW342" s="20">
        <v>0</v>
      </c>
      <c r="AX342" s="20">
        <v>0</v>
      </c>
      <c r="AY342" s="20">
        <v>15</v>
      </c>
      <c r="AZ342" s="20">
        <v>0</v>
      </c>
      <c r="BA342" s="20">
        <v>7</v>
      </c>
      <c r="BB342" s="20">
        <v>10</v>
      </c>
      <c r="BC342" s="300">
        <f t="shared" si="57"/>
        <v>222</v>
      </c>
      <c r="BD342" s="42">
        <f t="shared" si="58"/>
        <v>8</v>
      </c>
      <c r="BE342" s="42">
        <f t="shared" si="59"/>
        <v>0</v>
      </c>
      <c r="BF342" s="42">
        <f t="shared" si="60"/>
        <v>0</v>
      </c>
      <c r="BG342" s="42">
        <f t="shared" si="61"/>
        <v>0</v>
      </c>
      <c r="BH342" s="42">
        <f t="shared" si="62"/>
        <v>0</v>
      </c>
      <c r="BI342" s="42">
        <f t="shared" si="63"/>
        <v>0</v>
      </c>
      <c r="BJ342" s="42">
        <f t="shared" si="64"/>
        <v>0</v>
      </c>
      <c r="BK342" s="42">
        <f t="shared" si="65"/>
        <v>8</v>
      </c>
    </row>
    <row r="343" spans="1:63" ht="27" customHeight="1">
      <c r="A343" s="11">
        <f t="shared" si="66"/>
        <v>341</v>
      </c>
      <c r="B343" s="12"/>
      <c r="C343" s="8">
        <v>2710</v>
      </c>
      <c r="D343" s="103" t="s">
        <v>2432</v>
      </c>
      <c r="E343" s="201" t="s">
        <v>2433</v>
      </c>
      <c r="F343" s="90" t="s">
        <v>552</v>
      </c>
      <c r="G343" s="91" t="s">
        <v>2434</v>
      </c>
      <c r="H343" s="24" t="s">
        <v>2327</v>
      </c>
      <c r="I343" s="25" t="s">
        <v>2435</v>
      </c>
      <c r="J343" s="82" t="s">
        <v>204</v>
      </c>
      <c r="K343" s="26">
        <v>29314</v>
      </c>
      <c r="L343" s="66" t="s">
        <v>174</v>
      </c>
      <c r="M343" s="23">
        <v>43678</v>
      </c>
      <c r="N343" s="23">
        <v>43508</v>
      </c>
      <c r="O343" s="23" t="s">
        <v>32</v>
      </c>
      <c r="P343" s="16" t="s">
        <v>2405</v>
      </c>
      <c r="Q343" s="16" t="s">
        <v>176</v>
      </c>
      <c r="R343" s="11" t="s">
        <v>177</v>
      </c>
      <c r="S343" s="11" t="s">
        <v>2379</v>
      </c>
      <c r="T343" s="159"/>
      <c r="U343" s="159"/>
      <c r="V343" s="19" t="s">
        <v>195</v>
      </c>
      <c r="W343" s="19" t="s">
        <v>195</v>
      </c>
      <c r="X343" s="1">
        <v>9</v>
      </c>
      <c r="Y343" s="160" t="s">
        <v>2436</v>
      </c>
      <c r="Z343" s="70"/>
      <c r="AA343" s="70"/>
      <c r="AB343" s="1"/>
      <c r="AC343" s="107"/>
      <c r="AD343" s="202" t="s">
        <v>183</v>
      </c>
      <c r="AE343" s="202" t="s">
        <v>184</v>
      </c>
      <c r="AF343" s="203"/>
      <c r="AG343" s="204"/>
      <c r="AH343" s="205"/>
      <c r="AI343" s="205"/>
      <c r="AJ343" s="81" t="s">
        <v>198</v>
      </c>
      <c r="AK343" s="81" t="s">
        <v>185</v>
      </c>
      <c r="AL343" s="81" t="s">
        <v>185</v>
      </c>
      <c r="AM343" s="72" t="s">
        <v>2349</v>
      </c>
      <c r="AN343" s="20">
        <v>182</v>
      </c>
      <c r="AO343" s="20">
        <v>0</v>
      </c>
      <c r="AP343" s="20">
        <v>0</v>
      </c>
      <c r="AQ343" s="20">
        <v>173</v>
      </c>
      <c r="AR343" s="20">
        <v>0</v>
      </c>
      <c r="AS343" s="20">
        <v>7</v>
      </c>
      <c r="AT343" s="20">
        <v>10</v>
      </c>
      <c r="AU343" s="300">
        <f t="shared" si="56"/>
        <v>372</v>
      </c>
      <c r="AV343" s="20">
        <v>190</v>
      </c>
      <c r="AW343" s="20">
        <v>0</v>
      </c>
      <c r="AX343" s="20">
        <v>0</v>
      </c>
      <c r="AY343" s="20">
        <v>173</v>
      </c>
      <c r="AZ343" s="20">
        <v>0</v>
      </c>
      <c r="BA343" s="20">
        <v>7</v>
      </c>
      <c r="BB343" s="20">
        <v>10</v>
      </c>
      <c r="BC343" s="300">
        <f t="shared" si="57"/>
        <v>380</v>
      </c>
      <c r="BD343" s="42">
        <f t="shared" si="58"/>
        <v>8</v>
      </c>
      <c r="BE343" s="42">
        <f t="shared" si="59"/>
        <v>0</v>
      </c>
      <c r="BF343" s="42">
        <f t="shared" si="60"/>
        <v>0</v>
      </c>
      <c r="BG343" s="42">
        <f t="shared" si="61"/>
        <v>0</v>
      </c>
      <c r="BH343" s="42">
        <f t="shared" si="62"/>
        <v>0</v>
      </c>
      <c r="BI343" s="42">
        <f t="shared" si="63"/>
        <v>0</v>
      </c>
      <c r="BJ343" s="42">
        <f t="shared" si="64"/>
        <v>0</v>
      </c>
      <c r="BK343" s="42">
        <f t="shared" si="65"/>
        <v>8</v>
      </c>
    </row>
    <row r="344" spans="1:63" ht="27" customHeight="1">
      <c r="A344" s="11">
        <f t="shared" si="66"/>
        <v>342</v>
      </c>
      <c r="B344" s="12"/>
      <c r="C344" s="8">
        <v>2738</v>
      </c>
      <c r="D344" s="103" t="s">
        <v>2437</v>
      </c>
      <c r="E344" s="201" t="s">
        <v>2438</v>
      </c>
      <c r="F344" s="90" t="s">
        <v>2439</v>
      </c>
      <c r="G344" s="91" t="s">
        <v>2120</v>
      </c>
      <c r="H344" s="24" t="s">
        <v>95</v>
      </c>
      <c r="I344" s="25" t="s">
        <v>2440</v>
      </c>
      <c r="J344" s="82" t="s">
        <v>173</v>
      </c>
      <c r="K344" s="26">
        <v>32987</v>
      </c>
      <c r="L344" s="66" t="s">
        <v>174</v>
      </c>
      <c r="M344" s="23">
        <v>43678</v>
      </c>
      <c r="N344" s="23">
        <v>43509</v>
      </c>
      <c r="O344" s="23" t="s">
        <v>32</v>
      </c>
      <c r="P344" s="16" t="s">
        <v>222</v>
      </c>
      <c r="Q344" s="16" t="s">
        <v>176</v>
      </c>
      <c r="R344" s="11" t="s">
        <v>177</v>
      </c>
      <c r="S344" s="11" t="s">
        <v>2425</v>
      </c>
      <c r="T344" s="159"/>
      <c r="U344" s="159"/>
      <c r="V344" s="19" t="s">
        <v>179</v>
      </c>
      <c r="W344" s="19" t="s">
        <v>179</v>
      </c>
      <c r="X344" s="1" t="s">
        <v>179</v>
      </c>
      <c r="Y344" s="160" t="s">
        <v>179</v>
      </c>
      <c r="Z344" s="70"/>
      <c r="AA344" s="70"/>
      <c r="AB344" s="1"/>
      <c r="AC344" s="107"/>
      <c r="AD344" s="202" t="s">
        <v>184</v>
      </c>
      <c r="AE344" s="202" t="s">
        <v>2441</v>
      </c>
      <c r="AF344" s="203"/>
      <c r="AG344" s="204"/>
      <c r="AH344" s="205"/>
      <c r="AI344" s="205"/>
      <c r="AJ344" s="81" t="s">
        <v>198</v>
      </c>
      <c r="AK344" s="81" t="s">
        <v>185</v>
      </c>
      <c r="AL344" s="81" t="s">
        <v>185</v>
      </c>
      <c r="AM344" s="72" t="s">
        <v>2349</v>
      </c>
      <c r="AN344" s="20">
        <v>182</v>
      </c>
      <c r="AO344" s="20">
        <v>0</v>
      </c>
      <c r="AP344" s="20">
        <v>0</v>
      </c>
      <c r="AQ344" s="20">
        <v>0</v>
      </c>
      <c r="AR344" s="20">
        <v>0</v>
      </c>
      <c r="AS344" s="20">
        <v>7</v>
      </c>
      <c r="AT344" s="20">
        <v>10</v>
      </c>
      <c r="AU344" s="300">
        <f t="shared" si="56"/>
        <v>199</v>
      </c>
      <c r="AV344" s="20">
        <v>190</v>
      </c>
      <c r="AW344" s="20">
        <v>0</v>
      </c>
      <c r="AX344" s="20">
        <v>0</v>
      </c>
      <c r="AY344" s="20">
        <v>0</v>
      </c>
      <c r="AZ344" s="20">
        <v>0</v>
      </c>
      <c r="BA344" s="20">
        <v>7</v>
      </c>
      <c r="BB344" s="20">
        <v>10</v>
      </c>
      <c r="BC344" s="300">
        <f t="shared" si="57"/>
        <v>207</v>
      </c>
      <c r="BD344" s="42">
        <f t="shared" si="58"/>
        <v>8</v>
      </c>
      <c r="BE344" s="42">
        <f t="shared" si="59"/>
        <v>0</v>
      </c>
      <c r="BF344" s="42">
        <f t="shared" si="60"/>
        <v>0</v>
      </c>
      <c r="BG344" s="42">
        <f t="shared" si="61"/>
        <v>0</v>
      </c>
      <c r="BH344" s="42">
        <f t="shared" si="62"/>
        <v>0</v>
      </c>
      <c r="BI344" s="42">
        <f t="shared" si="63"/>
        <v>0</v>
      </c>
      <c r="BJ344" s="42">
        <f t="shared" si="64"/>
        <v>0</v>
      </c>
      <c r="BK344" s="42">
        <f t="shared" si="65"/>
        <v>8</v>
      </c>
    </row>
    <row r="345" spans="1:63" ht="27" customHeight="1">
      <c r="A345" s="11">
        <f t="shared" si="66"/>
        <v>343</v>
      </c>
      <c r="B345" s="12"/>
      <c r="C345" s="8">
        <v>2729</v>
      </c>
      <c r="D345" s="103" t="s">
        <v>2442</v>
      </c>
      <c r="E345" s="201" t="s">
        <v>2443</v>
      </c>
      <c r="F345" s="90" t="s">
        <v>2444</v>
      </c>
      <c r="G345" s="91" t="s">
        <v>2445</v>
      </c>
      <c r="H345" s="24" t="s">
        <v>104</v>
      </c>
      <c r="I345" s="25" t="s">
        <v>2446</v>
      </c>
      <c r="J345" s="82" t="s">
        <v>173</v>
      </c>
      <c r="K345" s="26">
        <v>30170</v>
      </c>
      <c r="L345" s="66" t="s">
        <v>174</v>
      </c>
      <c r="M345" s="23">
        <v>43678</v>
      </c>
      <c r="N345" s="23">
        <v>43508</v>
      </c>
      <c r="O345" s="23" t="s">
        <v>32</v>
      </c>
      <c r="P345" s="16" t="s">
        <v>304</v>
      </c>
      <c r="Q345" s="16" t="s">
        <v>176</v>
      </c>
      <c r="R345" s="11" t="s">
        <v>177</v>
      </c>
      <c r="S345" s="217" t="s">
        <v>2392</v>
      </c>
      <c r="T345" s="159"/>
      <c r="U345" s="159"/>
      <c r="V345" s="19" t="s">
        <v>179</v>
      </c>
      <c r="W345" s="19" t="s">
        <v>179</v>
      </c>
      <c r="X345" s="1">
        <v>3</v>
      </c>
      <c r="Y345" s="160" t="s">
        <v>2447</v>
      </c>
      <c r="Z345" s="70"/>
      <c r="AA345" s="70"/>
      <c r="AB345" s="1"/>
      <c r="AC345" s="107"/>
      <c r="AD345" s="202" t="s">
        <v>183</v>
      </c>
      <c r="AE345" s="202" t="s">
        <v>184</v>
      </c>
      <c r="AF345" s="203"/>
      <c r="AG345" s="204"/>
      <c r="AH345" s="205"/>
      <c r="AI345" s="205"/>
      <c r="AJ345" s="81" t="s">
        <v>198</v>
      </c>
      <c r="AK345" s="81" t="s">
        <v>185</v>
      </c>
      <c r="AL345" s="81" t="s">
        <v>185</v>
      </c>
      <c r="AM345" s="72" t="s">
        <v>2349</v>
      </c>
      <c r="AN345" s="20">
        <v>182</v>
      </c>
      <c r="AO345" s="20">
        <v>0</v>
      </c>
      <c r="AP345" s="20">
        <v>0</v>
      </c>
      <c r="AQ345" s="20">
        <v>0</v>
      </c>
      <c r="AR345" s="20">
        <v>0</v>
      </c>
      <c r="AS345" s="20">
        <v>7</v>
      </c>
      <c r="AT345" s="20">
        <v>10</v>
      </c>
      <c r="AU345" s="300">
        <f t="shared" si="56"/>
        <v>199</v>
      </c>
      <c r="AV345" s="20">
        <v>190</v>
      </c>
      <c r="AW345" s="20">
        <v>0</v>
      </c>
      <c r="AX345" s="20">
        <v>0</v>
      </c>
      <c r="AY345" s="20">
        <v>0</v>
      </c>
      <c r="AZ345" s="20">
        <v>0</v>
      </c>
      <c r="BA345" s="20">
        <v>7</v>
      </c>
      <c r="BB345" s="20">
        <v>10</v>
      </c>
      <c r="BC345" s="300">
        <f t="shared" si="57"/>
        <v>207</v>
      </c>
      <c r="BD345" s="42">
        <f t="shared" si="58"/>
        <v>8</v>
      </c>
      <c r="BE345" s="42">
        <f t="shared" si="59"/>
        <v>0</v>
      </c>
      <c r="BF345" s="42">
        <f t="shared" si="60"/>
        <v>0</v>
      </c>
      <c r="BG345" s="42">
        <f t="shared" si="61"/>
        <v>0</v>
      </c>
      <c r="BH345" s="42">
        <f t="shared" si="62"/>
        <v>0</v>
      </c>
      <c r="BI345" s="42">
        <f t="shared" si="63"/>
        <v>0</v>
      </c>
      <c r="BJ345" s="42">
        <f t="shared" si="64"/>
        <v>0</v>
      </c>
      <c r="BK345" s="42">
        <f t="shared" si="65"/>
        <v>8</v>
      </c>
    </row>
    <row r="346" spans="1:63" ht="27" customHeight="1">
      <c r="A346" s="11">
        <f t="shared" si="66"/>
        <v>344</v>
      </c>
      <c r="B346" s="12"/>
      <c r="C346" s="8">
        <v>2732</v>
      </c>
      <c r="D346" s="103" t="s">
        <v>2448</v>
      </c>
      <c r="E346" s="201" t="s">
        <v>2449</v>
      </c>
      <c r="F346" s="90" t="s">
        <v>644</v>
      </c>
      <c r="G346" s="91" t="s">
        <v>1705</v>
      </c>
      <c r="H346" s="24" t="s">
        <v>43</v>
      </c>
      <c r="I346" s="25" t="s">
        <v>58</v>
      </c>
      <c r="J346" s="82" t="s">
        <v>173</v>
      </c>
      <c r="K346" s="26">
        <v>34532</v>
      </c>
      <c r="L346" s="66" t="s">
        <v>174</v>
      </c>
      <c r="M346" s="23">
        <v>43678</v>
      </c>
      <c r="N346" s="23">
        <v>43507</v>
      </c>
      <c r="O346" s="23" t="s">
        <v>32</v>
      </c>
      <c r="P346" s="16" t="s">
        <v>304</v>
      </c>
      <c r="Q346" s="16" t="s">
        <v>176</v>
      </c>
      <c r="R346" s="11" t="s">
        <v>177</v>
      </c>
      <c r="S346" s="11" t="s">
        <v>2354</v>
      </c>
      <c r="T346" s="159"/>
      <c r="U346" s="159"/>
      <c r="V346" s="19" t="s">
        <v>179</v>
      </c>
      <c r="W346" s="19" t="s">
        <v>179</v>
      </c>
      <c r="X346" s="1" t="s">
        <v>179</v>
      </c>
      <c r="Y346" s="160" t="s">
        <v>2450</v>
      </c>
      <c r="Z346" s="70"/>
      <c r="AA346" s="70"/>
      <c r="AB346" s="1"/>
      <c r="AC346" s="107"/>
      <c r="AD346" s="202"/>
      <c r="AE346" s="202"/>
      <c r="AF346" s="203"/>
      <c r="AG346" s="204"/>
      <c r="AH346" s="205"/>
      <c r="AI346" s="205"/>
      <c r="AJ346" s="81" t="s">
        <v>198</v>
      </c>
      <c r="AK346" s="81" t="s">
        <v>185</v>
      </c>
      <c r="AL346" s="81" t="s">
        <v>185</v>
      </c>
      <c r="AM346" s="72" t="s">
        <v>2349</v>
      </c>
      <c r="AN346" s="20">
        <v>182</v>
      </c>
      <c r="AO346" s="20">
        <v>0</v>
      </c>
      <c r="AP346" s="20">
        <v>0</v>
      </c>
      <c r="AQ346" s="20">
        <v>0</v>
      </c>
      <c r="AR346" s="20">
        <v>0</v>
      </c>
      <c r="AS346" s="20">
        <v>7</v>
      </c>
      <c r="AT346" s="20">
        <v>10</v>
      </c>
      <c r="AU346" s="300">
        <f t="shared" si="56"/>
        <v>199</v>
      </c>
      <c r="AV346" s="20">
        <v>190</v>
      </c>
      <c r="AW346" s="20">
        <v>0</v>
      </c>
      <c r="AX346" s="20">
        <v>0</v>
      </c>
      <c r="AY346" s="20">
        <v>0</v>
      </c>
      <c r="AZ346" s="20">
        <v>0</v>
      </c>
      <c r="BA346" s="20">
        <v>7</v>
      </c>
      <c r="BB346" s="20">
        <v>10</v>
      </c>
      <c r="BC346" s="300">
        <f t="shared" si="57"/>
        <v>207</v>
      </c>
      <c r="BD346" s="42">
        <f t="shared" si="58"/>
        <v>8</v>
      </c>
      <c r="BE346" s="42">
        <f t="shared" si="59"/>
        <v>0</v>
      </c>
      <c r="BF346" s="42">
        <f t="shared" si="60"/>
        <v>0</v>
      </c>
      <c r="BG346" s="42">
        <f t="shared" si="61"/>
        <v>0</v>
      </c>
      <c r="BH346" s="42">
        <f t="shared" si="62"/>
        <v>0</v>
      </c>
      <c r="BI346" s="42">
        <f t="shared" si="63"/>
        <v>0</v>
      </c>
      <c r="BJ346" s="42">
        <f t="shared" si="64"/>
        <v>0</v>
      </c>
      <c r="BK346" s="42">
        <f t="shared" si="65"/>
        <v>8</v>
      </c>
    </row>
    <row r="347" spans="1:63" ht="27" customHeight="1">
      <c r="A347" s="11">
        <f t="shared" si="66"/>
        <v>345</v>
      </c>
      <c r="B347" s="12"/>
      <c r="C347" s="8">
        <v>2731</v>
      </c>
      <c r="D347" s="103" t="s">
        <v>2451</v>
      </c>
      <c r="E347" s="201" t="s">
        <v>2452</v>
      </c>
      <c r="F347" s="90" t="s">
        <v>644</v>
      </c>
      <c r="G347" s="91" t="s">
        <v>2453</v>
      </c>
      <c r="H347" s="24" t="s">
        <v>43</v>
      </c>
      <c r="I347" s="25" t="s">
        <v>2454</v>
      </c>
      <c r="J347" s="82" t="s">
        <v>173</v>
      </c>
      <c r="K347" s="26">
        <v>34700</v>
      </c>
      <c r="L347" s="66" t="s">
        <v>174</v>
      </c>
      <c r="M347" s="23">
        <v>43678</v>
      </c>
      <c r="N347" s="23">
        <v>43507</v>
      </c>
      <c r="O347" s="23" t="s">
        <v>32</v>
      </c>
      <c r="P347" s="16" t="s">
        <v>1080</v>
      </c>
      <c r="Q347" s="16" t="s">
        <v>176</v>
      </c>
      <c r="R347" s="11" t="s">
        <v>177</v>
      </c>
      <c r="S347" s="11" t="s">
        <v>2354</v>
      </c>
      <c r="T347" s="159"/>
      <c r="U347" s="159"/>
      <c r="V347" s="19" t="s">
        <v>179</v>
      </c>
      <c r="W347" s="19" t="s">
        <v>179</v>
      </c>
      <c r="X347" s="1" t="s">
        <v>179</v>
      </c>
      <c r="Y347" s="160" t="s">
        <v>2455</v>
      </c>
      <c r="Z347" s="70"/>
      <c r="AA347" s="70"/>
      <c r="AB347" s="1"/>
      <c r="AC347" s="107"/>
      <c r="AD347" s="202" t="s">
        <v>184</v>
      </c>
      <c r="AE347" s="202" t="s">
        <v>184</v>
      </c>
      <c r="AF347" s="203"/>
      <c r="AG347" s="204"/>
      <c r="AH347" s="205"/>
      <c r="AI347" s="205"/>
      <c r="AJ347" s="81" t="s">
        <v>198</v>
      </c>
      <c r="AK347" s="81" t="s">
        <v>185</v>
      </c>
      <c r="AL347" s="81" t="s">
        <v>185</v>
      </c>
      <c r="AM347" s="72" t="s">
        <v>2349</v>
      </c>
      <c r="AN347" s="20">
        <v>182</v>
      </c>
      <c r="AO347" s="20">
        <v>0</v>
      </c>
      <c r="AP347" s="20">
        <v>0</v>
      </c>
      <c r="AQ347" s="20">
        <v>0</v>
      </c>
      <c r="AR347" s="20">
        <v>0</v>
      </c>
      <c r="AS347" s="20">
        <v>7</v>
      </c>
      <c r="AT347" s="20">
        <v>10</v>
      </c>
      <c r="AU347" s="300">
        <f t="shared" si="56"/>
        <v>199</v>
      </c>
      <c r="AV347" s="20">
        <v>190</v>
      </c>
      <c r="AW347" s="20">
        <v>0</v>
      </c>
      <c r="AX347" s="20">
        <v>0</v>
      </c>
      <c r="AY347" s="20">
        <v>0</v>
      </c>
      <c r="AZ347" s="20">
        <v>0</v>
      </c>
      <c r="BA347" s="20">
        <v>7</v>
      </c>
      <c r="BB347" s="20">
        <v>10</v>
      </c>
      <c r="BC347" s="300">
        <f t="shared" si="57"/>
        <v>207</v>
      </c>
      <c r="BD347" s="42">
        <f t="shared" si="58"/>
        <v>8</v>
      </c>
      <c r="BE347" s="42">
        <f t="shared" si="59"/>
        <v>0</v>
      </c>
      <c r="BF347" s="42">
        <f t="shared" si="60"/>
        <v>0</v>
      </c>
      <c r="BG347" s="42">
        <f t="shared" si="61"/>
        <v>0</v>
      </c>
      <c r="BH347" s="42">
        <f t="shared" si="62"/>
        <v>0</v>
      </c>
      <c r="BI347" s="42">
        <f t="shared" si="63"/>
        <v>0</v>
      </c>
      <c r="BJ347" s="42">
        <f t="shared" si="64"/>
        <v>0</v>
      </c>
      <c r="BK347" s="42">
        <f t="shared" si="65"/>
        <v>8</v>
      </c>
    </row>
    <row r="348" spans="1:63" ht="27" customHeight="1">
      <c r="A348" s="11">
        <f t="shared" si="66"/>
        <v>346</v>
      </c>
      <c r="B348" s="12"/>
      <c r="C348" s="8">
        <v>2756</v>
      </c>
      <c r="D348" s="103" t="s">
        <v>2456</v>
      </c>
      <c r="E348" s="201" t="s">
        <v>2457</v>
      </c>
      <c r="F348" s="90" t="s">
        <v>958</v>
      </c>
      <c r="G348" s="91" t="s">
        <v>2458</v>
      </c>
      <c r="H348" s="24" t="s">
        <v>2247</v>
      </c>
      <c r="I348" s="25" t="s">
        <v>2459</v>
      </c>
      <c r="J348" s="82" t="s">
        <v>204</v>
      </c>
      <c r="K348" s="26">
        <v>36780</v>
      </c>
      <c r="L348" s="66" t="s">
        <v>174</v>
      </c>
      <c r="M348" s="23">
        <v>43709</v>
      </c>
      <c r="N348" s="23">
        <v>43518</v>
      </c>
      <c r="O348" s="23" t="s">
        <v>32</v>
      </c>
      <c r="P348" s="16" t="s">
        <v>547</v>
      </c>
      <c r="Q348" s="16" t="s">
        <v>176</v>
      </c>
      <c r="R348" s="11" t="s">
        <v>177</v>
      </c>
      <c r="S348" s="11" t="s">
        <v>2460</v>
      </c>
      <c r="T348" s="159"/>
      <c r="U348" s="159"/>
      <c r="V348" s="19" t="s">
        <v>179</v>
      </c>
      <c r="W348" s="19" t="s">
        <v>179</v>
      </c>
      <c r="X348" s="1">
        <v>7</v>
      </c>
      <c r="Y348" s="160" t="s">
        <v>2461</v>
      </c>
      <c r="Z348" s="70"/>
      <c r="AA348" s="70"/>
      <c r="AB348" s="1"/>
      <c r="AC348" s="107"/>
      <c r="AD348" s="202"/>
      <c r="AE348" s="202"/>
      <c r="AF348" s="203"/>
      <c r="AG348" s="204"/>
      <c r="AH348" s="205"/>
      <c r="AI348" s="205"/>
      <c r="AJ348" s="81" t="s">
        <v>198</v>
      </c>
      <c r="AK348" s="81" t="s">
        <v>185</v>
      </c>
      <c r="AL348" s="81" t="s">
        <v>185</v>
      </c>
      <c r="AM348" s="72" t="s">
        <v>2349</v>
      </c>
      <c r="AN348" s="20">
        <v>182</v>
      </c>
      <c r="AO348" s="20">
        <v>0</v>
      </c>
      <c r="AP348" s="20">
        <v>0</v>
      </c>
      <c r="AQ348" s="20">
        <v>0</v>
      </c>
      <c r="AR348" s="20">
        <v>0</v>
      </c>
      <c r="AS348" s="20">
        <v>7</v>
      </c>
      <c r="AT348" s="20">
        <v>10</v>
      </c>
      <c r="AU348" s="300">
        <f t="shared" si="56"/>
        <v>199</v>
      </c>
      <c r="AV348" s="20">
        <v>190</v>
      </c>
      <c r="AW348" s="20">
        <v>0</v>
      </c>
      <c r="AX348" s="20">
        <v>0</v>
      </c>
      <c r="AY348" s="20">
        <v>0</v>
      </c>
      <c r="AZ348" s="20">
        <v>0</v>
      </c>
      <c r="BA348" s="20">
        <v>7</v>
      </c>
      <c r="BB348" s="20">
        <v>10</v>
      </c>
      <c r="BC348" s="300">
        <f t="shared" si="57"/>
        <v>207</v>
      </c>
      <c r="BD348" s="42">
        <f t="shared" si="58"/>
        <v>8</v>
      </c>
      <c r="BE348" s="42">
        <f t="shared" si="59"/>
        <v>0</v>
      </c>
      <c r="BF348" s="42">
        <f t="shared" si="60"/>
        <v>0</v>
      </c>
      <c r="BG348" s="42">
        <f t="shared" si="61"/>
        <v>0</v>
      </c>
      <c r="BH348" s="42">
        <f t="shared" si="62"/>
        <v>0</v>
      </c>
      <c r="BI348" s="42">
        <f t="shared" si="63"/>
        <v>0</v>
      </c>
      <c r="BJ348" s="42">
        <f t="shared" si="64"/>
        <v>0</v>
      </c>
      <c r="BK348" s="42">
        <f t="shared" si="65"/>
        <v>8</v>
      </c>
    </row>
    <row r="349" spans="1:63" ht="27" customHeight="1">
      <c r="A349" s="11">
        <f t="shared" si="66"/>
        <v>347</v>
      </c>
      <c r="B349" s="12"/>
      <c r="C349" s="8">
        <v>2781</v>
      </c>
      <c r="D349" s="103" t="s">
        <v>2462</v>
      </c>
      <c r="E349" s="201" t="s">
        <v>2463</v>
      </c>
      <c r="F349" s="90" t="s">
        <v>699</v>
      </c>
      <c r="G349" s="91" t="s">
        <v>1419</v>
      </c>
      <c r="H349" s="24" t="s">
        <v>2464</v>
      </c>
      <c r="I349" s="25" t="s">
        <v>2465</v>
      </c>
      <c r="J349" s="82" t="s">
        <v>173</v>
      </c>
      <c r="K349" s="26">
        <v>32321</v>
      </c>
      <c r="L349" s="66" t="s">
        <v>174</v>
      </c>
      <c r="M349" s="23">
        <v>43709</v>
      </c>
      <c r="N349" s="23">
        <v>43529</v>
      </c>
      <c r="O349" s="23" t="s">
        <v>32</v>
      </c>
      <c r="P349" s="16" t="s">
        <v>381</v>
      </c>
      <c r="Q349" s="16" t="s">
        <v>176</v>
      </c>
      <c r="R349" s="11" t="s">
        <v>177</v>
      </c>
      <c r="S349" s="11" t="s">
        <v>2354</v>
      </c>
      <c r="T349" s="159"/>
      <c r="U349" s="159"/>
      <c r="V349" s="19" t="s">
        <v>195</v>
      </c>
      <c r="W349" s="19" t="s">
        <v>195</v>
      </c>
      <c r="X349" s="1">
        <v>9</v>
      </c>
      <c r="Y349" s="160" t="s">
        <v>2466</v>
      </c>
      <c r="Z349" s="70"/>
      <c r="AA349" s="70" t="s">
        <v>181</v>
      </c>
      <c r="AB349" s="1"/>
      <c r="AC349" s="107"/>
      <c r="AD349" s="202" t="s">
        <v>184</v>
      </c>
      <c r="AE349" s="202" t="s">
        <v>184</v>
      </c>
      <c r="AF349" s="203"/>
      <c r="AG349" s="204"/>
      <c r="AH349" s="205"/>
      <c r="AI349" s="205"/>
      <c r="AJ349" s="81" t="s">
        <v>198</v>
      </c>
      <c r="AK349" s="81" t="s">
        <v>185</v>
      </c>
      <c r="AL349" s="81" t="s">
        <v>185</v>
      </c>
      <c r="AM349" s="72" t="s">
        <v>2349</v>
      </c>
      <c r="AN349" s="20">
        <v>182</v>
      </c>
      <c r="AO349" s="20">
        <v>0</v>
      </c>
      <c r="AP349" s="20">
        <v>0</v>
      </c>
      <c r="AQ349" s="20">
        <v>0</v>
      </c>
      <c r="AR349" s="20">
        <v>0</v>
      </c>
      <c r="AS349" s="20">
        <v>7</v>
      </c>
      <c r="AT349" s="20">
        <v>10</v>
      </c>
      <c r="AU349" s="300">
        <f t="shared" si="56"/>
        <v>199</v>
      </c>
      <c r="AV349" s="20">
        <v>190</v>
      </c>
      <c r="AW349" s="20">
        <v>0</v>
      </c>
      <c r="AX349" s="20">
        <v>0</v>
      </c>
      <c r="AY349" s="20">
        <v>0</v>
      </c>
      <c r="AZ349" s="20">
        <v>0</v>
      </c>
      <c r="BA349" s="20">
        <v>7</v>
      </c>
      <c r="BB349" s="20">
        <v>10</v>
      </c>
      <c r="BC349" s="300">
        <f t="shared" si="57"/>
        <v>207</v>
      </c>
      <c r="BD349" s="42">
        <f t="shared" si="58"/>
        <v>8</v>
      </c>
      <c r="BE349" s="42">
        <f t="shared" si="59"/>
        <v>0</v>
      </c>
      <c r="BF349" s="42">
        <f t="shared" si="60"/>
        <v>0</v>
      </c>
      <c r="BG349" s="42">
        <f t="shared" si="61"/>
        <v>0</v>
      </c>
      <c r="BH349" s="42">
        <f t="shared" si="62"/>
        <v>0</v>
      </c>
      <c r="BI349" s="42">
        <f t="shared" si="63"/>
        <v>0</v>
      </c>
      <c r="BJ349" s="42">
        <f t="shared" si="64"/>
        <v>0</v>
      </c>
      <c r="BK349" s="42">
        <f t="shared" si="65"/>
        <v>8</v>
      </c>
    </row>
    <row r="350" spans="1:63" ht="27" customHeight="1">
      <c r="A350" s="11">
        <f t="shared" si="66"/>
        <v>348</v>
      </c>
      <c r="B350" s="12"/>
      <c r="C350" s="8">
        <v>2776</v>
      </c>
      <c r="D350" s="103" t="s">
        <v>2467</v>
      </c>
      <c r="E350" s="201" t="s">
        <v>2468</v>
      </c>
      <c r="F350" s="90" t="s">
        <v>2469</v>
      </c>
      <c r="G350" s="91" t="s">
        <v>2470</v>
      </c>
      <c r="H350" s="24" t="s">
        <v>2471</v>
      </c>
      <c r="I350" s="25" t="s">
        <v>2472</v>
      </c>
      <c r="J350" s="82" t="s">
        <v>173</v>
      </c>
      <c r="K350" s="26">
        <v>31627</v>
      </c>
      <c r="L350" s="66" t="s">
        <v>174</v>
      </c>
      <c r="M350" s="23">
        <v>43709</v>
      </c>
      <c r="N350" s="23">
        <v>43526</v>
      </c>
      <c r="O350" s="23" t="s">
        <v>32</v>
      </c>
      <c r="P350" s="16" t="s">
        <v>507</v>
      </c>
      <c r="Q350" s="16" t="s">
        <v>176</v>
      </c>
      <c r="R350" s="11" t="s">
        <v>177</v>
      </c>
      <c r="S350" s="11" t="s">
        <v>2392</v>
      </c>
      <c r="T350" s="159"/>
      <c r="U350" s="159"/>
      <c r="V350" s="19" t="s">
        <v>179</v>
      </c>
      <c r="W350" s="19" t="s">
        <v>179</v>
      </c>
      <c r="X350" s="1">
        <v>3</v>
      </c>
      <c r="Y350" s="160" t="s">
        <v>2473</v>
      </c>
      <c r="Z350" s="70"/>
      <c r="AA350" s="70" t="s">
        <v>181</v>
      </c>
      <c r="AB350" s="1"/>
      <c r="AC350" s="107"/>
      <c r="AD350" s="202" t="s">
        <v>184</v>
      </c>
      <c r="AE350" s="202"/>
      <c r="AF350" s="203"/>
      <c r="AG350" s="204"/>
      <c r="AH350" s="205"/>
      <c r="AI350" s="205"/>
      <c r="AJ350" s="81" t="s">
        <v>198</v>
      </c>
      <c r="AK350" s="81" t="s">
        <v>185</v>
      </c>
      <c r="AL350" s="81" t="s">
        <v>185</v>
      </c>
      <c r="AM350" s="72" t="s">
        <v>2349</v>
      </c>
      <c r="AN350" s="20">
        <v>182</v>
      </c>
      <c r="AO350" s="20">
        <v>0</v>
      </c>
      <c r="AP350" s="20">
        <v>0</v>
      </c>
      <c r="AQ350" s="20">
        <v>0</v>
      </c>
      <c r="AR350" s="20">
        <v>0</v>
      </c>
      <c r="AS350" s="20">
        <v>7</v>
      </c>
      <c r="AT350" s="20">
        <v>10</v>
      </c>
      <c r="AU350" s="300">
        <f t="shared" si="56"/>
        <v>199</v>
      </c>
      <c r="AV350" s="20">
        <v>190</v>
      </c>
      <c r="AW350" s="20">
        <v>0</v>
      </c>
      <c r="AX350" s="20">
        <v>0</v>
      </c>
      <c r="AY350" s="20">
        <v>0</v>
      </c>
      <c r="AZ350" s="20">
        <v>0</v>
      </c>
      <c r="BA350" s="20">
        <v>7</v>
      </c>
      <c r="BB350" s="20">
        <v>10</v>
      </c>
      <c r="BC350" s="300">
        <f t="shared" si="57"/>
        <v>207</v>
      </c>
      <c r="BD350" s="42">
        <f t="shared" si="58"/>
        <v>8</v>
      </c>
      <c r="BE350" s="42">
        <f t="shared" si="59"/>
        <v>0</v>
      </c>
      <c r="BF350" s="42">
        <f t="shared" si="60"/>
        <v>0</v>
      </c>
      <c r="BG350" s="42">
        <f t="shared" si="61"/>
        <v>0</v>
      </c>
      <c r="BH350" s="42">
        <f t="shared" si="62"/>
        <v>0</v>
      </c>
      <c r="BI350" s="42">
        <f t="shared" si="63"/>
        <v>0</v>
      </c>
      <c r="BJ350" s="42">
        <f t="shared" si="64"/>
        <v>0</v>
      </c>
      <c r="BK350" s="42">
        <f t="shared" si="65"/>
        <v>8</v>
      </c>
    </row>
    <row r="351" spans="1:63" ht="27" customHeight="1">
      <c r="A351" s="11">
        <f t="shared" si="66"/>
        <v>349</v>
      </c>
      <c r="B351" s="12"/>
      <c r="C351" s="8">
        <v>2780</v>
      </c>
      <c r="D351" s="103" t="s">
        <v>2474</v>
      </c>
      <c r="E351" s="201" t="s">
        <v>2475</v>
      </c>
      <c r="F351" s="90" t="s">
        <v>2476</v>
      </c>
      <c r="G351" s="91" t="s">
        <v>2477</v>
      </c>
      <c r="H351" s="24" t="s">
        <v>81</v>
      </c>
      <c r="I351" s="25" t="s">
        <v>2478</v>
      </c>
      <c r="J351" s="82" t="s">
        <v>173</v>
      </c>
      <c r="K351" s="26">
        <v>32911</v>
      </c>
      <c r="L351" s="66" t="s">
        <v>174</v>
      </c>
      <c r="M351" s="23">
        <v>43709</v>
      </c>
      <c r="N351" s="23">
        <v>43526</v>
      </c>
      <c r="O351" s="23" t="s">
        <v>32</v>
      </c>
      <c r="P351" s="16" t="s">
        <v>25</v>
      </c>
      <c r="Q351" s="16" t="s">
        <v>176</v>
      </c>
      <c r="R351" s="11" t="s">
        <v>177</v>
      </c>
      <c r="S351" s="11" t="s">
        <v>2479</v>
      </c>
      <c r="T351" s="159"/>
      <c r="U351" s="159"/>
      <c r="V351" s="19" t="s">
        <v>195</v>
      </c>
      <c r="W351" s="19" t="s">
        <v>179</v>
      </c>
      <c r="X351" s="1">
        <v>4</v>
      </c>
      <c r="Y351" s="160" t="s">
        <v>2480</v>
      </c>
      <c r="Z351" s="70"/>
      <c r="AA351" s="70" t="s">
        <v>181</v>
      </c>
      <c r="AB351" s="1"/>
      <c r="AC351" s="107"/>
      <c r="AD351" s="202" t="s">
        <v>184</v>
      </c>
      <c r="AE351" s="202"/>
      <c r="AF351" s="203"/>
      <c r="AG351" s="204"/>
      <c r="AH351" s="205"/>
      <c r="AI351" s="205"/>
      <c r="AJ351" s="81" t="s">
        <v>198</v>
      </c>
      <c r="AK351" s="81" t="s">
        <v>185</v>
      </c>
      <c r="AL351" s="81" t="s">
        <v>185</v>
      </c>
      <c r="AM351" s="72" t="s">
        <v>2349</v>
      </c>
      <c r="AN351" s="20">
        <v>182</v>
      </c>
      <c r="AO351" s="20">
        <v>0</v>
      </c>
      <c r="AP351" s="20">
        <v>0</v>
      </c>
      <c r="AQ351" s="20">
        <v>0</v>
      </c>
      <c r="AR351" s="20">
        <v>0</v>
      </c>
      <c r="AS351" s="20">
        <v>7</v>
      </c>
      <c r="AT351" s="20">
        <v>10</v>
      </c>
      <c r="AU351" s="300">
        <f t="shared" si="56"/>
        <v>199</v>
      </c>
      <c r="AV351" s="20">
        <v>190</v>
      </c>
      <c r="AW351" s="20">
        <v>0</v>
      </c>
      <c r="AX351" s="20">
        <v>0</v>
      </c>
      <c r="AY351" s="20">
        <v>0</v>
      </c>
      <c r="AZ351" s="20">
        <v>0</v>
      </c>
      <c r="BA351" s="20">
        <v>7</v>
      </c>
      <c r="BB351" s="20">
        <v>10</v>
      </c>
      <c r="BC351" s="300">
        <f t="shared" si="57"/>
        <v>207</v>
      </c>
      <c r="BD351" s="42">
        <f t="shared" si="58"/>
        <v>8</v>
      </c>
      <c r="BE351" s="42">
        <f t="shared" si="59"/>
        <v>0</v>
      </c>
      <c r="BF351" s="42">
        <f t="shared" si="60"/>
        <v>0</v>
      </c>
      <c r="BG351" s="42">
        <f t="shared" si="61"/>
        <v>0</v>
      </c>
      <c r="BH351" s="42">
        <f t="shared" si="62"/>
        <v>0</v>
      </c>
      <c r="BI351" s="42">
        <f t="shared" si="63"/>
        <v>0</v>
      </c>
      <c r="BJ351" s="42">
        <f t="shared" si="64"/>
        <v>0</v>
      </c>
      <c r="BK351" s="42">
        <f t="shared" si="65"/>
        <v>8</v>
      </c>
    </row>
    <row r="352" spans="1:63" ht="27" customHeight="1">
      <c r="A352" s="11">
        <f t="shared" si="66"/>
        <v>350</v>
      </c>
      <c r="B352" s="12"/>
      <c r="C352" s="8">
        <v>2767</v>
      </c>
      <c r="D352" s="103" t="s">
        <v>2481</v>
      </c>
      <c r="E352" s="201" t="s">
        <v>2482</v>
      </c>
      <c r="F352" s="90" t="s">
        <v>2483</v>
      </c>
      <c r="G352" s="91" t="s">
        <v>2484</v>
      </c>
      <c r="H352" s="24" t="s">
        <v>2485</v>
      </c>
      <c r="I352" s="25" t="s">
        <v>2486</v>
      </c>
      <c r="J352" s="82" t="s">
        <v>204</v>
      </c>
      <c r="K352" s="26">
        <v>32278</v>
      </c>
      <c r="L352" s="66" t="s">
        <v>174</v>
      </c>
      <c r="M352" s="23">
        <v>43709</v>
      </c>
      <c r="N352" s="23">
        <v>43525</v>
      </c>
      <c r="O352" s="23" t="s">
        <v>32</v>
      </c>
      <c r="P352" s="16" t="s">
        <v>194</v>
      </c>
      <c r="Q352" s="16" t="s">
        <v>176</v>
      </c>
      <c r="R352" s="11" t="s">
        <v>177</v>
      </c>
      <c r="S352" s="11" t="s">
        <v>2487</v>
      </c>
      <c r="T352" s="159"/>
      <c r="U352" s="159"/>
      <c r="V352" s="19" t="s">
        <v>179</v>
      </c>
      <c r="W352" s="19" t="s">
        <v>179</v>
      </c>
      <c r="X352" s="1">
        <v>8</v>
      </c>
      <c r="Y352" s="160" t="s">
        <v>2488</v>
      </c>
      <c r="Z352" s="70" t="s">
        <v>181</v>
      </c>
      <c r="AA352" s="70"/>
      <c r="AB352" s="1"/>
      <c r="AC352" s="107"/>
      <c r="AD352" s="202"/>
      <c r="AE352" s="202"/>
      <c r="AF352" s="203"/>
      <c r="AG352" s="204"/>
      <c r="AH352" s="205"/>
      <c r="AI352" s="205"/>
      <c r="AJ352" s="81" t="s">
        <v>198</v>
      </c>
      <c r="AK352" s="81" t="s">
        <v>185</v>
      </c>
      <c r="AL352" s="81" t="s">
        <v>185</v>
      </c>
      <c r="AM352" s="72" t="s">
        <v>2349</v>
      </c>
      <c r="AN352" s="20">
        <v>182</v>
      </c>
      <c r="AO352" s="20">
        <v>0</v>
      </c>
      <c r="AP352" s="20">
        <v>0</v>
      </c>
      <c r="AQ352" s="20">
        <v>50</v>
      </c>
      <c r="AR352" s="20">
        <v>0</v>
      </c>
      <c r="AS352" s="20">
        <v>7</v>
      </c>
      <c r="AT352" s="20">
        <v>10</v>
      </c>
      <c r="AU352" s="300">
        <f t="shared" si="56"/>
        <v>249</v>
      </c>
      <c r="AV352" s="20">
        <v>190</v>
      </c>
      <c r="AW352" s="20">
        <v>0</v>
      </c>
      <c r="AX352" s="20">
        <v>0</v>
      </c>
      <c r="AY352" s="20">
        <v>50</v>
      </c>
      <c r="AZ352" s="20">
        <v>0</v>
      </c>
      <c r="BA352" s="20">
        <v>7</v>
      </c>
      <c r="BB352" s="20">
        <v>10</v>
      </c>
      <c r="BC352" s="300">
        <f t="shared" si="57"/>
        <v>257</v>
      </c>
      <c r="BD352" s="42">
        <f t="shared" si="58"/>
        <v>8</v>
      </c>
      <c r="BE352" s="42">
        <f t="shared" si="59"/>
        <v>0</v>
      </c>
      <c r="BF352" s="42">
        <f t="shared" si="60"/>
        <v>0</v>
      </c>
      <c r="BG352" s="42">
        <f t="shared" si="61"/>
        <v>0</v>
      </c>
      <c r="BH352" s="42">
        <f t="shared" si="62"/>
        <v>0</v>
      </c>
      <c r="BI352" s="42">
        <f t="shared" si="63"/>
        <v>0</v>
      </c>
      <c r="BJ352" s="42">
        <f t="shared" si="64"/>
        <v>0</v>
      </c>
      <c r="BK352" s="42">
        <f t="shared" si="65"/>
        <v>8</v>
      </c>
    </row>
    <row r="353" spans="1:63" ht="27" customHeight="1">
      <c r="A353" s="11">
        <f t="shared" si="66"/>
        <v>351</v>
      </c>
      <c r="B353" s="12"/>
      <c r="C353" s="8">
        <v>2703</v>
      </c>
      <c r="D353" s="103" t="s">
        <v>2489</v>
      </c>
      <c r="E353" s="201" t="s">
        <v>2490</v>
      </c>
      <c r="F353" s="90" t="s">
        <v>2491</v>
      </c>
      <c r="G353" s="91" t="s">
        <v>1249</v>
      </c>
      <c r="H353" s="24" t="s">
        <v>2254</v>
      </c>
      <c r="I353" s="25" t="s">
        <v>2492</v>
      </c>
      <c r="J353" s="82" t="s">
        <v>173</v>
      </c>
      <c r="K353" s="26">
        <v>33364</v>
      </c>
      <c r="L353" s="66" t="s">
        <v>174</v>
      </c>
      <c r="M353" s="23">
        <v>43678</v>
      </c>
      <c r="N353" s="23">
        <v>43502</v>
      </c>
      <c r="O353" s="23" t="s">
        <v>32</v>
      </c>
      <c r="P353" s="16" t="s">
        <v>2493</v>
      </c>
      <c r="Q353" s="16" t="s">
        <v>244</v>
      </c>
      <c r="R353" s="11" t="s">
        <v>177</v>
      </c>
      <c r="S353" s="11" t="s">
        <v>2379</v>
      </c>
      <c r="T353" s="159"/>
      <c r="U353" s="159"/>
      <c r="V353" s="19" t="s">
        <v>179</v>
      </c>
      <c r="W353" s="19" t="s">
        <v>179</v>
      </c>
      <c r="X353" s="1" t="s">
        <v>179</v>
      </c>
      <c r="Y353" s="160" t="s">
        <v>179</v>
      </c>
      <c r="Z353" s="70"/>
      <c r="AA353" s="70" t="s">
        <v>181</v>
      </c>
      <c r="AB353" s="1"/>
      <c r="AC353" s="107"/>
      <c r="AD353" s="202"/>
      <c r="AE353" s="202"/>
      <c r="AF353" s="203"/>
      <c r="AG353" s="204"/>
      <c r="AH353" s="205"/>
      <c r="AI353" s="205"/>
      <c r="AJ353" s="81" t="s">
        <v>198</v>
      </c>
      <c r="AK353" s="81" t="s">
        <v>185</v>
      </c>
      <c r="AL353" s="81" t="s">
        <v>185</v>
      </c>
      <c r="AM353" s="72" t="s">
        <v>2494</v>
      </c>
      <c r="AN353" s="20">
        <v>182</v>
      </c>
      <c r="AO353" s="20">
        <v>0</v>
      </c>
      <c r="AP353" s="20">
        <v>0</v>
      </c>
      <c r="AQ353" s="20">
        <v>10</v>
      </c>
      <c r="AR353" s="20">
        <v>0</v>
      </c>
      <c r="AS353" s="20">
        <v>7</v>
      </c>
      <c r="AT353" s="20">
        <v>10</v>
      </c>
      <c r="AU353" s="300">
        <f t="shared" si="56"/>
        <v>209</v>
      </c>
      <c r="AV353" s="20">
        <v>190</v>
      </c>
      <c r="AW353" s="20">
        <v>0</v>
      </c>
      <c r="AX353" s="20">
        <v>0</v>
      </c>
      <c r="AY353" s="20">
        <v>10</v>
      </c>
      <c r="AZ353" s="20">
        <v>0</v>
      </c>
      <c r="BA353" s="20">
        <v>7</v>
      </c>
      <c r="BB353" s="20">
        <v>10</v>
      </c>
      <c r="BC353" s="300">
        <f t="shared" si="57"/>
        <v>217</v>
      </c>
      <c r="BD353" s="42">
        <f t="shared" si="58"/>
        <v>8</v>
      </c>
      <c r="BE353" s="42">
        <f t="shared" si="59"/>
        <v>0</v>
      </c>
      <c r="BF353" s="42">
        <f t="shared" si="60"/>
        <v>0</v>
      </c>
      <c r="BG353" s="42">
        <f t="shared" si="61"/>
        <v>0</v>
      </c>
      <c r="BH353" s="42">
        <f t="shared" si="62"/>
        <v>0</v>
      </c>
      <c r="BI353" s="42">
        <f t="shared" si="63"/>
        <v>0</v>
      </c>
      <c r="BJ353" s="42">
        <f t="shared" si="64"/>
        <v>0</v>
      </c>
      <c r="BK353" s="42">
        <f t="shared" si="65"/>
        <v>8</v>
      </c>
    </row>
    <row r="354" spans="1:63" ht="27" customHeight="1">
      <c r="A354" s="11">
        <f t="shared" si="66"/>
        <v>352</v>
      </c>
      <c r="B354" s="12"/>
      <c r="C354" s="8">
        <v>2808</v>
      </c>
      <c r="D354" s="103" t="s">
        <v>2495</v>
      </c>
      <c r="E354" s="201" t="s">
        <v>2496</v>
      </c>
      <c r="F354" s="218" t="s">
        <v>2497</v>
      </c>
      <c r="G354" s="219" t="s">
        <v>2498</v>
      </c>
      <c r="H354" s="24" t="s">
        <v>2197</v>
      </c>
      <c r="I354" s="25" t="s">
        <v>2499</v>
      </c>
      <c r="J354" s="82" t="s">
        <v>173</v>
      </c>
      <c r="K354" s="26">
        <v>32731</v>
      </c>
      <c r="L354" s="66" t="s">
        <v>174</v>
      </c>
      <c r="M354" s="154">
        <v>43739</v>
      </c>
      <c r="N354" s="23">
        <v>43549</v>
      </c>
      <c r="O354" s="23" t="s">
        <v>32</v>
      </c>
      <c r="P354" s="16" t="s">
        <v>260</v>
      </c>
      <c r="Q354" s="16" t="s">
        <v>176</v>
      </c>
      <c r="R354" s="11" t="s">
        <v>177</v>
      </c>
      <c r="S354" s="11" t="s">
        <v>2500</v>
      </c>
      <c r="T354" s="159"/>
      <c r="U354" s="159"/>
      <c r="V354" s="19" t="s">
        <v>195</v>
      </c>
      <c r="W354" s="19" t="s">
        <v>179</v>
      </c>
      <c r="X354" s="1">
        <v>8</v>
      </c>
      <c r="Y354" s="160" t="s">
        <v>2501</v>
      </c>
      <c r="Z354" s="70"/>
      <c r="AA354" s="70" t="s">
        <v>181</v>
      </c>
      <c r="AB354" s="1"/>
      <c r="AC354" s="107"/>
      <c r="AD354" s="202" t="s">
        <v>184</v>
      </c>
      <c r="AE354" s="202"/>
      <c r="AF354" s="203"/>
      <c r="AG354" s="204"/>
      <c r="AH354" s="205"/>
      <c r="AI354" s="205"/>
      <c r="AJ354" s="81" t="s">
        <v>198</v>
      </c>
      <c r="AK354" s="81" t="s">
        <v>185</v>
      </c>
      <c r="AL354" s="81" t="s">
        <v>185</v>
      </c>
      <c r="AM354" s="72" t="s">
        <v>2349</v>
      </c>
      <c r="AN354" s="20">
        <v>182</v>
      </c>
      <c r="AO354" s="20">
        <v>0</v>
      </c>
      <c r="AP354" s="20">
        <v>0</v>
      </c>
      <c r="AQ354" s="20">
        <v>0</v>
      </c>
      <c r="AR354" s="20">
        <v>0</v>
      </c>
      <c r="AS354" s="20">
        <v>7</v>
      </c>
      <c r="AT354" s="20">
        <v>10</v>
      </c>
      <c r="AU354" s="300">
        <f t="shared" si="56"/>
        <v>199</v>
      </c>
      <c r="AV354" s="20">
        <v>190</v>
      </c>
      <c r="AW354" s="20">
        <v>0</v>
      </c>
      <c r="AX354" s="20">
        <v>0</v>
      </c>
      <c r="AY354" s="20">
        <v>0</v>
      </c>
      <c r="AZ354" s="20">
        <v>0</v>
      </c>
      <c r="BA354" s="20">
        <v>7</v>
      </c>
      <c r="BB354" s="20">
        <v>10</v>
      </c>
      <c r="BC354" s="300">
        <f t="shared" si="57"/>
        <v>207</v>
      </c>
      <c r="BD354" s="42">
        <f t="shared" si="58"/>
        <v>8</v>
      </c>
      <c r="BE354" s="42">
        <f t="shared" si="59"/>
        <v>0</v>
      </c>
      <c r="BF354" s="42">
        <f t="shared" si="60"/>
        <v>0</v>
      </c>
      <c r="BG354" s="42">
        <f t="shared" si="61"/>
        <v>0</v>
      </c>
      <c r="BH354" s="42">
        <f t="shared" si="62"/>
        <v>0</v>
      </c>
      <c r="BI354" s="42">
        <f t="shared" si="63"/>
        <v>0</v>
      </c>
      <c r="BJ354" s="42">
        <f t="shared" si="64"/>
        <v>0</v>
      </c>
      <c r="BK354" s="42">
        <f t="shared" si="65"/>
        <v>8</v>
      </c>
    </row>
    <row r="355" spans="1:63" ht="27" customHeight="1">
      <c r="A355" s="11">
        <f t="shared" si="66"/>
        <v>353</v>
      </c>
      <c r="B355" s="12"/>
      <c r="C355" s="8">
        <v>2839</v>
      </c>
      <c r="D355" s="103" t="s">
        <v>2502</v>
      </c>
      <c r="E355" s="201" t="s">
        <v>2503</v>
      </c>
      <c r="F355" s="218" t="s">
        <v>503</v>
      </c>
      <c r="G355" s="219" t="s">
        <v>2016</v>
      </c>
      <c r="H355" s="24" t="s">
        <v>2504</v>
      </c>
      <c r="I355" s="25" t="s">
        <v>2505</v>
      </c>
      <c r="J355" s="82" t="s">
        <v>173</v>
      </c>
      <c r="K355" s="26">
        <v>33765</v>
      </c>
      <c r="L355" s="66" t="s">
        <v>174</v>
      </c>
      <c r="M355" s="154">
        <v>43770</v>
      </c>
      <c r="N355" s="23">
        <v>43575</v>
      </c>
      <c r="O355" s="23" t="s">
        <v>32</v>
      </c>
      <c r="P355" s="16" t="s">
        <v>25</v>
      </c>
      <c r="Q355" s="16" t="s">
        <v>176</v>
      </c>
      <c r="R355" s="11" t="s">
        <v>177</v>
      </c>
      <c r="S355" s="11" t="s">
        <v>2479</v>
      </c>
      <c r="T355" s="159"/>
      <c r="U355" s="159"/>
      <c r="V355" s="19" t="s">
        <v>195</v>
      </c>
      <c r="W355" s="19" t="s">
        <v>195</v>
      </c>
      <c r="X355" s="1">
        <v>8</v>
      </c>
      <c r="Y355" s="160" t="s">
        <v>2506</v>
      </c>
      <c r="Z355" s="70"/>
      <c r="AA355" s="70"/>
      <c r="AB355" s="70" t="s">
        <v>181</v>
      </c>
      <c r="AC355" s="107"/>
      <c r="AD355" s="202"/>
      <c r="AE355" s="202"/>
      <c r="AF355" s="203"/>
      <c r="AG355" s="204"/>
      <c r="AH355" s="205"/>
      <c r="AI355" s="205"/>
      <c r="AJ355" s="81" t="s">
        <v>198</v>
      </c>
      <c r="AK355" s="81" t="s">
        <v>185</v>
      </c>
      <c r="AL355" s="81" t="s">
        <v>185</v>
      </c>
      <c r="AM355" s="72" t="s">
        <v>2349</v>
      </c>
      <c r="AN355" s="20">
        <v>182</v>
      </c>
      <c r="AO355" s="20">
        <v>0</v>
      </c>
      <c r="AP355" s="20">
        <v>0</v>
      </c>
      <c r="AQ355" s="20">
        <v>0</v>
      </c>
      <c r="AR355" s="20">
        <v>0</v>
      </c>
      <c r="AS355" s="20">
        <v>7</v>
      </c>
      <c r="AT355" s="20">
        <v>10</v>
      </c>
      <c r="AU355" s="300">
        <f t="shared" si="56"/>
        <v>199</v>
      </c>
      <c r="AV355" s="20">
        <v>190</v>
      </c>
      <c r="AW355" s="20">
        <v>0</v>
      </c>
      <c r="AX355" s="20">
        <v>0</v>
      </c>
      <c r="AY355" s="20">
        <v>0</v>
      </c>
      <c r="AZ355" s="20">
        <v>0</v>
      </c>
      <c r="BA355" s="20">
        <v>7</v>
      </c>
      <c r="BB355" s="20">
        <v>10</v>
      </c>
      <c r="BC355" s="300">
        <f t="shared" si="57"/>
        <v>207</v>
      </c>
      <c r="BD355" s="42">
        <f t="shared" si="58"/>
        <v>8</v>
      </c>
      <c r="BE355" s="42">
        <f t="shared" si="59"/>
        <v>0</v>
      </c>
      <c r="BF355" s="42">
        <f t="shared" si="60"/>
        <v>0</v>
      </c>
      <c r="BG355" s="42">
        <f t="shared" si="61"/>
        <v>0</v>
      </c>
      <c r="BH355" s="42">
        <f t="shared" si="62"/>
        <v>0</v>
      </c>
      <c r="BI355" s="42">
        <f t="shared" si="63"/>
        <v>0</v>
      </c>
      <c r="BJ355" s="42">
        <f t="shared" si="64"/>
        <v>0</v>
      </c>
      <c r="BK355" s="42">
        <f t="shared" si="65"/>
        <v>8</v>
      </c>
    </row>
    <row r="356" spans="1:63" ht="27" customHeight="1">
      <c r="A356" s="11">
        <f t="shared" si="66"/>
        <v>354</v>
      </c>
      <c r="B356" s="12"/>
      <c r="C356" s="8">
        <v>2838</v>
      </c>
      <c r="D356" s="103" t="s">
        <v>2507</v>
      </c>
      <c r="E356" s="201" t="s">
        <v>291</v>
      </c>
      <c r="F356" s="218" t="s">
        <v>2508</v>
      </c>
      <c r="G356" s="219" t="s">
        <v>2509</v>
      </c>
      <c r="H356" s="24" t="s">
        <v>2510</v>
      </c>
      <c r="I356" s="25" t="s">
        <v>2511</v>
      </c>
      <c r="J356" s="82" t="s">
        <v>173</v>
      </c>
      <c r="K356" s="26">
        <v>28250</v>
      </c>
      <c r="L356" s="66" t="s">
        <v>174</v>
      </c>
      <c r="M356" s="154">
        <v>43770</v>
      </c>
      <c r="N356" s="23">
        <v>43578</v>
      </c>
      <c r="O356" s="23" t="s">
        <v>32</v>
      </c>
      <c r="P356" s="16" t="s">
        <v>1380</v>
      </c>
      <c r="Q356" s="16" t="s">
        <v>244</v>
      </c>
      <c r="R356" s="11" t="s">
        <v>177</v>
      </c>
      <c r="S356" s="11" t="s">
        <v>2354</v>
      </c>
      <c r="T356" s="159"/>
      <c r="U356" s="159"/>
      <c r="V356" s="19" t="s">
        <v>179</v>
      </c>
      <c r="W356" s="19" t="s">
        <v>179</v>
      </c>
      <c r="X356" s="1">
        <v>5</v>
      </c>
      <c r="Y356" s="160" t="s">
        <v>179</v>
      </c>
      <c r="Z356" s="70"/>
      <c r="AA356" s="70" t="s">
        <v>181</v>
      </c>
      <c r="AB356" s="1"/>
      <c r="AC356" s="107"/>
      <c r="AD356" s="202"/>
      <c r="AE356" s="203"/>
      <c r="AF356" s="203"/>
      <c r="AG356" s="204"/>
      <c r="AH356" s="205"/>
      <c r="AI356" s="205"/>
      <c r="AJ356" s="81" t="s">
        <v>198</v>
      </c>
      <c r="AK356" s="81" t="s">
        <v>185</v>
      </c>
      <c r="AL356" s="81" t="s">
        <v>185</v>
      </c>
      <c r="AM356" s="72" t="s">
        <v>2349</v>
      </c>
      <c r="AN356" s="20">
        <v>182</v>
      </c>
      <c r="AO356" s="20">
        <v>0</v>
      </c>
      <c r="AP356" s="20">
        <v>20</v>
      </c>
      <c r="AQ356" s="20">
        <v>0</v>
      </c>
      <c r="AR356" s="20">
        <v>0</v>
      </c>
      <c r="AS356" s="20">
        <v>7</v>
      </c>
      <c r="AT356" s="20">
        <v>10</v>
      </c>
      <c r="AU356" s="300">
        <f t="shared" si="56"/>
        <v>219</v>
      </c>
      <c r="AV356" s="20">
        <v>190</v>
      </c>
      <c r="AW356" s="20">
        <v>0</v>
      </c>
      <c r="AX356" s="20">
        <v>20</v>
      </c>
      <c r="AY356" s="20">
        <v>0</v>
      </c>
      <c r="AZ356" s="20">
        <v>0</v>
      </c>
      <c r="BA356" s="20">
        <v>7</v>
      </c>
      <c r="BB356" s="20">
        <v>10</v>
      </c>
      <c r="BC356" s="300">
        <f t="shared" si="57"/>
        <v>227</v>
      </c>
      <c r="BD356" s="42">
        <f t="shared" si="58"/>
        <v>8</v>
      </c>
      <c r="BE356" s="42">
        <f t="shared" si="59"/>
        <v>0</v>
      </c>
      <c r="BF356" s="42">
        <f t="shared" si="60"/>
        <v>0</v>
      </c>
      <c r="BG356" s="42">
        <f t="shared" si="61"/>
        <v>0</v>
      </c>
      <c r="BH356" s="42">
        <f t="shared" si="62"/>
        <v>0</v>
      </c>
      <c r="BI356" s="42">
        <f t="shared" si="63"/>
        <v>0</v>
      </c>
      <c r="BJ356" s="42">
        <f t="shared" si="64"/>
        <v>0</v>
      </c>
      <c r="BK356" s="42">
        <f t="shared" si="65"/>
        <v>8</v>
      </c>
    </row>
    <row r="357" spans="1:63" ht="27" customHeight="1">
      <c r="A357" s="11">
        <f t="shared" si="66"/>
        <v>355</v>
      </c>
      <c r="B357" s="12"/>
      <c r="C357" s="8">
        <v>2865</v>
      </c>
      <c r="D357" s="103" t="s">
        <v>2512</v>
      </c>
      <c r="E357" s="201" t="s">
        <v>2513</v>
      </c>
      <c r="F357" s="218" t="s">
        <v>2514</v>
      </c>
      <c r="G357" s="219" t="s">
        <v>2515</v>
      </c>
      <c r="H357" s="24" t="s">
        <v>2516</v>
      </c>
      <c r="I357" s="25" t="s">
        <v>2517</v>
      </c>
      <c r="J357" s="82" t="s">
        <v>173</v>
      </c>
      <c r="K357" s="26">
        <v>31418</v>
      </c>
      <c r="L357" s="66" t="s">
        <v>174</v>
      </c>
      <c r="M357" s="154">
        <v>43770</v>
      </c>
      <c r="N357" s="23">
        <v>43582</v>
      </c>
      <c r="O357" s="23" t="s">
        <v>32</v>
      </c>
      <c r="P357" s="16" t="s">
        <v>1276</v>
      </c>
      <c r="Q357" s="16" t="s">
        <v>176</v>
      </c>
      <c r="R357" s="11" t="s">
        <v>177</v>
      </c>
      <c r="S357" s="11" t="s">
        <v>2425</v>
      </c>
      <c r="T357" s="159"/>
      <c r="U357" s="159"/>
      <c r="V357" s="19" t="s">
        <v>195</v>
      </c>
      <c r="W357" s="19" t="s">
        <v>179</v>
      </c>
      <c r="X357" s="1">
        <v>6</v>
      </c>
      <c r="Y357" s="160" t="s">
        <v>179</v>
      </c>
      <c r="Z357" s="70"/>
      <c r="AA357" s="70" t="s">
        <v>181</v>
      </c>
      <c r="AB357" s="1"/>
      <c r="AC357" s="107"/>
      <c r="AD357" s="202" t="s">
        <v>183</v>
      </c>
      <c r="AE357" s="203" t="s">
        <v>184</v>
      </c>
      <c r="AF357" s="203"/>
      <c r="AG357" s="204"/>
      <c r="AH357" s="205"/>
      <c r="AI357" s="205"/>
      <c r="AJ357" s="81" t="s">
        <v>198</v>
      </c>
      <c r="AK357" s="81" t="s">
        <v>185</v>
      </c>
      <c r="AL357" s="81" t="s">
        <v>185</v>
      </c>
      <c r="AM357" s="72" t="s">
        <v>2349</v>
      </c>
      <c r="AN357" s="20">
        <v>182</v>
      </c>
      <c r="AO357" s="20">
        <v>0</v>
      </c>
      <c r="AP357" s="20">
        <v>20</v>
      </c>
      <c r="AQ357" s="20">
        <v>0</v>
      </c>
      <c r="AR357" s="20">
        <v>0</v>
      </c>
      <c r="AS357" s="20">
        <v>7</v>
      </c>
      <c r="AT357" s="20">
        <v>10</v>
      </c>
      <c r="AU357" s="300">
        <f t="shared" si="56"/>
        <v>219</v>
      </c>
      <c r="AV357" s="20">
        <v>190</v>
      </c>
      <c r="AW357" s="20">
        <v>0</v>
      </c>
      <c r="AX357" s="20">
        <v>20</v>
      </c>
      <c r="AY357" s="20">
        <v>0</v>
      </c>
      <c r="AZ357" s="20">
        <v>0</v>
      </c>
      <c r="BA357" s="20">
        <v>7</v>
      </c>
      <c r="BB357" s="20">
        <v>10</v>
      </c>
      <c r="BC357" s="300">
        <f t="shared" si="57"/>
        <v>227</v>
      </c>
      <c r="BD357" s="42">
        <f t="shared" si="58"/>
        <v>8</v>
      </c>
      <c r="BE357" s="42">
        <f t="shared" si="59"/>
        <v>0</v>
      </c>
      <c r="BF357" s="42">
        <f t="shared" si="60"/>
        <v>0</v>
      </c>
      <c r="BG357" s="42">
        <f t="shared" si="61"/>
        <v>0</v>
      </c>
      <c r="BH357" s="42">
        <f t="shared" si="62"/>
        <v>0</v>
      </c>
      <c r="BI357" s="42">
        <f t="shared" si="63"/>
        <v>0</v>
      </c>
      <c r="BJ357" s="42">
        <f t="shared" si="64"/>
        <v>0</v>
      </c>
      <c r="BK357" s="42">
        <f t="shared" si="65"/>
        <v>8</v>
      </c>
    </row>
    <row r="358" spans="1:63" ht="27" customHeight="1">
      <c r="A358" s="11">
        <f t="shared" si="66"/>
        <v>356</v>
      </c>
      <c r="B358" s="12"/>
      <c r="C358" s="8">
        <v>2866</v>
      </c>
      <c r="D358" s="103" t="s">
        <v>2518</v>
      </c>
      <c r="E358" s="201" t="s">
        <v>2519</v>
      </c>
      <c r="F358" s="218" t="s">
        <v>452</v>
      </c>
      <c r="G358" s="219" t="s">
        <v>2520</v>
      </c>
      <c r="H358" s="24" t="s">
        <v>2521</v>
      </c>
      <c r="I358" s="25" t="s">
        <v>2522</v>
      </c>
      <c r="J358" s="82" t="s">
        <v>173</v>
      </c>
      <c r="K358" s="26">
        <v>31111</v>
      </c>
      <c r="L358" s="66" t="s">
        <v>174</v>
      </c>
      <c r="M358" s="154">
        <v>43770</v>
      </c>
      <c r="N358" s="23">
        <v>43582</v>
      </c>
      <c r="O358" s="23" t="s">
        <v>32</v>
      </c>
      <c r="P358" s="16" t="s">
        <v>260</v>
      </c>
      <c r="Q358" s="16" t="s">
        <v>176</v>
      </c>
      <c r="R358" s="11" t="s">
        <v>177</v>
      </c>
      <c r="S358" s="11" t="s">
        <v>2500</v>
      </c>
      <c r="T358" s="159"/>
      <c r="U358" s="159"/>
      <c r="V358" s="19" t="s">
        <v>179</v>
      </c>
      <c r="W358" s="19" t="s">
        <v>179</v>
      </c>
      <c r="X358" s="1">
        <v>4</v>
      </c>
      <c r="Y358" s="160" t="s">
        <v>179</v>
      </c>
      <c r="Z358" s="70"/>
      <c r="AA358" s="70" t="s">
        <v>181</v>
      </c>
      <c r="AB358" s="1"/>
      <c r="AC358" s="107"/>
      <c r="AD358" s="202"/>
      <c r="AE358" s="202"/>
      <c r="AF358" s="203"/>
      <c r="AG358" s="204"/>
      <c r="AH358" s="205"/>
      <c r="AI358" s="205"/>
      <c r="AJ358" s="81" t="s">
        <v>198</v>
      </c>
      <c r="AK358" s="81" t="s">
        <v>185</v>
      </c>
      <c r="AL358" s="81" t="s">
        <v>185</v>
      </c>
      <c r="AM358" s="72" t="s">
        <v>2349</v>
      </c>
      <c r="AN358" s="20">
        <v>182</v>
      </c>
      <c r="AO358" s="20">
        <v>0</v>
      </c>
      <c r="AP358" s="20">
        <v>0</v>
      </c>
      <c r="AQ358" s="20">
        <v>0</v>
      </c>
      <c r="AR358" s="20">
        <v>0</v>
      </c>
      <c r="AS358" s="20">
        <v>7</v>
      </c>
      <c r="AT358" s="20">
        <v>10</v>
      </c>
      <c r="AU358" s="300">
        <f t="shared" si="56"/>
        <v>199</v>
      </c>
      <c r="AV358" s="20">
        <v>190</v>
      </c>
      <c r="AW358" s="20">
        <v>0</v>
      </c>
      <c r="AX358" s="20">
        <v>0</v>
      </c>
      <c r="AY358" s="20">
        <v>0</v>
      </c>
      <c r="AZ358" s="20">
        <v>0</v>
      </c>
      <c r="BA358" s="20">
        <v>7</v>
      </c>
      <c r="BB358" s="20">
        <v>10</v>
      </c>
      <c r="BC358" s="300">
        <f t="shared" si="57"/>
        <v>207</v>
      </c>
      <c r="BD358" s="42">
        <f t="shared" si="58"/>
        <v>8</v>
      </c>
      <c r="BE358" s="42">
        <f t="shared" si="59"/>
        <v>0</v>
      </c>
      <c r="BF358" s="42">
        <f t="shared" si="60"/>
        <v>0</v>
      </c>
      <c r="BG358" s="42">
        <f t="shared" si="61"/>
        <v>0</v>
      </c>
      <c r="BH358" s="42">
        <f t="shared" si="62"/>
        <v>0</v>
      </c>
      <c r="BI358" s="42">
        <f t="shared" si="63"/>
        <v>0</v>
      </c>
      <c r="BJ358" s="42">
        <f t="shared" si="64"/>
        <v>0</v>
      </c>
      <c r="BK358" s="42">
        <f t="shared" si="65"/>
        <v>8</v>
      </c>
    </row>
    <row r="359" spans="1:63" ht="27" customHeight="1">
      <c r="A359" s="11">
        <f t="shared" si="66"/>
        <v>357</v>
      </c>
      <c r="B359" s="12"/>
      <c r="C359" s="8">
        <v>2850</v>
      </c>
      <c r="D359" s="103" t="s">
        <v>2523</v>
      </c>
      <c r="E359" s="201" t="s">
        <v>2524</v>
      </c>
      <c r="F359" s="218" t="s">
        <v>2003</v>
      </c>
      <c r="G359" s="219" t="s">
        <v>2525</v>
      </c>
      <c r="H359" s="24" t="s">
        <v>2197</v>
      </c>
      <c r="I359" s="25" t="s">
        <v>2526</v>
      </c>
      <c r="J359" s="82" t="s">
        <v>173</v>
      </c>
      <c r="K359" s="26">
        <v>33669</v>
      </c>
      <c r="L359" s="66" t="s">
        <v>174</v>
      </c>
      <c r="M359" s="154">
        <v>43770</v>
      </c>
      <c r="N359" s="23">
        <v>43578</v>
      </c>
      <c r="O359" s="23" t="s">
        <v>32</v>
      </c>
      <c r="P359" s="16" t="s">
        <v>287</v>
      </c>
      <c r="Q359" s="16" t="s">
        <v>176</v>
      </c>
      <c r="R359" s="11" t="s">
        <v>177</v>
      </c>
      <c r="S359" s="11" t="s">
        <v>2392</v>
      </c>
      <c r="T359" s="159"/>
      <c r="U359" s="159"/>
      <c r="V359" s="19" t="s">
        <v>179</v>
      </c>
      <c r="W359" s="19" t="s">
        <v>179</v>
      </c>
      <c r="X359" s="1">
        <v>7</v>
      </c>
      <c r="Y359" s="160" t="s">
        <v>2527</v>
      </c>
      <c r="Z359" s="70" t="s">
        <v>181</v>
      </c>
      <c r="AA359" s="70"/>
      <c r="AB359" s="1"/>
      <c r="AC359" s="107"/>
      <c r="AD359" s="202"/>
      <c r="AE359" s="202"/>
      <c r="AF359" s="203"/>
      <c r="AG359" s="204"/>
      <c r="AH359" s="205"/>
      <c r="AI359" s="205"/>
      <c r="AJ359" s="81" t="s">
        <v>198</v>
      </c>
      <c r="AK359" s="81" t="s">
        <v>185</v>
      </c>
      <c r="AL359" s="81" t="s">
        <v>185</v>
      </c>
      <c r="AM359" s="72" t="s">
        <v>2349</v>
      </c>
      <c r="AN359" s="20">
        <v>182</v>
      </c>
      <c r="AO359" s="20">
        <v>0</v>
      </c>
      <c r="AP359" s="20">
        <v>0</v>
      </c>
      <c r="AQ359" s="20">
        <v>0</v>
      </c>
      <c r="AR359" s="20">
        <v>0</v>
      </c>
      <c r="AS359" s="20">
        <v>7</v>
      </c>
      <c r="AT359" s="20">
        <v>10</v>
      </c>
      <c r="AU359" s="300">
        <f t="shared" si="56"/>
        <v>199</v>
      </c>
      <c r="AV359" s="20">
        <v>190</v>
      </c>
      <c r="AW359" s="20">
        <v>0</v>
      </c>
      <c r="AX359" s="20">
        <v>0</v>
      </c>
      <c r="AY359" s="20">
        <v>0</v>
      </c>
      <c r="AZ359" s="20">
        <v>0</v>
      </c>
      <c r="BA359" s="20">
        <v>7</v>
      </c>
      <c r="BB359" s="20">
        <v>10</v>
      </c>
      <c r="BC359" s="300">
        <f t="shared" si="57"/>
        <v>207</v>
      </c>
      <c r="BD359" s="42">
        <f t="shared" si="58"/>
        <v>8</v>
      </c>
      <c r="BE359" s="42">
        <f t="shared" si="59"/>
        <v>0</v>
      </c>
      <c r="BF359" s="42">
        <f t="shared" si="60"/>
        <v>0</v>
      </c>
      <c r="BG359" s="42">
        <f t="shared" si="61"/>
        <v>0</v>
      </c>
      <c r="BH359" s="42">
        <f t="shared" si="62"/>
        <v>0</v>
      </c>
      <c r="BI359" s="42">
        <f t="shared" si="63"/>
        <v>0</v>
      </c>
      <c r="BJ359" s="42">
        <f t="shared" si="64"/>
        <v>0</v>
      </c>
      <c r="BK359" s="42">
        <f t="shared" si="65"/>
        <v>8</v>
      </c>
    </row>
    <row r="360" spans="1:63" ht="27" customHeight="1">
      <c r="A360" s="11">
        <f t="shared" si="66"/>
        <v>358</v>
      </c>
      <c r="B360" s="12"/>
      <c r="C360" s="8">
        <v>2852</v>
      </c>
      <c r="D360" s="103" t="s">
        <v>2528</v>
      </c>
      <c r="E360" s="201" t="s">
        <v>2529</v>
      </c>
      <c r="F360" s="218" t="s">
        <v>2530</v>
      </c>
      <c r="G360" s="219" t="s">
        <v>2531</v>
      </c>
      <c r="H360" s="24" t="s">
        <v>2532</v>
      </c>
      <c r="I360" s="25" t="s">
        <v>2533</v>
      </c>
      <c r="J360" s="82" t="s">
        <v>173</v>
      </c>
      <c r="K360" s="26">
        <v>31582</v>
      </c>
      <c r="L360" s="66" t="s">
        <v>174</v>
      </c>
      <c r="M360" s="154">
        <v>43770</v>
      </c>
      <c r="N360" s="23">
        <v>43578</v>
      </c>
      <c r="O360" s="23" t="s">
        <v>32</v>
      </c>
      <c r="P360" s="16" t="s">
        <v>631</v>
      </c>
      <c r="Q360" s="16" t="s">
        <v>176</v>
      </c>
      <c r="R360" s="11" t="s">
        <v>177</v>
      </c>
      <c r="S360" s="11" t="s">
        <v>2392</v>
      </c>
      <c r="T360" s="159"/>
      <c r="U360" s="159"/>
      <c r="V360" s="19" t="s">
        <v>179</v>
      </c>
      <c r="W360" s="19" t="s">
        <v>179</v>
      </c>
      <c r="X360" s="1" t="s">
        <v>179</v>
      </c>
      <c r="Y360" s="160" t="s">
        <v>2534</v>
      </c>
      <c r="Z360" s="70"/>
      <c r="AA360" s="70" t="s">
        <v>181</v>
      </c>
      <c r="AB360" s="1"/>
      <c r="AC360" s="107"/>
      <c r="AD360" s="202" t="s">
        <v>183</v>
      </c>
      <c r="AE360" s="202"/>
      <c r="AF360" s="203"/>
      <c r="AG360" s="204"/>
      <c r="AH360" s="205"/>
      <c r="AI360" s="205"/>
      <c r="AJ360" s="81" t="s">
        <v>198</v>
      </c>
      <c r="AK360" s="81" t="s">
        <v>185</v>
      </c>
      <c r="AL360" s="81" t="s">
        <v>185</v>
      </c>
      <c r="AM360" s="72" t="s">
        <v>2349</v>
      </c>
      <c r="AN360" s="20">
        <v>182</v>
      </c>
      <c r="AO360" s="20">
        <v>0</v>
      </c>
      <c r="AP360" s="20">
        <v>0</v>
      </c>
      <c r="AQ360" s="20">
        <v>0</v>
      </c>
      <c r="AR360" s="20">
        <v>0</v>
      </c>
      <c r="AS360" s="20">
        <v>7</v>
      </c>
      <c r="AT360" s="20">
        <v>10</v>
      </c>
      <c r="AU360" s="300">
        <f t="shared" si="56"/>
        <v>199</v>
      </c>
      <c r="AV360" s="20">
        <v>190</v>
      </c>
      <c r="AW360" s="20">
        <v>0</v>
      </c>
      <c r="AX360" s="20">
        <v>0</v>
      </c>
      <c r="AY360" s="20">
        <v>0</v>
      </c>
      <c r="AZ360" s="20">
        <v>0</v>
      </c>
      <c r="BA360" s="20">
        <v>7</v>
      </c>
      <c r="BB360" s="20">
        <v>10</v>
      </c>
      <c r="BC360" s="300">
        <f t="shared" si="57"/>
        <v>207</v>
      </c>
      <c r="BD360" s="42">
        <f t="shared" si="58"/>
        <v>8</v>
      </c>
      <c r="BE360" s="42">
        <f t="shared" si="59"/>
        <v>0</v>
      </c>
      <c r="BF360" s="42">
        <f t="shared" si="60"/>
        <v>0</v>
      </c>
      <c r="BG360" s="42">
        <f t="shared" si="61"/>
        <v>0</v>
      </c>
      <c r="BH360" s="42">
        <f t="shared" si="62"/>
        <v>0</v>
      </c>
      <c r="BI360" s="42">
        <f t="shared" si="63"/>
        <v>0</v>
      </c>
      <c r="BJ360" s="42">
        <f t="shared" si="64"/>
        <v>0</v>
      </c>
      <c r="BK360" s="42">
        <f t="shared" si="65"/>
        <v>8</v>
      </c>
    </row>
    <row r="361" spans="1:63" ht="27" customHeight="1">
      <c r="A361" s="11">
        <f t="shared" si="66"/>
        <v>359</v>
      </c>
      <c r="B361" s="12"/>
      <c r="C361" s="8">
        <v>2860</v>
      </c>
      <c r="D361" s="103" t="s">
        <v>2535</v>
      </c>
      <c r="E361" s="201" t="s">
        <v>2536</v>
      </c>
      <c r="F361" s="218" t="s">
        <v>2537</v>
      </c>
      <c r="G361" s="219" t="s">
        <v>2538</v>
      </c>
      <c r="H361" s="24" t="s">
        <v>2539</v>
      </c>
      <c r="I361" s="25" t="s">
        <v>2540</v>
      </c>
      <c r="J361" s="82" t="s">
        <v>173</v>
      </c>
      <c r="K361" s="26">
        <v>35975</v>
      </c>
      <c r="L361" s="66" t="s">
        <v>174</v>
      </c>
      <c r="M361" s="154">
        <v>43770</v>
      </c>
      <c r="N361" s="23">
        <v>43579</v>
      </c>
      <c r="O361" s="23" t="s">
        <v>32</v>
      </c>
      <c r="P361" s="16" t="s">
        <v>25</v>
      </c>
      <c r="Q361" s="16" t="s">
        <v>176</v>
      </c>
      <c r="R361" s="11" t="s">
        <v>177</v>
      </c>
      <c r="S361" s="11" t="s">
        <v>2541</v>
      </c>
      <c r="T361" s="159"/>
      <c r="U361" s="159"/>
      <c r="V361" s="19" t="s">
        <v>195</v>
      </c>
      <c r="W361" s="19" t="s">
        <v>195</v>
      </c>
      <c r="X361" s="1">
        <v>5</v>
      </c>
      <c r="Y361" s="160" t="s">
        <v>2542</v>
      </c>
      <c r="Z361" s="70" t="s">
        <v>181</v>
      </c>
      <c r="AA361" s="70"/>
      <c r="AB361" s="1"/>
      <c r="AC361" s="107"/>
      <c r="AD361" s="202"/>
      <c r="AE361" s="202"/>
      <c r="AF361" s="203"/>
      <c r="AG361" s="204"/>
      <c r="AH361" s="205"/>
      <c r="AI361" s="205"/>
      <c r="AJ361" s="81" t="s">
        <v>198</v>
      </c>
      <c r="AK361" s="81" t="s">
        <v>185</v>
      </c>
      <c r="AL361" s="81" t="s">
        <v>185</v>
      </c>
      <c r="AM361" s="72" t="s">
        <v>2349</v>
      </c>
      <c r="AN361" s="20">
        <v>182</v>
      </c>
      <c r="AO361" s="20">
        <v>0</v>
      </c>
      <c r="AP361" s="20">
        <v>0</v>
      </c>
      <c r="AQ361" s="20">
        <v>0</v>
      </c>
      <c r="AR361" s="20">
        <v>0</v>
      </c>
      <c r="AS361" s="20">
        <v>7</v>
      </c>
      <c r="AT361" s="20">
        <v>10</v>
      </c>
      <c r="AU361" s="300">
        <f t="shared" si="56"/>
        <v>199</v>
      </c>
      <c r="AV361" s="20">
        <v>190</v>
      </c>
      <c r="AW361" s="20">
        <v>0</v>
      </c>
      <c r="AX361" s="20">
        <v>0</v>
      </c>
      <c r="AY361" s="20">
        <v>0</v>
      </c>
      <c r="AZ361" s="20">
        <v>0</v>
      </c>
      <c r="BA361" s="20">
        <v>7</v>
      </c>
      <c r="BB361" s="20">
        <v>10</v>
      </c>
      <c r="BC361" s="300">
        <f t="shared" si="57"/>
        <v>207</v>
      </c>
      <c r="BD361" s="42">
        <f t="shared" si="58"/>
        <v>8</v>
      </c>
      <c r="BE361" s="42">
        <f t="shared" si="59"/>
        <v>0</v>
      </c>
      <c r="BF361" s="42">
        <f t="shared" si="60"/>
        <v>0</v>
      </c>
      <c r="BG361" s="42">
        <f t="shared" si="61"/>
        <v>0</v>
      </c>
      <c r="BH361" s="42">
        <f t="shared" si="62"/>
        <v>0</v>
      </c>
      <c r="BI361" s="42">
        <f t="shared" si="63"/>
        <v>0</v>
      </c>
      <c r="BJ361" s="42">
        <f t="shared" si="64"/>
        <v>0</v>
      </c>
      <c r="BK361" s="42">
        <f t="shared" si="65"/>
        <v>8</v>
      </c>
    </row>
    <row r="362" spans="1:63" ht="27" customHeight="1">
      <c r="A362" s="11">
        <f t="shared" si="66"/>
        <v>360</v>
      </c>
      <c r="B362" s="12"/>
      <c r="C362" s="8">
        <v>2827</v>
      </c>
      <c r="D362" s="103" t="s">
        <v>2543</v>
      </c>
      <c r="E362" s="201" t="s">
        <v>2544</v>
      </c>
      <c r="F362" s="218" t="s">
        <v>2545</v>
      </c>
      <c r="G362" s="219" t="s">
        <v>2546</v>
      </c>
      <c r="H362" s="24" t="s">
        <v>37</v>
      </c>
      <c r="I362" s="25" t="s">
        <v>38</v>
      </c>
      <c r="J362" s="82" t="s">
        <v>173</v>
      </c>
      <c r="K362" s="26">
        <v>31328</v>
      </c>
      <c r="L362" s="66" t="s">
        <v>174</v>
      </c>
      <c r="M362" s="154">
        <v>43770</v>
      </c>
      <c r="N362" s="23">
        <v>43577</v>
      </c>
      <c r="O362" s="23" t="s">
        <v>32</v>
      </c>
      <c r="P362" s="16" t="s">
        <v>25</v>
      </c>
      <c r="Q362" s="16" t="s">
        <v>176</v>
      </c>
      <c r="R362" s="11" t="s">
        <v>177</v>
      </c>
      <c r="S362" s="11" t="s">
        <v>2354</v>
      </c>
      <c r="T362" s="159"/>
      <c r="U362" s="159"/>
      <c r="V362" s="19" t="s">
        <v>179</v>
      </c>
      <c r="W362" s="19" t="s">
        <v>195</v>
      </c>
      <c r="X362" s="1" t="s">
        <v>179</v>
      </c>
      <c r="Y362" s="160" t="s">
        <v>179</v>
      </c>
      <c r="Z362" s="70"/>
      <c r="AA362" s="70"/>
      <c r="AB362" s="70" t="s">
        <v>181</v>
      </c>
      <c r="AC362" s="107"/>
      <c r="AD362" s="202" t="s">
        <v>183</v>
      </c>
      <c r="AE362" s="203" t="s">
        <v>184</v>
      </c>
      <c r="AF362" s="203"/>
      <c r="AG362" s="204"/>
      <c r="AH362" s="205"/>
      <c r="AI362" s="205"/>
      <c r="AJ362" s="81" t="s">
        <v>198</v>
      </c>
      <c r="AK362" s="81" t="s">
        <v>185</v>
      </c>
      <c r="AL362" s="81" t="s">
        <v>185</v>
      </c>
      <c r="AM362" s="72" t="s">
        <v>2349</v>
      </c>
      <c r="AN362" s="20">
        <v>182</v>
      </c>
      <c r="AO362" s="20">
        <v>0</v>
      </c>
      <c r="AP362" s="20">
        <v>0</v>
      </c>
      <c r="AQ362" s="20">
        <v>0</v>
      </c>
      <c r="AR362" s="20">
        <v>0</v>
      </c>
      <c r="AS362" s="20">
        <v>7</v>
      </c>
      <c r="AT362" s="20">
        <v>10</v>
      </c>
      <c r="AU362" s="300">
        <f t="shared" si="56"/>
        <v>199</v>
      </c>
      <c r="AV362" s="20">
        <v>190</v>
      </c>
      <c r="AW362" s="20">
        <v>0</v>
      </c>
      <c r="AX362" s="20">
        <v>0</v>
      </c>
      <c r="AY362" s="20">
        <v>0</v>
      </c>
      <c r="AZ362" s="20">
        <v>0</v>
      </c>
      <c r="BA362" s="20">
        <v>7</v>
      </c>
      <c r="BB362" s="20">
        <v>10</v>
      </c>
      <c r="BC362" s="300">
        <f t="shared" si="57"/>
        <v>207</v>
      </c>
      <c r="BD362" s="42">
        <f t="shared" si="58"/>
        <v>8</v>
      </c>
      <c r="BE362" s="42">
        <f t="shared" si="59"/>
        <v>0</v>
      </c>
      <c r="BF362" s="42">
        <f t="shared" si="60"/>
        <v>0</v>
      </c>
      <c r="BG362" s="42">
        <f t="shared" si="61"/>
        <v>0</v>
      </c>
      <c r="BH362" s="42">
        <f t="shared" si="62"/>
        <v>0</v>
      </c>
      <c r="BI362" s="42">
        <f t="shared" si="63"/>
        <v>0</v>
      </c>
      <c r="BJ362" s="42">
        <f t="shared" si="64"/>
        <v>0</v>
      </c>
      <c r="BK362" s="42">
        <f t="shared" si="65"/>
        <v>8</v>
      </c>
    </row>
    <row r="363" spans="1:63" ht="27" customHeight="1">
      <c r="A363" s="11">
        <f t="shared" si="66"/>
        <v>361</v>
      </c>
      <c r="B363" s="12"/>
      <c r="C363" s="8">
        <v>2861</v>
      </c>
      <c r="D363" s="103" t="s">
        <v>2547</v>
      </c>
      <c r="E363" s="201" t="s">
        <v>2548</v>
      </c>
      <c r="F363" s="218" t="s">
        <v>2549</v>
      </c>
      <c r="G363" s="219" t="s">
        <v>2550</v>
      </c>
      <c r="H363" s="24" t="s">
        <v>2551</v>
      </c>
      <c r="I363" s="25" t="s">
        <v>2552</v>
      </c>
      <c r="J363" s="82" t="s">
        <v>173</v>
      </c>
      <c r="K363" s="26">
        <v>36482</v>
      </c>
      <c r="L363" s="66" t="s">
        <v>174</v>
      </c>
      <c r="M363" s="154">
        <v>43770</v>
      </c>
      <c r="N363" s="23">
        <v>43580</v>
      </c>
      <c r="O363" s="23" t="s">
        <v>32</v>
      </c>
      <c r="P363" s="16" t="s">
        <v>304</v>
      </c>
      <c r="Q363" s="16" t="s">
        <v>176</v>
      </c>
      <c r="R363" s="11" t="s">
        <v>177</v>
      </c>
      <c r="S363" s="11" t="s">
        <v>2500</v>
      </c>
      <c r="T363" s="159"/>
      <c r="U363" s="159"/>
      <c r="V363" s="19" t="s">
        <v>195</v>
      </c>
      <c r="W363" s="19" t="s">
        <v>179</v>
      </c>
      <c r="X363" s="1">
        <v>7</v>
      </c>
      <c r="Y363" s="160" t="s">
        <v>2553</v>
      </c>
      <c r="Z363" s="70" t="s">
        <v>181</v>
      </c>
      <c r="AA363" s="70"/>
      <c r="AB363" s="1"/>
      <c r="AC363" s="107"/>
      <c r="AD363" s="202"/>
      <c r="AE363" s="202"/>
      <c r="AF363" s="203"/>
      <c r="AG363" s="204"/>
      <c r="AH363" s="205"/>
      <c r="AI363" s="205"/>
      <c r="AJ363" s="81" t="s">
        <v>198</v>
      </c>
      <c r="AK363" s="81" t="s">
        <v>185</v>
      </c>
      <c r="AL363" s="81" t="s">
        <v>185</v>
      </c>
      <c r="AM363" s="72" t="s">
        <v>2349</v>
      </c>
      <c r="AN363" s="20">
        <v>182</v>
      </c>
      <c r="AO363" s="20">
        <v>0</v>
      </c>
      <c r="AP363" s="20">
        <v>0</v>
      </c>
      <c r="AQ363" s="20">
        <v>0</v>
      </c>
      <c r="AR363" s="20">
        <v>0</v>
      </c>
      <c r="AS363" s="20">
        <v>7</v>
      </c>
      <c r="AT363" s="20">
        <v>10</v>
      </c>
      <c r="AU363" s="300">
        <f t="shared" si="56"/>
        <v>199</v>
      </c>
      <c r="AV363" s="20">
        <v>190</v>
      </c>
      <c r="AW363" s="20">
        <v>0</v>
      </c>
      <c r="AX363" s="20">
        <v>0</v>
      </c>
      <c r="AY363" s="20">
        <v>0</v>
      </c>
      <c r="AZ363" s="20">
        <v>0</v>
      </c>
      <c r="BA363" s="20">
        <v>7</v>
      </c>
      <c r="BB363" s="20">
        <v>10</v>
      </c>
      <c r="BC363" s="300">
        <f t="shared" si="57"/>
        <v>207</v>
      </c>
      <c r="BD363" s="42">
        <f t="shared" si="58"/>
        <v>8</v>
      </c>
      <c r="BE363" s="42">
        <f t="shared" si="59"/>
        <v>0</v>
      </c>
      <c r="BF363" s="42">
        <f t="shared" si="60"/>
        <v>0</v>
      </c>
      <c r="BG363" s="42">
        <f t="shared" si="61"/>
        <v>0</v>
      </c>
      <c r="BH363" s="42">
        <f t="shared" si="62"/>
        <v>0</v>
      </c>
      <c r="BI363" s="42">
        <f t="shared" si="63"/>
        <v>0</v>
      </c>
      <c r="BJ363" s="42">
        <f t="shared" si="64"/>
        <v>0</v>
      </c>
      <c r="BK363" s="42">
        <f t="shared" si="65"/>
        <v>8</v>
      </c>
    </row>
    <row r="364" spans="1:63" ht="27" customHeight="1">
      <c r="A364" s="11">
        <f t="shared" si="66"/>
        <v>362</v>
      </c>
      <c r="B364" s="12"/>
      <c r="C364" s="8">
        <v>2844</v>
      </c>
      <c r="D364" s="103" t="s">
        <v>2554</v>
      </c>
      <c r="E364" s="201" t="s">
        <v>2555</v>
      </c>
      <c r="F364" s="218" t="s">
        <v>190</v>
      </c>
      <c r="G364" s="219" t="s">
        <v>1972</v>
      </c>
      <c r="H364" s="24" t="s">
        <v>192</v>
      </c>
      <c r="I364" s="25" t="s">
        <v>2556</v>
      </c>
      <c r="J364" s="82" t="s">
        <v>173</v>
      </c>
      <c r="K364" s="26">
        <v>31933</v>
      </c>
      <c r="L364" s="66" t="s">
        <v>174</v>
      </c>
      <c r="M364" s="154">
        <v>43770</v>
      </c>
      <c r="N364" s="23">
        <v>43578</v>
      </c>
      <c r="O364" s="23" t="s">
        <v>32</v>
      </c>
      <c r="P364" s="16" t="s">
        <v>381</v>
      </c>
      <c r="Q364" s="16" t="s">
        <v>176</v>
      </c>
      <c r="R364" s="11" t="s">
        <v>177</v>
      </c>
      <c r="S364" s="11" t="s">
        <v>2487</v>
      </c>
      <c r="T364" s="159"/>
      <c r="U364" s="159"/>
      <c r="V364" s="19" t="s">
        <v>195</v>
      </c>
      <c r="W364" s="19" t="s">
        <v>195</v>
      </c>
      <c r="X364" s="1">
        <v>9</v>
      </c>
      <c r="Y364" s="160" t="s">
        <v>2557</v>
      </c>
      <c r="Z364" s="70"/>
      <c r="AA364" s="70" t="s">
        <v>181</v>
      </c>
      <c r="AB364" s="1"/>
      <c r="AC364" s="107"/>
      <c r="AD364" s="203" t="s">
        <v>184</v>
      </c>
      <c r="AE364" s="202"/>
      <c r="AF364" s="203"/>
      <c r="AG364" s="204"/>
      <c r="AH364" s="205"/>
      <c r="AI364" s="205"/>
      <c r="AJ364" s="81" t="s">
        <v>198</v>
      </c>
      <c r="AK364" s="81" t="s">
        <v>185</v>
      </c>
      <c r="AL364" s="81" t="s">
        <v>185</v>
      </c>
      <c r="AM364" s="72" t="s">
        <v>2349</v>
      </c>
      <c r="AN364" s="20">
        <v>182</v>
      </c>
      <c r="AO364" s="20">
        <v>0</v>
      </c>
      <c r="AP364" s="20">
        <v>0</v>
      </c>
      <c r="AQ364" s="20">
        <v>0</v>
      </c>
      <c r="AR364" s="20">
        <v>0</v>
      </c>
      <c r="AS364" s="20">
        <v>7</v>
      </c>
      <c r="AT364" s="20">
        <v>10</v>
      </c>
      <c r="AU364" s="300">
        <f t="shared" si="56"/>
        <v>199</v>
      </c>
      <c r="AV364" s="20">
        <v>190</v>
      </c>
      <c r="AW364" s="20">
        <v>0</v>
      </c>
      <c r="AX364" s="20">
        <v>0</v>
      </c>
      <c r="AY364" s="20">
        <v>0</v>
      </c>
      <c r="AZ364" s="20">
        <v>0</v>
      </c>
      <c r="BA364" s="20">
        <v>7</v>
      </c>
      <c r="BB364" s="20">
        <v>10</v>
      </c>
      <c r="BC364" s="300">
        <f t="shared" si="57"/>
        <v>207</v>
      </c>
      <c r="BD364" s="42">
        <f t="shared" si="58"/>
        <v>8</v>
      </c>
      <c r="BE364" s="42">
        <f t="shared" si="59"/>
        <v>0</v>
      </c>
      <c r="BF364" s="42">
        <f t="shared" si="60"/>
        <v>0</v>
      </c>
      <c r="BG364" s="42">
        <f t="shared" si="61"/>
        <v>0</v>
      </c>
      <c r="BH364" s="42">
        <f t="shared" si="62"/>
        <v>0</v>
      </c>
      <c r="BI364" s="42">
        <f t="shared" si="63"/>
        <v>0</v>
      </c>
      <c r="BJ364" s="42">
        <f t="shared" si="64"/>
        <v>0</v>
      </c>
      <c r="BK364" s="42">
        <f t="shared" si="65"/>
        <v>8</v>
      </c>
    </row>
    <row r="365" spans="1:63" ht="27" customHeight="1">
      <c r="A365" s="11">
        <f t="shared" si="66"/>
        <v>363</v>
      </c>
      <c r="B365" s="12"/>
      <c r="C365" s="8">
        <v>2856</v>
      </c>
      <c r="D365" s="103" t="s">
        <v>2558</v>
      </c>
      <c r="E365" s="201" t="s">
        <v>2559</v>
      </c>
      <c r="F365" s="218" t="s">
        <v>2560</v>
      </c>
      <c r="G365" s="219" t="s">
        <v>2561</v>
      </c>
      <c r="H365" s="24" t="s">
        <v>39</v>
      </c>
      <c r="I365" s="25" t="s">
        <v>40</v>
      </c>
      <c r="J365" s="82" t="s">
        <v>204</v>
      </c>
      <c r="K365" s="26">
        <v>31122</v>
      </c>
      <c r="L365" s="66" t="s">
        <v>174</v>
      </c>
      <c r="M365" s="154">
        <v>43770</v>
      </c>
      <c r="N365" s="23">
        <v>43579</v>
      </c>
      <c r="O365" s="23" t="s">
        <v>32</v>
      </c>
      <c r="P365" s="16" t="s">
        <v>13</v>
      </c>
      <c r="Q365" s="16" t="s">
        <v>176</v>
      </c>
      <c r="R365" s="11" t="s">
        <v>177</v>
      </c>
      <c r="S365" s="11" t="s">
        <v>2354</v>
      </c>
      <c r="T365" s="159"/>
      <c r="U365" s="159"/>
      <c r="V365" s="19" t="s">
        <v>195</v>
      </c>
      <c r="W365" s="19" t="s">
        <v>195</v>
      </c>
      <c r="X365" s="1">
        <v>6</v>
      </c>
      <c r="Y365" s="160" t="s">
        <v>179</v>
      </c>
      <c r="Z365" s="70"/>
      <c r="AA365" s="70" t="s">
        <v>181</v>
      </c>
      <c r="AB365" s="1"/>
      <c r="AC365" s="107"/>
      <c r="AD365" s="203" t="s">
        <v>184</v>
      </c>
      <c r="AE365" s="202"/>
      <c r="AF365" s="203"/>
      <c r="AG365" s="204"/>
      <c r="AH365" s="205"/>
      <c r="AI365" s="205"/>
      <c r="AJ365" s="81" t="s">
        <v>198</v>
      </c>
      <c r="AK365" s="81" t="s">
        <v>185</v>
      </c>
      <c r="AL365" s="81" t="s">
        <v>185</v>
      </c>
      <c r="AM365" s="72" t="s">
        <v>2349</v>
      </c>
      <c r="AN365" s="20">
        <v>182</v>
      </c>
      <c r="AO365" s="20">
        <v>0</v>
      </c>
      <c r="AP365" s="20">
        <v>0</v>
      </c>
      <c r="AQ365" s="20">
        <v>0</v>
      </c>
      <c r="AR365" s="20">
        <v>0</v>
      </c>
      <c r="AS365" s="20">
        <v>7</v>
      </c>
      <c r="AT365" s="20">
        <v>10</v>
      </c>
      <c r="AU365" s="300">
        <f t="shared" si="56"/>
        <v>199</v>
      </c>
      <c r="AV365" s="20">
        <v>190</v>
      </c>
      <c r="AW365" s="20">
        <v>0</v>
      </c>
      <c r="AX365" s="20">
        <v>0</v>
      </c>
      <c r="AY365" s="20">
        <v>0</v>
      </c>
      <c r="AZ365" s="20">
        <v>0</v>
      </c>
      <c r="BA365" s="20">
        <v>7</v>
      </c>
      <c r="BB365" s="20">
        <v>10</v>
      </c>
      <c r="BC365" s="300">
        <f t="shared" si="57"/>
        <v>207</v>
      </c>
      <c r="BD365" s="42">
        <f t="shared" si="58"/>
        <v>8</v>
      </c>
      <c r="BE365" s="42">
        <f t="shared" si="59"/>
        <v>0</v>
      </c>
      <c r="BF365" s="42">
        <f t="shared" si="60"/>
        <v>0</v>
      </c>
      <c r="BG365" s="42">
        <f t="shared" si="61"/>
        <v>0</v>
      </c>
      <c r="BH365" s="42">
        <f t="shared" si="62"/>
        <v>0</v>
      </c>
      <c r="BI365" s="42">
        <f t="shared" si="63"/>
        <v>0</v>
      </c>
      <c r="BJ365" s="42">
        <f t="shared" si="64"/>
        <v>0</v>
      </c>
      <c r="BK365" s="42">
        <f t="shared" si="65"/>
        <v>8</v>
      </c>
    </row>
    <row r="366" spans="1:63" ht="27" customHeight="1">
      <c r="A366" s="11">
        <f t="shared" si="66"/>
        <v>364</v>
      </c>
      <c r="B366" s="12"/>
      <c r="C366" s="8">
        <v>2843</v>
      </c>
      <c r="D366" s="103" t="s">
        <v>2562</v>
      </c>
      <c r="E366" s="201" t="s">
        <v>2563</v>
      </c>
      <c r="F366" s="218" t="s">
        <v>1280</v>
      </c>
      <c r="G366" s="219" t="s">
        <v>301</v>
      </c>
      <c r="H366" s="24" t="s">
        <v>2564</v>
      </c>
      <c r="I366" s="25" t="s">
        <v>2565</v>
      </c>
      <c r="J366" s="82" t="s">
        <v>173</v>
      </c>
      <c r="K366" s="26">
        <v>31923</v>
      </c>
      <c r="L366" s="66" t="s">
        <v>174</v>
      </c>
      <c r="M366" s="154">
        <v>43770</v>
      </c>
      <c r="N366" s="23">
        <v>43578</v>
      </c>
      <c r="O366" s="23" t="s">
        <v>32</v>
      </c>
      <c r="P366" s="16" t="s">
        <v>343</v>
      </c>
      <c r="Q366" s="16" t="s">
        <v>176</v>
      </c>
      <c r="R366" s="11" t="s">
        <v>177</v>
      </c>
      <c r="S366" s="11" t="s">
        <v>2479</v>
      </c>
      <c r="T366" s="159"/>
      <c r="U366" s="159"/>
      <c r="V366" s="19" t="s">
        <v>195</v>
      </c>
      <c r="W366" s="19" t="s">
        <v>195</v>
      </c>
      <c r="X366" s="1">
        <v>5</v>
      </c>
      <c r="Y366" s="160" t="s">
        <v>2566</v>
      </c>
      <c r="Z366" s="70"/>
      <c r="AA366" s="70" t="s">
        <v>181</v>
      </c>
      <c r="AB366" s="1"/>
      <c r="AC366" s="107"/>
      <c r="AD366" s="202" t="s">
        <v>183</v>
      </c>
      <c r="AE366" s="202" t="s">
        <v>183</v>
      </c>
      <c r="AF366" s="202" t="s">
        <v>183</v>
      </c>
      <c r="AG366" s="203" t="s">
        <v>184</v>
      </c>
      <c r="AH366" s="205"/>
      <c r="AI366" s="205"/>
      <c r="AJ366" s="81" t="s">
        <v>198</v>
      </c>
      <c r="AK366" s="81" t="s">
        <v>185</v>
      </c>
      <c r="AL366" s="81" t="s">
        <v>185</v>
      </c>
      <c r="AM366" s="72" t="s">
        <v>2349</v>
      </c>
      <c r="AN366" s="20">
        <v>182</v>
      </c>
      <c r="AO366" s="20">
        <v>0</v>
      </c>
      <c r="AP366" s="20">
        <v>0</v>
      </c>
      <c r="AQ366" s="20">
        <v>0</v>
      </c>
      <c r="AR366" s="20">
        <v>0</v>
      </c>
      <c r="AS366" s="20">
        <v>7</v>
      </c>
      <c r="AT366" s="20">
        <v>10</v>
      </c>
      <c r="AU366" s="300">
        <f t="shared" si="56"/>
        <v>199</v>
      </c>
      <c r="AV366" s="20">
        <v>190</v>
      </c>
      <c r="AW366" s="20">
        <v>0</v>
      </c>
      <c r="AX366" s="20">
        <v>0</v>
      </c>
      <c r="AY366" s="20">
        <v>0</v>
      </c>
      <c r="AZ366" s="20">
        <v>0</v>
      </c>
      <c r="BA366" s="20">
        <v>7</v>
      </c>
      <c r="BB366" s="20">
        <v>10</v>
      </c>
      <c r="BC366" s="300">
        <f t="shared" si="57"/>
        <v>207</v>
      </c>
      <c r="BD366" s="42">
        <f t="shared" si="58"/>
        <v>8</v>
      </c>
      <c r="BE366" s="42">
        <f t="shared" si="59"/>
        <v>0</v>
      </c>
      <c r="BF366" s="42">
        <f t="shared" si="60"/>
        <v>0</v>
      </c>
      <c r="BG366" s="42">
        <f t="shared" si="61"/>
        <v>0</v>
      </c>
      <c r="BH366" s="42">
        <f t="shared" si="62"/>
        <v>0</v>
      </c>
      <c r="BI366" s="42">
        <f t="shared" si="63"/>
        <v>0</v>
      </c>
      <c r="BJ366" s="42">
        <f t="shared" si="64"/>
        <v>0</v>
      </c>
      <c r="BK366" s="42">
        <f t="shared" si="65"/>
        <v>8</v>
      </c>
    </row>
    <row r="367" spans="1:63" ht="27" customHeight="1">
      <c r="A367" s="11">
        <f t="shared" si="66"/>
        <v>365</v>
      </c>
      <c r="B367" s="12"/>
      <c r="C367" s="8">
        <v>2853</v>
      </c>
      <c r="D367" s="103" t="s">
        <v>2567</v>
      </c>
      <c r="E367" s="201" t="s">
        <v>2568</v>
      </c>
      <c r="F367" s="218" t="s">
        <v>2569</v>
      </c>
      <c r="G367" s="219" t="s">
        <v>2570</v>
      </c>
      <c r="H367" s="24" t="s">
        <v>2131</v>
      </c>
      <c r="I367" s="25" t="s">
        <v>2571</v>
      </c>
      <c r="J367" s="82" t="s">
        <v>204</v>
      </c>
      <c r="K367" s="26">
        <v>30225</v>
      </c>
      <c r="L367" s="66" t="s">
        <v>174</v>
      </c>
      <c r="M367" s="154">
        <v>43770</v>
      </c>
      <c r="N367" s="23">
        <v>43578</v>
      </c>
      <c r="O367" s="23" t="s">
        <v>32</v>
      </c>
      <c r="P367" s="16" t="s">
        <v>260</v>
      </c>
      <c r="Q367" s="16" t="s">
        <v>176</v>
      </c>
      <c r="R367" s="11" t="s">
        <v>177</v>
      </c>
      <c r="S367" s="11" t="s">
        <v>2379</v>
      </c>
      <c r="T367" s="159"/>
      <c r="U367" s="159"/>
      <c r="V367" s="19" t="s">
        <v>195</v>
      </c>
      <c r="W367" s="19" t="s">
        <v>195</v>
      </c>
      <c r="X367" s="1">
        <v>6</v>
      </c>
      <c r="Y367" s="160" t="s">
        <v>2572</v>
      </c>
      <c r="Z367" s="70"/>
      <c r="AA367" s="70" t="s">
        <v>181</v>
      </c>
      <c r="AB367" s="1"/>
      <c r="AC367" s="107"/>
      <c r="AD367" s="203" t="s">
        <v>184</v>
      </c>
      <c r="AE367" s="202"/>
      <c r="AF367" s="203"/>
      <c r="AG367" s="204"/>
      <c r="AH367" s="205"/>
      <c r="AI367" s="205"/>
      <c r="AJ367" s="81" t="s">
        <v>198</v>
      </c>
      <c r="AK367" s="81" t="s">
        <v>185</v>
      </c>
      <c r="AL367" s="81" t="s">
        <v>185</v>
      </c>
      <c r="AM367" s="72" t="s">
        <v>2349</v>
      </c>
      <c r="AN367" s="20">
        <v>182</v>
      </c>
      <c r="AO367" s="20">
        <v>0</v>
      </c>
      <c r="AP367" s="20">
        <v>0</v>
      </c>
      <c r="AQ367" s="20">
        <v>0</v>
      </c>
      <c r="AR367" s="20">
        <v>0</v>
      </c>
      <c r="AS367" s="20">
        <v>7</v>
      </c>
      <c r="AT367" s="20">
        <v>10</v>
      </c>
      <c r="AU367" s="300">
        <f t="shared" si="56"/>
        <v>199</v>
      </c>
      <c r="AV367" s="20">
        <v>190</v>
      </c>
      <c r="AW367" s="20">
        <v>0</v>
      </c>
      <c r="AX367" s="20">
        <v>0</v>
      </c>
      <c r="AY367" s="20">
        <v>0</v>
      </c>
      <c r="AZ367" s="20">
        <v>0</v>
      </c>
      <c r="BA367" s="20">
        <v>7</v>
      </c>
      <c r="BB367" s="20">
        <v>10</v>
      </c>
      <c r="BC367" s="300">
        <f t="shared" si="57"/>
        <v>207</v>
      </c>
      <c r="BD367" s="42">
        <f t="shared" si="58"/>
        <v>8</v>
      </c>
      <c r="BE367" s="42">
        <f t="shared" si="59"/>
        <v>0</v>
      </c>
      <c r="BF367" s="42">
        <f t="shared" si="60"/>
        <v>0</v>
      </c>
      <c r="BG367" s="42">
        <f t="shared" si="61"/>
        <v>0</v>
      </c>
      <c r="BH367" s="42">
        <f t="shared" si="62"/>
        <v>0</v>
      </c>
      <c r="BI367" s="42">
        <f t="shared" si="63"/>
        <v>0</v>
      </c>
      <c r="BJ367" s="42">
        <f t="shared" si="64"/>
        <v>0</v>
      </c>
      <c r="BK367" s="42">
        <f t="shared" si="65"/>
        <v>8</v>
      </c>
    </row>
    <row r="368" spans="1:63" ht="27" customHeight="1">
      <c r="A368" s="11">
        <f t="shared" si="66"/>
        <v>366</v>
      </c>
      <c r="B368" s="12"/>
      <c r="C368" s="8">
        <v>2840</v>
      </c>
      <c r="D368" s="103" t="s">
        <v>2573</v>
      </c>
      <c r="E368" s="201" t="s">
        <v>2574</v>
      </c>
      <c r="F368" s="218" t="s">
        <v>2575</v>
      </c>
      <c r="G368" s="219" t="s">
        <v>2576</v>
      </c>
      <c r="H368" s="24" t="s">
        <v>2577</v>
      </c>
      <c r="I368" s="25" t="s">
        <v>2578</v>
      </c>
      <c r="J368" s="82" t="s">
        <v>204</v>
      </c>
      <c r="K368" s="26">
        <v>35349</v>
      </c>
      <c r="L368" s="66" t="s">
        <v>174</v>
      </c>
      <c r="M368" s="154">
        <v>43770</v>
      </c>
      <c r="N368" s="23">
        <v>43578</v>
      </c>
      <c r="O368" s="23" t="s">
        <v>32</v>
      </c>
      <c r="P368" s="16" t="s">
        <v>507</v>
      </c>
      <c r="Q368" s="16" t="s">
        <v>176</v>
      </c>
      <c r="R368" s="11" t="s">
        <v>177</v>
      </c>
      <c r="S368" s="11" t="s">
        <v>2392</v>
      </c>
      <c r="T368" s="159"/>
      <c r="U368" s="159"/>
      <c r="V368" s="19" t="s">
        <v>195</v>
      </c>
      <c r="W368" s="19" t="s">
        <v>195</v>
      </c>
      <c r="X368" s="1">
        <v>5</v>
      </c>
      <c r="Y368" s="160" t="s">
        <v>2579</v>
      </c>
      <c r="Z368" s="70" t="s">
        <v>181</v>
      </c>
      <c r="AA368" s="70"/>
      <c r="AB368" s="1"/>
      <c r="AC368" s="107"/>
      <c r="AD368" s="202"/>
      <c r="AE368" s="202"/>
      <c r="AF368" s="203"/>
      <c r="AG368" s="204"/>
      <c r="AH368" s="205"/>
      <c r="AI368" s="205"/>
      <c r="AJ368" s="81" t="s">
        <v>198</v>
      </c>
      <c r="AK368" s="81" t="s">
        <v>185</v>
      </c>
      <c r="AL368" s="81" t="s">
        <v>185</v>
      </c>
      <c r="AM368" s="72" t="s">
        <v>2349</v>
      </c>
      <c r="AN368" s="20">
        <v>182</v>
      </c>
      <c r="AO368" s="20">
        <v>0</v>
      </c>
      <c r="AP368" s="20">
        <v>0</v>
      </c>
      <c r="AQ368" s="20">
        <v>0</v>
      </c>
      <c r="AR368" s="20">
        <v>0</v>
      </c>
      <c r="AS368" s="20">
        <v>7</v>
      </c>
      <c r="AT368" s="20">
        <v>10</v>
      </c>
      <c r="AU368" s="300">
        <f t="shared" si="56"/>
        <v>199</v>
      </c>
      <c r="AV368" s="20">
        <v>190</v>
      </c>
      <c r="AW368" s="20">
        <v>0</v>
      </c>
      <c r="AX368" s="20">
        <v>0</v>
      </c>
      <c r="AY368" s="20">
        <v>0</v>
      </c>
      <c r="AZ368" s="20">
        <v>0</v>
      </c>
      <c r="BA368" s="20">
        <v>7</v>
      </c>
      <c r="BB368" s="20">
        <v>10</v>
      </c>
      <c r="BC368" s="300">
        <f t="shared" si="57"/>
        <v>207</v>
      </c>
      <c r="BD368" s="42">
        <f t="shared" si="58"/>
        <v>8</v>
      </c>
      <c r="BE368" s="42">
        <f t="shared" si="59"/>
        <v>0</v>
      </c>
      <c r="BF368" s="42">
        <f t="shared" si="60"/>
        <v>0</v>
      </c>
      <c r="BG368" s="42">
        <f t="shared" si="61"/>
        <v>0</v>
      </c>
      <c r="BH368" s="42">
        <f t="shared" si="62"/>
        <v>0</v>
      </c>
      <c r="BI368" s="42">
        <f t="shared" si="63"/>
        <v>0</v>
      </c>
      <c r="BJ368" s="42">
        <f t="shared" si="64"/>
        <v>0</v>
      </c>
      <c r="BK368" s="42">
        <f t="shared" si="65"/>
        <v>8</v>
      </c>
    </row>
    <row r="369" spans="1:63" ht="27" customHeight="1">
      <c r="A369" s="11">
        <f t="shared" si="66"/>
        <v>367</v>
      </c>
      <c r="B369" s="12"/>
      <c r="C369" s="8">
        <v>2847</v>
      </c>
      <c r="D369" s="103" t="s">
        <v>2580</v>
      </c>
      <c r="E369" s="201" t="s">
        <v>2581</v>
      </c>
      <c r="F369" s="218" t="s">
        <v>1648</v>
      </c>
      <c r="G369" s="219" t="s">
        <v>1150</v>
      </c>
      <c r="H369" s="24" t="s">
        <v>2582</v>
      </c>
      <c r="I369" s="25" t="s">
        <v>2583</v>
      </c>
      <c r="J369" s="82" t="s">
        <v>173</v>
      </c>
      <c r="K369" s="26">
        <v>35747</v>
      </c>
      <c r="L369" s="66" t="s">
        <v>174</v>
      </c>
      <c r="M369" s="154">
        <v>43770</v>
      </c>
      <c r="N369" s="23">
        <v>43578</v>
      </c>
      <c r="O369" s="23" t="s">
        <v>32</v>
      </c>
      <c r="P369" s="16" t="s">
        <v>277</v>
      </c>
      <c r="Q369" s="16" t="s">
        <v>244</v>
      </c>
      <c r="R369" s="11" t="s">
        <v>177</v>
      </c>
      <c r="S369" s="11" t="s">
        <v>2500</v>
      </c>
      <c r="T369" s="159"/>
      <c r="U369" s="159"/>
      <c r="V369" s="19" t="s">
        <v>179</v>
      </c>
      <c r="W369" s="19" t="s">
        <v>195</v>
      </c>
      <c r="X369" s="1">
        <v>4</v>
      </c>
      <c r="Y369" s="160" t="s">
        <v>179</v>
      </c>
      <c r="Z369" s="70"/>
      <c r="AA369" s="70" t="s">
        <v>181</v>
      </c>
      <c r="AB369" s="1"/>
      <c r="AC369" s="107"/>
      <c r="AD369" s="203" t="s">
        <v>184</v>
      </c>
      <c r="AE369" s="202"/>
      <c r="AF369" s="203"/>
      <c r="AG369" s="204"/>
      <c r="AH369" s="205"/>
      <c r="AI369" s="205"/>
      <c r="AJ369" s="81" t="s">
        <v>198</v>
      </c>
      <c r="AK369" s="81" t="s">
        <v>185</v>
      </c>
      <c r="AL369" s="81" t="s">
        <v>185</v>
      </c>
      <c r="AM369" s="72" t="s">
        <v>2349</v>
      </c>
      <c r="AN369" s="20">
        <v>182</v>
      </c>
      <c r="AO369" s="20">
        <v>0</v>
      </c>
      <c r="AP369" s="20">
        <v>20</v>
      </c>
      <c r="AQ369" s="20">
        <v>0</v>
      </c>
      <c r="AR369" s="20">
        <v>0</v>
      </c>
      <c r="AS369" s="20">
        <v>7</v>
      </c>
      <c r="AT369" s="20">
        <v>10</v>
      </c>
      <c r="AU369" s="300">
        <f t="shared" si="56"/>
        <v>219</v>
      </c>
      <c r="AV369" s="20">
        <v>190</v>
      </c>
      <c r="AW369" s="20">
        <v>0</v>
      </c>
      <c r="AX369" s="20">
        <v>20</v>
      </c>
      <c r="AY369" s="20">
        <v>0</v>
      </c>
      <c r="AZ369" s="20">
        <v>0</v>
      </c>
      <c r="BA369" s="20">
        <v>7</v>
      </c>
      <c r="BB369" s="20">
        <v>10</v>
      </c>
      <c r="BC369" s="300">
        <f t="shared" si="57"/>
        <v>227</v>
      </c>
      <c r="BD369" s="42">
        <f t="shared" si="58"/>
        <v>8</v>
      </c>
      <c r="BE369" s="42">
        <f t="shared" si="59"/>
        <v>0</v>
      </c>
      <c r="BF369" s="42">
        <f t="shared" si="60"/>
        <v>0</v>
      </c>
      <c r="BG369" s="42">
        <f t="shared" si="61"/>
        <v>0</v>
      </c>
      <c r="BH369" s="42">
        <f t="shared" si="62"/>
        <v>0</v>
      </c>
      <c r="BI369" s="42">
        <f t="shared" si="63"/>
        <v>0</v>
      </c>
      <c r="BJ369" s="42">
        <f t="shared" si="64"/>
        <v>0</v>
      </c>
      <c r="BK369" s="42">
        <f t="shared" si="65"/>
        <v>8</v>
      </c>
    </row>
    <row r="370" spans="1:63" ht="27" customHeight="1">
      <c r="A370" s="11">
        <f t="shared" si="66"/>
        <v>368</v>
      </c>
      <c r="B370" s="12"/>
      <c r="C370" s="8">
        <v>2846</v>
      </c>
      <c r="D370" s="103" t="s">
        <v>2584</v>
      </c>
      <c r="E370" s="201" t="s">
        <v>2585</v>
      </c>
      <c r="F370" s="218" t="s">
        <v>2586</v>
      </c>
      <c r="G370" s="219" t="s">
        <v>2587</v>
      </c>
      <c r="H370" s="24" t="s">
        <v>2327</v>
      </c>
      <c r="I370" s="25" t="s">
        <v>2588</v>
      </c>
      <c r="J370" s="82" t="s">
        <v>173</v>
      </c>
      <c r="K370" s="26">
        <v>32006</v>
      </c>
      <c r="L370" s="66" t="s">
        <v>174</v>
      </c>
      <c r="M370" s="154">
        <v>43770</v>
      </c>
      <c r="N370" s="23">
        <v>43577</v>
      </c>
      <c r="O370" s="23" t="s">
        <v>32</v>
      </c>
      <c r="P370" s="16" t="s">
        <v>222</v>
      </c>
      <c r="Q370" s="16" t="s">
        <v>176</v>
      </c>
      <c r="R370" s="11" t="s">
        <v>177</v>
      </c>
      <c r="S370" s="11" t="s">
        <v>2425</v>
      </c>
      <c r="T370" s="159"/>
      <c r="U370" s="159"/>
      <c r="V370" s="19" t="s">
        <v>179</v>
      </c>
      <c r="W370" s="19" t="s">
        <v>179</v>
      </c>
      <c r="X370" s="1">
        <v>3</v>
      </c>
      <c r="Y370" s="160" t="s">
        <v>179</v>
      </c>
      <c r="Z370" s="70"/>
      <c r="AA370" s="70" t="s">
        <v>181</v>
      </c>
      <c r="AB370" s="1"/>
      <c r="AC370" s="107"/>
      <c r="AD370" s="202" t="s">
        <v>183</v>
      </c>
      <c r="AE370" s="202" t="s">
        <v>183</v>
      </c>
      <c r="AF370" s="203" t="s">
        <v>184</v>
      </c>
      <c r="AG370" s="204"/>
      <c r="AH370" s="205"/>
      <c r="AI370" s="205"/>
      <c r="AJ370" s="81" t="s">
        <v>198</v>
      </c>
      <c r="AK370" s="81" t="s">
        <v>185</v>
      </c>
      <c r="AL370" s="81" t="s">
        <v>185</v>
      </c>
      <c r="AM370" s="72" t="s">
        <v>2349</v>
      </c>
      <c r="AN370" s="20">
        <v>182</v>
      </c>
      <c r="AO370" s="20">
        <v>0</v>
      </c>
      <c r="AP370" s="20">
        <v>0</v>
      </c>
      <c r="AQ370" s="20">
        <v>0</v>
      </c>
      <c r="AR370" s="20">
        <v>0</v>
      </c>
      <c r="AS370" s="20">
        <v>7</v>
      </c>
      <c r="AT370" s="20">
        <v>10</v>
      </c>
      <c r="AU370" s="300">
        <f t="shared" si="56"/>
        <v>199</v>
      </c>
      <c r="AV370" s="20">
        <v>190</v>
      </c>
      <c r="AW370" s="20">
        <v>0</v>
      </c>
      <c r="AX370" s="20">
        <v>0</v>
      </c>
      <c r="AY370" s="20">
        <v>0</v>
      </c>
      <c r="AZ370" s="20">
        <v>0</v>
      </c>
      <c r="BA370" s="20">
        <v>7</v>
      </c>
      <c r="BB370" s="20">
        <v>10</v>
      </c>
      <c r="BC370" s="300">
        <f t="shared" si="57"/>
        <v>207</v>
      </c>
      <c r="BD370" s="42">
        <f t="shared" si="58"/>
        <v>8</v>
      </c>
      <c r="BE370" s="42">
        <f t="shared" si="59"/>
        <v>0</v>
      </c>
      <c r="BF370" s="42">
        <f t="shared" si="60"/>
        <v>0</v>
      </c>
      <c r="BG370" s="42">
        <f t="shared" si="61"/>
        <v>0</v>
      </c>
      <c r="BH370" s="42">
        <f t="shared" si="62"/>
        <v>0</v>
      </c>
      <c r="BI370" s="42">
        <f t="shared" si="63"/>
        <v>0</v>
      </c>
      <c r="BJ370" s="42">
        <f t="shared" si="64"/>
        <v>0</v>
      </c>
      <c r="BK370" s="42">
        <f t="shared" si="65"/>
        <v>8</v>
      </c>
    </row>
    <row r="371" spans="1:63" ht="27" customHeight="1">
      <c r="A371" s="11">
        <f t="shared" si="66"/>
        <v>369</v>
      </c>
      <c r="B371" s="12"/>
      <c r="C371" s="8">
        <v>2841</v>
      </c>
      <c r="D371" s="103" t="s">
        <v>2589</v>
      </c>
      <c r="E371" s="201" t="s">
        <v>2590</v>
      </c>
      <c r="F371" s="218" t="s">
        <v>316</v>
      </c>
      <c r="G371" s="219" t="s">
        <v>2591</v>
      </c>
      <c r="H371" s="24" t="s">
        <v>318</v>
      </c>
      <c r="I371" s="25" t="s">
        <v>2592</v>
      </c>
      <c r="J371" s="82" t="s">
        <v>173</v>
      </c>
      <c r="K371" s="26">
        <v>36542</v>
      </c>
      <c r="L371" s="66" t="s">
        <v>174</v>
      </c>
      <c r="M371" s="154">
        <v>43770</v>
      </c>
      <c r="N371" s="23">
        <v>43578</v>
      </c>
      <c r="O371" s="23" t="s">
        <v>32</v>
      </c>
      <c r="P371" s="16" t="s">
        <v>25</v>
      </c>
      <c r="Q371" s="16" t="s">
        <v>176</v>
      </c>
      <c r="R371" s="11" t="s">
        <v>177</v>
      </c>
      <c r="S371" s="11" t="s">
        <v>2593</v>
      </c>
      <c r="T371" s="159"/>
      <c r="U371" s="159"/>
      <c r="V371" s="19" t="s">
        <v>179</v>
      </c>
      <c r="W371" s="19" t="s">
        <v>179</v>
      </c>
      <c r="X371" s="1">
        <v>7</v>
      </c>
      <c r="Y371" s="160" t="s">
        <v>2594</v>
      </c>
      <c r="Z371" s="70" t="s">
        <v>181</v>
      </c>
      <c r="AA371" s="70"/>
      <c r="AB371" s="1"/>
      <c r="AC371" s="107"/>
      <c r="AD371" s="202"/>
      <c r="AE371" s="202"/>
      <c r="AF371" s="203"/>
      <c r="AG371" s="204"/>
      <c r="AH371" s="205"/>
      <c r="AI371" s="205"/>
      <c r="AJ371" s="81" t="s">
        <v>198</v>
      </c>
      <c r="AK371" s="81" t="s">
        <v>185</v>
      </c>
      <c r="AL371" s="81" t="s">
        <v>185</v>
      </c>
      <c r="AM371" s="72" t="s">
        <v>2349</v>
      </c>
      <c r="AN371" s="20">
        <v>182</v>
      </c>
      <c r="AO371" s="20">
        <v>0</v>
      </c>
      <c r="AP371" s="20">
        <v>0</v>
      </c>
      <c r="AQ371" s="20">
        <v>0</v>
      </c>
      <c r="AR371" s="20">
        <v>0</v>
      </c>
      <c r="AS371" s="20">
        <v>7</v>
      </c>
      <c r="AT371" s="20">
        <v>10</v>
      </c>
      <c r="AU371" s="300">
        <f t="shared" si="56"/>
        <v>199</v>
      </c>
      <c r="AV371" s="20">
        <v>190</v>
      </c>
      <c r="AW371" s="20">
        <v>0</v>
      </c>
      <c r="AX371" s="20">
        <v>0</v>
      </c>
      <c r="AY371" s="20">
        <v>0</v>
      </c>
      <c r="AZ371" s="20">
        <v>0</v>
      </c>
      <c r="BA371" s="20">
        <v>7</v>
      </c>
      <c r="BB371" s="20">
        <v>10</v>
      </c>
      <c r="BC371" s="300">
        <f t="shared" si="57"/>
        <v>207</v>
      </c>
      <c r="BD371" s="42">
        <f t="shared" si="58"/>
        <v>8</v>
      </c>
      <c r="BE371" s="42">
        <f t="shared" si="59"/>
        <v>0</v>
      </c>
      <c r="BF371" s="42">
        <f t="shared" si="60"/>
        <v>0</v>
      </c>
      <c r="BG371" s="42">
        <f t="shared" si="61"/>
        <v>0</v>
      </c>
      <c r="BH371" s="42">
        <f t="shared" si="62"/>
        <v>0</v>
      </c>
      <c r="BI371" s="42">
        <f t="shared" si="63"/>
        <v>0</v>
      </c>
      <c r="BJ371" s="42">
        <f t="shared" si="64"/>
        <v>0</v>
      </c>
      <c r="BK371" s="42">
        <f t="shared" si="65"/>
        <v>8</v>
      </c>
    </row>
    <row r="372" spans="1:63" ht="27" customHeight="1">
      <c r="A372" s="11">
        <f t="shared" si="66"/>
        <v>370</v>
      </c>
      <c r="B372" s="12"/>
      <c r="C372" s="8">
        <v>2831</v>
      </c>
      <c r="D372" s="103" t="s">
        <v>2595</v>
      </c>
      <c r="E372" s="201" t="s">
        <v>291</v>
      </c>
      <c r="F372" s="218" t="s">
        <v>2596</v>
      </c>
      <c r="G372" s="219" t="s">
        <v>2597</v>
      </c>
      <c r="H372" s="24" t="s">
        <v>84</v>
      </c>
      <c r="I372" s="25" t="s">
        <v>85</v>
      </c>
      <c r="J372" s="82" t="s">
        <v>204</v>
      </c>
      <c r="K372" s="26">
        <v>35160</v>
      </c>
      <c r="L372" s="66" t="s">
        <v>174</v>
      </c>
      <c r="M372" s="154">
        <v>43770</v>
      </c>
      <c r="N372" s="23">
        <v>43573</v>
      </c>
      <c r="O372" s="23" t="s">
        <v>86</v>
      </c>
      <c r="P372" s="16" t="s">
        <v>83</v>
      </c>
      <c r="Q372" s="16" t="s">
        <v>176</v>
      </c>
      <c r="R372" s="11" t="s">
        <v>177</v>
      </c>
      <c r="S372" s="11" t="s">
        <v>2354</v>
      </c>
      <c r="T372" s="159"/>
      <c r="U372" s="159"/>
      <c r="V372" s="19" t="s">
        <v>179</v>
      </c>
      <c r="W372" s="19" t="s">
        <v>179</v>
      </c>
      <c r="X372" s="1">
        <v>6</v>
      </c>
      <c r="Y372" s="160" t="s">
        <v>179</v>
      </c>
      <c r="Z372" s="70" t="s">
        <v>181</v>
      </c>
      <c r="AA372" s="70"/>
      <c r="AB372" s="1"/>
      <c r="AC372" s="107"/>
      <c r="AD372" s="202"/>
      <c r="AE372" s="202"/>
      <c r="AF372" s="203"/>
      <c r="AG372" s="204"/>
      <c r="AH372" s="205"/>
      <c r="AI372" s="205"/>
      <c r="AJ372" s="81" t="s">
        <v>198</v>
      </c>
      <c r="AK372" s="81" t="s">
        <v>185</v>
      </c>
      <c r="AL372" s="81" t="s">
        <v>185</v>
      </c>
      <c r="AM372" s="72" t="s">
        <v>2349</v>
      </c>
      <c r="AN372" s="20">
        <v>182</v>
      </c>
      <c r="AO372" s="20">
        <v>0</v>
      </c>
      <c r="AP372" s="20">
        <v>0</v>
      </c>
      <c r="AQ372" s="20">
        <v>0</v>
      </c>
      <c r="AR372" s="20">
        <v>0</v>
      </c>
      <c r="AS372" s="20">
        <v>7</v>
      </c>
      <c r="AT372" s="20">
        <v>10</v>
      </c>
      <c r="AU372" s="300">
        <f t="shared" si="56"/>
        <v>199</v>
      </c>
      <c r="AV372" s="20">
        <v>190</v>
      </c>
      <c r="AW372" s="20">
        <v>0</v>
      </c>
      <c r="AX372" s="20">
        <v>0</v>
      </c>
      <c r="AY372" s="20">
        <v>0</v>
      </c>
      <c r="AZ372" s="20">
        <v>0</v>
      </c>
      <c r="BA372" s="20">
        <v>7</v>
      </c>
      <c r="BB372" s="20">
        <v>10</v>
      </c>
      <c r="BC372" s="300">
        <f t="shared" si="57"/>
        <v>207</v>
      </c>
      <c r="BD372" s="42">
        <f t="shared" si="58"/>
        <v>8</v>
      </c>
      <c r="BE372" s="42">
        <f t="shared" si="59"/>
        <v>0</v>
      </c>
      <c r="BF372" s="42">
        <f t="shared" si="60"/>
        <v>0</v>
      </c>
      <c r="BG372" s="42">
        <f t="shared" si="61"/>
        <v>0</v>
      </c>
      <c r="BH372" s="42">
        <f t="shared" si="62"/>
        <v>0</v>
      </c>
      <c r="BI372" s="42">
        <f t="shared" si="63"/>
        <v>0</v>
      </c>
      <c r="BJ372" s="42">
        <f t="shared" si="64"/>
        <v>0</v>
      </c>
      <c r="BK372" s="42">
        <f t="shared" si="65"/>
        <v>8</v>
      </c>
    </row>
    <row r="373" spans="1:63" ht="27" customHeight="1">
      <c r="A373" s="11">
        <f t="shared" si="66"/>
        <v>371</v>
      </c>
      <c r="B373" s="12"/>
      <c r="C373" s="8">
        <v>2851</v>
      </c>
      <c r="D373" s="103" t="s">
        <v>2598</v>
      </c>
      <c r="E373" s="201" t="s">
        <v>2599</v>
      </c>
      <c r="F373" s="218" t="s">
        <v>1872</v>
      </c>
      <c r="G373" s="219" t="s">
        <v>989</v>
      </c>
      <c r="H373" s="24" t="s">
        <v>87</v>
      </c>
      <c r="I373" s="25" t="s">
        <v>88</v>
      </c>
      <c r="J373" s="82" t="s">
        <v>204</v>
      </c>
      <c r="K373" s="26">
        <v>35160</v>
      </c>
      <c r="L373" s="66" t="s">
        <v>174</v>
      </c>
      <c r="M373" s="154">
        <v>43770</v>
      </c>
      <c r="N373" s="23">
        <v>43573</v>
      </c>
      <c r="O373" s="23" t="s">
        <v>86</v>
      </c>
      <c r="P373" s="16" t="s">
        <v>83</v>
      </c>
      <c r="Q373" s="16" t="s">
        <v>176</v>
      </c>
      <c r="R373" s="11" t="s">
        <v>177</v>
      </c>
      <c r="S373" s="11" t="s">
        <v>2425</v>
      </c>
      <c r="T373" s="159"/>
      <c r="U373" s="159"/>
      <c r="V373" s="19" t="s">
        <v>179</v>
      </c>
      <c r="W373" s="19" t="s">
        <v>195</v>
      </c>
      <c r="X373" s="1">
        <v>8</v>
      </c>
      <c r="Y373" s="160" t="s">
        <v>2600</v>
      </c>
      <c r="Z373" s="70"/>
      <c r="AA373" s="70" t="s">
        <v>181</v>
      </c>
      <c r="AB373" s="1"/>
      <c r="AC373" s="107"/>
      <c r="AD373" s="202"/>
      <c r="AE373" s="202"/>
      <c r="AF373" s="203"/>
      <c r="AG373" s="204"/>
      <c r="AH373" s="205"/>
      <c r="AI373" s="205"/>
      <c r="AJ373" s="81" t="s">
        <v>198</v>
      </c>
      <c r="AK373" s="81" t="s">
        <v>185</v>
      </c>
      <c r="AL373" s="81" t="s">
        <v>185</v>
      </c>
      <c r="AM373" s="72" t="s">
        <v>2349</v>
      </c>
      <c r="AN373" s="20">
        <v>182</v>
      </c>
      <c r="AO373" s="20">
        <v>0</v>
      </c>
      <c r="AP373" s="20">
        <v>0</v>
      </c>
      <c r="AQ373" s="20">
        <v>20</v>
      </c>
      <c r="AR373" s="20">
        <v>0</v>
      </c>
      <c r="AS373" s="20">
        <v>7</v>
      </c>
      <c r="AT373" s="20">
        <v>10</v>
      </c>
      <c r="AU373" s="300">
        <f t="shared" si="56"/>
        <v>219</v>
      </c>
      <c r="AV373" s="20">
        <v>190</v>
      </c>
      <c r="AW373" s="20">
        <v>0</v>
      </c>
      <c r="AX373" s="20">
        <v>0</v>
      </c>
      <c r="AY373" s="20">
        <v>20</v>
      </c>
      <c r="AZ373" s="20">
        <v>0</v>
      </c>
      <c r="BA373" s="20">
        <v>7</v>
      </c>
      <c r="BB373" s="20">
        <v>10</v>
      </c>
      <c r="BC373" s="300">
        <f t="shared" si="57"/>
        <v>227</v>
      </c>
      <c r="BD373" s="42">
        <f t="shared" si="58"/>
        <v>8</v>
      </c>
      <c r="BE373" s="42">
        <f t="shared" si="59"/>
        <v>0</v>
      </c>
      <c r="BF373" s="42">
        <f t="shared" si="60"/>
        <v>0</v>
      </c>
      <c r="BG373" s="42">
        <f t="shared" si="61"/>
        <v>0</v>
      </c>
      <c r="BH373" s="42">
        <f t="shared" si="62"/>
        <v>0</v>
      </c>
      <c r="BI373" s="42">
        <f t="shared" si="63"/>
        <v>0</v>
      </c>
      <c r="BJ373" s="42">
        <f t="shared" si="64"/>
        <v>0</v>
      </c>
      <c r="BK373" s="42">
        <f t="shared" si="65"/>
        <v>8</v>
      </c>
    </row>
    <row r="374" spans="1:63" ht="27" customHeight="1">
      <c r="A374" s="11">
        <f t="shared" si="66"/>
        <v>372</v>
      </c>
      <c r="B374" s="12"/>
      <c r="C374" s="8">
        <v>2857</v>
      </c>
      <c r="D374" s="103" t="s">
        <v>2601</v>
      </c>
      <c r="E374" s="201" t="s">
        <v>2602</v>
      </c>
      <c r="F374" s="218" t="s">
        <v>2603</v>
      </c>
      <c r="G374" s="219" t="s">
        <v>489</v>
      </c>
      <c r="H374" s="24" t="s">
        <v>2604</v>
      </c>
      <c r="I374" s="25" t="s">
        <v>2605</v>
      </c>
      <c r="J374" s="82" t="s">
        <v>173</v>
      </c>
      <c r="K374" s="26">
        <v>23961</v>
      </c>
      <c r="L374" s="66" t="s">
        <v>174</v>
      </c>
      <c r="M374" s="154">
        <v>43770</v>
      </c>
      <c r="N374" s="23">
        <v>43579</v>
      </c>
      <c r="O374" s="23" t="s">
        <v>32</v>
      </c>
      <c r="P374" s="16" t="s">
        <v>194</v>
      </c>
      <c r="Q374" s="16" t="s">
        <v>176</v>
      </c>
      <c r="R374" s="11" t="s">
        <v>177</v>
      </c>
      <c r="S374" s="11" t="s">
        <v>2500</v>
      </c>
      <c r="T374" s="159"/>
      <c r="U374" s="159"/>
      <c r="V374" s="19" t="s">
        <v>179</v>
      </c>
      <c r="W374" s="19" t="s">
        <v>195</v>
      </c>
      <c r="X374" s="1">
        <v>3</v>
      </c>
      <c r="Y374" s="160" t="s">
        <v>2606</v>
      </c>
      <c r="Z374" s="70"/>
      <c r="AA374" s="70" t="s">
        <v>181</v>
      </c>
      <c r="AB374" s="1"/>
      <c r="AC374" s="107"/>
      <c r="AD374" s="202"/>
      <c r="AE374" s="202"/>
      <c r="AF374" s="203"/>
      <c r="AG374" s="204"/>
      <c r="AH374" s="205"/>
      <c r="AI374" s="205"/>
      <c r="AJ374" s="81" t="s">
        <v>198</v>
      </c>
      <c r="AK374" s="81" t="s">
        <v>185</v>
      </c>
      <c r="AL374" s="81" t="s">
        <v>185</v>
      </c>
      <c r="AM374" s="72" t="s">
        <v>2349</v>
      </c>
      <c r="AN374" s="20">
        <v>182</v>
      </c>
      <c r="AO374" s="20">
        <v>0</v>
      </c>
      <c r="AP374" s="20">
        <v>20</v>
      </c>
      <c r="AQ374" s="20">
        <v>0</v>
      </c>
      <c r="AR374" s="20">
        <v>0</v>
      </c>
      <c r="AS374" s="20">
        <v>7</v>
      </c>
      <c r="AT374" s="20">
        <v>10</v>
      </c>
      <c r="AU374" s="300">
        <f t="shared" si="56"/>
        <v>219</v>
      </c>
      <c r="AV374" s="20">
        <v>190</v>
      </c>
      <c r="AW374" s="20">
        <v>0</v>
      </c>
      <c r="AX374" s="20">
        <v>20</v>
      </c>
      <c r="AY374" s="20">
        <v>0</v>
      </c>
      <c r="AZ374" s="20">
        <v>0</v>
      </c>
      <c r="BA374" s="20">
        <v>7</v>
      </c>
      <c r="BB374" s="20">
        <v>10</v>
      </c>
      <c r="BC374" s="300">
        <f t="shared" si="57"/>
        <v>227</v>
      </c>
      <c r="BD374" s="42">
        <f t="shared" si="58"/>
        <v>8</v>
      </c>
      <c r="BE374" s="42">
        <f t="shared" si="59"/>
        <v>0</v>
      </c>
      <c r="BF374" s="42">
        <f t="shared" si="60"/>
        <v>0</v>
      </c>
      <c r="BG374" s="42">
        <f t="shared" si="61"/>
        <v>0</v>
      </c>
      <c r="BH374" s="42">
        <f t="shared" si="62"/>
        <v>0</v>
      </c>
      <c r="BI374" s="42">
        <f t="shared" si="63"/>
        <v>0</v>
      </c>
      <c r="BJ374" s="42">
        <f t="shared" si="64"/>
        <v>0</v>
      </c>
      <c r="BK374" s="42">
        <f t="shared" si="65"/>
        <v>8</v>
      </c>
    </row>
    <row r="375" spans="1:63" ht="27" customHeight="1">
      <c r="A375" s="11">
        <f t="shared" si="66"/>
        <v>373</v>
      </c>
      <c r="B375" s="12"/>
      <c r="C375" s="8">
        <v>2833</v>
      </c>
      <c r="D375" s="103" t="s">
        <v>2607</v>
      </c>
      <c r="E375" s="201" t="s">
        <v>2608</v>
      </c>
      <c r="F375" s="218" t="s">
        <v>2609</v>
      </c>
      <c r="G375" s="219" t="s">
        <v>2610</v>
      </c>
      <c r="H375" s="24" t="s">
        <v>2611</v>
      </c>
      <c r="I375" s="25" t="s">
        <v>2612</v>
      </c>
      <c r="J375" s="82" t="s">
        <v>173</v>
      </c>
      <c r="K375" s="26">
        <v>32253</v>
      </c>
      <c r="L375" s="66" t="s">
        <v>174</v>
      </c>
      <c r="M375" s="154">
        <v>43770</v>
      </c>
      <c r="N375" s="23">
        <v>43578</v>
      </c>
      <c r="O375" s="23" t="s">
        <v>32</v>
      </c>
      <c r="P375" s="16" t="s">
        <v>304</v>
      </c>
      <c r="Q375" s="16" t="s">
        <v>176</v>
      </c>
      <c r="R375" s="11" t="s">
        <v>177</v>
      </c>
      <c r="S375" s="11" t="s">
        <v>2425</v>
      </c>
      <c r="T375" s="159"/>
      <c r="U375" s="159"/>
      <c r="V375" s="19" t="s">
        <v>195</v>
      </c>
      <c r="W375" s="19" t="s">
        <v>195</v>
      </c>
      <c r="X375" s="1">
        <v>8</v>
      </c>
      <c r="Y375" s="160" t="s">
        <v>2613</v>
      </c>
      <c r="Z375" s="70"/>
      <c r="AA375" s="70" t="s">
        <v>181</v>
      </c>
      <c r="AB375" s="1"/>
      <c r="AC375" s="107"/>
      <c r="AD375" s="203" t="s">
        <v>184</v>
      </c>
      <c r="AE375" s="202"/>
      <c r="AF375" s="203"/>
      <c r="AG375" s="204"/>
      <c r="AH375" s="205"/>
      <c r="AI375" s="205"/>
      <c r="AJ375" s="81" t="s">
        <v>198</v>
      </c>
      <c r="AK375" s="81" t="s">
        <v>185</v>
      </c>
      <c r="AL375" s="81" t="s">
        <v>185</v>
      </c>
      <c r="AM375" s="72" t="s">
        <v>2349</v>
      </c>
      <c r="AN375" s="20">
        <v>182</v>
      </c>
      <c r="AO375" s="20">
        <v>0</v>
      </c>
      <c r="AP375" s="20">
        <v>0</v>
      </c>
      <c r="AQ375" s="20">
        <v>0</v>
      </c>
      <c r="AR375" s="20">
        <v>0</v>
      </c>
      <c r="AS375" s="20">
        <v>7</v>
      </c>
      <c r="AT375" s="20">
        <v>10</v>
      </c>
      <c r="AU375" s="300">
        <f t="shared" si="56"/>
        <v>199</v>
      </c>
      <c r="AV375" s="20">
        <v>190</v>
      </c>
      <c r="AW375" s="20">
        <v>0</v>
      </c>
      <c r="AX375" s="20">
        <v>0</v>
      </c>
      <c r="AY375" s="20">
        <v>0</v>
      </c>
      <c r="AZ375" s="20">
        <v>0</v>
      </c>
      <c r="BA375" s="20">
        <v>7</v>
      </c>
      <c r="BB375" s="20">
        <v>10</v>
      </c>
      <c r="BC375" s="300">
        <f t="shared" si="57"/>
        <v>207</v>
      </c>
      <c r="BD375" s="42">
        <f t="shared" si="58"/>
        <v>8</v>
      </c>
      <c r="BE375" s="42">
        <f t="shared" si="59"/>
        <v>0</v>
      </c>
      <c r="BF375" s="42">
        <f t="shared" si="60"/>
        <v>0</v>
      </c>
      <c r="BG375" s="42">
        <f t="shared" si="61"/>
        <v>0</v>
      </c>
      <c r="BH375" s="42">
        <f t="shared" si="62"/>
        <v>0</v>
      </c>
      <c r="BI375" s="42">
        <f t="shared" si="63"/>
        <v>0</v>
      </c>
      <c r="BJ375" s="42">
        <f t="shared" si="64"/>
        <v>0</v>
      </c>
      <c r="BK375" s="42">
        <f t="shared" si="65"/>
        <v>8</v>
      </c>
    </row>
    <row r="376" spans="1:63" ht="27" customHeight="1">
      <c r="A376" s="11">
        <f t="shared" si="66"/>
        <v>374</v>
      </c>
      <c r="B376" s="12"/>
      <c r="C376" s="8">
        <v>2837</v>
      </c>
      <c r="D376" s="103" t="s">
        <v>2614</v>
      </c>
      <c r="E376" s="201" t="s">
        <v>2615</v>
      </c>
      <c r="F376" s="218" t="s">
        <v>452</v>
      </c>
      <c r="G376" s="219" t="s">
        <v>2616</v>
      </c>
      <c r="H376" s="24" t="s">
        <v>2521</v>
      </c>
      <c r="I376" s="25" t="s">
        <v>2617</v>
      </c>
      <c r="J376" s="82" t="s">
        <v>173</v>
      </c>
      <c r="K376" s="26">
        <v>31786</v>
      </c>
      <c r="L376" s="66" t="s">
        <v>174</v>
      </c>
      <c r="M376" s="154">
        <v>43770</v>
      </c>
      <c r="N376" s="23">
        <v>43575</v>
      </c>
      <c r="O376" s="23" t="s">
        <v>32</v>
      </c>
      <c r="P376" s="16" t="s">
        <v>507</v>
      </c>
      <c r="Q376" s="16" t="s">
        <v>176</v>
      </c>
      <c r="R376" s="11" t="s">
        <v>177</v>
      </c>
      <c r="S376" s="11" t="s">
        <v>2500</v>
      </c>
      <c r="T376" s="159"/>
      <c r="U376" s="159"/>
      <c r="V376" s="19" t="s">
        <v>179</v>
      </c>
      <c r="W376" s="19" t="s">
        <v>179</v>
      </c>
      <c r="X376" s="1">
        <v>3</v>
      </c>
      <c r="Y376" s="160" t="s">
        <v>2618</v>
      </c>
      <c r="Z376" s="70"/>
      <c r="AA376" s="70" t="s">
        <v>181</v>
      </c>
      <c r="AB376" s="1"/>
      <c r="AC376" s="107"/>
      <c r="AD376" s="202" t="s">
        <v>183</v>
      </c>
      <c r="AE376" s="202"/>
      <c r="AF376" s="203"/>
      <c r="AG376" s="204"/>
      <c r="AH376" s="205"/>
      <c r="AI376" s="205"/>
      <c r="AJ376" s="81" t="s">
        <v>198</v>
      </c>
      <c r="AK376" s="81" t="s">
        <v>185</v>
      </c>
      <c r="AL376" s="81" t="s">
        <v>185</v>
      </c>
      <c r="AM376" s="72" t="s">
        <v>2349</v>
      </c>
      <c r="AN376" s="20">
        <v>182</v>
      </c>
      <c r="AO376" s="20">
        <v>0</v>
      </c>
      <c r="AP376" s="20">
        <v>0</v>
      </c>
      <c r="AQ376" s="20">
        <v>0</v>
      </c>
      <c r="AR376" s="20">
        <v>0</v>
      </c>
      <c r="AS376" s="20">
        <v>7</v>
      </c>
      <c r="AT376" s="20">
        <v>10</v>
      </c>
      <c r="AU376" s="300">
        <f t="shared" si="56"/>
        <v>199</v>
      </c>
      <c r="AV376" s="20">
        <v>190</v>
      </c>
      <c r="AW376" s="20">
        <v>0</v>
      </c>
      <c r="AX376" s="20">
        <v>0</v>
      </c>
      <c r="AY376" s="20">
        <v>0</v>
      </c>
      <c r="AZ376" s="20">
        <v>0</v>
      </c>
      <c r="BA376" s="20">
        <v>7</v>
      </c>
      <c r="BB376" s="20">
        <v>10</v>
      </c>
      <c r="BC376" s="300">
        <f t="shared" si="57"/>
        <v>207</v>
      </c>
      <c r="BD376" s="42">
        <f t="shared" si="58"/>
        <v>8</v>
      </c>
      <c r="BE376" s="42">
        <f t="shared" si="59"/>
        <v>0</v>
      </c>
      <c r="BF376" s="42">
        <f t="shared" si="60"/>
        <v>0</v>
      </c>
      <c r="BG376" s="42">
        <f t="shared" si="61"/>
        <v>0</v>
      </c>
      <c r="BH376" s="42">
        <f t="shared" si="62"/>
        <v>0</v>
      </c>
      <c r="BI376" s="42">
        <f t="shared" si="63"/>
        <v>0</v>
      </c>
      <c r="BJ376" s="42">
        <f t="shared" si="64"/>
        <v>0</v>
      </c>
      <c r="BK376" s="42">
        <f t="shared" si="65"/>
        <v>8</v>
      </c>
    </row>
    <row r="377" spans="1:63" ht="27" customHeight="1">
      <c r="A377" s="11">
        <f t="shared" si="66"/>
        <v>375</v>
      </c>
      <c r="B377" s="12"/>
      <c r="C377" s="8">
        <v>2829</v>
      </c>
      <c r="D377" s="103" t="s">
        <v>2619</v>
      </c>
      <c r="E377" s="201" t="s">
        <v>2620</v>
      </c>
      <c r="F377" s="218" t="s">
        <v>2621</v>
      </c>
      <c r="G377" s="219" t="s">
        <v>2622</v>
      </c>
      <c r="H377" s="24" t="s">
        <v>2623</v>
      </c>
      <c r="I377" s="25" t="s">
        <v>2624</v>
      </c>
      <c r="J377" s="82" t="s">
        <v>173</v>
      </c>
      <c r="K377" s="26">
        <v>31269</v>
      </c>
      <c r="L377" s="66" t="s">
        <v>174</v>
      </c>
      <c r="M377" s="154">
        <v>43770</v>
      </c>
      <c r="N377" s="23">
        <v>43574</v>
      </c>
      <c r="O377" s="23" t="s">
        <v>32</v>
      </c>
      <c r="P377" s="16" t="s">
        <v>334</v>
      </c>
      <c r="Q377" s="16" t="s">
        <v>176</v>
      </c>
      <c r="R377" s="11" t="s">
        <v>177</v>
      </c>
      <c r="S377" s="11" t="s">
        <v>2354</v>
      </c>
      <c r="T377" s="159"/>
      <c r="U377" s="159"/>
      <c r="V377" s="19" t="s">
        <v>179</v>
      </c>
      <c r="W377" s="19" t="s">
        <v>179</v>
      </c>
      <c r="X377" s="1" t="s">
        <v>179</v>
      </c>
      <c r="Y377" s="160" t="s">
        <v>179</v>
      </c>
      <c r="Z377" s="70"/>
      <c r="AA377" s="70"/>
      <c r="AB377" s="70" t="s">
        <v>181</v>
      </c>
      <c r="AC377" s="107"/>
      <c r="AD377" s="202" t="s">
        <v>183</v>
      </c>
      <c r="AE377" s="202"/>
      <c r="AF377" s="203"/>
      <c r="AG377" s="204"/>
      <c r="AH377" s="205"/>
      <c r="AI377" s="205"/>
      <c r="AJ377" s="81" t="s">
        <v>198</v>
      </c>
      <c r="AK377" s="81" t="s">
        <v>185</v>
      </c>
      <c r="AL377" s="81" t="s">
        <v>185</v>
      </c>
      <c r="AM377" s="72" t="s">
        <v>2349</v>
      </c>
      <c r="AN377" s="20">
        <v>182</v>
      </c>
      <c r="AO377" s="20">
        <v>0</v>
      </c>
      <c r="AP377" s="20">
        <v>0</v>
      </c>
      <c r="AQ377" s="20">
        <v>0</v>
      </c>
      <c r="AR377" s="20">
        <v>0</v>
      </c>
      <c r="AS377" s="20">
        <v>7</v>
      </c>
      <c r="AT377" s="20">
        <v>10</v>
      </c>
      <c r="AU377" s="300">
        <f t="shared" si="56"/>
        <v>199</v>
      </c>
      <c r="AV377" s="20">
        <v>190</v>
      </c>
      <c r="AW377" s="20">
        <v>0</v>
      </c>
      <c r="AX377" s="20">
        <v>0</v>
      </c>
      <c r="AY377" s="20">
        <v>0</v>
      </c>
      <c r="AZ377" s="20">
        <v>0</v>
      </c>
      <c r="BA377" s="20">
        <v>7</v>
      </c>
      <c r="BB377" s="20">
        <v>10</v>
      </c>
      <c r="BC377" s="300">
        <f t="shared" si="57"/>
        <v>207</v>
      </c>
      <c r="BD377" s="42">
        <f t="shared" si="58"/>
        <v>8</v>
      </c>
      <c r="BE377" s="42">
        <f t="shared" si="59"/>
        <v>0</v>
      </c>
      <c r="BF377" s="42">
        <f t="shared" si="60"/>
        <v>0</v>
      </c>
      <c r="BG377" s="42">
        <f t="shared" si="61"/>
        <v>0</v>
      </c>
      <c r="BH377" s="42">
        <f t="shared" si="62"/>
        <v>0</v>
      </c>
      <c r="BI377" s="42">
        <f t="shared" si="63"/>
        <v>0</v>
      </c>
      <c r="BJ377" s="42">
        <f t="shared" si="64"/>
        <v>0</v>
      </c>
      <c r="BK377" s="42">
        <f t="shared" si="65"/>
        <v>8</v>
      </c>
    </row>
    <row r="378" spans="1:63" ht="27" customHeight="1">
      <c r="A378" s="11">
        <f t="shared" si="66"/>
        <v>376</v>
      </c>
      <c r="B378" s="12"/>
      <c r="C378" s="8">
        <v>2821</v>
      </c>
      <c r="D378" s="103" t="s">
        <v>2625</v>
      </c>
      <c r="E378" s="201" t="s">
        <v>2626</v>
      </c>
      <c r="F378" s="218" t="s">
        <v>2627</v>
      </c>
      <c r="G378" s="219" t="s">
        <v>2236</v>
      </c>
      <c r="H378" s="24" t="s">
        <v>2628</v>
      </c>
      <c r="I378" s="25" t="s">
        <v>2629</v>
      </c>
      <c r="J378" s="82" t="s">
        <v>173</v>
      </c>
      <c r="K378" s="26">
        <v>28709</v>
      </c>
      <c r="L378" s="66" t="s">
        <v>174</v>
      </c>
      <c r="M378" s="154">
        <v>43739</v>
      </c>
      <c r="N378" s="23">
        <v>43560</v>
      </c>
      <c r="O378" s="23" t="s">
        <v>32</v>
      </c>
      <c r="P378" s="16" t="s">
        <v>25</v>
      </c>
      <c r="Q378" s="16" t="s">
        <v>176</v>
      </c>
      <c r="R378" s="11" t="s">
        <v>177</v>
      </c>
      <c r="S378" s="11" t="s">
        <v>1369</v>
      </c>
      <c r="T378" s="159"/>
      <c r="U378" s="159"/>
      <c r="V378" s="19" t="s">
        <v>179</v>
      </c>
      <c r="W378" s="19" t="s">
        <v>179</v>
      </c>
      <c r="X378" s="1">
        <v>8</v>
      </c>
      <c r="Y378" s="160" t="s">
        <v>2630</v>
      </c>
      <c r="Z378" s="70"/>
      <c r="AA378" s="70" t="s">
        <v>181</v>
      </c>
      <c r="AB378" s="1"/>
      <c r="AC378" s="107"/>
      <c r="AD378" s="202" t="s">
        <v>183</v>
      </c>
      <c r="AE378" s="203" t="s">
        <v>184</v>
      </c>
      <c r="AF378" s="203"/>
      <c r="AG378" s="204"/>
      <c r="AH378" s="205"/>
      <c r="AI378" s="205"/>
      <c r="AJ378" s="81" t="s">
        <v>198</v>
      </c>
      <c r="AK378" s="81" t="s">
        <v>185</v>
      </c>
      <c r="AL378" s="81" t="s">
        <v>185</v>
      </c>
      <c r="AM378" s="72" t="s">
        <v>2349</v>
      </c>
      <c r="AN378" s="20">
        <v>182</v>
      </c>
      <c r="AO378" s="20">
        <v>0</v>
      </c>
      <c r="AP378" s="20">
        <v>0</v>
      </c>
      <c r="AQ378" s="20">
        <v>0</v>
      </c>
      <c r="AR378" s="20">
        <v>0</v>
      </c>
      <c r="AS378" s="20">
        <v>7</v>
      </c>
      <c r="AT378" s="20">
        <v>10</v>
      </c>
      <c r="AU378" s="300">
        <f t="shared" si="56"/>
        <v>199</v>
      </c>
      <c r="AV378" s="20">
        <v>190</v>
      </c>
      <c r="AW378" s="20">
        <v>0</v>
      </c>
      <c r="AX378" s="20">
        <v>0</v>
      </c>
      <c r="AY378" s="20">
        <v>0</v>
      </c>
      <c r="AZ378" s="20">
        <v>0</v>
      </c>
      <c r="BA378" s="20">
        <v>7</v>
      </c>
      <c r="BB378" s="20">
        <v>10</v>
      </c>
      <c r="BC378" s="300">
        <f t="shared" si="57"/>
        <v>207</v>
      </c>
      <c r="BD378" s="42">
        <f t="shared" si="58"/>
        <v>8</v>
      </c>
      <c r="BE378" s="42">
        <f t="shared" si="59"/>
        <v>0</v>
      </c>
      <c r="BF378" s="42">
        <f t="shared" si="60"/>
        <v>0</v>
      </c>
      <c r="BG378" s="42">
        <f t="shared" si="61"/>
        <v>0</v>
      </c>
      <c r="BH378" s="42">
        <f t="shared" si="62"/>
        <v>0</v>
      </c>
      <c r="BI378" s="42">
        <f t="shared" si="63"/>
        <v>0</v>
      </c>
      <c r="BJ378" s="42">
        <f t="shared" si="64"/>
        <v>0</v>
      </c>
      <c r="BK378" s="42">
        <f t="shared" si="65"/>
        <v>8</v>
      </c>
    </row>
    <row r="379" spans="1:63" ht="27" customHeight="1">
      <c r="A379" s="11">
        <f t="shared" si="66"/>
        <v>377</v>
      </c>
      <c r="B379" s="12"/>
      <c r="C379" s="8">
        <v>2890</v>
      </c>
      <c r="D379" s="103" t="s">
        <v>2631</v>
      </c>
      <c r="E379" s="201" t="s">
        <v>2632</v>
      </c>
      <c r="F379" s="218" t="s">
        <v>2633</v>
      </c>
      <c r="G379" s="219" t="s">
        <v>2276</v>
      </c>
      <c r="H379" s="24" t="s">
        <v>41</v>
      </c>
      <c r="I379" s="25" t="s">
        <v>42</v>
      </c>
      <c r="J379" s="82" t="s">
        <v>204</v>
      </c>
      <c r="K379" s="26">
        <v>34920</v>
      </c>
      <c r="L379" s="66" t="s">
        <v>174</v>
      </c>
      <c r="M379" s="154">
        <v>43770</v>
      </c>
      <c r="N379" s="23">
        <v>43587</v>
      </c>
      <c r="O379" s="23" t="s">
        <v>32</v>
      </c>
      <c r="P379" s="16" t="s">
        <v>13</v>
      </c>
      <c r="Q379" s="16" t="s">
        <v>176</v>
      </c>
      <c r="R379" s="11" t="s">
        <v>177</v>
      </c>
      <c r="S379" s="11" t="s">
        <v>2354</v>
      </c>
      <c r="T379" s="159"/>
      <c r="U379" s="159"/>
      <c r="V379" s="19" t="s">
        <v>179</v>
      </c>
      <c r="W379" s="19" t="s">
        <v>179</v>
      </c>
      <c r="X379" s="1">
        <v>5</v>
      </c>
      <c r="Y379" s="160" t="s">
        <v>2634</v>
      </c>
      <c r="Z379" s="70" t="s">
        <v>181</v>
      </c>
      <c r="AA379" s="70"/>
      <c r="AB379" s="1"/>
      <c r="AC379" s="107"/>
      <c r="AD379" s="202"/>
      <c r="AE379" s="202"/>
      <c r="AF379" s="203"/>
      <c r="AG379" s="204"/>
      <c r="AH379" s="205"/>
      <c r="AI379" s="205"/>
      <c r="AJ379" s="81" t="s">
        <v>198</v>
      </c>
      <c r="AK379" s="81" t="s">
        <v>185</v>
      </c>
      <c r="AL379" s="81" t="s">
        <v>185</v>
      </c>
      <c r="AM379" s="72" t="s">
        <v>2349</v>
      </c>
      <c r="AN379" s="20">
        <v>182</v>
      </c>
      <c r="AO379" s="20">
        <v>0</v>
      </c>
      <c r="AP379" s="20">
        <v>0</v>
      </c>
      <c r="AQ379" s="20">
        <v>0</v>
      </c>
      <c r="AR379" s="20">
        <v>0</v>
      </c>
      <c r="AS379" s="20">
        <v>7</v>
      </c>
      <c r="AT379" s="20">
        <v>10</v>
      </c>
      <c r="AU379" s="300">
        <f t="shared" si="56"/>
        <v>199</v>
      </c>
      <c r="AV379" s="20">
        <v>190</v>
      </c>
      <c r="AW379" s="20">
        <v>0</v>
      </c>
      <c r="AX379" s="20">
        <v>0</v>
      </c>
      <c r="AY379" s="20">
        <v>0</v>
      </c>
      <c r="AZ379" s="20">
        <v>0</v>
      </c>
      <c r="BA379" s="20">
        <v>7</v>
      </c>
      <c r="BB379" s="20">
        <v>10</v>
      </c>
      <c r="BC379" s="300">
        <f t="shared" si="57"/>
        <v>207</v>
      </c>
      <c r="BD379" s="42">
        <f t="shared" si="58"/>
        <v>8</v>
      </c>
      <c r="BE379" s="42">
        <f t="shared" si="59"/>
        <v>0</v>
      </c>
      <c r="BF379" s="42">
        <f t="shared" si="60"/>
        <v>0</v>
      </c>
      <c r="BG379" s="42">
        <f t="shared" si="61"/>
        <v>0</v>
      </c>
      <c r="BH379" s="42">
        <f t="shared" si="62"/>
        <v>0</v>
      </c>
      <c r="BI379" s="42">
        <f t="shared" si="63"/>
        <v>0</v>
      </c>
      <c r="BJ379" s="42">
        <f t="shared" si="64"/>
        <v>0</v>
      </c>
      <c r="BK379" s="42">
        <f t="shared" si="65"/>
        <v>8</v>
      </c>
    </row>
    <row r="380" spans="1:63" ht="27" customHeight="1">
      <c r="A380" s="11">
        <f t="shared" si="66"/>
        <v>378</v>
      </c>
      <c r="B380" s="12"/>
      <c r="C380" s="8">
        <v>2885</v>
      </c>
      <c r="D380" s="103" t="s">
        <v>2635</v>
      </c>
      <c r="E380" s="201" t="s">
        <v>2636</v>
      </c>
      <c r="F380" s="218" t="s">
        <v>2637</v>
      </c>
      <c r="G380" s="219" t="s">
        <v>2638</v>
      </c>
      <c r="H380" s="24" t="s">
        <v>2639</v>
      </c>
      <c r="I380" s="25" t="s">
        <v>2640</v>
      </c>
      <c r="J380" s="82" t="s">
        <v>173</v>
      </c>
      <c r="K380" s="26">
        <v>36861</v>
      </c>
      <c r="L380" s="66" t="s">
        <v>174</v>
      </c>
      <c r="M380" s="154">
        <v>43770</v>
      </c>
      <c r="N380" s="23">
        <v>43588</v>
      </c>
      <c r="O380" s="23" t="s">
        <v>32</v>
      </c>
      <c r="P380" s="16" t="s">
        <v>222</v>
      </c>
      <c r="Q380" s="16" t="s">
        <v>176</v>
      </c>
      <c r="R380" s="11" t="s">
        <v>177</v>
      </c>
      <c r="S380" s="11" t="s">
        <v>2392</v>
      </c>
      <c r="T380" s="159"/>
      <c r="U380" s="159"/>
      <c r="V380" s="19" t="s">
        <v>179</v>
      </c>
      <c r="W380" s="19" t="s">
        <v>179</v>
      </c>
      <c r="X380" s="1">
        <v>6</v>
      </c>
      <c r="Y380" s="160" t="s">
        <v>2641</v>
      </c>
      <c r="Z380" s="70"/>
      <c r="AA380" s="70" t="s">
        <v>181</v>
      </c>
      <c r="AB380" s="1"/>
      <c r="AC380" s="107"/>
      <c r="AD380" s="202"/>
      <c r="AE380" s="202"/>
      <c r="AF380" s="203"/>
      <c r="AG380" s="204"/>
      <c r="AH380" s="205"/>
      <c r="AI380" s="205"/>
      <c r="AJ380" s="81" t="s">
        <v>198</v>
      </c>
      <c r="AK380" s="81" t="s">
        <v>185</v>
      </c>
      <c r="AL380" s="81" t="s">
        <v>185</v>
      </c>
      <c r="AM380" s="72" t="s">
        <v>2349</v>
      </c>
      <c r="AN380" s="20">
        <v>182</v>
      </c>
      <c r="AO380" s="20">
        <v>0</v>
      </c>
      <c r="AP380" s="20">
        <v>0</v>
      </c>
      <c r="AQ380" s="20">
        <v>0</v>
      </c>
      <c r="AR380" s="20">
        <v>0</v>
      </c>
      <c r="AS380" s="20">
        <v>7</v>
      </c>
      <c r="AT380" s="20">
        <v>10</v>
      </c>
      <c r="AU380" s="300">
        <f t="shared" si="56"/>
        <v>199</v>
      </c>
      <c r="AV380" s="20">
        <v>190</v>
      </c>
      <c r="AW380" s="20">
        <v>0</v>
      </c>
      <c r="AX380" s="20">
        <v>0</v>
      </c>
      <c r="AY380" s="20">
        <v>0</v>
      </c>
      <c r="AZ380" s="20">
        <v>0</v>
      </c>
      <c r="BA380" s="20">
        <v>7</v>
      </c>
      <c r="BB380" s="20">
        <v>10</v>
      </c>
      <c r="BC380" s="300">
        <f t="shared" si="57"/>
        <v>207</v>
      </c>
      <c r="BD380" s="42">
        <f t="shared" si="58"/>
        <v>8</v>
      </c>
      <c r="BE380" s="42">
        <f t="shared" si="59"/>
        <v>0</v>
      </c>
      <c r="BF380" s="42">
        <f t="shared" si="60"/>
        <v>0</v>
      </c>
      <c r="BG380" s="42">
        <f t="shared" si="61"/>
        <v>0</v>
      </c>
      <c r="BH380" s="42">
        <f t="shared" si="62"/>
        <v>0</v>
      </c>
      <c r="BI380" s="42">
        <f t="shared" si="63"/>
        <v>0</v>
      </c>
      <c r="BJ380" s="42">
        <f t="shared" si="64"/>
        <v>0</v>
      </c>
      <c r="BK380" s="42">
        <f t="shared" si="65"/>
        <v>8</v>
      </c>
    </row>
    <row r="381" spans="1:63" ht="27" customHeight="1">
      <c r="A381" s="11">
        <f t="shared" si="66"/>
        <v>379</v>
      </c>
      <c r="B381" s="12"/>
      <c r="C381" s="8">
        <v>2906</v>
      </c>
      <c r="D381" s="103" t="s">
        <v>2642</v>
      </c>
      <c r="E381" s="201" t="s">
        <v>2643</v>
      </c>
      <c r="F381" s="218" t="s">
        <v>899</v>
      </c>
      <c r="G381" s="219" t="s">
        <v>2159</v>
      </c>
      <c r="H381" s="24" t="s">
        <v>2202</v>
      </c>
      <c r="I381" s="25" t="s">
        <v>2644</v>
      </c>
      <c r="J381" s="82" t="s">
        <v>173</v>
      </c>
      <c r="K381" s="26">
        <v>25684</v>
      </c>
      <c r="L381" s="66" t="s">
        <v>174</v>
      </c>
      <c r="M381" s="154">
        <v>43770</v>
      </c>
      <c r="N381" s="23">
        <v>43591</v>
      </c>
      <c r="O381" s="23" t="s">
        <v>32</v>
      </c>
      <c r="P381" s="16" t="s">
        <v>194</v>
      </c>
      <c r="Q381" s="16" t="s">
        <v>176</v>
      </c>
      <c r="R381" s="11" t="s">
        <v>177</v>
      </c>
      <c r="S381" s="11" t="s">
        <v>2354</v>
      </c>
      <c r="T381" s="159"/>
      <c r="U381" s="159"/>
      <c r="V381" s="19" t="s">
        <v>195</v>
      </c>
      <c r="W381" s="19" t="s">
        <v>179</v>
      </c>
      <c r="X381" s="1">
        <v>3</v>
      </c>
      <c r="Y381" s="160" t="s">
        <v>2645</v>
      </c>
      <c r="Z381" s="70"/>
      <c r="AA381" s="70"/>
      <c r="AB381" s="70" t="s">
        <v>181</v>
      </c>
      <c r="AC381" s="107"/>
      <c r="AD381" s="202" t="s">
        <v>351</v>
      </c>
      <c r="AE381" s="202" t="s">
        <v>183</v>
      </c>
      <c r="AF381" s="202" t="s">
        <v>183</v>
      </c>
      <c r="AG381" s="204"/>
      <c r="AH381" s="205"/>
      <c r="AI381" s="205"/>
      <c r="AJ381" s="81" t="s">
        <v>198</v>
      </c>
      <c r="AK381" s="81" t="s">
        <v>185</v>
      </c>
      <c r="AL381" s="81" t="s">
        <v>185</v>
      </c>
      <c r="AM381" s="72" t="s">
        <v>2349</v>
      </c>
      <c r="AN381" s="20">
        <v>182</v>
      </c>
      <c r="AO381" s="20">
        <v>0</v>
      </c>
      <c r="AP381" s="20">
        <v>0</v>
      </c>
      <c r="AQ381" s="20">
        <v>0</v>
      </c>
      <c r="AR381" s="20">
        <v>0</v>
      </c>
      <c r="AS381" s="20">
        <v>7</v>
      </c>
      <c r="AT381" s="20">
        <v>10</v>
      </c>
      <c r="AU381" s="300">
        <f t="shared" si="56"/>
        <v>199</v>
      </c>
      <c r="AV381" s="20">
        <v>190</v>
      </c>
      <c r="AW381" s="20">
        <v>0</v>
      </c>
      <c r="AX381" s="20">
        <v>0</v>
      </c>
      <c r="AY381" s="20">
        <v>0</v>
      </c>
      <c r="AZ381" s="20">
        <v>0</v>
      </c>
      <c r="BA381" s="20">
        <v>7</v>
      </c>
      <c r="BB381" s="20">
        <v>10</v>
      </c>
      <c r="BC381" s="300">
        <f t="shared" si="57"/>
        <v>207</v>
      </c>
      <c r="BD381" s="42">
        <f t="shared" si="58"/>
        <v>8</v>
      </c>
      <c r="BE381" s="42">
        <f t="shared" si="59"/>
        <v>0</v>
      </c>
      <c r="BF381" s="42">
        <f t="shared" si="60"/>
        <v>0</v>
      </c>
      <c r="BG381" s="42">
        <f t="shared" si="61"/>
        <v>0</v>
      </c>
      <c r="BH381" s="42">
        <f t="shared" si="62"/>
        <v>0</v>
      </c>
      <c r="BI381" s="42">
        <f t="shared" si="63"/>
        <v>0</v>
      </c>
      <c r="BJ381" s="42">
        <f t="shared" si="64"/>
        <v>0</v>
      </c>
      <c r="BK381" s="42">
        <f t="shared" si="65"/>
        <v>8</v>
      </c>
    </row>
    <row r="382" spans="1:63" ht="27" customHeight="1">
      <c r="A382" s="11">
        <f t="shared" si="66"/>
        <v>380</v>
      </c>
      <c r="B382" s="12"/>
      <c r="C382" s="8">
        <v>2909</v>
      </c>
      <c r="D382" s="103" t="s">
        <v>2646</v>
      </c>
      <c r="E382" s="201" t="s">
        <v>2647</v>
      </c>
      <c r="F382" s="218" t="s">
        <v>2648</v>
      </c>
      <c r="G382" s="219" t="s">
        <v>2649</v>
      </c>
      <c r="H382" s="24" t="s">
        <v>2650</v>
      </c>
      <c r="I382" s="25" t="s">
        <v>2651</v>
      </c>
      <c r="J382" s="82" t="s">
        <v>173</v>
      </c>
      <c r="K382" s="26">
        <v>30323</v>
      </c>
      <c r="L382" s="66" t="s">
        <v>174</v>
      </c>
      <c r="M382" s="23">
        <v>43800</v>
      </c>
      <c r="N382" s="23">
        <v>43608</v>
      </c>
      <c r="O382" s="23" t="s">
        <v>32</v>
      </c>
      <c r="P382" s="16" t="s">
        <v>194</v>
      </c>
      <c r="Q382" s="16" t="s">
        <v>176</v>
      </c>
      <c r="R382" s="11" t="s">
        <v>177</v>
      </c>
      <c r="S382" s="11" t="s">
        <v>2425</v>
      </c>
      <c r="T382" s="159"/>
      <c r="U382" s="159"/>
      <c r="V382" s="19" t="s">
        <v>179</v>
      </c>
      <c r="W382" s="19" t="s">
        <v>179</v>
      </c>
      <c r="X382" s="1">
        <v>4</v>
      </c>
      <c r="Y382" s="160" t="s">
        <v>2652</v>
      </c>
      <c r="Z382" s="70" t="s">
        <v>181</v>
      </c>
      <c r="AA382" s="70"/>
      <c r="AB382" s="1"/>
      <c r="AC382" s="107"/>
      <c r="AD382" s="202"/>
      <c r="AE382" s="202"/>
      <c r="AF382" s="203"/>
      <c r="AG382" s="204"/>
      <c r="AH382" s="205"/>
      <c r="AI382" s="205"/>
      <c r="AJ382" s="81" t="s">
        <v>198</v>
      </c>
      <c r="AK382" s="81" t="s">
        <v>185</v>
      </c>
      <c r="AL382" s="81" t="s">
        <v>185</v>
      </c>
      <c r="AM382" s="72" t="s">
        <v>2349</v>
      </c>
      <c r="AN382" s="20">
        <v>182</v>
      </c>
      <c r="AO382" s="20">
        <v>0</v>
      </c>
      <c r="AP382" s="20">
        <v>0</v>
      </c>
      <c r="AQ382" s="20">
        <v>10</v>
      </c>
      <c r="AR382" s="20">
        <v>0</v>
      </c>
      <c r="AS382" s="20">
        <v>7</v>
      </c>
      <c r="AT382" s="20">
        <v>10</v>
      </c>
      <c r="AU382" s="300">
        <f t="shared" si="56"/>
        <v>209</v>
      </c>
      <c r="AV382" s="20">
        <v>190</v>
      </c>
      <c r="AW382" s="20">
        <v>0</v>
      </c>
      <c r="AX382" s="20">
        <v>0</v>
      </c>
      <c r="AY382" s="20">
        <v>10</v>
      </c>
      <c r="AZ382" s="20">
        <v>0</v>
      </c>
      <c r="BA382" s="20">
        <v>7</v>
      </c>
      <c r="BB382" s="20">
        <v>10</v>
      </c>
      <c r="BC382" s="300">
        <f t="shared" si="57"/>
        <v>217</v>
      </c>
      <c r="BD382" s="42">
        <f t="shared" si="58"/>
        <v>8</v>
      </c>
      <c r="BE382" s="42">
        <f t="shared" si="59"/>
        <v>0</v>
      </c>
      <c r="BF382" s="42">
        <f t="shared" si="60"/>
        <v>0</v>
      </c>
      <c r="BG382" s="42">
        <f t="shared" si="61"/>
        <v>0</v>
      </c>
      <c r="BH382" s="42">
        <f t="shared" si="62"/>
        <v>0</v>
      </c>
      <c r="BI382" s="42">
        <f t="shared" si="63"/>
        <v>0</v>
      </c>
      <c r="BJ382" s="42">
        <f t="shared" si="64"/>
        <v>0</v>
      </c>
      <c r="BK382" s="42">
        <f t="shared" si="65"/>
        <v>8</v>
      </c>
    </row>
    <row r="383" spans="1:63" ht="27" customHeight="1">
      <c r="A383" s="11">
        <f t="shared" si="66"/>
        <v>381</v>
      </c>
      <c r="B383" s="12"/>
      <c r="C383" s="8">
        <v>2875</v>
      </c>
      <c r="D383" s="103" t="s">
        <v>2653</v>
      </c>
      <c r="E383" s="201" t="s">
        <v>2654</v>
      </c>
      <c r="F383" s="218" t="s">
        <v>2655</v>
      </c>
      <c r="G383" s="219" t="s">
        <v>2656</v>
      </c>
      <c r="H383" s="24" t="s">
        <v>2657</v>
      </c>
      <c r="I383" s="25" t="s">
        <v>333</v>
      </c>
      <c r="J383" s="82" t="s">
        <v>173</v>
      </c>
      <c r="K383" s="26">
        <v>34455</v>
      </c>
      <c r="L383" s="66" t="s">
        <v>174</v>
      </c>
      <c r="M383" s="154">
        <v>43770</v>
      </c>
      <c r="N383" s="23">
        <v>43585</v>
      </c>
      <c r="O383" s="23" t="s">
        <v>32</v>
      </c>
      <c r="P383" s="16" t="s">
        <v>334</v>
      </c>
      <c r="Q383" s="16" t="s">
        <v>176</v>
      </c>
      <c r="R383" s="11" t="s">
        <v>177</v>
      </c>
      <c r="S383" s="11"/>
      <c r="T383" s="159"/>
      <c r="U383" s="159"/>
      <c r="V383" s="19"/>
      <c r="W383" s="19"/>
      <c r="X383" s="1"/>
      <c r="Y383" s="160"/>
      <c r="Z383" s="70"/>
      <c r="AA383" s="70"/>
      <c r="AB383" s="1"/>
      <c r="AC383" s="107"/>
      <c r="AD383" s="202"/>
      <c r="AE383" s="202"/>
      <c r="AF383" s="203"/>
      <c r="AG383" s="204"/>
      <c r="AH383" s="205"/>
      <c r="AI383" s="205"/>
      <c r="AJ383" s="81" t="s">
        <v>198</v>
      </c>
      <c r="AK383" s="81" t="s">
        <v>185</v>
      </c>
      <c r="AL383" s="81" t="s">
        <v>185</v>
      </c>
      <c r="AM383" s="107"/>
      <c r="AN383" s="20">
        <v>182</v>
      </c>
      <c r="AO383" s="20">
        <v>0</v>
      </c>
      <c r="AP383" s="20">
        <v>0</v>
      </c>
      <c r="AQ383" s="20">
        <v>0</v>
      </c>
      <c r="AR383" s="20">
        <v>0</v>
      </c>
      <c r="AS383" s="20">
        <v>7</v>
      </c>
      <c r="AT383" s="20">
        <v>10</v>
      </c>
      <c r="AU383" s="300">
        <f t="shared" si="56"/>
        <v>199</v>
      </c>
      <c r="AV383" s="20">
        <v>190</v>
      </c>
      <c r="AW383" s="20">
        <v>0</v>
      </c>
      <c r="AX383" s="20">
        <v>0</v>
      </c>
      <c r="AY383" s="20">
        <v>0</v>
      </c>
      <c r="AZ383" s="20">
        <v>0</v>
      </c>
      <c r="BA383" s="20">
        <v>7</v>
      </c>
      <c r="BB383" s="20">
        <v>10</v>
      </c>
      <c r="BC383" s="300">
        <f t="shared" si="57"/>
        <v>207</v>
      </c>
      <c r="BD383" s="42">
        <f t="shared" si="58"/>
        <v>8</v>
      </c>
      <c r="BE383" s="42">
        <f t="shared" si="59"/>
        <v>0</v>
      </c>
      <c r="BF383" s="42">
        <f t="shared" si="60"/>
        <v>0</v>
      </c>
      <c r="BG383" s="42">
        <f t="shared" si="61"/>
        <v>0</v>
      </c>
      <c r="BH383" s="42">
        <f t="shared" si="62"/>
        <v>0</v>
      </c>
      <c r="BI383" s="42">
        <f t="shared" si="63"/>
        <v>0</v>
      </c>
      <c r="BJ383" s="42">
        <f t="shared" si="64"/>
        <v>0</v>
      </c>
      <c r="BK383" s="42">
        <f t="shared" si="65"/>
        <v>8</v>
      </c>
    </row>
    <row r="384" spans="1:63" ht="27" customHeight="1">
      <c r="A384" s="11">
        <f t="shared" si="66"/>
        <v>382</v>
      </c>
      <c r="B384" s="12"/>
      <c r="C384" s="8">
        <v>2583</v>
      </c>
      <c r="D384" s="103" t="s">
        <v>2658</v>
      </c>
      <c r="E384" s="201" t="s">
        <v>2659</v>
      </c>
      <c r="F384" s="218" t="s">
        <v>2660</v>
      </c>
      <c r="G384" s="219" t="s">
        <v>2661</v>
      </c>
      <c r="H384" s="24" t="s">
        <v>348</v>
      </c>
      <c r="I384" s="25" t="s">
        <v>2662</v>
      </c>
      <c r="J384" s="82" t="s">
        <v>173</v>
      </c>
      <c r="K384" s="26">
        <v>32372</v>
      </c>
      <c r="L384" s="66" t="s">
        <v>174</v>
      </c>
      <c r="M384" s="23">
        <v>43800</v>
      </c>
      <c r="N384" s="23">
        <v>43442</v>
      </c>
      <c r="O384" s="23" t="s">
        <v>32</v>
      </c>
      <c r="P384" s="16" t="s">
        <v>25</v>
      </c>
      <c r="Q384" s="16" t="s">
        <v>176</v>
      </c>
      <c r="R384" s="11" t="s">
        <v>177</v>
      </c>
      <c r="S384" s="11"/>
      <c r="T384" s="159"/>
      <c r="U384" s="159"/>
      <c r="V384" s="19"/>
      <c r="W384" s="19"/>
      <c r="X384" s="1"/>
      <c r="Y384" s="160"/>
      <c r="Z384" s="70"/>
      <c r="AA384" s="70" t="s">
        <v>181</v>
      </c>
      <c r="AB384" s="1"/>
      <c r="AC384" s="107"/>
      <c r="AD384" s="202"/>
      <c r="AE384" s="202"/>
      <c r="AF384" s="203"/>
      <c r="AG384" s="204"/>
      <c r="AH384" s="205"/>
      <c r="AI384" s="205"/>
      <c r="AJ384" s="81" t="s">
        <v>198</v>
      </c>
      <c r="AK384" s="81" t="s">
        <v>185</v>
      </c>
      <c r="AL384" s="81" t="s">
        <v>185</v>
      </c>
      <c r="AM384" s="72" t="s">
        <v>2349</v>
      </c>
      <c r="AN384" s="20">
        <v>182</v>
      </c>
      <c r="AO384" s="20">
        <v>0</v>
      </c>
      <c r="AP384" s="20">
        <v>0</v>
      </c>
      <c r="AQ384" s="20">
        <v>0</v>
      </c>
      <c r="AR384" s="20">
        <v>0</v>
      </c>
      <c r="AS384" s="20">
        <v>7</v>
      </c>
      <c r="AT384" s="20">
        <v>10</v>
      </c>
      <c r="AU384" s="300">
        <f t="shared" si="56"/>
        <v>199</v>
      </c>
      <c r="AV384" s="20">
        <v>190</v>
      </c>
      <c r="AW384" s="20">
        <v>0</v>
      </c>
      <c r="AX384" s="20">
        <v>0</v>
      </c>
      <c r="AY384" s="20">
        <v>0</v>
      </c>
      <c r="AZ384" s="20">
        <v>0</v>
      </c>
      <c r="BA384" s="20">
        <v>7</v>
      </c>
      <c r="BB384" s="20">
        <v>10</v>
      </c>
      <c r="BC384" s="300">
        <f t="shared" si="57"/>
        <v>207</v>
      </c>
      <c r="BD384" s="42">
        <f t="shared" si="58"/>
        <v>8</v>
      </c>
      <c r="BE384" s="42">
        <f t="shared" si="59"/>
        <v>0</v>
      </c>
      <c r="BF384" s="42">
        <f t="shared" si="60"/>
        <v>0</v>
      </c>
      <c r="BG384" s="42">
        <f t="shared" si="61"/>
        <v>0</v>
      </c>
      <c r="BH384" s="42">
        <f t="shared" si="62"/>
        <v>0</v>
      </c>
      <c r="BI384" s="42">
        <f t="shared" si="63"/>
        <v>0</v>
      </c>
      <c r="BJ384" s="42">
        <f t="shared" si="64"/>
        <v>0</v>
      </c>
      <c r="BK384" s="42">
        <f t="shared" si="65"/>
        <v>8</v>
      </c>
    </row>
    <row r="385" spans="1:63" ht="27" customHeight="1">
      <c r="A385" s="11">
        <f t="shared" si="66"/>
        <v>383</v>
      </c>
      <c r="B385" s="12"/>
      <c r="C385" s="8">
        <v>2887</v>
      </c>
      <c r="D385" s="103" t="s">
        <v>2663</v>
      </c>
      <c r="E385" s="201" t="s">
        <v>2664</v>
      </c>
      <c r="F385" s="218" t="s">
        <v>2665</v>
      </c>
      <c r="G385" s="219" t="s">
        <v>2666</v>
      </c>
      <c r="H385" s="24" t="s">
        <v>2667</v>
      </c>
      <c r="I385" s="25" t="s">
        <v>2668</v>
      </c>
      <c r="J385" s="82" t="s">
        <v>173</v>
      </c>
      <c r="K385" s="26">
        <v>31140</v>
      </c>
      <c r="L385" s="66" t="s">
        <v>174</v>
      </c>
      <c r="M385" s="154">
        <v>43770</v>
      </c>
      <c r="N385" s="23">
        <v>43588</v>
      </c>
      <c r="O385" s="23" t="s">
        <v>32</v>
      </c>
      <c r="P385" s="16" t="s">
        <v>304</v>
      </c>
      <c r="Q385" s="16" t="s">
        <v>176</v>
      </c>
      <c r="R385" s="11" t="s">
        <v>177</v>
      </c>
      <c r="S385" s="11" t="s">
        <v>2425</v>
      </c>
      <c r="T385" s="159"/>
      <c r="U385" s="159"/>
      <c r="V385" s="19" t="s">
        <v>195</v>
      </c>
      <c r="W385" s="19" t="s">
        <v>195</v>
      </c>
      <c r="X385" s="1">
        <v>6</v>
      </c>
      <c r="Y385" s="160" t="s">
        <v>2669</v>
      </c>
      <c r="Z385" s="70"/>
      <c r="AA385" s="70"/>
      <c r="AB385" s="1"/>
      <c r="AC385" s="107"/>
      <c r="AD385" s="202"/>
      <c r="AE385" s="202"/>
      <c r="AF385" s="203"/>
      <c r="AG385" s="204"/>
      <c r="AH385" s="205"/>
      <c r="AI385" s="205"/>
      <c r="AJ385" s="81" t="s">
        <v>198</v>
      </c>
      <c r="AK385" s="81" t="s">
        <v>185</v>
      </c>
      <c r="AL385" s="81" t="s">
        <v>185</v>
      </c>
      <c r="AM385" s="72" t="s">
        <v>2349</v>
      </c>
      <c r="AN385" s="20">
        <v>182</v>
      </c>
      <c r="AO385" s="20">
        <v>0</v>
      </c>
      <c r="AP385" s="20">
        <v>0</v>
      </c>
      <c r="AQ385" s="20">
        <v>0</v>
      </c>
      <c r="AR385" s="20">
        <v>0</v>
      </c>
      <c r="AS385" s="20">
        <v>7</v>
      </c>
      <c r="AT385" s="20">
        <v>10</v>
      </c>
      <c r="AU385" s="300">
        <f t="shared" si="56"/>
        <v>199</v>
      </c>
      <c r="AV385" s="20">
        <v>190</v>
      </c>
      <c r="AW385" s="20">
        <v>0</v>
      </c>
      <c r="AX385" s="20">
        <v>0</v>
      </c>
      <c r="AY385" s="20">
        <v>0</v>
      </c>
      <c r="AZ385" s="20">
        <v>0</v>
      </c>
      <c r="BA385" s="20">
        <v>7</v>
      </c>
      <c r="BB385" s="20">
        <v>10</v>
      </c>
      <c r="BC385" s="300">
        <f t="shared" si="57"/>
        <v>207</v>
      </c>
      <c r="BD385" s="42">
        <f t="shared" si="58"/>
        <v>8</v>
      </c>
      <c r="BE385" s="42">
        <f t="shared" si="59"/>
        <v>0</v>
      </c>
      <c r="BF385" s="42">
        <f t="shared" si="60"/>
        <v>0</v>
      </c>
      <c r="BG385" s="42">
        <f t="shared" si="61"/>
        <v>0</v>
      </c>
      <c r="BH385" s="42">
        <f t="shared" si="62"/>
        <v>0</v>
      </c>
      <c r="BI385" s="42">
        <f t="shared" si="63"/>
        <v>0</v>
      </c>
      <c r="BJ385" s="42">
        <f t="shared" si="64"/>
        <v>0</v>
      </c>
      <c r="BK385" s="42">
        <f t="shared" si="65"/>
        <v>8</v>
      </c>
    </row>
    <row r="386" spans="1:63" ht="27" customHeight="1">
      <c r="A386" s="11">
        <f t="shared" si="66"/>
        <v>384</v>
      </c>
      <c r="B386" s="12"/>
      <c r="C386" s="8">
        <v>2921</v>
      </c>
      <c r="D386" s="103" t="s">
        <v>2670</v>
      </c>
      <c r="E386" s="201" t="s">
        <v>291</v>
      </c>
      <c r="F386" s="218" t="s">
        <v>1173</v>
      </c>
      <c r="G386" s="219" t="s">
        <v>2671</v>
      </c>
      <c r="H386" s="24" t="s">
        <v>99</v>
      </c>
      <c r="I386" s="25" t="s">
        <v>100</v>
      </c>
      <c r="J386" s="82" t="s">
        <v>173</v>
      </c>
      <c r="K386" s="26">
        <v>33074</v>
      </c>
      <c r="L386" s="66" t="s">
        <v>174</v>
      </c>
      <c r="M386" s="23">
        <v>43608</v>
      </c>
      <c r="N386" s="23"/>
      <c r="O386" s="23" t="s">
        <v>32</v>
      </c>
      <c r="P386" s="16" t="s">
        <v>80</v>
      </c>
      <c r="Q386" s="16" t="s">
        <v>176</v>
      </c>
      <c r="R386" s="11" t="s">
        <v>177</v>
      </c>
      <c r="S386" s="11"/>
      <c r="T386" s="159"/>
      <c r="U386" s="159"/>
      <c r="V386" s="19"/>
      <c r="W386" s="19"/>
      <c r="X386" s="1"/>
      <c r="Y386" s="160"/>
      <c r="Z386" s="70"/>
      <c r="AA386" s="70"/>
      <c r="AB386" s="1"/>
      <c r="AC386" s="107"/>
      <c r="AD386" s="202"/>
      <c r="AE386" s="202"/>
      <c r="AF386" s="203"/>
      <c r="AG386" s="204"/>
      <c r="AH386" s="205"/>
      <c r="AI386" s="205"/>
      <c r="AJ386" s="81" t="s">
        <v>198</v>
      </c>
      <c r="AK386" s="81" t="s">
        <v>185</v>
      </c>
      <c r="AL386" s="81" t="s">
        <v>185</v>
      </c>
      <c r="AM386" s="72" t="s">
        <v>2349</v>
      </c>
      <c r="AN386" s="20">
        <v>182</v>
      </c>
      <c r="AO386" s="20">
        <v>0</v>
      </c>
      <c r="AP386" s="20">
        <v>0</v>
      </c>
      <c r="AQ386" s="20">
        <v>26</v>
      </c>
      <c r="AR386" s="20">
        <v>0</v>
      </c>
      <c r="AS386" s="20">
        <v>7</v>
      </c>
      <c r="AT386" s="20">
        <v>10</v>
      </c>
      <c r="AU386" s="300">
        <f t="shared" si="56"/>
        <v>225</v>
      </c>
      <c r="AV386" s="20">
        <v>190</v>
      </c>
      <c r="AW386" s="20">
        <v>0</v>
      </c>
      <c r="AX386" s="20">
        <v>0</v>
      </c>
      <c r="AY386" s="20">
        <v>26</v>
      </c>
      <c r="AZ386" s="20">
        <v>0</v>
      </c>
      <c r="BA386" s="20">
        <v>7</v>
      </c>
      <c r="BB386" s="20">
        <v>10</v>
      </c>
      <c r="BC386" s="300">
        <f t="shared" si="57"/>
        <v>233</v>
      </c>
      <c r="BD386" s="42">
        <f t="shared" si="58"/>
        <v>8</v>
      </c>
      <c r="BE386" s="42">
        <f t="shared" si="59"/>
        <v>0</v>
      </c>
      <c r="BF386" s="42">
        <f t="shared" si="60"/>
        <v>0</v>
      </c>
      <c r="BG386" s="42">
        <f t="shared" si="61"/>
        <v>0</v>
      </c>
      <c r="BH386" s="42">
        <f t="shared" si="62"/>
        <v>0</v>
      </c>
      <c r="BI386" s="42">
        <f t="shared" si="63"/>
        <v>0</v>
      </c>
      <c r="BJ386" s="42">
        <f t="shared" si="64"/>
        <v>0</v>
      </c>
      <c r="BK386" s="42">
        <f t="shared" si="65"/>
        <v>8</v>
      </c>
    </row>
    <row r="387" spans="1:63" ht="27" customHeight="1">
      <c r="A387" s="11">
        <f t="shared" si="66"/>
        <v>385</v>
      </c>
      <c r="B387" s="12"/>
      <c r="C387" s="8">
        <v>2897</v>
      </c>
      <c r="D387" s="103" t="s">
        <v>2672</v>
      </c>
      <c r="E387" s="201" t="s">
        <v>2673</v>
      </c>
      <c r="F387" s="218" t="s">
        <v>2674</v>
      </c>
      <c r="G387" s="219" t="s">
        <v>848</v>
      </c>
      <c r="H387" s="24" t="s">
        <v>2675</v>
      </c>
      <c r="I387" s="25" t="s">
        <v>2676</v>
      </c>
      <c r="J387" s="82" t="s">
        <v>173</v>
      </c>
      <c r="K387" s="26">
        <v>31505</v>
      </c>
      <c r="L387" s="66" t="s">
        <v>174</v>
      </c>
      <c r="M387" s="154">
        <v>43770</v>
      </c>
      <c r="N387" s="23">
        <v>43589</v>
      </c>
      <c r="O387" s="23" t="s">
        <v>32</v>
      </c>
      <c r="P387" s="16" t="s">
        <v>277</v>
      </c>
      <c r="Q387" s="16" t="s">
        <v>244</v>
      </c>
      <c r="R387" s="11" t="s">
        <v>177</v>
      </c>
      <c r="S387" s="11" t="s">
        <v>2354</v>
      </c>
      <c r="T387" s="159"/>
      <c r="U387" s="159"/>
      <c r="V387" s="19" t="s">
        <v>195</v>
      </c>
      <c r="W387" s="19" t="s">
        <v>195</v>
      </c>
      <c r="X387" s="1">
        <v>5</v>
      </c>
      <c r="Y387" s="160" t="s">
        <v>2677</v>
      </c>
      <c r="Z387" s="70"/>
      <c r="AA387" s="70" t="s">
        <v>181</v>
      </c>
      <c r="AB387" s="1"/>
      <c r="AC387" s="107"/>
      <c r="AD387" s="202"/>
      <c r="AE387" s="202"/>
      <c r="AF387" s="203"/>
      <c r="AG387" s="204"/>
      <c r="AH387" s="205"/>
      <c r="AI387" s="205"/>
      <c r="AJ387" s="81" t="s">
        <v>198</v>
      </c>
      <c r="AK387" s="81" t="s">
        <v>185</v>
      </c>
      <c r="AL387" s="81" t="s">
        <v>185</v>
      </c>
      <c r="AM387" s="72" t="s">
        <v>2349</v>
      </c>
      <c r="AN387" s="20">
        <v>182</v>
      </c>
      <c r="AO387" s="20">
        <v>0</v>
      </c>
      <c r="AP387" s="20">
        <v>20</v>
      </c>
      <c r="AQ387" s="20">
        <v>0</v>
      </c>
      <c r="AR387" s="20">
        <v>0</v>
      </c>
      <c r="AS387" s="20">
        <v>7</v>
      </c>
      <c r="AT387" s="20">
        <v>10</v>
      </c>
      <c r="AU387" s="300">
        <f t="shared" si="56"/>
        <v>219</v>
      </c>
      <c r="AV387" s="20">
        <v>190</v>
      </c>
      <c r="AW387" s="20">
        <v>0</v>
      </c>
      <c r="AX387" s="20">
        <v>20</v>
      </c>
      <c r="AY387" s="20">
        <v>0</v>
      </c>
      <c r="AZ387" s="20">
        <v>0</v>
      </c>
      <c r="BA387" s="20">
        <v>7</v>
      </c>
      <c r="BB387" s="20">
        <v>10</v>
      </c>
      <c r="BC387" s="300">
        <f t="shared" si="57"/>
        <v>227</v>
      </c>
      <c r="BD387" s="42">
        <f t="shared" si="58"/>
        <v>8</v>
      </c>
      <c r="BE387" s="42">
        <f t="shared" si="59"/>
        <v>0</v>
      </c>
      <c r="BF387" s="42">
        <f t="shared" si="60"/>
        <v>0</v>
      </c>
      <c r="BG387" s="42">
        <f t="shared" si="61"/>
        <v>0</v>
      </c>
      <c r="BH387" s="42">
        <f t="shared" si="62"/>
        <v>0</v>
      </c>
      <c r="BI387" s="42">
        <f t="shared" si="63"/>
        <v>0</v>
      </c>
      <c r="BJ387" s="42">
        <f t="shared" si="64"/>
        <v>0</v>
      </c>
      <c r="BK387" s="42">
        <f t="shared" si="65"/>
        <v>8</v>
      </c>
    </row>
    <row r="388" spans="1:63" ht="27" customHeight="1">
      <c r="A388" s="11">
        <f t="shared" si="66"/>
        <v>386</v>
      </c>
      <c r="B388" s="12"/>
      <c r="C388" s="8">
        <v>2868</v>
      </c>
      <c r="D388" s="103">
        <v>0</v>
      </c>
      <c r="E388" s="201" t="s">
        <v>2678</v>
      </c>
      <c r="F388" s="218" t="s">
        <v>2679</v>
      </c>
      <c r="G388" s="219" t="s">
        <v>2680</v>
      </c>
      <c r="H388" s="24" t="s">
        <v>2390</v>
      </c>
      <c r="I388" s="25" t="s">
        <v>2681</v>
      </c>
      <c r="J388" s="82" t="s">
        <v>173</v>
      </c>
      <c r="K388" s="26">
        <v>31557</v>
      </c>
      <c r="L388" s="66" t="s">
        <v>174</v>
      </c>
      <c r="M388" s="154">
        <v>43770</v>
      </c>
      <c r="N388" s="23">
        <v>43586</v>
      </c>
      <c r="O388" s="23" t="s">
        <v>32</v>
      </c>
      <c r="P388" s="16" t="s">
        <v>631</v>
      </c>
      <c r="Q388" s="16" t="s">
        <v>176</v>
      </c>
      <c r="R388" s="11" t="s">
        <v>177</v>
      </c>
      <c r="S388" s="11" t="s">
        <v>2425</v>
      </c>
      <c r="T388" s="159"/>
      <c r="U388" s="159"/>
      <c r="V388" s="19" t="s">
        <v>195</v>
      </c>
      <c r="W388" s="19" t="s">
        <v>195</v>
      </c>
      <c r="X388" s="1">
        <v>9</v>
      </c>
      <c r="Y388" s="160" t="s">
        <v>2682</v>
      </c>
      <c r="Z388" s="70"/>
      <c r="AA388" s="70" t="s">
        <v>181</v>
      </c>
      <c r="AB388" s="1"/>
      <c r="AC388" s="107"/>
      <c r="AD388" s="202"/>
      <c r="AE388" s="202"/>
      <c r="AF388" s="203"/>
      <c r="AG388" s="204"/>
      <c r="AH388" s="205"/>
      <c r="AI388" s="205"/>
      <c r="AJ388" s="81" t="s">
        <v>198</v>
      </c>
      <c r="AK388" s="81" t="s">
        <v>185</v>
      </c>
      <c r="AL388" s="81" t="s">
        <v>185</v>
      </c>
      <c r="AM388" s="72" t="s">
        <v>2349</v>
      </c>
      <c r="AN388" s="20">
        <v>182</v>
      </c>
      <c r="AO388" s="20">
        <v>0</v>
      </c>
      <c r="AP388" s="20">
        <v>0</v>
      </c>
      <c r="AQ388" s="20">
        <v>0</v>
      </c>
      <c r="AR388" s="20">
        <v>0</v>
      </c>
      <c r="AS388" s="20">
        <v>7</v>
      </c>
      <c r="AT388" s="20">
        <v>10</v>
      </c>
      <c r="AU388" s="300">
        <f t="shared" ref="AU388:AU451" si="67">SUM(AN388:AT388)</f>
        <v>199</v>
      </c>
      <c r="AV388" s="20">
        <v>190</v>
      </c>
      <c r="AW388" s="20">
        <v>0</v>
      </c>
      <c r="AX388" s="20">
        <v>0</v>
      </c>
      <c r="AY388" s="20">
        <v>0</v>
      </c>
      <c r="AZ388" s="20">
        <v>0</v>
      </c>
      <c r="BA388" s="20">
        <v>7</v>
      </c>
      <c r="BB388" s="20">
        <v>10</v>
      </c>
      <c r="BC388" s="300">
        <f t="shared" ref="BC388:BC451" si="68">SUM(AV388:BB388)</f>
        <v>207</v>
      </c>
      <c r="BD388" s="42">
        <f t="shared" ref="BD388:BD451" si="69">AV388-AN388</f>
        <v>8</v>
      </c>
      <c r="BE388" s="42">
        <f t="shared" ref="BE388:BE451" si="70">AW388-AO388</f>
        <v>0</v>
      </c>
      <c r="BF388" s="42">
        <f t="shared" ref="BF388:BF451" si="71">AX388-AP388</f>
        <v>0</v>
      </c>
      <c r="BG388" s="42">
        <f t="shared" ref="BG388:BG451" si="72">AY388-AQ388</f>
        <v>0</v>
      </c>
      <c r="BH388" s="42">
        <f t="shared" ref="BH388:BH451" si="73">AZ388-AR388</f>
        <v>0</v>
      </c>
      <c r="BI388" s="42">
        <f t="shared" ref="BI388:BI451" si="74">BA388-AS388</f>
        <v>0</v>
      </c>
      <c r="BJ388" s="42">
        <f t="shared" ref="BJ388:BJ451" si="75">BB388-AT388</f>
        <v>0</v>
      </c>
      <c r="BK388" s="42">
        <f t="shared" ref="BK388:BK451" si="76">BC388-AU388</f>
        <v>8</v>
      </c>
    </row>
    <row r="389" spans="1:63" ht="27" customHeight="1">
      <c r="A389" s="11">
        <f t="shared" ref="A389:A452" si="77">1+A388</f>
        <v>387</v>
      </c>
      <c r="B389" s="12"/>
      <c r="C389" s="8">
        <v>2898</v>
      </c>
      <c r="D389" s="103" t="s">
        <v>2683</v>
      </c>
      <c r="E389" s="201" t="s">
        <v>2684</v>
      </c>
      <c r="F389" s="218" t="s">
        <v>1791</v>
      </c>
      <c r="G389" s="219" t="s">
        <v>2685</v>
      </c>
      <c r="H389" s="24" t="s">
        <v>2108</v>
      </c>
      <c r="I389" s="25" t="s">
        <v>2686</v>
      </c>
      <c r="J389" s="82" t="s">
        <v>173</v>
      </c>
      <c r="K389" s="26">
        <v>36267</v>
      </c>
      <c r="L389" s="66" t="s">
        <v>174</v>
      </c>
      <c r="M389" s="154">
        <v>43770</v>
      </c>
      <c r="N389" s="23">
        <v>43592</v>
      </c>
      <c r="O389" s="23" t="s">
        <v>32</v>
      </c>
      <c r="P389" s="16" t="s">
        <v>381</v>
      </c>
      <c r="Q389" s="16" t="s">
        <v>176</v>
      </c>
      <c r="R389" s="11" t="s">
        <v>177</v>
      </c>
      <c r="S389" s="11" t="s">
        <v>2425</v>
      </c>
      <c r="T389" s="159"/>
      <c r="U389" s="159"/>
      <c r="V389" s="19" t="s">
        <v>179</v>
      </c>
      <c r="W389" s="19" t="s">
        <v>195</v>
      </c>
      <c r="X389" s="1" t="s">
        <v>179</v>
      </c>
      <c r="Y389" s="160" t="s">
        <v>2687</v>
      </c>
      <c r="Z389" s="70"/>
      <c r="AA389" s="70" t="s">
        <v>181</v>
      </c>
      <c r="AB389" s="1"/>
      <c r="AC389" s="107"/>
      <c r="AD389" s="202"/>
      <c r="AE389" s="202"/>
      <c r="AF389" s="203"/>
      <c r="AG389" s="204"/>
      <c r="AH389" s="205"/>
      <c r="AI389" s="205"/>
      <c r="AJ389" s="81" t="s">
        <v>198</v>
      </c>
      <c r="AK389" s="81" t="s">
        <v>185</v>
      </c>
      <c r="AL389" s="81" t="s">
        <v>185</v>
      </c>
      <c r="AM389" s="72" t="s">
        <v>2349</v>
      </c>
      <c r="AN389" s="20">
        <v>182</v>
      </c>
      <c r="AO389" s="20">
        <v>0</v>
      </c>
      <c r="AP389" s="20">
        <v>0</v>
      </c>
      <c r="AQ389" s="20">
        <v>0</v>
      </c>
      <c r="AR389" s="20">
        <v>0</v>
      </c>
      <c r="AS389" s="20">
        <v>7</v>
      </c>
      <c r="AT389" s="20">
        <v>10</v>
      </c>
      <c r="AU389" s="300">
        <f t="shared" si="67"/>
        <v>199</v>
      </c>
      <c r="AV389" s="20">
        <v>190</v>
      </c>
      <c r="AW389" s="20">
        <v>0</v>
      </c>
      <c r="AX389" s="20">
        <v>0</v>
      </c>
      <c r="AY389" s="20">
        <v>0</v>
      </c>
      <c r="AZ389" s="20">
        <v>0</v>
      </c>
      <c r="BA389" s="20">
        <v>7</v>
      </c>
      <c r="BB389" s="20">
        <v>10</v>
      </c>
      <c r="BC389" s="300">
        <f t="shared" si="68"/>
        <v>207</v>
      </c>
      <c r="BD389" s="42">
        <f t="shared" si="69"/>
        <v>8</v>
      </c>
      <c r="BE389" s="42">
        <f t="shared" si="70"/>
        <v>0</v>
      </c>
      <c r="BF389" s="42">
        <f t="shared" si="71"/>
        <v>0</v>
      </c>
      <c r="BG389" s="42">
        <f t="shared" si="72"/>
        <v>0</v>
      </c>
      <c r="BH389" s="42">
        <f t="shared" si="73"/>
        <v>0</v>
      </c>
      <c r="BI389" s="42">
        <f t="shared" si="74"/>
        <v>0</v>
      </c>
      <c r="BJ389" s="42">
        <f t="shared" si="75"/>
        <v>0</v>
      </c>
      <c r="BK389" s="42">
        <f t="shared" si="76"/>
        <v>8</v>
      </c>
    </row>
    <row r="390" spans="1:63" ht="27" customHeight="1">
      <c r="A390" s="11">
        <f t="shared" si="77"/>
        <v>388</v>
      </c>
      <c r="B390" s="12"/>
      <c r="C390" s="8">
        <v>2920</v>
      </c>
      <c r="D390" s="103" t="s">
        <v>2688</v>
      </c>
      <c r="E390" s="201" t="s">
        <v>2689</v>
      </c>
      <c r="F390" s="218" t="s">
        <v>2690</v>
      </c>
      <c r="G390" s="219" t="s">
        <v>2691</v>
      </c>
      <c r="H390" s="24" t="s">
        <v>2692</v>
      </c>
      <c r="I390" s="25" t="s">
        <v>2693</v>
      </c>
      <c r="J390" s="82" t="s">
        <v>204</v>
      </c>
      <c r="K390" s="26">
        <v>30898</v>
      </c>
      <c r="L390" s="66" t="s">
        <v>174</v>
      </c>
      <c r="M390" s="23">
        <v>43800</v>
      </c>
      <c r="N390" s="23">
        <v>43612</v>
      </c>
      <c r="O390" s="23" t="s">
        <v>32</v>
      </c>
      <c r="P390" s="16" t="s">
        <v>556</v>
      </c>
      <c r="Q390" s="16" t="s">
        <v>176</v>
      </c>
      <c r="R390" s="11" t="s">
        <v>177</v>
      </c>
      <c r="S390" s="11" t="s">
        <v>2694</v>
      </c>
      <c r="T390" s="159"/>
      <c r="U390" s="159"/>
      <c r="V390" s="19" t="s">
        <v>179</v>
      </c>
      <c r="W390" s="19" t="s">
        <v>195</v>
      </c>
      <c r="X390" s="1">
        <v>6</v>
      </c>
      <c r="Y390" s="160" t="s">
        <v>2695</v>
      </c>
      <c r="Z390" s="70"/>
      <c r="AA390" s="70" t="s">
        <v>181</v>
      </c>
      <c r="AB390" s="1"/>
      <c r="AC390" s="107"/>
      <c r="AD390" s="202" t="s">
        <v>183</v>
      </c>
      <c r="AE390" s="203" t="s">
        <v>184</v>
      </c>
      <c r="AF390" s="203"/>
      <c r="AG390" s="204"/>
      <c r="AH390" s="205"/>
      <c r="AI390" s="205"/>
      <c r="AJ390" s="81" t="s">
        <v>198</v>
      </c>
      <c r="AK390" s="81" t="s">
        <v>185</v>
      </c>
      <c r="AL390" s="81" t="s">
        <v>185</v>
      </c>
      <c r="AM390" s="72" t="s">
        <v>2349</v>
      </c>
      <c r="AN390" s="20">
        <v>182</v>
      </c>
      <c r="AO390" s="20">
        <v>0</v>
      </c>
      <c r="AP390" s="20">
        <v>0</v>
      </c>
      <c r="AQ390" s="20">
        <v>0</v>
      </c>
      <c r="AR390" s="20">
        <v>0</v>
      </c>
      <c r="AS390" s="20">
        <v>7</v>
      </c>
      <c r="AT390" s="20">
        <v>10</v>
      </c>
      <c r="AU390" s="300">
        <f t="shared" si="67"/>
        <v>199</v>
      </c>
      <c r="AV390" s="20">
        <v>190</v>
      </c>
      <c r="AW390" s="20">
        <v>0</v>
      </c>
      <c r="AX390" s="20">
        <v>0</v>
      </c>
      <c r="AY390" s="20">
        <v>0</v>
      </c>
      <c r="AZ390" s="20">
        <v>0</v>
      </c>
      <c r="BA390" s="20">
        <v>7</v>
      </c>
      <c r="BB390" s="20">
        <v>10</v>
      </c>
      <c r="BC390" s="300">
        <f t="shared" si="68"/>
        <v>207</v>
      </c>
      <c r="BD390" s="42">
        <f t="shared" si="69"/>
        <v>8</v>
      </c>
      <c r="BE390" s="42">
        <f t="shared" si="70"/>
        <v>0</v>
      </c>
      <c r="BF390" s="42">
        <f t="shared" si="71"/>
        <v>0</v>
      </c>
      <c r="BG390" s="42">
        <f t="shared" si="72"/>
        <v>0</v>
      </c>
      <c r="BH390" s="42">
        <f t="shared" si="73"/>
        <v>0</v>
      </c>
      <c r="BI390" s="42">
        <f t="shared" si="74"/>
        <v>0</v>
      </c>
      <c r="BJ390" s="42">
        <f t="shared" si="75"/>
        <v>0</v>
      </c>
      <c r="BK390" s="42">
        <f t="shared" si="76"/>
        <v>8</v>
      </c>
    </row>
    <row r="391" spans="1:63" ht="27" customHeight="1">
      <c r="A391" s="11">
        <f t="shared" si="77"/>
        <v>389</v>
      </c>
      <c r="B391" s="12"/>
      <c r="C391" s="8">
        <v>2872</v>
      </c>
      <c r="D391" s="103" t="s">
        <v>2696</v>
      </c>
      <c r="E391" s="201" t="s">
        <v>2697</v>
      </c>
      <c r="F391" s="218" t="s">
        <v>2698</v>
      </c>
      <c r="G391" s="219" t="s">
        <v>1315</v>
      </c>
      <c r="H391" s="24" t="s">
        <v>2699</v>
      </c>
      <c r="I391" s="25" t="s">
        <v>2700</v>
      </c>
      <c r="J391" s="82" t="s">
        <v>173</v>
      </c>
      <c r="K391" s="26">
        <v>33004</v>
      </c>
      <c r="L391" s="66" t="s">
        <v>174</v>
      </c>
      <c r="M391" s="154">
        <v>43770</v>
      </c>
      <c r="N391" s="23">
        <v>43586</v>
      </c>
      <c r="O391" s="23" t="s">
        <v>32</v>
      </c>
      <c r="P391" s="16" t="s">
        <v>1276</v>
      </c>
      <c r="Q391" s="16" t="s">
        <v>176</v>
      </c>
      <c r="R391" s="11" t="s">
        <v>177</v>
      </c>
      <c r="S391" s="11" t="s">
        <v>2354</v>
      </c>
      <c r="T391" s="159"/>
      <c r="U391" s="159"/>
      <c r="V391" s="19" t="s">
        <v>179</v>
      </c>
      <c r="W391" s="19" t="s">
        <v>195</v>
      </c>
      <c r="X391" s="1">
        <v>6</v>
      </c>
      <c r="Y391" s="160" t="s">
        <v>179</v>
      </c>
      <c r="Z391" s="70"/>
      <c r="AA391" s="70" t="s">
        <v>181</v>
      </c>
      <c r="AB391" s="1"/>
      <c r="AC391" s="107"/>
      <c r="AD391" s="202" t="s">
        <v>183</v>
      </c>
      <c r="AE391" s="203" t="s">
        <v>184</v>
      </c>
      <c r="AF391" s="203"/>
      <c r="AG391" s="204"/>
      <c r="AH391" s="205"/>
      <c r="AI391" s="205"/>
      <c r="AJ391" s="81" t="s">
        <v>198</v>
      </c>
      <c r="AK391" s="81" t="s">
        <v>185</v>
      </c>
      <c r="AL391" s="81" t="s">
        <v>185</v>
      </c>
      <c r="AM391" s="72" t="s">
        <v>2349</v>
      </c>
      <c r="AN391" s="20">
        <v>182</v>
      </c>
      <c r="AO391" s="20">
        <v>0</v>
      </c>
      <c r="AP391" s="20">
        <v>20</v>
      </c>
      <c r="AQ391" s="20">
        <v>0</v>
      </c>
      <c r="AR391" s="20">
        <v>0</v>
      </c>
      <c r="AS391" s="20">
        <v>7</v>
      </c>
      <c r="AT391" s="20">
        <v>10</v>
      </c>
      <c r="AU391" s="300">
        <f t="shared" si="67"/>
        <v>219</v>
      </c>
      <c r="AV391" s="20">
        <v>190</v>
      </c>
      <c r="AW391" s="20">
        <v>0</v>
      </c>
      <c r="AX391" s="20">
        <v>20</v>
      </c>
      <c r="AY391" s="20">
        <v>0</v>
      </c>
      <c r="AZ391" s="20">
        <v>0</v>
      </c>
      <c r="BA391" s="20">
        <v>7</v>
      </c>
      <c r="BB391" s="20">
        <v>10</v>
      </c>
      <c r="BC391" s="300">
        <f t="shared" si="68"/>
        <v>227</v>
      </c>
      <c r="BD391" s="42">
        <f t="shared" si="69"/>
        <v>8</v>
      </c>
      <c r="BE391" s="42">
        <f t="shared" si="70"/>
        <v>0</v>
      </c>
      <c r="BF391" s="42">
        <f t="shared" si="71"/>
        <v>0</v>
      </c>
      <c r="BG391" s="42">
        <f t="shared" si="72"/>
        <v>0</v>
      </c>
      <c r="BH391" s="42">
        <f t="shared" si="73"/>
        <v>0</v>
      </c>
      <c r="BI391" s="42">
        <f t="shared" si="74"/>
        <v>0</v>
      </c>
      <c r="BJ391" s="42">
        <f t="shared" si="75"/>
        <v>0</v>
      </c>
      <c r="BK391" s="42">
        <f t="shared" si="76"/>
        <v>8</v>
      </c>
    </row>
    <row r="392" spans="1:63" ht="27" customHeight="1">
      <c r="A392" s="11">
        <f t="shared" si="77"/>
        <v>390</v>
      </c>
      <c r="B392" s="12"/>
      <c r="C392" s="8">
        <v>2883</v>
      </c>
      <c r="D392" s="103" t="s">
        <v>2701</v>
      </c>
      <c r="E392" s="201" t="s">
        <v>2702</v>
      </c>
      <c r="F392" s="218" t="s">
        <v>2305</v>
      </c>
      <c r="G392" s="219" t="s">
        <v>971</v>
      </c>
      <c r="H392" s="24" t="s">
        <v>2307</v>
      </c>
      <c r="I392" s="25" t="s">
        <v>2703</v>
      </c>
      <c r="J392" s="82" t="s">
        <v>173</v>
      </c>
      <c r="K392" s="26">
        <v>31140</v>
      </c>
      <c r="L392" s="66" t="s">
        <v>174</v>
      </c>
      <c r="M392" s="154">
        <v>43770</v>
      </c>
      <c r="N392" s="23">
        <v>43588</v>
      </c>
      <c r="O392" s="23" t="s">
        <v>32</v>
      </c>
      <c r="P392" s="16" t="s">
        <v>222</v>
      </c>
      <c r="Q392" s="16" t="s">
        <v>176</v>
      </c>
      <c r="R392" s="11" t="s">
        <v>177</v>
      </c>
      <c r="S392" s="11" t="s">
        <v>2392</v>
      </c>
      <c r="T392" s="159"/>
      <c r="U392" s="159"/>
      <c r="V392" s="19" t="s">
        <v>195</v>
      </c>
      <c r="W392" s="19" t="s">
        <v>179</v>
      </c>
      <c r="X392" s="1" t="s">
        <v>179</v>
      </c>
      <c r="Y392" s="160" t="s">
        <v>2704</v>
      </c>
      <c r="Z392" s="70"/>
      <c r="AA392" s="70" t="s">
        <v>181</v>
      </c>
      <c r="AB392" s="1"/>
      <c r="AC392" s="107"/>
      <c r="AD392" s="202" t="s">
        <v>183</v>
      </c>
      <c r="AE392" s="203" t="s">
        <v>184</v>
      </c>
      <c r="AF392" s="203"/>
      <c r="AG392" s="204"/>
      <c r="AH392" s="205"/>
      <c r="AI392" s="205"/>
      <c r="AJ392" s="81" t="s">
        <v>198</v>
      </c>
      <c r="AK392" s="81" t="s">
        <v>185</v>
      </c>
      <c r="AL392" s="81" t="s">
        <v>185</v>
      </c>
      <c r="AM392" s="72" t="s">
        <v>2349</v>
      </c>
      <c r="AN392" s="20">
        <v>182</v>
      </c>
      <c r="AO392" s="20">
        <v>0</v>
      </c>
      <c r="AP392" s="20">
        <v>0</v>
      </c>
      <c r="AQ392" s="20">
        <v>0</v>
      </c>
      <c r="AR392" s="20">
        <v>0</v>
      </c>
      <c r="AS392" s="20">
        <v>7</v>
      </c>
      <c r="AT392" s="20">
        <v>10</v>
      </c>
      <c r="AU392" s="300">
        <f t="shared" si="67"/>
        <v>199</v>
      </c>
      <c r="AV392" s="20">
        <v>190</v>
      </c>
      <c r="AW392" s="20">
        <v>0</v>
      </c>
      <c r="AX392" s="20">
        <v>0</v>
      </c>
      <c r="AY392" s="20">
        <v>0</v>
      </c>
      <c r="AZ392" s="20">
        <v>0</v>
      </c>
      <c r="BA392" s="20">
        <v>7</v>
      </c>
      <c r="BB392" s="20">
        <v>10</v>
      </c>
      <c r="BC392" s="300">
        <f t="shared" si="68"/>
        <v>207</v>
      </c>
      <c r="BD392" s="42">
        <f t="shared" si="69"/>
        <v>8</v>
      </c>
      <c r="BE392" s="42">
        <f t="shared" si="70"/>
        <v>0</v>
      </c>
      <c r="BF392" s="42">
        <f t="shared" si="71"/>
        <v>0</v>
      </c>
      <c r="BG392" s="42">
        <f t="shared" si="72"/>
        <v>0</v>
      </c>
      <c r="BH392" s="42">
        <f t="shared" si="73"/>
        <v>0</v>
      </c>
      <c r="BI392" s="42">
        <f t="shared" si="74"/>
        <v>0</v>
      </c>
      <c r="BJ392" s="42">
        <f t="shared" si="75"/>
        <v>0</v>
      </c>
      <c r="BK392" s="42">
        <f t="shared" si="76"/>
        <v>8</v>
      </c>
    </row>
    <row r="393" spans="1:63" ht="27" customHeight="1">
      <c r="A393" s="11">
        <f t="shared" si="77"/>
        <v>391</v>
      </c>
      <c r="B393" s="12"/>
      <c r="C393" s="8">
        <v>2876</v>
      </c>
      <c r="D393" s="103" t="s">
        <v>2705</v>
      </c>
      <c r="E393" s="201" t="s">
        <v>2706</v>
      </c>
      <c r="F393" s="218" t="s">
        <v>522</v>
      </c>
      <c r="G393" s="219" t="s">
        <v>2707</v>
      </c>
      <c r="H393" s="24" t="s">
        <v>89</v>
      </c>
      <c r="I393" s="25" t="s">
        <v>90</v>
      </c>
      <c r="J393" s="82" t="s">
        <v>173</v>
      </c>
      <c r="K393" s="26">
        <v>32108</v>
      </c>
      <c r="L393" s="66" t="s">
        <v>174</v>
      </c>
      <c r="M393" s="154">
        <v>43770</v>
      </c>
      <c r="N393" s="23">
        <v>43586</v>
      </c>
      <c r="O393" s="23" t="s">
        <v>32</v>
      </c>
      <c r="P393" s="16" t="s">
        <v>83</v>
      </c>
      <c r="Q393" s="16" t="s">
        <v>176</v>
      </c>
      <c r="R393" s="11" t="s">
        <v>177</v>
      </c>
      <c r="S393" s="11" t="s">
        <v>2354</v>
      </c>
      <c r="T393" s="159"/>
      <c r="U393" s="159"/>
      <c r="V393" s="19" t="s">
        <v>179</v>
      </c>
      <c r="W393" s="19" t="s">
        <v>195</v>
      </c>
      <c r="X393" s="1">
        <v>5</v>
      </c>
      <c r="Y393" s="160" t="s">
        <v>2708</v>
      </c>
      <c r="Z393" s="70"/>
      <c r="AA393" s="70" t="s">
        <v>181</v>
      </c>
      <c r="AB393" s="1"/>
      <c r="AC393" s="107"/>
      <c r="AD393" s="202" t="s">
        <v>183</v>
      </c>
      <c r="AE393" s="203" t="s">
        <v>184</v>
      </c>
      <c r="AF393" s="203"/>
      <c r="AG393" s="204"/>
      <c r="AH393" s="205"/>
      <c r="AI393" s="205"/>
      <c r="AJ393" s="81" t="s">
        <v>198</v>
      </c>
      <c r="AK393" s="81" t="s">
        <v>185</v>
      </c>
      <c r="AL393" s="81" t="s">
        <v>185</v>
      </c>
      <c r="AM393" s="72" t="s">
        <v>2349</v>
      </c>
      <c r="AN393" s="20">
        <v>182</v>
      </c>
      <c r="AO393" s="20">
        <v>0</v>
      </c>
      <c r="AP393" s="20">
        <v>0</v>
      </c>
      <c r="AQ393" s="20">
        <v>15</v>
      </c>
      <c r="AR393" s="20">
        <v>0</v>
      </c>
      <c r="AS393" s="20">
        <v>7</v>
      </c>
      <c r="AT393" s="20">
        <v>10</v>
      </c>
      <c r="AU393" s="300">
        <f t="shared" si="67"/>
        <v>214</v>
      </c>
      <c r="AV393" s="20">
        <v>190</v>
      </c>
      <c r="AW393" s="20">
        <v>0</v>
      </c>
      <c r="AX393" s="20">
        <v>0</v>
      </c>
      <c r="AY393" s="20">
        <v>15</v>
      </c>
      <c r="AZ393" s="20">
        <v>0</v>
      </c>
      <c r="BA393" s="20">
        <v>7</v>
      </c>
      <c r="BB393" s="20">
        <v>10</v>
      </c>
      <c r="BC393" s="300">
        <f t="shared" si="68"/>
        <v>222</v>
      </c>
      <c r="BD393" s="42">
        <f t="shared" si="69"/>
        <v>8</v>
      </c>
      <c r="BE393" s="42">
        <f t="shared" si="70"/>
        <v>0</v>
      </c>
      <c r="BF393" s="42">
        <f t="shared" si="71"/>
        <v>0</v>
      </c>
      <c r="BG393" s="42">
        <f t="shared" si="72"/>
        <v>0</v>
      </c>
      <c r="BH393" s="42">
        <f t="shared" si="73"/>
        <v>0</v>
      </c>
      <c r="BI393" s="42">
        <f t="shared" si="74"/>
        <v>0</v>
      </c>
      <c r="BJ393" s="42">
        <f t="shared" si="75"/>
        <v>0</v>
      </c>
      <c r="BK393" s="42">
        <f t="shared" si="76"/>
        <v>8</v>
      </c>
    </row>
    <row r="394" spans="1:63" ht="27" customHeight="1">
      <c r="A394" s="11">
        <f t="shared" si="77"/>
        <v>392</v>
      </c>
      <c r="B394" s="12"/>
      <c r="C394" s="8">
        <v>2919</v>
      </c>
      <c r="D394" s="103" t="s">
        <v>2709</v>
      </c>
      <c r="E394" s="201" t="s">
        <v>2710</v>
      </c>
      <c r="F394" s="218" t="s">
        <v>1272</v>
      </c>
      <c r="G394" s="219" t="s">
        <v>2711</v>
      </c>
      <c r="H394" s="24" t="s">
        <v>2712</v>
      </c>
      <c r="I394" s="25" t="s">
        <v>2713</v>
      </c>
      <c r="J394" s="82" t="s">
        <v>173</v>
      </c>
      <c r="K394" s="26">
        <v>30653</v>
      </c>
      <c r="L394" s="66" t="s">
        <v>174</v>
      </c>
      <c r="M394" s="23">
        <v>43800</v>
      </c>
      <c r="N394" s="23">
        <v>43612</v>
      </c>
      <c r="O394" s="23" t="s">
        <v>32</v>
      </c>
      <c r="P394" s="16" t="s">
        <v>1080</v>
      </c>
      <c r="Q394" s="16" t="s">
        <v>176</v>
      </c>
      <c r="R394" s="11" t="s">
        <v>177</v>
      </c>
      <c r="S394" s="11" t="s">
        <v>2354</v>
      </c>
      <c r="T394" s="159"/>
      <c r="U394" s="159"/>
      <c r="V394" s="19" t="s">
        <v>179</v>
      </c>
      <c r="W394" s="19" t="s">
        <v>179</v>
      </c>
      <c r="X394" s="1" t="s">
        <v>179</v>
      </c>
      <c r="Y394" s="160" t="s">
        <v>179</v>
      </c>
      <c r="Z394" s="70"/>
      <c r="AA394" s="70"/>
      <c r="AB394" s="70" t="s">
        <v>181</v>
      </c>
      <c r="AC394" s="107"/>
      <c r="AD394" s="202"/>
      <c r="AE394" s="202"/>
      <c r="AF394" s="203"/>
      <c r="AG394" s="204"/>
      <c r="AH394" s="205"/>
      <c r="AI394" s="205"/>
      <c r="AJ394" s="81" t="s">
        <v>198</v>
      </c>
      <c r="AK394" s="81" t="s">
        <v>185</v>
      </c>
      <c r="AL394" s="81" t="s">
        <v>185</v>
      </c>
      <c r="AM394" s="72" t="s">
        <v>2349</v>
      </c>
      <c r="AN394" s="20">
        <v>182</v>
      </c>
      <c r="AO394" s="20">
        <v>0</v>
      </c>
      <c r="AP394" s="20">
        <v>0</v>
      </c>
      <c r="AQ394" s="20">
        <v>0</v>
      </c>
      <c r="AR394" s="20">
        <v>0</v>
      </c>
      <c r="AS394" s="20">
        <v>7</v>
      </c>
      <c r="AT394" s="20">
        <v>10</v>
      </c>
      <c r="AU394" s="300">
        <f t="shared" si="67"/>
        <v>199</v>
      </c>
      <c r="AV394" s="20">
        <v>190</v>
      </c>
      <c r="AW394" s="20">
        <v>0</v>
      </c>
      <c r="AX394" s="20">
        <v>0</v>
      </c>
      <c r="AY394" s="20">
        <v>0</v>
      </c>
      <c r="AZ394" s="20">
        <v>0</v>
      </c>
      <c r="BA394" s="20">
        <v>7</v>
      </c>
      <c r="BB394" s="20">
        <v>10</v>
      </c>
      <c r="BC394" s="300">
        <f t="shared" si="68"/>
        <v>207</v>
      </c>
      <c r="BD394" s="42">
        <f t="shared" si="69"/>
        <v>8</v>
      </c>
      <c r="BE394" s="42">
        <f t="shared" si="70"/>
        <v>0</v>
      </c>
      <c r="BF394" s="42">
        <f t="shared" si="71"/>
        <v>0</v>
      </c>
      <c r="BG394" s="42">
        <f t="shared" si="72"/>
        <v>0</v>
      </c>
      <c r="BH394" s="42">
        <f t="shared" si="73"/>
        <v>0</v>
      </c>
      <c r="BI394" s="42">
        <f t="shared" si="74"/>
        <v>0</v>
      </c>
      <c r="BJ394" s="42">
        <f t="shared" si="75"/>
        <v>0</v>
      </c>
      <c r="BK394" s="42">
        <f t="shared" si="76"/>
        <v>8</v>
      </c>
    </row>
    <row r="395" spans="1:63" ht="27" customHeight="1">
      <c r="A395" s="11">
        <f t="shared" si="77"/>
        <v>393</v>
      </c>
      <c r="B395" s="12"/>
      <c r="C395" s="8">
        <v>2912</v>
      </c>
      <c r="D395" s="103" t="s">
        <v>2714</v>
      </c>
      <c r="E395" s="201" t="s">
        <v>2715</v>
      </c>
      <c r="F395" s="218" t="s">
        <v>644</v>
      </c>
      <c r="G395" s="219" t="s">
        <v>504</v>
      </c>
      <c r="H395" s="24" t="s">
        <v>43</v>
      </c>
      <c r="I395" s="25" t="s">
        <v>44</v>
      </c>
      <c r="J395" s="82" t="s">
        <v>204</v>
      </c>
      <c r="K395" s="26">
        <v>31235</v>
      </c>
      <c r="L395" s="66" t="s">
        <v>174</v>
      </c>
      <c r="M395" s="23">
        <v>43800</v>
      </c>
      <c r="N395" s="23">
        <v>43608</v>
      </c>
      <c r="O395" s="23" t="s">
        <v>32</v>
      </c>
      <c r="P395" s="16" t="s">
        <v>13</v>
      </c>
      <c r="Q395" s="16" t="s">
        <v>176</v>
      </c>
      <c r="R395" s="11" t="s">
        <v>177</v>
      </c>
      <c r="S395" s="11" t="s">
        <v>2354</v>
      </c>
      <c r="T395" s="159"/>
      <c r="U395" s="159"/>
      <c r="V395" s="19" t="s">
        <v>179</v>
      </c>
      <c r="W395" s="19" t="s">
        <v>195</v>
      </c>
      <c r="X395" s="1">
        <v>9</v>
      </c>
      <c r="Y395" s="160" t="s">
        <v>2716</v>
      </c>
      <c r="Z395" s="70"/>
      <c r="AA395" s="70" t="s">
        <v>181</v>
      </c>
      <c r="AB395" s="1"/>
      <c r="AC395" s="107"/>
      <c r="AD395" s="202" t="s">
        <v>183</v>
      </c>
      <c r="AE395" s="203" t="s">
        <v>184</v>
      </c>
      <c r="AF395" s="203"/>
      <c r="AG395" s="204"/>
      <c r="AH395" s="205"/>
      <c r="AI395" s="205"/>
      <c r="AJ395" s="81" t="s">
        <v>198</v>
      </c>
      <c r="AK395" s="81" t="s">
        <v>185</v>
      </c>
      <c r="AL395" s="81" t="s">
        <v>185</v>
      </c>
      <c r="AM395" s="72" t="s">
        <v>2349</v>
      </c>
      <c r="AN395" s="20">
        <v>182</v>
      </c>
      <c r="AO395" s="20">
        <v>0</v>
      </c>
      <c r="AP395" s="20">
        <v>0</v>
      </c>
      <c r="AQ395" s="20">
        <v>0</v>
      </c>
      <c r="AR395" s="20">
        <v>0</v>
      </c>
      <c r="AS395" s="20">
        <v>7</v>
      </c>
      <c r="AT395" s="20">
        <v>10</v>
      </c>
      <c r="AU395" s="300">
        <f t="shared" si="67"/>
        <v>199</v>
      </c>
      <c r="AV395" s="20">
        <v>190</v>
      </c>
      <c r="AW395" s="20">
        <v>0</v>
      </c>
      <c r="AX395" s="20">
        <v>0</v>
      </c>
      <c r="AY395" s="20">
        <v>0</v>
      </c>
      <c r="AZ395" s="20">
        <v>0</v>
      </c>
      <c r="BA395" s="20">
        <v>7</v>
      </c>
      <c r="BB395" s="20">
        <v>10</v>
      </c>
      <c r="BC395" s="300">
        <f t="shared" si="68"/>
        <v>207</v>
      </c>
      <c r="BD395" s="42">
        <f t="shared" si="69"/>
        <v>8</v>
      </c>
      <c r="BE395" s="42">
        <f t="shared" si="70"/>
        <v>0</v>
      </c>
      <c r="BF395" s="42">
        <f t="shared" si="71"/>
        <v>0</v>
      </c>
      <c r="BG395" s="42">
        <f t="shared" si="72"/>
        <v>0</v>
      </c>
      <c r="BH395" s="42">
        <f t="shared" si="73"/>
        <v>0</v>
      </c>
      <c r="BI395" s="42">
        <f t="shared" si="74"/>
        <v>0</v>
      </c>
      <c r="BJ395" s="42">
        <f t="shared" si="75"/>
        <v>0</v>
      </c>
      <c r="BK395" s="42">
        <f t="shared" si="76"/>
        <v>8</v>
      </c>
    </row>
    <row r="396" spans="1:63" ht="27" customHeight="1">
      <c r="A396" s="11">
        <f t="shared" si="77"/>
        <v>394</v>
      </c>
      <c r="B396" s="12"/>
      <c r="C396" s="8">
        <v>2882</v>
      </c>
      <c r="D396" s="103" t="s">
        <v>2717</v>
      </c>
      <c r="E396" s="201" t="s">
        <v>2718</v>
      </c>
      <c r="F396" s="218" t="s">
        <v>1118</v>
      </c>
      <c r="G396" s="219" t="s">
        <v>958</v>
      </c>
      <c r="H396" s="24" t="s">
        <v>2719</v>
      </c>
      <c r="I396" s="25" t="s">
        <v>2247</v>
      </c>
      <c r="J396" s="82" t="s">
        <v>204</v>
      </c>
      <c r="K396" s="26">
        <v>30392</v>
      </c>
      <c r="L396" s="66" t="s">
        <v>174</v>
      </c>
      <c r="M396" s="154">
        <v>43770</v>
      </c>
      <c r="N396" s="23">
        <v>43586</v>
      </c>
      <c r="O396" s="23" t="s">
        <v>32</v>
      </c>
      <c r="P396" s="16" t="s">
        <v>194</v>
      </c>
      <c r="Q396" s="16" t="s">
        <v>176</v>
      </c>
      <c r="R396" s="11" t="s">
        <v>177</v>
      </c>
      <c r="S396" s="11" t="s">
        <v>2487</v>
      </c>
      <c r="T396" s="159"/>
      <c r="U396" s="159"/>
      <c r="V396" s="19" t="s">
        <v>179</v>
      </c>
      <c r="W396" s="19" t="s">
        <v>179</v>
      </c>
      <c r="X396" s="1">
        <v>4</v>
      </c>
      <c r="Y396" s="160" t="s">
        <v>2720</v>
      </c>
      <c r="Z396" s="70"/>
      <c r="AA396" s="70" t="s">
        <v>181</v>
      </c>
      <c r="AB396" s="1"/>
      <c r="AC396" s="107"/>
      <c r="AD396" s="202" t="s">
        <v>183</v>
      </c>
      <c r="AE396" s="203" t="s">
        <v>184</v>
      </c>
      <c r="AF396" s="203"/>
      <c r="AG396" s="204"/>
      <c r="AH396" s="205"/>
      <c r="AI396" s="205"/>
      <c r="AJ396" s="81" t="s">
        <v>198</v>
      </c>
      <c r="AK396" s="81" t="s">
        <v>185</v>
      </c>
      <c r="AL396" s="81" t="s">
        <v>185</v>
      </c>
      <c r="AM396" s="72" t="s">
        <v>2349</v>
      </c>
      <c r="AN396" s="20">
        <v>182</v>
      </c>
      <c r="AO396" s="20">
        <v>0</v>
      </c>
      <c r="AP396" s="20">
        <v>0</v>
      </c>
      <c r="AQ396" s="20">
        <v>0</v>
      </c>
      <c r="AR396" s="20">
        <v>0</v>
      </c>
      <c r="AS396" s="20">
        <v>7</v>
      </c>
      <c r="AT396" s="20">
        <v>10</v>
      </c>
      <c r="AU396" s="300">
        <f t="shared" si="67"/>
        <v>199</v>
      </c>
      <c r="AV396" s="20">
        <v>190</v>
      </c>
      <c r="AW396" s="20">
        <v>0</v>
      </c>
      <c r="AX396" s="20">
        <v>0</v>
      </c>
      <c r="AY396" s="20">
        <v>0</v>
      </c>
      <c r="AZ396" s="20">
        <v>0</v>
      </c>
      <c r="BA396" s="20">
        <v>7</v>
      </c>
      <c r="BB396" s="20">
        <v>10</v>
      </c>
      <c r="BC396" s="300">
        <f t="shared" si="68"/>
        <v>207</v>
      </c>
      <c r="BD396" s="42">
        <f t="shared" si="69"/>
        <v>8</v>
      </c>
      <c r="BE396" s="42">
        <f t="shared" si="70"/>
        <v>0</v>
      </c>
      <c r="BF396" s="42">
        <f t="shared" si="71"/>
        <v>0</v>
      </c>
      <c r="BG396" s="42">
        <f t="shared" si="72"/>
        <v>0</v>
      </c>
      <c r="BH396" s="42">
        <f t="shared" si="73"/>
        <v>0</v>
      </c>
      <c r="BI396" s="42">
        <f t="shared" si="74"/>
        <v>0</v>
      </c>
      <c r="BJ396" s="42">
        <f t="shared" si="75"/>
        <v>0</v>
      </c>
      <c r="BK396" s="42">
        <f t="shared" si="76"/>
        <v>8</v>
      </c>
    </row>
    <row r="397" spans="1:63" ht="27" customHeight="1">
      <c r="A397" s="11">
        <f t="shared" si="77"/>
        <v>395</v>
      </c>
      <c r="B397" s="12"/>
      <c r="C397" s="8">
        <v>2834</v>
      </c>
      <c r="D397" s="103" t="s">
        <v>2721</v>
      </c>
      <c r="E397" s="201" t="s">
        <v>2722</v>
      </c>
      <c r="F397" s="218" t="s">
        <v>2723</v>
      </c>
      <c r="G397" s="219" t="s">
        <v>2724</v>
      </c>
      <c r="H397" s="24" t="s">
        <v>2725</v>
      </c>
      <c r="I397" s="25" t="s">
        <v>2726</v>
      </c>
      <c r="J397" s="82" t="s">
        <v>173</v>
      </c>
      <c r="K397" s="26">
        <v>33793</v>
      </c>
      <c r="L397" s="66" t="s">
        <v>174</v>
      </c>
      <c r="M397" s="154">
        <v>43770</v>
      </c>
      <c r="N397" s="23">
        <v>43578</v>
      </c>
      <c r="O397" s="23" t="s">
        <v>32</v>
      </c>
      <c r="P397" s="16" t="s">
        <v>1080</v>
      </c>
      <c r="Q397" s="16" t="s">
        <v>176</v>
      </c>
      <c r="R397" s="11" t="s">
        <v>177</v>
      </c>
      <c r="S397" s="11" t="s">
        <v>2379</v>
      </c>
      <c r="T397" s="159"/>
      <c r="U397" s="159"/>
      <c r="V397" s="19" t="s">
        <v>179</v>
      </c>
      <c r="W397" s="19" t="s">
        <v>179</v>
      </c>
      <c r="X397" s="1">
        <v>7</v>
      </c>
      <c r="Y397" s="160" t="s">
        <v>2727</v>
      </c>
      <c r="Z397" s="70" t="s">
        <v>181</v>
      </c>
      <c r="AA397" s="70"/>
      <c r="AB397" s="1"/>
      <c r="AC397" s="107"/>
      <c r="AD397" s="202"/>
      <c r="AE397" s="202"/>
      <c r="AF397" s="203"/>
      <c r="AG397" s="204"/>
      <c r="AH397" s="205"/>
      <c r="AI397" s="205"/>
      <c r="AJ397" s="81" t="s">
        <v>198</v>
      </c>
      <c r="AK397" s="81" t="s">
        <v>185</v>
      </c>
      <c r="AL397" s="81" t="s">
        <v>185</v>
      </c>
      <c r="AM397" s="72" t="s">
        <v>2349</v>
      </c>
      <c r="AN397" s="20">
        <v>182</v>
      </c>
      <c r="AO397" s="20">
        <v>0</v>
      </c>
      <c r="AP397" s="20">
        <v>0</v>
      </c>
      <c r="AQ397" s="20">
        <v>0</v>
      </c>
      <c r="AR397" s="20">
        <v>0</v>
      </c>
      <c r="AS397" s="20">
        <v>7</v>
      </c>
      <c r="AT397" s="20">
        <v>10</v>
      </c>
      <c r="AU397" s="300">
        <f t="shared" si="67"/>
        <v>199</v>
      </c>
      <c r="AV397" s="20">
        <v>190</v>
      </c>
      <c r="AW397" s="20">
        <v>0</v>
      </c>
      <c r="AX397" s="20">
        <v>0</v>
      </c>
      <c r="AY397" s="20">
        <v>0</v>
      </c>
      <c r="AZ397" s="20">
        <v>0</v>
      </c>
      <c r="BA397" s="20">
        <v>7</v>
      </c>
      <c r="BB397" s="20">
        <v>10</v>
      </c>
      <c r="BC397" s="300">
        <f t="shared" si="68"/>
        <v>207</v>
      </c>
      <c r="BD397" s="42">
        <f t="shared" si="69"/>
        <v>8</v>
      </c>
      <c r="BE397" s="42">
        <f t="shared" si="70"/>
        <v>0</v>
      </c>
      <c r="BF397" s="42">
        <f t="shared" si="71"/>
        <v>0</v>
      </c>
      <c r="BG397" s="42">
        <f t="shared" si="72"/>
        <v>0</v>
      </c>
      <c r="BH397" s="42">
        <f t="shared" si="73"/>
        <v>0</v>
      </c>
      <c r="BI397" s="42">
        <f t="shared" si="74"/>
        <v>0</v>
      </c>
      <c r="BJ397" s="42">
        <f t="shared" si="75"/>
        <v>0</v>
      </c>
      <c r="BK397" s="42">
        <f t="shared" si="76"/>
        <v>8</v>
      </c>
    </row>
    <row r="398" spans="1:63" ht="27" customHeight="1">
      <c r="A398" s="11">
        <f t="shared" si="77"/>
        <v>396</v>
      </c>
      <c r="B398" s="12"/>
      <c r="C398" s="8">
        <v>2943</v>
      </c>
      <c r="D398" s="103" t="s">
        <v>2728</v>
      </c>
      <c r="E398" s="201" t="s">
        <v>2729</v>
      </c>
      <c r="F398" s="218" t="s">
        <v>2730</v>
      </c>
      <c r="G398" s="219" t="s">
        <v>2164</v>
      </c>
      <c r="H398" s="24" t="s">
        <v>2731</v>
      </c>
      <c r="I398" s="25" t="s">
        <v>2732</v>
      </c>
      <c r="J398" s="82" t="s">
        <v>173</v>
      </c>
      <c r="K398" s="26">
        <v>29405</v>
      </c>
      <c r="L398" s="66" t="s">
        <v>174</v>
      </c>
      <c r="M398" s="23">
        <v>43800</v>
      </c>
      <c r="N398" s="23">
        <v>43627</v>
      </c>
      <c r="O398" s="23" t="s">
        <v>32</v>
      </c>
      <c r="P398" s="16" t="s">
        <v>334</v>
      </c>
      <c r="Q398" s="16" t="s">
        <v>176</v>
      </c>
      <c r="R398" s="11" t="s">
        <v>177</v>
      </c>
      <c r="S398" s="11" t="s">
        <v>2487</v>
      </c>
      <c r="T398" s="159"/>
      <c r="U398" s="159"/>
      <c r="V398" s="19" t="s">
        <v>195</v>
      </c>
      <c r="W398" s="19" t="s">
        <v>195</v>
      </c>
      <c r="X398" s="1">
        <v>3</v>
      </c>
      <c r="Y398" s="160" t="s">
        <v>2733</v>
      </c>
      <c r="Z398" s="70"/>
      <c r="AA398" s="70" t="s">
        <v>181</v>
      </c>
      <c r="AB398" s="1"/>
      <c r="AC398" s="107"/>
      <c r="AD398" s="202" t="s">
        <v>183</v>
      </c>
      <c r="AE398" s="203" t="s">
        <v>184</v>
      </c>
      <c r="AF398" s="203"/>
      <c r="AG398" s="204"/>
      <c r="AH398" s="205"/>
      <c r="AI398" s="205"/>
      <c r="AJ398" s="81" t="s">
        <v>198</v>
      </c>
      <c r="AK398" s="81" t="s">
        <v>185</v>
      </c>
      <c r="AL398" s="81" t="s">
        <v>185</v>
      </c>
      <c r="AM398" s="72" t="s">
        <v>2349</v>
      </c>
      <c r="AN398" s="20">
        <v>182</v>
      </c>
      <c r="AO398" s="20">
        <v>0</v>
      </c>
      <c r="AP398" s="20">
        <v>0</v>
      </c>
      <c r="AQ398" s="20">
        <v>0</v>
      </c>
      <c r="AR398" s="20">
        <v>0</v>
      </c>
      <c r="AS398" s="20">
        <v>7</v>
      </c>
      <c r="AT398" s="20">
        <v>10</v>
      </c>
      <c r="AU398" s="300">
        <f t="shared" si="67"/>
        <v>199</v>
      </c>
      <c r="AV398" s="20">
        <v>190</v>
      </c>
      <c r="AW398" s="20">
        <v>0</v>
      </c>
      <c r="AX398" s="20">
        <v>0</v>
      </c>
      <c r="AY398" s="20">
        <v>0</v>
      </c>
      <c r="AZ398" s="20">
        <v>0</v>
      </c>
      <c r="BA398" s="20">
        <v>7</v>
      </c>
      <c r="BB398" s="20">
        <v>10</v>
      </c>
      <c r="BC398" s="300">
        <f t="shared" si="68"/>
        <v>207</v>
      </c>
      <c r="BD398" s="42">
        <f t="shared" si="69"/>
        <v>8</v>
      </c>
      <c r="BE398" s="42">
        <f t="shared" si="70"/>
        <v>0</v>
      </c>
      <c r="BF398" s="42">
        <f t="shared" si="71"/>
        <v>0</v>
      </c>
      <c r="BG398" s="42">
        <f t="shared" si="72"/>
        <v>0</v>
      </c>
      <c r="BH398" s="42">
        <f t="shared" si="73"/>
        <v>0</v>
      </c>
      <c r="BI398" s="42">
        <f t="shared" si="74"/>
        <v>0</v>
      </c>
      <c r="BJ398" s="42">
        <f t="shared" si="75"/>
        <v>0</v>
      </c>
      <c r="BK398" s="42">
        <f t="shared" si="76"/>
        <v>8</v>
      </c>
    </row>
    <row r="399" spans="1:63" ht="27" customHeight="1">
      <c r="A399" s="11">
        <f t="shared" si="77"/>
        <v>397</v>
      </c>
      <c r="B399" s="12"/>
      <c r="C399" s="8">
        <v>2942</v>
      </c>
      <c r="D399" s="103" t="s">
        <v>2734</v>
      </c>
      <c r="E399" s="201" t="s">
        <v>2735</v>
      </c>
      <c r="F399" s="218" t="s">
        <v>169</v>
      </c>
      <c r="G399" s="219" t="s">
        <v>2736</v>
      </c>
      <c r="H399" s="24" t="s">
        <v>2737</v>
      </c>
      <c r="I399" s="25" t="s">
        <v>2738</v>
      </c>
      <c r="J399" s="82" t="s">
        <v>204</v>
      </c>
      <c r="K399" s="26">
        <v>31931</v>
      </c>
      <c r="L399" s="66" t="s">
        <v>174</v>
      </c>
      <c r="M399" s="23">
        <v>43800</v>
      </c>
      <c r="N399" s="23">
        <v>43627</v>
      </c>
      <c r="O399" s="23" t="s">
        <v>32</v>
      </c>
      <c r="P399" s="16" t="s">
        <v>2405</v>
      </c>
      <c r="Q399" s="16" t="s">
        <v>244</v>
      </c>
      <c r="R399" s="11" t="s">
        <v>177</v>
      </c>
      <c r="S399" s="11" t="s">
        <v>2500</v>
      </c>
      <c r="T399" s="159"/>
      <c r="U399" s="159"/>
      <c r="V399" s="19" t="s">
        <v>179</v>
      </c>
      <c r="W399" s="19" t="s">
        <v>179</v>
      </c>
      <c r="X399" s="1">
        <v>5</v>
      </c>
      <c r="Y399" s="160" t="s">
        <v>2739</v>
      </c>
      <c r="Z399" s="70" t="s">
        <v>181</v>
      </c>
      <c r="AA399" s="70"/>
      <c r="AB399" s="1"/>
      <c r="AC399" s="107"/>
      <c r="AD399" s="202"/>
      <c r="AE399" s="202"/>
      <c r="AF399" s="203"/>
      <c r="AG399" s="204"/>
      <c r="AH399" s="205"/>
      <c r="AI399" s="205"/>
      <c r="AJ399" s="81" t="s">
        <v>198</v>
      </c>
      <c r="AK399" s="81" t="s">
        <v>185</v>
      </c>
      <c r="AL399" s="81" t="s">
        <v>185</v>
      </c>
      <c r="AM399" s="72" t="s">
        <v>2349</v>
      </c>
      <c r="AN399" s="20">
        <v>182</v>
      </c>
      <c r="AO399" s="20">
        <v>0</v>
      </c>
      <c r="AP399" s="20">
        <v>20</v>
      </c>
      <c r="AQ399" s="20">
        <v>0</v>
      </c>
      <c r="AR399" s="20">
        <v>0</v>
      </c>
      <c r="AS399" s="20">
        <v>7</v>
      </c>
      <c r="AT399" s="20">
        <v>10</v>
      </c>
      <c r="AU399" s="300">
        <f t="shared" si="67"/>
        <v>219</v>
      </c>
      <c r="AV399" s="20">
        <v>190</v>
      </c>
      <c r="AW399" s="20">
        <v>0</v>
      </c>
      <c r="AX399" s="20">
        <v>20</v>
      </c>
      <c r="AY399" s="20">
        <v>0</v>
      </c>
      <c r="AZ399" s="20">
        <v>0</v>
      </c>
      <c r="BA399" s="20">
        <v>7</v>
      </c>
      <c r="BB399" s="20">
        <v>10</v>
      </c>
      <c r="BC399" s="300">
        <f t="shared" si="68"/>
        <v>227</v>
      </c>
      <c r="BD399" s="42">
        <f t="shared" si="69"/>
        <v>8</v>
      </c>
      <c r="BE399" s="42">
        <f t="shared" si="70"/>
        <v>0</v>
      </c>
      <c r="BF399" s="42">
        <f t="shared" si="71"/>
        <v>0</v>
      </c>
      <c r="BG399" s="42">
        <f t="shared" si="72"/>
        <v>0</v>
      </c>
      <c r="BH399" s="42">
        <f t="shared" si="73"/>
        <v>0</v>
      </c>
      <c r="BI399" s="42">
        <f t="shared" si="74"/>
        <v>0</v>
      </c>
      <c r="BJ399" s="42">
        <f t="shared" si="75"/>
        <v>0</v>
      </c>
      <c r="BK399" s="42">
        <f t="shared" si="76"/>
        <v>8</v>
      </c>
    </row>
    <row r="400" spans="1:63" ht="27" customHeight="1">
      <c r="A400" s="11">
        <f t="shared" si="77"/>
        <v>398</v>
      </c>
      <c r="B400" s="12"/>
      <c r="C400" s="8">
        <v>2936</v>
      </c>
      <c r="D400" s="103" t="s">
        <v>2740</v>
      </c>
      <c r="E400" s="201" t="s">
        <v>2741</v>
      </c>
      <c r="F400" s="218" t="s">
        <v>535</v>
      </c>
      <c r="G400" s="219" t="s">
        <v>2742</v>
      </c>
      <c r="H400" s="24" t="s">
        <v>2192</v>
      </c>
      <c r="I400" s="25" t="s">
        <v>2743</v>
      </c>
      <c r="J400" s="82" t="s">
        <v>173</v>
      </c>
      <c r="K400" s="26">
        <v>37104</v>
      </c>
      <c r="L400" s="66" t="s">
        <v>174</v>
      </c>
      <c r="M400" s="23">
        <v>43800</v>
      </c>
      <c r="N400" s="23">
        <v>43626</v>
      </c>
      <c r="O400" s="23" t="s">
        <v>32</v>
      </c>
      <c r="P400" s="16" t="s">
        <v>313</v>
      </c>
      <c r="Q400" s="16" t="s">
        <v>244</v>
      </c>
      <c r="R400" s="11" t="s">
        <v>177</v>
      </c>
      <c r="S400" s="11" t="s">
        <v>2379</v>
      </c>
      <c r="T400" s="159"/>
      <c r="U400" s="159"/>
      <c r="V400" s="19"/>
      <c r="W400" s="19"/>
      <c r="X400" s="1" t="s">
        <v>179</v>
      </c>
      <c r="Y400" s="160"/>
      <c r="Z400" s="70" t="s">
        <v>181</v>
      </c>
      <c r="AA400" s="70"/>
      <c r="AB400" s="1"/>
      <c r="AC400" s="107"/>
      <c r="AD400" s="202"/>
      <c r="AE400" s="202"/>
      <c r="AF400" s="203"/>
      <c r="AG400" s="204"/>
      <c r="AH400" s="205"/>
      <c r="AI400" s="205"/>
      <c r="AJ400" s="81" t="s">
        <v>198</v>
      </c>
      <c r="AK400" s="81" t="s">
        <v>185</v>
      </c>
      <c r="AL400" s="81" t="s">
        <v>185</v>
      </c>
      <c r="AM400" s="107" t="s">
        <v>2349</v>
      </c>
      <c r="AN400" s="20">
        <v>182</v>
      </c>
      <c r="AO400" s="20">
        <v>0</v>
      </c>
      <c r="AP400" s="20">
        <v>20</v>
      </c>
      <c r="AQ400" s="20">
        <v>0</v>
      </c>
      <c r="AR400" s="20">
        <v>0</v>
      </c>
      <c r="AS400" s="20">
        <v>7</v>
      </c>
      <c r="AT400" s="20">
        <v>10</v>
      </c>
      <c r="AU400" s="300">
        <f t="shared" si="67"/>
        <v>219</v>
      </c>
      <c r="AV400" s="20">
        <v>190</v>
      </c>
      <c r="AW400" s="20">
        <v>0</v>
      </c>
      <c r="AX400" s="20">
        <v>20</v>
      </c>
      <c r="AY400" s="20">
        <v>0</v>
      </c>
      <c r="AZ400" s="20">
        <v>0</v>
      </c>
      <c r="BA400" s="20">
        <v>7</v>
      </c>
      <c r="BB400" s="20">
        <v>10</v>
      </c>
      <c r="BC400" s="300">
        <f t="shared" si="68"/>
        <v>227</v>
      </c>
      <c r="BD400" s="42">
        <f t="shared" si="69"/>
        <v>8</v>
      </c>
      <c r="BE400" s="42">
        <f t="shared" si="70"/>
        <v>0</v>
      </c>
      <c r="BF400" s="42">
        <f t="shared" si="71"/>
        <v>0</v>
      </c>
      <c r="BG400" s="42">
        <f t="shared" si="72"/>
        <v>0</v>
      </c>
      <c r="BH400" s="42">
        <f t="shared" si="73"/>
        <v>0</v>
      </c>
      <c r="BI400" s="42">
        <f t="shared" si="74"/>
        <v>0</v>
      </c>
      <c r="BJ400" s="42">
        <f t="shared" si="75"/>
        <v>0</v>
      </c>
      <c r="BK400" s="42">
        <f t="shared" si="76"/>
        <v>8</v>
      </c>
    </row>
    <row r="401" spans="1:63" ht="27" customHeight="1">
      <c r="A401" s="11">
        <f t="shared" si="77"/>
        <v>399</v>
      </c>
      <c r="B401" s="12"/>
      <c r="C401" s="8">
        <v>2946</v>
      </c>
      <c r="D401" s="103" t="s">
        <v>2744</v>
      </c>
      <c r="E401" s="201" t="s">
        <v>2745</v>
      </c>
      <c r="F401" s="218" t="s">
        <v>2746</v>
      </c>
      <c r="G401" s="219" t="s">
        <v>2747</v>
      </c>
      <c r="H401" s="24" t="s">
        <v>2748</v>
      </c>
      <c r="I401" s="25" t="s">
        <v>2749</v>
      </c>
      <c r="J401" s="82" t="s">
        <v>173</v>
      </c>
      <c r="K401" s="26">
        <v>26849</v>
      </c>
      <c r="L401" s="66" t="s">
        <v>174</v>
      </c>
      <c r="M401" s="23">
        <v>43800</v>
      </c>
      <c r="N401" s="23">
        <v>43627</v>
      </c>
      <c r="O401" s="23" t="s">
        <v>32</v>
      </c>
      <c r="P401" s="16" t="s">
        <v>2493</v>
      </c>
      <c r="Q401" s="16" t="s">
        <v>244</v>
      </c>
      <c r="R401" s="11" t="s">
        <v>177</v>
      </c>
      <c r="S401" s="11" t="s">
        <v>1546</v>
      </c>
      <c r="T401" s="159"/>
      <c r="U401" s="159"/>
      <c r="V401" s="19" t="s">
        <v>179</v>
      </c>
      <c r="W401" s="19" t="s">
        <v>195</v>
      </c>
      <c r="X401" s="1">
        <v>6</v>
      </c>
      <c r="Y401" s="160" t="s">
        <v>2750</v>
      </c>
      <c r="Z401" s="70"/>
      <c r="AA401" s="70"/>
      <c r="AB401" s="70" t="s">
        <v>181</v>
      </c>
      <c r="AC401" s="107"/>
      <c r="AD401" s="202"/>
      <c r="AE401" s="202"/>
      <c r="AF401" s="203"/>
      <c r="AG401" s="204"/>
      <c r="AH401" s="205"/>
      <c r="AI401" s="205"/>
      <c r="AJ401" s="81" t="s">
        <v>198</v>
      </c>
      <c r="AK401" s="81" t="s">
        <v>185</v>
      </c>
      <c r="AL401" s="81" t="s">
        <v>185</v>
      </c>
      <c r="AM401" s="107" t="s">
        <v>2349</v>
      </c>
      <c r="AN401" s="20">
        <v>182</v>
      </c>
      <c r="AO401" s="20">
        <v>0</v>
      </c>
      <c r="AP401" s="20">
        <v>20</v>
      </c>
      <c r="AQ401" s="20">
        <v>0</v>
      </c>
      <c r="AR401" s="20">
        <v>0</v>
      </c>
      <c r="AS401" s="20">
        <v>7</v>
      </c>
      <c r="AT401" s="20">
        <v>10</v>
      </c>
      <c r="AU401" s="300">
        <f t="shared" si="67"/>
        <v>219</v>
      </c>
      <c r="AV401" s="20">
        <v>190</v>
      </c>
      <c r="AW401" s="20">
        <v>0</v>
      </c>
      <c r="AX401" s="20">
        <v>20</v>
      </c>
      <c r="AY401" s="20">
        <v>0</v>
      </c>
      <c r="AZ401" s="20">
        <v>0</v>
      </c>
      <c r="BA401" s="20">
        <v>7</v>
      </c>
      <c r="BB401" s="20">
        <v>10</v>
      </c>
      <c r="BC401" s="300">
        <f t="shared" si="68"/>
        <v>227</v>
      </c>
      <c r="BD401" s="42">
        <f t="shared" si="69"/>
        <v>8</v>
      </c>
      <c r="BE401" s="42">
        <f t="shared" si="70"/>
        <v>0</v>
      </c>
      <c r="BF401" s="42">
        <f t="shared" si="71"/>
        <v>0</v>
      </c>
      <c r="BG401" s="42">
        <f t="shared" si="72"/>
        <v>0</v>
      </c>
      <c r="BH401" s="42">
        <f t="shared" si="73"/>
        <v>0</v>
      </c>
      <c r="BI401" s="42">
        <f t="shared" si="74"/>
        <v>0</v>
      </c>
      <c r="BJ401" s="42">
        <f t="shared" si="75"/>
        <v>0</v>
      </c>
      <c r="BK401" s="42">
        <f t="shared" si="76"/>
        <v>8</v>
      </c>
    </row>
    <row r="402" spans="1:63" ht="27" customHeight="1">
      <c r="A402" s="11">
        <f t="shared" si="77"/>
        <v>400</v>
      </c>
      <c r="B402" s="12"/>
      <c r="C402" s="8">
        <v>2933</v>
      </c>
      <c r="D402" s="103" t="s">
        <v>2751</v>
      </c>
      <c r="E402" s="201" t="s">
        <v>2752</v>
      </c>
      <c r="F402" s="218" t="s">
        <v>2753</v>
      </c>
      <c r="G402" s="219" t="s">
        <v>2754</v>
      </c>
      <c r="H402" s="24" t="s">
        <v>102</v>
      </c>
      <c r="I402" s="25" t="s">
        <v>103</v>
      </c>
      <c r="J402" s="82" t="s">
        <v>173</v>
      </c>
      <c r="K402" s="26">
        <v>35891</v>
      </c>
      <c r="L402" s="66" t="s">
        <v>174</v>
      </c>
      <c r="M402" s="23">
        <v>43800</v>
      </c>
      <c r="N402" s="23">
        <v>43622</v>
      </c>
      <c r="O402" s="23" t="s">
        <v>32</v>
      </c>
      <c r="P402" s="16" t="s">
        <v>80</v>
      </c>
      <c r="Q402" s="16" t="s">
        <v>176</v>
      </c>
      <c r="R402" s="11" t="s">
        <v>177</v>
      </c>
      <c r="S402" s="11" t="s">
        <v>2354</v>
      </c>
      <c r="T402" s="159"/>
      <c r="U402" s="159"/>
      <c r="V402" s="19" t="s">
        <v>195</v>
      </c>
      <c r="W402" s="19" t="s">
        <v>195</v>
      </c>
      <c r="X402" s="1">
        <v>6</v>
      </c>
      <c r="Y402" s="160" t="s">
        <v>2755</v>
      </c>
      <c r="Z402" s="70" t="s">
        <v>181</v>
      </c>
      <c r="AA402" s="70"/>
      <c r="AB402" s="1"/>
      <c r="AC402" s="107"/>
      <c r="AD402" s="202"/>
      <c r="AE402" s="202"/>
      <c r="AF402" s="203"/>
      <c r="AG402" s="204"/>
      <c r="AH402" s="205"/>
      <c r="AI402" s="205"/>
      <c r="AJ402" s="81" t="s">
        <v>198</v>
      </c>
      <c r="AK402" s="81" t="s">
        <v>185</v>
      </c>
      <c r="AL402" s="81" t="s">
        <v>185</v>
      </c>
      <c r="AM402" s="107" t="s">
        <v>2349</v>
      </c>
      <c r="AN402" s="20">
        <v>182</v>
      </c>
      <c r="AO402" s="20">
        <v>0</v>
      </c>
      <c r="AP402" s="20">
        <v>0</v>
      </c>
      <c r="AQ402" s="20">
        <v>0</v>
      </c>
      <c r="AR402" s="20">
        <v>0</v>
      </c>
      <c r="AS402" s="20">
        <v>7</v>
      </c>
      <c r="AT402" s="20">
        <v>10</v>
      </c>
      <c r="AU402" s="300">
        <f t="shared" si="67"/>
        <v>199</v>
      </c>
      <c r="AV402" s="20">
        <v>190</v>
      </c>
      <c r="AW402" s="20">
        <v>0</v>
      </c>
      <c r="AX402" s="20">
        <v>0</v>
      </c>
      <c r="AY402" s="20">
        <v>0</v>
      </c>
      <c r="AZ402" s="20">
        <v>0</v>
      </c>
      <c r="BA402" s="20">
        <v>7</v>
      </c>
      <c r="BB402" s="20">
        <v>10</v>
      </c>
      <c r="BC402" s="300">
        <f t="shared" si="68"/>
        <v>207</v>
      </c>
      <c r="BD402" s="42">
        <f t="shared" si="69"/>
        <v>8</v>
      </c>
      <c r="BE402" s="42">
        <f t="shared" si="70"/>
        <v>0</v>
      </c>
      <c r="BF402" s="42">
        <f t="shared" si="71"/>
        <v>0</v>
      </c>
      <c r="BG402" s="42">
        <f t="shared" si="72"/>
        <v>0</v>
      </c>
      <c r="BH402" s="42">
        <f t="shared" si="73"/>
        <v>0</v>
      </c>
      <c r="BI402" s="42">
        <f t="shared" si="74"/>
        <v>0</v>
      </c>
      <c r="BJ402" s="42">
        <f t="shared" si="75"/>
        <v>0</v>
      </c>
      <c r="BK402" s="42">
        <f t="shared" si="76"/>
        <v>8</v>
      </c>
    </row>
    <row r="403" spans="1:63" ht="27" customHeight="1">
      <c r="A403" s="11">
        <f t="shared" si="77"/>
        <v>401</v>
      </c>
      <c r="B403" s="12"/>
      <c r="C403" s="8">
        <v>2948</v>
      </c>
      <c r="D403" s="103" t="s">
        <v>2756</v>
      </c>
      <c r="E403" s="201" t="s">
        <v>2757</v>
      </c>
      <c r="F403" s="218" t="s">
        <v>2758</v>
      </c>
      <c r="G403" s="219" t="s">
        <v>2759</v>
      </c>
      <c r="H403" s="24" t="s">
        <v>46</v>
      </c>
      <c r="I403" s="25" t="s">
        <v>47</v>
      </c>
      <c r="J403" s="82" t="s">
        <v>204</v>
      </c>
      <c r="K403" s="26">
        <v>31960</v>
      </c>
      <c r="L403" s="66" t="s">
        <v>174</v>
      </c>
      <c r="M403" s="23">
        <v>43800</v>
      </c>
      <c r="N403" s="23">
        <v>43627</v>
      </c>
      <c r="O403" s="23" t="s">
        <v>32</v>
      </c>
      <c r="P403" s="16" t="s">
        <v>13</v>
      </c>
      <c r="Q403" s="16" t="s">
        <v>176</v>
      </c>
      <c r="R403" s="11" t="s">
        <v>177</v>
      </c>
      <c r="S403" s="11" t="s">
        <v>2354</v>
      </c>
      <c r="T403" s="159"/>
      <c r="U403" s="159"/>
      <c r="V403" s="19" t="s">
        <v>179</v>
      </c>
      <c r="W403" s="19" t="s">
        <v>179</v>
      </c>
      <c r="X403" s="1">
        <v>7</v>
      </c>
      <c r="Y403" s="160" t="s">
        <v>2760</v>
      </c>
      <c r="Z403" s="70" t="s">
        <v>181</v>
      </c>
      <c r="AA403" s="70"/>
      <c r="AB403" s="1"/>
      <c r="AC403" s="107"/>
      <c r="AD403" s="202"/>
      <c r="AE403" s="202"/>
      <c r="AF403" s="203"/>
      <c r="AG403" s="204"/>
      <c r="AH403" s="205"/>
      <c r="AI403" s="205"/>
      <c r="AJ403" s="81" t="s">
        <v>198</v>
      </c>
      <c r="AK403" s="81" t="s">
        <v>185</v>
      </c>
      <c r="AL403" s="81" t="s">
        <v>185</v>
      </c>
      <c r="AM403" s="107" t="s">
        <v>2349</v>
      </c>
      <c r="AN403" s="20">
        <v>182</v>
      </c>
      <c r="AO403" s="20">
        <v>0</v>
      </c>
      <c r="AP403" s="20">
        <v>0</v>
      </c>
      <c r="AQ403" s="20">
        <v>0</v>
      </c>
      <c r="AR403" s="20">
        <v>0</v>
      </c>
      <c r="AS403" s="20">
        <v>7</v>
      </c>
      <c r="AT403" s="20">
        <v>10</v>
      </c>
      <c r="AU403" s="300">
        <f t="shared" si="67"/>
        <v>199</v>
      </c>
      <c r="AV403" s="20">
        <v>190</v>
      </c>
      <c r="AW403" s="20">
        <v>0</v>
      </c>
      <c r="AX403" s="20">
        <v>0</v>
      </c>
      <c r="AY403" s="20">
        <v>0</v>
      </c>
      <c r="AZ403" s="20">
        <v>0</v>
      </c>
      <c r="BA403" s="20">
        <v>7</v>
      </c>
      <c r="BB403" s="20">
        <v>10</v>
      </c>
      <c r="BC403" s="300">
        <f t="shared" si="68"/>
        <v>207</v>
      </c>
      <c r="BD403" s="42">
        <f t="shared" si="69"/>
        <v>8</v>
      </c>
      <c r="BE403" s="42">
        <f t="shared" si="70"/>
        <v>0</v>
      </c>
      <c r="BF403" s="42">
        <f t="shared" si="71"/>
        <v>0</v>
      </c>
      <c r="BG403" s="42">
        <f t="shared" si="72"/>
        <v>0</v>
      </c>
      <c r="BH403" s="42">
        <f t="shared" si="73"/>
        <v>0</v>
      </c>
      <c r="BI403" s="42">
        <f t="shared" si="74"/>
        <v>0</v>
      </c>
      <c r="BJ403" s="42">
        <f t="shared" si="75"/>
        <v>0</v>
      </c>
      <c r="BK403" s="42">
        <f t="shared" si="76"/>
        <v>8</v>
      </c>
    </row>
    <row r="404" spans="1:63" ht="27" customHeight="1">
      <c r="A404" s="11">
        <f t="shared" si="77"/>
        <v>402</v>
      </c>
      <c r="B404" s="12"/>
      <c r="C404" s="8">
        <v>2974</v>
      </c>
      <c r="D404" s="103" t="s">
        <v>2761</v>
      </c>
      <c r="E404" s="201" t="s">
        <v>2762</v>
      </c>
      <c r="F404" s="218" t="s">
        <v>2444</v>
      </c>
      <c r="G404" s="219" t="s">
        <v>2763</v>
      </c>
      <c r="H404" s="24" t="s">
        <v>104</v>
      </c>
      <c r="I404" s="25" t="s">
        <v>105</v>
      </c>
      <c r="J404" s="82" t="s">
        <v>173</v>
      </c>
      <c r="K404" s="26">
        <v>28470</v>
      </c>
      <c r="L404" s="66" t="s">
        <v>174</v>
      </c>
      <c r="M404" s="23">
        <v>43636</v>
      </c>
      <c r="N404" s="23"/>
      <c r="O404" s="23" t="s">
        <v>32</v>
      </c>
      <c r="P404" s="16" t="s">
        <v>80</v>
      </c>
      <c r="Q404" s="16" t="s">
        <v>176</v>
      </c>
      <c r="R404" s="11" t="s">
        <v>177</v>
      </c>
      <c r="S404" s="11" t="s">
        <v>2425</v>
      </c>
      <c r="T404" s="159"/>
      <c r="U404" s="159"/>
      <c r="V404" s="19" t="s">
        <v>179</v>
      </c>
      <c r="W404" s="19" t="s">
        <v>179</v>
      </c>
      <c r="X404" s="1">
        <v>6</v>
      </c>
      <c r="Y404" s="160" t="s">
        <v>2764</v>
      </c>
      <c r="Z404" s="70"/>
      <c r="AA404" s="70" t="s">
        <v>181</v>
      </c>
      <c r="AB404" s="1"/>
      <c r="AC404" s="107"/>
      <c r="AD404" s="202"/>
      <c r="AE404" s="202"/>
      <c r="AF404" s="203"/>
      <c r="AG404" s="204"/>
      <c r="AH404" s="205"/>
      <c r="AI404" s="205"/>
      <c r="AJ404" s="81" t="s">
        <v>198</v>
      </c>
      <c r="AK404" s="81" t="s">
        <v>185</v>
      </c>
      <c r="AL404" s="81" t="s">
        <v>185</v>
      </c>
      <c r="AM404" s="107" t="s">
        <v>2349</v>
      </c>
      <c r="AN404" s="20">
        <v>182</v>
      </c>
      <c r="AO404" s="20">
        <v>0</v>
      </c>
      <c r="AP404" s="20">
        <v>0</v>
      </c>
      <c r="AQ404" s="20">
        <v>0</v>
      </c>
      <c r="AR404" s="20">
        <v>0</v>
      </c>
      <c r="AS404" s="20">
        <v>7</v>
      </c>
      <c r="AT404" s="20">
        <v>10</v>
      </c>
      <c r="AU404" s="300">
        <f t="shared" si="67"/>
        <v>199</v>
      </c>
      <c r="AV404" s="20">
        <v>190</v>
      </c>
      <c r="AW404" s="20">
        <v>0</v>
      </c>
      <c r="AX404" s="20">
        <v>0</v>
      </c>
      <c r="AY404" s="20">
        <v>0</v>
      </c>
      <c r="AZ404" s="20">
        <v>0</v>
      </c>
      <c r="BA404" s="20">
        <v>7</v>
      </c>
      <c r="BB404" s="20">
        <v>10</v>
      </c>
      <c r="BC404" s="300">
        <f t="shared" si="68"/>
        <v>207</v>
      </c>
      <c r="BD404" s="42">
        <f t="shared" si="69"/>
        <v>8</v>
      </c>
      <c r="BE404" s="42">
        <f t="shared" si="70"/>
        <v>0</v>
      </c>
      <c r="BF404" s="42">
        <f t="shared" si="71"/>
        <v>0</v>
      </c>
      <c r="BG404" s="42">
        <f t="shared" si="72"/>
        <v>0</v>
      </c>
      <c r="BH404" s="42">
        <f t="shared" si="73"/>
        <v>0</v>
      </c>
      <c r="BI404" s="42">
        <f t="shared" si="74"/>
        <v>0</v>
      </c>
      <c r="BJ404" s="42">
        <f t="shared" si="75"/>
        <v>0</v>
      </c>
      <c r="BK404" s="42">
        <f t="shared" si="76"/>
        <v>8</v>
      </c>
    </row>
    <row r="405" spans="1:63" ht="27" customHeight="1">
      <c r="A405" s="11">
        <f t="shared" si="77"/>
        <v>403</v>
      </c>
      <c r="B405" s="12"/>
      <c r="C405" s="8">
        <v>2929</v>
      </c>
      <c r="D405" s="103" t="s">
        <v>2765</v>
      </c>
      <c r="E405" s="201" t="s">
        <v>2766</v>
      </c>
      <c r="F405" s="218" t="s">
        <v>309</v>
      </c>
      <c r="G405" s="219" t="s">
        <v>2767</v>
      </c>
      <c r="H405" s="24" t="s">
        <v>2768</v>
      </c>
      <c r="I405" s="25" t="s">
        <v>2769</v>
      </c>
      <c r="J405" s="82" t="s">
        <v>173</v>
      </c>
      <c r="K405" s="26">
        <v>29869</v>
      </c>
      <c r="L405" s="66" t="s">
        <v>174</v>
      </c>
      <c r="M405" s="23">
        <v>43800</v>
      </c>
      <c r="N405" s="23">
        <v>43620</v>
      </c>
      <c r="O405" s="23" t="s">
        <v>32</v>
      </c>
      <c r="P405" s="16" t="s">
        <v>260</v>
      </c>
      <c r="Q405" s="16" t="s">
        <v>176</v>
      </c>
      <c r="R405" s="11" t="s">
        <v>177</v>
      </c>
      <c r="S405" s="11" t="s">
        <v>2770</v>
      </c>
      <c r="T405" s="159"/>
      <c r="U405" s="159"/>
      <c r="V405" s="19" t="s">
        <v>195</v>
      </c>
      <c r="W405" s="19" t="s">
        <v>179</v>
      </c>
      <c r="X405" s="1">
        <v>5</v>
      </c>
      <c r="Y405" s="160" t="s">
        <v>2771</v>
      </c>
      <c r="Z405" s="70"/>
      <c r="AA405" s="70" t="s">
        <v>181</v>
      </c>
      <c r="AB405" s="1"/>
      <c r="AC405" s="107"/>
      <c r="AD405" s="202" t="s">
        <v>183</v>
      </c>
      <c r="AE405" s="202" t="s">
        <v>184</v>
      </c>
      <c r="AF405" s="203"/>
      <c r="AG405" s="204"/>
      <c r="AH405" s="205"/>
      <c r="AI405" s="205"/>
      <c r="AJ405" s="81" t="s">
        <v>198</v>
      </c>
      <c r="AK405" s="81" t="s">
        <v>185</v>
      </c>
      <c r="AL405" s="81" t="s">
        <v>185</v>
      </c>
      <c r="AM405" s="107" t="s">
        <v>2349</v>
      </c>
      <c r="AN405" s="20">
        <v>182</v>
      </c>
      <c r="AO405" s="20">
        <v>0</v>
      </c>
      <c r="AP405" s="20">
        <v>0</v>
      </c>
      <c r="AQ405" s="20">
        <v>0</v>
      </c>
      <c r="AR405" s="20">
        <v>0</v>
      </c>
      <c r="AS405" s="20">
        <v>7</v>
      </c>
      <c r="AT405" s="20">
        <v>10</v>
      </c>
      <c r="AU405" s="300">
        <f t="shared" si="67"/>
        <v>199</v>
      </c>
      <c r="AV405" s="20">
        <v>190</v>
      </c>
      <c r="AW405" s="20">
        <v>0</v>
      </c>
      <c r="AX405" s="20">
        <v>0</v>
      </c>
      <c r="AY405" s="20">
        <v>0</v>
      </c>
      <c r="AZ405" s="20">
        <v>0</v>
      </c>
      <c r="BA405" s="20">
        <v>7</v>
      </c>
      <c r="BB405" s="20">
        <v>10</v>
      </c>
      <c r="BC405" s="300">
        <f t="shared" si="68"/>
        <v>207</v>
      </c>
      <c r="BD405" s="42">
        <f t="shared" si="69"/>
        <v>8</v>
      </c>
      <c r="BE405" s="42">
        <f t="shared" si="70"/>
        <v>0</v>
      </c>
      <c r="BF405" s="42">
        <f t="shared" si="71"/>
        <v>0</v>
      </c>
      <c r="BG405" s="42">
        <f t="shared" si="72"/>
        <v>0</v>
      </c>
      <c r="BH405" s="42">
        <f t="shared" si="73"/>
        <v>0</v>
      </c>
      <c r="BI405" s="42">
        <f t="shared" si="74"/>
        <v>0</v>
      </c>
      <c r="BJ405" s="42">
        <f t="shared" si="75"/>
        <v>0</v>
      </c>
      <c r="BK405" s="42">
        <f t="shared" si="76"/>
        <v>8</v>
      </c>
    </row>
    <row r="406" spans="1:63" ht="27" customHeight="1">
      <c r="A406" s="11">
        <f t="shared" si="77"/>
        <v>404</v>
      </c>
      <c r="B406" s="12"/>
      <c r="C406" s="8">
        <v>2931</v>
      </c>
      <c r="D406" s="103" t="s">
        <v>2772</v>
      </c>
      <c r="E406" s="201" t="s">
        <v>2773</v>
      </c>
      <c r="F406" s="218" t="s">
        <v>190</v>
      </c>
      <c r="G406" s="219" t="s">
        <v>2774</v>
      </c>
      <c r="H406" s="24" t="s">
        <v>95</v>
      </c>
      <c r="I406" s="25" t="s">
        <v>2775</v>
      </c>
      <c r="J406" s="82" t="s">
        <v>173</v>
      </c>
      <c r="K406" s="26">
        <v>29317</v>
      </c>
      <c r="L406" s="66" t="s">
        <v>174</v>
      </c>
      <c r="M406" s="23">
        <v>43800</v>
      </c>
      <c r="N406" s="23">
        <v>43621</v>
      </c>
      <c r="O406" s="23" t="s">
        <v>32</v>
      </c>
      <c r="P406" s="16" t="s">
        <v>260</v>
      </c>
      <c r="Q406" s="16" t="s">
        <v>176</v>
      </c>
      <c r="R406" s="11" t="s">
        <v>177</v>
      </c>
      <c r="S406" s="11" t="s">
        <v>2425</v>
      </c>
      <c r="T406" s="159"/>
      <c r="U406" s="159"/>
      <c r="V406" s="19" t="s">
        <v>195</v>
      </c>
      <c r="W406" s="19" t="s">
        <v>195</v>
      </c>
      <c r="X406" s="1">
        <v>7</v>
      </c>
      <c r="Y406" s="160" t="s">
        <v>2776</v>
      </c>
      <c r="Z406" s="70"/>
      <c r="AA406" s="70" t="s">
        <v>181</v>
      </c>
      <c r="AB406" s="1"/>
      <c r="AC406" s="107"/>
      <c r="AD406" s="202" t="s">
        <v>183</v>
      </c>
      <c r="AE406" s="202" t="s">
        <v>184</v>
      </c>
      <c r="AF406" s="203"/>
      <c r="AG406" s="204"/>
      <c r="AH406" s="205"/>
      <c r="AI406" s="205"/>
      <c r="AJ406" s="81" t="s">
        <v>198</v>
      </c>
      <c r="AK406" s="81" t="s">
        <v>185</v>
      </c>
      <c r="AL406" s="81" t="s">
        <v>185</v>
      </c>
      <c r="AM406" s="107" t="s">
        <v>2349</v>
      </c>
      <c r="AN406" s="20">
        <v>182</v>
      </c>
      <c r="AO406" s="20">
        <v>0</v>
      </c>
      <c r="AP406" s="20">
        <v>0</v>
      </c>
      <c r="AQ406" s="20">
        <v>0</v>
      </c>
      <c r="AR406" s="20">
        <v>0</v>
      </c>
      <c r="AS406" s="20">
        <v>7</v>
      </c>
      <c r="AT406" s="20">
        <v>10</v>
      </c>
      <c r="AU406" s="300">
        <f t="shared" si="67"/>
        <v>199</v>
      </c>
      <c r="AV406" s="20">
        <v>190</v>
      </c>
      <c r="AW406" s="20">
        <v>0</v>
      </c>
      <c r="AX406" s="20">
        <v>0</v>
      </c>
      <c r="AY406" s="20">
        <v>0</v>
      </c>
      <c r="AZ406" s="20">
        <v>0</v>
      </c>
      <c r="BA406" s="20">
        <v>7</v>
      </c>
      <c r="BB406" s="20">
        <v>10</v>
      </c>
      <c r="BC406" s="300">
        <f t="shared" si="68"/>
        <v>207</v>
      </c>
      <c r="BD406" s="42">
        <f t="shared" si="69"/>
        <v>8</v>
      </c>
      <c r="BE406" s="42">
        <f t="shared" si="70"/>
        <v>0</v>
      </c>
      <c r="BF406" s="42">
        <f t="shared" si="71"/>
        <v>0</v>
      </c>
      <c r="BG406" s="42">
        <f t="shared" si="72"/>
        <v>0</v>
      </c>
      <c r="BH406" s="42">
        <f t="shared" si="73"/>
        <v>0</v>
      </c>
      <c r="BI406" s="42">
        <f t="shared" si="74"/>
        <v>0</v>
      </c>
      <c r="BJ406" s="42">
        <f t="shared" si="75"/>
        <v>0</v>
      </c>
      <c r="BK406" s="42">
        <f t="shared" si="76"/>
        <v>8</v>
      </c>
    </row>
    <row r="407" spans="1:63" ht="27" customHeight="1">
      <c r="A407" s="11">
        <f t="shared" si="77"/>
        <v>405</v>
      </c>
      <c r="B407" s="12"/>
      <c r="C407" s="8">
        <v>2928</v>
      </c>
      <c r="D407" s="103" t="s">
        <v>2777</v>
      </c>
      <c r="E407" s="201" t="s">
        <v>2778</v>
      </c>
      <c r="F407" s="218" t="s">
        <v>1440</v>
      </c>
      <c r="G407" s="219" t="s">
        <v>1844</v>
      </c>
      <c r="H407" s="24" t="s">
        <v>2779</v>
      </c>
      <c r="I407" s="25" t="s">
        <v>2780</v>
      </c>
      <c r="J407" s="82" t="s">
        <v>173</v>
      </c>
      <c r="K407" s="26">
        <v>32664</v>
      </c>
      <c r="L407" s="66" t="s">
        <v>174</v>
      </c>
      <c r="M407" s="23">
        <v>43800</v>
      </c>
      <c r="N407" s="23">
        <v>43620</v>
      </c>
      <c r="O407" s="23" t="s">
        <v>32</v>
      </c>
      <c r="P407" s="16" t="s">
        <v>507</v>
      </c>
      <c r="Q407" s="16" t="s">
        <v>176</v>
      </c>
      <c r="R407" s="11" t="s">
        <v>177</v>
      </c>
      <c r="S407" s="11" t="s">
        <v>2425</v>
      </c>
      <c r="T407" s="159"/>
      <c r="U407" s="159"/>
      <c r="V407" s="19" t="s">
        <v>179</v>
      </c>
      <c r="W407" s="19" t="s">
        <v>195</v>
      </c>
      <c r="X407" s="1">
        <v>9</v>
      </c>
      <c r="Y407" s="160" t="s">
        <v>2781</v>
      </c>
      <c r="Z407" s="70"/>
      <c r="AA407" s="70" t="s">
        <v>181</v>
      </c>
      <c r="AB407" s="1"/>
      <c r="AC407" s="107"/>
      <c r="AD407" s="202" t="s">
        <v>183</v>
      </c>
      <c r="AE407" s="202" t="s">
        <v>184</v>
      </c>
      <c r="AF407" s="203"/>
      <c r="AG407" s="204"/>
      <c r="AH407" s="205"/>
      <c r="AI407" s="205"/>
      <c r="AJ407" s="81" t="s">
        <v>198</v>
      </c>
      <c r="AK407" s="81" t="s">
        <v>185</v>
      </c>
      <c r="AL407" s="81" t="s">
        <v>185</v>
      </c>
      <c r="AM407" s="107" t="s">
        <v>2349</v>
      </c>
      <c r="AN407" s="20">
        <v>182</v>
      </c>
      <c r="AO407" s="20">
        <v>0</v>
      </c>
      <c r="AP407" s="20">
        <v>0</v>
      </c>
      <c r="AQ407" s="20">
        <v>0</v>
      </c>
      <c r="AR407" s="20">
        <v>0</v>
      </c>
      <c r="AS407" s="20">
        <v>7</v>
      </c>
      <c r="AT407" s="20">
        <v>10</v>
      </c>
      <c r="AU407" s="300">
        <f t="shared" si="67"/>
        <v>199</v>
      </c>
      <c r="AV407" s="20">
        <v>190</v>
      </c>
      <c r="AW407" s="20">
        <v>0</v>
      </c>
      <c r="AX407" s="20">
        <v>0</v>
      </c>
      <c r="AY407" s="20">
        <v>0</v>
      </c>
      <c r="AZ407" s="20">
        <v>0</v>
      </c>
      <c r="BA407" s="20">
        <v>7</v>
      </c>
      <c r="BB407" s="20">
        <v>10</v>
      </c>
      <c r="BC407" s="300">
        <f t="shared" si="68"/>
        <v>207</v>
      </c>
      <c r="BD407" s="42">
        <f t="shared" si="69"/>
        <v>8</v>
      </c>
      <c r="BE407" s="42">
        <f t="shared" si="70"/>
        <v>0</v>
      </c>
      <c r="BF407" s="42">
        <f t="shared" si="71"/>
        <v>0</v>
      </c>
      <c r="BG407" s="42">
        <f t="shared" si="72"/>
        <v>0</v>
      </c>
      <c r="BH407" s="42">
        <f t="shared" si="73"/>
        <v>0</v>
      </c>
      <c r="BI407" s="42">
        <f t="shared" si="74"/>
        <v>0</v>
      </c>
      <c r="BJ407" s="42">
        <f t="shared" si="75"/>
        <v>0</v>
      </c>
      <c r="BK407" s="42">
        <f t="shared" si="76"/>
        <v>8</v>
      </c>
    </row>
    <row r="408" spans="1:63" ht="27" customHeight="1">
      <c r="A408" s="11">
        <f t="shared" si="77"/>
        <v>406</v>
      </c>
      <c r="B408" s="12"/>
      <c r="C408" s="8">
        <v>2927</v>
      </c>
      <c r="D408" s="103" t="s">
        <v>2782</v>
      </c>
      <c r="E408" s="201" t="s">
        <v>2783</v>
      </c>
      <c r="F408" s="218" t="s">
        <v>2784</v>
      </c>
      <c r="G408" s="219" t="s">
        <v>2785</v>
      </c>
      <c r="H408" s="24" t="s">
        <v>2177</v>
      </c>
      <c r="I408" s="25" t="s">
        <v>2651</v>
      </c>
      <c r="J408" s="82" t="s">
        <v>173</v>
      </c>
      <c r="K408" s="26">
        <v>35098</v>
      </c>
      <c r="L408" s="66" t="s">
        <v>174</v>
      </c>
      <c r="M408" s="23">
        <v>43800</v>
      </c>
      <c r="N408" s="23">
        <v>43620</v>
      </c>
      <c r="O408" s="23" t="s">
        <v>32</v>
      </c>
      <c r="P408" s="16" t="s">
        <v>343</v>
      </c>
      <c r="Q408" s="16" t="s">
        <v>176</v>
      </c>
      <c r="R408" s="11" t="s">
        <v>177</v>
      </c>
      <c r="S408" s="11" t="s">
        <v>2425</v>
      </c>
      <c r="T408" s="159"/>
      <c r="U408" s="159"/>
      <c r="V408" s="19" t="s">
        <v>179</v>
      </c>
      <c r="W408" s="19" t="s">
        <v>179</v>
      </c>
      <c r="X408" s="1">
        <v>11</v>
      </c>
      <c r="Y408" s="160" t="s">
        <v>2786</v>
      </c>
      <c r="Z408" s="70"/>
      <c r="AA408" s="70" t="s">
        <v>181</v>
      </c>
      <c r="AB408" s="1"/>
      <c r="AC408" s="107"/>
      <c r="AD408" s="202"/>
      <c r="AE408" s="202"/>
      <c r="AF408" s="203"/>
      <c r="AG408" s="204"/>
      <c r="AH408" s="205"/>
      <c r="AI408" s="205"/>
      <c r="AJ408" s="81" t="s">
        <v>198</v>
      </c>
      <c r="AK408" s="81" t="s">
        <v>185</v>
      </c>
      <c r="AL408" s="107"/>
      <c r="AM408" s="107" t="s">
        <v>2349</v>
      </c>
      <c r="AN408" s="20">
        <v>182</v>
      </c>
      <c r="AO408" s="20">
        <v>0</v>
      </c>
      <c r="AP408" s="20">
        <v>0</v>
      </c>
      <c r="AQ408" s="20">
        <v>0</v>
      </c>
      <c r="AR408" s="20">
        <v>0</v>
      </c>
      <c r="AS408" s="20">
        <v>7</v>
      </c>
      <c r="AT408" s="20">
        <v>10</v>
      </c>
      <c r="AU408" s="300">
        <f t="shared" si="67"/>
        <v>199</v>
      </c>
      <c r="AV408" s="20">
        <v>190</v>
      </c>
      <c r="AW408" s="20">
        <v>0</v>
      </c>
      <c r="AX408" s="20">
        <v>0</v>
      </c>
      <c r="AY408" s="20">
        <v>0</v>
      </c>
      <c r="AZ408" s="20">
        <v>0</v>
      </c>
      <c r="BA408" s="20">
        <v>7</v>
      </c>
      <c r="BB408" s="20">
        <v>10</v>
      </c>
      <c r="BC408" s="300">
        <f t="shared" si="68"/>
        <v>207</v>
      </c>
      <c r="BD408" s="42">
        <f t="shared" si="69"/>
        <v>8</v>
      </c>
      <c r="BE408" s="42">
        <f t="shared" si="70"/>
        <v>0</v>
      </c>
      <c r="BF408" s="42">
        <f t="shared" si="71"/>
        <v>0</v>
      </c>
      <c r="BG408" s="42">
        <f t="shared" si="72"/>
        <v>0</v>
      </c>
      <c r="BH408" s="42">
        <f t="shared" si="73"/>
        <v>0</v>
      </c>
      <c r="BI408" s="42">
        <f t="shared" si="74"/>
        <v>0</v>
      </c>
      <c r="BJ408" s="42">
        <f t="shared" si="75"/>
        <v>0</v>
      </c>
      <c r="BK408" s="42">
        <f t="shared" si="76"/>
        <v>8</v>
      </c>
    </row>
    <row r="409" spans="1:63" ht="27" customHeight="1">
      <c r="A409" s="11">
        <f t="shared" si="77"/>
        <v>407</v>
      </c>
      <c r="B409" s="12"/>
      <c r="C409" s="8">
        <v>2934</v>
      </c>
      <c r="D409" s="103" t="s">
        <v>2787</v>
      </c>
      <c r="E409" s="201" t="s">
        <v>291</v>
      </c>
      <c r="F409" s="218" t="s">
        <v>684</v>
      </c>
      <c r="G409" s="219" t="s">
        <v>2788</v>
      </c>
      <c r="H409" s="24" t="s">
        <v>2789</v>
      </c>
      <c r="I409" s="25" t="s">
        <v>2790</v>
      </c>
      <c r="J409" s="82" t="s">
        <v>173</v>
      </c>
      <c r="K409" s="26">
        <v>32174</v>
      </c>
      <c r="L409" s="66" t="s">
        <v>174</v>
      </c>
      <c r="M409" s="23">
        <v>43800</v>
      </c>
      <c r="N409" s="23">
        <v>43623</v>
      </c>
      <c r="O409" s="23" t="s">
        <v>32</v>
      </c>
      <c r="P409" s="16" t="s">
        <v>2493</v>
      </c>
      <c r="Q409" s="16" t="s">
        <v>244</v>
      </c>
      <c r="R409" s="11" t="s">
        <v>177</v>
      </c>
      <c r="S409" s="11" t="s">
        <v>2354</v>
      </c>
      <c r="T409" s="159"/>
      <c r="U409" s="159"/>
      <c r="V409" s="19" t="s">
        <v>195</v>
      </c>
      <c r="W409" s="19" t="s">
        <v>195</v>
      </c>
      <c r="X409" s="1">
        <v>9</v>
      </c>
      <c r="Y409" s="160" t="s">
        <v>2791</v>
      </c>
      <c r="Z409" s="70"/>
      <c r="AA409" s="70" t="s">
        <v>181</v>
      </c>
      <c r="AB409" s="1"/>
      <c r="AC409" s="107"/>
      <c r="AD409" s="202" t="s">
        <v>183</v>
      </c>
      <c r="AE409" s="202" t="s">
        <v>184</v>
      </c>
      <c r="AF409" s="203"/>
      <c r="AG409" s="204"/>
      <c r="AH409" s="205"/>
      <c r="AI409" s="205"/>
      <c r="AJ409" s="81" t="s">
        <v>198</v>
      </c>
      <c r="AK409" s="81" t="s">
        <v>185</v>
      </c>
      <c r="AL409" s="81" t="s">
        <v>185</v>
      </c>
      <c r="AM409" s="107" t="s">
        <v>2349</v>
      </c>
      <c r="AN409" s="20">
        <v>182</v>
      </c>
      <c r="AO409" s="20">
        <v>0</v>
      </c>
      <c r="AP409" s="20">
        <v>20</v>
      </c>
      <c r="AQ409" s="20">
        <v>0</v>
      </c>
      <c r="AR409" s="20">
        <v>0</v>
      </c>
      <c r="AS409" s="20">
        <v>7</v>
      </c>
      <c r="AT409" s="20">
        <v>10</v>
      </c>
      <c r="AU409" s="300">
        <f t="shared" si="67"/>
        <v>219</v>
      </c>
      <c r="AV409" s="20">
        <v>190</v>
      </c>
      <c r="AW409" s="20">
        <v>0</v>
      </c>
      <c r="AX409" s="20">
        <v>20</v>
      </c>
      <c r="AY409" s="20">
        <v>0</v>
      </c>
      <c r="AZ409" s="20">
        <v>0</v>
      </c>
      <c r="BA409" s="20">
        <v>7</v>
      </c>
      <c r="BB409" s="20">
        <v>10</v>
      </c>
      <c r="BC409" s="300">
        <f t="shared" si="68"/>
        <v>227</v>
      </c>
      <c r="BD409" s="42">
        <f t="shared" si="69"/>
        <v>8</v>
      </c>
      <c r="BE409" s="42">
        <f t="shared" si="70"/>
        <v>0</v>
      </c>
      <c r="BF409" s="42">
        <f t="shared" si="71"/>
        <v>0</v>
      </c>
      <c r="BG409" s="42">
        <f t="shared" si="72"/>
        <v>0</v>
      </c>
      <c r="BH409" s="42">
        <f t="shared" si="73"/>
        <v>0</v>
      </c>
      <c r="BI409" s="42">
        <f t="shared" si="74"/>
        <v>0</v>
      </c>
      <c r="BJ409" s="42">
        <f t="shared" si="75"/>
        <v>0</v>
      </c>
      <c r="BK409" s="42">
        <f t="shared" si="76"/>
        <v>8</v>
      </c>
    </row>
    <row r="410" spans="1:63" ht="27" customHeight="1">
      <c r="A410" s="11">
        <f t="shared" si="77"/>
        <v>408</v>
      </c>
      <c r="B410" s="12"/>
      <c r="C410" s="8">
        <v>2938</v>
      </c>
      <c r="D410" s="103" t="s">
        <v>2792</v>
      </c>
      <c r="E410" s="201" t="s">
        <v>2793</v>
      </c>
      <c r="F410" s="218" t="s">
        <v>1446</v>
      </c>
      <c r="G410" s="219" t="s">
        <v>1361</v>
      </c>
      <c r="H410" s="24" t="s">
        <v>106</v>
      </c>
      <c r="I410" s="25" t="s">
        <v>107</v>
      </c>
      <c r="J410" s="82" t="s">
        <v>173</v>
      </c>
      <c r="K410" s="26">
        <v>33975</v>
      </c>
      <c r="L410" s="66" t="s">
        <v>174</v>
      </c>
      <c r="M410" s="23">
        <v>43800</v>
      </c>
      <c r="N410" s="23">
        <v>43623</v>
      </c>
      <c r="O410" s="23" t="s">
        <v>32</v>
      </c>
      <c r="P410" s="16" t="s">
        <v>80</v>
      </c>
      <c r="Q410" s="16" t="s">
        <v>176</v>
      </c>
      <c r="R410" s="11" t="s">
        <v>177</v>
      </c>
      <c r="S410" s="11" t="s">
        <v>2354</v>
      </c>
      <c r="T410" s="159"/>
      <c r="U410" s="159"/>
      <c r="V410" s="19" t="s">
        <v>179</v>
      </c>
      <c r="W410" s="19" t="s">
        <v>179</v>
      </c>
      <c r="X410" s="1">
        <v>7</v>
      </c>
      <c r="Y410" s="160" t="s">
        <v>2794</v>
      </c>
      <c r="Z410" s="70"/>
      <c r="AA410" s="70" t="s">
        <v>181</v>
      </c>
      <c r="AB410" s="1"/>
      <c r="AC410" s="107"/>
      <c r="AD410" s="202"/>
      <c r="AE410" s="202"/>
      <c r="AF410" s="203"/>
      <c r="AG410" s="204"/>
      <c r="AH410" s="205"/>
      <c r="AI410" s="205"/>
      <c r="AJ410" s="81" t="s">
        <v>198</v>
      </c>
      <c r="AK410" s="81" t="s">
        <v>185</v>
      </c>
      <c r="AL410" s="81" t="s">
        <v>185</v>
      </c>
      <c r="AM410" s="107" t="s">
        <v>2349</v>
      </c>
      <c r="AN410" s="20">
        <v>182</v>
      </c>
      <c r="AO410" s="20">
        <v>0</v>
      </c>
      <c r="AP410" s="20">
        <v>0</v>
      </c>
      <c r="AQ410" s="20">
        <v>0</v>
      </c>
      <c r="AR410" s="20">
        <v>0</v>
      </c>
      <c r="AS410" s="20">
        <v>7</v>
      </c>
      <c r="AT410" s="20">
        <v>10</v>
      </c>
      <c r="AU410" s="300">
        <f t="shared" si="67"/>
        <v>199</v>
      </c>
      <c r="AV410" s="20">
        <v>190</v>
      </c>
      <c r="AW410" s="20">
        <v>0</v>
      </c>
      <c r="AX410" s="20">
        <v>0</v>
      </c>
      <c r="AY410" s="20">
        <v>0</v>
      </c>
      <c r="AZ410" s="20">
        <v>0</v>
      </c>
      <c r="BA410" s="20">
        <v>7</v>
      </c>
      <c r="BB410" s="20">
        <v>10</v>
      </c>
      <c r="BC410" s="300">
        <f t="shared" si="68"/>
        <v>207</v>
      </c>
      <c r="BD410" s="42">
        <f t="shared" si="69"/>
        <v>8</v>
      </c>
      <c r="BE410" s="42">
        <f t="shared" si="70"/>
        <v>0</v>
      </c>
      <c r="BF410" s="42">
        <f t="shared" si="71"/>
        <v>0</v>
      </c>
      <c r="BG410" s="42">
        <f t="shared" si="72"/>
        <v>0</v>
      </c>
      <c r="BH410" s="42">
        <f t="shared" si="73"/>
        <v>0</v>
      </c>
      <c r="BI410" s="42">
        <f t="shared" si="74"/>
        <v>0</v>
      </c>
      <c r="BJ410" s="42">
        <f t="shared" si="75"/>
        <v>0</v>
      </c>
      <c r="BK410" s="42">
        <f t="shared" si="76"/>
        <v>8</v>
      </c>
    </row>
    <row r="411" spans="1:63" ht="27" customHeight="1">
      <c r="A411" s="11">
        <f t="shared" si="77"/>
        <v>409</v>
      </c>
      <c r="B411" s="12"/>
      <c r="C411" s="8">
        <v>2981</v>
      </c>
      <c r="D411" s="103" t="s">
        <v>2795</v>
      </c>
      <c r="E411" s="201" t="s">
        <v>2796</v>
      </c>
      <c r="F411" s="218" t="s">
        <v>1173</v>
      </c>
      <c r="G411" s="219" t="s">
        <v>2797</v>
      </c>
      <c r="H411" s="24" t="s">
        <v>2798</v>
      </c>
      <c r="I411" s="25" t="s">
        <v>2799</v>
      </c>
      <c r="J411" s="82" t="s">
        <v>173</v>
      </c>
      <c r="K411" s="26">
        <v>35500</v>
      </c>
      <c r="L411" s="66" t="s">
        <v>174</v>
      </c>
      <c r="M411" s="23">
        <v>43644</v>
      </c>
      <c r="N411" s="23"/>
      <c r="O411" s="23" t="s">
        <v>32</v>
      </c>
      <c r="P411" s="16" t="s">
        <v>556</v>
      </c>
      <c r="Q411" s="16" t="s">
        <v>176</v>
      </c>
      <c r="R411" s="11" t="s">
        <v>177</v>
      </c>
      <c r="S411" s="11" t="s">
        <v>2379</v>
      </c>
      <c r="T411" s="159"/>
      <c r="U411" s="159"/>
      <c r="V411" s="19" t="s">
        <v>179</v>
      </c>
      <c r="W411" s="19" t="s">
        <v>179</v>
      </c>
      <c r="X411" s="1">
        <v>7</v>
      </c>
      <c r="Y411" s="160" t="s">
        <v>2800</v>
      </c>
      <c r="Z411" s="70" t="s">
        <v>181</v>
      </c>
      <c r="AA411" s="70"/>
      <c r="AB411" s="1"/>
      <c r="AC411" s="107"/>
      <c r="AD411" s="202"/>
      <c r="AE411" s="202"/>
      <c r="AF411" s="203"/>
      <c r="AG411" s="204"/>
      <c r="AH411" s="205"/>
      <c r="AI411" s="205"/>
      <c r="AJ411" s="81" t="s">
        <v>198</v>
      </c>
      <c r="AK411" s="81" t="s">
        <v>185</v>
      </c>
      <c r="AL411" s="81" t="s">
        <v>185</v>
      </c>
      <c r="AM411" s="107" t="s">
        <v>2801</v>
      </c>
      <c r="AN411" s="20">
        <v>182</v>
      </c>
      <c r="AO411" s="20">
        <v>0</v>
      </c>
      <c r="AP411" s="20">
        <v>0</v>
      </c>
      <c r="AQ411" s="20">
        <v>0</v>
      </c>
      <c r="AR411" s="20">
        <v>0</v>
      </c>
      <c r="AS411" s="20">
        <v>7</v>
      </c>
      <c r="AT411" s="20">
        <v>10</v>
      </c>
      <c r="AU411" s="300">
        <f t="shared" si="67"/>
        <v>199</v>
      </c>
      <c r="AV411" s="20">
        <v>190</v>
      </c>
      <c r="AW411" s="20">
        <v>0</v>
      </c>
      <c r="AX411" s="20">
        <v>0</v>
      </c>
      <c r="AY411" s="20">
        <v>0</v>
      </c>
      <c r="AZ411" s="20">
        <v>0</v>
      </c>
      <c r="BA411" s="20">
        <v>7</v>
      </c>
      <c r="BB411" s="20">
        <v>10</v>
      </c>
      <c r="BC411" s="300">
        <f t="shared" si="68"/>
        <v>207</v>
      </c>
      <c r="BD411" s="42">
        <f t="shared" si="69"/>
        <v>8</v>
      </c>
      <c r="BE411" s="42">
        <f t="shared" si="70"/>
        <v>0</v>
      </c>
      <c r="BF411" s="42">
        <f t="shared" si="71"/>
        <v>0</v>
      </c>
      <c r="BG411" s="42">
        <f t="shared" si="72"/>
        <v>0</v>
      </c>
      <c r="BH411" s="42">
        <f t="shared" si="73"/>
        <v>0</v>
      </c>
      <c r="BI411" s="42">
        <f t="shared" si="74"/>
        <v>0</v>
      </c>
      <c r="BJ411" s="42">
        <f t="shared" si="75"/>
        <v>0</v>
      </c>
      <c r="BK411" s="42">
        <f t="shared" si="76"/>
        <v>8</v>
      </c>
    </row>
    <row r="412" spans="1:63" ht="27" customHeight="1">
      <c r="A412" s="11">
        <f t="shared" si="77"/>
        <v>410</v>
      </c>
      <c r="B412" s="12"/>
      <c r="C412" s="8">
        <v>2963</v>
      </c>
      <c r="D412" s="103" t="s">
        <v>2802</v>
      </c>
      <c r="E412" s="201" t="s">
        <v>2803</v>
      </c>
      <c r="F412" s="218" t="s">
        <v>2804</v>
      </c>
      <c r="G412" s="219" t="s">
        <v>2805</v>
      </c>
      <c r="H412" s="24" t="s">
        <v>2806</v>
      </c>
      <c r="I412" s="25" t="s">
        <v>2807</v>
      </c>
      <c r="J412" s="82" t="s">
        <v>173</v>
      </c>
      <c r="K412" s="26">
        <v>35534</v>
      </c>
      <c r="L412" s="66" t="s">
        <v>174</v>
      </c>
      <c r="M412" s="23">
        <v>43635</v>
      </c>
      <c r="N412" s="23"/>
      <c r="O412" s="23" t="s">
        <v>32</v>
      </c>
      <c r="P412" s="16" t="s">
        <v>296</v>
      </c>
      <c r="Q412" s="16" t="s">
        <v>176</v>
      </c>
      <c r="R412" s="11" t="s">
        <v>177</v>
      </c>
      <c r="S412" s="11" t="s">
        <v>2500</v>
      </c>
      <c r="T412" s="159"/>
      <c r="U412" s="159"/>
      <c r="V412" s="19" t="s">
        <v>179</v>
      </c>
      <c r="W412" s="19" t="s">
        <v>195</v>
      </c>
      <c r="X412" s="1">
        <v>7</v>
      </c>
      <c r="Y412" s="160" t="s">
        <v>2808</v>
      </c>
      <c r="Z412" s="70" t="s">
        <v>181</v>
      </c>
      <c r="AA412" s="70"/>
      <c r="AB412" s="1"/>
      <c r="AC412" s="107"/>
      <c r="AD412" s="202"/>
      <c r="AE412" s="202"/>
      <c r="AF412" s="203"/>
      <c r="AG412" s="204"/>
      <c r="AH412" s="205"/>
      <c r="AI412" s="205"/>
      <c r="AJ412" s="81" t="s">
        <v>198</v>
      </c>
      <c r="AK412" s="81" t="s">
        <v>185</v>
      </c>
      <c r="AL412" s="81" t="s">
        <v>185</v>
      </c>
      <c r="AM412" s="107" t="s">
        <v>2349</v>
      </c>
      <c r="AN412" s="20">
        <v>182</v>
      </c>
      <c r="AO412" s="20">
        <v>0</v>
      </c>
      <c r="AP412" s="20">
        <v>0</v>
      </c>
      <c r="AQ412" s="20">
        <v>0</v>
      </c>
      <c r="AR412" s="20">
        <v>0</v>
      </c>
      <c r="AS412" s="20">
        <v>7</v>
      </c>
      <c r="AT412" s="20">
        <v>10</v>
      </c>
      <c r="AU412" s="300">
        <f t="shared" si="67"/>
        <v>199</v>
      </c>
      <c r="AV412" s="20">
        <v>190</v>
      </c>
      <c r="AW412" s="20">
        <v>0</v>
      </c>
      <c r="AX412" s="20">
        <v>0</v>
      </c>
      <c r="AY412" s="20">
        <v>0</v>
      </c>
      <c r="AZ412" s="20">
        <v>0</v>
      </c>
      <c r="BA412" s="20">
        <v>7</v>
      </c>
      <c r="BB412" s="20">
        <v>10</v>
      </c>
      <c r="BC412" s="300">
        <f t="shared" si="68"/>
        <v>207</v>
      </c>
      <c r="BD412" s="42">
        <f t="shared" si="69"/>
        <v>8</v>
      </c>
      <c r="BE412" s="42">
        <f t="shared" si="70"/>
        <v>0</v>
      </c>
      <c r="BF412" s="42">
        <f t="shared" si="71"/>
        <v>0</v>
      </c>
      <c r="BG412" s="42">
        <f t="shared" si="72"/>
        <v>0</v>
      </c>
      <c r="BH412" s="42">
        <f t="shared" si="73"/>
        <v>0</v>
      </c>
      <c r="BI412" s="42">
        <f t="shared" si="74"/>
        <v>0</v>
      </c>
      <c r="BJ412" s="42">
        <f t="shared" si="75"/>
        <v>0</v>
      </c>
      <c r="BK412" s="42">
        <f t="shared" si="76"/>
        <v>8</v>
      </c>
    </row>
    <row r="413" spans="1:63" ht="27" customHeight="1">
      <c r="A413" s="11">
        <f t="shared" si="77"/>
        <v>411</v>
      </c>
      <c r="B413" s="12"/>
      <c r="C413" s="8">
        <v>2960</v>
      </c>
      <c r="D413" s="103">
        <v>0</v>
      </c>
      <c r="E413" s="201" t="s">
        <v>2809</v>
      </c>
      <c r="F413" s="218" t="s">
        <v>522</v>
      </c>
      <c r="G413" s="219" t="s">
        <v>2810</v>
      </c>
      <c r="H413" s="24" t="s">
        <v>89</v>
      </c>
      <c r="I413" s="25" t="s">
        <v>108</v>
      </c>
      <c r="J413" s="82" t="s">
        <v>204</v>
      </c>
      <c r="K413" s="26">
        <v>30319</v>
      </c>
      <c r="L413" s="66" t="s">
        <v>174</v>
      </c>
      <c r="M413" s="23">
        <v>43635</v>
      </c>
      <c r="N413" s="23"/>
      <c r="O413" s="23" t="s">
        <v>32</v>
      </c>
      <c r="P413" s="16" t="s">
        <v>80</v>
      </c>
      <c r="Q413" s="16" t="s">
        <v>176</v>
      </c>
      <c r="R413" s="11" t="s">
        <v>177</v>
      </c>
      <c r="S413" s="11" t="s">
        <v>326</v>
      </c>
      <c r="T413" s="159"/>
      <c r="U413" s="159"/>
      <c r="V413" s="19" t="s">
        <v>179</v>
      </c>
      <c r="W413" s="19" t="s">
        <v>195</v>
      </c>
      <c r="X413" s="1">
        <v>6</v>
      </c>
      <c r="Y413" s="160" t="s">
        <v>2811</v>
      </c>
      <c r="Z413" s="70"/>
      <c r="AA413" s="70" t="s">
        <v>181</v>
      </c>
      <c r="AB413" s="1"/>
      <c r="AC413" s="107"/>
      <c r="AD413" s="202"/>
      <c r="AE413" s="202"/>
      <c r="AF413" s="203"/>
      <c r="AG413" s="204"/>
      <c r="AH413" s="205"/>
      <c r="AI413" s="205"/>
      <c r="AJ413" s="81" t="s">
        <v>198</v>
      </c>
      <c r="AK413" s="81" t="s">
        <v>185</v>
      </c>
      <c r="AL413" s="81" t="s">
        <v>185</v>
      </c>
      <c r="AM413" s="107" t="s">
        <v>2344</v>
      </c>
      <c r="AN413" s="20">
        <v>182</v>
      </c>
      <c r="AO413" s="20">
        <v>0</v>
      </c>
      <c r="AP413" s="20">
        <v>0</v>
      </c>
      <c r="AQ413" s="20">
        <v>50</v>
      </c>
      <c r="AR413" s="20">
        <v>0</v>
      </c>
      <c r="AS413" s="20">
        <v>7</v>
      </c>
      <c r="AT413" s="20">
        <v>10</v>
      </c>
      <c r="AU413" s="300">
        <f t="shared" si="67"/>
        <v>249</v>
      </c>
      <c r="AV413" s="20">
        <v>190</v>
      </c>
      <c r="AW413" s="20">
        <v>0</v>
      </c>
      <c r="AX413" s="20">
        <v>0</v>
      </c>
      <c r="AY413" s="20">
        <v>50</v>
      </c>
      <c r="AZ413" s="20">
        <v>0</v>
      </c>
      <c r="BA413" s="20">
        <v>7</v>
      </c>
      <c r="BB413" s="20">
        <v>10</v>
      </c>
      <c r="BC413" s="300">
        <f t="shared" si="68"/>
        <v>257</v>
      </c>
      <c r="BD413" s="42">
        <f t="shared" si="69"/>
        <v>8</v>
      </c>
      <c r="BE413" s="42">
        <f t="shared" si="70"/>
        <v>0</v>
      </c>
      <c r="BF413" s="42">
        <f t="shared" si="71"/>
        <v>0</v>
      </c>
      <c r="BG413" s="42">
        <f t="shared" si="72"/>
        <v>0</v>
      </c>
      <c r="BH413" s="42">
        <f t="shared" si="73"/>
        <v>0</v>
      </c>
      <c r="BI413" s="42">
        <f t="shared" si="74"/>
        <v>0</v>
      </c>
      <c r="BJ413" s="42">
        <f t="shared" si="75"/>
        <v>0</v>
      </c>
      <c r="BK413" s="42">
        <f t="shared" si="76"/>
        <v>8</v>
      </c>
    </row>
    <row r="414" spans="1:63" ht="27" customHeight="1">
      <c r="A414" s="11">
        <f t="shared" si="77"/>
        <v>412</v>
      </c>
      <c r="B414" s="12"/>
      <c r="C414" s="8">
        <v>2973</v>
      </c>
      <c r="D414" s="103" t="s">
        <v>2812</v>
      </c>
      <c r="E414" s="201" t="s">
        <v>2813</v>
      </c>
      <c r="F414" s="218" t="s">
        <v>958</v>
      </c>
      <c r="G414" s="219" t="s">
        <v>2814</v>
      </c>
      <c r="H414" s="24" t="s">
        <v>959</v>
      </c>
      <c r="I414" s="25" t="s">
        <v>2815</v>
      </c>
      <c r="J414" s="82" t="s">
        <v>204</v>
      </c>
      <c r="K414" s="26">
        <v>28342</v>
      </c>
      <c r="L414" s="66" t="s">
        <v>174</v>
      </c>
      <c r="M414" s="23">
        <v>43637</v>
      </c>
      <c r="N414" s="23"/>
      <c r="O414" s="23" t="s">
        <v>32</v>
      </c>
      <c r="P414" s="16" t="s">
        <v>2816</v>
      </c>
      <c r="Q414" s="16" t="s">
        <v>244</v>
      </c>
      <c r="R414" s="11" t="s">
        <v>177</v>
      </c>
      <c r="S414" s="11" t="s">
        <v>2392</v>
      </c>
      <c r="T414" s="159"/>
      <c r="U414" s="159"/>
      <c r="V414" s="19" t="s">
        <v>179</v>
      </c>
      <c r="W414" s="19" t="s">
        <v>195</v>
      </c>
      <c r="X414" s="1">
        <v>5</v>
      </c>
      <c r="Y414" s="160"/>
      <c r="Z414" s="70"/>
      <c r="AA414" s="70" t="s">
        <v>181</v>
      </c>
      <c r="AB414" s="1"/>
      <c r="AC414" s="107"/>
      <c r="AD414" s="202"/>
      <c r="AE414" s="202"/>
      <c r="AF414" s="203"/>
      <c r="AG414" s="204"/>
      <c r="AH414" s="205"/>
      <c r="AI414" s="205"/>
      <c r="AJ414" s="81" t="s">
        <v>198</v>
      </c>
      <c r="AK414" s="81" t="s">
        <v>185</v>
      </c>
      <c r="AL414" s="81" t="s">
        <v>185</v>
      </c>
      <c r="AM414" s="107" t="s">
        <v>2801</v>
      </c>
      <c r="AN414" s="20">
        <v>182</v>
      </c>
      <c r="AO414" s="20">
        <v>0</v>
      </c>
      <c r="AP414" s="20">
        <v>20</v>
      </c>
      <c r="AQ414" s="20">
        <v>20</v>
      </c>
      <c r="AR414" s="20">
        <v>0</v>
      </c>
      <c r="AS414" s="20">
        <v>7</v>
      </c>
      <c r="AT414" s="20">
        <v>10</v>
      </c>
      <c r="AU414" s="300">
        <f t="shared" si="67"/>
        <v>239</v>
      </c>
      <c r="AV414" s="20">
        <v>190</v>
      </c>
      <c r="AW414" s="20">
        <v>0</v>
      </c>
      <c r="AX414" s="20">
        <v>20</v>
      </c>
      <c r="AY414" s="20">
        <v>20</v>
      </c>
      <c r="AZ414" s="20">
        <v>0</v>
      </c>
      <c r="BA414" s="20">
        <v>7</v>
      </c>
      <c r="BB414" s="20">
        <v>10</v>
      </c>
      <c r="BC414" s="300">
        <f t="shared" si="68"/>
        <v>247</v>
      </c>
      <c r="BD414" s="42">
        <f t="shared" si="69"/>
        <v>8</v>
      </c>
      <c r="BE414" s="42">
        <f t="shared" si="70"/>
        <v>0</v>
      </c>
      <c r="BF414" s="42">
        <f t="shared" si="71"/>
        <v>0</v>
      </c>
      <c r="BG414" s="42">
        <f t="shared" si="72"/>
        <v>0</v>
      </c>
      <c r="BH414" s="42">
        <f t="shared" si="73"/>
        <v>0</v>
      </c>
      <c r="BI414" s="42">
        <f t="shared" si="74"/>
        <v>0</v>
      </c>
      <c r="BJ414" s="42">
        <f t="shared" si="75"/>
        <v>0</v>
      </c>
      <c r="BK414" s="42">
        <f t="shared" si="76"/>
        <v>8</v>
      </c>
    </row>
    <row r="415" spans="1:63" ht="27" customHeight="1">
      <c r="A415" s="11">
        <f t="shared" si="77"/>
        <v>413</v>
      </c>
      <c r="B415" s="12"/>
      <c r="C415" s="8">
        <v>2972</v>
      </c>
      <c r="D415" s="103" t="s">
        <v>2817</v>
      </c>
      <c r="E415" s="201" t="s">
        <v>291</v>
      </c>
      <c r="F415" s="218" t="s">
        <v>891</v>
      </c>
      <c r="G415" s="219" t="s">
        <v>2818</v>
      </c>
      <c r="H415" s="24" t="s">
        <v>2819</v>
      </c>
      <c r="I415" s="25" t="s">
        <v>2820</v>
      </c>
      <c r="J415" s="82" t="s">
        <v>173</v>
      </c>
      <c r="K415" s="26">
        <v>28930</v>
      </c>
      <c r="L415" s="66" t="s">
        <v>174</v>
      </c>
      <c r="M415" s="23">
        <v>43637</v>
      </c>
      <c r="N415" s="23"/>
      <c r="O415" s="23" t="s">
        <v>32</v>
      </c>
      <c r="P415" s="16" t="s">
        <v>194</v>
      </c>
      <c r="Q415" s="16" t="s">
        <v>244</v>
      </c>
      <c r="R415" s="11" t="s">
        <v>177</v>
      </c>
      <c r="S415" s="11" t="s">
        <v>2354</v>
      </c>
      <c r="T415" s="159"/>
      <c r="U415" s="159"/>
      <c r="V415" s="19" t="s">
        <v>195</v>
      </c>
      <c r="W415" s="19" t="s">
        <v>195</v>
      </c>
      <c r="X415" s="1">
        <v>0</v>
      </c>
      <c r="Y415" s="160" t="s">
        <v>2821</v>
      </c>
      <c r="Z415" s="70"/>
      <c r="AA415" s="70" t="s">
        <v>181</v>
      </c>
      <c r="AB415" s="1"/>
      <c r="AC415" s="107"/>
      <c r="AD415" s="202"/>
      <c r="AE415" s="202"/>
      <c r="AF415" s="203"/>
      <c r="AG415" s="204"/>
      <c r="AH415" s="205"/>
      <c r="AI415" s="205"/>
      <c r="AJ415" s="81" t="s">
        <v>198</v>
      </c>
      <c r="AK415" s="81" t="s">
        <v>185</v>
      </c>
      <c r="AL415" s="81" t="s">
        <v>185</v>
      </c>
      <c r="AM415" s="107" t="s">
        <v>2801</v>
      </c>
      <c r="AN415" s="20">
        <v>182</v>
      </c>
      <c r="AO415" s="20">
        <v>0</v>
      </c>
      <c r="AP415" s="20">
        <v>20</v>
      </c>
      <c r="AQ415" s="20">
        <v>0</v>
      </c>
      <c r="AR415" s="20">
        <v>0</v>
      </c>
      <c r="AS415" s="20">
        <v>7</v>
      </c>
      <c r="AT415" s="20">
        <v>10</v>
      </c>
      <c r="AU415" s="300">
        <f t="shared" si="67"/>
        <v>219</v>
      </c>
      <c r="AV415" s="20">
        <v>190</v>
      </c>
      <c r="AW415" s="20">
        <v>0</v>
      </c>
      <c r="AX415" s="20">
        <v>20</v>
      </c>
      <c r="AY415" s="20">
        <v>0</v>
      </c>
      <c r="AZ415" s="20">
        <v>0</v>
      </c>
      <c r="BA415" s="20">
        <v>7</v>
      </c>
      <c r="BB415" s="20">
        <v>10</v>
      </c>
      <c r="BC415" s="300">
        <f t="shared" si="68"/>
        <v>227</v>
      </c>
      <c r="BD415" s="42">
        <f t="shared" si="69"/>
        <v>8</v>
      </c>
      <c r="BE415" s="42">
        <f t="shared" si="70"/>
        <v>0</v>
      </c>
      <c r="BF415" s="42">
        <f t="shared" si="71"/>
        <v>0</v>
      </c>
      <c r="BG415" s="42">
        <f t="shared" si="72"/>
        <v>0</v>
      </c>
      <c r="BH415" s="42">
        <f t="shared" si="73"/>
        <v>0</v>
      </c>
      <c r="BI415" s="42">
        <f t="shared" si="74"/>
        <v>0</v>
      </c>
      <c r="BJ415" s="42">
        <f t="shared" si="75"/>
        <v>0</v>
      </c>
      <c r="BK415" s="42">
        <f t="shared" si="76"/>
        <v>8</v>
      </c>
    </row>
    <row r="416" spans="1:63" ht="27" customHeight="1">
      <c r="A416" s="11">
        <f t="shared" si="77"/>
        <v>414</v>
      </c>
      <c r="B416" s="12"/>
      <c r="C416" s="8">
        <v>2952</v>
      </c>
      <c r="D416" s="103" t="s">
        <v>2822</v>
      </c>
      <c r="E416" s="201" t="s">
        <v>2823</v>
      </c>
      <c r="F416" s="218" t="s">
        <v>438</v>
      </c>
      <c r="G416" s="219" t="s">
        <v>1419</v>
      </c>
      <c r="H416" s="24" t="s">
        <v>2824</v>
      </c>
      <c r="I416" s="25" t="s">
        <v>2825</v>
      </c>
      <c r="J416" s="82" t="s">
        <v>173</v>
      </c>
      <c r="K416" s="26">
        <v>36134</v>
      </c>
      <c r="L416" s="66" t="s">
        <v>174</v>
      </c>
      <c r="M416" s="23">
        <v>43800</v>
      </c>
      <c r="N416" s="23">
        <v>43630</v>
      </c>
      <c r="O416" s="23" t="s">
        <v>32</v>
      </c>
      <c r="P416" s="16" t="s">
        <v>287</v>
      </c>
      <c r="Q416" s="16" t="s">
        <v>176</v>
      </c>
      <c r="R416" s="11" t="s">
        <v>177</v>
      </c>
      <c r="S416" s="11" t="s">
        <v>2379</v>
      </c>
      <c r="T416" s="159"/>
      <c r="U416" s="159"/>
      <c r="V416" s="19" t="s">
        <v>179</v>
      </c>
      <c r="W416" s="19" t="s">
        <v>195</v>
      </c>
      <c r="X416" s="1">
        <v>5</v>
      </c>
      <c r="Y416" s="160" t="s">
        <v>2826</v>
      </c>
      <c r="Z416" s="70"/>
      <c r="AA416" s="70" t="s">
        <v>181</v>
      </c>
      <c r="AB416" s="1"/>
      <c r="AC416" s="107"/>
      <c r="AD416" s="202" t="s">
        <v>184</v>
      </c>
      <c r="AE416" s="202"/>
      <c r="AF416" s="203"/>
      <c r="AG416" s="204"/>
      <c r="AH416" s="205"/>
      <c r="AI416" s="205"/>
      <c r="AJ416" s="81" t="s">
        <v>198</v>
      </c>
      <c r="AK416" s="81" t="s">
        <v>185</v>
      </c>
      <c r="AL416" s="81" t="s">
        <v>185</v>
      </c>
      <c r="AM416" s="107" t="s">
        <v>2344</v>
      </c>
      <c r="AN416" s="20">
        <v>182</v>
      </c>
      <c r="AO416" s="20">
        <v>0</v>
      </c>
      <c r="AP416" s="20">
        <v>20</v>
      </c>
      <c r="AQ416" s="20">
        <v>0</v>
      </c>
      <c r="AR416" s="20">
        <v>0</v>
      </c>
      <c r="AS416" s="20">
        <v>7</v>
      </c>
      <c r="AT416" s="20">
        <v>10</v>
      </c>
      <c r="AU416" s="300">
        <f t="shared" si="67"/>
        <v>219</v>
      </c>
      <c r="AV416" s="20">
        <v>190</v>
      </c>
      <c r="AW416" s="20">
        <v>0</v>
      </c>
      <c r="AX416" s="20">
        <v>20</v>
      </c>
      <c r="AY416" s="20">
        <v>0</v>
      </c>
      <c r="AZ416" s="20">
        <v>0</v>
      </c>
      <c r="BA416" s="20">
        <v>7</v>
      </c>
      <c r="BB416" s="20">
        <v>10</v>
      </c>
      <c r="BC416" s="300">
        <f t="shared" si="68"/>
        <v>227</v>
      </c>
      <c r="BD416" s="42">
        <f t="shared" si="69"/>
        <v>8</v>
      </c>
      <c r="BE416" s="42">
        <f t="shared" si="70"/>
        <v>0</v>
      </c>
      <c r="BF416" s="42">
        <f t="shared" si="71"/>
        <v>0</v>
      </c>
      <c r="BG416" s="42">
        <f t="shared" si="72"/>
        <v>0</v>
      </c>
      <c r="BH416" s="42">
        <f t="shared" si="73"/>
        <v>0</v>
      </c>
      <c r="BI416" s="42">
        <f t="shared" si="74"/>
        <v>0</v>
      </c>
      <c r="BJ416" s="42">
        <f t="shared" si="75"/>
        <v>0</v>
      </c>
      <c r="BK416" s="42">
        <f t="shared" si="76"/>
        <v>8</v>
      </c>
    </row>
    <row r="417" spans="1:63" ht="27" customHeight="1">
      <c r="A417" s="11">
        <f t="shared" si="77"/>
        <v>415</v>
      </c>
      <c r="B417" s="12"/>
      <c r="C417" s="8">
        <v>2971</v>
      </c>
      <c r="D417" s="103" t="s">
        <v>2827</v>
      </c>
      <c r="E417" s="201" t="s">
        <v>2828</v>
      </c>
      <c r="F417" s="218" t="s">
        <v>2829</v>
      </c>
      <c r="G417" s="219" t="s">
        <v>2830</v>
      </c>
      <c r="H417" s="24" t="s">
        <v>91</v>
      </c>
      <c r="I417" s="25" t="s">
        <v>92</v>
      </c>
      <c r="J417" s="82" t="s">
        <v>204</v>
      </c>
      <c r="K417" s="26">
        <v>30547</v>
      </c>
      <c r="L417" s="66" t="s">
        <v>174</v>
      </c>
      <c r="M417" s="23">
        <v>43637</v>
      </c>
      <c r="N417" s="23"/>
      <c r="O417" s="23" t="s">
        <v>32</v>
      </c>
      <c r="P417" s="16" t="s">
        <v>83</v>
      </c>
      <c r="Q417" s="16" t="s">
        <v>176</v>
      </c>
      <c r="R417" s="11" t="s">
        <v>177</v>
      </c>
      <c r="S417" s="11" t="s">
        <v>2487</v>
      </c>
      <c r="T417" s="159"/>
      <c r="U417" s="159"/>
      <c r="V417" s="19" t="s">
        <v>195</v>
      </c>
      <c r="W417" s="19" t="s">
        <v>195</v>
      </c>
      <c r="X417" s="1">
        <v>12</v>
      </c>
      <c r="Y417" s="160" t="s">
        <v>2831</v>
      </c>
      <c r="Z417" s="70"/>
      <c r="AA417" s="70" t="s">
        <v>181</v>
      </c>
      <c r="AB417" s="1"/>
      <c r="AC417" s="107"/>
      <c r="AD417" s="202"/>
      <c r="AE417" s="202"/>
      <c r="AF417" s="203"/>
      <c r="AG417" s="204"/>
      <c r="AH417" s="205"/>
      <c r="AI417" s="205"/>
      <c r="AJ417" s="81" t="s">
        <v>198</v>
      </c>
      <c r="AK417" s="81" t="s">
        <v>185</v>
      </c>
      <c r="AL417" s="81" t="s">
        <v>185</v>
      </c>
      <c r="AM417" s="107" t="s">
        <v>2801</v>
      </c>
      <c r="AN417" s="20">
        <v>182</v>
      </c>
      <c r="AO417" s="20">
        <v>0</v>
      </c>
      <c r="AP417" s="20">
        <v>0</v>
      </c>
      <c r="AQ417" s="20">
        <v>30</v>
      </c>
      <c r="AR417" s="20">
        <v>0</v>
      </c>
      <c r="AS417" s="20">
        <v>7</v>
      </c>
      <c r="AT417" s="20">
        <v>10</v>
      </c>
      <c r="AU417" s="300">
        <f t="shared" si="67"/>
        <v>229</v>
      </c>
      <c r="AV417" s="20">
        <v>190</v>
      </c>
      <c r="AW417" s="20">
        <v>0</v>
      </c>
      <c r="AX417" s="20">
        <v>0</v>
      </c>
      <c r="AY417" s="20">
        <v>30</v>
      </c>
      <c r="AZ417" s="20">
        <v>0</v>
      </c>
      <c r="BA417" s="20">
        <v>7</v>
      </c>
      <c r="BB417" s="20">
        <v>10</v>
      </c>
      <c r="BC417" s="300">
        <f t="shared" si="68"/>
        <v>237</v>
      </c>
      <c r="BD417" s="42">
        <f t="shared" si="69"/>
        <v>8</v>
      </c>
      <c r="BE417" s="42">
        <f t="shared" si="70"/>
        <v>0</v>
      </c>
      <c r="BF417" s="42">
        <f t="shared" si="71"/>
        <v>0</v>
      </c>
      <c r="BG417" s="42">
        <f t="shared" si="72"/>
        <v>0</v>
      </c>
      <c r="BH417" s="42">
        <f t="shared" si="73"/>
        <v>0</v>
      </c>
      <c r="BI417" s="42">
        <f t="shared" si="74"/>
        <v>0</v>
      </c>
      <c r="BJ417" s="42">
        <f t="shared" si="75"/>
        <v>0</v>
      </c>
      <c r="BK417" s="42">
        <f t="shared" si="76"/>
        <v>8</v>
      </c>
    </row>
    <row r="418" spans="1:63" ht="27" customHeight="1">
      <c r="A418" s="11">
        <f t="shared" si="77"/>
        <v>416</v>
      </c>
      <c r="B418" s="12"/>
      <c r="C418" s="8">
        <v>2978</v>
      </c>
      <c r="D418" s="103" t="s">
        <v>2832</v>
      </c>
      <c r="E418" s="201" t="s">
        <v>2833</v>
      </c>
      <c r="F418" s="218" t="s">
        <v>2575</v>
      </c>
      <c r="G418" s="219" t="s">
        <v>2834</v>
      </c>
      <c r="H418" s="24" t="s">
        <v>2835</v>
      </c>
      <c r="I418" s="25" t="s">
        <v>2836</v>
      </c>
      <c r="J418" s="82" t="s">
        <v>173</v>
      </c>
      <c r="K418" s="26">
        <v>31425</v>
      </c>
      <c r="L418" s="66" t="s">
        <v>174</v>
      </c>
      <c r="M418" s="23">
        <v>43642</v>
      </c>
      <c r="N418" s="23"/>
      <c r="O418" s="23" t="s">
        <v>32</v>
      </c>
      <c r="P418" s="16" t="s">
        <v>2493</v>
      </c>
      <c r="Q418" s="16" t="s">
        <v>244</v>
      </c>
      <c r="R418" s="11" t="s">
        <v>177</v>
      </c>
      <c r="S418" s="11" t="s">
        <v>2392</v>
      </c>
      <c r="T418" s="159"/>
      <c r="U418" s="159"/>
      <c r="V418" s="19" t="s">
        <v>179</v>
      </c>
      <c r="W418" s="19" t="s">
        <v>195</v>
      </c>
      <c r="X418" s="1">
        <v>5</v>
      </c>
      <c r="Y418" s="160" t="s">
        <v>2837</v>
      </c>
      <c r="Z418" s="70"/>
      <c r="AA418" s="70" t="s">
        <v>181</v>
      </c>
      <c r="AB418" s="1"/>
      <c r="AC418" s="107"/>
      <c r="AD418" s="202"/>
      <c r="AE418" s="202"/>
      <c r="AF418" s="203"/>
      <c r="AG418" s="204"/>
      <c r="AH418" s="205"/>
      <c r="AI418" s="205"/>
      <c r="AJ418" s="81" t="s">
        <v>198</v>
      </c>
      <c r="AK418" s="81" t="s">
        <v>185</v>
      </c>
      <c r="AL418" s="81" t="s">
        <v>185</v>
      </c>
      <c r="AM418" s="107" t="s">
        <v>2801</v>
      </c>
      <c r="AN418" s="20">
        <v>182</v>
      </c>
      <c r="AO418" s="20">
        <v>0</v>
      </c>
      <c r="AP418" s="20">
        <v>20</v>
      </c>
      <c r="AQ418" s="20">
        <v>0</v>
      </c>
      <c r="AR418" s="20">
        <v>0</v>
      </c>
      <c r="AS418" s="20">
        <v>7</v>
      </c>
      <c r="AT418" s="20">
        <v>10</v>
      </c>
      <c r="AU418" s="300">
        <f t="shared" si="67"/>
        <v>219</v>
      </c>
      <c r="AV418" s="20">
        <v>190</v>
      </c>
      <c r="AW418" s="20">
        <v>0</v>
      </c>
      <c r="AX418" s="20">
        <v>20</v>
      </c>
      <c r="AY418" s="20">
        <v>0</v>
      </c>
      <c r="AZ418" s="20">
        <v>0</v>
      </c>
      <c r="BA418" s="20">
        <v>7</v>
      </c>
      <c r="BB418" s="20">
        <v>10</v>
      </c>
      <c r="BC418" s="300">
        <f t="shared" si="68"/>
        <v>227</v>
      </c>
      <c r="BD418" s="42">
        <f t="shared" si="69"/>
        <v>8</v>
      </c>
      <c r="BE418" s="42">
        <f t="shared" si="70"/>
        <v>0</v>
      </c>
      <c r="BF418" s="42">
        <f t="shared" si="71"/>
        <v>0</v>
      </c>
      <c r="BG418" s="42">
        <f t="shared" si="72"/>
        <v>0</v>
      </c>
      <c r="BH418" s="42">
        <f t="shared" si="73"/>
        <v>0</v>
      </c>
      <c r="BI418" s="42">
        <f t="shared" si="74"/>
        <v>0</v>
      </c>
      <c r="BJ418" s="42">
        <f t="shared" si="75"/>
        <v>0</v>
      </c>
      <c r="BK418" s="42">
        <f t="shared" si="76"/>
        <v>8</v>
      </c>
    </row>
    <row r="419" spans="1:63" ht="27" customHeight="1">
      <c r="A419" s="11">
        <f t="shared" si="77"/>
        <v>417</v>
      </c>
      <c r="B419" s="12"/>
      <c r="C419" s="8">
        <v>2966</v>
      </c>
      <c r="D419" s="103" t="s">
        <v>2838</v>
      </c>
      <c r="E419" s="201" t="s">
        <v>2839</v>
      </c>
      <c r="F419" s="218" t="s">
        <v>173</v>
      </c>
      <c r="G419" s="219" t="s">
        <v>2840</v>
      </c>
      <c r="H419" s="24" t="s">
        <v>93</v>
      </c>
      <c r="I419" s="25" t="s">
        <v>94</v>
      </c>
      <c r="J419" s="82" t="s">
        <v>204</v>
      </c>
      <c r="K419" s="26">
        <v>28194</v>
      </c>
      <c r="L419" s="66" t="s">
        <v>174</v>
      </c>
      <c r="M419" s="23">
        <v>43636</v>
      </c>
      <c r="N419" s="23"/>
      <c r="O419" s="23" t="s">
        <v>32</v>
      </c>
      <c r="P419" s="16" t="s">
        <v>83</v>
      </c>
      <c r="Q419" s="16" t="s">
        <v>176</v>
      </c>
      <c r="R419" s="11" t="s">
        <v>177</v>
      </c>
      <c r="S419" s="11" t="s">
        <v>2500</v>
      </c>
      <c r="T419" s="159"/>
      <c r="U419" s="159"/>
      <c r="V419" s="19" t="s">
        <v>179</v>
      </c>
      <c r="W419" s="19" t="s">
        <v>179</v>
      </c>
      <c r="X419" s="1">
        <v>0</v>
      </c>
      <c r="Y419" s="160"/>
      <c r="Z419" s="70"/>
      <c r="AA419" s="70" t="s">
        <v>181</v>
      </c>
      <c r="AB419" s="1"/>
      <c r="AC419" s="107"/>
      <c r="AD419" s="202" t="s">
        <v>183</v>
      </c>
      <c r="AE419" s="202" t="s">
        <v>183</v>
      </c>
      <c r="AF419" s="203"/>
      <c r="AG419" s="204"/>
      <c r="AH419" s="205"/>
      <c r="AI419" s="205"/>
      <c r="AJ419" s="81" t="s">
        <v>198</v>
      </c>
      <c r="AK419" s="81" t="s">
        <v>185</v>
      </c>
      <c r="AL419" s="81" t="s">
        <v>185</v>
      </c>
      <c r="AM419" s="107" t="s">
        <v>2801</v>
      </c>
      <c r="AN419" s="20">
        <v>182</v>
      </c>
      <c r="AO419" s="20">
        <v>0</v>
      </c>
      <c r="AP419" s="20">
        <v>0</v>
      </c>
      <c r="AQ419" s="20">
        <v>0</v>
      </c>
      <c r="AR419" s="20">
        <v>0</v>
      </c>
      <c r="AS419" s="20">
        <v>7</v>
      </c>
      <c r="AT419" s="20">
        <v>10</v>
      </c>
      <c r="AU419" s="300">
        <f t="shared" si="67"/>
        <v>199</v>
      </c>
      <c r="AV419" s="20">
        <v>190</v>
      </c>
      <c r="AW419" s="20">
        <v>0</v>
      </c>
      <c r="AX419" s="20">
        <v>0</v>
      </c>
      <c r="AY419" s="20">
        <v>0</v>
      </c>
      <c r="AZ419" s="20">
        <v>0</v>
      </c>
      <c r="BA419" s="20">
        <v>7</v>
      </c>
      <c r="BB419" s="20">
        <v>10</v>
      </c>
      <c r="BC419" s="300">
        <f t="shared" si="68"/>
        <v>207</v>
      </c>
      <c r="BD419" s="42">
        <f t="shared" si="69"/>
        <v>8</v>
      </c>
      <c r="BE419" s="42">
        <f t="shared" si="70"/>
        <v>0</v>
      </c>
      <c r="BF419" s="42">
        <f t="shared" si="71"/>
        <v>0</v>
      </c>
      <c r="BG419" s="42">
        <f t="shared" si="72"/>
        <v>0</v>
      </c>
      <c r="BH419" s="42">
        <f t="shared" si="73"/>
        <v>0</v>
      </c>
      <c r="BI419" s="42">
        <f t="shared" si="74"/>
        <v>0</v>
      </c>
      <c r="BJ419" s="42">
        <f t="shared" si="75"/>
        <v>0</v>
      </c>
      <c r="BK419" s="42">
        <f t="shared" si="76"/>
        <v>8</v>
      </c>
    </row>
    <row r="420" spans="1:63" ht="27" customHeight="1">
      <c r="A420" s="11">
        <f t="shared" si="77"/>
        <v>418</v>
      </c>
      <c r="B420" s="12"/>
      <c r="C420" s="8">
        <v>2975</v>
      </c>
      <c r="D420" s="103" t="s">
        <v>2841</v>
      </c>
      <c r="E420" s="201" t="s">
        <v>2842</v>
      </c>
      <c r="F420" s="218" t="s">
        <v>2843</v>
      </c>
      <c r="G420" s="219" t="s">
        <v>2844</v>
      </c>
      <c r="H420" s="24" t="s">
        <v>2845</v>
      </c>
      <c r="I420" s="25" t="s">
        <v>2846</v>
      </c>
      <c r="J420" s="82" t="s">
        <v>173</v>
      </c>
      <c r="K420" s="26">
        <v>30148</v>
      </c>
      <c r="L420" s="66" t="s">
        <v>174</v>
      </c>
      <c r="M420" s="23">
        <v>43638</v>
      </c>
      <c r="N420" s="23"/>
      <c r="O420" s="23" t="s">
        <v>32</v>
      </c>
      <c r="P420" s="16" t="s">
        <v>2493</v>
      </c>
      <c r="Q420" s="16" t="s">
        <v>244</v>
      </c>
      <c r="R420" s="11" t="s">
        <v>177</v>
      </c>
      <c r="S420" s="11" t="s">
        <v>2354</v>
      </c>
      <c r="T420" s="159"/>
      <c r="U420" s="159"/>
      <c r="V420" s="19" t="s">
        <v>195</v>
      </c>
      <c r="W420" s="19" t="s">
        <v>195</v>
      </c>
      <c r="X420" s="1">
        <v>4</v>
      </c>
      <c r="Y420" s="160" t="s">
        <v>2847</v>
      </c>
      <c r="Z420" s="70"/>
      <c r="AA420" s="70" t="s">
        <v>181</v>
      </c>
      <c r="AB420" s="1"/>
      <c r="AC420" s="107"/>
      <c r="AD420" s="202"/>
      <c r="AE420" s="202"/>
      <c r="AF420" s="203"/>
      <c r="AG420" s="204"/>
      <c r="AH420" s="205"/>
      <c r="AI420" s="205"/>
      <c r="AJ420" s="81" t="s">
        <v>198</v>
      </c>
      <c r="AK420" s="81" t="s">
        <v>185</v>
      </c>
      <c r="AL420" s="81" t="s">
        <v>185</v>
      </c>
      <c r="AM420" s="107" t="s">
        <v>2801</v>
      </c>
      <c r="AN420" s="20">
        <v>182</v>
      </c>
      <c r="AO420" s="20">
        <v>0</v>
      </c>
      <c r="AP420" s="20">
        <v>20</v>
      </c>
      <c r="AQ420" s="20">
        <v>0</v>
      </c>
      <c r="AR420" s="20">
        <v>0</v>
      </c>
      <c r="AS420" s="20">
        <v>7</v>
      </c>
      <c r="AT420" s="20">
        <v>10</v>
      </c>
      <c r="AU420" s="300">
        <f t="shared" si="67"/>
        <v>219</v>
      </c>
      <c r="AV420" s="20">
        <v>190</v>
      </c>
      <c r="AW420" s="20">
        <v>0</v>
      </c>
      <c r="AX420" s="20">
        <v>20</v>
      </c>
      <c r="AY420" s="20">
        <v>0</v>
      </c>
      <c r="AZ420" s="20">
        <v>0</v>
      </c>
      <c r="BA420" s="20">
        <v>7</v>
      </c>
      <c r="BB420" s="20">
        <v>10</v>
      </c>
      <c r="BC420" s="300">
        <f t="shared" si="68"/>
        <v>227</v>
      </c>
      <c r="BD420" s="42">
        <f t="shared" si="69"/>
        <v>8</v>
      </c>
      <c r="BE420" s="42">
        <f t="shared" si="70"/>
        <v>0</v>
      </c>
      <c r="BF420" s="42">
        <f t="shared" si="71"/>
        <v>0</v>
      </c>
      <c r="BG420" s="42">
        <f t="shared" si="72"/>
        <v>0</v>
      </c>
      <c r="BH420" s="42">
        <f t="shared" si="73"/>
        <v>0</v>
      </c>
      <c r="BI420" s="42">
        <f t="shared" si="74"/>
        <v>0</v>
      </c>
      <c r="BJ420" s="42">
        <f t="shared" si="75"/>
        <v>0</v>
      </c>
      <c r="BK420" s="42">
        <f t="shared" si="76"/>
        <v>8</v>
      </c>
    </row>
    <row r="421" spans="1:63" ht="27" customHeight="1">
      <c r="A421" s="11">
        <f t="shared" si="77"/>
        <v>419</v>
      </c>
      <c r="B421" s="12"/>
      <c r="C421" s="8">
        <v>2940</v>
      </c>
      <c r="D421" s="103" t="s">
        <v>2848</v>
      </c>
      <c r="E421" s="201" t="s">
        <v>2849</v>
      </c>
      <c r="F421" s="218" t="s">
        <v>2850</v>
      </c>
      <c r="G421" s="219" t="s">
        <v>2851</v>
      </c>
      <c r="H421" s="24" t="s">
        <v>2852</v>
      </c>
      <c r="I421" s="25" t="s">
        <v>2853</v>
      </c>
      <c r="J421" s="82" t="s">
        <v>173</v>
      </c>
      <c r="K421" s="26">
        <v>35251</v>
      </c>
      <c r="L421" s="66" t="s">
        <v>174</v>
      </c>
      <c r="M421" s="23">
        <v>43800</v>
      </c>
      <c r="N421" s="23">
        <v>43627</v>
      </c>
      <c r="O421" s="23" t="s">
        <v>32</v>
      </c>
      <c r="P421" s="16" t="s">
        <v>1276</v>
      </c>
      <c r="Q421" s="16" t="s">
        <v>244</v>
      </c>
      <c r="R421" s="11" t="s">
        <v>177</v>
      </c>
      <c r="S421" s="11" t="s">
        <v>2392</v>
      </c>
      <c r="T421" s="159"/>
      <c r="U421" s="159"/>
      <c r="V421" s="19" t="s">
        <v>179</v>
      </c>
      <c r="W421" s="19" t="s">
        <v>179</v>
      </c>
      <c r="X421" s="1">
        <v>9</v>
      </c>
      <c r="Y421" s="160" t="s">
        <v>2854</v>
      </c>
      <c r="Z421" s="70"/>
      <c r="AA421" s="70" t="s">
        <v>181</v>
      </c>
      <c r="AB421" s="1"/>
      <c r="AC421" s="107"/>
      <c r="AD421" s="202" t="s">
        <v>184</v>
      </c>
      <c r="AE421" s="202"/>
      <c r="AF421" s="203"/>
      <c r="AG421" s="204"/>
      <c r="AH421" s="205"/>
      <c r="AI421" s="205"/>
      <c r="AJ421" s="81" t="s">
        <v>198</v>
      </c>
      <c r="AK421" s="81" t="s">
        <v>185</v>
      </c>
      <c r="AL421" s="81" t="s">
        <v>185</v>
      </c>
      <c r="AM421" s="107" t="s">
        <v>2349</v>
      </c>
      <c r="AN421" s="20">
        <v>182</v>
      </c>
      <c r="AO421" s="20">
        <v>0</v>
      </c>
      <c r="AP421" s="20">
        <v>20</v>
      </c>
      <c r="AQ421" s="20">
        <v>50</v>
      </c>
      <c r="AR421" s="20">
        <v>0</v>
      </c>
      <c r="AS421" s="20">
        <v>7</v>
      </c>
      <c r="AT421" s="20">
        <v>10</v>
      </c>
      <c r="AU421" s="300">
        <f t="shared" si="67"/>
        <v>269</v>
      </c>
      <c r="AV421" s="20">
        <v>190</v>
      </c>
      <c r="AW421" s="20">
        <v>0</v>
      </c>
      <c r="AX421" s="20">
        <v>20</v>
      </c>
      <c r="AY421" s="20">
        <v>50</v>
      </c>
      <c r="AZ421" s="20">
        <v>0</v>
      </c>
      <c r="BA421" s="20">
        <v>7</v>
      </c>
      <c r="BB421" s="20">
        <v>10</v>
      </c>
      <c r="BC421" s="300">
        <f t="shared" si="68"/>
        <v>277</v>
      </c>
      <c r="BD421" s="42">
        <f t="shared" si="69"/>
        <v>8</v>
      </c>
      <c r="BE421" s="42">
        <f t="shared" si="70"/>
        <v>0</v>
      </c>
      <c r="BF421" s="42">
        <f t="shared" si="71"/>
        <v>0</v>
      </c>
      <c r="BG421" s="42">
        <f t="shared" si="72"/>
        <v>0</v>
      </c>
      <c r="BH421" s="42">
        <f t="shared" si="73"/>
        <v>0</v>
      </c>
      <c r="BI421" s="42">
        <f t="shared" si="74"/>
        <v>0</v>
      </c>
      <c r="BJ421" s="42">
        <f t="shared" si="75"/>
        <v>0</v>
      </c>
      <c r="BK421" s="42">
        <f t="shared" si="76"/>
        <v>8</v>
      </c>
    </row>
    <row r="422" spans="1:63" ht="27" customHeight="1">
      <c r="A422" s="11">
        <f t="shared" si="77"/>
        <v>420</v>
      </c>
      <c r="B422" s="12"/>
      <c r="C422" s="8">
        <v>3004</v>
      </c>
      <c r="D422" s="103" t="s">
        <v>2855</v>
      </c>
      <c r="E422" s="201" t="s">
        <v>2856</v>
      </c>
      <c r="F422" s="218" t="s">
        <v>282</v>
      </c>
      <c r="G422" s="219" t="s">
        <v>2857</v>
      </c>
      <c r="H422" s="24" t="s">
        <v>2858</v>
      </c>
      <c r="I422" s="25" t="s">
        <v>2859</v>
      </c>
      <c r="J422" s="82" t="s">
        <v>173</v>
      </c>
      <c r="K422" s="26">
        <v>24537</v>
      </c>
      <c r="L422" s="66" t="s">
        <v>174</v>
      </c>
      <c r="M422" s="23">
        <v>43655</v>
      </c>
      <c r="N422" s="23"/>
      <c r="O422" s="23" t="s">
        <v>32</v>
      </c>
      <c r="P422" s="16" t="s">
        <v>194</v>
      </c>
      <c r="Q422" s="16" t="s">
        <v>176</v>
      </c>
      <c r="R422" s="11" t="s">
        <v>177</v>
      </c>
      <c r="S422" s="11" t="s">
        <v>2860</v>
      </c>
      <c r="T422" s="159"/>
      <c r="U422" s="159"/>
      <c r="V422" s="19" t="s">
        <v>179</v>
      </c>
      <c r="W422" s="19" t="s">
        <v>179</v>
      </c>
      <c r="X422" s="19" t="s">
        <v>179</v>
      </c>
      <c r="Y422" s="160" t="s">
        <v>2861</v>
      </c>
      <c r="Z422" s="70"/>
      <c r="AA422" s="70" t="s">
        <v>181</v>
      </c>
      <c r="AB422" s="1"/>
      <c r="AC422" s="107"/>
      <c r="AD422" s="202"/>
      <c r="AE422" s="202"/>
      <c r="AF422" s="203"/>
      <c r="AG422" s="204"/>
      <c r="AH422" s="205"/>
      <c r="AI422" s="205"/>
      <c r="AJ422" s="81" t="s">
        <v>198</v>
      </c>
      <c r="AK422" s="81" t="s">
        <v>185</v>
      </c>
      <c r="AL422" s="81" t="s">
        <v>185</v>
      </c>
      <c r="AM422" s="107" t="s">
        <v>2349</v>
      </c>
      <c r="AN422" s="20">
        <v>182</v>
      </c>
      <c r="AO422" s="20">
        <v>0</v>
      </c>
      <c r="AP422" s="20">
        <v>0</v>
      </c>
      <c r="AQ422" s="20">
        <v>0</v>
      </c>
      <c r="AR422" s="20">
        <v>0</v>
      </c>
      <c r="AS422" s="20">
        <v>7</v>
      </c>
      <c r="AT422" s="20">
        <v>10</v>
      </c>
      <c r="AU422" s="300">
        <f t="shared" si="67"/>
        <v>199</v>
      </c>
      <c r="AV422" s="20">
        <v>190</v>
      </c>
      <c r="AW422" s="20">
        <v>0</v>
      </c>
      <c r="AX422" s="20">
        <v>0</v>
      </c>
      <c r="AY422" s="20">
        <v>0</v>
      </c>
      <c r="AZ422" s="20">
        <v>0</v>
      </c>
      <c r="BA422" s="20">
        <v>7</v>
      </c>
      <c r="BB422" s="20">
        <v>10</v>
      </c>
      <c r="BC422" s="300">
        <f t="shared" si="68"/>
        <v>207</v>
      </c>
      <c r="BD422" s="42">
        <f t="shared" si="69"/>
        <v>8</v>
      </c>
      <c r="BE422" s="42">
        <f t="shared" si="70"/>
        <v>0</v>
      </c>
      <c r="BF422" s="42">
        <f t="shared" si="71"/>
        <v>0</v>
      </c>
      <c r="BG422" s="42">
        <f t="shared" si="72"/>
        <v>0</v>
      </c>
      <c r="BH422" s="42">
        <f t="shared" si="73"/>
        <v>0</v>
      </c>
      <c r="BI422" s="42">
        <f t="shared" si="74"/>
        <v>0</v>
      </c>
      <c r="BJ422" s="42">
        <f t="shared" si="75"/>
        <v>0</v>
      </c>
      <c r="BK422" s="42">
        <f t="shared" si="76"/>
        <v>8</v>
      </c>
    </row>
    <row r="423" spans="1:63" ht="27" customHeight="1">
      <c r="A423" s="11">
        <f t="shared" si="77"/>
        <v>421</v>
      </c>
      <c r="B423" s="12"/>
      <c r="C423" s="8">
        <v>2985</v>
      </c>
      <c r="D423" s="103" t="s">
        <v>2862</v>
      </c>
      <c r="E423" s="201" t="s">
        <v>2863</v>
      </c>
      <c r="F423" s="218" t="s">
        <v>2334</v>
      </c>
      <c r="G423" s="219" t="s">
        <v>1086</v>
      </c>
      <c r="H423" s="24" t="s">
        <v>48</v>
      </c>
      <c r="I423" s="25" t="s">
        <v>49</v>
      </c>
      <c r="J423" s="82" t="s">
        <v>204</v>
      </c>
      <c r="K423" s="26">
        <v>35857</v>
      </c>
      <c r="L423" s="66" t="s">
        <v>174</v>
      </c>
      <c r="M423" s="23">
        <v>43647</v>
      </c>
      <c r="N423" s="23"/>
      <c r="O423" s="23" t="s">
        <v>32</v>
      </c>
      <c r="P423" s="16" t="s">
        <v>13</v>
      </c>
      <c r="Q423" s="16" t="s">
        <v>176</v>
      </c>
      <c r="R423" s="11" t="s">
        <v>177</v>
      </c>
      <c r="S423" s="11" t="s">
        <v>2864</v>
      </c>
      <c r="T423" s="159"/>
      <c r="U423" s="159"/>
      <c r="V423" s="19" t="s">
        <v>179</v>
      </c>
      <c r="W423" s="19" t="s">
        <v>179</v>
      </c>
      <c r="X423" s="1">
        <v>5</v>
      </c>
      <c r="Y423" s="160" t="s">
        <v>2865</v>
      </c>
      <c r="Z423" s="70"/>
      <c r="AA423" s="70" t="s">
        <v>181</v>
      </c>
      <c r="AB423" s="1"/>
      <c r="AC423" s="107"/>
      <c r="AD423" s="202"/>
      <c r="AE423" s="202"/>
      <c r="AF423" s="203"/>
      <c r="AG423" s="204"/>
      <c r="AH423" s="205"/>
      <c r="AI423" s="205"/>
      <c r="AJ423" s="81" t="s">
        <v>198</v>
      </c>
      <c r="AK423" s="81" t="s">
        <v>185</v>
      </c>
      <c r="AL423" s="81" t="s">
        <v>185</v>
      </c>
      <c r="AM423" s="107" t="s">
        <v>2349</v>
      </c>
      <c r="AN423" s="20">
        <v>182</v>
      </c>
      <c r="AO423" s="20">
        <v>0</v>
      </c>
      <c r="AP423" s="20">
        <v>0</v>
      </c>
      <c r="AQ423" s="20">
        <v>0</v>
      </c>
      <c r="AR423" s="20">
        <v>0</v>
      </c>
      <c r="AS423" s="20">
        <v>7</v>
      </c>
      <c r="AT423" s="20">
        <v>10</v>
      </c>
      <c r="AU423" s="300">
        <f t="shared" si="67"/>
        <v>199</v>
      </c>
      <c r="AV423" s="20">
        <v>190</v>
      </c>
      <c r="AW423" s="20">
        <v>0</v>
      </c>
      <c r="AX423" s="20">
        <v>0</v>
      </c>
      <c r="AY423" s="20">
        <v>0</v>
      </c>
      <c r="AZ423" s="20">
        <v>0</v>
      </c>
      <c r="BA423" s="20">
        <v>7</v>
      </c>
      <c r="BB423" s="20">
        <v>10</v>
      </c>
      <c r="BC423" s="300">
        <f t="shared" si="68"/>
        <v>207</v>
      </c>
      <c r="BD423" s="42">
        <f t="shared" si="69"/>
        <v>8</v>
      </c>
      <c r="BE423" s="42">
        <f t="shared" si="70"/>
        <v>0</v>
      </c>
      <c r="BF423" s="42">
        <f t="shared" si="71"/>
        <v>0</v>
      </c>
      <c r="BG423" s="42">
        <f t="shared" si="72"/>
        <v>0</v>
      </c>
      <c r="BH423" s="42">
        <f t="shared" si="73"/>
        <v>0</v>
      </c>
      <c r="BI423" s="42">
        <f t="shared" si="74"/>
        <v>0</v>
      </c>
      <c r="BJ423" s="42">
        <f t="shared" si="75"/>
        <v>0</v>
      </c>
      <c r="BK423" s="42">
        <f t="shared" si="76"/>
        <v>8</v>
      </c>
    </row>
    <row r="424" spans="1:63" ht="27" customHeight="1">
      <c r="A424" s="11">
        <f t="shared" si="77"/>
        <v>422</v>
      </c>
      <c r="B424" s="12"/>
      <c r="C424" s="8">
        <v>2992</v>
      </c>
      <c r="D424" s="103" t="s">
        <v>2866</v>
      </c>
      <c r="E424" s="201" t="s">
        <v>2867</v>
      </c>
      <c r="F424" s="218" t="s">
        <v>2868</v>
      </c>
      <c r="G424" s="219" t="s">
        <v>2869</v>
      </c>
      <c r="H424" s="24" t="s">
        <v>50</v>
      </c>
      <c r="I424" s="25" t="s">
        <v>51</v>
      </c>
      <c r="J424" s="82" t="s">
        <v>204</v>
      </c>
      <c r="K424" s="26">
        <v>36285</v>
      </c>
      <c r="L424" s="66" t="s">
        <v>174</v>
      </c>
      <c r="M424" s="23">
        <v>43649</v>
      </c>
      <c r="N424" s="23"/>
      <c r="O424" s="23" t="s">
        <v>32</v>
      </c>
      <c r="P424" s="16" t="s">
        <v>13</v>
      </c>
      <c r="Q424" s="16" t="s">
        <v>176</v>
      </c>
      <c r="R424" s="11" t="s">
        <v>177</v>
      </c>
      <c r="S424" s="11" t="s">
        <v>2392</v>
      </c>
      <c r="T424" s="159"/>
      <c r="U424" s="159"/>
      <c r="V424" s="19" t="s">
        <v>179</v>
      </c>
      <c r="W424" s="19" t="s">
        <v>179</v>
      </c>
      <c r="X424" s="1">
        <v>6</v>
      </c>
      <c r="Y424" s="160" t="s">
        <v>2870</v>
      </c>
      <c r="Z424" s="70" t="s">
        <v>181</v>
      </c>
      <c r="AA424" s="70"/>
      <c r="AB424" s="1"/>
      <c r="AC424" s="107"/>
      <c r="AD424" s="202"/>
      <c r="AE424" s="202"/>
      <c r="AF424" s="203"/>
      <c r="AG424" s="204"/>
      <c r="AH424" s="205"/>
      <c r="AI424" s="205"/>
      <c r="AJ424" s="81" t="s">
        <v>198</v>
      </c>
      <c r="AK424" s="81" t="s">
        <v>185</v>
      </c>
      <c r="AL424" s="81" t="s">
        <v>185</v>
      </c>
      <c r="AM424" s="107" t="s">
        <v>2349</v>
      </c>
      <c r="AN424" s="20">
        <v>182</v>
      </c>
      <c r="AO424" s="20">
        <v>0</v>
      </c>
      <c r="AP424" s="20">
        <v>0</v>
      </c>
      <c r="AQ424" s="20">
        <v>0</v>
      </c>
      <c r="AR424" s="20">
        <v>0</v>
      </c>
      <c r="AS424" s="20">
        <v>7</v>
      </c>
      <c r="AT424" s="20">
        <v>10</v>
      </c>
      <c r="AU424" s="300">
        <f t="shared" si="67"/>
        <v>199</v>
      </c>
      <c r="AV424" s="20">
        <v>190</v>
      </c>
      <c r="AW424" s="20">
        <v>0</v>
      </c>
      <c r="AX424" s="20">
        <v>0</v>
      </c>
      <c r="AY424" s="20">
        <v>0</v>
      </c>
      <c r="AZ424" s="20">
        <v>0</v>
      </c>
      <c r="BA424" s="20">
        <v>7</v>
      </c>
      <c r="BB424" s="20">
        <v>10</v>
      </c>
      <c r="BC424" s="300">
        <f t="shared" si="68"/>
        <v>207</v>
      </c>
      <c r="BD424" s="42">
        <f t="shared" si="69"/>
        <v>8</v>
      </c>
      <c r="BE424" s="42">
        <f t="shared" si="70"/>
        <v>0</v>
      </c>
      <c r="BF424" s="42">
        <f t="shared" si="71"/>
        <v>0</v>
      </c>
      <c r="BG424" s="42">
        <f t="shared" si="72"/>
        <v>0</v>
      </c>
      <c r="BH424" s="42">
        <f t="shared" si="73"/>
        <v>0</v>
      </c>
      <c r="BI424" s="42">
        <f t="shared" si="74"/>
        <v>0</v>
      </c>
      <c r="BJ424" s="42">
        <f t="shared" si="75"/>
        <v>0</v>
      </c>
      <c r="BK424" s="42">
        <f t="shared" si="76"/>
        <v>8</v>
      </c>
    </row>
    <row r="425" spans="1:63" ht="27" customHeight="1">
      <c r="A425" s="11">
        <f t="shared" si="77"/>
        <v>423</v>
      </c>
      <c r="B425" s="12"/>
      <c r="C425" s="8">
        <v>2994</v>
      </c>
      <c r="D425" s="103" t="s">
        <v>2871</v>
      </c>
      <c r="E425" s="201" t="s">
        <v>2872</v>
      </c>
      <c r="F425" s="218" t="s">
        <v>2873</v>
      </c>
      <c r="G425" s="219" t="s">
        <v>2874</v>
      </c>
      <c r="H425" s="24" t="s">
        <v>2875</v>
      </c>
      <c r="I425" s="25" t="s">
        <v>2876</v>
      </c>
      <c r="J425" s="82" t="s">
        <v>204</v>
      </c>
      <c r="K425" s="26">
        <v>31821</v>
      </c>
      <c r="L425" s="66" t="s">
        <v>174</v>
      </c>
      <c r="M425" s="23">
        <v>43650</v>
      </c>
      <c r="N425" s="23"/>
      <c r="O425" s="23" t="s">
        <v>32</v>
      </c>
      <c r="P425" s="16" t="s">
        <v>527</v>
      </c>
      <c r="Q425" s="16" t="s">
        <v>244</v>
      </c>
      <c r="R425" s="11" t="s">
        <v>177</v>
      </c>
      <c r="S425" s="11" t="s">
        <v>2354</v>
      </c>
      <c r="T425" s="159"/>
      <c r="U425" s="159"/>
      <c r="V425" s="19" t="s">
        <v>179</v>
      </c>
      <c r="W425" s="19" t="s">
        <v>179</v>
      </c>
      <c r="X425" s="1">
        <v>6</v>
      </c>
      <c r="Y425" s="160" t="s">
        <v>2877</v>
      </c>
      <c r="Z425" s="70"/>
      <c r="AA425" s="70" t="s">
        <v>181</v>
      </c>
      <c r="AB425" s="1"/>
      <c r="AC425" s="107"/>
      <c r="AD425" s="202"/>
      <c r="AE425" s="202"/>
      <c r="AF425" s="203"/>
      <c r="AG425" s="204"/>
      <c r="AH425" s="205"/>
      <c r="AI425" s="205"/>
      <c r="AJ425" s="81" t="s">
        <v>198</v>
      </c>
      <c r="AK425" s="81" t="s">
        <v>185</v>
      </c>
      <c r="AL425" s="81" t="s">
        <v>185</v>
      </c>
      <c r="AM425" s="107" t="s">
        <v>2349</v>
      </c>
      <c r="AN425" s="20">
        <v>182</v>
      </c>
      <c r="AO425" s="20">
        <v>0</v>
      </c>
      <c r="AP425" s="20">
        <v>64</v>
      </c>
      <c r="AQ425" s="20">
        <v>0</v>
      </c>
      <c r="AR425" s="20">
        <v>24</v>
      </c>
      <c r="AS425" s="20">
        <v>7</v>
      </c>
      <c r="AT425" s="20">
        <v>10</v>
      </c>
      <c r="AU425" s="300">
        <f t="shared" si="67"/>
        <v>287</v>
      </c>
      <c r="AV425" s="20">
        <v>190</v>
      </c>
      <c r="AW425" s="20">
        <v>0</v>
      </c>
      <c r="AX425" s="20">
        <v>64</v>
      </c>
      <c r="AY425" s="20">
        <v>0</v>
      </c>
      <c r="AZ425" s="20">
        <v>24</v>
      </c>
      <c r="BA425" s="20">
        <v>7</v>
      </c>
      <c r="BB425" s="20">
        <v>10</v>
      </c>
      <c r="BC425" s="300">
        <f t="shared" si="68"/>
        <v>295</v>
      </c>
      <c r="BD425" s="42">
        <f t="shared" si="69"/>
        <v>8</v>
      </c>
      <c r="BE425" s="42">
        <f t="shared" si="70"/>
        <v>0</v>
      </c>
      <c r="BF425" s="42">
        <f t="shared" si="71"/>
        <v>0</v>
      </c>
      <c r="BG425" s="42">
        <f t="shared" si="72"/>
        <v>0</v>
      </c>
      <c r="BH425" s="42">
        <f t="shared" si="73"/>
        <v>0</v>
      </c>
      <c r="BI425" s="42">
        <f t="shared" si="74"/>
        <v>0</v>
      </c>
      <c r="BJ425" s="42">
        <f t="shared" si="75"/>
        <v>0</v>
      </c>
      <c r="BK425" s="42">
        <f t="shared" si="76"/>
        <v>8</v>
      </c>
    </row>
    <row r="426" spans="1:63" ht="27" customHeight="1">
      <c r="A426" s="11">
        <f t="shared" si="77"/>
        <v>424</v>
      </c>
      <c r="B426" s="12"/>
      <c r="C426" s="8">
        <v>2995</v>
      </c>
      <c r="D426" s="103" t="s">
        <v>2878</v>
      </c>
      <c r="E426" s="201" t="s">
        <v>2879</v>
      </c>
      <c r="F426" s="218" t="s">
        <v>522</v>
      </c>
      <c r="G426" s="219" t="s">
        <v>2880</v>
      </c>
      <c r="H426" s="24" t="s">
        <v>89</v>
      </c>
      <c r="I426" s="25" t="s">
        <v>2881</v>
      </c>
      <c r="J426" s="82" t="s">
        <v>204</v>
      </c>
      <c r="K426" s="26">
        <v>34050</v>
      </c>
      <c r="L426" s="66" t="s">
        <v>174</v>
      </c>
      <c r="M426" s="23">
        <v>43650</v>
      </c>
      <c r="N426" s="23"/>
      <c r="O426" s="23" t="s">
        <v>32</v>
      </c>
      <c r="P426" s="16" t="s">
        <v>527</v>
      </c>
      <c r="Q426" s="16" t="s">
        <v>244</v>
      </c>
      <c r="R426" s="11" t="s">
        <v>177</v>
      </c>
      <c r="S426" s="11" t="s">
        <v>1546</v>
      </c>
      <c r="T426" s="159"/>
      <c r="U426" s="159"/>
      <c r="V426" s="19" t="s">
        <v>179</v>
      </c>
      <c r="W426" s="19" t="s">
        <v>179</v>
      </c>
      <c r="X426" s="1">
        <v>9</v>
      </c>
      <c r="Y426" s="160" t="s">
        <v>2882</v>
      </c>
      <c r="Z426" s="70"/>
      <c r="AA426" s="70" t="s">
        <v>181</v>
      </c>
      <c r="AB426" s="1"/>
      <c r="AC426" s="107"/>
      <c r="AD426" s="202" t="s">
        <v>184</v>
      </c>
      <c r="AE426" s="202"/>
      <c r="AF426" s="203"/>
      <c r="AG426" s="204"/>
      <c r="AH426" s="205"/>
      <c r="AI426" s="205"/>
      <c r="AJ426" s="81" t="s">
        <v>198</v>
      </c>
      <c r="AK426" s="81" t="s">
        <v>185</v>
      </c>
      <c r="AL426" s="81" t="s">
        <v>185</v>
      </c>
      <c r="AM426" s="107" t="s">
        <v>2349</v>
      </c>
      <c r="AN426" s="20">
        <v>182</v>
      </c>
      <c r="AO426" s="20">
        <v>0</v>
      </c>
      <c r="AP426" s="20">
        <v>64</v>
      </c>
      <c r="AQ426" s="20">
        <v>0</v>
      </c>
      <c r="AR426" s="20">
        <v>24</v>
      </c>
      <c r="AS426" s="20">
        <v>7</v>
      </c>
      <c r="AT426" s="20">
        <v>10</v>
      </c>
      <c r="AU426" s="300">
        <f t="shared" si="67"/>
        <v>287</v>
      </c>
      <c r="AV426" s="20">
        <v>190</v>
      </c>
      <c r="AW426" s="20">
        <v>0</v>
      </c>
      <c r="AX426" s="20">
        <v>64</v>
      </c>
      <c r="AY426" s="20">
        <v>0</v>
      </c>
      <c r="AZ426" s="20">
        <v>24</v>
      </c>
      <c r="BA426" s="20">
        <v>7</v>
      </c>
      <c r="BB426" s="20">
        <v>10</v>
      </c>
      <c r="BC426" s="300">
        <f t="shared" si="68"/>
        <v>295</v>
      </c>
      <c r="BD426" s="42">
        <f t="shared" si="69"/>
        <v>8</v>
      </c>
      <c r="BE426" s="42">
        <f t="shared" si="70"/>
        <v>0</v>
      </c>
      <c r="BF426" s="42">
        <f t="shared" si="71"/>
        <v>0</v>
      </c>
      <c r="BG426" s="42">
        <f t="shared" si="72"/>
        <v>0</v>
      </c>
      <c r="BH426" s="42">
        <f t="shared" si="73"/>
        <v>0</v>
      </c>
      <c r="BI426" s="42">
        <f t="shared" si="74"/>
        <v>0</v>
      </c>
      <c r="BJ426" s="42">
        <f t="shared" si="75"/>
        <v>0</v>
      </c>
      <c r="BK426" s="42">
        <f t="shared" si="76"/>
        <v>8</v>
      </c>
    </row>
    <row r="427" spans="1:63" ht="27" customHeight="1">
      <c r="A427" s="11">
        <f t="shared" si="77"/>
        <v>425</v>
      </c>
      <c r="B427" s="12"/>
      <c r="C427" s="8">
        <v>3006</v>
      </c>
      <c r="D427" s="103" t="s">
        <v>2883</v>
      </c>
      <c r="E427" s="201" t="s">
        <v>2884</v>
      </c>
      <c r="F427" s="218" t="s">
        <v>2885</v>
      </c>
      <c r="G427" s="219" t="s">
        <v>2561</v>
      </c>
      <c r="H427" s="24" t="s">
        <v>2886</v>
      </c>
      <c r="I427" s="25" t="s">
        <v>40</v>
      </c>
      <c r="J427" s="82" t="s">
        <v>173</v>
      </c>
      <c r="K427" s="26">
        <v>30750</v>
      </c>
      <c r="L427" s="66" t="s">
        <v>174</v>
      </c>
      <c r="M427" s="23">
        <v>43655</v>
      </c>
      <c r="N427" s="23"/>
      <c r="O427" s="23" t="s">
        <v>32</v>
      </c>
      <c r="P427" s="16" t="s">
        <v>2493</v>
      </c>
      <c r="Q427" s="16" t="s">
        <v>244</v>
      </c>
      <c r="R427" s="11" t="s">
        <v>177</v>
      </c>
      <c r="S427" s="11" t="s">
        <v>2354</v>
      </c>
      <c r="T427" s="159"/>
      <c r="U427" s="159"/>
      <c r="V427" s="19" t="s">
        <v>179</v>
      </c>
      <c r="W427" s="19" t="s">
        <v>179</v>
      </c>
      <c r="X427" s="1">
        <v>5</v>
      </c>
      <c r="Y427" s="160" t="s">
        <v>179</v>
      </c>
      <c r="Z427" s="70"/>
      <c r="AA427" s="70" t="s">
        <v>181</v>
      </c>
      <c r="AB427" s="1"/>
      <c r="AC427" s="107"/>
      <c r="AD427" s="202" t="s">
        <v>184</v>
      </c>
      <c r="AE427" s="202" t="s">
        <v>183</v>
      </c>
      <c r="AF427" s="203"/>
      <c r="AG427" s="204"/>
      <c r="AH427" s="205"/>
      <c r="AI427" s="205"/>
      <c r="AJ427" s="81" t="s">
        <v>198</v>
      </c>
      <c r="AK427" s="81" t="s">
        <v>185</v>
      </c>
      <c r="AL427" s="81" t="s">
        <v>185</v>
      </c>
      <c r="AM427" s="107" t="s">
        <v>2349</v>
      </c>
      <c r="AN427" s="20">
        <v>182</v>
      </c>
      <c r="AO427" s="20">
        <v>0</v>
      </c>
      <c r="AP427" s="20">
        <v>20</v>
      </c>
      <c r="AQ427" s="20">
        <v>0</v>
      </c>
      <c r="AR427" s="20">
        <v>0</v>
      </c>
      <c r="AS427" s="20">
        <v>7</v>
      </c>
      <c r="AT427" s="20">
        <v>10</v>
      </c>
      <c r="AU427" s="300">
        <f t="shared" si="67"/>
        <v>219</v>
      </c>
      <c r="AV427" s="20">
        <v>190</v>
      </c>
      <c r="AW427" s="20">
        <v>0</v>
      </c>
      <c r="AX427" s="20">
        <v>20</v>
      </c>
      <c r="AY427" s="20">
        <v>0</v>
      </c>
      <c r="AZ427" s="20">
        <v>0</v>
      </c>
      <c r="BA427" s="20">
        <v>7</v>
      </c>
      <c r="BB427" s="20">
        <v>10</v>
      </c>
      <c r="BC427" s="300">
        <f t="shared" si="68"/>
        <v>227</v>
      </c>
      <c r="BD427" s="42">
        <f t="shared" si="69"/>
        <v>8</v>
      </c>
      <c r="BE427" s="42">
        <f t="shared" si="70"/>
        <v>0</v>
      </c>
      <c r="BF427" s="42">
        <f t="shared" si="71"/>
        <v>0</v>
      </c>
      <c r="BG427" s="42">
        <f t="shared" si="72"/>
        <v>0</v>
      </c>
      <c r="BH427" s="42">
        <f t="shared" si="73"/>
        <v>0</v>
      </c>
      <c r="BI427" s="42">
        <f t="shared" si="74"/>
        <v>0</v>
      </c>
      <c r="BJ427" s="42">
        <f t="shared" si="75"/>
        <v>0</v>
      </c>
      <c r="BK427" s="42">
        <f t="shared" si="76"/>
        <v>8</v>
      </c>
    </row>
    <row r="428" spans="1:63" ht="27" customHeight="1">
      <c r="A428" s="11">
        <f t="shared" si="77"/>
        <v>426</v>
      </c>
      <c r="B428" s="12"/>
      <c r="C428" s="8">
        <v>3013</v>
      </c>
      <c r="D428" s="103" t="s">
        <v>2887</v>
      </c>
      <c r="E428" s="201" t="s">
        <v>2888</v>
      </c>
      <c r="F428" s="218" t="s">
        <v>1692</v>
      </c>
      <c r="G428" s="219" t="s">
        <v>2430</v>
      </c>
      <c r="H428" s="24" t="s">
        <v>2510</v>
      </c>
      <c r="I428" s="25" t="s">
        <v>36</v>
      </c>
      <c r="J428" s="82" t="s">
        <v>173</v>
      </c>
      <c r="K428" s="26">
        <v>26817</v>
      </c>
      <c r="L428" s="66" t="s">
        <v>174</v>
      </c>
      <c r="M428" s="23">
        <v>43658</v>
      </c>
      <c r="N428" s="23"/>
      <c r="O428" s="23" t="s">
        <v>32</v>
      </c>
      <c r="P428" s="16" t="s">
        <v>194</v>
      </c>
      <c r="Q428" s="16" t="s">
        <v>244</v>
      </c>
      <c r="R428" s="11" t="s">
        <v>177</v>
      </c>
      <c r="S428" s="11" t="s">
        <v>2354</v>
      </c>
      <c r="T428" s="159"/>
      <c r="U428" s="159"/>
      <c r="V428" s="19"/>
      <c r="W428" s="19" t="s">
        <v>195</v>
      </c>
      <c r="X428" s="1">
        <v>4</v>
      </c>
      <c r="Y428" s="160" t="s">
        <v>2889</v>
      </c>
      <c r="Z428" s="70"/>
      <c r="AA428" s="70" t="s">
        <v>181</v>
      </c>
      <c r="AB428" s="1"/>
      <c r="AC428" s="107"/>
      <c r="AD428" s="202" t="s">
        <v>158</v>
      </c>
      <c r="AE428" s="202" t="s">
        <v>184</v>
      </c>
      <c r="AF428" s="203"/>
      <c r="AG428" s="204"/>
      <c r="AH428" s="205"/>
      <c r="AI428" s="205"/>
      <c r="AJ428" s="81" t="s">
        <v>198</v>
      </c>
      <c r="AK428" s="81" t="s">
        <v>185</v>
      </c>
      <c r="AL428" s="81" t="s">
        <v>185</v>
      </c>
      <c r="AM428" s="107" t="s">
        <v>2890</v>
      </c>
      <c r="AN428" s="20">
        <v>182</v>
      </c>
      <c r="AO428" s="20">
        <v>0</v>
      </c>
      <c r="AP428" s="20">
        <v>20</v>
      </c>
      <c r="AQ428" s="20">
        <v>0</v>
      </c>
      <c r="AR428" s="20">
        <v>0</v>
      </c>
      <c r="AS428" s="20">
        <v>7</v>
      </c>
      <c r="AT428" s="20">
        <v>10</v>
      </c>
      <c r="AU428" s="300">
        <f t="shared" si="67"/>
        <v>219</v>
      </c>
      <c r="AV428" s="20">
        <v>190</v>
      </c>
      <c r="AW428" s="20">
        <v>0</v>
      </c>
      <c r="AX428" s="20">
        <v>20</v>
      </c>
      <c r="AY428" s="20">
        <v>0</v>
      </c>
      <c r="AZ428" s="20">
        <v>0</v>
      </c>
      <c r="BA428" s="20">
        <v>7</v>
      </c>
      <c r="BB428" s="20">
        <v>10</v>
      </c>
      <c r="BC428" s="300">
        <f t="shared" si="68"/>
        <v>227</v>
      </c>
      <c r="BD428" s="42">
        <f t="shared" si="69"/>
        <v>8</v>
      </c>
      <c r="BE428" s="42">
        <f t="shared" si="70"/>
        <v>0</v>
      </c>
      <c r="BF428" s="42">
        <f t="shared" si="71"/>
        <v>0</v>
      </c>
      <c r="BG428" s="42">
        <f t="shared" si="72"/>
        <v>0</v>
      </c>
      <c r="BH428" s="42">
        <f t="shared" si="73"/>
        <v>0</v>
      </c>
      <c r="BI428" s="42">
        <f t="shared" si="74"/>
        <v>0</v>
      </c>
      <c r="BJ428" s="42">
        <f t="shared" si="75"/>
        <v>0</v>
      </c>
      <c r="BK428" s="42">
        <f t="shared" si="76"/>
        <v>8</v>
      </c>
    </row>
    <row r="429" spans="1:63" ht="27" customHeight="1">
      <c r="A429" s="11">
        <f t="shared" si="77"/>
        <v>427</v>
      </c>
      <c r="B429" s="12"/>
      <c r="C429" s="8">
        <v>3002</v>
      </c>
      <c r="D429" s="103" t="s">
        <v>2891</v>
      </c>
      <c r="E429" s="201" t="s">
        <v>2892</v>
      </c>
      <c r="F429" s="218" t="s">
        <v>2893</v>
      </c>
      <c r="G429" s="219" t="s">
        <v>2894</v>
      </c>
      <c r="H429" s="24" t="s">
        <v>2895</v>
      </c>
      <c r="I429" s="25" t="s">
        <v>2896</v>
      </c>
      <c r="J429" s="82" t="s">
        <v>173</v>
      </c>
      <c r="K429" s="26">
        <v>33284</v>
      </c>
      <c r="L429" s="66" t="s">
        <v>174</v>
      </c>
      <c r="M429" s="23">
        <v>43655</v>
      </c>
      <c r="N429" s="23"/>
      <c r="O429" s="23" t="s">
        <v>32</v>
      </c>
      <c r="P429" s="16" t="s">
        <v>599</v>
      </c>
      <c r="Q429" s="16" t="s">
        <v>176</v>
      </c>
      <c r="R429" s="11" t="s">
        <v>177</v>
      </c>
      <c r="S429" s="11" t="s">
        <v>2354</v>
      </c>
      <c r="T429" s="159"/>
      <c r="U429" s="159"/>
      <c r="V429" s="19" t="s">
        <v>179</v>
      </c>
      <c r="W429" s="19" t="s">
        <v>179</v>
      </c>
      <c r="X429" s="1">
        <v>7</v>
      </c>
      <c r="Y429" s="160" t="s">
        <v>2897</v>
      </c>
      <c r="Z429" s="70"/>
      <c r="AA429" s="70" t="s">
        <v>181</v>
      </c>
      <c r="AB429" s="1"/>
      <c r="AC429" s="107"/>
      <c r="AD429" s="202"/>
      <c r="AE429" s="202"/>
      <c r="AF429" s="203"/>
      <c r="AG429" s="204"/>
      <c r="AH429" s="205"/>
      <c r="AI429" s="205"/>
      <c r="AJ429" s="81" t="s">
        <v>198</v>
      </c>
      <c r="AK429" s="81" t="s">
        <v>185</v>
      </c>
      <c r="AL429" s="81" t="s">
        <v>185</v>
      </c>
      <c r="AM429" s="107" t="s">
        <v>2349</v>
      </c>
      <c r="AN429" s="20">
        <v>182</v>
      </c>
      <c r="AO429" s="20">
        <v>0</v>
      </c>
      <c r="AP429" s="20">
        <v>0</v>
      </c>
      <c r="AQ429" s="20">
        <v>0</v>
      </c>
      <c r="AR429" s="20">
        <v>0</v>
      </c>
      <c r="AS429" s="20">
        <v>7</v>
      </c>
      <c r="AT429" s="20">
        <v>10</v>
      </c>
      <c r="AU429" s="300">
        <f t="shared" si="67"/>
        <v>199</v>
      </c>
      <c r="AV429" s="20">
        <v>190</v>
      </c>
      <c r="AW429" s="20">
        <v>0</v>
      </c>
      <c r="AX429" s="20">
        <v>0</v>
      </c>
      <c r="AY429" s="20">
        <v>0</v>
      </c>
      <c r="AZ429" s="20">
        <v>0</v>
      </c>
      <c r="BA429" s="20">
        <v>7</v>
      </c>
      <c r="BB429" s="20">
        <v>10</v>
      </c>
      <c r="BC429" s="300">
        <f t="shared" si="68"/>
        <v>207</v>
      </c>
      <c r="BD429" s="42">
        <f t="shared" si="69"/>
        <v>8</v>
      </c>
      <c r="BE429" s="42">
        <f t="shared" si="70"/>
        <v>0</v>
      </c>
      <c r="BF429" s="42">
        <f t="shared" si="71"/>
        <v>0</v>
      </c>
      <c r="BG429" s="42">
        <f t="shared" si="72"/>
        <v>0</v>
      </c>
      <c r="BH429" s="42">
        <f t="shared" si="73"/>
        <v>0</v>
      </c>
      <c r="BI429" s="42">
        <f t="shared" si="74"/>
        <v>0</v>
      </c>
      <c r="BJ429" s="42">
        <f t="shared" si="75"/>
        <v>0</v>
      </c>
      <c r="BK429" s="42">
        <f t="shared" si="76"/>
        <v>8</v>
      </c>
    </row>
    <row r="430" spans="1:63" ht="27" customHeight="1">
      <c r="A430" s="11">
        <f t="shared" si="77"/>
        <v>428</v>
      </c>
      <c r="B430" s="12"/>
      <c r="C430" s="8">
        <v>3003</v>
      </c>
      <c r="D430" s="103" t="s">
        <v>2898</v>
      </c>
      <c r="E430" s="201" t="s">
        <v>2899</v>
      </c>
      <c r="F430" s="218" t="s">
        <v>2900</v>
      </c>
      <c r="G430" s="219" t="s">
        <v>2901</v>
      </c>
      <c r="H430" s="24" t="s">
        <v>2902</v>
      </c>
      <c r="I430" s="25" t="s">
        <v>2903</v>
      </c>
      <c r="J430" s="82" t="s">
        <v>173</v>
      </c>
      <c r="K430" s="26">
        <v>35266</v>
      </c>
      <c r="L430" s="66" t="s">
        <v>174</v>
      </c>
      <c r="M430" s="23">
        <v>43655</v>
      </c>
      <c r="N430" s="23"/>
      <c r="O430" s="23" t="s">
        <v>32</v>
      </c>
      <c r="P430" s="16" t="s">
        <v>2493</v>
      </c>
      <c r="Q430" s="16" t="s">
        <v>244</v>
      </c>
      <c r="R430" s="11" t="s">
        <v>177</v>
      </c>
      <c r="S430" s="11" t="s">
        <v>2904</v>
      </c>
      <c r="T430" s="159"/>
      <c r="U430" s="159"/>
      <c r="V430" s="19" t="s">
        <v>179</v>
      </c>
      <c r="W430" s="19" t="s">
        <v>179</v>
      </c>
      <c r="X430" s="1">
        <v>7</v>
      </c>
      <c r="Y430" s="160" t="s">
        <v>2905</v>
      </c>
      <c r="Z430" s="70"/>
      <c r="AA430" s="70" t="s">
        <v>181</v>
      </c>
      <c r="AB430" s="1"/>
      <c r="AC430" s="107"/>
      <c r="AD430" s="202"/>
      <c r="AE430" s="202"/>
      <c r="AF430" s="203"/>
      <c r="AG430" s="204"/>
      <c r="AH430" s="205"/>
      <c r="AI430" s="205"/>
      <c r="AJ430" s="81" t="s">
        <v>198</v>
      </c>
      <c r="AK430" s="81" t="s">
        <v>185</v>
      </c>
      <c r="AL430" s="81" t="s">
        <v>185</v>
      </c>
      <c r="AM430" s="107" t="s">
        <v>2349</v>
      </c>
      <c r="AN430" s="20">
        <v>182</v>
      </c>
      <c r="AO430" s="20">
        <v>0</v>
      </c>
      <c r="AP430" s="20">
        <v>20</v>
      </c>
      <c r="AQ430" s="20">
        <v>0</v>
      </c>
      <c r="AR430" s="20">
        <v>0</v>
      </c>
      <c r="AS430" s="20">
        <v>7</v>
      </c>
      <c r="AT430" s="20">
        <v>10</v>
      </c>
      <c r="AU430" s="300">
        <f t="shared" si="67"/>
        <v>219</v>
      </c>
      <c r="AV430" s="20">
        <v>190</v>
      </c>
      <c r="AW430" s="20">
        <v>0</v>
      </c>
      <c r="AX430" s="20">
        <v>20</v>
      </c>
      <c r="AY430" s="20">
        <v>0</v>
      </c>
      <c r="AZ430" s="20">
        <v>0</v>
      </c>
      <c r="BA430" s="20">
        <v>7</v>
      </c>
      <c r="BB430" s="20">
        <v>10</v>
      </c>
      <c r="BC430" s="300">
        <f t="shared" si="68"/>
        <v>227</v>
      </c>
      <c r="BD430" s="42">
        <f t="shared" si="69"/>
        <v>8</v>
      </c>
      <c r="BE430" s="42">
        <f t="shared" si="70"/>
        <v>0</v>
      </c>
      <c r="BF430" s="42">
        <f t="shared" si="71"/>
        <v>0</v>
      </c>
      <c r="BG430" s="42">
        <f t="shared" si="72"/>
        <v>0</v>
      </c>
      <c r="BH430" s="42">
        <f t="shared" si="73"/>
        <v>0</v>
      </c>
      <c r="BI430" s="42">
        <f t="shared" si="74"/>
        <v>0</v>
      </c>
      <c r="BJ430" s="42">
        <f t="shared" si="75"/>
        <v>0</v>
      </c>
      <c r="BK430" s="42">
        <f t="shared" si="76"/>
        <v>8</v>
      </c>
    </row>
    <row r="431" spans="1:63" ht="27" customHeight="1">
      <c r="A431" s="11">
        <f t="shared" si="77"/>
        <v>429</v>
      </c>
      <c r="B431" s="12"/>
      <c r="C431" s="8">
        <v>3018</v>
      </c>
      <c r="D431" s="103" t="s">
        <v>2906</v>
      </c>
      <c r="E431" s="201" t="s">
        <v>2907</v>
      </c>
      <c r="F431" s="218" t="s">
        <v>2908</v>
      </c>
      <c r="G431" s="219" t="s">
        <v>2909</v>
      </c>
      <c r="H431" s="24" t="s">
        <v>2910</v>
      </c>
      <c r="I431" s="25" t="s">
        <v>2911</v>
      </c>
      <c r="J431" s="82" t="s">
        <v>173</v>
      </c>
      <c r="K431" s="26">
        <v>34714</v>
      </c>
      <c r="L431" s="66" t="s">
        <v>174</v>
      </c>
      <c r="M431" s="23">
        <v>43663</v>
      </c>
      <c r="N431" s="23"/>
      <c r="O431" s="23" t="s">
        <v>32</v>
      </c>
      <c r="P431" s="16" t="s">
        <v>260</v>
      </c>
      <c r="Q431" s="16" t="s">
        <v>176</v>
      </c>
      <c r="R431" s="11" t="s">
        <v>177</v>
      </c>
      <c r="S431" s="11" t="s">
        <v>2354</v>
      </c>
      <c r="T431" s="159"/>
      <c r="U431" s="159"/>
      <c r="V431" s="19" t="s">
        <v>179</v>
      </c>
      <c r="W431" s="19" t="s">
        <v>179</v>
      </c>
      <c r="X431" s="1">
        <v>3</v>
      </c>
      <c r="Y431" s="160" t="s">
        <v>2912</v>
      </c>
      <c r="Z431" s="70" t="s">
        <v>181</v>
      </c>
      <c r="AA431" s="70"/>
      <c r="AB431" s="1"/>
      <c r="AC431" s="107"/>
      <c r="AD431" s="202"/>
      <c r="AE431" s="202"/>
      <c r="AF431" s="203"/>
      <c r="AG431" s="204"/>
      <c r="AH431" s="205"/>
      <c r="AI431" s="205"/>
      <c r="AJ431" s="81" t="s">
        <v>198</v>
      </c>
      <c r="AK431" s="81" t="s">
        <v>185</v>
      </c>
      <c r="AL431" s="81" t="s">
        <v>185</v>
      </c>
      <c r="AM431" s="107" t="s">
        <v>2349</v>
      </c>
      <c r="AN431" s="20">
        <v>182</v>
      </c>
      <c r="AO431" s="20">
        <v>0</v>
      </c>
      <c r="AP431" s="20">
        <v>0</v>
      </c>
      <c r="AQ431" s="20">
        <v>0</v>
      </c>
      <c r="AR431" s="20">
        <v>0</v>
      </c>
      <c r="AS431" s="20">
        <v>7</v>
      </c>
      <c r="AT431" s="20">
        <v>10</v>
      </c>
      <c r="AU431" s="300">
        <f t="shared" si="67"/>
        <v>199</v>
      </c>
      <c r="AV431" s="20">
        <v>190</v>
      </c>
      <c r="AW431" s="20">
        <v>0</v>
      </c>
      <c r="AX431" s="20">
        <v>0</v>
      </c>
      <c r="AY431" s="20">
        <v>0</v>
      </c>
      <c r="AZ431" s="20">
        <v>0</v>
      </c>
      <c r="BA431" s="20">
        <v>7</v>
      </c>
      <c r="BB431" s="20">
        <v>10</v>
      </c>
      <c r="BC431" s="300">
        <f t="shared" si="68"/>
        <v>207</v>
      </c>
      <c r="BD431" s="42">
        <f t="shared" si="69"/>
        <v>8</v>
      </c>
      <c r="BE431" s="42">
        <f t="shared" si="70"/>
        <v>0</v>
      </c>
      <c r="BF431" s="42">
        <f t="shared" si="71"/>
        <v>0</v>
      </c>
      <c r="BG431" s="42">
        <f t="shared" si="72"/>
        <v>0</v>
      </c>
      <c r="BH431" s="42">
        <f t="shared" si="73"/>
        <v>0</v>
      </c>
      <c r="BI431" s="42">
        <f t="shared" si="74"/>
        <v>0</v>
      </c>
      <c r="BJ431" s="42">
        <f t="shared" si="75"/>
        <v>0</v>
      </c>
      <c r="BK431" s="42">
        <f t="shared" si="76"/>
        <v>8</v>
      </c>
    </row>
    <row r="432" spans="1:63" ht="27" customHeight="1">
      <c r="A432" s="11">
        <f t="shared" si="77"/>
        <v>430</v>
      </c>
      <c r="B432" s="12"/>
      <c r="C432" s="8">
        <v>3017</v>
      </c>
      <c r="D432" s="103" t="s">
        <v>2913</v>
      </c>
      <c r="E432" s="201" t="s">
        <v>291</v>
      </c>
      <c r="F432" s="218" t="s">
        <v>2908</v>
      </c>
      <c r="G432" s="219" t="s">
        <v>2914</v>
      </c>
      <c r="H432" s="24" t="s">
        <v>2910</v>
      </c>
      <c r="I432" s="25" t="s">
        <v>2219</v>
      </c>
      <c r="J432" s="82" t="s">
        <v>173</v>
      </c>
      <c r="K432" s="26">
        <v>34314</v>
      </c>
      <c r="L432" s="66" t="s">
        <v>174</v>
      </c>
      <c r="M432" s="23">
        <v>43663</v>
      </c>
      <c r="N432" s="23"/>
      <c r="O432" s="23" t="s">
        <v>32</v>
      </c>
      <c r="P432" s="16" t="s">
        <v>260</v>
      </c>
      <c r="Q432" s="16" t="s">
        <v>176</v>
      </c>
      <c r="R432" s="11" t="s">
        <v>177</v>
      </c>
      <c r="S432" s="11" t="s">
        <v>2354</v>
      </c>
      <c r="T432" s="159"/>
      <c r="U432" s="159"/>
      <c r="V432" s="19" t="s">
        <v>179</v>
      </c>
      <c r="W432" s="19" t="s">
        <v>179</v>
      </c>
      <c r="X432" s="1">
        <v>2</v>
      </c>
      <c r="Y432" s="160" t="s">
        <v>2912</v>
      </c>
      <c r="Z432" s="70" t="s">
        <v>181</v>
      </c>
      <c r="AA432" s="70"/>
      <c r="AB432" s="1"/>
      <c r="AC432" s="107"/>
      <c r="AD432" s="202"/>
      <c r="AE432" s="202"/>
      <c r="AF432" s="203"/>
      <c r="AG432" s="204"/>
      <c r="AH432" s="205"/>
      <c r="AI432" s="205"/>
      <c r="AJ432" s="81" t="s">
        <v>198</v>
      </c>
      <c r="AK432" s="81" t="s">
        <v>185</v>
      </c>
      <c r="AL432" s="81" t="s">
        <v>185</v>
      </c>
      <c r="AM432" s="107" t="s">
        <v>2349</v>
      </c>
      <c r="AN432" s="20">
        <v>182</v>
      </c>
      <c r="AO432" s="20">
        <v>0</v>
      </c>
      <c r="AP432" s="20">
        <v>0</v>
      </c>
      <c r="AQ432" s="20">
        <v>0</v>
      </c>
      <c r="AR432" s="20">
        <v>0</v>
      </c>
      <c r="AS432" s="20">
        <v>7</v>
      </c>
      <c r="AT432" s="20">
        <v>10</v>
      </c>
      <c r="AU432" s="300">
        <f t="shared" si="67"/>
        <v>199</v>
      </c>
      <c r="AV432" s="20">
        <v>190</v>
      </c>
      <c r="AW432" s="20">
        <v>0</v>
      </c>
      <c r="AX432" s="20">
        <v>0</v>
      </c>
      <c r="AY432" s="20">
        <v>0</v>
      </c>
      <c r="AZ432" s="20">
        <v>0</v>
      </c>
      <c r="BA432" s="20">
        <v>7</v>
      </c>
      <c r="BB432" s="20">
        <v>10</v>
      </c>
      <c r="BC432" s="300">
        <f t="shared" si="68"/>
        <v>207</v>
      </c>
      <c r="BD432" s="42">
        <f t="shared" si="69"/>
        <v>8</v>
      </c>
      <c r="BE432" s="42">
        <f t="shared" si="70"/>
        <v>0</v>
      </c>
      <c r="BF432" s="42">
        <f t="shared" si="71"/>
        <v>0</v>
      </c>
      <c r="BG432" s="42">
        <f t="shared" si="72"/>
        <v>0</v>
      </c>
      <c r="BH432" s="42">
        <f t="shared" si="73"/>
        <v>0</v>
      </c>
      <c r="BI432" s="42">
        <f t="shared" si="74"/>
        <v>0</v>
      </c>
      <c r="BJ432" s="42">
        <f t="shared" si="75"/>
        <v>0</v>
      </c>
      <c r="BK432" s="42">
        <f t="shared" si="76"/>
        <v>8</v>
      </c>
    </row>
    <row r="433" spans="1:63" ht="27" customHeight="1">
      <c r="A433" s="11">
        <f t="shared" si="77"/>
        <v>431</v>
      </c>
      <c r="B433" s="12"/>
      <c r="C433" s="8">
        <v>3021</v>
      </c>
      <c r="D433" s="103" t="s">
        <v>2915</v>
      </c>
      <c r="E433" s="201" t="s">
        <v>2916</v>
      </c>
      <c r="F433" s="218" t="s">
        <v>393</v>
      </c>
      <c r="G433" s="219" t="s">
        <v>2064</v>
      </c>
      <c r="H433" s="24" t="s">
        <v>2917</v>
      </c>
      <c r="I433" s="25" t="s">
        <v>2918</v>
      </c>
      <c r="J433" s="82" t="s">
        <v>173</v>
      </c>
      <c r="K433" s="26">
        <v>28621</v>
      </c>
      <c r="L433" s="66" t="s">
        <v>174</v>
      </c>
      <c r="M433" s="23">
        <v>43665</v>
      </c>
      <c r="N433" s="23"/>
      <c r="O433" s="23" t="s">
        <v>32</v>
      </c>
      <c r="P433" s="16" t="s">
        <v>194</v>
      </c>
      <c r="Q433" s="16" t="s">
        <v>244</v>
      </c>
      <c r="R433" s="11" t="s">
        <v>177</v>
      </c>
      <c r="S433" s="11" t="s">
        <v>2354</v>
      </c>
      <c r="T433" s="159"/>
      <c r="U433" s="159"/>
      <c r="V433" s="19" t="s">
        <v>179</v>
      </c>
      <c r="W433" s="19" t="s">
        <v>179</v>
      </c>
      <c r="X433" s="1">
        <v>5</v>
      </c>
      <c r="Y433" s="160" t="s">
        <v>291</v>
      </c>
      <c r="Z433" s="70"/>
      <c r="AA433" s="70" t="s">
        <v>181</v>
      </c>
      <c r="AB433" s="1"/>
      <c r="AC433" s="107"/>
      <c r="AD433" s="202"/>
      <c r="AE433" s="202"/>
      <c r="AF433" s="203"/>
      <c r="AG433" s="204"/>
      <c r="AH433" s="205"/>
      <c r="AI433" s="205"/>
      <c r="AJ433" s="81" t="s">
        <v>198</v>
      </c>
      <c r="AK433" s="81" t="s">
        <v>185</v>
      </c>
      <c r="AL433" s="81" t="s">
        <v>185</v>
      </c>
      <c r="AM433" s="107" t="s">
        <v>2349</v>
      </c>
      <c r="AN433" s="20">
        <v>182</v>
      </c>
      <c r="AO433" s="20">
        <v>0</v>
      </c>
      <c r="AP433" s="20">
        <v>20</v>
      </c>
      <c r="AQ433" s="20">
        <v>0</v>
      </c>
      <c r="AR433" s="20">
        <v>0</v>
      </c>
      <c r="AS433" s="20">
        <v>7</v>
      </c>
      <c r="AT433" s="20">
        <v>10</v>
      </c>
      <c r="AU433" s="300">
        <f t="shared" si="67"/>
        <v>219</v>
      </c>
      <c r="AV433" s="20">
        <v>190</v>
      </c>
      <c r="AW433" s="20">
        <v>0</v>
      </c>
      <c r="AX433" s="20">
        <v>20</v>
      </c>
      <c r="AY433" s="20">
        <v>0</v>
      </c>
      <c r="AZ433" s="20">
        <v>0</v>
      </c>
      <c r="BA433" s="20">
        <v>7</v>
      </c>
      <c r="BB433" s="20">
        <v>10</v>
      </c>
      <c r="BC433" s="300">
        <f t="shared" si="68"/>
        <v>227</v>
      </c>
      <c r="BD433" s="42">
        <f t="shared" si="69"/>
        <v>8</v>
      </c>
      <c r="BE433" s="42">
        <f t="shared" si="70"/>
        <v>0</v>
      </c>
      <c r="BF433" s="42">
        <f t="shared" si="71"/>
        <v>0</v>
      </c>
      <c r="BG433" s="42">
        <f t="shared" si="72"/>
        <v>0</v>
      </c>
      <c r="BH433" s="42">
        <f t="shared" si="73"/>
        <v>0</v>
      </c>
      <c r="BI433" s="42">
        <f t="shared" si="74"/>
        <v>0</v>
      </c>
      <c r="BJ433" s="42">
        <f t="shared" si="75"/>
        <v>0</v>
      </c>
      <c r="BK433" s="42">
        <f t="shared" si="76"/>
        <v>8</v>
      </c>
    </row>
    <row r="434" spans="1:63" ht="27" customHeight="1">
      <c r="A434" s="11">
        <f t="shared" si="77"/>
        <v>432</v>
      </c>
      <c r="B434" s="12"/>
      <c r="C434" s="8">
        <v>3001</v>
      </c>
      <c r="D434" s="103" t="s">
        <v>2919</v>
      </c>
      <c r="E434" s="201" t="s">
        <v>2920</v>
      </c>
      <c r="F434" s="218" t="s">
        <v>415</v>
      </c>
      <c r="G434" s="219" t="s">
        <v>2921</v>
      </c>
      <c r="H434" s="24" t="s">
        <v>417</v>
      </c>
      <c r="I434" s="25" t="s">
        <v>2922</v>
      </c>
      <c r="J434" s="82" t="s">
        <v>173</v>
      </c>
      <c r="K434" s="26">
        <v>31537</v>
      </c>
      <c r="L434" s="66" t="s">
        <v>174</v>
      </c>
      <c r="M434" s="23">
        <v>43664</v>
      </c>
      <c r="N434" s="23"/>
      <c r="O434" s="23" t="s">
        <v>32</v>
      </c>
      <c r="P434" s="16" t="s">
        <v>381</v>
      </c>
      <c r="Q434" s="16" t="s">
        <v>176</v>
      </c>
      <c r="R434" s="11" t="s">
        <v>177</v>
      </c>
      <c r="S434" s="11" t="s">
        <v>2379</v>
      </c>
      <c r="T434" s="159"/>
      <c r="U434" s="159"/>
      <c r="V434" s="19" t="s">
        <v>195</v>
      </c>
      <c r="W434" s="19" t="s">
        <v>179</v>
      </c>
      <c r="X434" s="1">
        <v>7</v>
      </c>
      <c r="Y434" s="160" t="s">
        <v>2923</v>
      </c>
      <c r="Z434" s="70"/>
      <c r="AA434" s="70" t="s">
        <v>181</v>
      </c>
      <c r="AB434" s="1"/>
      <c r="AC434" s="107"/>
      <c r="AD434" s="202"/>
      <c r="AE434" s="202"/>
      <c r="AF434" s="203"/>
      <c r="AG434" s="204"/>
      <c r="AH434" s="205"/>
      <c r="AI434" s="205"/>
      <c r="AJ434" s="81" t="s">
        <v>198</v>
      </c>
      <c r="AK434" s="81" t="s">
        <v>185</v>
      </c>
      <c r="AL434" s="81" t="s">
        <v>185</v>
      </c>
      <c r="AM434" s="107" t="s">
        <v>2349</v>
      </c>
      <c r="AN434" s="20">
        <v>182</v>
      </c>
      <c r="AO434" s="20">
        <v>0</v>
      </c>
      <c r="AP434" s="20">
        <v>0</v>
      </c>
      <c r="AQ434" s="20">
        <v>0</v>
      </c>
      <c r="AR434" s="20">
        <v>0</v>
      </c>
      <c r="AS434" s="20">
        <v>7</v>
      </c>
      <c r="AT434" s="20">
        <v>10</v>
      </c>
      <c r="AU434" s="300">
        <f t="shared" si="67"/>
        <v>199</v>
      </c>
      <c r="AV434" s="20">
        <v>190</v>
      </c>
      <c r="AW434" s="20">
        <v>0</v>
      </c>
      <c r="AX434" s="20">
        <v>0</v>
      </c>
      <c r="AY434" s="20">
        <v>0</v>
      </c>
      <c r="AZ434" s="20">
        <v>0</v>
      </c>
      <c r="BA434" s="20">
        <v>7</v>
      </c>
      <c r="BB434" s="20">
        <v>10</v>
      </c>
      <c r="BC434" s="300">
        <f t="shared" si="68"/>
        <v>207</v>
      </c>
      <c r="BD434" s="42">
        <f t="shared" si="69"/>
        <v>8</v>
      </c>
      <c r="BE434" s="42">
        <f t="shared" si="70"/>
        <v>0</v>
      </c>
      <c r="BF434" s="42">
        <f t="shared" si="71"/>
        <v>0</v>
      </c>
      <c r="BG434" s="42">
        <f t="shared" si="72"/>
        <v>0</v>
      </c>
      <c r="BH434" s="42">
        <f t="shared" si="73"/>
        <v>0</v>
      </c>
      <c r="BI434" s="42">
        <f t="shared" si="74"/>
        <v>0</v>
      </c>
      <c r="BJ434" s="42">
        <f t="shared" si="75"/>
        <v>0</v>
      </c>
      <c r="BK434" s="42">
        <f t="shared" si="76"/>
        <v>8</v>
      </c>
    </row>
    <row r="435" spans="1:63" ht="27" customHeight="1">
      <c r="A435" s="11">
        <f t="shared" si="77"/>
        <v>433</v>
      </c>
      <c r="B435" s="12"/>
      <c r="C435" s="8">
        <v>3022</v>
      </c>
      <c r="D435" s="103" t="s">
        <v>2924</v>
      </c>
      <c r="E435" s="201" t="s">
        <v>2925</v>
      </c>
      <c r="F435" s="218" t="s">
        <v>2926</v>
      </c>
      <c r="G435" s="219" t="s">
        <v>2016</v>
      </c>
      <c r="H435" s="24" t="s">
        <v>2927</v>
      </c>
      <c r="I435" s="25" t="s">
        <v>303</v>
      </c>
      <c r="J435" s="82" t="s">
        <v>173</v>
      </c>
      <c r="K435" s="26">
        <v>32569</v>
      </c>
      <c r="L435" s="66" t="s">
        <v>174</v>
      </c>
      <c r="M435" s="23">
        <v>43665</v>
      </c>
      <c r="N435" s="23"/>
      <c r="O435" s="23" t="s">
        <v>32</v>
      </c>
      <c r="P435" s="16" t="s">
        <v>334</v>
      </c>
      <c r="Q435" s="16" t="s">
        <v>176</v>
      </c>
      <c r="R435" s="11" t="s">
        <v>177</v>
      </c>
      <c r="S435" s="11" t="s">
        <v>2928</v>
      </c>
      <c r="T435" s="159"/>
      <c r="U435" s="159"/>
      <c r="V435" s="19" t="s">
        <v>179</v>
      </c>
      <c r="W435" s="19" t="s">
        <v>179</v>
      </c>
      <c r="X435" s="1">
        <v>6</v>
      </c>
      <c r="Y435" s="160" t="s">
        <v>2929</v>
      </c>
      <c r="Z435" s="70"/>
      <c r="AA435" s="70" t="s">
        <v>181</v>
      </c>
      <c r="AB435" s="1"/>
      <c r="AC435" s="107"/>
      <c r="AD435" s="202"/>
      <c r="AE435" s="202"/>
      <c r="AF435" s="203"/>
      <c r="AG435" s="204"/>
      <c r="AH435" s="205"/>
      <c r="AI435" s="205"/>
      <c r="AJ435" s="81" t="s">
        <v>198</v>
      </c>
      <c r="AK435" s="81" t="s">
        <v>185</v>
      </c>
      <c r="AL435" s="81" t="s">
        <v>185</v>
      </c>
      <c r="AM435" s="107" t="s">
        <v>2349</v>
      </c>
      <c r="AN435" s="20">
        <v>182</v>
      </c>
      <c r="AO435" s="20">
        <v>0</v>
      </c>
      <c r="AP435" s="20">
        <v>0</v>
      </c>
      <c r="AQ435" s="20">
        <v>0</v>
      </c>
      <c r="AR435" s="20">
        <v>0</v>
      </c>
      <c r="AS435" s="20">
        <v>7</v>
      </c>
      <c r="AT435" s="20">
        <v>10</v>
      </c>
      <c r="AU435" s="300">
        <f t="shared" si="67"/>
        <v>199</v>
      </c>
      <c r="AV435" s="20">
        <v>190</v>
      </c>
      <c r="AW435" s="20">
        <v>0</v>
      </c>
      <c r="AX435" s="20">
        <v>0</v>
      </c>
      <c r="AY435" s="20">
        <v>0</v>
      </c>
      <c r="AZ435" s="20">
        <v>0</v>
      </c>
      <c r="BA435" s="20">
        <v>7</v>
      </c>
      <c r="BB435" s="20">
        <v>10</v>
      </c>
      <c r="BC435" s="300">
        <f t="shared" si="68"/>
        <v>207</v>
      </c>
      <c r="BD435" s="42">
        <f t="shared" si="69"/>
        <v>8</v>
      </c>
      <c r="BE435" s="42">
        <f t="shared" si="70"/>
        <v>0</v>
      </c>
      <c r="BF435" s="42">
        <f t="shared" si="71"/>
        <v>0</v>
      </c>
      <c r="BG435" s="42">
        <f t="shared" si="72"/>
        <v>0</v>
      </c>
      <c r="BH435" s="42">
        <f t="shared" si="73"/>
        <v>0</v>
      </c>
      <c r="BI435" s="42">
        <f t="shared" si="74"/>
        <v>0</v>
      </c>
      <c r="BJ435" s="42">
        <f t="shared" si="75"/>
        <v>0</v>
      </c>
      <c r="BK435" s="42">
        <f t="shared" si="76"/>
        <v>8</v>
      </c>
    </row>
    <row r="436" spans="1:63" ht="27" customHeight="1">
      <c r="A436" s="11">
        <f t="shared" si="77"/>
        <v>434</v>
      </c>
      <c r="B436" s="12"/>
      <c r="C436" s="8">
        <v>3014</v>
      </c>
      <c r="D436" s="103" t="s">
        <v>2930</v>
      </c>
      <c r="E436" s="201" t="s">
        <v>2931</v>
      </c>
      <c r="F436" s="218" t="s">
        <v>2932</v>
      </c>
      <c r="G436" s="219" t="s">
        <v>2933</v>
      </c>
      <c r="H436" s="24" t="s">
        <v>2934</v>
      </c>
      <c r="I436" s="25" t="s">
        <v>2935</v>
      </c>
      <c r="J436" s="82" t="s">
        <v>173</v>
      </c>
      <c r="K436" s="26">
        <v>31170</v>
      </c>
      <c r="L436" s="66" t="s">
        <v>174</v>
      </c>
      <c r="M436" s="23">
        <v>43661</v>
      </c>
      <c r="N436" s="23"/>
      <c r="O436" s="23" t="s">
        <v>32</v>
      </c>
      <c r="P436" s="16" t="s">
        <v>2493</v>
      </c>
      <c r="Q436" s="16" t="s">
        <v>244</v>
      </c>
      <c r="R436" s="11" t="s">
        <v>177</v>
      </c>
      <c r="S436" s="11" t="s">
        <v>2928</v>
      </c>
      <c r="T436" s="159"/>
      <c r="U436" s="159"/>
      <c r="V436" s="19" t="s">
        <v>179</v>
      </c>
      <c r="W436" s="19" t="s">
        <v>179</v>
      </c>
      <c r="X436" s="1">
        <v>0</v>
      </c>
      <c r="Y436" s="160" t="s">
        <v>2936</v>
      </c>
      <c r="Z436" s="70" t="s">
        <v>181</v>
      </c>
      <c r="AA436" s="70"/>
      <c r="AB436" s="1"/>
      <c r="AC436" s="107"/>
      <c r="AD436" s="202"/>
      <c r="AE436" s="202"/>
      <c r="AF436" s="203"/>
      <c r="AG436" s="204"/>
      <c r="AH436" s="205"/>
      <c r="AI436" s="205"/>
      <c r="AJ436" s="81" t="s">
        <v>198</v>
      </c>
      <c r="AK436" s="81" t="s">
        <v>185</v>
      </c>
      <c r="AL436" s="81" t="s">
        <v>185</v>
      </c>
      <c r="AM436" s="107" t="s">
        <v>2349</v>
      </c>
      <c r="AN436" s="20">
        <v>182</v>
      </c>
      <c r="AO436" s="20">
        <v>0</v>
      </c>
      <c r="AP436" s="20">
        <v>20</v>
      </c>
      <c r="AQ436" s="20">
        <v>0</v>
      </c>
      <c r="AR436" s="20">
        <v>0</v>
      </c>
      <c r="AS436" s="20">
        <v>7</v>
      </c>
      <c r="AT436" s="20">
        <v>10</v>
      </c>
      <c r="AU436" s="300">
        <f t="shared" si="67"/>
        <v>219</v>
      </c>
      <c r="AV436" s="20">
        <v>190</v>
      </c>
      <c r="AW436" s="20">
        <v>0</v>
      </c>
      <c r="AX436" s="20">
        <v>20</v>
      </c>
      <c r="AY436" s="20">
        <v>0</v>
      </c>
      <c r="AZ436" s="20">
        <v>0</v>
      </c>
      <c r="BA436" s="20">
        <v>7</v>
      </c>
      <c r="BB436" s="20">
        <v>10</v>
      </c>
      <c r="BC436" s="300">
        <f t="shared" si="68"/>
        <v>227</v>
      </c>
      <c r="BD436" s="42">
        <f t="shared" si="69"/>
        <v>8</v>
      </c>
      <c r="BE436" s="42">
        <f t="shared" si="70"/>
        <v>0</v>
      </c>
      <c r="BF436" s="42">
        <f t="shared" si="71"/>
        <v>0</v>
      </c>
      <c r="BG436" s="42">
        <f t="shared" si="72"/>
        <v>0</v>
      </c>
      <c r="BH436" s="42">
        <f t="shared" si="73"/>
        <v>0</v>
      </c>
      <c r="BI436" s="42">
        <f t="shared" si="74"/>
        <v>0</v>
      </c>
      <c r="BJ436" s="42">
        <f t="shared" si="75"/>
        <v>0</v>
      </c>
      <c r="BK436" s="42">
        <f t="shared" si="76"/>
        <v>8</v>
      </c>
    </row>
    <row r="437" spans="1:63" ht="27" customHeight="1">
      <c r="A437" s="11">
        <f t="shared" si="77"/>
        <v>435</v>
      </c>
      <c r="B437" s="12"/>
      <c r="C437" s="12">
        <v>3025</v>
      </c>
      <c r="D437" s="103" t="s">
        <v>2937</v>
      </c>
      <c r="E437" s="201" t="s">
        <v>2938</v>
      </c>
      <c r="F437" s="218" t="s">
        <v>2939</v>
      </c>
      <c r="G437" s="219" t="s">
        <v>2940</v>
      </c>
      <c r="H437" s="24" t="s">
        <v>2941</v>
      </c>
      <c r="I437" s="25" t="s">
        <v>2942</v>
      </c>
      <c r="J437" s="82" t="s">
        <v>173</v>
      </c>
      <c r="K437" s="26">
        <v>34371</v>
      </c>
      <c r="L437" s="66" t="s">
        <v>174</v>
      </c>
      <c r="M437" s="23">
        <v>43666</v>
      </c>
      <c r="N437" s="23"/>
      <c r="O437" s="23" t="s">
        <v>32</v>
      </c>
      <c r="P437" s="16" t="s">
        <v>343</v>
      </c>
      <c r="Q437" s="16" t="s">
        <v>176</v>
      </c>
      <c r="R437" s="11" t="s">
        <v>177</v>
      </c>
      <c r="S437" s="11" t="s">
        <v>2392</v>
      </c>
      <c r="T437" s="20" t="s">
        <v>335</v>
      </c>
      <c r="U437" s="20"/>
      <c r="V437" s="19" t="s">
        <v>179</v>
      </c>
      <c r="W437" s="19" t="s">
        <v>179</v>
      </c>
      <c r="X437" s="19">
        <v>6</v>
      </c>
      <c r="Y437" s="61" t="s">
        <v>2943</v>
      </c>
      <c r="Z437" s="70"/>
      <c r="AA437" s="70" t="s">
        <v>181</v>
      </c>
      <c r="AB437" s="19"/>
      <c r="AC437" s="107"/>
      <c r="AD437" s="202" t="s">
        <v>184</v>
      </c>
      <c r="AE437" s="202"/>
      <c r="AF437" s="203"/>
      <c r="AG437" s="204"/>
      <c r="AH437" s="220"/>
      <c r="AI437" s="220"/>
      <c r="AJ437" s="72" t="s">
        <v>198</v>
      </c>
      <c r="AK437" s="72" t="s">
        <v>185</v>
      </c>
      <c r="AL437" s="72" t="s">
        <v>185</v>
      </c>
      <c r="AM437" s="107" t="s">
        <v>2349</v>
      </c>
      <c r="AN437" s="20">
        <v>182</v>
      </c>
      <c r="AO437" s="20">
        <v>0</v>
      </c>
      <c r="AP437" s="20">
        <v>0</v>
      </c>
      <c r="AQ437" s="20">
        <v>0</v>
      </c>
      <c r="AR437" s="20">
        <v>0</v>
      </c>
      <c r="AS437" s="20">
        <v>7</v>
      </c>
      <c r="AT437" s="20">
        <v>10</v>
      </c>
      <c r="AU437" s="300">
        <f t="shared" si="67"/>
        <v>199</v>
      </c>
      <c r="AV437" s="20">
        <v>190</v>
      </c>
      <c r="AW437" s="20">
        <v>0</v>
      </c>
      <c r="AX437" s="20">
        <v>0</v>
      </c>
      <c r="AY437" s="20">
        <v>0</v>
      </c>
      <c r="AZ437" s="20">
        <v>0</v>
      </c>
      <c r="BA437" s="20">
        <v>7</v>
      </c>
      <c r="BB437" s="20">
        <v>10</v>
      </c>
      <c r="BC437" s="300">
        <f t="shared" si="68"/>
        <v>207</v>
      </c>
      <c r="BD437" s="42">
        <f t="shared" si="69"/>
        <v>8</v>
      </c>
      <c r="BE437" s="42">
        <f t="shared" si="70"/>
        <v>0</v>
      </c>
      <c r="BF437" s="42">
        <f t="shared" si="71"/>
        <v>0</v>
      </c>
      <c r="BG437" s="42">
        <f t="shared" si="72"/>
        <v>0</v>
      </c>
      <c r="BH437" s="42">
        <f t="shared" si="73"/>
        <v>0</v>
      </c>
      <c r="BI437" s="42">
        <f t="shared" si="74"/>
        <v>0</v>
      </c>
      <c r="BJ437" s="42">
        <f t="shared" si="75"/>
        <v>0</v>
      </c>
      <c r="BK437" s="42">
        <f t="shared" si="76"/>
        <v>8</v>
      </c>
    </row>
    <row r="438" spans="1:63" ht="27" customHeight="1">
      <c r="A438" s="11">
        <f t="shared" si="77"/>
        <v>436</v>
      </c>
      <c r="B438" s="12"/>
      <c r="C438" s="8">
        <v>3027</v>
      </c>
      <c r="D438" s="103" t="s">
        <v>2944</v>
      </c>
      <c r="E438" s="201" t="s">
        <v>2945</v>
      </c>
      <c r="F438" s="218" t="s">
        <v>2946</v>
      </c>
      <c r="G438" s="219" t="s">
        <v>2947</v>
      </c>
      <c r="H438" s="24" t="s">
        <v>2948</v>
      </c>
      <c r="I438" s="25" t="s">
        <v>2949</v>
      </c>
      <c r="J438" s="82" t="s">
        <v>204</v>
      </c>
      <c r="K438" s="26">
        <v>36172</v>
      </c>
      <c r="L438" s="66" t="s">
        <v>174</v>
      </c>
      <c r="M438" s="23">
        <v>43669</v>
      </c>
      <c r="N438" s="23"/>
      <c r="O438" s="23" t="s">
        <v>32</v>
      </c>
      <c r="P438" s="16" t="s">
        <v>527</v>
      </c>
      <c r="Q438" s="16" t="s">
        <v>244</v>
      </c>
      <c r="R438" s="11" t="s">
        <v>177</v>
      </c>
      <c r="S438" s="11" t="s">
        <v>2392</v>
      </c>
      <c r="T438" s="159"/>
      <c r="U438" s="159"/>
      <c r="V438" s="19" t="s">
        <v>179</v>
      </c>
      <c r="W438" s="19" t="s">
        <v>179</v>
      </c>
      <c r="X438" s="1">
        <v>6</v>
      </c>
      <c r="Y438" s="160" t="s">
        <v>2950</v>
      </c>
      <c r="Z438" s="70" t="s">
        <v>181</v>
      </c>
      <c r="AA438" s="70"/>
      <c r="AB438" s="1"/>
      <c r="AC438" s="107"/>
      <c r="AD438" s="202"/>
      <c r="AE438" s="202"/>
      <c r="AF438" s="203"/>
      <c r="AG438" s="204"/>
      <c r="AH438" s="205"/>
      <c r="AI438" s="205"/>
      <c r="AJ438" s="81" t="s">
        <v>198</v>
      </c>
      <c r="AK438" s="81" t="s">
        <v>185</v>
      </c>
      <c r="AL438" s="81" t="s">
        <v>185</v>
      </c>
      <c r="AM438" s="107" t="s">
        <v>2349</v>
      </c>
      <c r="AN438" s="20">
        <v>182</v>
      </c>
      <c r="AO438" s="20">
        <v>0</v>
      </c>
      <c r="AP438" s="20">
        <v>64</v>
      </c>
      <c r="AQ438" s="20">
        <v>0</v>
      </c>
      <c r="AR438" s="20">
        <v>24</v>
      </c>
      <c r="AS438" s="20">
        <v>7</v>
      </c>
      <c r="AT438" s="20">
        <v>10</v>
      </c>
      <c r="AU438" s="300">
        <f t="shared" si="67"/>
        <v>287</v>
      </c>
      <c r="AV438" s="20">
        <v>190</v>
      </c>
      <c r="AW438" s="20">
        <v>0</v>
      </c>
      <c r="AX438" s="20">
        <v>64</v>
      </c>
      <c r="AY438" s="20">
        <v>0</v>
      </c>
      <c r="AZ438" s="20">
        <v>24</v>
      </c>
      <c r="BA438" s="20">
        <v>7</v>
      </c>
      <c r="BB438" s="20">
        <v>10</v>
      </c>
      <c r="BC438" s="300">
        <f t="shared" si="68"/>
        <v>295</v>
      </c>
      <c r="BD438" s="42">
        <f t="shared" si="69"/>
        <v>8</v>
      </c>
      <c r="BE438" s="42">
        <f t="shared" si="70"/>
        <v>0</v>
      </c>
      <c r="BF438" s="42">
        <f t="shared" si="71"/>
        <v>0</v>
      </c>
      <c r="BG438" s="42">
        <f t="shared" si="72"/>
        <v>0</v>
      </c>
      <c r="BH438" s="42">
        <f t="shared" si="73"/>
        <v>0</v>
      </c>
      <c r="BI438" s="42">
        <f t="shared" si="74"/>
        <v>0</v>
      </c>
      <c r="BJ438" s="42">
        <f t="shared" si="75"/>
        <v>0</v>
      </c>
      <c r="BK438" s="42">
        <f t="shared" si="76"/>
        <v>8</v>
      </c>
    </row>
    <row r="439" spans="1:63" ht="27" customHeight="1">
      <c r="A439" s="11">
        <f t="shared" si="77"/>
        <v>437</v>
      </c>
      <c r="B439" s="12"/>
      <c r="C439" s="8">
        <v>3043</v>
      </c>
      <c r="D439" s="103" t="s">
        <v>2951</v>
      </c>
      <c r="E439" s="201" t="s">
        <v>2952</v>
      </c>
      <c r="F439" s="218" t="s">
        <v>2953</v>
      </c>
      <c r="G439" s="219" t="s">
        <v>2954</v>
      </c>
      <c r="H439" s="24" t="s">
        <v>2955</v>
      </c>
      <c r="I439" s="25" t="s">
        <v>2956</v>
      </c>
      <c r="J439" s="82" t="s">
        <v>173</v>
      </c>
      <c r="K439" s="26">
        <v>34888</v>
      </c>
      <c r="L439" s="66" t="s">
        <v>174</v>
      </c>
      <c r="M439" s="23">
        <v>43676</v>
      </c>
      <c r="N439" s="23"/>
      <c r="O439" s="23" t="s">
        <v>32</v>
      </c>
      <c r="P439" s="16" t="s">
        <v>1080</v>
      </c>
      <c r="Q439" s="16" t="s">
        <v>176</v>
      </c>
      <c r="R439" s="11" t="s">
        <v>177</v>
      </c>
      <c r="S439" s="11" t="s">
        <v>2392</v>
      </c>
      <c r="T439" s="159"/>
      <c r="U439" s="159"/>
      <c r="V439" s="19" t="s">
        <v>179</v>
      </c>
      <c r="W439" s="19" t="s">
        <v>179</v>
      </c>
      <c r="X439" s="1">
        <v>5</v>
      </c>
      <c r="Y439" s="160" t="s">
        <v>2957</v>
      </c>
      <c r="Z439" s="70"/>
      <c r="AA439" s="70" t="s">
        <v>181</v>
      </c>
      <c r="AB439" s="1"/>
      <c r="AC439" s="107"/>
      <c r="AD439" s="202"/>
      <c r="AE439" s="202"/>
      <c r="AF439" s="203"/>
      <c r="AG439" s="204"/>
      <c r="AH439" s="205"/>
      <c r="AI439" s="205"/>
      <c r="AJ439" s="81" t="s">
        <v>198</v>
      </c>
      <c r="AK439" s="81" t="s">
        <v>185</v>
      </c>
      <c r="AL439" s="81" t="s">
        <v>185</v>
      </c>
      <c r="AM439" s="107" t="s">
        <v>2349</v>
      </c>
      <c r="AN439" s="20">
        <v>182</v>
      </c>
      <c r="AO439" s="20">
        <v>0</v>
      </c>
      <c r="AP439" s="20">
        <v>0</v>
      </c>
      <c r="AQ439" s="20">
        <v>0</v>
      </c>
      <c r="AR439" s="20">
        <v>0</v>
      </c>
      <c r="AS439" s="20">
        <v>7</v>
      </c>
      <c r="AT439" s="20">
        <v>10</v>
      </c>
      <c r="AU439" s="300">
        <f t="shared" si="67"/>
        <v>199</v>
      </c>
      <c r="AV439" s="20">
        <v>190</v>
      </c>
      <c r="AW439" s="20">
        <v>0</v>
      </c>
      <c r="AX439" s="20">
        <v>0</v>
      </c>
      <c r="AY439" s="20">
        <v>0</v>
      </c>
      <c r="AZ439" s="20">
        <v>0</v>
      </c>
      <c r="BA439" s="20">
        <v>7</v>
      </c>
      <c r="BB439" s="20">
        <v>10</v>
      </c>
      <c r="BC439" s="300">
        <f t="shared" si="68"/>
        <v>207</v>
      </c>
      <c r="BD439" s="42">
        <f t="shared" si="69"/>
        <v>8</v>
      </c>
      <c r="BE439" s="42">
        <f t="shared" si="70"/>
        <v>0</v>
      </c>
      <c r="BF439" s="42">
        <f t="shared" si="71"/>
        <v>0</v>
      </c>
      <c r="BG439" s="42">
        <f t="shared" si="72"/>
        <v>0</v>
      </c>
      <c r="BH439" s="42">
        <f t="shared" si="73"/>
        <v>0</v>
      </c>
      <c r="BI439" s="42">
        <f t="shared" si="74"/>
        <v>0</v>
      </c>
      <c r="BJ439" s="42">
        <f t="shared" si="75"/>
        <v>0</v>
      </c>
      <c r="BK439" s="42">
        <f t="shared" si="76"/>
        <v>8</v>
      </c>
    </row>
    <row r="440" spans="1:63" ht="27" customHeight="1">
      <c r="A440" s="11">
        <f t="shared" si="77"/>
        <v>438</v>
      </c>
      <c r="B440" s="12"/>
      <c r="C440" s="8">
        <v>3041</v>
      </c>
      <c r="D440" s="103" t="s">
        <v>2958</v>
      </c>
      <c r="E440" s="201" t="s">
        <v>2959</v>
      </c>
      <c r="F440" s="218" t="s">
        <v>1912</v>
      </c>
      <c r="G440" s="219" t="s">
        <v>439</v>
      </c>
      <c r="H440" s="24" t="s">
        <v>2960</v>
      </c>
      <c r="I440" s="25" t="s">
        <v>2961</v>
      </c>
      <c r="J440" s="82" t="s">
        <v>204</v>
      </c>
      <c r="K440" s="26">
        <v>30722</v>
      </c>
      <c r="L440" s="66" t="s">
        <v>174</v>
      </c>
      <c r="M440" s="23">
        <v>43675</v>
      </c>
      <c r="N440" s="23"/>
      <c r="O440" s="23" t="s">
        <v>32</v>
      </c>
      <c r="P440" s="16" t="s">
        <v>277</v>
      </c>
      <c r="Q440" s="16" t="s">
        <v>244</v>
      </c>
      <c r="R440" s="11" t="s">
        <v>177</v>
      </c>
      <c r="S440" s="11" t="s">
        <v>2425</v>
      </c>
      <c r="T440" s="159"/>
      <c r="U440" s="159"/>
      <c r="V440" s="19" t="s">
        <v>179</v>
      </c>
      <c r="W440" s="19" t="s">
        <v>179</v>
      </c>
      <c r="X440" s="1">
        <v>6</v>
      </c>
      <c r="Y440" s="160" t="s">
        <v>2962</v>
      </c>
      <c r="Z440" s="70"/>
      <c r="AA440" s="70"/>
      <c r="AB440" s="70" t="s">
        <v>181</v>
      </c>
      <c r="AC440" s="107"/>
      <c r="AD440" s="202"/>
      <c r="AE440" s="202"/>
      <c r="AF440" s="203"/>
      <c r="AG440" s="204"/>
      <c r="AH440" s="205"/>
      <c r="AI440" s="205"/>
      <c r="AJ440" s="81" t="s">
        <v>198</v>
      </c>
      <c r="AK440" s="81" t="s">
        <v>185</v>
      </c>
      <c r="AL440" s="81" t="s">
        <v>185</v>
      </c>
      <c r="AM440" s="107" t="s">
        <v>2349</v>
      </c>
      <c r="AN440" s="20">
        <v>182</v>
      </c>
      <c r="AO440" s="20">
        <v>0</v>
      </c>
      <c r="AP440" s="20">
        <v>20</v>
      </c>
      <c r="AQ440" s="20">
        <v>0</v>
      </c>
      <c r="AR440" s="20">
        <v>0</v>
      </c>
      <c r="AS440" s="20">
        <v>7</v>
      </c>
      <c r="AT440" s="20">
        <v>10</v>
      </c>
      <c r="AU440" s="300">
        <f t="shared" si="67"/>
        <v>219</v>
      </c>
      <c r="AV440" s="20">
        <v>190</v>
      </c>
      <c r="AW440" s="20">
        <v>0</v>
      </c>
      <c r="AX440" s="20">
        <v>20</v>
      </c>
      <c r="AY440" s="20">
        <v>0</v>
      </c>
      <c r="AZ440" s="20">
        <v>0</v>
      </c>
      <c r="BA440" s="20">
        <v>7</v>
      </c>
      <c r="BB440" s="20">
        <v>10</v>
      </c>
      <c r="BC440" s="300">
        <f t="shared" si="68"/>
        <v>227</v>
      </c>
      <c r="BD440" s="42">
        <f t="shared" si="69"/>
        <v>8</v>
      </c>
      <c r="BE440" s="42">
        <f t="shared" si="70"/>
        <v>0</v>
      </c>
      <c r="BF440" s="42">
        <f t="shared" si="71"/>
        <v>0</v>
      </c>
      <c r="BG440" s="42">
        <f t="shared" si="72"/>
        <v>0</v>
      </c>
      <c r="BH440" s="42">
        <f t="shared" si="73"/>
        <v>0</v>
      </c>
      <c r="BI440" s="42">
        <f t="shared" si="74"/>
        <v>0</v>
      </c>
      <c r="BJ440" s="42">
        <f t="shared" si="75"/>
        <v>0</v>
      </c>
      <c r="BK440" s="42">
        <f t="shared" si="76"/>
        <v>8</v>
      </c>
    </row>
    <row r="441" spans="1:63" ht="27" customHeight="1">
      <c r="A441" s="11">
        <f t="shared" si="77"/>
        <v>439</v>
      </c>
      <c r="B441" s="12"/>
      <c r="C441" s="8">
        <v>3038</v>
      </c>
      <c r="D441" s="103" t="s">
        <v>2963</v>
      </c>
      <c r="E441" s="201" t="s">
        <v>2964</v>
      </c>
      <c r="F441" s="218" t="s">
        <v>2965</v>
      </c>
      <c r="G441" s="219" t="s">
        <v>2966</v>
      </c>
      <c r="H441" s="24" t="s">
        <v>109</v>
      </c>
      <c r="I441" s="25" t="s">
        <v>110</v>
      </c>
      <c r="J441" s="82" t="s">
        <v>204</v>
      </c>
      <c r="K441" s="26">
        <v>33281</v>
      </c>
      <c r="L441" s="66" t="s">
        <v>174</v>
      </c>
      <c r="M441" s="23">
        <v>43675</v>
      </c>
      <c r="N441" s="23"/>
      <c r="O441" s="23" t="s">
        <v>32</v>
      </c>
      <c r="P441" s="16" t="s">
        <v>80</v>
      </c>
      <c r="Q441" s="16" t="s">
        <v>176</v>
      </c>
      <c r="R441" s="11" t="s">
        <v>177</v>
      </c>
      <c r="S441" s="11" t="s">
        <v>2392</v>
      </c>
      <c r="T441" s="159"/>
      <c r="U441" s="159"/>
      <c r="V441" s="19" t="s">
        <v>179</v>
      </c>
      <c r="W441" s="19" t="s">
        <v>179</v>
      </c>
      <c r="X441" s="1">
        <v>10</v>
      </c>
      <c r="Y441" s="160" t="s">
        <v>2943</v>
      </c>
      <c r="Z441" s="70" t="s">
        <v>181</v>
      </c>
      <c r="AA441" s="70"/>
      <c r="AB441" s="1"/>
      <c r="AC441" s="107"/>
      <c r="AD441" s="202"/>
      <c r="AE441" s="202"/>
      <c r="AF441" s="203"/>
      <c r="AG441" s="204"/>
      <c r="AH441" s="205"/>
      <c r="AI441" s="205"/>
      <c r="AJ441" s="81" t="s">
        <v>198</v>
      </c>
      <c r="AK441" s="81" t="s">
        <v>185</v>
      </c>
      <c r="AL441" s="81" t="s">
        <v>185</v>
      </c>
      <c r="AM441" s="107" t="s">
        <v>2349</v>
      </c>
      <c r="AN441" s="20">
        <v>182</v>
      </c>
      <c r="AO441" s="20">
        <v>0</v>
      </c>
      <c r="AP441" s="20">
        <v>0</v>
      </c>
      <c r="AQ441" s="20">
        <v>0</v>
      </c>
      <c r="AR441" s="20">
        <v>0</v>
      </c>
      <c r="AS441" s="20">
        <v>7</v>
      </c>
      <c r="AT441" s="20">
        <v>10</v>
      </c>
      <c r="AU441" s="300">
        <f t="shared" si="67"/>
        <v>199</v>
      </c>
      <c r="AV441" s="20">
        <v>190</v>
      </c>
      <c r="AW441" s="20">
        <v>0</v>
      </c>
      <c r="AX441" s="20">
        <v>0</v>
      </c>
      <c r="AY441" s="20">
        <v>0</v>
      </c>
      <c r="AZ441" s="20">
        <v>0</v>
      </c>
      <c r="BA441" s="20">
        <v>7</v>
      </c>
      <c r="BB441" s="20">
        <v>10</v>
      </c>
      <c r="BC441" s="300">
        <f t="shared" si="68"/>
        <v>207</v>
      </c>
      <c r="BD441" s="42">
        <f t="shared" si="69"/>
        <v>8</v>
      </c>
      <c r="BE441" s="42">
        <f t="shared" si="70"/>
        <v>0</v>
      </c>
      <c r="BF441" s="42">
        <f t="shared" si="71"/>
        <v>0</v>
      </c>
      <c r="BG441" s="42">
        <f t="shared" si="72"/>
        <v>0</v>
      </c>
      <c r="BH441" s="42">
        <f t="shared" si="73"/>
        <v>0</v>
      </c>
      <c r="BI441" s="42">
        <f t="shared" si="74"/>
        <v>0</v>
      </c>
      <c r="BJ441" s="42">
        <f t="shared" si="75"/>
        <v>0</v>
      </c>
      <c r="BK441" s="42">
        <f t="shared" si="76"/>
        <v>8</v>
      </c>
    </row>
    <row r="442" spans="1:63" ht="27" customHeight="1">
      <c r="A442" s="11">
        <f t="shared" si="77"/>
        <v>440</v>
      </c>
      <c r="B442" s="12"/>
      <c r="C442" s="8">
        <v>3032</v>
      </c>
      <c r="D442" s="103" t="s">
        <v>2967</v>
      </c>
      <c r="E442" s="201" t="s">
        <v>2968</v>
      </c>
      <c r="F442" s="218" t="s">
        <v>402</v>
      </c>
      <c r="G442" s="219" t="s">
        <v>2969</v>
      </c>
      <c r="H442" s="24" t="s">
        <v>2970</v>
      </c>
      <c r="I442" s="25" t="s">
        <v>2971</v>
      </c>
      <c r="J442" s="82" t="s">
        <v>173</v>
      </c>
      <c r="K442" s="26">
        <v>36792</v>
      </c>
      <c r="L442" s="66" t="s">
        <v>174</v>
      </c>
      <c r="M442" s="23">
        <v>43669</v>
      </c>
      <c r="N442" s="23"/>
      <c r="O442" s="23" t="s">
        <v>32</v>
      </c>
      <c r="P442" s="16" t="s">
        <v>1380</v>
      </c>
      <c r="Q442" s="16" t="s">
        <v>244</v>
      </c>
      <c r="R442" s="11" t="s">
        <v>177</v>
      </c>
      <c r="S442" s="11" t="s">
        <v>2460</v>
      </c>
      <c r="T442" s="159"/>
      <c r="U442" s="159"/>
      <c r="V442" s="19" t="s">
        <v>179</v>
      </c>
      <c r="W442" s="19" t="s">
        <v>179</v>
      </c>
      <c r="X442" s="1">
        <v>11</v>
      </c>
      <c r="Y442" s="160" t="s">
        <v>2972</v>
      </c>
      <c r="Z442" s="70" t="s">
        <v>181</v>
      </c>
      <c r="AA442" s="70"/>
      <c r="AB442" s="1"/>
      <c r="AC442" s="107"/>
      <c r="AD442" s="202"/>
      <c r="AE442" s="202"/>
      <c r="AF442" s="203"/>
      <c r="AG442" s="204"/>
      <c r="AH442" s="205"/>
      <c r="AI442" s="205"/>
      <c r="AJ442" s="81" t="s">
        <v>198</v>
      </c>
      <c r="AK442" s="81" t="s">
        <v>185</v>
      </c>
      <c r="AL442" s="81" t="s">
        <v>185</v>
      </c>
      <c r="AM442" s="107" t="s">
        <v>2349</v>
      </c>
      <c r="AN442" s="20">
        <v>182</v>
      </c>
      <c r="AO442" s="20">
        <v>0</v>
      </c>
      <c r="AP442" s="20">
        <v>20</v>
      </c>
      <c r="AQ442" s="20">
        <v>0</v>
      </c>
      <c r="AR442" s="20">
        <v>0</v>
      </c>
      <c r="AS442" s="20">
        <v>7</v>
      </c>
      <c r="AT442" s="20">
        <v>10</v>
      </c>
      <c r="AU442" s="300">
        <f t="shared" si="67"/>
        <v>219</v>
      </c>
      <c r="AV442" s="20">
        <v>190</v>
      </c>
      <c r="AW442" s="20">
        <v>0</v>
      </c>
      <c r="AX442" s="20">
        <v>20</v>
      </c>
      <c r="AY442" s="20">
        <v>0</v>
      </c>
      <c r="AZ442" s="20">
        <v>0</v>
      </c>
      <c r="BA442" s="20">
        <v>7</v>
      </c>
      <c r="BB442" s="20">
        <v>10</v>
      </c>
      <c r="BC442" s="300">
        <f t="shared" si="68"/>
        <v>227</v>
      </c>
      <c r="BD442" s="42">
        <f t="shared" si="69"/>
        <v>8</v>
      </c>
      <c r="BE442" s="42">
        <f t="shared" si="70"/>
        <v>0</v>
      </c>
      <c r="BF442" s="42">
        <f t="shared" si="71"/>
        <v>0</v>
      </c>
      <c r="BG442" s="42">
        <f t="shared" si="72"/>
        <v>0</v>
      </c>
      <c r="BH442" s="42">
        <f t="shared" si="73"/>
        <v>0</v>
      </c>
      <c r="BI442" s="42">
        <f t="shared" si="74"/>
        <v>0</v>
      </c>
      <c r="BJ442" s="42">
        <f t="shared" si="75"/>
        <v>0</v>
      </c>
      <c r="BK442" s="42">
        <f t="shared" si="76"/>
        <v>8</v>
      </c>
    </row>
    <row r="443" spans="1:63" ht="27" customHeight="1">
      <c r="A443" s="11">
        <f t="shared" si="77"/>
        <v>441</v>
      </c>
      <c r="B443" s="12"/>
      <c r="C443" s="8">
        <v>3030</v>
      </c>
      <c r="D443" s="103" t="s">
        <v>2973</v>
      </c>
      <c r="E443" s="201" t="s">
        <v>2974</v>
      </c>
      <c r="F443" s="218" t="s">
        <v>190</v>
      </c>
      <c r="G443" s="219" t="s">
        <v>522</v>
      </c>
      <c r="H443" s="24" t="s">
        <v>95</v>
      </c>
      <c r="I443" s="25" t="s">
        <v>89</v>
      </c>
      <c r="J443" s="82" t="s">
        <v>173</v>
      </c>
      <c r="K443" s="26">
        <v>30753</v>
      </c>
      <c r="L443" s="66" t="s">
        <v>174</v>
      </c>
      <c r="M443" s="23">
        <v>43670</v>
      </c>
      <c r="N443" s="23"/>
      <c r="O443" s="23" t="s">
        <v>32</v>
      </c>
      <c r="P443" s="16" t="s">
        <v>381</v>
      </c>
      <c r="Q443" s="16" t="s">
        <v>176</v>
      </c>
      <c r="R443" s="11" t="s">
        <v>177</v>
      </c>
      <c r="S443" s="11" t="s">
        <v>2479</v>
      </c>
      <c r="T443" s="159"/>
      <c r="U443" s="159"/>
      <c r="V443" s="19" t="s">
        <v>195</v>
      </c>
      <c r="W443" s="19" t="s">
        <v>179</v>
      </c>
      <c r="X443" s="1">
        <v>6</v>
      </c>
      <c r="Y443" s="160" t="s">
        <v>2974</v>
      </c>
      <c r="Z443" s="70"/>
      <c r="AA443" s="70" t="s">
        <v>181</v>
      </c>
      <c r="AB443" s="1"/>
      <c r="AC443" s="107"/>
      <c r="AD443" s="202" t="s">
        <v>184</v>
      </c>
      <c r="AE443" s="202"/>
      <c r="AF443" s="203"/>
      <c r="AG443" s="204"/>
      <c r="AH443" s="205"/>
      <c r="AI443" s="205"/>
      <c r="AJ443" s="81" t="s">
        <v>198</v>
      </c>
      <c r="AK443" s="81" t="s">
        <v>185</v>
      </c>
      <c r="AL443" s="81" t="s">
        <v>185</v>
      </c>
      <c r="AM443" s="107" t="s">
        <v>2349</v>
      </c>
      <c r="AN443" s="20">
        <v>182</v>
      </c>
      <c r="AO443" s="20">
        <v>0</v>
      </c>
      <c r="AP443" s="20">
        <v>0</v>
      </c>
      <c r="AQ443" s="20">
        <v>0</v>
      </c>
      <c r="AR443" s="20">
        <v>0</v>
      </c>
      <c r="AS443" s="20">
        <v>7</v>
      </c>
      <c r="AT443" s="20">
        <v>10</v>
      </c>
      <c r="AU443" s="300">
        <f t="shared" si="67"/>
        <v>199</v>
      </c>
      <c r="AV443" s="20">
        <v>190</v>
      </c>
      <c r="AW443" s="20">
        <v>0</v>
      </c>
      <c r="AX443" s="20">
        <v>0</v>
      </c>
      <c r="AY443" s="20">
        <v>0</v>
      </c>
      <c r="AZ443" s="20">
        <v>0</v>
      </c>
      <c r="BA443" s="20">
        <v>7</v>
      </c>
      <c r="BB443" s="20">
        <v>10</v>
      </c>
      <c r="BC443" s="300">
        <f t="shared" si="68"/>
        <v>207</v>
      </c>
      <c r="BD443" s="42">
        <f t="shared" si="69"/>
        <v>8</v>
      </c>
      <c r="BE443" s="42">
        <f t="shared" si="70"/>
        <v>0</v>
      </c>
      <c r="BF443" s="42">
        <f t="shared" si="71"/>
        <v>0</v>
      </c>
      <c r="BG443" s="42">
        <f t="shared" si="72"/>
        <v>0</v>
      </c>
      <c r="BH443" s="42">
        <f t="shared" si="73"/>
        <v>0</v>
      </c>
      <c r="BI443" s="42">
        <f t="shared" si="74"/>
        <v>0</v>
      </c>
      <c r="BJ443" s="42">
        <f t="shared" si="75"/>
        <v>0</v>
      </c>
      <c r="BK443" s="42">
        <f t="shared" si="76"/>
        <v>8</v>
      </c>
    </row>
    <row r="444" spans="1:63" ht="27" customHeight="1">
      <c r="A444" s="11">
        <f t="shared" si="77"/>
        <v>442</v>
      </c>
      <c r="B444" s="12"/>
      <c r="C444" s="8">
        <v>3029</v>
      </c>
      <c r="D444" s="103" t="s">
        <v>2975</v>
      </c>
      <c r="E444" s="201" t="s">
        <v>2976</v>
      </c>
      <c r="F444" s="218" t="s">
        <v>2977</v>
      </c>
      <c r="G444" s="219" t="s">
        <v>1719</v>
      </c>
      <c r="H444" s="24" t="s">
        <v>2978</v>
      </c>
      <c r="I444" s="25" t="s">
        <v>2979</v>
      </c>
      <c r="J444" s="82" t="s">
        <v>173</v>
      </c>
      <c r="K444" s="26">
        <v>31876</v>
      </c>
      <c r="L444" s="66" t="s">
        <v>174</v>
      </c>
      <c r="M444" s="23">
        <v>43669</v>
      </c>
      <c r="N444" s="23"/>
      <c r="O444" s="23" t="s">
        <v>32</v>
      </c>
      <c r="P444" s="16" t="s">
        <v>304</v>
      </c>
      <c r="Q444" s="16" t="s">
        <v>176</v>
      </c>
      <c r="R444" s="11" t="s">
        <v>177</v>
      </c>
      <c r="S444" s="11" t="s">
        <v>2392</v>
      </c>
      <c r="T444" s="159"/>
      <c r="U444" s="159"/>
      <c r="V444" s="19" t="s">
        <v>179</v>
      </c>
      <c r="W444" s="19" t="s">
        <v>179</v>
      </c>
      <c r="X444" s="1">
        <v>4</v>
      </c>
      <c r="Y444" s="160" t="s">
        <v>179</v>
      </c>
      <c r="Z444" s="70"/>
      <c r="AA444" s="70" t="s">
        <v>181</v>
      </c>
      <c r="AB444" s="1"/>
      <c r="AC444" s="107"/>
      <c r="AD444" s="202"/>
      <c r="AE444" s="202"/>
      <c r="AF444" s="203"/>
      <c r="AG444" s="204"/>
      <c r="AH444" s="205"/>
      <c r="AI444" s="205"/>
      <c r="AJ444" s="81" t="s">
        <v>198</v>
      </c>
      <c r="AK444" s="81" t="s">
        <v>185</v>
      </c>
      <c r="AL444" s="81" t="s">
        <v>185</v>
      </c>
      <c r="AM444" s="107" t="s">
        <v>2349</v>
      </c>
      <c r="AN444" s="20">
        <v>182</v>
      </c>
      <c r="AO444" s="20">
        <v>0</v>
      </c>
      <c r="AP444" s="20">
        <v>0</v>
      </c>
      <c r="AQ444" s="20">
        <v>0</v>
      </c>
      <c r="AR444" s="20">
        <v>0</v>
      </c>
      <c r="AS444" s="20">
        <v>7</v>
      </c>
      <c r="AT444" s="20">
        <v>10</v>
      </c>
      <c r="AU444" s="300">
        <f t="shared" si="67"/>
        <v>199</v>
      </c>
      <c r="AV444" s="20">
        <v>190</v>
      </c>
      <c r="AW444" s="20">
        <v>0</v>
      </c>
      <c r="AX444" s="20">
        <v>0</v>
      </c>
      <c r="AY444" s="20">
        <v>0</v>
      </c>
      <c r="AZ444" s="20">
        <v>0</v>
      </c>
      <c r="BA444" s="20">
        <v>7</v>
      </c>
      <c r="BB444" s="20">
        <v>10</v>
      </c>
      <c r="BC444" s="300">
        <f t="shared" si="68"/>
        <v>207</v>
      </c>
      <c r="BD444" s="42">
        <f t="shared" si="69"/>
        <v>8</v>
      </c>
      <c r="BE444" s="42">
        <f t="shared" si="70"/>
        <v>0</v>
      </c>
      <c r="BF444" s="42">
        <f t="shared" si="71"/>
        <v>0</v>
      </c>
      <c r="BG444" s="42">
        <f t="shared" si="72"/>
        <v>0</v>
      </c>
      <c r="BH444" s="42">
        <f t="shared" si="73"/>
        <v>0</v>
      </c>
      <c r="BI444" s="42">
        <f t="shared" si="74"/>
        <v>0</v>
      </c>
      <c r="BJ444" s="42">
        <f t="shared" si="75"/>
        <v>0</v>
      </c>
      <c r="BK444" s="42">
        <f t="shared" si="76"/>
        <v>8</v>
      </c>
    </row>
    <row r="445" spans="1:63" ht="27" customHeight="1">
      <c r="A445" s="11">
        <f t="shared" si="77"/>
        <v>443</v>
      </c>
      <c r="B445" s="12"/>
      <c r="C445" s="8">
        <v>3039</v>
      </c>
      <c r="D445" s="103" t="s">
        <v>2980</v>
      </c>
      <c r="E445" s="201" t="s">
        <v>2981</v>
      </c>
      <c r="F445" s="218" t="s">
        <v>1652</v>
      </c>
      <c r="G445" s="219" t="s">
        <v>958</v>
      </c>
      <c r="H445" s="24" t="s">
        <v>2982</v>
      </c>
      <c r="I445" s="25" t="s">
        <v>2247</v>
      </c>
      <c r="J445" s="82" t="s">
        <v>204</v>
      </c>
      <c r="K445" s="26">
        <v>26724</v>
      </c>
      <c r="L445" s="66" t="s">
        <v>174</v>
      </c>
      <c r="M445" s="23">
        <v>43671</v>
      </c>
      <c r="N445" s="23"/>
      <c r="O445" s="23" t="s">
        <v>32</v>
      </c>
      <c r="P445" s="16" t="s">
        <v>194</v>
      </c>
      <c r="Q445" s="16" t="s">
        <v>176</v>
      </c>
      <c r="R445" s="11" t="s">
        <v>177</v>
      </c>
      <c r="S445" s="11" t="s">
        <v>2425</v>
      </c>
      <c r="T445" s="159"/>
      <c r="U445" s="159"/>
      <c r="V445" s="19" t="s">
        <v>179</v>
      </c>
      <c r="W445" s="19" t="s">
        <v>179</v>
      </c>
      <c r="X445" s="1">
        <v>3</v>
      </c>
      <c r="Y445" s="160" t="s">
        <v>179</v>
      </c>
      <c r="Z445" s="70"/>
      <c r="AA445" s="70" t="s">
        <v>181</v>
      </c>
      <c r="AB445" s="1"/>
      <c r="AC445" s="107"/>
      <c r="AD445" s="202" t="s">
        <v>183</v>
      </c>
      <c r="AE445" s="202" t="s">
        <v>184</v>
      </c>
      <c r="AF445" s="203"/>
      <c r="AG445" s="204"/>
      <c r="AH445" s="205"/>
      <c r="AI445" s="205"/>
      <c r="AJ445" s="81" t="s">
        <v>198</v>
      </c>
      <c r="AK445" s="81" t="s">
        <v>185</v>
      </c>
      <c r="AL445" s="81" t="s">
        <v>185</v>
      </c>
      <c r="AM445" s="107" t="s">
        <v>2349</v>
      </c>
      <c r="AN445" s="20">
        <v>182</v>
      </c>
      <c r="AO445" s="20">
        <v>0</v>
      </c>
      <c r="AP445" s="20">
        <v>0</v>
      </c>
      <c r="AQ445" s="20">
        <v>0</v>
      </c>
      <c r="AR445" s="20">
        <v>0</v>
      </c>
      <c r="AS445" s="20">
        <v>7</v>
      </c>
      <c r="AT445" s="20">
        <v>10</v>
      </c>
      <c r="AU445" s="300">
        <f t="shared" si="67"/>
        <v>199</v>
      </c>
      <c r="AV445" s="20">
        <v>190</v>
      </c>
      <c r="AW445" s="20">
        <v>0</v>
      </c>
      <c r="AX445" s="20">
        <v>0</v>
      </c>
      <c r="AY445" s="20">
        <v>0</v>
      </c>
      <c r="AZ445" s="20">
        <v>0</v>
      </c>
      <c r="BA445" s="20">
        <v>7</v>
      </c>
      <c r="BB445" s="20">
        <v>10</v>
      </c>
      <c r="BC445" s="300">
        <f t="shared" si="68"/>
        <v>207</v>
      </c>
      <c r="BD445" s="42">
        <f t="shared" si="69"/>
        <v>8</v>
      </c>
      <c r="BE445" s="42">
        <f t="shared" si="70"/>
        <v>0</v>
      </c>
      <c r="BF445" s="42">
        <f t="shared" si="71"/>
        <v>0</v>
      </c>
      <c r="BG445" s="42">
        <f t="shared" si="72"/>
        <v>0</v>
      </c>
      <c r="BH445" s="42">
        <f t="shared" si="73"/>
        <v>0</v>
      </c>
      <c r="BI445" s="42">
        <f t="shared" si="74"/>
        <v>0</v>
      </c>
      <c r="BJ445" s="42">
        <f t="shared" si="75"/>
        <v>0</v>
      </c>
      <c r="BK445" s="42">
        <f t="shared" si="76"/>
        <v>8</v>
      </c>
    </row>
    <row r="446" spans="1:63" ht="27" customHeight="1">
      <c r="A446" s="11">
        <f t="shared" si="77"/>
        <v>444</v>
      </c>
      <c r="B446" s="12"/>
      <c r="C446" s="8">
        <v>3035</v>
      </c>
      <c r="D446" s="103" t="s">
        <v>2983</v>
      </c>
      <c r="E446" s="201" t="s">
        <v>2984</v>
      </c>
      <c r="F446" s="218" t="s">
        <v>2985</v>
      </c>
      <c r="G446" s="219" t="s">
        <v>2986</v>
      </c>
      <c r="H446" s="24" t="s">
        <v>2713</v>
      </c>
      <c r="I446" s="25" t="s">
        <v>2987</v>
      </c>
      <c r="J446" s="82" t="s">
        <v>204</v>
      </c>
      <c r="K446" s="26">
        <v>35952</v>
      </c>
      <c r="L446" s="66" t="s">
        <v>174</v>
      </c>
      <c r="M446" s="23">
        <v>43672</v>
      </c>
      <c r="N446" s="23"/>
      <c r="O446" s="23" t="s">
        <v>32</v>
      </c>
      <c r="P446" s="16" t="s">
        <v>1080</v>
      </c>
      <c r="Q446" s="16" t="s">
        <v>176</v>
      </c>
      <c r="R446" s="11" t="s">
        <v>177</v>
      </c>
      <c r="S446" s="11" t="s">
        <v>2425</v>
      </c>
      <c r="T446" s="159"/>
      <c r="U446" s="159"/>
      <c r="V446" s="19" t="s">
        <v>179</v>
      </c>
      <c r="W446" s="19" t="s">
        <v>179</v>
      </c>
      <c r="X446" s="1">
        <v>8</v>
      </c>
      <c r="Y446" s="160" t="s">
        <v>179</v>
      </c>
      <c r="Z446" s="70" t="s">
        <v>181</v>
      </c>
      <c r="AA446" s="70"/>
      <c r="AB446" s="1"/>
      <c r="AC446" s="107"/>
      <c r="AD446" s="202"/>
      <c r="AE446" s="202"/>
      <c r="AF446" s="203"/>
      <c r="AG446" s="204"/>
      <c r="AH446" s="205"/>
      <c r="AI446" s="205"/>
      <c r="AJ446" s="81" t="s">
        <v>198</v>
      </c>
      <c r="AK446" s="81" t="s">
        <v>185</v>
      </c>
      <c r="AL446" s="81" t="s">
        <v>185</v>
      </c>
      <c r="AM446" s="107" t="s">
        <v>2349</v>
      </c>
      <c r="AN446" s="20">
        <v>182</v>
      </c>
      <c r="AO446" s="20">
        <v>0</v>
      </c>
      <c r="AP446" s="20">
        <v>0</v>
      </c>
      <c r="AQ446" s="20">
        <v>0</v>
      </c>
      <c r="AR446" s="20">
        <v>0</v>
      </c>
      <c r="AS446" s="20">
        <v>7</v>
      </c>
      <c r="AT446" s="20">
        <v>10</v>
      </c>
      <c r="AU446" s="300">
        <f t="shared" si="67"/>
        <v>199</v>
      </c>
      <c r="AV446" s="20">
        <v>190</v>
      </c>
      <c r="AW446" s="20">
        <v>0</v>
      </c>
      <c r="AX446" s="20">
        <v>0</v>
      </c>
      <c r="AY446" s="20">
        <v>0</v>
      </c>
      <c r="AZ446" s="20">
        <v>0</v>
      </c>
      <c r="BA446" s="20">
        <v>7</v>
      </c>
      <c r="BB446" s="20">
        <v>10</v>
      </c>
      <c r="BC446" s="300">
        <f t="shared" si="68"/>
        <v>207</v>
      </c>
      <c r="BD446" s="42">
        <f t="shared" si="69"/>
        <v>8</v>
      </c>
      <c r="BE446" s="42">
        <f t="shared" si="70"/>
        <v>0</v>
      </c>
      <c r="BF446" s="42">
        <f t="shared" si="71"/>
        <v>0</v>
      </c>
      <c r="BG446" s="42">
        <f t="shared" si="72"/>
        <v>0</v>
      </c>
      <c r="BH446" s="42">
        <f t="shared" si="73"/>
        <v>0</v>
      </c>
      <c r="BI446" s="42">
        <f t="shared" si="74"/>
        <v>0</v>
      </c>
      <c r="BJ446" s="42">
        <f t="shared" si="75"/>
        <v>0</v>
      </c>
      <c r="BK446" s="42">
        <f t="shared" si="76"/>
        <v>8</v>
      </c>
    </row>
    <row r="447" spans="1:63" ht="27" customHeight="1">
      <c r="A447" s="11">
        <f t="shared" si="77"/>
        <v>445</v>
      </c>
      <c r="B447" s="12"/>
      <c r="C447" s="8">
        <v>3036</v>
      </c>
      <c r="D447" s="103" t="s">
        <v>2988</v>
      </c>
      <c r="E447" s="201" t="s">
        <v>2989</v>
      </c>
      <c r="F447" s="218" t="s">
        <v>1149</v>
      </c>
      <c r="G447" s="219" t="s">
        <v>416</v>
      </c>
      <c r="H447" s="24" t="s">
        <v>2990</v>
      </c>
      <c r="I447" s="25" t="s">
        <v>2991</v>
      </c>
      <c r="J447" s="82" t="s">
        <v>204</v>
      </c>
      <c r="K447" s="26">
        <v>32145</v>
      </c>
      <c r="L447" s="66" t="s">
        <v>174</v>
      </c>
      <c r="M447" s="23">
        <v>43670</v>
      </c>
      <c r="N447" s="23"/>
      <c r="O447" s="23" t="s">
        <v>32</v>
      </c>
      <c r="P447" s="16" t="s">
        <v>304</v>
      </c>
      <c r="Q447" s="16" t="s">
        <v>176</v>
      </c>
      <c r="R447" s="11" t="s">
        <v>177</v>
      </c>
      <c r="S447" s="11" t="s">
        <v>2425</v>
      </c>
      <c r="T447" s="159"/>
      <c r="U447" s="159"/>
      <c r="V447" s="19" t="s">
        <v>179</v>
      </c>
      <c r="W447" s="19" t="s">
        <v>179</v>
      </c>
      <c r="X447" s="1">
        <v>5</v>
      </c>
      <c r="Y447" s="160" t="s">
        <v>2992</v>
      </c>
      <c r="Z447" s="70"/>
      <c r="AA447" s="70" t="s">
        <v>181</v>
      </c>
      <c r="AB447" s="1"/>
      <c r="AC447" s="107"/>
      <c r="AD447" s="202"/>
      <c r="AE447" s="202"/>
      <c r="AF447" s="203"/>
      <c r="AG447" s="204"/>
      <c r="AH447" s="205"/>
      <c r="AI447" s="205"/>
      <c r="AJ447" s="81" t="s">
        <v>198</v>
      </c>
      <c r="AK447" s="81" t="s">
        <v>185</v>
      </c>
      <c r="AL447" s="81" t="s">
        <v>185</v>
      </c>
      <c r="AM447" s="107" t="s">
        <v>2349</v>
      </c>
      <c r="AN447" s="20">
        <v>182</v>
      </c>
      <c r="AO447" s="20">
        <v>0</v>
      </c>
      <c r="AP447" s="20">
        <v>0</v>
      </c>
      <c r="AQ447" s="20">
        <v>0</v>
      </c>
      <c r="AR447" s="20">
        <v>0</v>
      </c>
      <c r="AS447" s="20">
        <v>7</v>
      </c>
      <c r="AT447" s="20">
        <v>10</v>
      </c>
      <c r="AU447" s="300">
        <f t="shared" si="67"/>
        <v>199</v>
      </c>
      <c r="AV447" s="20">
        <v>190</v>
      </c>
      <c r="AW447" s="20">
        <v>0</v>
      </c>
      <c r="AX447" s="20">
        <v>0</v>
      </c>
      <c r="AY447" s="20">
        <v>0</v>
      </c>
      <c r="AZ447" s="20">
        <v>0</v>
      </c>
      <c r="BA447" s="20">
        <v>7</v>
      </c>
      <c r="BB447" s="20">
        <v>10</v>
      </c>
      <c r="BC447" s="300">
        <f t="shared" si="68"/>
        <v>207</v>
      </c>
      <c r="BD447" s="42">
        <f t="shared" si="69"/>
        <v>8</v>
      </c>
      <c r="BE447" s="42">
        <f t="shared" si="70"/>
        <v>0</v>
      </c>
      <c r="BF447" s="42">
        <f t="shared" si="71"/>
        <v>0</v>
      </c>
      <c r="BG447" s="42">
        <f t="shared" si="72"/>
        <v>0</v>
      </c>
      <c r="BH447" s="42">
        <f t="shared" si="73"/>
        <v>0</v>
      </c>
      <c r="BI447" s="42">
        <f t="shared" si="74"/>
        <v>0</v>
      </c>
      <c r="BJ447" s="42">
        <f t="shared" si="75"/>
        <v>0</v>
      </c>
      <c r="BK447" s="42">
        <f t="shared" si="76"/>
        <v>8</v>
      </c>
    </row>
    <row r="448" spans="1:63" ht="27" customHeight="1">
      <c r="A448" s="11">
        <f t="shared" si="77"/>
        <v>446</v>
      </c>
      <c r="B448" s="12"/>
      <c r="C448" s="8">
        <v>3042</v>
      </c>
      <c r="D448" s="103" t="s">
        <v>2993</v>
      </c>
      <c r="E448" s="201" t="s">
        <v>2994</v>
      </c>
      <c r="F448" s="218" t="s">
        <v>2995</v>
      </c>
      <c r="G448" s="219" t="s">
        <v>2996</v>
      </c>
      <c r="H448" s="24" t="s">
        <v>2997</v>
      </c>
      <c r="I448" s="25" t="s">
        <v>2998</v>
      </c>
      <c r="J448" s="82" t="s">
        <v>204</v>
      </c>
      <c r="K448" s="26">
        <v>37033</v>
      </c>
      <c r="L448" s="66" t="s">
        <v>174</v>
      </c>
      <c r="M448" s="23">
        <v>43675</v>
      </c>
      <c r="N448" s="23"/>
      <c r="O448" s="23" t="s">
        <v>32</v>
      </c>
      <c r="P448" s="16" t="s">
        <v>222</v>
      </c>
      <c r="Q448" s="16" t="s">
        <v>176</v>
      </c>
      <c r="R448" s="11" t="s">
        <v>177</v>
      </c>
      <c r="S448" s="11" t="s">
        <v>2425</v>
      </c>
      <c r="T448" s="159"/>
      <c r="U448" s="159"/>
      <c r="V448" s="19" t="s">
        <v>179</v>
      </c>
      <c r="W448" s="19" t="s">
        <v>179</v>
      </c>
      <c r="X448" s="1"/>
      <c r="Y448" s="160" t="s">
        <v>2999</v>
      </c>
      <c r="Z448" s="70" t="s">
        <v>181</v>
      </c>
      <c r="AA448" s="70"/>
      <c r="AB448" s="1"/>
      <c r="AC448" s="107"/>
      <c r="AD448" s="202"/>
      <c r="AE448" s="202"/>
      <c r="AF448" s="203"/>
      <c r="AG448" s="204"/>
      <c r="AH448" s="205"/>
      <c r="AI448" s="205"/>
      <c r="AJ448" s="81" t="s">
        <v>198</v>
      </c>
      <c r="AK448" s="81" t="s">
        <v>185</v>
      </c>
      <c r="AL448" s="81" t="s">
        <v>185</v>
      </c>
      <c r="AM448" s="107" t="s">
        <v>2349</v>
      </c>
      <c r="AN448" s="20">
        <v>182</v>
      </c>
      <c r="AO448" s="20">
        <v>0</v>
      </c>
      <c r="AP448" s="20">
        <v>0</v>
      </c>
      <c r="AQ448" s="20">
        <v>0</v>
      </c>
      <c r="AR448" s="20">
        <v>0</v>
      </c>
      <c r="AS448" s="20">
        <v>7</v>
      </c>
      <c r="AT448" s="20">
        <v>10</v>
      </c>
      <c r="AU448" s="300">
        <f t="shared" si="67"/>
        <v>199</v>
      </c>
      <c r="AV448" s="20">
        <v>190</v>
      </c>
      <c r="AW448" s="20">
        <v>0</v>
      </c>
      <c r="AX448" s="20">
        <v>0</v>
      </c>
      <c r="AY448" s="20">
        <v>0</v>
      </c>
      <c r="AZ448" s="20">
        <v>0</v>
      </c>
      <c r="BA448" s="20">
        <v>7</v>
      </c>
      <c r="BB448" s="20">
        <v>10</v>
      </c>
      <c r="BC448" s="300">
        <f t="shared" si="68"/>
        <v>207</v>
      </c>
      <c r="BD448" s="42">
        <f t="shared" si="69"/>
        <v>8</v>
      </c>
      <c r="BE448" s="42">
        <f t="shared" si="70"/>
        <v>0</v>
      </c>
      <c r="BF448" s="42">
        <f t="shared" si="71"/>
        <v>0</v>
      </c>
      <c r="BG448" s="42">
        <f t="shared" si="72"/>
        <v>0</v>
      </c>
      <c r="BH448" s="42">
        <f t="shared" si="73"/>
        <v>0</v>
      </c>
      <c r="BI448" s="42">
        <f t="shared" si="74"/>
        <v>0</v>
      </c>
      <c r="BJ448" s="42">
        <f t="shared" si="75"/>
        <v>0</v>
      </c>
      <c r="BK448" s="42">
        <f t="shared" si="76"/>
        <v>8</v>
      </c>
    </row>
    <row r="449" spans="1:63" ht="27" customHeight="1">
      <c r="A449" s="11">
        <f t="shared" si="77"/>
        <v>447</v>
      </c>
      <c r="B449" s="12"/>
      <c r="C449" s="8">
        <v>2989</v>
      </c>
      <c r="D449" s="103" t="s">
        <v>3000</v>
      </c>
      <c r="E449" s="201" t="s">
        <v>3001</v>
      </c>
      <c r="F449" s="218" t="s">
        <v>3002</v>
      </c>
      <c r="G449" s="219" t="s">
        <v>826</v>
      </c>
      <c r="H449" s="24" t="s">
        <v>3003</v>
      </c>
      <c r="I449" s="25" t="s">
        <v>3004</v>
      </c>
      <c r="J449" s="82" t="s">
        <v>173</v>
      </c>
      <c r="K449" s="26">
        <v>31260</v>
      </c>
      <c r="L449" s="66" t="s">
        <v>174</v>
      </c>
      <c r="M449" s="23">
        <v>43648</v>
      </c>
      <c r="N449" s="23"/>
      <c r="O449" s="23" t="s">
        <v>32</v>
      </c>
      <c r="P449" s="16" t="s">
        <v>381</v>
      </c>
      <c r="Q449" s="16" t="s">
        <v>176</v>
      </c>
      <c r="R449" s="11" t="s">
        <v>177</v>
      </c>
      <c r="S449" s="11" t="s">
        <v>2425</v>
      </c>
      <c r="T449" s="159"/>
      <c r="U449" s="159"/>
      <c r="V449" s="19" t="s">
        <v>195</v>
      </c>
      <c r="W449" s="19" t="s">
        <v>195</v>
      </c>
      <c r="X449" s="1">
        <v>6</v>
      </c>
      <c r="Y449" s="160" t="s">
        <v>3005</v>
      </c>
      <c r="Z449" s="70"/>
      <c r="AA449" s="70" t="s">
        <v>181</v>
      </c>
      <c r="AB449" s="1"/>
      <c r="AC449" s="107"/>
      <c r="AD449" s="202" t="s">
        <v>183</v>
      </c>
      <c r="AE449" s="202" t="s">
        <v>183</v>
      </c>
      <c r="AF449" s="202" t="s">
        <v>183</v>
      </c>
      <c r="AG449" s="204"/>
      <c r="AH449" s="205"/>
      <c r="AI449" s="205"/>
      <c r="AJ449" s="81" t="s">
        <v>198</v>
      </c>
      <c r="AK449" s="81" t="s">
        <v>185</v>
      </c>
      <c r="AL449" s="81" t="s">
        <v>185</v>
      </c>
      <c r="AM449" s="107" t="s">
        <v>2349</v>
      </c>
      <c r="AN449" s="20">
        <v>182</v>
      </c>
      <c r="AO449" s="20">
        <v>0</v>
      </c>
      <c r="AP449" s="20">
        <v>0</v>
      </c>
      <c r="AQ449" s="20">
        <v>0</v>
      </c>
      <c r="AR449" s="20">
        <v>0</v>
      </c>
      <c r="AS449" s="20">
        <v>7</v>
      </c>
      <c r="AT449" s="20">
        <v>10</v>
      </c>
      <c r="AU449" s="300">
        <f t="shared" si="67"/>
        <v>199</v>
      </c>
      <c r="AV449" s="20">
        <v>190</v>
      </c>
      <c r="AW449" s="20">
        <v>0</v>
      </c>
      <c r="AX449" s="20">
        <v>0</v>
      </c>
      <c r="AY449" s="20">
        <v>0</v>
      </c>
      <c r="AZ449" s="20">
        <v>0</v>
      </c>
      <c r="BA449" s="20">
        <v>7</v>
      </c>
      <c r="BB449" s="20">
        <v>10</v>
      </c>
      <c r="BC449" s="300">
        <f t="shared" si="68"/>
        <v>207</v>
      </c>
      <c r="BD449" s="42">
        <f t="shared" si="69"/>
        <v>8</v>
      </c>
      <c r="BE449" s="42">
        <f t="shared" si="70"/>
        <v>0</v>
      </c>
      <c r="BF449" s="42">
        <f t="shared" si="71"/>
        <v>0</v>
      </c>
      <c r="BG449" s="42">
        <f t="shared" si="72"/>
        <v>0</v>
      </c>
      <c r="BH449" s="42">
        <f t="shared" si="73"/>
        <v>0</v>
      </c>
      <c r="BI449" s="42">
        <f t="shared" si="74"/>
        <v>0</v>
      </c>
      <c r="BJ449" s="42">
        <f t="shared" si="75"/>
        <v>0</v>
      </c>
      <c r="BK449" s="42">
        <f t="shared" si="76"/>
        <v>8</v>
      </c>
    </row>
    <row r="450" spans="1:63" ht="27" customHeight="1">
      <c r="A450" s="11">
        <f t="shared" si="77"/>
        <v>448</v>
      </c>
      <c r="B450" s="12"/>
      <c r="C450" s="8">
        <v>2990</v>
      </c>
      <c r="D450" s="103" t="s">
        <v>3006</v>
      </c>
      <c r="E450" s="201" t="s">
        <v>3007</v>
      </c>
      <c r="F450" s="218" t="s">
        <v>1652</v>
      </c>
      <c r="G450" s="219" t="s">
        <v>3008</v>
      </c>
      <c r="H450" s="24" t="s">
        <v>2982</v>
      </c>
      <c r="I450" s="25" t="s">
        <v>3009</v>
      </c>
      <c r="J450" s="82" t="s">
        <v>173</v>
      </c>
      <c r="K450" s="26">
        <v>37024</v>
      </c>
      <c r="L450" s="66" t="s">
        <v>174</v>
      </c>
      <c r="M450" s="23">
        <v>43648</v>
      </c>
      <c r="N450" s="23"/>
      <c r="O450" s="23" t="s">
        <v>32</v>
      </c>
      <c r="P450" s="16" t="s">
        <v>631</v>
      </c>
      <c r="Q450" s="16" t="s">
        <v>176</v>
      </c>
      <c r="R450" s="11" t="s">
        <v>177</v>
      </c>
      <c r="S450" s="11" t="s">
        <v>2354</v>
      </c>
      <c r="T450" s="159"/>
      <c r="U450" s="159"/>
      <c r="V450" s="19" t="s">
        <v>179</v>
      </c>
      <c r="W450" s="19" t="s">
        <v>179</v>
      </c>
      <c r="X450" s="1">
        <v>7</v>
      </c>
      <c r="Y450" s="160" t="s">
        <v>3010</v>
      </c>
      <c r="Z450" s="70" t="s">
        <v>181</v>
      </c>
      <c r="AA450" s="70"/>
      <c r="AB450" s="1"/>
      <c r="AC450" s="107"/>
      <c r="AD450" s="202"/>
      <c r="AE450" s="202"/>
      <c r="AF450" s="203"/>
      <c r="AG450" s="204"/>
      <c r="AH450" s="205"/>
      <c r="AI450" s="205"/>
      <c r="AJ450" s="81" t="s">
        <v>198</v>
      </c>
      <c r="AK450" s="81" t="s">
        <v>185</v>
      </c>
      <c r="AL450" s="81" t="s">
        <v>185</v>
      </c>
      <c r="AM450" s="107" t="s">
        <v>2349</v>
      </c>
      <c r="AN450" s="20">
        <v>182</v>
      </c>
      <c r="AO450" s="20">
        <v>0</v>
      </c>
      <c r="AP450" s="20">
        <v>20</v>
      </c>
      <c r="AQ450" s="20">
        <v>0</v>
      </c>
      <c r="AR450" s="20">
        <v>0</v>
      </c>
      <c r="AS450" s="20">
        <v>7</v>
      </c>
      <c r="AT450" s="20">
        <v>10</v>
      </c>
      <c r="AU450" s="300">
        <f t="shared" si="67"/>
        <v>219</v>
      </c>
      <c r="AV450" s="20">
        <v>190</v>
      </c>
      <c r="AW450" s="20">
        <v>0</v>
      </c>
      <c r="AX450" s="20">
        <v>20</v>
      </c>
      <c r="AY450" s="20">
        <v>0</v>
      </c>
      <c r="AZ450" s="20">
        <v>0</v>
      </c>
      <c r="BA450" s="20">
        <v>7</v>
      </c>
      <c r="BB450" s="20">
        <v>10</v>
      </c>
      <c r="BC450" s="300">
        <f t="shared" si="68"/>
        <v>227</v>
      </c>
      <c r="BD450" s="42">
        <f t="shared" si="69"/>
        <v>8</v>
      </c>
      <c r="BE450" s="42">
        <f t="shared" si="70"/>
        <v>0</v>
      </c>
      <c r="BF450" s="42">
        <f t="shared" si="71"/>
        <v>0</v>
      </c>
      <c r="BG450" s="42">
        <f t="shared" si="72"/>
        <v>0</v>
      </c>
      <c r="BH450" s="42">
        <f t="shared" si="73"/>
        <v>0</v>
      </c>
      <c r="BI450" s="42">
        <f t="shared" si="74"/>
        <v>0</v>
      </c>
      <c r="BJ450" s="42">
        <f t="shared" si="75"/>
        <v>0</v>
      </c>
      <c r="BK450" s="42">
        <f t="shared" si="76"/>
        <v>8</v>
      </c>
    </row>
    <row r="451" spans="1:63" ht="27" customHeight="1">
      <c r="A451" s="11">
        <f t="shared" si="77"/>
        <v>449</v>
      </c>
      <c r="B451" s="12"/>
      <c r="C451" s="8">
        <v>2983</v>
      </c>
      <c r="D451" s="103" t="s">
        <v>3011</v>
      </c>
      <c r="E451" s="201" t="s">
        <v>3012</v>
      </c>
      <c r="F451" s="218" t="s">
        <v>552</v>
      </c>
      <c r="G451" s="219" t="s">
        <v>1731</v>
      </c>
      <c r="H451" s="24" t="s">
        <v>2327</v>
      </c>
      <c r="I451" s="25" t="s">
        <v>3013</v>
      </c>
      <c r="J451" s="82" t="s">
        <v>173</v>
      </c>
      <c r="K451" s="26">
        <v>34710</v>
      </c>
      <c r="L451" s="66" t="s">
        <v>174</v>
      </c>
      <c r="M451" s="23">
        <v>43647</v>
      </c>
      <c r="N451" s="23"/>
      <c r="O451" s="23" t="s">
        <v>32</v>
      </c>
      <c r="P451" s="16" t="s">
        <v>397</v>
      </c>
      <c r="Q451" s="16" t="s">
        <v>176</v>
      </c>
      <c r="R451" s="11" t="s">
        <v>177</v>
      </c>
      <c r="S451" s="11" t="s">
        <v>2500</v>
      </c>
      <c r="T451" s="159"/>
      <c r="U451" s="159"/>
      <c r="V451" s="19" t="s">
        <v>179</v>
      </c>
      <c r="W451" s="19" t="s">
        <v>179</v>
      </c>
      <c r="X451" s="1">
        <v>7</v>
      </c>
      <c r="Y451" s="160"/>
      <c r="Z451" s="70" t="s">
        <v>181</v>
      </c>
      <c r="AA451" s="70"/>
      <c r="AB451" s="1"/>
      <c r="AC451" s="107"/>
      <c r="AD451" s="202"/>
      <c r="AE451" s="202"/>
      <c r="AF451" s="203"/>
      <c r="AG451" s="204"/>
      <c r="AH451" s="205"/>
      <c r="AI451" s="205"/>
      <c r="AJ451" s="81" t="s">
        <v>198</v>
      </c>
      <c r="AK451" s="81" t="s">
        <v>185</v>
      </c>
      <c r="AL451" s="81" t="s">
        <v>185</v>
      </c>
      <c r="AM451" s="107" t="s">
        <v>2349</v>
      </c>
      <c r="AN451" s="20">
        <v>182</v>
      </c>
      <c r="AO451" s="20">
        <v>0</v>
      </c>
      <c r="AP451" s="20">
        <v>0</v>
      </c>
      <c r="AQ451" s="20">
        <v>0</v>
      </c>
      <c r="AR451" s="20">
        <v>0</v>
      </c>
      <c r="AS451" s="20">
        <v>7</v>
      </c>
      <c r="AT451" s="20">
        <v>10</v>
      </c>
      <c r="AU451" s="300">
        <f t="shared" si="67"/>
        <v>199</v>
      </c>
      <c r="AV451" s="20">
        <v>190</v>
      </c>
      <c r="AW451" s="20">
        <v>0</v>
      </c>
      <c r="AX451" s="20">
        <v>0</v>
      </c>
      <c r="AY451" s="20">
        <v>0</v>
      </c>
      <c r="AZ451" s="20">
        <v>0</v>
      </c>
      <c r="BA451" s="20">
        <v>7</v>
      </c>
      <c r="BB451" s="20">
        <v>10</v>
      </c>
      <c r="BC451" s="300">
        <f t="shared" si="68"/>
        <v>207</v>
      </c>
      <c r="BD451" s="42">
        <f t="shared" si="69"/>
        <v>8</v>
      </c>
      <c r="BE451" s="42">
        <f t="shared" si="70"/>
        <v>0</v>
      </c>
      <c r="BF451" s="42">
        <f t="shared" si="71"/>
        <v>0</v>
      </c>
      <c r="BG451" s="42">
        <f t="shared" si="72"/>
        <v>0</v>
      </c>
      <c r="BH451" s="42">
        <f t="shared" si="73"/>
        <v>0</v>
      </c>
      <c r="BI451" s="42">
        <f t="shared" si="74"/>
        <v>0</v>
      </c>
      <c r="BJ451" s="42">
        <f t="shared" si="75"/>
        <v>0</v>
      </c>
      <c r="BK451" s="42">
        <f t="shared" si="76"/>
        <v>8</v>
      </c>
    </row>
    <row r="452" spans="1:63" ht="27" customHeight="1">
      <c r="A452" s="11">
        <f t="shared" si="77"/>
        <v>450</v>
      </c>
      <c r="B452" s="12"/>
      <c r="C452" s="8">
        <v>2997</v>
      </c>
      <c r="D452" s="103" t="s">
        <v>3014</v>
      </c>
      <c r="E452" s="201" t="s">
        <v>3015</v>
      </c>
      <c r="F452" s="218" t="s">
        <v>3016</v>
      </c>
      <c r="G452" s="219" t="s">
        <v>1844</v>
      </c>
      <c r="H452" s="24" t="s">
        <v>3017</v>
      </c>
      <c r="I452" s="25" t="s">
        <v>2780</v>
      </c>
      <c r="J452" s="82" t="s">
        <v>173</v>
      </c>
      <c r="K452" s="26">
        <v>35328</v>
      </c>
      <c r="L452" s="66" t="s">
        <v>174</v>
      </c>
      <c r="M452" s="23">
        <v>43649</v>
      </c>
      <c r="N452" s="23"/>
      <c r="O452" s="23" t="s">
        <v>32</v>
      </c>
      <c r="P452" s="16" t="s">
        <v>2493</v>
      </c>
      <c r="Q452" s="16" t="s">
        <v>244</v>
      </c>
      <c r="R452" s="11" t="s">
        <v>177</v>
      </c>
      <c r="S452" s="11" t="s">
        <v>2425</v>
      </c>
      <c r="T452" s="159"/>
      <c r="U452" s="159"/>
      <c r="V452" s="19" t="s">
        <v>179</v>
      </c>
      <c r="W452" s="19" t="s">
        <v>179</v>
      </c>
      <c r="X452" s="1">
        <v>6</v>
      </c>
      <c r="Y452" s="160" t="s">
        <v>3018</v>
      </c>
      <c r="Z452" s="70"/>
      <c r="AA452" s="70" t="s">
        <v>181</v>
      </c>
      <c r="AB452" s="1"/>
      <c r="AC452" s="107"/>
      <c r="AD452" s="202" t="s">
        <v>183</v>
      </c>
      <c r="AE452" s="202" t="s">
        <v>183</v>
      </c>
      <c r="AF452" s="203"/>
      <c r="AG452" s="204"/>
      <c r="AH452" s="205"/>
      <c r="AI452" s="205"/>
      <c r="AJ452" s="81" t="s">
        <v>198</v>
      </c>
      <c r="AK452" s="81" t="s">
        <v>185</v>
      </c>
      <c r="AL452" s="81" t="s">
        <v>185</v>
      </c>
      <c r="AM452" s="107" t="s">
        <v>2349</v>
      </c>
      <c r="AN452" s="20">
        <v>182</v>
      </c>
      <c r="AO452" s="20">
        <v>0</v>
      </c>
      <c r="AP452" s="20">
        <v>20</v>
      </c>
      <c r="AQ452" s="20">
        <v>0</v>
      </c>
      <c r="AR452" s="20">
        <v>0</v>
      </c>
      <c r="AS452" s="20">
        <v>7</v>
      </c>
      <c r="AT452" s="20">
        <v>10</v>
      </c>
      <c r="AU452" s="300">
        <f t="shared" ref="AU452:AU515" si="78">SUM(AN452:AT452)</f>
        <v>219</v>
      </c>
      <c r="AV452" s="20">
        <v>190</v>
      </c>
      <c r="AW452" s="20">
        <v>0</v>
      </c>
      <c r="AX452" s="20">
        <v>20</v>
      </c>
      <c r="AY452" s="20">
        <v>0</v>
      </c>
      <c r="AZ452" s="20">
        <v>0</v>
      </c>
      <c r="BA452" s="20">
        <v>7</v>
      </c>
      <c r="BB452" s="20">
        <v>10</v>
      </c>
      <c r="BC452" s="300">
        <f t="shared" ref="BC452:BC515" si="79">SUM(AV452:BB452)</f>
        <v>227</v>
      </c>
      <c r="BD452" s="42">
        <f t="shared" ref="BD452:BD515" si="80">AV452-AN452</f>
        <v>8</v>
      </c>
      <c r="BE452" s="42">
        <f t="shared" ref="BE452:BE515" si="81">AW452-AO452</f>
        <v>0</v>
      </c>
      <c r="BF452" s="42">
        <f t="shared" ref="BF452:BF515" si="82">AX452-AP452</f>
        <v>0</v>
      </c>
      <c r="BG452" s="42">
        <f t="shared" ref="BG452:BG515" si="83">AY452-AQ452</f>
        <v>0</v>
      </c>
      <c r="BH452" s="42">
        <f t="shared" ref="BH452:BH515" si="84">AZ452-AR452</f>
        <v>0</v>
      </c>
      <c r="BI452" s="42">
        <f t="shared" ref="BI452:BI515" si="85">BA452-AS452</f>
        <v>0</v>
      </c>
      <c r="BJ452" s="42">
        <f t="shared" ref="BJ452:BJ515" si="86">BB452-AT452</f>
        <v>0</v>
      </c>
      <c r="BK452" s="42">
        <f t="shared" ref="BK452:BK515" si="87">BC452-AU452</f>
        <v>8</v>
      </c>
    </row>
    <row r="453" spans="1:63" ht="27" customHeight="1">
      <c r="A453" s="11">
        <f t="shared" ref="A453:A516" si="88">1+A452</f>
        <v>451</v>
      </c>
      <c r="B453" s="12"/>
      <c r="C453" s="8">
        <v>3055</v>
      </c>
      <c r="D453" s="103" t="s">
        <v>3019</v>
      </c>
      <c r="E453" s="201" t="s">
        <v>3020</v>
      </c>
      <c r="F453" s="218" t="s">
        <v>3021</v>
      </c>
      <c r="G453" s="219" t="s">
        <v>3022</v>
      </c>
      <c r="H453" s="24" t="s">
        <v>3023</v>
      </c>
      <c r="I453" s="25" t="s">
        <v>114</v>
      </c>
      <c r="J453" s="82" t="s">
        <v>204</v>
      </c>
      <c r="K453" s="26">
        <v>37043</v>
      </c>
      <c r="L453" s="66" t="s">
        <v>174</v>
      </c>
      <c r="M453" s="23">
        <v>43685</v>
      </c>
      <c r="N453" s="23"/>
      <c r="O453" s="23" t="s">
        <v>32</v>
      </c>
      <c r="P453" s="16" t="s">
        <v>507</v>
      </c>
      <c r="Q453" s="16" t="s">
        <v>176</v>
      </c>
      <c r="R453" s="11" t="s">
        <v>177</v>
      </c>
      <c r="S453" s="11" t="s">
        <v>2500</v>
      </c>
      <c r="T453" s="159"/>
      <c r="U453" s="159"/>
      <c r="V453" s="19" t="s">
        <v>179</v>
      </c>
      <c r="W453" s="19" t="s">
        <v>179</v>
      </c>
      <c r="X453" s="1">
        <v>11</v>
      </c>
      <c r="Y453" s="160" t="s">
        <v>3024</v>
      </c>
      <c r="Z453" s="70" t="s">
        <v>181</v>
      </c>
      <c r="AA453" s="70"/>
      <c r="AB453" s="1"/>
      <c r="AC453" s="107"/>
      <c r="AD453" s="202"/>
      <c r="AE453" s="202"/>
      <c r="AF453" s="203"/>
      <c r="AG453" s="204"/>
      <c r="AH453" s="205"/>
      <c r="AI453" s="205"/>
      <c r="AJ453" s="81" t="s">
        <v>198</v>
      </c>
      <c r="AK453" s="81" t="s">
        <v>185</v>
      </c>
      <c r="AL453" s="81" t="s">
        <v>185</v>
      </c>
      <c r="AM453" s="107" t="s">
        <v>2349</v>
      </c>
      <c r="AN453" s="20">
        <v>182</v>
      </c>
      <c r="AO453" s="20">
        <v>0</v>
      </c>
      <c r="AP453" s="20">
        <v>0</v>
      </c>
      <c r="AQ453" s="20">
        <v>0</v>
      </c>
      <c r="AR453" s="20">
        <v>0</v>
      </c>
      <c r="AS453" s="20">
        <v>7</v>
      </c>
      <c r="AT453" s="20">
        <v>10</v>
      </c>
      <c r="AU453" s="300">
        <f t="shared" si="78"/>
        <v>199</v>
      </c>
      <c r="AV453" s="20">
        <v>190</v>
      </c>
      <c r="AW453" s="20">
        <v>0</v>
      </c>
      <c r="AX453" s="20">
        <v>0</v>
      </c>
      <c r="AY453" s="20">
        <v>0</v>
      </c>
      <c r="AZ453" s="20">
        <v>0</v>
      </c>
      <c r="BA453" s="20">
        <v>7</v>
      </c>
      <c r="BB453" s="20">
        <v>10</v>
      </c>
      <c r="BC453" s="300">
        <f t="shared" si="79"/>
        <v>207</v>
      </c>
      <c r="BD453" s="42">
        <f t="shared" si="80"/>
        <v>8</v>
      </c>
      <c r="BE453" s="42">
        <f t="shared" si="81"/>
        <v>0</v>
      </c>
      <c r="BF453" s="42">
        <f t="shared" si="82"/>
        <v>0</v>
      </c>
      <c r="BG453" s="42">
        <f t="shared" si="83"/>
        <v>0</v>
      </c>
      <c r="BH453" s="42">
        <f t="shared" si="84"/>
        <v>0</v>
      </c>
      <c r="BI453" s="42">
        <f t="shared" si="85"/>
        <v>0</v>
      </c>
      <c r="BJ453" s="42">
        <f t="shared" si="86"/>
        <v>0</v>
      </c>
      <c r="BK453" s="42">
        <f t="shared" si="87"/>
        <v>8</v>
      </c>
    </row>
    <row r="454" spans="1:63" ht="27" customHeight="1">
      <c r="A454" s="11">
        <f t="shared" si="88"/>
        <v>452</v>
      </c>
      <c r="B454" s="12"/>
      <c r="C454" s="8">
        <v>3056</v>
      </c>
      <c r="D454" s="103" t="s">
        <v>3025</v>
      </c>
      <c r="E454" s="201" t="s">
        <v>3026</v>
      </c>
      <c r="F454" s="218" t="s">
        <v>3027</v>
      </c>
      <c r="G454" s="219" t="s">
        <v>1174</v>
      </c>
      <c r="H454" s="24" t="s">
        <v>3028</v>
      </c>
      <c r="I454" s="25" t="s">
        <v>3029</v>
      </c>
      <c r="J454" s="82" t="s">
        <v>173</v>
      </c>
      <c r="K454" s="26">
        <v>29138</v>
      </c>
      <c r="L454" s="66" t="s">
        <v>174</v>
      </c>
      <c r="M454" s="23">
        <v>43685</v>
      </c>
      <c r="N454" s="23"/>
      <c r="O454" s="23" t="s">
        <v>32</v>
      </c>
      <c r="P454" s="16" t="s">
        <v>507</v>
      </c>
      <c r="Q454" s="16" t="s">
        <v>176</v>
      </c>
      <c r="R454" s="11" t="s">
        <v>177</v>
      </c>
      <c r="S454" s="11" t="s">
        <v>2500</v>
      </c>
      <c r="T454" s="159"/>
      <c r="U454" s="159"/>
      <c r="V454" s="19" t="s">
        <v>179</v>
      </c>
      <c r="W454" s="19" t="s">
        <v>179</v>
      </c>
      <c r="X454" s="1">
        <v>5</v>
      </c>
      <c r="Y454" s="160" t="s">
        <v>3030</v>
      </c>
      <c r="Z454" s="70"/>
      <c r="AA454" s="70" t="s">
        <v>181</v>
      </c>
      <c r="AB454" s="1"/>
      <c r="AC454" s="107"/>
      <c r="AD454" s="202" t="s">
        <v>184</v>
      </c>
      <c r="AE454" s="202" t="s">
        <v>184</v>
      </c>
      <c r="AF454" s="203"/>
      <c r="AG454" s="204"/>
      <c r="AH454" s="205"/>
      <c r="AI454" s="205"/>
      <c r="AJ454" s="81" t="s">
        <v>198</v>
      </c>
      <c r="AK454" s="81" t="s">
        <v>185</v>
      </c>
      <c r="AL454" s="81" t="s">
        <v>185</v>
      </c>
      <c r="AM454" s="107" t="s">
        <v>2349</v>
      </c>
      <c r="AN454" s="20">
        <v>182</v>
      </c>
      <c r="AO454" s="20">
        <v>0</v>
      </c>
      <c r="AP454" s="20">
        <v>0</v>
      </c>
      <c r="AQ454" s="20">
        <v>0</v>
      </c>
      <c r="AR454" s="20">
        <v>0</v>
      </c>
      <c r="AS454" s="20">
        <v>7</v>
      </c>
      <c r="AT454" s="20">
        <v>10</v>
      </c>
      <c r="AU454" s="300">
        <f t="shared" si="78"/>
        <v>199</v>
      </c>
      <c r="AV454" s="20">
        <v>190</v>
      </c>
      <c r="AW454" s="20">
        <v>0</v>
      </c>
      <c r="AX454" s="20">
        <v>0</v>
      </c>
      <c r="AY454" s="20">
        <v>0</v>
      </c>
      <c r="AZ454" s="20">
        <v>0</v>
      </c>
      <c r="BA454" s="20">
        <v>7</v>
      </c>
      <c r="BB454" s="20">
        <v>10</v>
      </c>
      <c r="BC454" s="300">
        <f t="shared" si="79"/>
        <v>207</v>
      </c>
      <c r="BD454" s="42">
        <f t="shared" si="80"/>
        <v>8</v>
      </c>
      <c r="BE454" s="42">
        <f t="shared" si="81"/>
        <v>0</v>
      </c>
      <c r="BF454" s="42">
        <f t="shared" si="82"/>
        <v>0</v>
      </c>
      <c r="BG454" s="42">
        <f t="shared" si="83"/>
        <v>0</v>
      </c>
      <c r="BH454" s="42">
        <f t="shared" si="84"/>
        <v>0</v>
      </c>
      <c r="BI454" s="42">
        <f t="shared" si="85"/>
        <v>0</v>
      </c>
      <c r="BJ454" s="42">
        <f t="shared" si="86"/>
        <v>0</v>
      </c>
      <c r="BK454" s="42">
        <f t="shared" si="87"/>
        <v>8</v>
      </c>
    </row>
    <row r="455" spans="1:63" ht="27" customHeight="1">
      <c r="A455" s="11">
        <f t="shared" si="88"/>
        <v>453</v>
      </c>
      <c r="B455" s="12"/>
      <c r="C455" s="8">
        <v>3053</v>
      </c>
      <c r="D455" s="103" t="s">
        <v>3031</v>
      </c>
      <c r="E455" s="201" t="s">
        <v>3032</v>
      </c>
      <c r="F455" s="218" t="s">
        <v>3033</v>
      </c>
      <c r="G455" s="219" t="s">
        <v>3034</v>
      </c>
      <c r="H455" s="24" t="s">
        <v>111</v>
      </c>
      <c r="I455" s="25" t="s">
        <v>112</v>
      </c>
      <c r="J455" s="82" t="s">
        <v>204</v>
      </c>
      <c r="K455" s="26">
        <v>36524</v>
      </c>
      <c r="L455" s="66" t="s">
        <v>174</v>
      </c>
      <c r="M455" s="23">
        <v>43684</v>
      </c>
      <c r="N455" s="23"/>
      <c r="O455" s="23" t="s">
        <v>32</v>
      </c>
      <c r="P455" s="16" t="s">
        <v>80</v>
      </c>
      <c r="Q455" s="16" t="s">
        <v>176</v>
      </c>
      <c r="R455" s="11" t="s">
        <v>177</v>
      </c>
      <c r="S455" s="11" t="s">
        <v>2593</v>
      </c>
      <c r="T455" s="159"/>
      <c r="U455" s="159"/>
      <c r="V455" s="19" t="s">
        <v>195</v>
      </c>
      <c r="W455" s="19" t="s">
        <v>195</v>
      </c>
      <c r="X455" s="1">
        <v>12</v>
      </c>
      <c r="Y455" s="160" t="s">
        <v>3035</v>
      </c>
      <c r="Z455" s="70" t="s">
        <v>181</v>
      </c>
      <c r="AA455" s="70"/>
      <c r="AB455" s="70"/>
      <c r="AC455" s="107"/>
      <c r="AD455" s="202"/>
      <c r="AE455" s="202"/>
      <c r="AF455" s="203"/>
      <c r="AG455" s="204"/>
      <c r="AH455" s="205"/>
      <c r="AI455" s="205"/>
      <c r="AJ455" s="81" t="s">
        <v>198</v>
      </c>
      <c r="AK455" s="81" t="s">
        <v>185</v>
      </c>
      <c r="AL455" s="81" t="s">
        <v>185</v>
      </c>
      <c r="AM455" s="107" t="s">
        <v>2349</v>
      </c>
      <c r="AN455" s="20">
        <v>182</v>
      </c>
      <c r="AO455" s="20">
        <v>0</v>
      </c>
      <c r="AP455" s="20">
        <v>0</v>
      </c>
      <c r="AQ455" s="20">
        <v>0</v>
      </c>
      <c r="AR455" s="20">
        <v>0</v>
      </c>
      <c r="AS455" s="20">
        <v>7</v>
      </c>
      <c r="AT455" s="20">
        <v>10</v>
      </c>
      <c r="AU455" s="300">
        <f t="shared" si="78"/>
        <v>199</v>
      </c>
      <c r="AV455" s="20">
        <v>190</v>
      </c>
      <c r="AW455" s="20">
        <v>0</v>
      </c>
      <c r="AX455" s="20">
        <v>0</v>
      </c>
      <c r="AY455" s="20">
        <v>0</v>
      </c>
      <c r="AZ455" s="20">
        <v>0</v>
      </c>
      <c r="BA455" s="20">
        <v>7</v>
      </c>
      <c r="BB455" s="20">
        <v>10</v>
      </c>
      <c r="BC455" s="300">
        <f t="shared" si="79"/>
        <v>207</v>
      </c>
      <c r="BD455" s="42">
        <f t="shared" si="80"/>
        <v>8</v>
      </c>
      <c r="BE455" s="42">
        <f t="shared" si="81"/>
        <v>0</v>
      </c>
      <c r="BF455" s="42">
        <f t="shared" si="82"/>
        <v>0</v>
      </c>
      <c r="BG455" s="42">
        <f t="shared" si="83"/>
        <v>0</v>
      </c>
      <c r="BH455" s="42">
        <f t="shared" si="84"/>
        <v>0</v>
      </c>
      <c r="BI455" s="42">
        <f t="shared" si="85"/>
        <v>0</v>
      </c>
      <c r="BJ455" s="42">
        <f t="shared" si="86"/>
        <v>0</v>
      </c>
      <c r="BK455" s="42">
        <f t="shared" si="87"/>
        <v>8</v>
      </c>
    </row>
    <row r="456" spans="1:63" ht="27" customHeight="1">
      <c r="A456" s="11">
        <f t="shared" si="88"/>
        <v>454</v>
      </c>
      <c r="B456" s="12"/>
      <c r="C456" s="8">
        <v>3049</v>
      </c>
      <c r="D456" s="103" t="s">
        <v>3036</v>
      </c>
      <c r="E456" s="201" t="s">
        <v>3037</v>
      </c>
      <c r="F456" s="218" t="s">
        <v>3038</v>
      </c>
      <c r="G456" s="219" t="s">
        <v>438</v>
      </c>
      <c r="H456" s="24" t="s">
        <v>3039</v>
      </c>
      <c r="I456" s="25" t="s">
        <v>2247</v>
      </c>
      <c r="J456" s="82" t="s">
        <v>173</v>
      </c>
      <c r="K456" s="26">
        <v>28136</v>
      </c>
      <c r="L456" s="66" t="s">
        <v>174</v>
      </c>
      <c r="M456" s="23">
        <v>43679</v>
      </c>
      <c r="N456" s="23"/>
      <c r="O456" s="23" t="s">
        <v>32</v>
      </c>
      <c r="P456" s="16" t="s">
        <v>2493</v>
      </c>
      <c r="Q456" s="16" t="s">
        <v>244</v>
      </c>
      <c r="R456" s="11" t="s">
        <v>177</v>
      </c>
      <c r="S456" s="11" t="s">
        <v>2500</v>
      </c>
      <c r="T456" s="159"/>
      <c r="U456" s="159"/>
      <c r="V456" s="19" t="s">
        <v>179</v>
      </c>
      <c r="W456" s="19" t="s">
        <v>179</v>
      </c>
      <c r="X456" s="1">
        <v>5</v>
      </c>
      <c r="Y456" s="160" t="s">
        <v>291</v>
      </c>
      <c r="Z456" s="70"/>
      <c r="AA456" s="70"/>
      <c r="AB456" s="70" t="s">
        <v>181</v>
      </c>
      <c r="AC456" s="107"/>
      <c r="AD456" s="202" t="s">
        <v>184</v>
      </c>
      <c r="AE456" s="202"/>
      <c r="AF456" s="203"/>
      <c r="AG456" s="204"/>
      <c r="AH456" s="205"/>
      <c r="AI456" s="205"/>
      <c r="AJ456" s="81" t="s">
        <v>198</v>
      </c>
      <c r="AK456" s="81" t="s">
        <v>185</v>
      </c>
      <c r="AL456" s="81" t="s">
        <v>185</v>
      </c>
      <c r="AM456" s="107" t="s">
        <v>2349</v>
      </c>
      <c r="AN456" s="20">
        <v>182</v>
      </c>
      <c r="AO456" s="20">
        <v>0</v>
      </c>
      <c r="AP456" s="20">
        <v>20</v>
      </c>
      <c r="AQ456" s="20">
        <v>0</v>
      </c>
      <c r="AR456" s="20">
        <v>0</v>
      </c>
      <c r="AS456" s="20">
        <v>7</v>
      </c>
      <c r="AT456" s="20">
        <v>10</v>
      </c>
      <c r="AU456" s="300">
        <f t="shared" si="78"/>
        <v>219</v>
      </c>
      <c r="AV456" s="20">
        <v>190</v>
      </c>
      <c r="AW456" s="20">
        <v>0</v>
      </c>
      <c r="AX456" s="20">
        <v>20</v>
      </c>
      <c r="AY456" s="20">
        <v>0</v>
      </c>
      <c r="AZ456" s="20">
        <v>0</v>
      </c>
      <c r="BA456" s="20">
        <v>7</v>
      </c>
      <c r="BB456" s="20">
        <v>10</v>
      </c>
      <c r="BC456" s="300">
        <f t="shared" si="79"/>
        <v>227</v>
      </c>
      <c r="BD456" s="42">
        <f t="shared" si="80"/>
        <v>8</v>
      </c>
      <c r="BE456" s="42">
        <f t="shared" si="81"/>
        <v>0</v>
      </c>
      <c r="BF456" s="42">
        <f t="shared" si="82"/>
        <v>0</v>
      </c>
      <c r="BG456" s="42">
        <f t="shared" si="83"/>
        <v>0</v>
      </c>
      <c r="BH456" s="42">
        <f t="shared" si="84"/>
        <v>0</v>
      </c>
      <c r="BI456" s="42">
        <f t="shared" si="85"/>
        <v>0</v>
      </c>
      <c r="BJ456" s="42">
        <f t="shared" si="86"/>
        <v>0</v>
      </c>
      <c r="BK456" s="42">
        <f t="shared" si="87"/>
        <v>8</v>
      </c>
    </row>
    <row r="457" spans="1:63" ht="27" customHeight="1">
      <c r="A457" s="11">
        <f t="shared" si="88"/>
        <v>455</v>
      </c>
      <c r="B457" s="12"/>
      <c r="C457" s="8">
        <v>3050</v>
      </c>
      <c r="D457" s="103" t="s">
        <v>3040</v>
      </c>
      <c r="E457" s="201" t="s">
        <v>3041</v>
      </c>
      <c r="F457" s="218" t="s">
        <v>2560</v>
      </c>
      <c r="G457" s="219" t="s">
        <v>3042</v>
      </c>
      <c r="H457" s="24" t="s">
        <v>3043</v>
      </c>
      <c r="I457" s="25" t="s">
        <v>3044</v>
      </c>
      <c r="J457" s="82" t="s">
        <v>173</v>
      </c>
      <c r="K457" s="26">
        <v>32695</v>
      </c>
      <c r="L457" s="66" t="s">
        <v>174</v>
      </c>
      <c r="M457" s="23">
        <v>43679</v>
      </c>
      <c r="N457" s="23"/>
      <c r="O457" s="23" t="s">
        <v>32</v>
      </c>
      <c r="P457" s="16" t="s">
        <v>2493</v>
      </c>
      <c r="Q457" s="16" t="s">
        <v>244</v>
      </c>
      <c r="R457" s="11" t="s">
        <v>177</v>
      </c>
      <c r="S457" s="11" t="s">
        <v>2354</v>
      </c>
      <c r="T457" s="159"/>
      <c r="U457" s="159"/>
      <c r="V457" s="19" t="s">
        <v>179</v>
      </c>
      <c r="W457" s="19" t="s">
        <v>195</v>
      </c>
      <c r="X457" s="1">
        <v>6</v>
      </c>
      <c r="Y457" s="160" t="s">
        <v>3045</v>
      </c>
      <c r="Z457" s="70"/>
      <c r="AA457" s="70" t="s">
        <v>181</v>
      </c>
      <c r="AB457" s="1"/>
      <c r="AC457" s="107"/>
      <c r="AD457" s="202" t="s">
        <v>183</v>
      </c>
      <c r="AE457" s="202" t="s">
        <v>184</v>
      </c>
      <c r="AF457" s="203"/>
      <c r="AG457" s="204"/>
      <c r="AH457" s="205"/>
      <c r="AI457" s="205"/>
      <c r="AJ457" s="81" t="s">
        <v>198</v>
      </c>
      <c r="AK457" s="81" t="s">
        <v>185</v>
      </c>
      <c r="AL457" s="81" t="s">
        <v>185</v>
      </c>
      <c r="AM457" s="107" t="s">
        <v>2349</v>
      </c>
      <c r="AN457" s="20">
        <v>182</v>
      </c>
      <c r="AO457" s="20">
        <v>0</v>
      </c>
      <c r="AP457" s="20">
        <v>20</v>
      </c>
      <c r="AQ457" s="20">
        <v>10</v>
      </c>
      <c r="AR457" s="20">
        <v>0</v>
      </c>
      <c r="AS457" s="20">
        <v>7</v>
      </c>
      <c r="AT457" s="20">
        <v>10</v>
      </c>
      <c r="AU457" s="300">
        <f t="shared" si="78"/>
        <v>229</v>
      </c>
      <c r="AV457" s="20">
        <v>190</v>
      </c>
      <c r="AW457" s="20">
        <v>0</v>
      </c>
      <c r="AX457" s="20">
        <v>20</v>
      </c>
      <c r="AY457" s="20">
        <v>10</v>
      </c>
      <c r="AZ457" s="20">
        <v>0</v>
      </c>
      <c r="BA457" s="20">
        <v>7</v>
      </c>
      <c r="BB457" s="20">
        <v>10</v>
      </c>
      <c r="BC457" s="300">
        <f t="shared" si="79"/>
        <v>237</v>
      </c>
      <c r="BD457" s="42">
        <f t="shared" si="80"/>
        <v>8</v>
      </c>
      <c r="BE457" s="42">
        <f t="shared" si="81"/>
        <v>0</v>
      </c>
      <c r="BF457" s="42">
        <f t="shared" si="82"/>
        <v>0</v>
      </c>
      <c r="BG457" s="42">
        <f t="shared" si="83"/>
        <v>0</v>
      </c>
      <c r="BH457" s="42">
        <f t="shared" si="84"/>
        <v>0</v>
      </c>
      <c r="BI457" s="42">
        <f t="shared" si="85"/>
        <v>0</v>
      </c>
      <c r="BJ457" s="42">
        <f t="shared" si="86"/>
        <v>0</v>
      </c>
      <c r="BK457" s="42">
        <f t="shared" si="87"/>
        <v>8</v>
      </c>
    </row>
    <row r="458" spans="1:63" ht="27" customHeight="1">
      <c r="A458" s="11">
        <f t="shared" si="88"/>
        <v>456</v>
      </c>
      <c r="B458" s="12"/>
      <c r="C458" s="8">
        <v>3047</v>
      </c>
      <c r="D458" s="103" t="s">
        <v>3046</v>
      </c>
      <c r="E458" s="201" t="s">
        <v>3047</v>
      </c>
      <c r="F458" s="218" t="s">
        <v>3048</v>
      </c>
      <c r="G458" s="219" t="s">
        <v>3049</v>
      </c>
      <c r="H458" s="24" t="s">
        <v>3050</v>
      </c>
      <c r="I458" s="25" t="s">
        <v>3051</v>
      </c>
      <c r="J458" s="82" t="s">
        <v>173</v>
      </c>
      <c r="K458" s="26">
        <v>33765</v>
      </c>
      <c r="L458" s="66" t="s">
        <v>174</v>
      </c>
      <c r="M458" s="23">
        <v>43679</v>
      </c>
      <c r="N458" s="23"/>
      <c r="O458" s="23" t="s">
        <v>32</v>
      </c>
      <c r="P458" s="16" t="s">
        <v>2493</v>
      </c>
      <c r="Q458" s="16" t="s">
        <v>244</v>
      </c>
      <c r="R458" s="11" t="s">
        <v>177</v>
      </c>
      <c r="S458" s="11" t="s">
        <v>2354</v>
      </c>
      <c r="T458" s="159"/>
      <c r="U458" s="159"/>
      <c r="V458" s="19" t="s">
        <v>195</v>
      </c>
      <c r="W458" s="19" t="s">
        <v>179</v>
      </c>
      <c r="X458" s="1">
        <v>6</v>
      </c>
      <c r="Y458" s="160" t="s">
        <v>3052</v>
      </c>
      <c r="Z458" s="70"/>
      <c r="AA458" s="70" t="s">
        <v>181</v>
      </c>
      <c r="AB458" s="1"/>
      <c r="AC458" s="107"/>
      <c r="AD458" s="202" t="s">
        <v>184</v>
      </c>
      <c r="AE458" s="202"/>
      <c r="AF458" s="203"/>
      <c r="AG458" s="204"/>
      <c r="AH458" s="205"/>
      <c r="AI458" s="205"/>
      <c r="AJ458" s="81" t="s">
        <v>198</v>
      </c>
      <c r="AK458" s="81" t="s">
        <v>185</v>
      </c>
      <c r="AL458" s="81" t="s">
        <v>185</v>
      </c>
      <c r="AM458" s="107" t="s">
        <v>2349</v>
      </c>
      <c r="AN458" s="20">
        <v>182</v>
      </c>
      <c r="AO458" s="20">
        <v>0</v>
      </c>
      <c r="AP458" s="20">
        <v>20</v>
      </c>
      <c r="AQ458" s="20">
        <v>20</v>
      </c>
      <c r="AR458" s="20">
        <v>0</v>
      </c>
      <c r="AS458" s="20">
        <v>7</v>
      </c>
      <c r="AT458" s="20">
        <v>10</v>
      </c>
      <c r="AU458" s="300">
        <f t="shared" si="78"/>
        <v>239</v>
      </c>
      <c r="AV458" s="20">
        <v>190</v>
      </c>
      <c r="AW458" s="20">
        <v>0</v>
      </c>
      <c r="AX458" s="20">
        <v>20</v>
      </c>
      <c r="AY458" s="20">
        <v>20</v>
      </c>
      <c r="AZ458" s="20">
        <v>0</v>
      </c>
      <c r="BA458" s="20">
        <v>7</v>
      </c>
      <c r="BB458" s="20">
        <v>10</v>
      </c>
      <c r="BC458" s="300">
        <f t="shared" si="79"/>
        <v>247</v>
      </c>
      <c r="BD458" s="42">
        <f t="shared" si="80"/>
        <v>8</v>
      </c>
      <c r="BE458" s="42">
        <f t="shared" si="81"/>
        <v>0</v>
      </c>
      <c r="BF458" s="42">
        <f t="shared" si="82"/>
        <v>0</v>
      </c>
      <c r="BG458" s="42">
        <f t="shared" si="83"/>
        <v>0</v>
      </c>
      <c r="BH458" s="42">
        <f t="shared" si="84"/>
        <v>0</v>
      </c>
      <c r="BI458" s="42">
        <f t="shared" si="85"/>
        <v>0</v>
      </c>
      <c r="BJ458" s="42">
        <f t="shared" si="86"/>
        <v>0</v>
      </c>
      <c r="BK458" s="42">
        <f t="shared" si="87"/>
        <v>8</v>
      </c>
    </row>
    <row r="459" spans="1:63" ht="27" customHeight="1">
      <c r="A459" s="11">
        <f t="shared" si="88"/>
        <v>457</v>
      </c>
      <c r="B459" s="12"/>
      <c r="C459" s="8">
        <v>3046</v>
      </c>
      <c r="D459" s="103" t="s">
        <v>3053</v>
      </c>
      <c r="E459" s="201" t="s">
        <v>3054</v>
      </c>
      <c r="F459" s="218" t="s">
        <v>644</v>
      </c>
      <c r="G459" s="219" t="s">
        <v>3055</v>
      </c>
      <c r="H459" s="24" t="s">
        <v>43</v>
      </c>
      <c r="I459" s="25" t="s">
        <v>3056</v>
      </c>
      <c r="J459" s="82" t="s">
        <v>204</v>
      </c>
      <c r="K459" s="26">
        <v>36981</v>
      </c>
      <c r="L459" s="66" t="s">
        <v>174</v>
      </c>
      <c r="M459" s="23">
        <v>43679</v>
      </c>
      <c r="N459" s="23"/>
      <c r="O459" s="23" t="s">
        <v>32</v>
      </c>
      <c r="P459" s="16" t="s">
        <v>2493</v>
      </c>
      <c r="Q459" s="16" t="s">
        <v>244</v>
      </c>
      <c r="R459" s="11" t="s">
        <v>177</v>
      </c>
      <c r="S459" s="11" t="s">
        <v>2379</v>
      </c>
      <c r="T459" s="159"/>
      <c r="U459" s="159"/>
      <c r="V459" s="19" t="s">
        <v>179</v>
      </c>
      <c r="W459" s="19" t="s">
        <v>195</v>
      </c>
      <c r="X459" s="1">
        <v>11</v>
      </c>
      <c r="Y459" s="160" t="s">
        <v>3057</v>
      </c>
      <c r="Z459" s="70" t="s">
        <v>181</v>
      </c>
      <c r="AA459" s="70"/>
      <c r="AB459" s="1"/>
      <c r="AC459" s="107"/>
      <c r="AD459" s="202"/>
      <c r="AE459" s="202"/>
      <c r="AF459" s="203"/>
      <c r="AG459" s="204"/>
      <c r="AH459" s="205"/>
      <c r="AI459" s="205"/>
      <c r="AJ459" s="81" t="s">
        <v>198</v>
      </c>
      <c r="AK459" s="81" t="s">
        <v>185</v>
      </c>
      <c r="AL459" s="81" t="s">
        <v>185</v>
      </c>
      <c r="AM459" s="107" t="s">
        <v>2349</v>
      </c>
      <c r="AN459" s="20">
        <v>182</v>
      </c>
      <c r="AO459" s="20">
        <v>0</v>
      </c>
      <c r="AP459" s="20">
        <v>20</v>
      </c>
      <c r="AQ459" s="20">
        <v>0</v>
      </c>
      <c r="AR459" s="20">
        <v>0</v>
      </c>
      <c r="AS459" s="20">
        <v>7</v>
      </c>
      <c r="AT459" s="20">
        <v>10</v>
      </c>
      <c r="AU459" s="300">
        <f t="shared" si="78"/>
        <v>219</v>
      </c>
      <c r="AV459" s="20">
        <v>190</v>
      </c>
      <c r="AW459" s="20">
        <v>0</v>
      </c>
      <c r="AX459" s="20">
        <v>20</v>
      </c>
      <c r="AY459" s="20">
        <v>0</v>
      </c>
      <c r="AZ459" s="20">
        <v>0</v>
      </c>
      <c r="BA459" s="20">
        <v>7</v>
      </c>
      <c r="BB459" s="20">
        <v>10</v>
      </c>
      <c r="BC459" s="300">
        <f t="shared" si="79"/>
        <v>227</v>
      </c>
      <c r="BD459" s="42">
        <f t="shared" si="80"/>
        <v>8</v>
      </c>
      <c r="BE459" s="42">
        <f t="shared" si="81"/>
        <v>0</v>
      </c>
      <c r="BF459" s="42">
        <f t="shared" si="82"/>
        <v>0</v>
      </c>
      <c r="BG459" s="42">
        <f t="shared" si="83"/>
        <v>0</v>
      </c>
      <c r="BH459" s="42">
        <f t="shared" si="84"/>
        <v>0</v>
      </c>
      <c r="BI459" s="42">
        <f t="shared" si="85"/>
        <v>0</v>
      </c>
      <c r="BJ459" s="42">
        <f t="shared" si="86"/>
        <v>0</v>
      </c>
      <c r="BK459" s="42">
        <f t="shared" si="87"/>
        <v>8</v>
      </c>
    </row>
    <row r="460" spans="1:63" ht="27" customHeight="1">
      <c r="A460" s="11">
        <f t="shared" si="88"/>
        <v>458</v>
      </c>
      <c r="B460" s="12"/>
      <c r="C460" s="8">
        <v>3071</v>
      </c>
      <c r="D460" s="103" t="s">
        <v>3058</v>
      </c>
      <c r="E460" s="201" t="s">
        <v>3059</v>
      </c>
      <c r="F460" s="218" t="s">
        <v>3060</v>
      </c>
      <c r="G460" s="219" t="s">
        <v>3061</v>
      </c>
      <c r="H460" s="24" t="s">
        <v>3062</v>
      </c>
      <c r="I460" s="25" t="s">
        <v>3063</v>
      </c>
      <c r="J460" s="82" t="s">
        <v>173</v>
      </c>
      <c r="K460" s="26">
        <v>34700</v>
      </c>
      <c r="L460" s="66" t="s">
        <v>174</v>
      </c>
      <c r="M460" s="23">
        <v>43703</v>
      </c>
      <c r="N460" s="23"/>
      <c r="O460" s="23" t="s">
        <v>32</v>
      </c>
      <c r="P460" s="16" t="s">
        <v>1276</v>
      </c>
      <c r="Q460" s="16" t="s">
        <v>176</v>
      </c>
      <c r="R460" s="11" t="s">
        <v>177</v>
      </c>
      <c r="S460" s="11" t="s">
        <v>1546</v>
      </c>
      <c r="T460" s="159"/>
      <c r="U460" s="159"/>
      <c r="V460" s="19" t="s">
        <v>195</v>
      </c>
      <c r="W460" s="19" t="s">
        <v>195</v>
      </c>
      <c r="X460" s="1">
        <v>9</v>
      </c>
      <c r="Y460" s="160" t="s">
        <v>3064</v>
      </c>
      <c r="Z460" s="70"/>
      <c r="AA460" s="70" t="s">
        <v>181</v>
      </c>
      <c r="AB460" s="1"/>
      <c r="AC460" s="107"/>
      <c r="AD460" s="202" t="s">
        <v>184</v>
      </c>
      <c r="AE460" s="202"/>
      <c r="AF460" s="203"/>
      <c r="AG460" s="204"/>
      <c r="AH460" s="205"/>
      <c r="AI460" s="205"/>
      <c r="AJ460" s="81" t="s">
        <v>198</v>
      </c>
      <c r="AK460" s="81" t="s">
        <v>185</v>
      </c>
      <c r="AL460" s="81" t="s">
        <v>185</v>
      </c>
      <c r="AM460" s="107" t="s">
        <v>2349</v>
      </c>
      <c r="AN460" s="20">
        <v>182</v>
      </c>
      <c r="AO460" s="20">
        <v>0</v>
      </c>
      <c r="AP460" s="20">
        <v>20</v>
      </c>
      <c r="AQ460" s="20">
        <v>0</v>
      </c>
      <c r="AR460" s="20">
        <v>0</v>
      </c>
      <c r="AS460" s="20">
        <v>7</v>
      </c>
      <c r="AT460" s="20">
        <v>10</v>
      </c>
      <c r="AU460" s="300">
        <f t="shared" si="78"/>
        <v>219</v>
      </c>
      <c r="AV460" s="20">
        <v>190</v>
      </c>
      <c r="AW460" s="20">
        <v>0</v>
      </c>
      <c r="AX460" s="20">
        <v>20</v>
      </c>
      <c r="AY460" s="20">
        <v>0</v>
      </c>
      <c r="AZ460" s="20">
        <v>0</v>
      </c>
      <c r="BA460" s="20">
        <v>7</v>
      </c>
      <c r="BB460" s="20">
        <v>10</v>
      </c>
      <c r="BC460" s="300">
        <f t="shared" si="79"/>
        <v>227</v>
      </c>
      <c r="BD460" s="42">
        <f t="shared" si="80"/>
        <v>8</v>
      </c>
      <c r="BE460" s="42">
        <f t="shared" si="81"/>
        <v>0</v>
      </c>
      <c r="BF460" s="42">
        <f t="shared" si="82"/>
        <v>0</v>
      </c>
      <c r="BG460" s="42">
        <f t="shared" si="83"/>
        <v>0</v>
      </c>
      <c r="BH460" s="42">
        <f t="shared" si="84"/>
        <v>0</v>
      </c>
      <c r="BI460" s="42">
        <f t="shared" si="85"/>
        <v>0</v>
      </c>
      <c r="BJ460" s="42">
        <f t="shared" si="86"/>
        <v>0</v>
      </c>
      <c r="BK460" s="42">
        <f t="shared" si="87"/>
        <v>8</v>
      </c>
    </row>
    <row r="461" spans="1:63" ht="27" customHeight="1">
      <c r="A461" s="11">
        <f t="shared" si="88"/>
        <v>459</v>
      </c>
      <c r="B461" s="12"/>
      <c r="C461" s="8">
        <v>3051</v>
      </c>
      <c r="D461" s="103">
        <v>0</v>
      </c>
      <c r="E461" s="201" t="s">
        <v>3065</v>
      </c>
      <c r="F461" s="218" t="s">
        <v>3066</v>
      </c>
      <c r="G461" s="219" t="s">
        <v>3067</v>
      </c>
      <c r="H461" s="24" t="s">
        <v>3068</v>
      </c>
      <c r="I461" s="25" t="s">
        <v>3069</v>
      </c>
      <c r="J461" s="82" t="s">
        <v>204</v>
      </c>
      <c r="K461" s="26">
        <v>33666</v>
      </c>
      <c r="L461" s="66" t="s">
        <v>174</v>
      </c>
      <c r="M461" s="23">
        <v>43679</v>
      </c>
      <c r="N461" s="23"/>
      <c r="O461" s="23" t="s">
        <v>3070</v>
      </c>
      <c r="P461" s="16" t="s">
        <v>194</v>
      </c>
      <c r="Q461" s="16" t="s">
        <v>176</v>
      </c>
      <c r="R461" s="11" t="s">
        <v>177</v>
      </c>
      <c r="S461" s="11" t="s">
        <v>2500</v>
      </c>
      <c r="T461" s="159"/>
      <c r="U461" s="159"/>
      <c r="V461" s="19" t="s">
        <v>179</v>
      </c>
      <c r="W461" s="19" t="s">
        <v>179</v>
      </c>
      <c r="X461" s="1">
        <v>6</v>
      </c>
      <c r="Y461" s="160" t="s">
        <v>3071</v>
      </c>
      <c r="Z461" s="70"/>
      <c r="AA461" s="70" t="s">
        <v>181</v>
      </c>
      <c r="AB461" s="1"/>
      <c r="AC461" s="107"/>
      <c r="AD461" s="202"/>
      <c r="AE461" s="202"/>
      <c r="AF461" s="203"/>
      <c r="AG461" s="204"/>
      <c r="AH461" s="205"/>
      <c r="AI461" s="205"/>
      <c r="AJ461" s="81" t="s">
        <v>198</v>
      </c>
      <c r="AK461" s="81" t="s">
        <v>185</v>
      </c>
      <c r="AL461" s="81" t="s">
        <v>185</v>
      </c>
      <c r="AM461" s="107" t="s">
        <v>2349</v>
      </c>
      <c r="AN461" s="20">
        <v>182</v>
      </c>
      <c r="AO461" s="20">
        <v>0</v>
      </c>
      <c r="AP461" s="20">
        <v>0</v>
      </c>
      <c r="AQ461" s="20">
        <v>0</v>
      </c>
      <c r="AR461" s="20">
        <v>0</v>
      </c>
      <c r="AS461" s="20">
        <v>7</v>
      </c>
      <c r="AT461" s="20">
        <v>10</v>
      </c>
      <c r="AU461" s="300">
        <f t="shared" si="78"/>
        <v>199</v>
      </c>
      <c r="AV461" s="20">
        <v>190</v>
      </c>
      <c r="AW461" s="20">
        <v>0</v>
      </c>
      <c r="AX461" s="20">
        <v>0</v>
      </c>
      <c r="AY461" s="20">
        <v>0</v>
      </c>
      <c r="AZ461" s="20">
        <v>0</v>
      </c>
      <c r="BA461" s="20">
        <v>7</v>
      </c>
      <c r="BB461" s="20">
        <v>10</v>
      </c>
      <c r="BC461" s="300">
        <f t="shared" si="79"/>
        <v>207</v>
      </c>
      <c r="BD461" s="42">
        <f t="shared" si="80"/>
        <v>8</v>
      </c>
      <c r="BE461" s="42">
        <f t="shared" si="81"/>
        <v>0</v>
      </c>
      <c r="BF461" s="42">
        <f t="shared" si="82"/>
        <v>0</v>
      </c>
      <c r="BG461" s="42">
        <f t="shared" si="83"/>
        <v>0</v>
      </c>
      <c r="BH461" s="42">
        <f t="shared" si="84"/>
        <v>0</v>
      </c>
      <c r="BI461" s="42">
        <f t="shared" si="85"/>
        <v>0</v>
      </c>
      <c r="BJ461" s="42">
        <f t="shared" si="86"/>
        <v>0</v>
      </c>
      <c r="BK461" s="42">
        <f t="shared" si="87"/>
        <v>8</v>
      </c>
    </row>
    <row r="462" spans="1:63" ht="27" customHeight="1">
      <c r="A462" s="11">
        <f t="shared" si="88"/>
        <v>460</v>
      </c>
      <c r="B462" s="12"/>
      <c r="C462" s="8">
        <v>3059</v>
      </c>
      <c r="D462" s="103" t="s">
        <v>3072</v>
      </c>
      <c r="E462" s="201" t="s">
        <v>3073</v>
      </c>
      <c r="F462" s="218" t="s">
        <v>727</v>
      </c>
      <c r="G462" s="219" t="s">
        <v>3074</v>
      </c>
      <c r="H462" s="24" t="s">
        <v>3075</v>
      </c>
      <c r="I462" s="25" t="s">
        <v>3076</v>
      </c>
      <c r="J462" s="82" t="s">
        <v>173</v>
      </c>
      <c r="K462" s="26">
        <v>32208</v>
      </c>
      <c r="L462" s="66" t="s">
        <v>174</v>
      </c>
      <c r="M462" s="23">
        <v>43690</v>
      </c>
      <c r="N462" s="23"/>
      <c r="O462" s="23" t="s">
        <v>32</v>
      </c>
      <c r="P462" s="16" t="s">
        <v>296</v>
      </c>
      <c r="Q462" s="16" t="s">
        <v>176</v>
      </c>
      <c r="R462" s="11" t="s">
        <v>177</v>
      </c>
      <c r="S462" s="11" t="s">
        <v>2864</v>
      </c>
      <c r="T462" s="159"/>
      <c r="U462" s="159"/>
      <c r="V462" s="19" t="s">
        <v>179</v>
      </c>
      <c r="W462" s="19" t="s">
        <v>179</v>
      </c>
      <c r="X462" s="1">
        <v>9</v>
      </c>
      <c r="Y462" s="160" t="s">
        <v>3077</v>
      </c>
      <c r="Z462" s="70"/>
      <c r="AA462" s="70" t="s">
        <v>181</v>
      </c>
      <c r="AB462" s="1"/>
      <c r="AC462" s="107"/>
      <c r="AD462" s="202" t="s">
        <v>183</v>
      </c>
      <c r="AE462" s="202" t="s">
        <v>184</v>
      </c>
      <c r="AF462" s="202" t="s">
        <v>184</v>
      </c>
      <c r="AG462" s="204"/>
      <c r="AH462" s="205"/>
      <c r="AI462" s="205"/>
      <c r="AJ462" s="81" t="s">
        <v>198</v>
      </c>
      <c r="AK462" s="81" t="s">
        <v>185</v>
      </c>
      <c r="AL462" s="81" t="s">
        <v>185</v>
      </c>
      <c r="AM462" s="107" t="s">
        <v>2349</v>
      </c>
      <c r="AN462" s="20">
        <v>182</v>
      </c>
      <c r="AO462" s="20">
        <v>0</v>
      </c>
      <c r="AP462" s="20">
        <v>0</v>
      </c>
      <c r="AQ462" s="20">
        <v>0</v>
      </c>
      <c r="AR462" s="20">
        <v>0</v>
      </c>
      <c r="AS462" s="20">
        <v>7</v>
      </c>
      <c r="AT462" s="20">
        <v>10</v>
      </c>
      <c r="AU462" s="300">
        <f t="shared" si="78"/>
        <v>199</v>
      </c>
      <c r="AV462" s="20">
        <v>190</v>
      </c>
      <c r="AW462" s="20">
        <v>0</v>
      </c>
      <c r="AX462" s="20">
        <v>0</v>
      </c>
      <c r="AY462" s="20">
        <v>0</v>
      </c>
      <c r="AZ462" s="20">
        <v>0</v>
      </c>
      <c r="BA462" s="20">
        <v>7</v>
      </c>
      <c r="BB462" s="20">
        <v>10</v>
      </c>
      <c r="BC462" s="300">
        <f t="shared" si="79"/>
        <v>207</v>
      </c>
      <c r="BD462" s="42">
        <f t="shared" si="80"/>
        <v>8</v>
      </c>
      <c r="BE462" s="42">
        <f t="shared" si="81"/>
        <v>0</v>
      </c>
      <c r="BF462" s="42">
        <f t="shared" si="82"/>
        <v>0</v>
      </c>
      <c r="BG462" s="42">
        <f t="shared" si="83"/>
        <v>0</v>
      </c>
      <c r="BH462" s="42">
        <f t="shared" si="84"/>
        <v>0</v>
      </c>
      <c r="BI462" s="42">
        <f t="shared" si="85"/>
        <v>0</v>
      </c>
      <c r="BJ462" s="42">
        <f t="shared" si="86"/>
        <v>0</v>
      </c>
      <c r="BK462" s="42">
        <f t="shared" si="87"/>
        <v>8</v>
      </c>
    </row>
    <row r="463" spans="1:63" ht="27" customHeight="1">
      <c r="A463" s="11">
        <f t="shared" si="88"/>
        <v>461</v>
      </c>
      <c r="B463" s="12"/>
      <c r="C463" s="8">
        <v>3063</v>
      </c>
      <c r="D463" s="103" t="s">
        <v>3078</v>
      </c>
      <c r="E463" s="201" t="s">
        <v>3079</v>
      </c>
      <c r="F463" s="218" t="s">
        <v>3080</v>
      </c>
      <c r="G463" s="219" t="s">
        <v>3081</v>
      </c>
      <c r="H463" s="24" t="s">
        <v>3082</v>
      </c>
      <c r="I463" s="25" t="s">
        <v>3083</v>
      </c>
      <c r="J463" s="82" t="s">
        <v>173</v>
      </c>
      <c r="K463" s="26">
        <v>32737</v>
      </c>
      <c r="L463" s="66" t="s">
        <v>174</v>
      </c>
      <c r="M463" s="23">
        <v>43694</v>
      </c>
      <c r="N463" s="23"/>
      <c r="O463" s="23" t="s">
        <v>32</v>
      </c>
      <c r="P463" s="16" t="s">
        <v>277</v>
      </c>
      <c r="Q463" s="16" t="s">
        <v>244</v>
      </c>
      <c r="R463" s="11" t="s">
        <v>177</v>
      </c>
      <c r="S463" s="11" t="s">
        <v>2479</v>
      </c>
      <c r="T463" s="159"/>
      <c r="U463" s="159"/>
      <c r="V463" s="19" t="s">
        <v>179</v>
      </c>
      <c r="W463" s="19" t="s">
        <v>179</v>
      </c>
      <c r="X463" s="1">
        <v>11</v>
      </c>
      <c r="Y463" s="160" t="s">
        <v>3084</v>
      </c>
      <c r="Z463" s="70"/>
      <c r="AA463" s="70" t="s">
        <v>181</v>
      </c>
      <c r="AB463" s="1"/>
      <c r="AC463" s="107"/>
      <c r="AD463" s="202"/>
      <c r="AE463" s="202"/>
      <c r="AF463" s="203"/>
      <c r="AG463" s="204"/>
      <c r="AH463" s="205"/>
      <c r="AI463" s="205"/>
      <c r="AJ463" s="81" t="s">
        <v>198</v>
      </c>
      <c r="AK463" s="81" t="s">
        <v>185</v>
      </c>
      <c r="AL463" s="81" t="s">
        <v>185</v>
      </c>
      <c r="AM463" s="107" t="s">
        <v>2349</v>
      </c>
      <c r="AN463" s="20">
        <v>182</v>
      </c>
      <c r="AO463" s="20">
        <v>0</v>
      </c>
      <c r="AP463" s="20">
        <v>20</v>
      </c>
      <c r="AQ463" s="20">
        <v>0</v>
      </c>
      <c r="AR463" s="20">
        <v>0</v>
      </c>
      <c r="AS463" s="20">
        <v>7</v>
      </c>
      <c r="AT463" s="20">
        <v>10</v>
      </c>
      <c r="AU463" s="300">
        <f t="shared" si="78"/>
        <v>219</v>
      </c>
      <c r="AV463" s="20">
        <v>190</v>
      </c>
      <c r="AW463" s="20">
        <v>0</v>
      </c>
      <c r="AX463" s="20">
        <v>20</v>
      </c>
      <c r="AY463" s="20">
        <v>0</v>
      </c>
      <c r="AZ463" s="20">
        <v>0</v>
      </c>
      <c r="BA463" s="20">
        <v>7</v>
      </c>
      <c r="BB463" s="20">
        <v>10</v>
      </c>
      <c r="BC463" s="300">
        <f t="shared" si="79"/>
        <v>227</v>
      </c>
      <c r="BD463" s="42">
        <f t="shared" si="80"/>
        <v>8</v>
      </c>
      <c r="BE463" s="42">
        <f t="shared" si="81"/>
        <v>0</v>
      </c>
      <c r="BF463" s="42">
        <f t="shared" si="82"/>
        <v>0</v>
      </c>
      <c r="BG463" s="42">
        <f t="shared" si="83"/>
        <v>0</v>
      </c>
      <c r="BH463" s="42">
        <f t="shared" si="84"/>
        <v>0</v>
      </c>
      <c r="BI463" s="42">
        <f t="shared" si="85"/>
        <v>0</v>
      </c>
      <c r="BJ463" s="42">
        <f t="shared" si="86"/>
        <v>0</v>
      </c>
      <c r="BK463" s="42">
        <f t="shared" si="87"/>
        <v>8</v>
      </c>
    </row>
    <row r="464" spans="1:63" ht="27" customHeight="1">
      <c r="A464" s="11">
        <f t="shared" si="88"/>
        <v>462</v>
      </c>
      <c r="B464" s="12"/>
      <c r="C464" s="8">
        <v>3070</v>
      </c>
      <c r="D464" s="103" t="s">
        <v>3085</v>
      </c>
      <c r="E464" s="201" t="s">
        <v>3086</v>
      </c>
      <c r="F464" s="218" t="s">
        <v>2305</v>
      </c>
      <c r="G464" s="219" t="s">
        <v>3087</v>
      </c>
      <c r="H464" s="24" t="s">
        <v>2307</v>
      </c>
      <c r="I464" s="25" t="s">
        <v>3088</v>
      </c>
      <c r="J464" s="82" t="s">
        <v>204</v>
      </c>
      <c r="K464" s="26">
        <v>34131</v>
      </c>
      <c r="L464" s="66" t="s">
        <v>174</v>
      </c>
      <c r="M464" s="23">
        <v>43694</v>
      </c>
      <c r="N464" s="23"/>
      <c r="O464" s="23" t="s">
        <v>3070</v>
      </c>
      <c r="P464" s="16" t="s">
        <v>527</v>
      </c>
      <c r="Q464" s="16" t="s">
        <v>244</v>
      </c>
      <c r="R464" s="11" t="s">
        <v>177</v>
      </c>
      <c r="S464" s="11" t="s">
        <v>1546</v>
      </c>
      <c r="T464" s="159"/>
      <c r="U464" s="159"/>
      <c r="V464" s="19" t="s">
        <v>179</v>
      </c>
      <c r="W464" s="19" t="s">
        <v>179</v>
      </c>
      <c r="X464" s="1">
        <v>8</v>
      </c>
      <c r="Y464" s="160" t="s">
        <v>3089</v>
      </c>
      <c r="Z464" s="70"/>
      <c r="AA464" s="70" t="s">
        <v>181</v>
      </c>
      <c r="AB464" s="1"/>
      <c r="AC464" s="107"/>
      <c r="AD464" s="202"/>
      <c r="AE464" s="202"/>
      <c r="AF464" s="203"/>
      <c r="AG464" s="204"/>
      <c r="AH464" s="205"/>
      <c r="AI464" s="205"/>
      <c r="AJ464" s="81" t="s">
        <v>198</v>
      </c>
      <c r="AK464" s="81" t="s">
        <v>185</v>
      </c>
      <c r="AL464" s="81" t="s">
        <v>185</v>
      </c>
      <c r="AM464" s="107" t="s">
        <v>2349</v>
      </c>
      <c r="AN464" s="20">
        <v>182</v>
      </c>
      <c r="AO464" s="20">
        <v>0</v>
      </c>
      <c r="AP464" s="20">
        <v>108</v>
      </c>
      <c r="AQ464" s="20">
        <v>0</v>
      </c>
      <c r="AR464" s="20">
        <v>10</v>
      </c>
      <c r="AS464" s="20">
        <v>7</v>
      </c>
      <c r="AT464" s="20">
        <v>10</v>
      </c>
      <c r="AU464" s="300">
        <f t="shared" si="78"/>
        <v>317</v>
      </c>
      <c r="AV464" s="20">
        <v>190</v>
      </c>
      <c r="AW464" s="20">
        <v>0</v>
      </c>
      <c r="AX464" s="20">
        <v>108</v>
      </c>
      <c r="AY464" s="20">
        <v>0</v>
      </c>
      <c r="AZ464" s="20">
        <v>10</v>
      </c>
      <c r="BA464" s="20">
        <v>7</v>
      </c>
      <c r="BB464" s="20">
        <v>10</v>
      </c>
      <c r="BC464" s="300">
        <f t="shared" si="79"/>
        <v>325</v>
      </c>
      <c r="BD464" s="42">
        <f t="shared" si="80"/>
        <v>8</v>
      </c>
      <c r="BE464" s="42">
        <f t="shared" si="81"/>
        <v>0</v>
      </c>
      <c r="BF464" s="42">
        <f t="shared" si="82"/>
        <v>0</v>
      </c>
      <c r="BG464" s="42">
        <f t="shared" si="83"/>
        <v>0</v>
      </c>
      <c r="BH464" s="42">
        <f t="shared" si="84"/>
        <v>0</v>
      </c>
      <c r="BI464" s="42">
        <f t="shared" si="85"/>
        <v>0</v>
      </c>
      <c r="BJ464" s="42">
        <f t="shared" si="86"/>
        <v>0</v>
      </c>
      <c r="BK464" s="42">
        <f t="shared" si="87"/>
        <v>8</v>
      </c>
    </row>
    <row r="465" spans="1:63" ht="27" customHeight="1">
      <c r="A465" s="11">
        <f t="shared" si="88"/>
        <v>463</v>
      </c>
      <c r="B465" s="12"/>
      <c r="C465" s="8">
        <v>3060</v>
      </c>
      <c r="D465" s="103" t="s">
        <v>3090</v>
      </c>
      <c r="E465" s="201" t="s">
        <v>3091</v>
      </c>
      <c r="F465" s="218" t="s">
        <v>3092</v>
      </c>
      <c r="G465" s="219" t="s">
        <v>685</v>
      </c>
      <c r="H465" s="24" t="s">
        <v>3093</v>
      </c>
      <c r="I465" s="25" t="s">
        <v>3094</v>
      </c>
      <c r="J465" s="82" t="s">
        <v>173</v>
      </c>
      <c r="K465" s="26">
        <v>36023</v>
      </c>
      <c r="L465" s="66" t="s">
        <v>174</v>
      </c>
      <c r="M465" s="23">
        <v>43694</v>
      </c>
      <c r="N465" s="23"/>
      <c r="O465" s="23" t="s">
        <v>32</v>
      </c>
      <c r="P465" s="16" t="s">
        <v>599</v>
      </c>
      <c r="Q465" s="16" t="s">
        <v>176</v>
      </c>
      <c r="R465" s="11" t="s">
        <v>177</v>
      </c>
      <c r="S465" s="11" t="s">
        <v>2379</v>
      </c>
      <c r="T465" s="159"/>
      <c r="U465" s="159"/>
      <c r="V465" s="19" t="s">
        <v>179</v>
      </c>
      <c r="W465" s="19" t="s">
        <v>179</v>
      </c>
      <c r="X465" s="1">
        <v>7</v>
      </c>
      <c r="Y465" s="160" t="s">
        <v>3091</v>
      </c>
      <c r="Z465" s="70"/>
      <c r="AA465" s="70" t="s">
        <v>181</v>
      </c>
      <c r="AB465" s="1"/>
      <c r="AC465" s="107"/>
      <c r="AD465" s="202" t="s">
        <v>184</v>
      </c>
      <c r="AE465" s="202"/>
      <c r="AF465" s="203"/>
      <c r="AG465" s="204"/>
      <c r="AH465" s="205"/>
      <c r="AI465" s="205"/>
      <c r="AJ465" s="81" t="s">
        <v>198</v>
      </c>
      <c r="AK465" s="81" t="s">
        <v>185</v>
      </c>
      <c r="AL465" s="81" t="s">
        <v>185</v>
      </c>
      <c r="AM465" s="107" t="s">
        <v>2349</v>
      </c>
      <c r="AN465" s="20">
        <v>182</v>
      </c>
      <c r="AO465" s="20">
        <v>0</v>
      </c>
      <c r="AP465" s="20">
        <v>0</v>
      </c>
      <c r="AQ465" s="20">
        <v>0</v>
      </c>
      <c r="AR465" s="20">
        <v>0</v>
      </c>
      <c r="AS465" s="20">
        <v>7</v>
      </c>
      <c r="AT465" s="20">
        <v>10</v>
      </c>
      <c r="AU465" s="300">
        <f t="shared" si="78"/>
        <v>199</v>
      </c>
      <c r="AV465" s="20">
        <v>190</v>
      </c>
      <c r="AW465" s="20">
        <v>0</v>
      </c>
      <c r="AX465" s="20">
        <v>0</v>
      </c>
      <c r="AY465" s="20">
        <v>0</v>
      </c>
      <c r="AZ465" s="20">
        <v>0</v>
      </c>
      <c r="BA465" s="20">
        <v>7</v>
      </c>
      <c r="BB465" s="20">
        <v>10</v>
      </c>
      <c r="BC465" s="300">
        <f t="shared" si="79"/>
        <v>207</v>
      </c>
      <c r="BD465" s="42">
        <f t="shared" si="80"/>
        <v>8</v>
      </c>
      <c r="BE465" s="42">
        <f t="shared" si="81"/>
        <v>0</v>
      </c>
      <c r="BF465" s="42">
        <f t="shared" si="82"/>
        <v>0</v>
      </c>
      <c r="BG465" s="42">
        <f t="shared" si="83"/>
        <v>0</v>
      </c>
      <c r="BH465" s="42">
        <f t="shared" si="84"/>
        <v>0</v>
      </c>
      <c r="BI465" s="42">
        <f t="shared" si="85"/>
        <v>0</v>
      </c>
      <c r="BJ465" s="42">
        <f t="shared" si="86"/>
        <v>0</v>
      </c>
      <c r="BK465" s="42">
        <f t="shared" si="87"/>
        <v>8</v>
      </c>
    </row>
    <row r="466" spans="1:63" ht="27" customHeight="1">
      <c r="A466" s="11">
        <f t="shared" si="88"/>
        <v>464</v>
      </c>
      <c r="B466" s="12"/>
      <c r="C466" s="8">
        <v>3065</v>
      </c>
      <c r="D466" s="103" t="s">
        <v>3095</v>
      </c>
      <c r="E466" s="201" t="s">
        <v>3096</v>
      </c>
      <c r="F466" s="218" t="s">
        <v>1446</v>
      </c>
      <c r="G466" s="219" t="s">
        <v>3097</v>
      </c>
      <c r="H466" s="24" t="s">
        <v>3098</v>
      </c>
      <c r="I466" s="25" t="s">
        <v>3099</v>
      </c>
      <c r="J466" s="82" t="s">
        <v>173</v>
      </c>
      <c r="K466" s="26">
        <v>33775</v>
      </c>
      <c r="L466" s="66" t="s">
        <v>174</v>
      </c>
      <c r="M466" s="23">
        <v>43695</v>
      </c>
      <c r="N466" s="23"/>
      <c r="O466" s="23" t="s">
        <v>32</v>
      </c>
      <c r="P466" s="16" t="s">
        <v>599</v>
      </c>
      <c r="Q466" s="16" t="s">
        <v>176</v>
      </c>
      <c r="R466" s="11" t="s">
        <v>177</v>
      </c>
      <c r="S466" s="11" t="s">
        <v>2392</v>
      </c>
      <c r="T466" s="159"/>
      <c r="U466" s="159"/>
      <c r="V466" s="19" t="s">
        <v>179</v>
      </c>
      <c r="W466" s="19" t="s">
        <v>179</v>
      </c>
      <c r="X466" s="1">
        <v>9</v>
      </c>
      <c r="Y466" s="160" t="s">
        <v>3100</v>
      </c>
      <c r="Z466" s="70"/>
      <c r="AA466" s="70" t="s">
        <v>181</v>
      </c>
      <c r="AB466" s="1"/>
      <c r="AC466" s="107"/>
      <c r="AD466" s="202"/>
      <c r="AE466" s="202"/>
      <c r="AF466" s="203"/>
      <c r="AG466" s="204"/>
      <c r="AH466" s="205"/>
      <c r="AI466" s="205"/>
      <c r="AJ466" s="81" t="s">
        <v>198</v>
      </c>
      <c r="AK466" s="81" t="s">
        <v>185</v>
      </c>
      <c r="AL466" s="81" t="s">
        <v>185</v>
      </c>
      <c r="AM466" s="107" t="s">
        <v>2349</v>
      </c>
      <c r="AN466" s="20">
        <v>182</v>
      </c>
      <c r="AO466" s="20">
        <v>0</v>
      </c>
      <c r="AP466" s="20">
        <v>0</v>
      </c>
      <c r="AQ466" s="20">
        <v>0</v>
      </c>
      <c r="AR466" s="20">
        <v>0</v>
      </c>
      <c r="AS466" s="20">
        <v>7</v>
      </c>
      <c r="AT466" s="20">
        <v>10</v>
      </c>
      <c r="AU466" s="300">
        <f t="shared" si="78"/>
        <v>199</v>
      </c>
      <c r="AV466" s="20">
        <v>190</v>
      </c>
      <c r="AW466" s="20">
        <v>0</v>
      </c>
      <c r="AX466" s="20">
        <v>0</v>
      </c>
      <c r="AY466" s="20">
        <v>0</v>
      </c>
      <c r="AZ466" s="20">
        <v>0</v>
      </c>
      <c r="BA466" s="20">
        <v>7</v>
      </c>
      <c r="BB466" s="20">
        <v>10</v>
      </c>
      <c r="BC466" s="300">
        <f t="shared" si="79"/>
        <v>207</v>
      </c>
      <c r="BD466" s="42">
        <f t="shared" si="80"/>
        <v>8</v>
      </c>
      <c r="BE466" s="42">
        <f t="shared" si="81"/>
        <v>0</v>
      </c>
      <c r="BF466" s="42">
        <f t="shared" si="82"/>
        <v>0</v>
      </c>
      <c r="BG466" s="42">
        <f t="shared" si="83"/>
        <v>0</v>
      </c>
      <c r="BH466" s="42">
        <f t="shared" si="84"/>
        <v>0</v>
      </c>
      <c r="BI466" s="42">
        <f t="shared" si="85"/>
        <v>0</v>
      </c>
      <c r="BJ466" s="42">
        <f t="shared" si="86"/>
        <v>0</v>
      </c>
      <c r="BK466" s="42">
        <f t="shared" si="87"/>
        <v>8</v>
      </c>
    </row>
    <row r="467" spans="1:63" ht="27" customHeight="1">
      <c r="A467" s="11">
        <f t="shared" si="88"/>
        <v>465</v>
      </c>
      <c r="B467" s="12"/>
      <c r="C467" s="8">
        <v>3061</v>
      </c>
      <c r="D467" s="103" t="s">
        <v>3101</v>
      </c>
      <c r="E467" s="201" t="s">
        <v>3102</v>
      </c>
      <c r="F467" s="218" t="s">
        <v>3103</v>
      </c>
      <c r="G467" s="219" t="s">
        <v>1384</v>
      </c>
      <c r="H467" s="24" t="s">
        <v>3104</v>
      </c>
      <c r="I467" s="25" t="s">
        <v>3105</v>
      </c>
      <c r="J467" s="82" t="s">
        <v>173</v>
      </c>
      <c r="K467" s="26">
        <v>32939</v>
      </c>
      <c r="L467" s="66" t="s">
        <v>174</v>
      </c>
      <c r="M467" s="23">
        <v>43696</v>
      </c>
      <c r="N467" s="23"/>
      <c r="O467" s="23" t="s">
        <v>32</v>
      </c>
      <c r="P467" s="16" t="s">
        <v>277</v>
      </c>
      <c r="Q467" s="16" t="s">
        <v>244</v>
      </c>
      <c r="R467" s="11" t="s">
        <v>177</v>
      </c>
      <c r="S467" s="11" t="s">
        <v>2425</v>
      </c>
      <c r="T467" s="159"/>
      <c r="U467" s="159"/>
      <c r="V467" s="19" t="s">
        <v>179</v>
      </c>
      <c r="W467" s="19" t="s">
        <v>179</v>
      </c>
      <c r="X467" s="1">
        <v>2</v>
      </c>
      <c r="Y467" s="160"/>
      <c r="Z467" s="70"/>
      <c r="AA467" s="70" t="s">
        <v>181</v>
      </c>
      <c r="AB467" s="1"/>
      <c r="AC467" s="107"/>
      <c r="AD467" s="202"/>
      <c r="AE467" s="202"/>
      <c r="AF467" s="203"/>
      <c r="AG467" s="204"/>
      <c r="AH467" s="205"/>
      <c r="AI467" s="205"/>
      <c r="AJ467" s="81" t="s">
        <v>198</v>
      </c>
      <c r="AK467" s="81" t="s">
        <v>185</v>
      </c>
      <c r="AL467" s="81" t="s">
        <v>185</v>
      </c>
      <c r="AM467" s="107" t="s">
        <v>2349</v>
      </c>
      <c r="AN467" s="20">
        <v>182</v>
      </c>
      <c r="AO467" s="20">
        <v>0</v>
      </c>
      <c r="AP467" s="20">
        <v>20</v>
      </c>
      <c r="AQ467" s="20">
        <v>0</v>
      </c>
      <c r="AR467" s="20">
        <v>0</v>
      </c>
      <c r="AS467" s="20">
        <v>7</v>
      </c>
      <c r="AT467" s="20">
        <v>10</v>
      </c>
      <c r="AU467" s="300">
        <f t="shared" si="78"/>
        <v>219</v>
      </c>
      <c r="AV467" s="20">
        <v>190</v>
      </c>
      <c r="AW467" s="20">
        <v>0</v>
      </c>
      <c r="AX467" s="20">
        <v>20</v>
      </c>
      <c r="AY467" s="20">
        <v>0</v>
      </c>
      <c r="AZ467" s="20">
        <v>0</v>
      </c>
      <c r="BA467" s="20">
        <v>7</v>
      </c>
      <c r="BB467" s="20">
        <v>10</v>
      </c>
      <c r="BC467" s="300">
        <f t="shared" si="79"/>
        <v>227</v>
      </c>
      <c r="BD467" s="42">
        <f t="shared" si="80"/>
        <v>8</v>
      </c>
      <c r="BE467" s="42">
        <f t="shared" si="81"/>
        <v>0</v>
      </c>
      <c r="BF467" s="42">
        <f t="shared" si="82"/>
        <v>0</v>
      </c>
      <c r="BG467" s="42">
        <f t="shared" si="83"/>
        <v>0</v>
      </c>
      <c r="BH467" s="42">
        <f t="shared" si="84"/>
        <v>0</v>
      </c>
      <c r="BI467" s="42">
        <f t="shared" si="85"/>
        <v>0</v>
      </c>
      <c r="BJ467" s="42">
        <f t="shared" si="86"/>
        <v>0</v>
      </c>
      <c r="BK467" s="42">
        <f t="shared" si="87"/>
        <v>8</v>
      </c>
    </row>
    <row r="468" spans="1:63" ht="27" customHeight="1">
      <c r="A468" s="11">
        <f t="shared" si="88"/>
        <v>466</v>
      </c>
      <c r="B468" s="12"/>
      <c r="C468" s="8">
        <v>3062</v>
      </c>
      <c r="D468" s="103" t="s">
        <v>3106</v>
      </c>
      <c r="E468" s="201" t="s">
        <v>3107</v>
      </c>
      <c r="F468" s="218" t="s">
        <v>2633</v>
      </c>
      <c r="G468" s="219" t="s">
        <v>3108</v>
      </c>
      <c r="H468" s="24" t="s">
        <v>52</v>
      </c>
      <c r="I468" s="25" t="s">
        <v>53</v>
      </c>
      <c r="J468" s="82" t="s">
        <v>204</v>
      </c>
      <c r="K468" s="26">
        <v>32569</v>
      </c>
      <c r="L468" s="66" t="s">
        <v>174</v>
      </c>
      <c r="M468" s="23">
        <v>43695</v>
      </c>
      <c r="N468" s="23"/>
      <c r="O468" s="23" t="s">
        <v>32</v>
      </c>
      <c r="P468" s="16" t="s">
        <v>13</v>
      </c>
      <c r="Q468" s="16" t="s">
        <v>176</v>
      </c>
      <c r="R468" s="11" t="s">
        <v>177</v>
      </c>
      <c r="S468" s="11" t="s">
        <v>2425</v>
      </c>
      <c r="T468" s="159"/>
      <c r="U468" s="159"/>
      <c r="V468" s="19" t="s">
        <v>179</v>
      </c>
      <c r="W468" s="19" t="s">
        <v>179</v>
      </c>
      <c r="X468" s="1"/>
      <c r="Y468" s="160" t="s">
        <v>3109</v>
      </c>
      <c r="Z468" s="70"/>
      <c r="AA468" s="70" t="s">
        <v>181</v>
      </c>
      <c r="AB468" s="1"/>
      <c r="AC468" s="107"/>
      <c r="AD468" s="202"/>
      <c r="AE468" s="202"/>
      <c r="AF468" s="203"/>
      <c r="AG468" s="204"/>
      <c r="AH468" s="205"/>
      <c r="AI468" s="205"/>
      <c r="AJ468" s="81" t="s">
        <v>198</v>
      </c>
      <c r="AK468" s="81" t="s">
        <v>185</v>
      </c>
      <c r="AL468" s="81" t="s">
        <v>185</v>
      </c>
      <c r="AM468" s="107" t="s">
        <v>2349</v>
      </c>
      <c r="AN468" s="20">
        <v>182</v>
      </c>
      <c r="AO468" s="20">
        <v>0</v>
      </c>
      <c r="AP468" s="20">
        <v>0</v>
      </c>
      <c r="AQ468" s="20">
        <v>0</v>
      </c>
      <c r="AR468" s="20">
        <v>0</v>
      </c>
      <c r="AS468" s="20">
        <v>7</v>
      </c>
      <c r="AT468" s="20">
        <v>10</v>
      </c>
      <c r="AU468" s="300">
        <f t="shared" si="78"/>
        <v>199</v>
      </c>
      <c r="AV468" s="20">
        <v>190</v>
      </c>
      <c r="AW468" s="20">
        <v>0</v>
      </c>
      <c r="AX468" s="20">
        <v>0</v>
      </c>
      <c r="AY468" s="20">
        <v>0</v>
      </c>
      <c r="AZ468" s="20">
        <v>0</v>
      </c>
      <c r="BA468" s="20">
        <v>7</v>
      </c>
      <c r="BB468" s="20">
        <v>10</v>
      </c>
      <c r="BC468" s="300">
        <f t="shared" si="79"/>
        <v>207</v>
      </c>
      <c r="BD468" s="42">
        <f t="shared" si="80"/>
        <v>8</v>
      </c>
      <c r="BE468" s="42">
        <f t="shared" si="81"/>
        <v>0</v>
      </c>
      <c r="BF468" s="42">
        <f t="shared" si="82"/>
        <v>0</v>
      </c>
      <c r="BG468" s="42">
        <f t="shared" si="83"/>
        <v>0</v>
      </c>
      <c r="BH468" s="42">
        <f t="shared" si="84"/>
        <v>0</v>
      </c>
      <c r="BI468" s="42">
        <f t="shared" si="85"/>
        <v>0</v>
      </c>
      <c r="BJ468" s="42">
        <f t="shared" si="86"/>
        <v>0</v>
      </c>
      <c r="BK468" s="42">
        <f t="shared" si="87"/>
        <v>8</v>
      </c>
    </row>
    <row r="469" spans="1:63" ht="27" customHeight="1">
      <c r="A469" s="11">
        <f t="shared" si="88"/>
        <v>467</v>
      </c>
      <c r="B469" s="12"/>
      <c r="C469" s="8">
        <v>3067</v>
      </c>
      <c r="D469" s="103" t="s">
        <v>3110</v>
      </c>
      <c r="E469" s="201" t="s">
        <v>3111</v>
      </c>
      <c r="F469" s="218" t="s">
        <v>1061</v>
      </c>
      <c r="G469" s="219" t="s">
        <v>3112</v>
      </c>
      <c r="H469" s="24" t="s">
        <v>3113</v>
      </c>
      <c r="I469" s="25" t="s">
        <v>3114</v>
      </c>
      <c r="J469" s="82" t="s">
        <v>173</v>
      </c>
      <c r="K469" s="26">
        <v>26436</v>
      </c>
      <c r="L469" s="66" t="s">
        <v>174</v>
      </c>
      <c r="M469" s="23">
        <v>43698</v>
      </c>
      <c r="N469" s="23"/>
      <c r="O469" s="23" t="s">
        <v>32</v>
      </c>
      <c r="P469" s="16" t="s">
        <v>2493</v>
      </c>
      <c r="Q469" s="16" t="s">
        <v>244</v>
      </c>
      <c r="R469" s="11" t="s">
        <v>177</v>
      </c>
      <c r="S469" s="11" t="s">
        <v>2593</v>
      </c>
      <c r="T469" s="159"/>
      <c r="U469" s="159"/>
      <c r="V469" s="19" t="s">
        <v>179</v>
      </c>
      <c r="W469" s="19" t="s">
        <v>179</v>
      </c>
      <c r="X469" s="1">
        <v>6</v>
      </c>
      <c r="Y469" s="160" t="s">
        <v>3111</v>
      </c>
      <c r="Z469" s="70"/>
      <c r="AA469" s="70" t="s">
        <v>181</v>
      </c>
      <c r="AB469" s="1"/>
      <c r="AC469" s="107"/>
      <c r="AD469" s="202"/>
      <c r="AE469" s="202"/>
      <c r="AF469" s="203"/>
      <c r="AG469" s="204"/>
      <c r="AH469" s="205"/>
      <c r="AI469" s="205"/>
      <c r="AJ469" s="81" t="s">
        <v>198</v>
      </c>
      <c r="AK469" s="81" t="s">
        <v>185</v>
      </c>
      <c r="AL469" s="81" t="s">
        <v>185</v>
      </c>
      <c r="AM469" s="107" t="s">
        <v>2349</v>
      </c>
      <c r="AN469" s="20">
        <v>182</v>
      </c>
      <c r="AO469" s="20">
        <v>0</v>
      </c>
      <c r="AP469" s="20">
        <v>20</v>
      </c>
      <c r="AQ469" s="20">
        <v>0</v>
      </c>
      <c r="AR469" s="20">
        <v>0</v>
      </c>
      <c r="AS469" s="20">
        <v>7</v>
      </c>
      <c r="AT469" s="20">
        <v>10</v>
      </c>
      <c r="AU469" s="300">
        <f t="shared" si="78"/>
        <v>219</v>
      </c>
      <c r="AV469" s="20">
        <v>190</v>
      </c>
      <c r="AW469" s="20">
        <v>0</v>
      </c>
      <c r="AX469" s="20">
        <v>20</v>
      </c>
      <c r="AY469" s="20">
        <v>0</v>
      </c>
      <c r="AZ469" s="20">
        <v>0</v>
      </c>
      <c r="BA469" s="20">
        <v>7</v>
      </c>
      <c r="BB469" s="20">
        <v>10</v>
      </c>
      <c r="BC469" s="300">
        <f t="shared" si="79"/>
        <v>227</v>
      </c>
      <c r="BD469" s="42">
        <f t="shared" si="80"/>
        <v>8</v>
      </c>
      <c r="BE469" s="42">
        <f t="shared" si="81"/>
        <v>0</v>
      </c>
      <c r="BF469" s="42">
        <f t="shared" si="82"/>
        <v>0</v>
      </c>
      <c r="BG469" s="42">
        <f t="shared" si="83"/>
        <v>0</v>
      </c>
      <c r="BH469" s="42">
        <f t="shared" si="84"/>
        <v>0</v>
      </c>
      <c r="BI469" s="42">
        <f t="shared" si="85"/>
        <v>0</v>
      </c>
      <c r="BJ469" s="42">
        <f t="shared" si="86"/>
        <v>0</v>
      </c>
      <c r="BK469" s="42">
        <f t="shared" si="87"/>
        <v>8</v>
      </c>
    </row>
    <row r="470" spans="1:63" ht="27" customHeight="1">
      <c r="A470" s="11">
        <f t="shared" si="88"/>
        <v>468</v>
      </c>
      <c r="B470" s="12"/>
      <c r="C470" s="8">
        <v>3045</v>
      </c>
      <c r="D470" s="103">
        <v>0</v>
      </c>
      <c r="E470" s="201" t="s">
        <v>3115</v>
      </c>
      <c r="F470" s="218" t="s">
        <v>402</v>
      </c>
      <c r="G470" s="219" t="s">
        <v>3116</v>
      </c>
      <c r="H470" s="24" t="s">
        <v>3117</v>
      </c>
      <c r="I470" s="25" t="s">
        <v>3118</v>
      </c>
      <c r="J470" s="82" t="s">
        <v>204</v>
      </c>
      <c r="K470" s="26">
        <v>36616</v>
      </c>
      <c r="L470" s="66" t="s">
        <v>174</v>
      </c>
      <c r="M470" s="23">
        <v>43678</v>
      </c>
      <c r="N470" s="23"/>
      <c r="O470" s="23" t="s">
        <v>79</v>
      </c>
      <c r="P470" s="16" t="s">
        <v>101</v>
      </c>
      <c r="Q470" s="16" t="s">
        <v>176</v>
      </c>
      <c r="R470" s="11" t="s">
        <v>177</v>
      </c>
      <c r="S470" s="11" t="s">
        <v>2379</v>
      </c>
      <c r="T470" s="159"/>
      <c r="U470" s="159"/>
      <c r="V470" s="19" t="s">
        <v>195</v>
      </c>
      <c r="W470" s="19" t="s">
        <v>195</v>
      </c>
      <c r="X470" s="1">
        <v>12</v>
      </c>
      <c r="Y470" s="160" t="s">
        <v>3119</v>
      </c>
      <c r="Z470" s="70" t="s">
        <v>181</v>
      </c>
      <c r="AA470" s="70"/>
      <c r="AB470" s="1"/>
      <c r="AC470" s="107"/>
      <c r="AD470" s="202"/>
      <c r="AE470" s="202"/>
      <c r="AF470" s="203"/>
      <c r="AG470" s="204"/>
      <c r="AH470" s="205"/>
      <c r="AI470" s="205"/>
      <c r="AJ470" s="81" t="s">
        <v>198</v>
      </c>
      <c r="AK470" s="81" t="s">
        <v>185</v>
      </c>
      <c r="AL470" s="81" t="s">
        <v>185</v>
      </c>
      <c r="AM470" s="107" t="s">
        <v>2344</v>
      </c>
      <c r="AN470" s="20">
        <v>182</v>
      </c>
      <c r="AO470" s="20">
        <v>0</v>
      </c>
      <c r="AP470" s="20">
        <v>0</v>
      </c>
      <c r="AQ470" s="20">
        <v>53</v>
      </c>
      <c r="AR470" s="20">
        <v>15</v>
      </c>
      <c r="AS470" s="20">
        <v>7</v>
      </c>
      <c r="AT470" s="20">
        <v>10</v>
      </c>
      <c r="AU470" s="300">
        <f t="shared" si="78"/>
        <v>267</v>
      </c>
      <c r="AV470" s="20">
        <v>190</v>
      </c>
      <c r="AW470" s="20">
        <v>0</v>
      </c>
      <c r="AX470" s="20">
        <v>0</v>
      </c>
      <c r="AY470" s="20">
        <v>53</v>
      </c>
      <c r="AZ470" s="20">
        <v>15</v>
      </c>
      <c r="BA470" s="20">
        <v>7</v>
      </c>
      <c r="BB470" s="20">
        <v>10</v>
      </c>
      <c r="BC470" s="300">
        <f t="shared" si="79"/>
        <v>275</v>
      </c>
      <c r="BD470" s="42">
        <f t="shared" si="80"/>
        <v>8</v>
      </c>
      <c r="BE470" s="42">
        <f t="shared" si="81"/>
        <v>0</v>
      </c>
      <c r="BF470" s="42">
        <f t="shared" si="82"/>
        <v>0</v>
      </c>
      <c r="BG470" s="42">
        <f t="shared" si="83"/>
        <v>0</v>
      </c>
      <c r="BH470" s="42">
        <f t="shared" si="84"/>
        <v>0</v>
      </c>
      <c r="BI470" s="42">
        <f t="shared" si="85"/>
        <v>0</v>
      </c>
      <c r="BJ470" s="42">
        <f t="shared" si="86"/>
        <v>0</v>
      </c>
      <c r="BK470" s="42">
        <f t="shared" si="87"/>
        <v>8</v>
      </c>
    </row>
    <row r="471" spans="1:63" ht="27" customHeight="1">
      <c r="A471" s="11">
        <f t="shared" si="88"/>
        <v>469</v>
      </c>
      <c r="B471" s="12"/>
      <c r="C471" s="221">
        <v>3048</v>
      </c>
      <c r="D471" s="103">
        <v>0</v>
      </c>
      <c r="E471" s="201" t="s">
        <v>291</v>
      </c>
      <c r="F471" s="218" t="s">
        <v>935</v>
      </c>
      <c r="G471" s="219" t="s">
        <v>2649</v>
      </c>
      <c r="H471" s="24" t="s">
        <v>3120</v>
      </c>
      <c r="I471" s="25" t="s">
        <v>2651</v>
      </c>
      <c r="J471" s="82" t="s">
        <v>173</v>
      </c>
      <c r="K471" s="26">
        <v>29877</v>
      </c>
      <c r="L471" s="66" t="s">
        <v>174</v>
      </c>
      <c r="M471" s="23">
        <v>43680</v>
      </c>
      <c r="N471" s="23"/>
      <c r="O471" s="23" t="s">
        <v>32</v>
      </c>
      <c r="P471" s="16" t="s">
        <v>2493</v>
      </c>
      <c r="Q471" s="16" t="s">
        <v>244</v>
      </c>
      <c r="R471" s="11" t="s">
        <v>177</v>
      </c>
      <c r="S471" s="11" t="s">
        <v>3121</v>
      </c>
      <c r="T471" s="159"/>
      <c r="U471" s="159"/>
      <c r="V471" s="19" t="s">
        <v>179</v>
      </c>
      <c r="W471" s="19" t="s">
        <v>179</v>
      </c>
      <c r="X471" s="1">
        <v>5</v>
      </c>
      <c r="Y471" s="160" t="s">
        <v>3122</v>
      </c>
      <c r="Z471" s="70" t="s">
        <v>181</v>
      </c>
      <c r="AA471" s="70"/>
      <c r="AB471" s="1"/>
      <c r="AC471" s="107"/>
      <c r="AD471" s="202"/>
      <c r="AE471" s="202"/>
      <c r="AF471" s="203"/>
      <c r="AG471" s="204"/>
      <c r="AH471" s="205"/>
      <c r="AI471" s="205"/>
      <c r="AJ471" s="81" t="s">
        <v>198</v>
      </c>
      <c r="AK471" s="81" t="s">
        <v>185</v>
      </c>
      <c r="AL471" s="81" t="s">
        <v>185</v>
      </c>
      <c r="AM471" s="107" t="s">
        <v>2344</v>
      </c>
      <c r="AN471" s="20">
        <v>182</v>
      </c>
      <c r="AO471" s="20">
        <v>0</v>
      </c>
      <c r="AP471" s="20">
        <v>20</v>
      </c>
      <c r="AQ471" s="20">
        <v>0</v>
      </c>
      <c r="AR471" s="20">
        <v>0</v>
      </c>
      <c r="AS471" s="20">
        <v>7</v>
      </c>
      <c r="AT471" s="20">
        <v>10</v>
      </c>
      <c r="AU471" s="300">
        <f t="shared" si="78"/>
        <v>219</v>
      </c>
      <c r="AV471" s="20">
        <v>190</v>
      </c>
      <c r="AW471" s="20">
        <v>0</v>
      </c>
      <c r="AX471" s="20">
        <v>20</v>
      </c>
      <c r="AY471" s="20">
        <v>0</v>
      </c>
      <c r="AZ471" s="20">
        <v>0</v>
      </c>
      <c r="BA471" s="20">
        <v>7</v>
      </c>
      <c r="BB471" s="20">
        <v>10</v>
      </c>
      <c r="BC471" s="300">
        <f t="shared" si="79"/>
        <v>227</v>
      </c>
      <c r="BD471" s="42">
        <f t="shared" si="80"/>
        <v>8</v>
      </c>
      <c r="BE471" s="42">
        <f t="shared" si="81"/>
        <v>0</v>
      </c>
      <c r="BF471" s="42">
        <f t="shared" si="82"/>
        <v>0</v>
      </c>
      <c r="BG471" s="42">
        <f t="shared" si="83"/>
        <v>0</v>
      </c>
      <c r="BH471" s="42">
        <f t="shared" si="84"/>
        <v>0</v>
      </c>
      <c r="BI471" s="42">
        <f t="shared" si="85"/>
        <v>0</v>
      </c>
      <c r="BJ471" s="42">
        <f t="shared" si="86"/>
        <v>0</v>
      </c>
      <c r="BK471" s="42">
        <f t="shared" si="87"/>
        <v>8</v>
      </c>
    </row>
    <row r="472" spans="1:63" ht="27" customHeight="1">
      <c r="A472" s="222">
        <f t="shared" si="88"/>
        <v>470</v>
      </c>
      <c r="B472" s="223"/>
      <c r="C472" s="224">
        <v>3076</v>
      </c>
      <c r="D472" s="225" t="s">
        <v>3123</v>
      </c>
      <c r="E472" s="226" t="s">
        <v>3124</v>
      </c>
      <c r="F472" s="227" t="s">
        <v>1809</v>
      </c>
      <c r="G472" s="228" t="s">
        <v>3125</v>
      </c>
      <c r="H472" s="229" t="s">
        <v>3126</v>
      </c>
      <c r="I472" s="230" t="s">
        <v>3127</v>
      </c>
      <c r="J472" s="231" t="s">
        <v>204</v>
      </c>
      <c r="K472" s="232">
        <v>31856</v>
      </c>
      <c r="L472" s="233" t="s">
        <v>174</v>
      </c>
      <c r="M472" s="234">
        <v>43711</v>
      </c>
      <c r="N472" s="234"/>
      <c r="O472" s="234" t="s">
        <v>32</v>
      </c>
      <c r="P472" s="222" t="s">
        <v>381</v>
      </c>
      <c r="Q472" s="222" t="s">
        <v>176</v>
      </c>
      <c r="R472" s="222" t="s">
        <v>177</v>
      </c>
      <c r="S472" s="222" t="s">
        <v>2354</v>
      </c>
      <c r="T472" s="235"/>
      <c r="U472" s="235"/>
      <c r="V472" s="236" t="s">
        <v>195</v>
      </c>
      <c r="W472" s="236" t="s">
        <v>195</v>
      </c>
      <c r="X472" s="236">
        <v>9</v>
      </c>
      <c r="Y472" s="237" t="s">
        <v>3128</v>
      </c>
      <c r="Z472" s="238"/>
      <c r="AA472" s="238" t="s">
        <v>181</v>
      </c>
      <c r="AB472" s="236"/>
      <c r="AC472" s="239"/>
      <c r="AD472" s="240"/>
      <c r="AE472" s="240"/>
      <c r="AF472" s="241"/>
      <c r="AG472" s="242"/>
      <c r="AH472" s="243"/>
      <c r="AI472" s="243"/>
      <c r="AJ472" s="244" t="s">
        <v>198</v>
      </c>
      <c r="AK472" s="244" t="s">
        <v>185</v>
      </c>
      <c r="AL472" s="244" t="s">
        <v>185</v>
      </c>
      <c r="AM472" s="239" t="s">
        <v>2344</v>
      </c>
      <c r="AN472" s="20">
        <v>182</v>
      </c>
      <c r="AO472" s="20">
        <v>0</v>
      </c>
      <c r="AP472" s="20">
        <v>0</v>
      </c>
      <c r="AQ472" s="20">
        <v>0</v>
      </c>
      <c r="AR472" s="20">
        <v>0</v>
      </c>
      <c r="AS472" s="20">
        <v>7</v>
      </c>
      <c r="AT472" s="20">
        <v>10</v>
      </c>
      <c r="AU472" s="300">
        <f t="shared" si="78"/>
        <v>199</v>
      </c>
      <c r="AV472" s="20">
        <v>190</v>
      </c>
      <c r="AW472" s="20">
        <v>0</v>
      </c>
      <c r="AX472" s="20">
        <v>0</v>
      </c>
      <c r="AY472" s="20">
        <v>0</v>
      </c>
      <c r="AZ472" s="20">
        <v>0</v>
      </c>
      <c r="BA472" s="20">
        <v>7</v>
      </c>
      <c r="BB472" s="20">
        <v>10</v>
      </c>
      <c r="BC472" s="300">
        <f t="shared" si="79"/>
        <v>207</v>
      </c>
      <c r="BD472" s="42">
        <f t="shared" si="80"/>
        <v>8</v>
      </c>
      <c r="BE472" s="42">
        <f t="shared" si="81"/>
        <v>0</v>
      </c>
      <c r="BF472" s="42">
        <f t="shared" si="82"/>
        <v>0</v>
      </c>
      <c r="BG472" s="42">
        <f t="shared" si="83"/>
        <v>0</v>
      </c>
      <c r="BH472" s="42">
        <f t="shared" si="84"/>
        <v>0</v>
      </c>
      <c r="BI472" s="42">
        <f t="shared" si="85"/>
        <v>0</v>
      </c>
      <c r="BJ472" s="42">
        <f t="shared" si="86"/>
        <v>0</v>
      </c>
      <c r="BK472" s="42">
        <f t="shared" si="87"/>
        <v>8</v>
      </c>
    </row>
    <row r="473" spans="1:63" ht="27" customHeight="1">
      <c r="A473" s="222">
        <f t="shared" si="88"/>
        <v>471</v>
      </c>
      <c r="B473" s="223"/>
      <c r="C473" s="223">
        <v>3083</v>
      </c>
      <c r="D473" s="225" t="s">
        <v>3129</v>
      </c>
      <c r="E473" s="226" t="s">
        <v>3130</v>
      </c>
      <c r="F473" s="227" t="s">
        <v>3033</v>
      </c>
      <c r="G473" s="228" t="s">
        <v>3131</v>
      </c>
      <c r="H473" s="229" t="s">
        <v>3132</v>
      </c>
      <c r="I473" s="230" t="s">
        <v>3133</v>
      </c>
      <c r="J473" s="231" t="s">
        <v>204</v>
      </c>
      <c r="K473" s="232">
        <v>34992</v>
      </c>
      <c r="L473" s="233" t="s">
        <v>174</v>
      </c>
      <c r="M473" s="234">
        <v>43712</v>
      </c>
      <c r="N473" s="234"/>
      <c r="O473" s="234" t="s">
        <v>32</v>
      </c>
      <c r="P473" s="222" t="s">
        <v>101</v>
      </c>
      <c r="Q473" s="222" t="s">
        <v>176</v>
      </c>
      <c r="R473" s="222" t="s">
        <v>177</v>
      </c>
      <c r="S473" s="222" t="s">
        <v>2354</v>
      </c>
      <c r="T473" s="235"/>
      <c r="U473" s="235"/>
      <c r="V473" s="236" t="s">
        <v>195</v>
      </c>
      <c r="W473" s="236" t="s">
        <v>195</v>
      </c>
      <c r="X473" s="236">
        <v>9</v>
      </c>
      <c r="Y473" s="237" t="s">
        <v>3134</v>
      </c>
      <c r="Z473" s="238" t="s">
        <v>181</v>
      </c>
      <c r="AA473" s="238"/>
      <c r="AB473" s="236"/>
      <c r="AC473" s="239"/>
      <c r="AD473" s="240"/>
      <c r="AE473" s="240"/>
      <c r="AF473" s="241"/>
      <c r="AG473" s="242"/>
      <c r="AH473" s="243"/>
      <c r="AI473" s="243"/>
      <c r="AJ473" s="244" t="s">
        <v>198</v>
      </c>
      <c r="AK473" s="244" t="s">
        <v>185</v>
      </c>
      <c r="AL473" s="244" t="s">
        <v>185</v>
      </c>
      <c r="AM473" s="239" t="s">
        <v>2344</v>
      </c>
      <c r="AN473" s="20">
        <v>182</v>
      </c>
      <c r="AO473" s="20">
        <v>0</v>
      </c>
      <c r="AP473" s="20">
        <v>143</v>
      </c>
      <c r="AQ473" s="20">
        <v>208</v>
      </c>
      <c r="AR473" s="20">
        <v>10</v>
      </c>
      <c r="AS473" s="20">
        <v>7</v>
      </c>
      <c r="AT473" s="20">
        <v>10</v>
      </c>
      <c r="AU473" s="300">
        <f t="shared" si="78"/>
        <v>560</v>
      </c>
      <c r="AV473" s="20">
        <v>190</v>
      </c>
      <c r="AW473" s="20">
        <v>0</v>
      </c>
      <c r="AX473" s="20">
        <v>143</v>
      </c>
      <c r="AY473" s="20">
        <v>208</v>
      </c>
      <c r="AZ473" s="20">
        <v>10</v>
      </c>
      <c r="BA473" s="20">
        <v>7</v>
      </c>
      <c r="BB473" s="20">
        <v>10</v>
      </c>
      <c r="BC473" s="300">
        <f t="shared" si="79"/>
        <v>568</v>
      </c>
      <c r="BD473" s="42">
        <f t="shared" si="80"/>
        <v>8</v>
      </c>
      <c r="BE473" s="42">
        <f t="shared" si="81"/>
        <v>0</v>
      </c>
      <c r="BF473" s="42">
        <f t="shared" si="82"/>
        <v>0</v>
      </c>
      <c r="BG473" s="42">
        <f t="shared" si="83"/>
        <v>0</v>
      </c>
      <c r="BH473" s="42">
        <f t="shared" si="84"/>
        <v>0</v>
      </c>
      <c r="BI473" s="42">
        <f t="shared" si="85"/>
        <v>0</v>
      </c>
      <c r="BJ473" s="42">
        <f t="shared" si="86"/>
        <v>0</v>
      </c>
      <c r="BK473" s="42">
        <f t="shared" si="87"/>
        <v>8</v>
      </c>
    </row>
    <row r="474" spans="1:63" ht="27" customHeight="1">
      <c r="A474" s="222">
        <f t="shared" si="88"/>
        <v>472</v>
      </c>
      <c r="B474" s="223"/>
      <c r="C474" s="223">
        <v>3081</v>
      </c>
      <c r="D474" s="225" t="s">
        <v>3135</v>
      </c>
      <c r="E474" s="226" t="s">
        <v>3136</v>
      </c>
      <c r="F474" s="227" t="s">
        <v>1173</v>
      </c>
      <c r="G474" s="228" t="s">
        <v>3137</v>
      </c>
      <c r="H474" s="229" t="s">
        <v>99</v>
      </c>
      <c r="I474" s="230" t="s">
        <v>3138</v>
      </c>
      <c r="J474" s="231" t="s">
        <v>173</v>
      </c>
      <c r="K474" s="232">
        <v>36809</v>
      </c>
      <c r="L474" s="233" t="s">
        <v>174</v>
      </c>
      <c r="M474" s="234">
        <v>43711</v>
      </c>
      <c r="N474" s="234"/>
      <c r="O474" s="234" t="s">
        <v>32</v>
      </c>
      <c r="P474" s="222" t="s">
        <v>101</v>
      </c>
      <c r="Q474" s="222" t="s">
        <v>176</v>
      </c>
      <c r="R474" s="222" t="s">
        <v>177</v>
      </c>
      <c r="S474" s="222" t="s">
        <v>2425</v>
      </c>
      <c r="T474" s="235"/>
      <c r="U474" s="235"/>
      <c r="V474" s="236" t="s">
        <v>195</v>
      </c>
      <c r="W474" s="236" t="s">
        <v>195</v>
      </c>
      <c r="X474" s="236">
        <v>12</v>
      </c>
      <c r="Y474" s="237" t="s">
        <v>3139</v>
      </c>
      <c r="Z474" s="238" t="s">
        <v>181</v>
      </c>
      <c r="AA474" s="238"/>
      <c r="AB474" s="236"/>
      <c r="AC474" s="239"/>
      <c r="AD474" s="240"/>
      <c r="AE474" s="240"/>
      <c r="AF474" s="241"/>
      <c r="AG474" s="242"/>
      <c r="AH474" s="243"/>
      <c r="AI474" s="243"/>
      <c r="AJ474" s="244" t="s">
        <v>198</v>
      </c>
      <c r="AK474" s="244" t="s">
        <v>185</v>
      </c>
      <c r="AL474" s="244" t="s">
        <v>185</v>
      </c>
      <c r="AM474" s="239" t="s">
        <v>2344</v>
      </c>
      <c r="AN474" s="20">
        <v>182</v>
      </c>
      <c r="AO474" s="20">
        <v>0</v>
      </c>
      <c r="AP474" s="20">
        <v>0</v>
      </c>
      <c r="AQ474" s="20">
        <v>20</v>
      </c>
      <c r="AR474" s="20">
        <v>0</v>
      </c>
      <c r="AS474" s="20">
        <v>7</v>
      </c>
      <c r="AT474" s="20">
        <v>10</v>
      </c>
      <c r="AU474" s="300">
        <f t="shared" si="78"/>
        <v>219</v>
      </c>
      <c r="AV474" s="20">
        <v>190</v>
      </c>
      <c r="AW474" s="20">
        <v>0</v>
      </c>
      <c r="AX474" s="20">
        <v>0</v>
      </c>
      <c r="AY474" s="20">
        <v>20</v>
      </c>
      <c r="AZ474" s="20">
        <v>0</v>
      </c>
      <c r="BA474" s="20">
        <v>7</v>
      </c>
      <c r="BB474" s="20">
        <v>10</v>
      </c>
      <c r="BC474" s="300">
        <f t="shared" si="79"/>
        <v>227</v>
      </c>
      <c r="BD474" s="42">
        <f t="shared" si="80"/>
        <v>8</v>
      </c>
      <c r="BE474" s="42">
        <f t="shared" si="81"/>
        <v>0</v>
      </c>
      <c r="BF474" s="42">
        <f t="shared" si="82"/>
        <v>0</v>
      </c>
      <c r="BG474" s="42">
        <f t="shared" si="83"/>
        <v>0</v>
      </c>
      <c r="BH474" s="42">
        <f t="shared" si="84"/>
        <v>0</v>
      </c>
      <c r="BI474" s="42">
        <f t="shared" si="85"/>
        <v>0</v>
      </c>
      <c r="BJ474" s="42">
        <f t="shared" si="86"/>
        <v>0</v>
      </c>
      <c r="BK474" s="42">
        <f t="shared" si="87"/>
        <v>8</v>
      </c>
    </row>
    <row r="475" spans="1:63" ht="27" customHeight="1">
      <c r="A475" s="222">
        <f t="shared" si="88"/>
        <v>473</v>
      </c>
      <c r="B475" s="223"/>
      <c r="C475" s="223">
        <v>3090</v>
      </c>
      <c r="D475" s="225" t="s">
        <v>3140</v>
      </c>
      <c r="E475" s="226" t="s">
        <v>3141</v>
      </c>
      <c r="F475" s="227" t="s">
        <v>3142</v>
      </c>
      <c r="G475" s="228" t="s">
        <v>3143</v>
      </c>
      <c r="H475" s="229" t="s">
        <v>3144</v>
      </c>
      <c r="I475" s="230" t="s">
        <v>3145</v>
      </c>
      <c r="J475" s="231" t="s">
        <v>173</v>
      </c>
      <c r="K475" s="232">
        <v>34375</v>
      </c>
      <c r="L475" s="233" t="s">
        <v>174</v>
      </c>
      <c r="M475" s="234">
        <v>43718</v>
      </c>
      <c r="N475" s="234"/>
      <c r="O475" s="234" t="s">
        <v>32</v>
      </c>
      <c r="P475" s="222" t="s">
        <v>334</v>
      </c>
      <c r="Q475" s="222" t="s">
        <v>176</v>
      </c>
      <c r="R475" s="222" t="s">
        <v>177</v>
      </c>
      <c r="S475" s="222" t="s">
        <v>2354</v>
      </c>
      <c r="T475" s="235"/>
      <c r="U475" s="235"/>
      <c r="V475" s="236" t="s">
        <v>179</v>
      </c>
      <c r="W475" s="236" t="s">
        <v>179</v>
      </c>
      <c r="X475" s="236">
        <v>5</v>
      </c>
      <c r="Y475" s="237" t="s">
        <v>3146</v>
      </c>
      <c r="Z475" s="238"/>
      <c r="AA475" s="238" t="s">
        <v>181</v>
      </c>
      <c r="AB475" s="236"/>
      <c r="AC475" s="239"/>
      <c r="AD475" s="240"/>
      <c r="AE475" s="240"/>
      <c r="AF475" s="241"/>
      <c r="AG475" s="242"/>
      <c r="AH475" s="243"/>
      <c r="AI475" s="243"/>
      <c r="AJ475" s="244" t="s">
        <v>198</v>
      </c>
      <c r="AK475" s="244" t="s">
        <v>185</v>
      </c>
      <c r="AL475" s="244" t="s">
        <v>185</v>
      </c>
      <c r="AM475" s="239" t="s">
        <v>2344</v>
      </c>
      <c r="AN475" s="20">
        <v>182</v>
      </c>
      <c r="AO475" s="20">
        <v>0</v>
      </c>
      <c r="AP475" s="20">
        <v>0</v>
      </c>
      <c r="AQ475" s="20">
        <v>0</v>
      </c>
      <c r="AR475" s="20">
        <v>0</v>
      </c>
      <c r="AS475" s="20">
        <v>7</v>
      </c>
      <c r="AT475" s="20">
        <v>10</v>
      </c>
      <c r="AU475" s="300">
        <f t="shared" si="78"/>
        <v>199</v>
      </c>
      <c r="AV475" s="20">
        <v>190</v>
      </c>
      <c r="AW475" s="20">
        <v>0</v>
      </c>
      <c r="AX475" s="20">
        <v>0</v>
      </c>
      <c r="AY475" s="20">
        <v>0</v>
      </c>
      <c r="AZ475" s="20">
        <v>0</v>
      </c>
      <c r="BA475" s="20">
        <v>7</v>
      </c>
      <c r="BB475" s="20">
        <v>10</v>
      </c>
      <c r="BC475" s="300">
        <f t="shared" si="79"/>
        <v>207</v>
      </c>
      <c r="BD475" s="42">
        <f t="shared" si="80"/>
        <v>8</v>
      </c>
      <c r="BE475" s="42">
        <f t="shared" si="81"/>
        <v>0</v>
      </c>
      <c r="BF475" s="42">
        <f t="shared" si="82"/>
        <v>0</v>
      </c>
      <c r="BG475" s="42">
        <f t="shared" si="83"/>
        <v>0</v>
      </c>
      <c r="BH475" s="42">
        <f t="shared" si="84"/>
        <v>0</v>
      </c>
      <c r="BI475" s="42">
        <f t="shared" si="85"/>
        <v>0</v>
      </c>
      <c r="BJ475" s="42">
        <f t="shared" si="86"/>
        <v>0</v>
      </c>
      <c r="BK475" s="42">
        <f t="shared" si="87"/>
        <v>8</v>
      </c>
    </row>
    <row r="476" spans="1:63" ht="27" customHeight="1">
      <c r="A476" s="222">
        <f t="shared" si="88"/>
        <v>474</v>
      </c>
      <c r="B476" s="223"/>
      <c r="C476" s="223">
        <v>3085</v>
      </c>
      <c r="D476" s="225" t="s">
        <v>3147</v>
      </c>
      <c r="E476" s="226" t="s">
        <v>3148</v>
      </c>
      <c r="F476" s="227" t="s">
        <v>2633</v>
      </c>
      <c r="G476" s="228" t="s">
        <v>2305</v>
      </c>
      <c r="H476" s="229" t="s">
        <v>41</v>
      </c>
      <c r="I476" s="230" t="s">
        <v>2836</v>
      </c>
      <c r="J476" s="231" t="s">
        <v>204</v>
      </c>
      <c r="K476" s="232">
        <v>31474</v>
      </c>
      <c r="L476" s="233" t="s">
        <v>174</v>
      </c>
      <c r="M476" s="234">
        <v>43718</v>
      </c>
      <c r="N476" s="234"/>
      <c r="O476" s="234" t="s">
        <v>32</v>
      </c>
      <c r="P476" s="222" t="s">
        <v>547</v>
      </c>
      <c r="Q476" s="222" t="s">
        <v>176</v>
      </c>
      <c r="R476" s="222" t="s">
        <v>177</v>
      </c>
      <c r="S476" s="222" t="s">
        <v>2425</v>
      </c>
      <c r="T476" s="235"/>
      <c r="U476" s="235"/>
      <c r="V476" s="236" t="s">
        <v>179</v>
      </c>
      <c r="W476" s="236" t="s">
        <v>179</v>
      </c>
      <c r="X476" s="236">
        <v>7</v>
      </c>
      <c r="Y476" s="237" t="s">
        <v>3149</v>
      </c>
      <c r="Z476" s="238" t="s">
        <v>181</v>
      </c>
      <c r="AA476" s="238"/>
      <c r="AB476" s="236"/>
      <c r="AC476" s="239"/>
      <c r="AD476" s="240"/>
      <c r="AE476" s="240"/>
      <c r="AF476" s="241"/>
      <c r="AG476" s="242"/>
      <c r="AH476" s="243"/>
      <c r="AI476" s="243"/>
      <c r="AJ476" s="244" t="s">
        <v>198</v>
      </c>
      <c r="AK476" s="244" t="s">
        <v>185</v>
      </c>
      <c r="AL476" s="244" t="s">
        <v>185</v>
      </c>
      <c r="AM476" s="239" t="s">
        <v>2344</v>
      </c>
      <c r="AN476" s="20">
        <v>182</v>
      </c>
      <c r="AO476" s="20">
        <v>0</v>
      </c>
      <c r="AP476" s="20">
        <v>20</v>
      </c>
      <c r="AQ476" s="20">
        <v>0</v>
      </c>
      <c r="AR476" s="20">
        <v>0</v>
      </c>
      <c r="AS476" s="20">
        <v>7</v>
      </c>
      <c r="AT476" s="20">
        <v>10</v>
      </c>
      <c r="AU476" s="300">
        <f t="shared" si="78"/>
        <v>219</v>
      </c>
      <c r="AV476" s="20">
        <v>190</v>
      </c>
      <c r="AW476" s="20">
        <v>0</v>
      </c>
      <c r="AX476" s="20">
        <v>20</v>
      </c>
      <c r="AY476" s="20">
        <v>0</v>
      </c>
      <c r="AZ476" s="20">
        <v>0</v>
      </c>
      <c r="BA476" s="20">
        <v>7</v>
      </c>
      <c r="BB476" s="20">
        <v>10</v>
      </c>
      <c r="BC476" s="300">
        <f t="shared" si="79"/>
        <v>227</v>
      </c>
      <c r="BD476" s="42">
        <f t="shared" si="80"/>
        <v>8</v>
      </c>
      <c r="BE476" s="42">
        <f t="shared" si="81"/>
        <v>0</v>
      </c>
      <c r="BF476" s="42">
        <f t="shared" si="82"/>
        <v>0</v>
      </c>
      <c r="BG476" s="42">
        <f t="shared" si="83"/>
        <v>0</v>
      </c>
      <c r="BH476" s="42">
        <f t="shared" si="84"/>
        <v>0</v>
      </c>
      <c r="BI476" s="42">
        <f t="shared" si="85"/>
        <v>0</v>
      </c>
      <c r="BJ476" s="42">
        <f t="shared" si="86"/>
        <v>0</v>
      </c>
      <c r="BK476" s="42">
        <f t="shared" si="87"/>
        <v>8</v>
      </c>
    </row>
    <row r="477" spans="1:63" ht="27" customHeight="1">
      <c r="A477" s="222">
        <f t="shared" si="88"/>
        <v>475</v>
      </c>
      <c r="B477" s="223"/>
      <c r="C477" s="223">
        <v>3084</v>
      </c>
      <c r="D477" s="225">
        <v>0</v>
      </c>
      <c r="E477" s="226" t="s">
        <v>3150</v>
      </c>
      <c r="F477" s="227" t="s">
        <v>3151</v>
      </c>
      <c r="G477" s="228" t="s">
        <v>3152</v>
      </c>
      <c r="H477" s="229" t="s">
        <v>54</v>
      </c>
      <c r="I477" s="230" t="s">
        <v>55</v>
      </c>
      <c r="J477" s="231" t="s">
        <v>173</v>
      </c>
      <c r="K477" s="232">
        <v>33999</v>
      </c>
      <c r="L477" s="233" t="s">
        <v>174</v>
      </c>
      <c r="M477" s="234">
        <v>43715</v>
      </c>
      <c r="N477" s="234"/>
      <c r="O477" s="234" t="s">
        <v>32</v>
      </c>
      <c r="P477" s="222" t="s">
        <v>13</v>
      </c>
      <c r="Q477" s="222" t="s">
        <v>176</v>
      </c>
      <c r="R477" s="222" t="s">
        <v>177</v>
      </c>
      <c r="S477" s="222" t="s">
        <v>2479</v>
      </c>
      <c r="T477" s="235"/>
      <c r="U477" s="235"/>
      <c r="V477" s="236" t="s">
        <v>179</v>
      </c>
      <c r="W477" s="236" t="s">
        <v>179</v>
      </c>
      <c r="X477" s="236">
        <v>5</v>
      </c>
      <c r="Y477" s="237" t="s">
        <v>3153</v>
      </c>
      <c r="Z477" s="238"/>
      <c r="AA477" s="238" t="s">
        <v>181</v>
      </c>
      <c r="AB477" s="236"/>
      <c r="AC477" s="239"/>
      <c r="AD477" s="240" t="s">
        <v>183</v>
      </c>
      <c r="AE477" s="240" t="s">
        <v>184</v>
      </c>
      <c r="AF477" s="241"/>
      <c r="AG477" s="242"/>
      <c r="AH477" s="243"/>
      <c r="AI477" s="243"/>
      <c r="AJ477" s="244" t="s">
        <v>198</v>
      </c>
      <c r="AK477" s="244" t="s">
        <v>185</v>
      </c>
      <c r="AL477" s="244" t="s">
        <v>185</v>
      </c>
      <c r="AM477" s="239" t="s">
        <v>2344</v>
      </c>
      <c r="AN477" s="20">
        <v>182</v>
      </c>
      <c r="AO477" s="20">
        <v>0</v>
      </c>
      <c r="AP477" s="20">
        <v>0</v>
      </c>
      <c r="AQ477" s="20">
        <v>0</v>
      </c>
      <c r="AR477" s="20">
        <v>0</v>
      </c>
      <c r="AS477" s="20">
        <v>7</v>
      </c>
      <c r="AT477" s="20">
        <v>10</v>
      </c>
      <c r="AU477" s="300">
        <f t="shared" si="78"/>
        <v>199</v>
      </c>
      <c r="AV477" s="20">
        <v>190</v>
      </c>
      <c r="AW477" s="20">
        <v>0</v>
      </c>
      <c r="AX477" s="20">
        <v>0</v>
      </c>
      <c r="AY477" s="20">
        <v>0</v>
      </c>
      <c r="AZ477" s="20">
        <v>0</v>
      </c>
      <c r="BA477" s="20">
        <v>7</v>
      </c>
      <c r="BB477" s="20">
        <v>10</v>
      </c>
      <c r="BC477" s="300">
        <f t="shared" si="79"/>
        <v>207</v>
      </c>
      <c r="BD477" s="42">
        <f t="shared" si="80"/>
        <v>8</v>
      </c>
      <c r="BE477" s="42">
        <f t="shared" si="81"/>
        <v>0</v>
      </c>
      <c r="BF477" s="42">
        <f t="shared" si="82"/>
        <v>0</v>
      </c>
      <c r="BG477" s="42">
        <f t="shared" si="83"/>
        <v>0</v>
      </c>
      <c r="BH477" s="42">
        <f t="shared" si="84"/>
        <v>0</v>
      </c>
      <c r="BI477" s="42">
        <f t="shared" si="85"/>
        <v>0</v>
      </c>
      <c r="BJ477" s="42">
        <f t="shared" si="86"/>
        <v>0</v>
      </c>
      <c r="BK477" s="42">
        <f t="shared" si="87"/>
        <v>8</v>
      </c>
    </row>
    <row r="478" spans="1:63" ht="27" customHeight="1">
      <c r="A478" s="222">
        <f t="shared" si="88"/>
        <v>476</v>
      </c>
      <c r="B478" s="223"/>
      <c r="C478" s="223">
        <v>3075</v>
      </c>
      <c r="D478" s="225" t="s">
        <v>3154</v>
      </c>
      <c r="E478" s="226" t="s">
        <v>3155</v>
      </c>
      <c r="F478" s="227" t="s">
        <v>3156</v>
      </c>
      <c r="G478" s="228" t="s">
        <v>3157</v>
      </c>
      <c r="H478" s="229" t="s">
        <v>3158</v>
      </c>
      <c r="I478" s="230" t="s">
        <v>3159</v>
      </c>
      <c r="J478" s="231" t="s">
        <v>173</v>
      </c>
      <c r="K478" s="232">
        <v>31202</v>
      </c>
      <c r="L478" s="233" t="s">
        <v>174</v>
      </c>
      <c r="M478" s="234">
        <v>43710</v>
      </c>
      <c r="N478" s="234"/>
      <c r="O478" s="234" t="s">
        <v>32</v>
      </c>
      <c r="P478" s="222" t="s">
        <v>260</v>
      </c>
      <c r="Q478" s="222" t="s">
        <v>176</v>
      </c>
      <c r="R478" s="222" t="s">
        <v>177</v>
      </c>
      <c r="S478" s="222" t="s">
        <v>2379</v>
      </c>
      <c r="T478" s="235"/>
      <c r="U478" s="235"/>
      <c r="V478" s="236" t="s">
        <v>179</v>
      </c>
      <c r="W478" s="236" t="s">
        <v>179</v>
      </c>
      <c r="X478" s="236">
        <v>7</v>
      </c>
      <c r="Y478" s="237" t="s">
        <v>3160</v>
      </c>
      <c r="Z478" s="238"/>
      <c r="AA478" s="238" t="s">
        <v>181</v>
      </c>
      <c r="AB478" s="236"/>
      <c r="AC478" s="239"/>
      <c r="AD478" s="240" t="s">
        <v>183</v>
      </c>
      <c r="AE478" s="240" t="s">
        <v>184</v>
      </c>
      <c r="AF478" s="241"/>
      <c r="AG478" s="242"/>
      <c r="AH478" s="243"/>
      <c r="AI478" s="243"/>
      <c r="AJ478" s="244" t="s">
        <v>198</v>
      </c>
      <c r="AK478" s="244" t="s">
        <v>185</v>
      </c>
      <c r="AL478" s="244" t="s">
        <v>185</v>
      </c>
      <c r="AM478" s="239" t="s">
        <v>3161</v>
      </c>
      <c r="AN478" s="20">
        <v>182</v>
      </c>
      <c r="AO478" s="20">
        <v>0</v>
      </c>
      <c r="AP478" s="20">
        <v>0</v>
      </c>
      <c r="AQ478" s="20">
        <v>0</v>
      </c>
      <c r="AR478" s="20">
        <v>0</v>
      </c>
      <c r="AS478" s="20">
        <v>7</v>
      </c>
      <c r="AT478" s="20">
        <v>10</v>
      </c>
      <c r="AU478" s="300">
        <f t="shared" si="78"/>
        <v>199</v>
      </c>
      <c r="AV478" s="20">
        <v>190</v>
      </c>
      <c r="AW478" s="20">
        <v>0</v>
      </c>
      <c r="AX478" s="20">
        <v>0</v>
      </c>
      <c r="AY478" s="20">
        <v>0</v>
      </c>
      <c r="AZ478" s="20">
        <v>0</v>
      </c>
      <c r="BA478" s="20">
        <v>7</v>
      </c>
      <c r="BB478" s="20">
        <v>10</v>
      </c>
      <c r="BC478" s="300">
        <f t="shared" si="79"/>
        <v>207</v>
      </c>
      <c r="BD478" s="42">
        <f t="shared" si="80"/>
        <v>8</v>
      </c>
      <c r="BE478" s="42">
        <f t="shared" si="81"/>
        <v>0</v>
      </c>
      <c r="BF478" s="42">
        <f t="shared" si="82"/>
        <v>0</v>
      </c>
      <c r="BG478" s="42">
        <f t="shared" si="83"/>
        <v>0</v>
      </c>
      <c r="BH478" s="42">
        <f t="shared" si="84"/>
        <v>0</v>
      </c>
      <c r="BI478" s="42">
        <f t="shared" si="85"/>
        <v>0</v>
      </c>
      <c r="BJ478" s="42">
        <f t="shared" si="86"/>
        <v>0</v>
      </c>
      <c r="BK478" s="42">
        <f t="shared" si="87"/>
        <v>8</v>
      </c>
    </row>
    <row r="479" spans="1:63" ht="27" customHeight="1">
      <c r="A479" s="222">
        <f t="shared" si="88"/>
        <v>477</v>
      </c>
      <c r="B479" s="223"/>
      <c r="C479" s="223">
        <v>3096</v>
      </c>
      <c r="D479" s="225" t="s">
        <v>3162</v>
      </c>
      <c r="E479" s="226" t="s">
        <v>3163</v>
      </c>
      <c r="F479" s="227" t="s">
        <v>3164</v>
      </c>
      <c r="G479" s="228" t="s">
        <v>3165</v>
      </c>
      <c r="H479" s="229" t="s">
        <v>3166</v>
      </c>
      <c r="I479" s="230" t="s">
        <v>3167</v>
      </c>
      <c r="J479" s="231" t="s">
        <v>204</v>
      </c>
      <c r="K479" s="232">
        <v>34490</v>
      </c>
      <c r="L479" s="233" t="s">
        <v>174</v>
      </c>
      <c r="M479" s="234">
        <v>43727</v>
      </c>
      <c r="N479" s="234"/>
      <c r="O479" s="234" t="s">
        <v>32</v>
      </c>
      <c r="P479" s="222" t="s">
        <v>343</v>
      </c>
      <c r="Q479" s="222" t="s">
        <v>176</v>
      </c>
      <c r="R479" s="222" t="s">
        <v>177</v>
      </c>
      <c r="S479" s="222" t="s">
        <v>2379</v>
      </c>
      <c r="T479" s="235"/>
      <c r="U479" s="235"/>
      <c r="V479" s="236" t="s">
        <v>179</v>
      </c>
      <c r="W479" s="236" t="s">
        <v>179</v>
      </c>
      <c r="X479" s="236">
        <v>12</v>
      </c>
      <c r="Y479" s="237" t="s">
        <v>3168</v>
      </c>
      <c r="Z479" s="238"/>
      <c r="AA479" s="238" t="s">
        <v>181</v>
      </c>
      <c r="AB479" s="236"/>
      <c r="AC479" s="239"/>
      <c r="AD479" s="240"/>
      <c r="AE479" s="240"/>
      <c r="AF479" s="241"/>
      <c r="AG479" s="242"/>
      <c r="AH479" s="243"/>
      <c r="AI479" s="243"/>
      <c r="AJ479" s="244" t="s">
        <v>198</v>
      </c>
      <c r="AK479" s="244" t="s">
        <v>185</v>
      </c>
      <c r="AL479" s="244" t="s">
        <v>185</v>
      </c>
      <c r="AM479" s="239" t="s">
        <v>3169</v>
      </c>
      <c r="AN479" s="20">
        <v>182</v>
      </c>
      <c r="AO479" s="20">
        <v>0</v>
      </c>
      <c r="AP479" s="20">
        <v>0</v>
      </c>
      <c r="AQ479" s="20">
        <v>0</v>
      </c>
      <c r="AR479" s="20">
        <v>0</v>
      </c>
      <c r="AS479" s="20">
        <v>7</v>
      </c>
      <c r="AT479" s="20">
        <v>10</v>
      </c>
      <c r="AU479" s="300">
        <f t="shared" si="78"/>
        <v>199</v>
      </c>
      <c r="AV479" s="20">
        <v>190</v>
      </c>
      <c r="AW479" s="20">
        <v>0</v>
      </c>
      <c r="AX479" s="20">
        <v>0</v>
      </c>
      <c r="AY479" s="20">
        <v>0</v>
      </c>
      <c r="AZ479" s="20">
        <v>0</v>
      </c>
      <c r="BA479" s="20">
        <v>7</v>
      </c>
      <c r="BB479" s="20">
        <v>10</v>
      </c>
      <c r="BC479" s="300">
        <f t="shared" si="79"/>
        <v>207</v>
      </c>
      <c r="BD479" s="42">
        <f t="shared" si="80"/>
        <v>8</v>
      </c>
      <c r="BE479" s="42">
        <f t="shared" si="81"/>
        <v>0</v>
      </c>
      <c r="BF479" s="42">
        <f t="shared" si="82"/>
        <v>0</v>
      </c>
      <c r="BG479" s="42">
        <f t="shared" si="83"/>
        <v>0</v>
      </c>
      <c r="BH479" s="42">
        <f t="shared" si="84"/>
        <v>0</v>
      </c>
      <c r="BI479" s="42">
        <f t="shared" si="85"/>
        <v>0</v>
      </c>
      <c r="BJ479" s="42">
        <f t="shared" si="86"/>
        <v>0</v>
      </c>
      <c r="BK479" s="42">
        <f t="shared" si="87"/>
        <v>8</v>
      </c>
    </row>
    <row r="480" spans="1:63" ht="27" customHeight="1">
      <c r="A480" s="222">
        <f t="shared" si="88"/>
        <v>478</v>
      </c>
      <c r="B480" s="223"/>
      <c r="C480" s="223">
        <v>3094</v>
      </c>
      <c r="D480" s="225" t="s">
        <v>3170</v>
      </c>
      <c r="E480" s="226" t="s">
        <v>3171</v>
      </c>
      <c r="F480" s="227" t="s">
        <v>190</v>
      </c>
      <c r="G480" s="228" t="s">
        <v>3172</v>
      </c>
      <c r="H480" s="229" t="s">
        <v>95</v>
      </c>
      <c r="I480" s="230" t="s">
        <v>3173</v>
      </c>
      <c r="J480" s="231" t="s">
        <v>173</v>
      </c>
      <c r="K480" s="232">
        <v>31079</v>
      </c>
      <c r="L480" s="233" t="s">
        <v>174</v>
      </c>
      <c r="M480" s="234">
        <v>43725</v>
      </c>
      <c r="N480" s="234"/>
      <c r="O480" s="234" t="s">
        <v>32</v>
      </c>
      <c r="P480" s="222" t="s">
        <v>507</v>
      </c>
      <c r="Q480" s="222" t="s">
        <v>176</v>
      </c>
      <c r="R480" s="222" t="s">
        <v>177</v>
      </c>
      <c r="S480" s="222" t="s">
        <v>2354</v>
      </c>
      <c r="T480" s="235"/>
      <c r="U480" s="235"/>
      <c r="V480" s="236" t="s">
        <v>179</v>
      </c>
      <c r="W480" s="236" t="s">
        <v>179</v>
      </c>
      <c r="X480" s="236">
        <v>2</v>
      </c>
      <c r="Y480" s="237" t="s">
        <v>3174</v>
      </c>
      <c r="Z480" s="238"/>
      <c r="AA480" s="238" t="s">
        <v>181</v>
      </c>
      <c r="AB480" s="236"/>
      <c r="AC480" s="239"/>
      <c r="AD480" s="240"/>
      <c r="AE480" s="240"/>
      <c r="AF480" s="241"/>
      <c r="AG480" s="242"/>
      <c r="AH480" s="243"/>
      <c r="AI480" s="243"/>
      <c r="AJ480" s="244" t="s">
        <v>198</v>
      </c>
      <c r="AK480" s="244" t="s">
        <v>185</v>
      </c>
      <c r="AL480" s="244" t="s">
        <v>185</v>
      </c>
      <c r="AM480" s="239" t="s">
        <v>2344</v>
      </c>
      <c r="AN480" s="20">
        <v>182</v>
      </c>
      <c r="AO480" s="20">
        <v>0</v>
      </c>
      <c r="AP480" s="20">
        <v>0</v>
      </c>
      <c r="AQ480" s="20">
        <v>0</v>
      </c>
      <c r="AR480" s="20">
        <v>0</v>
      </c>
      <c r="AS480" s="20">
        <v>7</v>
      </c>
      <c r="AT480" s="20">
        <v>10</v>
      </c>
      <c r="AU480" s="300">
        <f t="shared" si="78"/>
        <v>199</v>
      </c>
      <c r="AV480" s="20">
        <v>190</v>
      </c>
      <c r="AW480" s="20">
        <v>0</v>
      </c>
      <c r="AX480" s="20">
        <v>0</v>
      </c>
      <c r="AY480" s="20">
        <v>0</v>
      </c>
      <c r="AZ480" s="20">
        <v>0</v>
      </c>
      <c r="BA480" s="20">
        <v>7</v>
      </c>
      <c r="BB480" s="20">
        <v>10</v>
      </c>
      <c r="BC480" s="300">
        <f t="shared" si="79"/>
        <v>207</v>
      </c>
      <c r="BD480" s="42">
        <f t="shared" si="80"/>
        <v>8</v>
      </c>
      <c r="BE480" s="42">
        <f t="shared" si="81"/>
        <v>0</v>
      </c>
      <c r="BF480" s="42">
        <f t="shared" si="82"/>
        <v>0</v>
      </c>
      <c r="BG480" s="42">
        <f t="shared" si="83"/>
        <v>0</v>
      </c>
      <c r="BH480" s="42">
        <f t="shared" si="84"/>
        <v>0</v>
      </c>
      <c r="BI480" s="42">
        <f t="shared" si="85"/>
        <v>0</v>
      </c>
      <c r="BJ480" s="42">
        <f t="shared" si="86"/>
        <v>0</v>
      </c>
      <c r="BK480" s="42">
        <f t="shared" si="87"/>
        <v>8</v>
      </c>
    </row>
    <row r="481" spans="1:63" ht="27" customHeight="1">
      <c r="A481" s="222">
        <f t="shared" si="88"/>
        <v>479</v>
      </c>
      <c r="B481" s="223"/>
      <c r="C481" s="223">
        <v>3082</v>
      </c>
      <c r="D481" s="225" t="s">
        <v>3175</v>
      </c>
      <c r="E481" s="226" t="s">
        <v>3176</v>
      </c>
      <c r="F481" s="227" t="s">
        <v>3177</v>
      </c>
      <c r="G481" s="228" t="s">
        <v>1158</v>
      </c>
      <c r="H481" s="229" t="s">
        <v>3178</v>
      </c>
      <c r="I481" s="230" t="s">
        <v>3179</v>
      </c>
      <c r="J481" s="231" t="s">
        <v>173</v>
      </c>
      <c r="K481" s="232">
        <v>29596</v>
      </c>
      <c r="L481" s="233" t="s">
        <v>174</v>
      </c>
      <c r="M481" s="234">
        <v>43713</v>
      </c>
      <c r="N481" s="234"/>
      <c r="O481" s="234" t="s">
        <v>32</v>
      </c>
      <c r="P481" s="222" t="s">
        <v>304</v>
      </c>
      <c r="Q481" s="222" t="s">
        <v>176</v>
      </c>
      <c r="R481" s="222" t="s">
        <v>177</v>
      </c>
      <c r="S481" s="222" t="s">
        <v>2354</v>
      </c>
      <c r="T481" s="235"/>
      <c r="U481" s="235"/>
      <c r="V481" s="236" t="s">
        <v>195</v>
      </c>
      <c r="W481" s="236" t="s">
        <v>195</v>
      </c>
      <c r="X481" s="236">
        <v>9</v>
      </c>
      <c r="Y481" s="237" t="s">
        <v>3180</v>
      </c>
      <c r="Z481" s="238"/>
      <c r="AA481" s="238" t="s">
        <v>181</v>
      </c>
      <c r="AB481" s="236"/>
      <c r="AC481" s="239"/>
      <c r="AD481" s="240" t="s">
        <v>183</v>
      </c>
      <c r="AE481" s="240" t="s">
        <v>184</v>
      </c>
      <c r="AF481" s="241"/>
      <c r="AG481" s="242"/>
      <c r="AH481" s="243"/>
      <c r="AI481" s="243"/>
      <c r="AJ481" s="244" t="s">
        <v>198</v>
      </c>
      <c r="AK481" s="244" t="s">
        <v>185</v>
      </c>
      <c r="AL481" s="244" t="s">
        <v>185</v>
      </c>
      <c r="AM481" s="239" t="s">
        <v>2344</v>
      </c>
      <c r="AN481" s="20">
        <v>182</v>
      </c>
      <c r="AO481" s="20">
        <v>0</v>
      </c>
      <c r="AP481" s="20">
        <v>0</v>
      </c>
      <c r="AQ481" s="20">
        <v>0</v>
      </c>
      <c r="AR481" s="20">
        <v>0</v>
      </c>
      <c r="AS481" s="20">
        <v>7</v>
      </c>
      <c r="AT481" s="20">
        <v>10</v>
      </c>
      <c r="AU481" s="300">
        <f t="shared" si="78"/>
        <v>199</v>
      </c>
      <c r="AV481" s="20">
        <v>190</v>
      </c>
      <c r="AW481" s="20">
        <v>0</v>
      </c>
      <c r="AX481" s="20">
        <v>0</v>
      </c>
      <c r="AY481" s="20">
        <v>0</v>
      </c>
      <c r="AZ481" s="20">
        <v>0</v>
      </c>
      <c r="BA481" s="20">
        <v>7</v>
      </c>
      <c r="BB481" s="20">
        <v>10</v>
      </c>
      <c r="BC481" s="300">
        <f t="shared" si="79"/>
        <v>207</v>
      </c>
      <c r="BD481" s="42">
        <f t="shared" si="80"/>
        <v>8</v>
      </c>
      <c r="BE481" s="42">
        <f t="shared" si="81"/>
        <v>0</v>
      </c>
      <c r="BF481" s="42">
        <f t="shared" si="82"/>
        <v>0</v>
      </c>
      <c r="BG481" s="42">
        <f t="shared" si="83"/>
        <v>0</v>
      </c>
      <c r="BH481" s="42">
        <f t="shared" si="84"/>
        <v>0</v>
      </c>
      <c r="BI481" s="42">
        <f t="shared" si="85"/>
        <v>0</v>
      </c>
      <c r="BJ481" s="42">
        <f t="shared" si="86"/>
        <v>0</v>
      </c>
      <c r="BK481" s="42">
        <f t="shared" si="87"/>
        <v>8</v>
      </c>
    </row>
    <row r="482" spans="1:63" ht="27" customHeight="1">
      <c r="A482" s="222">
        <f t="shared" si="88"/>
        <v>480</v>
      </c>
      <c r="B482" s="223"/>
      <c r="C482" s="223">
        <v>3114</v>
      </c>
      <c r="D482" s="225">
        <v>19310192205674</v>
      </c>
      <c r="E482" s="226" t="s">
        <v>3181</v>
      </c>
      <c r="F482" s="227" t="s">
        <v>3182</v>
      </c>
      <c r="G482" s="228" t="s">
        <v>191</v>
      </c>
      <c r="H482" s="229" t="s">
        <v>3183</v>
      </c>
      <c r="I482" s="230" t="s">
        <v>3184</v>
      </c>
      <c r="J482" s="231" t="s">
        <v>204</v>
      </c>
      <c r="K482" s="232">
        <v>34303</v>
      </c>
      <c r="L482" s="233" t="s">
        <v>174</v>
      </c>
      <c r="M482" s="234">
        <v>43740</v>
      </c>
      <c r="N482" s="234"/>
      <c r="O482" s="234" t="s">
        <v>32</v>
      </c>
      <c r="P482" s="222" t="s">
        <v>13</v>
      </c>
      <c r="Q482" s="222" t="s">
        <v>176</v>
      </c>
      <c r="R482" s="222" t="s">
        <v>177</v>
      </c>
      <c r="S482" s="222" t="s">
        <v>2354</v>
      </c>
      <c r="T482" s="235"/>
      <c r="U482" s="235"/>
      <c r="V482" s="236"/>
      <c r="W482" s="236"/>
      <c r="X482" s="236">
        <v>12</v>
      </c>
      <c r="Y482" s="237"/>
      <c r="Z482" s="238"/>
      <c r="AA482" s="238" t="s">
        <v>181</v>
      </c>
      <c r="AB482" s="236"/>
      <c r="AC482" s="239"/>
      <c r="AD482" s="240"/>
      <c r="AE482" s="240"/>
      <c r="AF482" s="241"/>
      <c r="AG482" s="242"/>
      <c r="AH482" s="243"/>
      <c r="AI482" s="243"/>
      <c r="AJ482" s="244" t="s">
        <v>198</v>
      </c>
      <c r="AK482" s="244" t="s">
        <v>185</v>
      </c>
      <c r="AL482" s="244" t="s">
        <v>185</v>
      </c>
      <c r="AM482" s="239" t="s">
        <v>2344</v>
      </c>
      <c r="AN482" s="20">
        <v>182</v>
      </c>
      <c r="AO482" s="20">
        <v>0</v>
      </c>
      <c r="AP482" s="20">
        <v>0</v>
      </c>
      <c r="AQ482" s="20">
        <v>0</v>
      </c>
      <c r="AR482" s="20">
        <v>0</v>
      </c>
      <c r="AS482" s="20">
        <v>7</v>
      </c>
      <c r="AT482" s="20">
        <v>10</v>
      </c>
      <c r="AU482" s="300">
        <f t="shared" si="78"/>
        <v>199</v>
      </c>
      <c r="AV482" s="20">
        <v>190</v>
      </c>
      <c r="AW482" s="20">
        <v>0</v>
      </c>
      <c r="AX482" s="20">
        <v>0</v>
      </c>
      <c r="AY482" s="20">
        <v>0</v>
      </c>
      <c r="AZ482" s="20">
        <v>0</v>
      </c>
      <c r="BA482" s="20">
        <v>7</v>
      </c>
      <c r="BB482" s="20">
        <v>10</v>
      </c>
      <c r="BC482" s="300">
        <f t="shared" si="79"/>
        <v>207</v>
      </c>
      <c r="BD482" s="42">
        <f t="shared" si="80"/>
        <v>8</v>
      </c>
      <c r="BE482" s="42">
        <f t="shared" si="81"/>
        <v>0</v>
      </c>
      <c r="BF482" s="42">
        <f t="shared" si="82"/>
        <v>0</v>
      </c>
      <c r="BG482" s="42">
        <f t="shared" si="83"/>
        <v>0</v>
      </c>
      <c r="BH482" s="42">
        <f t="shared" si="84"/>
        <v>0</v>
      </c>
      <c r="BI482" s="42">
        <f t="shared" si="85"/>
        <v>0</v>
      </c>
      <c r="BJ482" s="42">
        <f t="shared" si="86"/>
        <v>0</v>
      </c>
      <c r="BK482" s="42">
        <f t="shared" si="87"/>
        <v>8</v>
      </c>
    </row>
    <row r="483" spans="1:63" ht="27" customHeight="1">
      <c r="A483" s="222">
        <f t="shared" si="88"/>
        <v>481</v>
      </c>
      <c r="B483" s="223"/>
      <c r="C483" s="223">
        <v>3113</v>
      </c>
      <c r="D483" s="225">
        <v>28806170788578</v>
      </c>
      <c r="E483" s="226" t="s">
        <v>3185</v>
      </c>
      <c r="F483" s="227" t="s">
        <v>2341</v>
      </c>
      <c r="G483" s="228" t="s">
        <v>2246</v>
      </c>
      <c r="H483" s="229" t="s">
        <v>3186</v>
      </c>
      <c r="I483" s="230" t="s">
        <v>3187</v>
      </c>
      <c r="J483" s="231" t="s">
        <v>173</v>
      </c>
      <c r="K483" s="232">
        <v>32174</v>
      </c>
      <c r="L483" s="233" t="s">
        <v>174</v>
      </c>
      <c r="M483" s="234">
        <v>43741</v>
      </c>
      <c r="N483" s="234"/>
      <c r="O483" s="234" t="s">
        <v>32</v>
      </c>
      <c r="P483" s="222" t="s">
        <v>343</v>
      </c>
      <c r="Q483" s="222" t="s">
        <v>176</v>
      </c>
      <c r="R483" s="222" t="s">
        <v>177</v>
      </c>
      <c r="S483" s="222" t="s">
        <v>2354</v>
      </c>
      <c r="T483" s="235"/>
      <c r="U483" s="235"/>
      <c r="V483" s="236"/>
      <c r="W483" s="236"/>
      <c r="X483" s="236">
        <v>6</v>
      </c>
      <c r="Y483" s="237"/>
      <c r="Z483" s="238" t="s">
        <v>181</v>
      </c>
      <c r="AA483" s="238"/>
      <c r="AB483" s="236"/>
      <c r="AC483" s="239"/>
      <c r="AD483" s="240"/>
      <c r="AE483" s="240"/>
      <c r="AF483" s="241"/>
      <c r="AG483" s="242"/>
      <c r="AH483" s="243"/>
      <c r="AI483" s="243"/>
      <c r="AJ483" s="244" t="s">
        <v>198</v>
      </c>
      <c r="AK483" s="244" t="s">
        <v>185</v>
      </c>
      <c r="AL483" s="244" t="s">
        <v>185</v>
      </c>
      <c r="AM483" s="239" t="s">
        <v>2344</v>
      </c>
      <c r="AN483" s="20">
        <v>182</v>
      </c>
      <c r="AO483" s="20">
        <v>0</v>
      </c>
      <c r="AP483" s="20">
        <v>0</v>
      </c>
      <c r="AQ483" s="20">
        <v>0</v>
      </c>
      <c r="AR483" s="20">
        <v>0</v>
      </c>
      <c r="AS483" s="20">
        <v>7</v>
      </c>
      <c r="AT483" s="20">
        <v>10</v>
      </c>
      <c r="AU483" s="300">
        <f t="shared" si="78"/>
        <v>199</v>
      </c>
      <c r="AV483" s="20">
        <v>190</v>
      </c>
      <c r="AW483" s="20">
        <v>0</v>
      </c>
      <c r="AX483" s="20">
        <v>0</v>
      </c>
      <c r="AY483" s="20">
        <v>0</v>
      </c>
      <c r="AZ483" s="20">
        <v>0</v>
      </c>
      <c r="BA483" s="20">
        <v>7</v>
      </c>
      <c r="BB483" s="20">
        <v>10</v>
      </c>
      <c r="BC483" s="300">
        <f t="shared" si="79"/>
        <v>207</v>
      </c>
      <c r="BD483" s="42">
        <f t="shared" si="80"/>
        <v>8</v>
      </c>
      <c r="BE483" s="42">
        <f t="shared" si="81"/>
        <v>0</v>
      </c>
      <c r="BF483" s="42">
        <f t="shared" si="82"/>
        <v>0</v>
      </c>
      <c r="BG483" s="42">
        <f t="shared" si="83"/>
        <v>0</v>
      </c>
      <c r="BH483" s="42">
        <f t="shared" si="84"/>
        <v>0</v>
      </c>
      <c r="BI483" s="42">
        <f t="shared" si="85"/>
        <v>0</v>
      </c>
      <c r="BJ483" s="42">
        <f t="shared" si="86"/>
        <v>0</v>
      </c>
      <c r="BK483" s="42">
        <f t="shared" si="87"/>
        <v>8</v>
      </c>
    </row>
    <row r="484" spans="1:63" ht="27" customHeight="1">
      <c r="A484" s="222">
        <f t="shared" si="88"/>
        <v>482</v>
      </c>
      <c r="B484" s="223"/>
      <c r="C484" s="223">
        <v>3103</v>
      </c>
      <c r="D484" s="225">
        <v>19310192202800</v>
      </c>
      <c r="E484" s="226" t="s">
        <v>3188</v>
      </c>
      <c r="F484" s="227" t="s">
        <v>1061</v>
      </c>
      <c r="G484" s="228" t="s">
        <v>2246</v>
      </c>
      <c r="H484" s="229" t="s">
        <v>3113</v>
      </c>
      <c r="I484" s="230" t="s">
        <v>3189</v>
      </c>
      <c r="J484" s="231" t="s">
        <v>204</v>
      </c>
      <c r="K484" s="232">
        <v>34011</v>
      </c>
      <c r="L484" s="233" t="s">
        <v>174</v>
      </c>
      <c r="M484" s="234">
        <v>43740</v>
      </c>
      <c r="N484" s="234"/>
      <c r="O484" s="234" t="s">
        <v>32</v>
      </c>
      <c r="P484" s="222" t="s">
        <v>556</v>
      </c>
      <c r="Q484" s="222" t="s">
        <v>176</v>
      </c>
      <c r="R484" s="222" t="s">
        <v>177</v>
      </c>
      <c r="S484" s="222" t="s">
        <v>2860</v>
      </c>
      <c r="T484" s="235"/>
      <c r="U484" s="235"/>
      <c r="V484" s="236"/>
      <c r="W484" s="236"/>
      <c r="X484" s="236">
        <v>8</v>
      </c>
      <c r="Y484" s="237"/>
      <c r="Z484" s="238" t="s">
        <v>181</v>
      </c>
      <c r="AA484" s="238"/>
      <c r="AB484" s="236"/>
      <c r="AC484" s="239"/>
      <c r="AD484" s="240"/>
      <c r="AE484" s="240"/>
      <c r="AF484" s="241"/>
      <c r="AG484" s="242"/>
      <c r="AH484" s="243"/>
      <c r="AI484" s="243"/>
      <c r="AJ484" s="244" t="s">
        <v>198</v>
      </c>
      <c r="AK484" s="244" t="s">
        <v>185</v>
      </c>
      <c r="AL484" s="244" t="s">
        <v>185</v>
      </c>
      <c r="AM484" s="239" t="s">
        <v>2344</v>
      </c>
      <c r="AN484" s="20">
        <v>182</v>
      </c>
      <c r="AO484" s="20">
        <v>0</v>
      </c>
      <c r="AP484" s="20">
        <v>0</v>
      </c>
      <c r="AQ484" s="20">
        <v>0</v>
      </c>
      <c r="AR484" s="20">
        <v>0</v>
      </c>
      <c r="AS484" s="20">
        <v>7</v>
      </c>
      <c r="AT484" s="20">
        <v>10</v>
      </c>
      <c r="AU484" s="300">
        <f t="shared" si="78"/>
        <v>199</v>
      </c>
      <c r="AV484" s="20">
        <v>190</v>
      </c>
      <c r="AW484" s="20">
        <v>0</v>
      </c>
      <c r="AX484" s="20">
        <v>0</v>
      </c>
      <c r="AY484" s="20">
        <v>0</v>
      </c>
      <c r="AZ484" s="20">
        <v>0</v>
      </c>
      <c r="BA484" s="20">
        <v>7</v>
      </c>
      <c r="BB484" s="20">
        <v>10</v>
      </c>
      <c r="BC484" s="300">
        <f t="shared" si="79"/>
        <v>207</v>
      </c>
      <c r="BD484" s="42">
        <f t="shared" si="80"/>
        <v>8</v>
      </c>
      <c r="BE484" s="42">
        <f t="shared" si="81"/>
        <v>0</v>
      </c>
      <c r="BF484" s="42">
        <f t="shared" si="82"/>
        <v>0</v>
      </c>
      <c r="BG484" s="42">
        <f t="shared" si="83"/>
        <v>0</v>
      </c>
      <c r="BH484" s="42">
        <f t="shared" si="84"/>
        <v>0</v>
      </c>
      <c r="BI484" s="42">
        <f t="shared" si="85"/>
        <v>0</v>
      </c>
      <c r="BJ484" s="42">
        <f t="shared" si="86"/>
        <v>0</v>
      </c>
      <c r="BK484" s="42">
        <f t="shared" si="87"/>
        <v>8</v>
      </c>
    </row>
    <row r="485" spans="1:63" ht="27" customHeight="1">
      <c r="A485" s="222">
        <f t="shared" si="88"/>
        <v>483</v>
      </c>
      <c r="B485" s="223"/>
      <c r="C485" s="223">
        <v>3124</v>
      </c>
      <c r="D485" s="225" t="s">
        <v>3190</v>
      </c>
      <c r="E485" s="226" t="s">
        <v>3191</v>
      </c>
      <c r="F485" s="227" t="s">
        <v>3192</v>
      </c>
      <c r="G485" s="228" t="s">
        <v>1032</v>
      </c>
      <c r="H485" s="229" t="s">
        <v>2095</v>
      </c>
      <c r="I485" s="230" t="s">
        <v>3193</v>
      </c>
      <c r="J485" s="231" t="s">
        <v>173</v>
      </c>
      <c r="K485" s="232">
        <v>36320</v>
      </c>
      <c r="L485" s="233" t="s">
        <v>174</v>
      </c>
      <c r="M485" s="234">
        <v>43743</v>
      </c>
      <c r="N485" s="234"/>
      <c r="O485" s="234" t="s">
        <v>32</v>
      </c>
      <c r="P485" s="222" t="s">
        <v>101</v>
      </c>
      <c r="Q485" s="222" t="s">
        <v>244</v>
      </c>
      <c r="R485" s="222" t="s">
        <v>177</v>
      </c>
      <c r="S485" s="222" t="s">
        <v>2354</v>
      </c>
      <c r="T485" s="235"/>
      <c r="U485" s="235"/>
      <c r="V485" s="236"/>
      <c r="W485" s="236"/>
      <c r="X485" s="236">
        <v>12</v>
      </c>
      <c r="Y485" s="237"/>
      <c r="Z485" s="238" t="s">
        <v>181</v>
      </c>
      <c r="AA485" s="238"/>
      <c r="AB485" s="236"/>
      <c r="AC485" s="239"/>
      <c r="AD485" s="240"/>
      <c r="AE485" s="240"/>
      <c r="AF485" s="241"/>
      <c r="AG485" s="242"/>
      <c r="AH485" s="243"/>
      <c r="AI485" s="243"/>
      <c r="AJ485" s="244" t="s">
        <v>198</v>
      </c>
      <c r="AK485" s="244" t="s">
        <v>185</v>
      </c>
      <c r="AL485" s="244" t="s">
        <v>185</v>
      </c>
      <c r="AM485" s="239" t="s">
        <v>2344</v>
      </c>
      <c r="AN485" s="20">
        <v>182</v>
      </c>
      <c r="AO485" s="20">
        <v>0</v>
      </c>
      <c r="AP485" s="20">
        <v>40</v>
      </c>
      <c r="AQ485" s="20">
        <v>0</v>
      </c>
      <c r="AR485" s="20">
        <v>0</v>
      </c>
      <c r="AS485" s="20">
        <v>7</v>
      </c>
      <c r="AT485" s="20">
        <v>10</v>
      </c>
      <c r="AU485" s="300">
        <f t="shared" si="78"/>
        <v>239</v>
      </c>
      <c r="AV485" s="20">
        <v>190</v>
      </c>
      <c r="AW485" s="20">
        <v>0</v>
      </c>
      <c r="AX485" s="20">
        <v>40</v>
      </c>
      <c r="AY485" s="20">
        <v>0</v>
      </c>
      <c r="AZ485" s="20">
        <v>0</v>
      </c>
      <c r="BA485" s="20">
        <v>7</v>
      </c>
      <c r="BB485" s="20">
        <v>10</v>
      </c>
      <c r="BC485" s="300">
        <f t="shared" si="79"/>
        <v>247</v>
      </c>
      <c r="BD485" s="42">
        <f t="shared" si="80"/>
        <v>8</v>
      </c>
      <c r="BE485" s="42">
        <f t="shared" si="81"/>
        <v>0</v>
      </c>
      <c r="BF485" s="42">
        <f t="shared" si="82"/>
        <v>0</v>
      </c>
      <c r="BG485" s="42">
        <f t="shared" si="83"/>
        <v>0</v>
      </c>
      <c r="BH485" s="42">
        <f t="shared" si="84"/>
        <v>0</v>
      </c>
      <c r="BI485" s="42">
        <f t="shared" si="85"/>
        <v>0</v>
      </c>
      <c r="BJ485" s="42">
        <f t="shared" si="86"/>
        <v>0</v>
      </c>
      <c r="BK485" s="42">
        <f t="shared" si="87"/>
        <v>8</v>
      </c>
    </row>
    <row r="486" spans="1:63" ht="27" customHeight="1">
      <c r="A486" s="222">
        <f t="shared" si="88"/>
        <v>484</v>
      </c>
      <c r="B486" s="223"/>
      <c r="C486" s="223">
        <v>3119</v>
      </c>
      <c r="D486" s="225" t="s">
        <v>3194</v>
      </c>
      <c r="E486" s="226" t="s">
        <v>3195</v>
      </c>
      <c r="F486" s="227" t="s">
        <v>1520</v>
      </c>
      <c r="G486" s="228" t="s">
        <v>3196</v>
      </c>
      <c r="H486" s="229" t="s">
        <v>3197</v>
      </c>
      <c r="I486" s="230" t="s">
        <v>3198</v>
      </c>
      <c r="J486" s="231" t="s">
        <v>173</v>
      </c>
      <c r="K486" s="232">
        <v>25275</v>
      </c>
      <c r="L486" s="233" t="s">
        <v>174</v>
      </c>
      <c r="M486" s="234">
        <v>43742</v>
      </c>
      <c r="N486" s="234"/>
      <c r="O486" s="234" t="s">
        <v>32</v>
      </c>
      <c r="P486" s="222" t="s">
        <v>599</v>
      </c>
      <c r="Q486" s="222" t="s">
        <v>176</v>
      </c>
      <c r="R486" s="222" t="s">
        <v>177</v>
      </c>
      <c r="S486" s="222" t="s">
        <v>2864</v>
      </c>
      <c r="T486" s="235"/>
      <c r="U486" s="235"/>
      <c r="V486" s="236"/>
      <c r="W486" s="236"/>
      <c r="X486" s="236">
        <v>6</v>
      </c>
      <c r="Y486" s="237"/>
      <c r="Z486" s="238"/>
      <c r="AA486" s="238"/>
      <c r="AB486" s="236"/>
      <c r="AC486" s="239"/>
      <c r="AD486" s="240"/>
      <c r="AE486" s="240"/>
      <c r="AF486" s="241"/>
      <c r="AG486" s="242"/>
      <c r="AH486" s="243"/>
      <c r="AI486" s="243"/>
      <c r="AJ486" s="244" t="s">
        <v>198</v>
      </c>
      <c r="AK486" s="244" t="s">
        <v>185</v>
      </c>
      <c r="AL486" s="244" t="s">
        <v>185</v>
      </c>
      <c r="AM486" s="239" t="s">
        <v>2344</v>
      </c>
      <c r="AN486" s="20">
        <v>182</v>
      </c>
      <c r="AO486" s="20">
        <v>0</v>
      </c>
      <c r="AP486" s="20">
        <v>0</v>
      </c>
      <c r="AQ486" s="20">
        <v>0</v>
      </c>
      <c r="AR486" s="20">
        <v>0</v>
      </c>
      <c r="AS486" s="20">
        <v>7</v>
      </c>
      <c r="AT486" s="20">
        <v>10</v>
      </c>
      <c r="AU486" s="300">
        <f t="shared" si="78"/>
        <v>199</v>
      </c>
      <c r="AV486" s="20">
        <v>190</v>
      </c>
      <c r="AW486" s="20">
        <v>0</v>
      </c>
      <c r="AX486" s="20">
        <v>0</v>
      </c>
      <c r="AY486" s="20">
        <v>0</v>
      </c>
      <c r="AZ486" s="20">
        <v>0</v>
      </c>
      <c r="BA486" s="20">
        <v>7</v>
      </c>
      <c r="BB486" s="20">
        <v>10</v>
      </c>
      <c r="BC486" s="300">
        <f t="shared" si="79"/>
        <v>207</v>
      </c>
      <c r="BD486" s="42">
        <f t="shared" si="80"/>
        <v>8</v>
      </c>
      <c r="BE486" s="42">
        <f t="shared" si="81"/>
        <v>0</v>
      </c>
      <c r="BF486" s="42">
        <f t="shared" si="82"/>
        <v>0</v>
      </c>
      <c r="BG486" s="42">
        <f t="shared" si="83"/>
        <v>0</v>
      </c>
      <c r="BH486" s="42">
        <f t="shared" si="84"/>
        <v>0</v>
      </c>
      <c r="BI486" s="42">
        <f t="shared" si="85"/>
        <v>0</v>
      </c>
      <c r="BJ486" s="42">
        <f t="shared" si="86"/>
        <v>0</v>
      </c>
      <c r="BK486" s="42">
        <f t="shared" si="87"/>
        <v>8</v>
      </c>
    </row>
    <row r="487" spans="1:63" ht="27" customHeight="1">
      <c r="A487" s="222">
        <f t="shared" si="88"/>
        <v>485</v>
      </c>
      <c r="B487" s="223"/>
      <c r="C487" s="223">
        <v>3109</v>
      </c>
      <c r="D487" s="225" t="s">
        <v>3199</v>
      </c>
      <c r="E487" s="226" t="s">
        <v>3200</v>
      </c>
      <c r="F487" s="227" t="s">
        <v>1061</v>
      </c>
      <c r="G487" s="228" t="s">
        <v>3201</v>
      </c>
      <c r="H487" s="229" t="s">
        <v>3113</v>
      </c>
      <c r="I487" s="230" t="s">
        <v>3202</v>
      </c>
      <c r="J487" s="231" t="s">
        <v>173</v>
      </c>
      <c r="K487" s="232">
        <v>36660</v>
      </c>
      <c r="L487" s="233" t="s">
        <v>174</v>
      </c>
      <c r="M487" s="234">
        <v>43741</v>
      </c>
      <c r="N487" s="234"/>
      <c r="O487" s="234" t="s">
        <v>32</v>
      </c>
      <c r="P487" s="222" t="s">
        <v>334</v>
      </c>
      <c r="Q487" s="222" t="s">
        <v>176</v>
      </c>
      <c r="R487" s="222" t="s">
        <v>177</v>
      </c>
      <c r="S487" s="222" t="s">
        <v>2425</v>
      </c>
      <c r="T487" s="235"/>
      <c r="U487" s="235"/>
      <c r="V487" s="236"/>
      <c r="W487" s="236"/>
      <c r="X487" s="236">
        <v>9</v>
      </c>
      <c r="Y487" s="237"/>
      <c r="Z487" s="238"/>
      <c r="AA487" s="238"/>
      <c r="AB487" s="236"/>
      <c r="AC487" s="239"/>
      <c r="AD487" s="240"/>
      <c r="AE487" s="240"/>
      <c r="AF487" s="241"/>
      <c r="AG487" s="242"/>
      <c r="AH487" s="243"/>
      <c r="AI487" s="243"/>
      <c r="AJ487" s="244" t="s">
        <v>198</v>
      </c>
      <c r="AK487" s="244" t="s">
        <v>185</v>
      </c>
      <c r="AL487" s="244" t="s">
        <v>185</v>
      </c>
      <c r="AM487" s="239" t="s">
        <v>2344</v>
      </c>
      <c r="AN487" s="20">
        <v>182</v>
      </c>
      <c r="AO487" s="20">
        <v>0</v>
      </c>
      <c r="AP487" s="20">
        <v>0</v>
      </c>
      <c r="AQ487" s="20">
        <v>0</v>
      </c>
      <c r="AR487" s="20">
        <v>0</v>
      </c>
      <c r="AS487" s="20">
        <v>7</v>
      </c>
      <c r="AT487" s="20">
        <v>10</v>
      </c>
      <c r="AU487" s="300">
        <f t="shared" si="78"/>
        <v>199</v>
      </c>
      <c r="AV487" s="20">
        <v>190</v>
      </c>
      <c r="AW487" s="20">
        <v>0</v>
      </c>
      <c r="AX487" s="20">
        <v>0</v>
      </c>
      <c r="AY487" s="20">
        <v>0</v>
      </c>
      <c r="AZ487" s="20">
        <v>0</v>
      </c>
      <c r="BA487" s="20">
        <v>7</v>
      </c>
      <c r="BB487" s="20">
        <v>10</v>
      </c>
      <c r="BC487" s="300">
        <f t="shared" si="79"/>
        <v>207</v>
      </c>
      <c r="BD487" s="42">
        <f t="shared" si="80"/>
        <v>8</v>
      </c>
      <c r="BE487" s="42">
        <f t="shared" si="81"/>
        <v>0</v>
      </c>
      <c r="BF487" s="42">
        <f t="shared" si="82"/>
        <v>0</v>
      </c>
      <c r="BG487" s="42">
        <f t="shared" si="83"/>
        <v>0</v>
      </c>
      <c r="BH487" s="42">
        <f t="shared" si="84"/>
        <v>0</v>
      </c>
      <c r="BI487" s="42">
        <f t="shared" si="85"/>
        <v>0</v>
      </c>
      <c r="BJ487" s="42">
        <f t="shared" si="86"/>
        <v>0</v>
      </c>
      <c r="BK487" s="42">
        <f t="shared" si="87"/>
        <v>8</v>
      </c>
    </row>
    <row r="488" spans="1:63" ht="27" customHeight="1">
      <c r="A488" s="222">
        <f t="shared" si="88"/>
        <v>486</v>
      </c>
      <c r="B488" s="223"/>
      <c r="C488" s="223">
        <v>3130</v>
      </c>
      <c r="D488" s="225" t="s">
        <v>3203</v>
      </c>
      <c r="E488" s="226" t="s">
        <v>3204</v>
      </c>
      <c r="F488" s="227" t="s">
        <v>1663</v>
      </c>
      <c r="G488" s="228" t="s">
        <v>3205</v>
      </c>
      <c r="H488" s="229" t="s">
        <v>3206</v>
      </c>
      <c r="I488" s="230" t="s">
        <v>3207</v>
      </c>
      <c r="J488" s="231" t="s">
        <v>173</v>
      </c>
      <c r="K488" s="232">
        <v>29345</v>
      </c>
      <c r="L488" s="233" t="s">
        <v>174</v>
      </c>
      <c r="M488" s="234">
        <v>43745</v>
      </c>
      <c r="N488" s="234"/>
      <c r="O488" s="234" t="s">
        <v>32</v>
      </c>
      <c r="P488" s="222" t="s">
        <v>547</v>
      </c>
      <c r="Q488" s="222" t="s">
        <v>176</v>
      </c>
      <c r="R488" s="222" t="s">
        <v>177</v>
      </c>
      <c r="S488" s="222" t="s">
        <v>2425</v>
      </c>
      <c r="T488" s="235"/>
      <c r="U488" s="235"/>
      <c r="V488" s="236"/>
      <c r="W488" s="236"/>
      <c r="X488" s="236">
        <v>5</v>
      </c>
      <c r="Y488" s="237"/>
      <c r="Z488" s="238"/>
      <c r="AA488" s="238"/>
      <c r="AB488" s="236"/>
      <c r="AC488" s="239"/>
      <c r="AD488" s="240"/>
      <c r="AE488" s="240"/>
      <c r="AF488" s="241"/>
      <c r="AG488" s="242"/>
      <c r="AH488" s="243"/>
      <c r="AI488" s="243"/>
      <c r="AJ488" s="244" t="s">
        <v>198</v>
      </c>
      <c r="AK488" s="244" t="s">
        <v>185</v>
      </c>
      <c r="AL488" s="244" t="s">
        <v>185</v>
      </c>
      <c r="AM488" s="239" t="s">
        <v>2344</v>
      </c>
      <c r="AN488" s="20">
        <v>182</v>
      </c>
      <c r="AO488" s="20">
        <v>0</v>
      </c>
      <c r="AP488" s="20">
        <v>0</v>
      </c>
      <c r="AQ488" s="20">
        <v>0</v>
      </c>
      <c r="AR488" s="20">
        <v>0</v>
      </c>
      <c r="AS488" s="20">
        <v>7</v>
      </c>
      <c r="AT488" s="20">
        <v>10</v>
      </c>
      <c r="AU488" s="300">
        <f t="shared" si="78"/>
        <v>199</v>
      </c>
      <c r="AV488" s="20">
        <v>190</v>
      </c>
      <c r="AW488" s="20">
        <v>0</v>
      </c>
      <c r="AX488" s="20">
        <v>0</v>
      </c>
      <c r="AY488" s="20">
        <v>0</v>
      </c>
      <c r="AZ488" s="20">
        <v>0</v>
      </c>
      <c r="BA488" s="20">
        <v>7</v>
      </c>
      <c r="BB488" s="20">
        <v>10</v>
      </c>
      <c r="BC488" s="300">
        <f t="shared" si="79"/>
        <v>207</v>
      </c>
      <c r="BD488" s="42">
        <f t="shared" si="80"/>
        <v>8</v>
      </c>
      <c r="BE488" s="42">
        <f t="shared" si="81"/>
        <v>0</v>
      </c>
      <c r="BF488" s="42">
        <f t="shared" si="82"/>
        <v>0</v>
      </c>
      <c r="BG488" s="42">
        <f t="shared" si="83"/>
        <v>0</v>
      </c>
      <c r="BH488" s="42">
        <f t="shared" si="84"/>
        <v>0</v>
      </c>
      <c r="BI488" s="42">
        <f t="shared" si="85"/>
        <v>0</v>
      </c>
      <c r="BJ488" s="42">
        <f t="shared" si="86"/>
        <v>0</v>
      </c>
      <c r="BK488" s="42">
        <f t="shared" si="87"/>
        <v>8</v>
      </c>
    </row>
    <row r="489" spans="1:63" ht="27" customHeight="1">
      <c r="A489" s="222">
        <f t="shared" si="88"/>
        <v>487</v>
      </c>
      <c r="B489" s="223"/>
      <c r="C489" s="223">
        <v>3125</v>
      </c>
      <c r="D489" s="225" t="s">
        <v>3208</v>
      </c>
      <c r="E489" s="226" t="s">
        <v>3209</v>
      </c>
      <c r="F489" s="227" t="s">
        <v>452</v>
      </c>
      <c r="G489" s="228" t="s">
        <v>2236</v>
      </c>
      <c r="H489" s="229" t="s">
        <v>3210</v>
      </c>
      <c r="I489" s="230" t="s">
        <v>2629</v>
      </c>
      <c r="J489" s="231" t="s">
        <v>173</v>
      </c>
      <c r="K489" s="232">
        <v>35889</v>
      </c>
      <c r="L489" s="233" t="s">
        <v>174</v>
      </c>
      <c r="M489" s="234">
        <v>43739</v>
      </c>
      <c r="N489" s="234"/>
      <c r="O489" s="234" t="s">
        <v>32</v>
      </c>
      <c r="P489" s="222" t="s">
        <v>222</v>
      </c>
      <c r="Q489" s="222" t="s">
        <v>176</v>
      </c>
      <c r="R489" s="222" t="s">
        <v>177</v>
      </c>
      <c r="S489" s="222" t="s">
        <v>2354</v>
      </c>
      <c r="T489" s="235"/>
      <c r="U489" s="235"/>
      <c r="V489" s="236"/>
      <c r="W489" s="236"/>
      <c r="X489" s="236">
        <v>9</v>
      </c>
      <c r="Y489" s="237"/>
      <c r="Z489" s="238"/>
      <c r="AA489" s="238"/>
      <c r="AB489" s="236"/>
      <c r="AC489" s="239"/>
      <c r="AD489" s="240"/>
      <c r="AE489" s="240"/>
      <c r="AF489" s="241"/>
      <c r="AG489" s="242"/>
      <c r="AH489" s="243"/>
      <c r="AI489" s="243"/>
      <c r="AJ489" s="244" t="s">
        <v>198</v>
      </c>
      <c r="AK489" s="244" t="s">
        <v>185</v>
      </c>
      <c r="AL489" s="244" t="s">
        <v>185</v>
      </c>
      <c r="AM489" s="239" t="s">
        <v>2344</v>
      </c>
      <c r="AN489" s="20">
        <v>182</v>
      </c>
      <c r="AO489" s="20">
        <v>0</v>
      </c>
      <c r="AP489" s="20">
        <v>0</v>
      </c>
      <c r="AQ489" s="20">
        <v>0</v>
      </c>
      <c r="AR489" s="20">
        <v>0</v>
      </c>
      <c r="AS489" s="20">
        <v>7</v>
      </c>
      <c r="AT489" s="20">
        <v>10</v>
      </c>
      <c r="AU489" s="300">
        <f t="shared" si="78"/>
        <v>199</v>
      </c>
      <c r="AV489" s="20">
        <v>190</v>
      </c>
      <c r="AW489" s="20">
        <v>0</v>
      </c>
      <c r="AX489" s="20">
        <v>0</v>
      </c>
      <c r="AY489" s="20">
        <v>0</v>
      </c>
      <c r="AZ489" s="20">
        <v>0</v>
      </c>
      <c r="BA489" s="20">
        <v>7</v>
      </c>
      <c r="BB489" s="20">
        <v>10</v>
      </c>
      <c r="BC489" s="300">
        <f t="shared" si="79"/>
        <v>207</v>
      </c>
      <c r="BD489" s="42">
        <f t="shared" si="80"/>
        <v>8</v>
      </c>
      <c r="BE489" s="42">
        <f t="shared" si="81"/>
        <v>0</v>
      </c>
      <c r="BF489" s="42">
        <f t="shared" si="82"/>
        <v>0</v>
      </c>
      <c r="BG489" s="42">
        <f t="shared" si="83"/>
        <v>0</v>
      </c>
      <c r="BH489" s="42">
        <f t="shared" si="84"/>
        <v>0</v>
      </c>
      <c r="BI489" s="42">
        <f t="shared" si="85"/>
        <v>0</v>
      </c>
      <c r="BJ489" s="42">
        <f t="shared" si="86"/>
        <v>0</v>
      </c>
      <c r="BK489" s="42">
        <f t="shared" si="87"/>
        <v>8</v>
      </c>
    </row>
    <row r="490" spans="1:63" ht="27" customHeight="1">
      <c r="A490" s="222">
        <f t="shared" si="88"/>
        <v>488</v>
      </c>
      <c r="B490" s="223"/>
      <c r="C490" s="223">
        <v>3323</v>
      </c>
      <c r="D490" s="225" t="s">
        <v>3211</v>
      </c>
      <c r="E490" s="226" t="s">
        <v>3212</v>
      </c>
      <c r="F490" s="227" t="s">
        <v>1307</v>
      </c>
      <c r="G490" s="228" t="s">
        <v>1572</v>
      </c>
      <c r="H490" s="229" t="s">
        <v>3213</v>
      </c>
      <c r="I490" s="230" t="s">
        <v>3214</v>
      </c>
      <c r="J490" s="231" t="s">
        <v>173</v>
      </c>
      <c r="K490" s="232">
        <v>36924</v>
      </c>
      <c r="L490" s="233" t="s">
        <v>174</v>
      </c>
      <c r="M490" s="234">
        <v>43746</v>
      </c>
      <c r="N490" s="234"/>
      <c r="O490" s="234" t="s">
        <v>32</v>
      </c>
      <c r="P490" s="222" t="s">
        <v>1276</v>
      </c>
      <c r="Q490" s="222" t="s">
        <v>176</v>
      </c>
      <c r="R490" s="222" t="s">
        <v>177</v>
      </c>
      <c r="S490" s="222" t="s">
        <v>2392</v>
      </c>
      <c r="T490" s="235"/>
      <c r="U490" s="235"/>
      <c r="V490" s="236"/>
      <c r="W490" s="236"/>
      <c r="X490" s="236">
        <v>10</v>
      </c>
      <c r="Y490" s="237"/>
      <c r="Z490" s="238"/>
      <c r="AA490" s="238"/>
      <c r="AB490" s="236"/>
      <c r="AC490" s="239"/>
      <c r="AD490" s="240"/>
      <c r="AE490" s="240"/>
      <c r="AF490" s="241"/>
      <c r="AG490" s="242"/>
      <c r="AH490" s="243"/>
      <c r="AI490" s="243"/>
      <c r="AJ490" s="244" t="s">
        <v>198</v>
      </c>
      <c r="AK490" s="244" t="s">
        <v>185</v>
      </c>
      <c r="AL490" s="244" t="s">
        <v>185</v>
      </c>
      <c r="AM490" s="239" t="s">
        <v>2344</v>
      </c>
      <c r="AN490" s="20">
        <v>182</v>
      </c>
      <c r="AO490" s="20">
        <v>0</v>
      </c>
      <c r="AP490" s="20">
        <v>20</v>
      </c>
      <c r="AQ490" s="20">
        <v>0</v>
      </c>
      <c r="AR490" s="20">
        <v>0</v>
      </c>
      <c r="AS490" s="20">
        <v>7</v>
      </c>
      <c r="AT490" s="20">
        <v>10</v>
      </c>
      <c r="AU490" s="300">
        <f t="shared" si="78"/>
        <v>219</v>
      </c>
      <c r="AV490" s="20">
        <v>190</v>
      </c>
      <c r="AW490" s="20">
        <v>0</v>
      </c>
      <c r="AX490" s="20">
        <v>20</v>
      </c>
      <c r="AY490" s="20">
        <v>0</v>
      </c>
      <c r="AZ490" s="20">
        <v>0</v>
      </c>
      <c r="BA490" s="20">
        <v>7</v>
      </c>
      <c r="BB490" s="20">
        <v>10</v>
      </c>
      <c r="BC490" s="300">
        <f t="shared" si="79"/>
        <v>227</v>
      </c>
      <c r="BD490" s="42">
        <f t="shared" si="80"/>
        <v>8</v>
      </c>
      <c r="BE490" s="42">
        <f t="shared" si="81"/>
        <v>0</v>
      </c>
      <c r="BF490" s="42">
        <f t="shared" si="82"/>
        <v>0</v>
      </c>
      <c r="BG490" s="42">
        <f t="shared" si="83"/>
        <v>0</v>
      </c>
      <c r="BH490" s="42">
        <f t="shared" si="84"/>
        <v>0</v>
      </c>
      <c r="BI490" s="42">
        <f t="shared" si="85"/>
        <v>0</v>
      </c>
      <c r="BJ490" s="42">
        <f t="shared" si="86"/>
        <v>0</v>
      </c>
      <c r="BK490" s="42">
        <f t="shared" si="87"/>
        <v>8</v>
      </c>
    </row>
    <row r="491" spans="1:63" ht="27" customHeight="1">
      <c r="A491" s="222">
        <f t="shared" si="88"/>
        <v>489</v>
      </c>
      <c r="B491" s="223"/>
      <c r="C491" s="223">
        <v>3115</v>
      </c>
      <c r="D491" s="225" t="s">
        <v>3215</v>
      </c>
      <c r="E491" s="226" t="s">
        <v>3216</v>
      </c>
      <c r="F491" s="227" t="s">
        <v>3217</v>
      </c>
      <c r="G491" s="228" t="s">
        <v>3218</v>
      </c>
      <c r="H491" s="229" t="s">
        <v>3219</v>
      </c>
      <c r="I491" s="230" t="s">
        <v>3220</v>
      </c>
      <c r="J491" s="231" t="s">
        <v>173</v>
      </c>
      <c r="K491" s="232">
        <v>31544</v>
      </c>
      <c r="L491" s="233" t="s">
        <v>174</v>
      </c>
      <c r="M491" s="234">
        <v>43742</v>
      </c>
      <c r="N491" s="234"/>
      <c r="O491" s="234" t="s">
        <v>32</v>
      </c>
      <c r="P491" s="222" t="s">
        <v>631</v>
      </c>
      <c r="Q491" s="222" t="s">
        <v>176</v>
      </c>
      <c r="R491" s="222" t="s">
        <v>177</v>
      </c>
      <c r="S491" s="222" t="s">
        <v>1369</v>
      </c>
      <c r="T491" s="235"/>
      <c r="U491" s="235"/>
      <c r="V491" s="236"/>
      <c r="W491" s="236"/>
      <c r="X491" s="236">
        <v>7</v>
      </c>
      <c r="Y491" s="237"/>
      <c r="Z491" s="238"/>
      <c r="AA491" s="238"/>
      <c r="AB491" s="236"/>
      <c r="AC491" s="239"/>
      <c r="AD491" s="240"/>
      <c r="AE491" s="240"/>
      <c r="AF491" s="241"/>
      <c r="AG491" s="242"/>
      <c r="AH491" s="243"/>
      <c r="AI491" s="243"/>
      <c r="AJ491" s="244" t="s">
        <v>198</v>
      </c>
      <c r="AK491" s="244" t="s">
        <v>185</v>
      </c>
      <c r="AL491" s="244" t="s">
        <v>185</v>
      </c>
      <c r="AM491" s="239" t="s">
        <v>2344</v>
      </c>
      <c r="AN491" s="20">
        <v>182</v>
      </c>
      <c r="AO491" s="20">
        <v>0</v>
      </c>
      <c r="AP491" s="20">
        <v>20</v>
      </c>
      <c r="AQ491" s="20">
        <v>0</v>
      </c>
      <c r="AR491" s="20">
        <v>0</v>
      </c>
      <c r="AS491" s="20">
        <v>7</v>
      </c>
      <c r="AT491" s="20">
        <v>10</v>
      </c>
      <c r="AU491" s="300">
        <f t="shared" si="78"/>
        <v>219</v>
      </c>
      <c r="AV491" s="20">
        <v>190</v>
      </c>
      <c r="AW491" s="20">
        <v>0</v>
      </c>
      <c r="AX491" s="20">
        <v>20</v>
      </c>
      <c r="AY491" s="20">
        <v>0</v>
      </c>
      <c r="AZ491" s="20">
        <v>0</v>
      </c>
      <c r="BA491" s="20">
        <v>7</v>
      </c>
      <c r="BB491" s="20">
        <v>10</v>
      </c>
      <c r="BC491" s="300">
        <f t="shared" si="79"/>
        <v>227</v>
      </c>
      <c r="BD491" s="42">
        <f t="shared" si="80"/>
        <v>8</v>
      </c>
      <c r="BE491" s="42">
        <f t="shared" si="81"/>
        <v>0</v>
      </c>
      <c r="BF491" s="42">
        <f t="shared" si="82"/>
        <v>0</v>
      </c>
      <c r="BG491" s="42">
        <f t="shared" si="83"/>
        <v>0</v>
      </c>
      <c r="BH491" s="42">
        <f t="shared" si="84"/>
        <v>0</v>
      </c>
      <c r="BI491" s="42">
        <f t="shared" si="85"/>
        <v>0</v>
      </c>
      <c r="BJ491" s="42">
        <f t="shared" si="86"/>
        <v>0</v>
      </c>
      <c r="BK491" s="42">
        <f t="shared" si="87"/>
        <v>8</v>
      </c>
    </row>
    <row r="492" spans="1:63" ht="27" customHeight="1">
      <c r="A492" s="222">
        <f t="shared" si="88"/>
        <v>490</v>
      </c>
      <c r="B492" s="223"/>
      <c r="C492" s="223">
        <v>3132</v>
      </c>
      <c r="D492" s="225" t="s">
        <v>3221</v>
      </c>
      <c r="E492" s="226" t="s">
        <v>3222</v>
      </c>
      <c r="F492" s="227" t="s">
        <v>2082</v>
      </c>
      <c r="G492" s="228" t="s">
        <v>826</v>
      </c>
      <c r="H492" s="229" t="s">
        <v>3223</v>
      </c>
      <c r="I492" s="230" t="s">
        <v>3224</v>
      </c>
      <c r="J492" s="231" t="s">
        <v>173</v>
      </c>
      <c r="K492" s="232">
        <v>30812</v>
      </c>
      <c r="L492" s="233" t="s">
        <v>174</v>
      </c>
      <c r="M492" s="234">
        <v>43742</v>
      </c>
      <c r="N492" s="234"/>
      <c r="O492" s="234" t="s">
        <v>32</v>
      </c>
      <c r="P492" s="222" t="s">
        <v>1276</v>
      </c>
      <c r="Q492" s="222" t="s">
        <v>176</v>
      </c>
      <c r="R492" s="222" t="s">
        <v>177</v>
      </c>
      <c r="S492" s="222" t="s">
        <v>2354</v>
      </c>
      <c r="T492" s="235"/>
      <c r="U492" s="235"/>
      <c r="V492" s="236"/>
      <c r="W492" s="236"/>
      <c r="X492" s="236">
        <v>3</v>
      </c>
      <c r="Y492" s="237"/>
      <c r="Z492" s="238"/>
      <c r="AA492" s="238"/>
      <c r="AB492" s="236"/>
      <c r="AC492" s="239"/>
      <c r="AD492" s="240"/>
      <c r="AE492" s="240"/>
      <c r="AF492" s="241"/>
      <c r="AG492" s="242"/>
      <c r="AH492" s="243"/>
      <c r="AI492" s="243"/>
      <c r="AJ492" s="244" t="s">
        <v>198</v>
      </c>
      <c r="AK492" s="244" t="s">
        <v>185</v>
      </c>
      <c r="AL492" s="244" t="s">
        <v>185</v>
      </c>
      <c r="AM492" s="239" t="s">
        <v>2344</v>
      </c>
      <c r="AN492" s="20">
        <v>182</v>
      </c>
      <c r="AO492" s="20">
        <v>0</v>
      </c>
      <c r="AP492" s="20">
        <v>20</v>
      </c>
      <c r="AQ492" s="20">
        <v>0</v>
      </c>
      <c r="AR492" s="20">
        <v>0</v>
      </c>
      <c r="AS492" s="20">
        <v>7</v>
      </c>
      <c r="AT492" s="20">
        <v>10</v>
      </c>
      <c r="AU492" s="300">
        <f t="shared" si="78"/>
        <v>219</v>
      </c>
      <c r="AV492" s="20">
        <v>190</v>
      </c>
      <c r="AW492" s="20">
        <v>0</v>
      </c>
      <c r="AX492" s="20">
        <v>20</v>
      </c>
      <c r="AY492" s="20">
        <v>0</v>
      </c>
      <c r="AZ492" s="20">
        <v>0</v>
      </c>
      <c r="BA492" s="20">
        <v>7</v>
      </c>
      <c r="BB492" s="20">
        <v>10</v>
      </c>
      <c r="BC492" s="300">
        <f t="shared" si="79"/>
        <v>227</v>
      </c>
      <c r="BD492" s="42">
        <f t="shared" si="80"/>
        <v>8</v>
      </c>
      <c r="BE492" s="42">
        <f t="shared" si="81"/>
        <v>0</v>
      </c>
      <c r="BF492" s="42">
        <f t="shared" si="82"/>
        <v>0</v>
      </c>
      <c r="BG492" s="42">
        <f t="shared" si="83"/>
        <v>0</v>
      </c>
      <c r="BH492" s="42">
        <f t="shared" si="84"/>
        <v>0</v>
      </c>
      <c r="BI492" s="42">
        <f t="shared" si="85"/>
        <v>0</v>
      </c>
      <c r="BJ492" s="42">
        <f t="shared" si="86"/>
        <v>0</v>
      </c>
      <c r="BK492" s="42">
        <f t="shared" si="87"/>
        <v>8</v>
      </c>
    </row>
    <row r="493" spans="1:63" ht="27" customHeight="1">
      <c r="A493" s="222">
        <f t="shared" si="88"/>
        <v>491</v>
      </c>
      <c r="B493" s="223"/>
      <c r="C493" s="223">
        <v>3107</v>
      </c>
      <c r="D493" s="225" t="s">
        <v>3225</v>
      </c>
      <c r="E493" s="226" t="s">
        <v>3226</v>
      </c>
      <c r="F493" s="227" t="s">
        <v>2829</v>
      </c>
      <c r="G493" s="228" t="s">
        <v>3227</v>
      </c>
      <c r="H493" s="229" t="s">
        <v>3228</v>
      </c>
      <c r="I493" s="230" t="s">
        <v>3229</v>
      </c>
      <c r="J493" s="231" t="s">
        <v>173</v>
      </c>
      <c r="K493" s="232" t="s">
        <v>3230</v>
      </c>
      <c r="L493" s="233" t="s">
        <v>174</v>
      </c>
      <c r="M493" s="234">
        <v>43741</v>
      </c>
      <c r="N493" s="234"/>
      <c r="O493" s="234" t="s">
        <v>32</v>
      </c>
      <c r="P493" s="222" t="s">
        <v>194</v>
      </c>
      <c r="Q493" s="222" t="s">
        <v>176</v>
      </c>
      <c r="R493" s="222" t="s">
        <v>177</v>
      </c>
      <c r="S493" s="222" t="s">
        <v>836</v>
      </c>
      <c r="T493" s="235"/>
      <c r="U493" s="235"/>
      <c r="V493" s="236"/>
      <c r="W493" s="236"/>
      <c r="X493" s="236">
        <v>8</v>
      </c>
      <c r="Y493" s="237"/>
      <c r="Z493" s="238"/>
      <c r="AA493" s="238"/>
      <c r="AB493" s="236"/>
      <c r="AC493" s="239"/>
      <c r="AD493" s="240"/>
      <c r="AE493" s="240"/>
      <c r="AF493" s="241"/>
      <c r="AG493" s="242"/>
      <c r="AH493" s="243"/>
      <c r="AI493" s="243"/>
      <c r="AJ493" s="244" t="s">
        <v>198</v>
      </c>
      <c r="AK493" s="244" t="s">
        <v>185</v>
      </c>
      <c r="AL493" s="244" t="s">
        <v>185</v>
      </c>
      <c r="AM493" s="239" t="s">
        <v>2344</v>
      </c>
      <c r="AN493" s="20">
        <v>182</v>
      </c>
      <c r="AO493" s="20">
        <v>0</v>
      </c>
      <c r="AP493" s="20">
        <v>0</v>
      </c>
      <c r="AQ493" s="20">
        <v>0</v>
      </c>
      <c r="AR493" s="20">
        <v>0</v>
      </c>
      <c r="AS493" s="20">
        <v>7</v>
      </c>
      <c r="AT493" s="20">
        <v>10</v>
      </c>
      <c r="AU493" s="300">
        <f t="shared" si="78"/>
        <v>199</v>
      </c>
      <c r="AV493" s="20">
        <v>190</v>
      </c>
      <c r="AW493" s="20">
        <v>0</v>
      </c>
      <c r="AX493" s="20">
        <v>0</v>
      </c>
      <c r="AY493" s="20">
        <v>0</v>
      </c>
      <c r="AZ493" s="20">
        <v>0</v>
      </c>
      <c r="BA493" s="20">
        <v>7</v>
      </c>
      <c r="BB493" s="20">
        <v>10</v>
      </c>
      <c r="BC493" s="300">
        <f t="shared" si="79"/>
        <v>207</v>
      </c>
      <c r="BD493" s="42">
        <f t="shared" si="80"/>
        <v>8</v>
      </c>
      <c r="BE493" s="42">
        <f t="shared" si="81"/>
        <v>0</v>
      </c>
      <c r="BF493" s="42">
        <f t="shared" si="82"/>
        <v>0</v>
      </c>
      <c r="BG493" s="42">
        <f t="shared" si="83"/>
        <v>0</v>
      </c>
      <c r="BH493" s="42">
        <f t="shared" si="84"/>
        <v>0</v>
      </c>
      <c r="BI493" s="42">
        <f t="shared" si="85"/>
        <v>0</v>
      </c>
      <c r="BJ493" s="42">
        <f t="shared" si="86"/>
        <v>0</v>
      </c>
      <c r="BK493" s="42">
        <f t="shared" si="87"/>
        <v>8</v>
      </c>
    </row>
    <row r="494" spans="1:63" ht="27" customHeight="1">
      <c r="A494" s="222">
        <f t="shared" si="88"/>
        <v>492</v>
      </c>
      <c r="B494" s="223"/>
      <c r="C494" s="223">
        <v>3097</v>
      </c>
      <c r="D494" s="225" t="s">
        <v>3231</v>
      </c>
      <c r="E494" s="226" t="s">
        <v>3232</v>
      </c>
      <c r="F494" s="227" t="s">
        <v>3233</v>
      </c>
      <c r="G494" s="228" t="s">
        <v>3022</v>
      </c>
      <c r="H494" s="229" t="s">
        <v>113</v>
      </c>
      <c r="I494" s="230" t="s">
        <v>114</v>
      </c>
      <c r="J494" s="231" t="s">
        <v>204</v>
      </c>
      <c r="K494" s="232">
        <v>36317</v>
      </c>
      <c r="L494" s="233" t="s">
        <v>174</v>
      </c>
      <c r="M494" s="234">
        <v>43740</v>
      </c>
      <c r="N494" s="234"/>
      <c r="O494" s="234" t="s">
        <v>32</v>
      </c>
      <c r="P494" s="222" t="s">
        <v>80</v>
      </c>
      <c r="Q494" s="222" t="s">
        <v>176</v>
      </c>
      <c r="R494" s="222" t="s">
        <v>177</v>
      </c>
      <c r="S494" s="222" t="s">
        <v>2487</v>
      </c>
      <c r="T494" s="235"/>
      <c r="U494" s="235"/>
      <c r="V494" s="236"/>
      <c r="W494" s="236"/>
      <c r="X494" s="236">
        <v>7</v>
      </c>
      <c r="Y494" s="237"/>
      <c r="Z494" s="238"/>
      <c r="AA494" s="238"/>
      <c r="AB494" s="236"/>
      <c r="AC494" s="239"/>
      <c r="AD494" s="240"/>
      <c r="AE494" s="240"/>
      <c r="AF494" s="241"/>
      <c r="AG494" s="242"/>
      <c r="AH494" s="243"/>
      <c r="AI494" s="243"/>
      <c r="AJ494" s="244" t="s">
        <v>198</v>
      </c>
      <c r="AK494" s="244" t="s">
        <v>185</v>
      </c>
      <c r="AL494" s="244" t="s">
        <v>185</v>
      </c>
      <c r="AM494" s="239" t="s">
        <v>2344</v>
      </c>
      <c r="AN494" s="20">
        <v>182</v>
      </c>
      <c r="AO494" s="20">
        <v>0</v>
      </c>
      <c r="AP494" s="20">
        <v>0</v>
      </c>
      <c r="AQ494" s="20">
        <v>0</v>
      </c>
      <c r="AR494" s="20">
        <v>0</v>
      </c>
      <c r="AS494" s="20">
        <v>7</v>
      </c>
      <c r="AT494" s="20">
        <v>10</v>
      </c>
      <c r="AU494" s="300">
        <f t="shared" si="78"/>
        <v>199</v>
      </c>
      <c r="AV494" s="20">
        <v>190</v>
      </c>
      <c r="AW494" s="20">
        <v>0</v>
      </c>
      <c r="AX494" s="20">
        <v>0</v>
      </c>
      <c r="AY494" s="20">
        <v>0</v>
      </c>
      <c r="AZ494" s="20">
        <v>0</v>
      </c>
      <c r="BA494" s="20">
        <v>7</v>
      </c>
      <c r="BB494" s="20">
        <v>10</v>
      </c>
      <c r="BC494" s="300">
        <f t="shared" si="79"/>
        <v>207</v>
      </c>
      <c r="BD494" s="42">
        <f t="shared" si="80"/>
        <v>8</v>
      </c>
      <c r="BE494" s="42">
        <f t="shared" si="81"/>
        <v>0</v>
      </c>
      <c r="BF494" s="42">
        <f t="shared" si="82"/>
        <v>0</v>
      </c>
      <c r="BG494" s="42">
        <f t="shared" si="83"/>
        <v>0</v>
      </c>
      <c r="BH494" s="42">
        <f t="shared" si="84"/>
        <v>0</v>
      </c>
      <c r="BI494" s="42">
        <f t="shared" si="85"/>
        <v>0</v>
      </c>
      <c r="BJ494" s="42">
        <f t="shared" si="86"/>
        <v>0</v>
      </c>
      <c r="BK494" s="42">
        <f t="shared" si="87"/>
        <v>8</v>
      </c>
    </row>
    <row r="495" spans="1:63" ht="27" customHeight="1">
      <c r="A495" s="222">
        <f t="shared" si="88"/>
        <v>493</v>
      </c>
      <c r="B495" s="223"/>
      <c r="C495" s="223">
        <v>3135</v>
      </c>
      <c r="D495" s="225" t="s">
        <v>3234</v>
      </c>
      <c r="E495" s="226" t="s">
        <v>3235</v>
      </c>
      <c r="F495" s="227" t="s">
        <v>876</v>
      </c>
      <c r="G495" s="228" t="s">
        <v>1804</v>
      </c>
      <c r="H495" s="229" t="s">
        <v>3236</v>
      </c>
      <c r="I495" s="230" t="s">
        <v>3237</v>
      </c>
      <c r="J495" s="231" t="s">
        <v>173</v>
      </c>
      <c r="K495" s="232">
        <v>33696</v>
      </c>
      <c r="L495" s="233" t="s">
        <v>174</v>
      </c>
      <c r="M495" s="234">
        <v>43743</v>
      </c>
      <c r="N495" s="234"/>
      <c r="O495" s="234" t="s">
        <v>32</v>
      </c>
      <c r="P495" s="222" t="s">
        <v>599</v>
      </c>
      <c r="Q495" s="222" t="s">
        <v>176</v>
      </c>
      <c r="R495" s="222" t="s">
        <v>177</v>
      </c>
      <c r="S495" s="222" t="s">
        <v>2425</v>
      </c>
      <c r="T495" s="235"/>
      <c r="U495" s="235"/>
      <c r="V495" s="236"/>
      <c r="W495" s="236"/>
      <c r="X495" s="236">
        <v>10</v>
      </c>
      <c r="Y495" s="237"/>
      <c r="Z495" s="238"/>
      <c r="AA495" s="238"/>
      <c r="AB495" s="236"/>
      <c r="AC495" s="239"/>
      <c r="AD495" s="240"/>
      <c r="AE495" s="240"/>
      <c r="AF495" s="241"/>
      <c r="AG495" s="242"/>
      <c r="AH495" s="243"/>
      <c r="AI495" s="243"/>
      <c r="AJ495" s="244" t="s">
        <v>198</v>
      </c>
      <c r="AK495" s="244" t="s">
        <v>185</v>
      </c>
      <c r="AL495" s="244" t="s">
        <v>185</v>
      </c>
      <c r="AM495" s="239" t="s">
        <v>2344</v>
      </c>
      <c r="AN495" s="20">
        <v>182</v>
      </c>
      <c r="AO495" s="20">
        <v>0</v>
      </c>
      <c r="AP495" s="20">
        <v>0</v>
      </c>
      <c r="AQ495" s="20">
        <v>0</v>
      </c>
      <c r="AR495" s="20">
        <v>0</v>
      </c>
      <c r="AS495" s="20">
        <v>7</v>
      </c>
      <c r="AT495" s="20">
        <v>10</v>
      </c>
      <c r="AU495" s="300">
        <f t="shared" si="78"/>
        <v>199</v>
      </c>
      <c r="AV495" s="20">
        <v>190</v>
      </c>
      <c r="AW495" s="20">
        <v>0</v>
      </c>
      <c r="AX495" s="20">
        <v>0</v>
      </c>
      <c r="AY495" s="20">
        <v>0</v>
      </c>
      <c r="AZ495" s="20">
        <v>0</v>
      </c>
      <c r="BA495" s="20">
        <v>7</v>
      </c>
      <c r="BB495" s="20">
        <v>10</v>
      </c>
      <c r="BC495" s="300">
        <f t="shared" si="79"/>
        <v>207</v>
      </c>
      <c r="BD495" s="42">
        <f t="shared" si="80"/>
        <v>8</v>
      </c>
      <c r="BE495" s="42">
        <f t="shared" si="81"/>
        <v>0</v>
      </c>
      <c r="BF495" s="42">
        <f t="shared" si="82"/>
        <v>0</v>
      </c>
      <c r="BG495" s="42">
        <f t="shared" si="83"/>
        <v>0</v>
      </c>
      <c r="BH495" s="42">
        <f t="shared" si="84"/>
        <v>0</v>
      </c>
      <c r="BI495" s="42">
        <f t="shared" si="85"/>
        <v>0</v>
      </c>
      <c r="BJ495" s="42">
        <f t="shared" si="86"/>
        <v>0</v>
      </c>
      <c r="BK495" s="42">
        <f t="shared" si="87"/>
        <v>8</v>
      </c>
    </row>
    <row r="496" spans="1:63" ht="27" customHeight="1">
      <c r="A496" s="222">
        <f t="shared" si="88"/>
        <v>494</v>
      </c>
      <c r="B496" s="223"/>
      <c r="C496" s="223">
        <v>3134</v>
      </c>
      <c r="D496" s="225" t="s">
        <v>3238</v>
      </c>
      <c r="E496" s="226" t="s">
        <v>3239</v>
      </c>
      <c r="F496" s="227" t="s">
        <v>1899</v>
      </c>
      <c r="G496" s="228" t="s">
        <v>1249</v>
      </c>
      <c r="H496" s="229" t="s">
        <v>3240</v>
      </c>
      <c r="I496" s="230" t="s">
        <v>2492</v>
      </c>
      <c r="J496" s="231" t="s">
        <v>173</v>
      </c>
      <c r="K496" s="232">
        <v>31413</v>
      </c>
      <c r="L496" s="233" t="s">
        <v>174</v>
      </c>
      <c r="M496" s="234">
        <v>43745</v>
      </c>
      <c r="N496" s="234"/>
      <c r="O496" s="234" t="s">
        <v>32</v>
      </c>
      <c r="P496" s="222" t="s">
        <v>381</v>
      </c>
      <c r="Q496" s="222" t="s">
        <v>176</v>
      </c>
      <c r="R496" s="222" t="s">
        <v>177</v>
      </c>
      <c r="S496" s="222" t="s">
        <v>2354</v>
      </c>
      <c r="T496" s="235"/>
      <c r="U496" s="235"/>
      <c r="V496" s="236"/>
      <c r="W496" s="236"/>
      <c r="X496" s="236">
        <v>7</v>
      </c>
      <c r="Y496" s="237"/>
      <c r="Z496" s="238"/>
      <c r="AA496" s="238"/>
      <c r="AB496" s="236"/>
      <c r="AC496" s="239"/>
      <c r="AD496" s="240"/>
      <c r="AE496" s="240"/>
      <c r="AF496" s="241"/>
      <c r="AG496" s="242"/>
      <c r="AH496" s="243"/>
      <c r="AI496" s="243"/>
      <c r="AJ496" s="244" t="s">
        <v>198</v>
      </c>
      <c r="AK496" s="244" t="s">
        <v>185</v>
      </c>
      <c r="AL496" s="244" t="s">
        <v>185</v>
      </c>
      <c r="AM496" s="239" t="s">
        <v>2344</v>
      </c>
      <c r="AN496" s="20">
        <v>182</v>
      </c>
      <c r="AO496" s="20">
        <v>0</v>
      </c>
      <c r="AP496" s="20">
        <v>0</v>
      </c>
      <c r="AQ496" s="20">
        <v>0</v>
      </c>
      <c r="AR496" s="20">
        <v>0</v>
      </c>
      <c r="AS496" s="20">
        <v>7</v>
      </c>
      <c r="AT496" s="20">
        <v>10</v>
      </c>
      <c r="AU496" s="300">
        <f t="shared" si="78"/>
        <v>199</v>
      </c>
      <c r="AV496" s="20">
        <v>190</v>
      </c>
      <c r="AW496" s="20">
        <v>0</v>
      </c>
      <c r="AX496" s="20">
        <v>0</v>
      </c>
      <c r="AY496" s="20">
        <v>0</v>
      </c>
      <c r="AZ496" s="20">
        <v>0</v>
      </c>
      <c r="BA496" s="20">
        <v>7</v>
      </c>
      <c r="BB496" s="20">
        <v>10</v>
      </c>
      <c r="BC496" s="300">
        <f t="shared" si="79"/>
        <v>207</v>
      </c>
      <c r="BD496" s="42">
        <f t="shared" si="80"/>
        <v>8</v>
      </c>
      <c r="BE496" s="42">
        <f t="shared" si="81"/>
        <v>0</v>
      </c>
      <c r="BF496" s="42">
        <f t="shared" si="82"/>
        <v>0</v>
      </c>
      <c r="BG496" s="42">
        <f t="shared" si="83"/>
        <v>0</v>
      </c>
      <c r="BH496" s="42">
        <f t="shared" si="84"/>
        <v>0</v>
      </c>
      <c r="BI496" s="42">
        <f t="shared" si="85"/>
        <v>0</v>
      </c>
      <c r="BJ496" s="42">
        <f t="shared" si="86"/>
        <v>0</v>
      </c>
      <c r="BK496" s="42">
        <f t="shared" si="87"/>
        <v>8</v>
      </c>
    </row>
    <row r="497" spans="1:63" ht="27" customHeight="1">
      <c r="A497" s="222">
        <f t="shared" si="88"/>
        <v>495</v>
      </c>
      <c r="B497" s="223"/>
      <c r="C497" s="223">
        <v>3133</v>
      </c>
      <c r="D497" s="225" t="s">
        <v>3241</v>
      </c>
      <c r="E497" s="226" t="s">
        <v>3242</v>
      </c>
      <c r="F497" s="227" t="s">
        <v>3243</v>
      </c>
      <c r="G497" s="228" t="s">
        <v>3244</v>
      </c>
      <c r="H497" s="229" t="s">
        <v>2108</v>
      </c>
      <c r="I497" s="230" t="s">
        <v>3245</v>
      </c>
      <c r="J497" s="231" t="s">
        <v>173</v>
      </c>
      <c r="K497" s="232">
        <v>30812</v>
      </c>
      <c r="L497" s="233" t="s">
        <v>174</v>
      </c>
      <c r="M497" s="234">
        <v>43743</v>
      </c>
      <c r="N497" s="234"/>
      <c r="O497" s="234" t="s">
        <v>32</v>
      </c>
      <c r="P497" s="222" t="s">
        <v>334</v>
      </c>
      <c r="Q497" s="222" t="s">
        <v>176</v>
      </c>
      <c r="R497" s="222" t="s">
        <v>177</v>
      </c>
      <c r="S497" s="222" t="s">
        <v>2425</v>
      </c>
      <c r="T497" s="235"/>
      <c r="U497" s="235"/>
      <c r="V497" s="236"/>
      <c r="W497" s="236"/>
      <c r="X497" s="236">
        <v>9</v>
      </c>
      <c r="Y497" s="237"/>
      <c r="Z497" s="238"/>
      <c r="AA497" s="238"/>
      <c r="AB497" s="236"/>
      <c r="AC497" s="239"/>
      <c r="AD497" s="240"/>
      <c r="AE497" s="240"/>
      <c r="AF497" s="241"/>
      <c r="AG497" s="242"/>
      <c r="AH497" s="243"/>
      <c r="AI497" s="243"/>
      <c r="AJ497" s="244" t="s">
        <v>198</v>
      </c>
      <c r="AK497" s="244" t="s">
        <v>185</v>
      </c>
      <c r="AL497" s="244" t="s">
        <v>185</v>
      </c>
      <c r="AM497" s="239" t="s">
        <v>2344</v>
      </c>
      <c r="AN497" s="20">
        <v>182</v>
      </c>
      <c r="AO497" s="20">
        <v>0</v>
      </c>
      <c r="AP497" s="20">
        <v>0</v>
      </c>
      <c r="AQ497" s="20">
        <v>0</v>
      </c>
      <c r="AR497" s="20">
        <v>0</v>
      </c>
      <c r="AS497" s="20">
        <v>7</v>
      </c>
      <c r="AT497" s="20">
        <v>10</v>
      </c>
      <c r="AU497" s="300">
        <f t="shared" si="78"/>
        <v>199</v>
      </c>
      <c r="AV497" s="20">
        <v>190</v>
      </c>
      <c r="AW497" s="20">
        <v>0</v>
      </c>
      <c r="AX497" s="20">
        <v>0</v>
      </c>
      <c r="AY497" s="20">
        <v>0</v>
      </c>
      <c r="AZ497" s="20">
        <v>0</v>
      </c>
      <c r="BA497" s="20">
        <v>7</v>
      </c>
      <c r="BB497" s="20">
        <v>10</v>
      </c>
      <c r="BC497" s="300">
        <f t="shared" si="79"/>
        <v>207</v>
      </c>
      <c r="BD497" s="42">
        <f t="shared" si="80"/>
        <v>8</v>
      </c>
      <c r="BE497" s="42">
        <f t="shared" si="81"/>
        <v>0</v>
      </c>
      <c r="BF497" s="42">
        <f t="shared" si="82"/>
        <v>0</v>
      </c>
      <c r="BG497" s="42">
        <f t="shared" si="83"/>
        <v>0</v>
      </c>
      <c r="BH497" s="42">
        <f t="shared" si="84"/>
        <v>0</v>
      </c>
      <c r="BI497" s="42">
        <f t="shared" si="85"/>
        <v>0</v>
      </c>
      <c r="BJ497" s="42">
        <f t="shared" si="86"/>
        <v>0</v>
      </c>
      <c r="BK497" s="42">
        <f t="shared" si="87"/>
        <v>8</v>
      </c>
    </row>
    <row r="498" spans="1:63" ht="27" customHeight="1">
      <c r="A498" s="222">
        <f t="shared" si="88"/>
        <v>496</v>
      </c>
      <c r="B498" s="223"/>
      <c r="C498" s="223">
        <v>3337</v>
      </c>
      <c r="D498" s="225" t="s">
        <v>3246</v>
      </c>
      <c r="E498" s="226" t="s">
        <v>3247</v>
      </c>
      <c r="F498" s="227" t="s">
        <v>1292</v>
      </c>
      <c r="G498" s="228" t="s">
        <v>2171</v>
      </c>
      <c r="H498" s="229" t="s">
        <v>3248</v>
      </c>
      <c r="I498" s="230" t="s">
        <v>3249</v>
      </c>
      <c r="J498" s="231" t="s">
        <v>173</v>
      </c>
      <c r="K498" s="232">
        <v>33642</v>
      </c>
      <c r="L498" s="233" t="s">
        <v>174</v>
      </c>
      <c r="M498" s="234">
        <v>43749</v>
      </c>
      <c r="N498" s="234"/>
      <c r="O498" s="234" t="s">
        <v>32</v>
      </c>
      <c r="P498" s="222" t="s">
        <v>304</v>
      </c>
      <c r="Q498" s="222" t="s">
        <v>176</v>
      </c>
      <c r="R498" s="222" t="s">
        <v>177</v>
      </c>
      <c r="S498" s="222" t="s">
        <v>2425</v>
      </c>
      <c r="T498" s="235"/>
      <c r="U498" s="235"/>
      <c r="V498" s="236"/>
      <c r="W498" s="236"/>
      <c r="X498" s="236">
        <v>9</v>
      </c>
      <c r="Y498" s="237"/>
      <c r="Z498" s="238"/>
      <c r="AA498" s="238" t="s">
        <v>181</v>
      </c>
      <c r="AB498" s="236"/>
      <c r="AC498" s="239"/>
      <c r="AD498" s="240"/>
      <c r="AE498" s="240"/>
      <c r="AF498" s="241"/>
      <c r="AG498" s="242"/>
      <c r="AH498" s="243"/>
      <c r="AI498" s="243"/>
      <c r="AJ498" s="244" t="s">
        <v>198</v>
      </c>
      <c r="AK498" s="244" t="s">
        <v>185</v>
      </c>
      <c r="AL498" s="244" t="s">
        <v>185</v>
      </c>
      <c r="AM498" s="239" t="s">
        <v>2344</v>
      </c>
      <c r="AN498" s="20">
        <v>182</v>
      </c>
      <c r="AO498" s="20">
        <v>0</v>
      </c>
      <c r="AP498" s="20">
        <v>0</v>
      </c>
      <c r="AQ498" s="20">
        <v>0</v>
      </c>
      <c r="AR498" s="20">
        <v>0</v>
      </c>
      <c r="AS498" s="20">
        <v>7</v>
      </c>
      <c r="AT498" s="20">
        <v>10</v>
      </c>
      <c r="AU498" s="300">
        <f t="shared" si="78"/>
        <v>199</v>
      </c>
      <c r="AV498" s="20">
        <v>190</v>
      </c>
      <c r="AW498" s="20">
        <v>0</v>
      </c>
      <c r="AX498" s="20">
        <v>0</v>
      </c>
      <c r="AY498" s="20">
        <v>0</v>
      </c>
      <c r="AZ498" s="20">
        <v>0</v>
      </c>
      <c r="BA498" s="20">
        <v>7</v>
      </c>
      <c r="BB498" s="20">
        <v>10</v>
      </c>
      <c r="BC498" s="300">
        <f t="shared" si="79"/>
        <v>207</v>
      </c>
      <c r="BD498" s="42">
        <f t="shared" si="80"/>
        <v>8</v>
      </c>
      <c r="BE498" s="42">
        <f t="shared" si="81"/>
        <v>0</v>
      </c>
      <c r="BF498" s="42">
        <f t="shared" si="82"/>
        <v>0</v>
      </c>
      <c r="BG498" s="42">
        <f t="shared" si="83"/>
        <v>0</v>
      </c>
      <c r="BH498" s="42">
        <f t="shared" si="84"/>
        <v>0</v>
      </c>
      <c r="BI498" s="42">
        <f t="shared" si="85"/>
        <v>0</v>
      </c>
      <c r="BJ498" s="42">
        <f t="shared" si="86"/>
        <v>0</v>
      </c>
      <c r="BK498" s="42">
        <f t="shared" si="87"/>
        <v>8</v>
      </c>
    </row>
    <row r="499" spans="1:63" ht="27" customHeight="1">
      <c r="A499" s="222">
        <f t="shared" si="88"/>
        <v>497</v>
      </c>
      <c r="B499" s="223"/>
      <c r="C499" s="223">
        <v>3344</v>
      </c>
      <c r="D499" s="225" t="s">
        <v>3250</v>
      </c>
      <c r="E499" s="226" t="s">
        <v>3251</v>
      </c>
      <c r="F499" s="227" t="s">
        <v>3061</v>
      </c>
      <c r="G499" s="228" t="s">
        <v>3205</v>
      </c>
      <c r="H499" s="229" t="s">
        <v>56</v>
      </c>
      <c r="I499" s="230" t="s">
        <v>57</v>
      </c>
      <c r="J499" s="231" t="s">
        <v>204</v>
      </c>
      <c r="K499" s="232">
        <v>35043</v>
      </c>
      <c r="L499" s="233" t="s">
        <v>174</v>
      </c>
      <c r="M499" s="234">
        <v>43750</v>
      </c>
      <c r="N499" s="234"/>
      <c r="O499" s="234" t="s">
        <v>32</v>
      </c>
      <c r="P499" s="222" t="s">
        <v>13</v>
      </c>
      <c r="Q499" s="222" t="s">
        <v>176</v>
      </c>
      <c r="R499" s="222" t="s">
        <v>177</v>
      </c>
      <c r="S499" s="222" t="s">
        <v>2500</v>
      </c>
      <c r="T499" s="235"/>
      <c r="U499" s="235"/>
      <c r="V499" s="236"/>
      <c r="W499" s="236"/>
      <c r="X499" s="236">
        <v>6</v>
      </c>
      <c r="Y499" s="237"/>
      <c r="Z499" s="238" t="s">
        <v>181</v>
      </c>
      <c r="AA499" s="238"/>
      <c r="AB499" s="236"/>
      <c r="AC499" s="239"/>
      <c r="AD499" s="240"/>
      <c r="AE499" s="240"/>
      <c r="AF499" s="241"/>
      <c r="AG499" s="242"/>
      <c r="AH499" s="243"/>
      <c r="AI499" s="243"/>
      <c r="AJ499" s="244" t="s">
        <v>198</v>
      </c>
      <c r="AK499" s="244" t="s">
        <v>185</v>
      </c>
      <c r="AL499" s="244" t="s">
        <v>185</v>
      </c>
      <c r="AM499" s="239" t="s">
        <v>2344</v>
      </c>
      <c r="AN499" s="20">
        <v>182</v>
      </c>
      <c r="AO499" s="20">
        <v>0</v>
      </c>
      <c r="AP499" s="20">
        <v>0</v>
      </c>
      <c r="AQ499" s="20">
        <v>0</v>
      </c>
      <c r="AR499" s="20">
        <v>0</v>
      </c>
      <c r="AS499" s="20">
        <v>7</v>
      </c>
      <c r="AT499" s="20">
        <v>10</v>
      </c>
      <c r="AU499" s="300">
        <f t="shared" si="78"/>
        <v>199</v>
      </c>
      <c r="AV499" s="20">
        <v>190</v>
      </c>
      <c r="AW499" s="20">
        <v>0</v>
      </c>
      <c r="AX499" s="20">
        <v>0</v>
      </c>
      <c r="AY499" s="20">
        <v>0</v>
      </c>
      <c r="AZ499" s="20">
        <v>0</v>
      </c>
      <c r="BA499" s="20">
        <v>7</v>
      </c>
      <c r="BB499" s="20">
        <v>10</v>
      </c>
      <c r="BC499" s="300">
        <f t="shared" si="79"/>
        <v>207</v>
      </c>
      <c r="BD499" s="42">
        <f t="shared" si="80"/>
        <v>8</v>
      </c>
      <c r="BE499" s="42">
        <f t="shared" si="81"/>
        <v>0</v>
      </c>
      <c r="BF499" s="42">
        <f t="shared" si="82"/>
        <v>0</v>
      </c>
      <c r="BG499" s="42">
        <f t="shared" si="83"/>
        <v>0</v>
      </c>
      <c r="BH499" s="42">
        <f t="shared" si="84"/>
        <v>0</v>
      </c>
      <c r="BI499" s="42">
        <f t="shared" si="85"/>
        <v>0</v>
      </c>
      <c r="BJ499" s="42">
        <f t="shared" si="86"/>
        <v>0</v>
      </c>
      <c r="BK499" s="42">
        <f t="shared" si="87"/>
        <v>8</v>
      </c>
    </row>
    <row r="500" spans="1:63" ht="27" customHeight="1">
      <c r="A500" s="222">
        <f t="shared" si="88"/>
        <v>498</v>
      </c>
      <c r="B500" s="223"/>
      <c r="C500" s="223">
        <v>3343</v>
      </c>
      <c r="D500" s="225" t="s">
        <v>3252</v>
      </c>
      <c r="E500" s="226" t="s">
        <v>3253</v>
      </c>
      <c r="F500" s="227" t="s">
        <v>1705</v>
      </c>
      <c r="G500" s="228" t="s">
        <v>232</v>
      </c>
      <c r="H500" s="229" t="s">
        <v>58</v>
      </c>
      <c r="I500" s="230" t="s">
        <v>59</v>
      </c>
      <c r="J500" s="231" t="s">
        <v>204</v>
      </c>
      <c r="K500" s="232">
        <v>36946</v>
      </c>
      <c r="L500" s="233" t="s">
        <v>174</v>
      </c>
      <c r="M500" s="234">
        <v>43750</v>
      </c>
      <c r="N500" s="234"/>
      <c r="O500" s="234" t="s">
        <v>32</v>
      </c>
      <c r="P500" s="222" t="s">
        <v>13</v>
      </c>
      <c r="Q500" s="222" t="s">
        <v>176</v>
      </c>
      <c r="R500" s="222" t="s">
        <v>177</v>
      </c>
      <c r="S500" s="222" t="s">
        <v>2500</v>
      </c>
      <c r="T500" s="235"/>
      <c r="U500" s="235"/>
      <c r="V500" s="236"/>
      <c r="W500" s="236"/>
      <c r="X500" s="236">
        <v>6</v>
      </c>
      <c r="Y500" s="237"/>
      <c r="Z500" s="238" t="s">
        <v>181</v>
      </c>
      <c r="AA500" s="238"/>
      <c r="AB500" s="236"/>
      <c r="AC500" s="239"/>
      <c r="AD500" s="240"/>
      <c r="AE500" s="240"/>
      <c r="AF500" s="241"/>
      <c r="AG500" s="242"/>
      <c r="AH500" s="243"/>
      <c r="AI500" s="243"/>
      <c r="AJ500" s="244" t="s">
        <v>198</v>
      </c>
      <c r="AK500" s="244" t="s">
        <v>185</v>
      </c>
      <c r="AL500" s="244" t="s">
        <v>185</v>
      </c>
      <c r="AM500" s="239" t="s">
        <v>2344</v>
      </c>
      <c r="AN500" s="20">
        <v>182</v>
      </c>
      <c r="AO500" s="20">
        <v>0</v>
      </c>
      <c r="AP500" s="20">
        <v>0</v>
      </c>
      <c r="AQ500" s="20">
        <v>0</v>
      </c>
      <c r="AR500" s="20">
        <v>0</v>
      </c>
      <c r="AS500" s="20">
        <v>7</v>
      </c>
      <c r="AT500" s="20">
        <v>10</v>
      </c>
      <c r="AU500" s="300">
        <f t="shared" si="78"/>
        <v>199</v>
      </c>
      <c r="AV500" s="20">
        <v>190</v>
      </c>
      <c r="AW500" s="20">
        <v>0</v>
      </c>
      <c r="AX500" s="20">
        <v>0</v>
      </c>
      <c r="AY500" s="20">
        <v>0</v>
      </c>
      <c r="AZ500" s="20">
        <v>0</v>
      </c>
      <c r="BA500" s="20">
        <v>7</v>
      </c>
      <c r="BB500" s="20">
        <v>10</v>
      </c>
      <c r="BC500" s="300">
        <f t="shared" si="79"/>
        <v>207</v>
      </c>
      <c r="BD500" s="42">
        <f t="shared" si="80"/>
        <v>8</v>
      </c>
      <c r="BE500" s="42">
        <f t="shared" si="81"/>
        <v>0</v>
      </c>
      <c r="BF500" s="42">
        <f t="shared" si="82"/>
        <v>0</v>
      </c>
      <c r="BG500" s="42">
        <f t="shared" si="83"/>
        <v>0</v>
      </c>
      <c r="BH500" s="42">
        <f t="shared" si="84"/>
        <v>0</v>
      </c>
      <c r="BI500" s="42">
        <f t="shared" si="85"/>
        <v>0</v>
      </c>
      <c r="BJ500" s="42">
        <f t="shared" si="86"/>
        <v>0</v>
      </c>
      <c r="BK500" s="42">
        <f t="shared" si="87"/>
        <v>8</v>
      </c>
    </row>
    <row r="501" spans="1:63" ht="27" customHeight="1">
      <c r="A501" s="222">
        <f t="shared" si="88"/>
        <v>499</v>
      </c>
      <c r="B501" s="223"/>
      <c r="C501" s="223">
        <v>3325</v>
      </c>
      <c r="D501" s="225">
        <v>0</v>
      </c>
      <c r="E501" s="226" t="s">
        <v>3254</v>
      </c>
      <c r="F501" s="227" t="s">
        <v>3255</v>
      </c>
      <c r="G501" s="228" t="s">
        <v>1823</v>
      </c>
      <c r="H501" s="229" t="s">
        <v>115</v>
      </c>
      <c r="I501" s="230" t="s">
        <v>48</v>
      </c>
      <c r="J501" s="231" t="s">
        <v>204</v>
      </c>
      <c r="K501" s="232">
        <v>32988</v>
      </c>
      <c r="L501" s="233" t="s">
        <v>174</v>
      </c>
      <c r="M501" s="234">
        <v>43747</v>
      </c>
      <c r="N501" s="234"/>
      <c r="O501" s="234" t="s">
        <v>32</v>
      </c>
      <c r="P501" s="222" t="s">
        <v>80</v>
      </c>
      <c r="Q501" s="222" t="s">
        <v>176</v>
      </c>
      <c r="R501" s="222" t="s">
        <v>177</v>
      </c>
      <c r="S501" s="222" t="s">
        <v>1546</v>
      </c>
      <c r="T501" s="235"/>
      <c r="U501" s="235"/>
      <c r="V501" s="236"/>
      <c r="W501" s="236"/>
      <c r="X501" s="236">
        <v>5</v>
      </c>
      <c r="Y501" s="237"/>
      <c r="Z501" s="238"/>
      <c r="AA501" s="238" t="s">
        <v>181</v>
      </c>
      <c r="AB501" s="236"/>
      <c r="AC501" s="239"/>
      <c r="AD501" s="240" t="s">
        <v>183</v>
      </c>
      <c r="AE501" s="240"/>
      <c r="AF501" s="241"/>
      <c r="AG501" s="242"/>
      <c r="AH501" s="243"/>
      <c r="AI501" s="243"/>
      <c r="AJ501" s="244" t="s">
        <v>198</v>
      </c>
      <c r="AK501" s="244" t="s">
        <v>185</v>
      </c>
      <c r="AL501" s="244" t="s">
        <v>185</v>
      </c>
      <c r="AM501" s="239" t="s">
        <v>2344</v>
      </c>
      <c r="AN501" s="20">
        <v>182</v>
      </c>
      <c r="AO501" s="20">
        <v>0</v>
      </c>
      <c r="AP501" s="20">
        <v>0</v>
      </c>
      <c r="AQ501" s="20">
        <v>0</v>
      </c>
      <c r="AR501" s="20">
        <v>0</v>
      </c>
      <c r="AS501" s="20">
        <v>7</v>
      </c>
      <c r="AT501" s="20">
        <v>10</v>
      </c>
      <c r="AU501" s="300">
        <f t="shared" si="78"/>
        <v>199</v>
      </c>
      <c r="AV501" s="20">
        <v>190</v>
      </c>
      <c r="AW501" s="20">
        <v>0</v>
      </c>
      <c r="AX501" s="20">
        <v>0</v>
      </c>
      <c r="AY501" s="20">
        <v>0</v>
      </c>
      <c r="AZ501" s="20">
        <v>0</v>
      </c>
      <c r="BA501" s="20">
        <v>7</v>
      </c>
      <c r="BB501" s="20">
        <v>10</v>
      </c>
      <c r="BC501" s="300">
        <f t="shared" si="79"/>
        <v>207</v>
      </c>
      <c r="BD501" s="42">
        <f t="shared" si="80"/>
        <v>8</v>
      </c>
      <c r="BE501" s="42">
        <f t="shared" si="81"/>
        <v>0</v>
      </c>
      <c r="BF501" s="42">
        <f t="shared" si="82"/>
        <v>0</v>
      </c>
      <c r="BG501" s="42">
        <f t="shared" si="83"/>
        <v>0</v>
      </c>
      <c r="BH501" s="42">
        <f t="shared" si="84"/>
        <v>0</v>
      </c>
      <c r="BI501" s="42">
        <f t="shared" si="85"/>
        <v>0</v>
      </c>
      <c r="BJ501" s="42">
        <f t="shared" si="86"/>
        <v>0</v>
      </c>
      <c r="BK501" s="42">
        <f t="shared" si="87"/>
        <v>8</v>
      </c>
    </row>
    <row r="502" spans="1:63" ht="27" customHeight="1">
      <c r="A502" s="222">
        <f t="shared" si="88"/>
        <v>500</v>
      </c>
      <c r="B502" s="223"/>
      <c r="C502" s="223">
        <v>3334</v>
      </c>
      <c r="D502" s="225" t="s">
        <v>3256</v>
      </c>
      <c r="E502" s="226" t="s">
        <v>3257</v>
      </c>
      <c r="F502" s="227" t="s">
        <v>1166</v>
      </c>
      <c r="G502" s="228" t="s">
        <v>2229</v>
      </c>
      <c r="H502" s="229" t="s">
        <v>3258</v>
      </c>
      <c r="I502" s="230" t="s">
        <v>3259</v>
      </c>
      <c r="J502" s="231" t="s">
        <v>204</v>
      </c>
      <c r="K502" s="232">
        <v>33666</v>
      </c>
      <c r="L502" s="233" t="s">
        <v>174</v>
      </c>
      <c r="M502" s="234">
        <v>43748</v>
      </c>
      <c r="N502" s="234"/>
      <c r="O502" s="234" t="s">
        <v>32</v>
      </c>
      <c r="P502" s="222" t="s">
        <v>556</v>
      </c>
      <c r="Q502" s="222" t="s">
        <v>176</v>
      </c>
      <c r="R502" s="222" t="s">
        <v>177</v>
      </c>
      <c r="S502" s="222" t="s">
        <v>2354</v>
      </c>
      <c r="T502" s="235"/>
      <c r="U502" s="235"/>
      <c r="V502" s="236"/>
      <c r="W502" s="236"/>
      <c r="X502" s="236">
        <v>11</v>
      </c>
      <c r="Y502" s="237"/>
      <c r="Z502" s="238" t="s">
        <v>181</v>
      </c>
      <c r="AA502" s="238"/>
      <c r="AB502" s="236"/>
      <c r="AC502" s="239"/>
      <c r="AD502" s="240"/>
      <c r="AE502" s="240"/>
      <c r="AF502" s="241"/>
      <c r="AG502" s="242"/>
      <c r="AH502" s="243"/>
      <c r="AI502" s="243"/>
      <c r="AJ502" s="244" t="s">
        <v>198</v>
      </c>
      <c r="AK502" s="244" t="s">
        <v>185</v>
      </c>
      <c r="AL502" s="244" t="s">
        <v>185</v>
      </c>
      <c r="AM502" s="239" t="s">
        <v>2344</v>
      </c>
      <c r="AN502" s="20">
        <v>182</v>
      </c>
      <c r="AO502" s="20">
        <v>0</v>
      </c>
      <c r="AP502" s="20">
        <v>0</v>
      </c>
      <c r="AQ502" s="20">
        <v>0</v>
      </c>
      <c r="AR502" s="20">
        <v>0</v>
      </c>
      <c r="AS502" s="20">
        <v>7</v>
      </c>
      <c r="AT502" s="20">
        <v>10</v>
      </c>
      <c r="AU502" s="300">
        <f t="shared" si="78"/>
        <v>199</v>
      </c>
      <c r="AV502" s="20">
        <v>190</v>
      </c>
      <c r="AW502" s="20">
        <v>0</v>
      </c>
      <c r="AX502" s="20">
        <v>0</v>
      </c>
      <c r="AY502" s="20">
        <v>0</v>
      </c>
      <c r="AZ502" s="20">
        <v>0</v>
      </c>
      <c r="BA502" s="20">
        <v>7</v>
      </c>
      <c r="BB502" s="20">
        <v>10</v>
      </c>
      <c r="BC502" s="300">
        <f t="shared" si="79"/>
        <v>207</v>
      </c>
      <c r="BD502" s="42">
        <f t="shared" si="80"/>
        <v>8</v>
      </c>
      <c r="BE502" s="42">
        <f t="shared" si="81"/>
        <v>0</v>
      </c>
      <c r="BF502" s="42">
        <f t="shared" si="82"/>
        <v>0</v>
      </c>
      <c r="BG502" s="42">
        <f t="shared" si="83"/>
        <v>0</v>
      </c>
      <c r="BH502" s="42">
        <f t="shared" si="84"/>
        <v>0</v>
      </c>
      <c r="BI502" s="42">
        <f t="shared" si="85"/>
        <v>0</v>
      </c>
      <c r="BJ502" s="42">
        <f t="shared" si="86"/>
        <v>0</v>
      </c>
      <c r="BK502" s="42">
        <f t="shared" si="87"/>
        <v>8</v>
      </c>
    </row>
    <row r="503" spans="1:63" ht="27" customHeight="1">
      <c r="A503" s="222">
        <f t="shared" si="88"/>
        <v>501</v>
      </c>
      <c r="B503" s="223"/>
      <c r="C503" s="223">
        <v>3345</v>
      </c>
      <c r="D503" s="225" t="s">
        <v>3260</v>
      </c>
      <c r="E503" s="226" t="s">
        <v>3261</v>
      </c>
      <c r="F503" s="227" t="s">
        <v>3262</v>
      </c>
      <c r="G503" s="228" t="s">
        <v>1150</v>
      </c>
      <c r="H503" s="229" t="s">
        <v>3263</v>
      </c>
      <c r="I503" s="230" t="s">
        <v>2583</v>
      </c>
      <c r="J503" s="231" t="s">
        <v>173</v>
      </c>
      <c r="K503" s="232">
        <v>33489</v>
      </c>
      <c r="L503" s="233" t="s">
        <v>174</v>
      </c>
      <c r="M503" s="234">
        <v>43750</v>
      </c>
      <c r="N503" s="234"/>
      <c r="O503" s="234" t="s">
        <v>32</v>
      </c>
      <c r="P503" s="222" t="s">
        <v>25</v>
      </c>
      <c r="Q503" s="222" t="s">
        <v>176</v>
      </c>
      <c r="R503" s="222" t="s">
        <v>177</v>
      </c>
      <c r="S503" s="222" t="s">
        <v>2392</v>
      </c>
      <c r="T503" s="235"/>
      <c r="U503" s="235"/>
      <c r="V503" s="236"/>
      <c r="W503" s="236"/>
      <c r="X503" s="236">
        <v>4</v>
      </c>
      <c r="Y503" s="237"/>
      <c r="Z503" s="238"/>
      <c r="AA503" s="238" t="s">
        <v>181</v>
      </c>
      <c r="AB503" s="236"/>
      <c r="AC503" s="239"/>
      <c r="AD503" s="240" t="s">
        <v>183</v>
      </c>
      <c r="AE503" s="240" t="s">
        <v>183</v>
      </c>
      <c r="AF503" s="241" t="s">
        <v>183</v>
      </c>
      <c r="AG503" s="242"/>
      <c r="AH503" s="243"/>
      <c r="AI503" s="243"/>
      <c r="AJ503" s="244" t="s">
        <v>198</v>
      </c>
      <c r="AK503" s="244" t="s">
        <v>185</v>
      </c>
      <c r="AL503" s="244" t="s">
        <v>185</v>
      </c>
      <c r="AM503" s="239" t="s">
        <v>2344</v>
      </c>
      <c r="AN503" s="20">
        <v>182</v>
      </c>
      <c r="AO503" s="20">
        <v>0</v>
      </c>
      <c r="AP503" s="20">
        <v>0</v>
      </c>
      <c r="AQ503" s="20">
        <v>0</v>
      </c>
      <c r="AR503" s="20">
        <v>0</v>
      </c>
      <c r="AS503" s="20">
        <v>7</v>
      </c>
      <c r="AT503" s="20">
        <v>10</v>
      </c>
      <c r="AU503" s="300">
        <f t="shared" si="78"/>
        <v>199</v>
      </c>
      <c r="AV503" s="20">
        <v>190</v>
      </c>
      <c r="AW503" s="20">
        <v>0</v>
      </c>
      <c r="AX503" s="20">
        <v>0</v>
      </c>
      <c r="AY503" s="20">
        <v>0</v>
      </c>
      <c r="AZ503" s="20">
        <v>0</v>
      </c>
      <c r="BA503" s="20">
        <v>7</v>
      </c>
      <c r="BB503" s="20">
        <v>10</v>
      </c>
      <c r="BC503" s="300">
        <f t="shared" si="79"/>
        <v>207</v>
      </c>
      <c r="BD503" s="42">
        <f t="shared" si="80"/>
        <v>8</v>
      </c>
      <c r="BE503" s="42">
        <f t="shared" si="81"/>
        <v>0</v>
      </c>
      <c r="BF503" s="42">
        <f t="shared" si="82"/>
        <v>0</v>
      </c>
      <c r="BG503" s="42">
        <f t="shared" si="83"/>
        <v>0</v>
      </c>
      <c r="BH503" s="42">
        <f t="shared" si="84"/>
        <v>0</v>
      </c>
      <c r="BI503" s="42">
        <f t="shared" si="85"/>
        <v>0</v>
      </c>
      <c r="BJ503" s="42">
        <f t="shared" si="86"/>
        <v>0</v>
      </c>
      <c r="BK503" s="42">
        <f t="shared" si="87"/>
        <v>8</v>
      </c>
    </row>
    <row r="504" spans="1:63" ht="27" customHeight="1">
      <c r="A504" s="222">
        <f t="shared" si="88"/>
        <v>502</v>
      </c>
      <c r="B504" s="223"/>
      <c r="C504" s="223">
        <v>3349</v>
      </c>
      <c r="D504" s="225" t="s">
        <v>3264</v>
      </c>
      <c r="E504" s="226" t="s">
        <v>3265</v>
      </c>
      <c r="F504" s="227" t="s">
        <v>552</v>
      </c>
      <c r="G504" s="228" t="s">
        <v>1670</v>
      </c>
      <c r="H504" s="229" t="s">
        <v>2327</v>
      </c>
      <c r="I504" s="230" t="s">
        <v>3266</v>
      </c>
      <c r="J504" s="231" t="s">
        <v>173</v>
      </c>
      <c r="K504" s="232">
        <v>35373</v>
      </c>
      <c r="L504" s="233" t="s">
        <v>174</v>
      </c>
      <c r="M504" s="234">
        <v>43754</v>
      </c>
      <c r="N504" s="234"/>
      <c r="O504" s="234" t="s">
        <v>32</v>
      </c>
      <c r="P504" s="222" t="s">
        <v>287</v>
      </c>
      <c r="Q504" s="222" t="s">
        <v>176</v>
      </c>
      <c r="R504" s="222" t="s">
        <v>177</v>
      </c>
      <c r="S504" s="222" t="s">
        <v>2379</v>
      </c>
      <c r="T504" s="235"/>
      <c r="U504" s="235"/>
      <c r="V504" s="236"/>
      <c r="W504" s="236"/>
      <c r="X504" s="236">
        <v>7</v>
      </c>
      <c r="Y504" s="237"/>
      <c r="Z504" s="238"/>
      <c r="AA504" s="238" t="s">
        <v>181</v>
      </c>
      <c r="AB504" s="236"/>
      <c r="AC504" s="239"/>
      <c r="AD504" s="240"/>
      <c r="AE504" s="240"/>
      <c r="AF504" s="241"/>
      <c r="AG504" s="242"/>
      <c r="AH504" s="243"/>
      <c r="AI504" s="243"/>
      <c r="AJ504" s="244" t="s">
        <v>198</v>
      </c>
      <c r="AK504" s="244" t="s">
        <v>185</v>
      </c>
      <c r="AL504" s="244" t="s">
        <v>185</v>
      </c>
      <c r="AM504" s="239" t="s">
        <v>2344</v>
      </c>
      <c r="AN504" s="20">
        <v>182</v>
      </c>
      <c r="AO504" s="20">
        <v>0</v>
      </c>
      <c r="AP504" s="20">
        <v>0</v>
      </c>
      <c r="AQ504" s="20">
        <v>0</v>
      </c>
      <c r="AR504" s="20">
        <v>0</v>
      </c>
      <c r="AS504" s="20">
        <v>7</v>
      </c>
      <c r="AT504" s="20">
        <v>10</v>
      </c>
      <c r="AU504" s="300">
        <f t="shared" si="78"/>
        <v>199</v>
      </c>
      <c r="AV504" s="20">
        <v>190</v>
      </c>
      <c r="AW504" s="20">
        <v>0</v>
      </c>
      <c r="AX504" s="20">
        <v>0</v>
      </c>
      <c r="AY504" s="20">
        <v>0</v>
      </c>
      <c r="AZ504" s="20">
        <v>0</v>
      </c>
      <c r="BA504" s="20">
        <v>7</v>
      </c>
      <c r="BB504" s="20">
        <v>10</v>
      </c>
      <c r="BC504" s="300">
        <f t="shared" si="79"/>
        <v>207</v>
      </c>
      <c r="BD504" s="42">
        <f t="shared" si="80"/>
        <v>8</v>
      </c>
      <c r="BE504" s="42">
        <f t="shared" si="81"/>
        <v>0</v>
      </c>
      <c r="BF504" s="42">
        <f t="shared" si="82"/>
        <v>0</v>
      </c>
      <c r="BG504" s="42">
        <f t="shared" si="83"/>
        <v>0</v>
      </c>
      <c r="BH504" s="42">
        <f t="shared" si="84"/>
        <v>0</v>
      </c>
      <c r="BI504" s="42">
        <f t="shared" si="85"/>
        <v>0</v>
      </c>
      <c r="BJ504" s="42">
        <f t="shared" si="86"/>
        <v>0</v>
      </c>
      <c r="BK504" s="42">
        <f t="shared" si="87"/>
        <v>8</v>
      </c>
    </row>
    <row r="505" spans="1:63" ht="27" customHeight="1">
      <c r="A505" s="222">
        <f t="shared" si="88"/>
        <v>503</v>
      </c>
      <c r="B505" s="223"/>
      <c r="C505" s="223">
        <v>3379</v>
      </c>
      <c r="D505" s="225" t="s">
        <v>3267</v>
      </c>
      <c r="E505" s="226" t="s">
        <v>3268</v>
      </c>
      <c r="F505" s="227" t="s">
        <v>1378</v>
      </c>
      <c r="G505" s="228" t="s">
        <v>1293</v>
      </c>
      <c r="H505" s="229" t="s">
        <v>3269</v>
      </c>
      <c r="I505" s="230" t="s">
        <v>2132</v>
      </c>
      <c r="J505" s="231" t="s">
        <v>173</v>
      </c>
      <c r="K505" s="232">
        <v>28895</v>
      </c>
      <c r="L505" s="233" t="s">
        <v>174</v>
      </c>
      <c r="M505" s="234">
        <v>43747</v>
      </c>
      <c r="N505" s="234"/>
      <c r="O505" s="234" t="s">
        <v>32</v>
      </c>
      <c r="P505" s="222" t="s">
        <v>194</v>
      </c>
      <c r="Q505" s="222" t="s">
        <v>176</v>
      </c>
      <c r="R505" s="222" t="s">
        <v>177</v>
      </c>
      <c r="S505" s="222" t="s">
        <v>2425</v>
      </c>
      <c r="T505" s="235"/>
      <c r="U505" s="235"/>
      <c r="V505" s="236"/>
      <c r="W505" s="236"/>
      <c r="X505" s="236">
        <v>5</v>
      </c>
      <c r="Y505" s="237"/>
      <c r="Z505" s="238"/>
      <c r="AA505" s="238" t="s">
        <v>181</v>
      </c>
      <c r="AB505" s="236"/>
      <c r="AC505" s="239"/>
      <c r="AD505" s="240"/>
      <c r="AE505" s="240"/>
      <c r="AF505" s="241"/>
      <c r="AG505" s="242"/>
      <c r="AH505" s="243"/>
      <c r="AI505" s="243"/>
      <c r="AJ505" s="244" t="s">
        <v>198</v>
      </c>
      <c r="AK505" s="244" t="s">
        <v>185</v>
      </c>
      <c r="AL505" s="244" t="s">
        <v>185</v>
      </c>
      <c r="AM505" s="239" t="s">
        <v>2344</v>
      </c>
      <c r="AN505" s="20">
        <v>182</v>
      </c>
      <c r="AO505" s="20">
        <v>0</v>
      </c>
      <c r="AP505" s="20">
        <v>201</v>
      </c>
      <c r="AQ505" s="20">
        <v>0</v>
      </c>
      <c r="AR505" s="20">
        <v>0</v>
      </c>
      <c r="AS505" s="20">
        <v>7</v>
      </c>
      <c r="AT505" s="20">
        <v>10</v>
      </c>
      <c r="AU505" s="300">
        <f t="shared" si="78"/>
        <v>400</v>
      </c>
      <c r="AV505" s="20">
        <v>190</v>
      </c>
      <c r="AW505" s="20">
        <v>0</v>
      </c>
      <c r="AX505" s="20">
        <v>201</v>
      </c>
      <c r="AY505" s="20">
        <v>0</v>
      </c>
      <c r="AZ505" s="20">
        <v>0</v>
      </c>
      <c r="BA505" s="20">
        <v>7</v>
      </c>
      <c r="BB505" s="20">
        <v>10</v>
      </c>
      <c r="BC505" s="300">
        <f t="shared" si="79"/>
        <v>408</v>
      </c>
      <c r="BD505" s="42">
        <f t="shared" si="80"/>
        <v>8</v>
      </c>
      <c r="BE505" s="42">
        <f t="shared" si="81"/>
        <v>0</v>
      </c>
      <c r="BF505" s="42">
        <f t="shared" si="82"/>
        <v>0</v>
      </c>
      <c r="BG505" s="42">
        <f t="shared" si="83"/>
        <v>0</v>
      </c>
      <c r="BH505" s="42">
        <f t="shared" si="84"/>
        <v>0</v>
      </c>
      <c r="BI505" s="42">
        <f t="shared" si="85"/>
        <v>0</v>
      </c>
      <c r="BJ505" s="42">
        <f t="shared" si="86"/>
        <v>0</v>
      </c>
      <c r="BK505" s="42">
        <f t="shared" si="87"/>
        <v>8</v>
      </c>
    </row>
    <row r="506" spans="1:63" ht="27" customHeight="1">
      <c r="A506" s="222">
        <f t="shared" si="88"/>
        <v>504</v>
      </c>
      <c r="B506" s="223"/>
      <c r="C506" s="223">
        <v>3375</v>
      </c>
      <c r="D506" s="225" t="s">
        <v>3270</v>
      </c>
      <c r="E506" s="226" t="s">
        <v>3271</v>
      </c>
      <c r="F506" s="227" t="s">
        <v>899</v>
      </c>
      <c r="G506" s="228" t="s">
        <v>1119</v>
      </c>
      <c r="H506" s="229" t="s">
        <v>2202</v>
      </c>
      <c r="I506" s="230" t="s">
        <v>3272</v>
      </c>
      <c r="J506" s="231" t="s">
        <v>173</v>
      </c>
      <c r="K506" s="232">
        <v>23477</v>
      </c>
      <c r="L506" s="233" t="s">
        <v>174</v>
      </c>
      <c r="M506" s="234">
        <v>43753</v>
      </c>
      <c r="N506" s="234"/>
      <c r="O506" s="234" t="s">
        <v>32</v>
      </c>
      <c r="P506" s="222" t="s">
        <v>397</v>
      </c>
      <c r="Q506" s="222" t="s">
        <v>176</v>
      </c>
      <c r="R506" s="222" t="s">
        <v>177</v>
      </c>
      <c r="S506" s="222" t="s">
        <v>2425</v>
      </c>
      <c r="T506" s="235"/>
      <c r="U506" s="235"/>
      <c r="V506" s="236"/>
      <c r="W506" s="236"/>
      <c r="X506" s="236">
        <v>6</v>
      </c>
      <c r="Y506" s="237"/>
      <c r="Z506" s="238"/>
      <c r="AA506" s="238" t="s">
        <v>181</v>
      </c>
      <c r="AB506" s="236"/>
      <c r="AC506" s="239"/>
      <c r="AD506" s="240"/>
      <c r="AE506" s="240"/>
      <c r="AF506" s="241"/>
      <c r="AG506" s="242"/>
      <c r="AH506" s="243"/>
      <c r="AI506" s="243"/>
      <c r="AJ506" s="244" t="s">
        <v>198</v>
      </c>
      <c r="AK506" s="244" t="s">
        <v>185</v>
      </c>
      <c r="AL506" s="244" t="s">
        <v>185</v>
      </c>
      <c r="AM506" s="239" t="s">
        <v>2344</v>
      </c>
      <c r="AN506" s="20">
        <v>182</v>
      </c>
      <c r="AO506" s="20">
        <v>0</v>
      </c>
      <c r="AP506" s="20">
        <v>0</v>
      </c>
      <c r="AQ506" s="20">
        <v>0</v>
      </c>
      <c r="AR506" s="20">
        <v>0</v>
      </c>
      <c r="AS506" s="20">
        <v>7</v>
      </c>
      <c r="AT506" s="20">
        <v>10</v>
      </c>
      <c r="AU506" s="300">
        <f t="shared" si="78"/>
        <v>199</v>
      </c>
      <c r="AV506" s="20">
        <v>190</v>
      </c>
      <c r="AW506" s="20">
        <v>0</v>
      </c>
      <c r="AX506" s="20">
        <v>0</v>
      </c>
      <c r="AY506" s="20">
        <v>0</v>
      </c>
      <c r="AZ506" s="20">
        <v>0</v>
      </c>
      <c r="BA506" s="20">
        <v>7</v>
      </c>
      <c r="BB506" s="20">
        <v>10</v>
      </c>
      <c r="BC506" s="300">
        <f t="shared" si="79"/>
        <v>207</v>
      </c>
      <c r="BD506" s="42">
        <f t="shared" si="80"/>
        <v>8</v>
      </c>
      <c r="BE506" s="42">
        <f t="shared" si="81"/>
        <v>0</v>
      </c>
      <c r="BF506" s="42">
        <f t="shared" si="82"/>
        <v>0</v>
      </c>
      <c r="BG506" s="42">
        <f t="shared" si="83"/>
        <v>0</v>
      </c>
      <c r="BH506" s="42">
        <f t="shared" si="84"/>
        <v>0</v>
      </c>
      <c r="BI506" s="42">
        <f t="shared" si="85"/>
        <v>0</v>
      </c>
      <c r="BJ506" s="42">
        <f t="shared" si="86"/>
        <v>0</v>
      </c>
      <c r="BK506" s="42">
        <f t="shared" si="87"/>
        <v>8</v>
      </c>
    </row>
    <row r="507" spans="1:63" ht="27" customHeight="1">
      <c r="A507" s="222">
        <f t="shared" si="88"/>
        <v>505</v>
      </c>
      <c r="B507" s="223"/>
      <c r="C507" s="223">
        <v>3371</v>
      </c>
      <c r="D507" s="225" t="s">
        <v>3273</v>
      </c>
      <c r="E507" s="226" t="s">
        <v>3274</v>
      </c>
      <c r="F507" s="227" t="s">
        <v>1418</v>
      </c>
      <c r="G507" s="228" t="s">
        <v>3275</v>
      </c>
      <c r="H507" s="229" t="s">
        <v>3276</v>
      </c>
      <c r="I507" s="230" t="s">
        <v>3277</v>
      </c>
      <c r="J507" s="231" t="s">
        <v>173</v>
      </c>
      <c r="K507" s="232">
        <v>33843</v>
      </c>
      <c r="L507" s="233" t="s">
        <v>174</v>
      </c>
      <c r="M507" s="234">
        <v>43755</v>
      </c>
      <c r="N507" s="234"/>
      <c r="O507" s="234" t="s">
        <v>32</v>
      </c>
      <c r="P507" s="222" t="s">
        <v>260</v>
      </c>
      <c r="Q507" s="222" t="s">
        <v>176</v>
      </c>
      <c r="R507" s="222" t="s">
        <v>177</v>
      </c>
      <c r="S507" s="222" t="s">
        <v>2392</v>
      </c>
      <c r="T507" s="235"/>
      <c r="U507" s="235"/>
      <c r="V507" s="236"/>
      <c r="W507" s="236"/>
      <c r="X507" s="236">
        <v>7</v>
      </c>
      <c r="Y507" s="237"/>
      <c r="Z507" s="238"/>
      <c r="AA507" s="238" t="s">
        <v>181</v>
      </c>
      <c r="AB507" s="236"/>
      <c r="AC507" s="239"/>
      <c r="AD507" s="240" t="s">
        <v>183</v>
      </c>
      <c r="AE507" s="240"/>
      <c r="AF507" s="241"/>
      <c r="AG507" s="242"/>
      <c r="AH507" s="243"/>
      <c r="AI507" s="243"/>
      <c r="AJ507" s="244" t="s">
        <v>198</v>
      </c>
      <c r="AK507" s="244" t="s">
        <v>185</v>
      </c>
      <c r="AL507" s="244" t="s">
        <v>185</v>
      </c>
      <c r="AM507" s="239" t="s">
        <v>2344</v>
      </c>
      <c r="AN507" s="20">
        <v>182</v>
      </c>
      <c r="AO507" s="20">
        <v>0</v>
      </c>
      <c r="AP507" s="20">
        <v>0</v>
      </c>
      <c r="AQ507" s="20">
        <v>0</v>
      </c>
      <c r="AR507" s="20">
        <v>0</v>
      </c>
      <c r="AS507" s="20">
        <v>7</v>
      </c>
      <c r="AT507" s="20">
        <v>10</v>
      </c>
      <c r="AU507" s="300">
        <f t="shared" si="78"/>
        <v>199</v>
      </c>
      <c r="AV507" s="20">
        <v>190</v>
      </c>
      <c r="AW507" s="20">
        <v>0</v>
      </c>
      <c r="AX507" s="20">
        <v>0</v>
      </c>
      <c r="AY507" s="20">
        <v>0</v>
      </c>
      <c r="AZ507" s="20">
        <v>0</v>
      </c>
      <c r="BA507" s="20">
        <v>7</v>
      </c>
      <c r="BB507" s="20">
        <v>10</v>
      </c>
      <c r="BC507" s="300">
        <f t="shared" si="79"/>
        <v>207</v>
      </c>
      <c r="BD507" s="42">
        <f t="shared" si="80"/>
        <v>8</v>
      </c>
      <c r="BE507" s="42">
        <f t="shared" si="81"/>
        <v>0</v>
      </c>
      <c r="BF507" s="42">
        <f t="shared" si="82"/>
        <v>0</v>
      </c>
      <c r="BG507" s="42">
        <f t="shared" si="83"/>
        <v>0</v>
      </c>
      <c r="BH507" s="42">
        <f t="shared" si="84"/>
        <v>0</v>
      </c>
      <c r="BI507" s="42">
        <f t="shared" si="85"/>
        <v>0</v>
      </c>
      <c r="BJ507" s="42">
        <f t="shared" si="86"/>
        <v>0</v>
      </c>
      <c r="BK507" s="42">
        <f t="shared" si="87"/>
        <v>8</v>
      </c>
    </row>
    <row r="508" spans="1:63" ht="27" customHeight="1">
      <c r="A508" s="222">
        <f t="shared" si="88"/>
        <v>506</v>
      </c>
      <c r="B508" s="223"/>
      <c r="C508" s="223">
        <v>3374</v>
      </c>
      <c r="D508" s="225" t="s">
        <v>3278</v>
      </c>
      <c r="E508" s="226" t="s">
        <v>3279</v>
      </c>
      <c r="F508" s="227" t="s">
        <v>3280</v>
      </c>
      <c r="G508" s="228" t="s">
        <v>446</v>
      </c>
      <c r="H508" s="229" t="s">
        <v>3281</v>
      </c>
      <c r="I508" s="230" t="s">
        <v>3282</v>
      </c>
      <c r="J508" s="231" t="s">
        <v>173</v>
      </c>
      <c r="K508" s="232">
        <v>29788</v>
      </c>
      <c r="L508" s="233" t="s">
        <v>174</v>
      </c>
      <c r="M508" s="234">
        <v>43755</v>
      </c>
      <c r="N508" s="234"/>
      <c r="O508" s="234" t="s">
        <v>32</v>
      </c>
      <c r="P508" s="222" t="s">
        <v>397</v>
      </c>
      <c r="Q508" s="222" t="s">
        <v>176</v>
      </c>
      <c r="R508" s="222" t="s">
        <v>177</v>
      </c>
      <c r="S508" s="222" t="s">
        <v>2354</v>
      </c>
      <c r="T508" s="235"/>
      <c r="U508" s="235"/>
      <c r="V508" s="236"/>
      <c r="W508" s="236"/>
      <c r="X508" s="236">
        <v>5</v>
      </c>
      <c r="Y508" s="237"/>
      <c r="Z508" s="238"/>
      <c r="AA508" s="238" t="s">
        <v>181</v>
      </c>
      <c r="AB508" s="236"/>
      <c r="AC508" s="239"/>
      <c r="AD508" s="240" t="s">
        <v>183</v>
      </c>
      <c r="AE508" s="240" t="s">
        <v>183</v>
      </c>
      <c r="AF508" s="241" t="s">
        <v>183</v>
      </c>
      <c r="AG508" s="242"/>
      <c r="AH508" s="243"/>
      <c r="AI508" s="243"/>
      <c r="AJ508" s="244" t="s">
        <v>198</v>
      </c>
      <c r="AK508" s="244" t="s">
        <v>185</v>
      </c>
      <c r="AL508" s="244" t="s">
        <v>185</v>
      </c>
      <c r="AM508" s="239" t="s">
        <v>2344</v>
      </c>
      <c r="AN508" s="20">
        <v>182</v>
      </c>
      <c r="AO508" s="20">
        <v>0</v>
      </c>
      <c r="AP508" s="20">
        <v>0</v>
      </c>
      <c r="AQ508" s="20">
        <v>0</v>
      </c>
      <c r="AR508" s="20">
        <v>0</v>
      </c>
      <c r="AS508" s="20">
        <v>7</v>
      </c>
      <c r="AT508" s="20">
        <v>10</v>
      </c>
      <c r="AU508" s="300">
        <f t="shared" si="78"/>
        <v>199</v>
      </c>
      <c r="AV508" s="20">
        <v>190</v>
      </c>
      <c r="AW508" s="20">
        <v>0</v>
      </c>
      <c r="AX508" s="20">
        <v>0</v>
      </c>
      <c r="AY508" s="20">
        <v>0</v>
      </c>
      <c r="AZ508" s="20">
        <v>0</v>
      </c>
      <c r="BA508" s="20">
        <v>7</v>
      </c>
      <c r="BB508" s="20">
        <v>10</v>
      </c>
      <c r="BC508" s="300">
        <f t="shared" si="79"/>
        <v>207</v>
      </c>
      <c r="BD508" s="42">
        <f t="shared" si="80"/>
        <v>8</v>
      </c>
      <c r="BE508" s="42">
        <f t="shared" si="81"/>
        <v>0</v>
      </c>
      <c r="BF508" s="42">
        <f t="shared" si="82"/>
        <v>0</v>
      </c>
      <c r="BG508" s="42">
        <f t="shared" si="83"/>
        <v>0</v>
      </c>
      <c r="BH508" s="42">
        <f t="shared" si="84"/>
        <v>0</v>
      </c>
      <c r="BI508" s="42">
        <f t="shared" si="85"/>
        <v>0</v>
      </c>
      <c r="BJ508" s="42">
        <f t="shared" si="86"/>
        <v>0</v>
      </c>
      <c r="BK508" s="42">
        <f t="shared" si="87"/>
        <v>8</v>
      </c>
    </row>
    <row r="509" spans="1:63" ht="27" customHeight="1">
      <c r="A509" s="222">
        <f t="shared" si="88"/>
        <v>507</v>
      </c>
      <c r="B509" s="223"/>
      <c r="C509" s="223">
        <v>3370</v>
      </c>
      <c r="D509" s="225" t="s">
        <v>3283</v>
      </c>
      <c r="E509" s="226" t="s">
        <v>3284</v>
      </c>
      <c r="F509" s="227" t="s">
        <v>1418</v>
      </c>
      <c r="G509" s="228" t="s">
        <v>3285</v>
      </c>
      <c r="H509" s="229" t="s">
        <v>3276</v>
      </c>
      <c r="I509" s="230" t="s">
        <v>3286</v>
      </c>
      <c r="J509" s="231" t="s">
        <v>173</v>
      </c>
      <c r="K509" s="232">
        <v>30480</v>
      </c>
      <c r="L509" s="233" t="s">
        <v>174</v>
      </c>
      <c r="M509" s="234">
        <v>43755</v>
      </c>
      <c r="N509" s="234"/>
      <c r="O509" s="234" t="s">
        <v>32</v>
      </c>
      <c r="P509" s="222" t="s">
        <v>260</v>
      </c>
      <c r="Q509" s="222" t="s">
        <v>176</v>
      </c>
      <c r="R509" s="222" t="s">
        <v>177</v>
      </c>
      <c r="S509" s="222" t="s">
        <v>2392</v>
      </c>
      <c r="T509" s="235"/>
      <c r="U509" s="235"/>
      <c r="V509" s="236"/>
      <c r="W509" s="236"/>
      <c r="X509" s="236">
        <v>4</v>
      </c>
      <c r="Y509" s="237"/>
      <c r="Z509" s="238"/>
      <c r="AA509" s="238" t="s">
        <v>181</v>
      </c>
      <c r="AB509" s="236"/>
      <c r="AC509" s="239"/>
      <c r="AD509" s="240"/>
      <c r="AE509" s="240"/>
      <c r="AF509" s="241"/>
      <c r="AG509" s="242"/>
      <c r="AH509" s="243"/>
      <c r="AI509" s="243"/>
      <c r="AJ509" s="244" t="s">
        <v>198</v>
      </c>
      <c r="AK509" s="244" t="s">
        <v>185</v>
      </c>
      <c r="AL509" s="244" t="s">
        <v>185</v>
      </c>
      <c r="AM509" s="239" t="s">
        <v>2344</v>
      </c>
      <c r="AN509" s="20">
        <v>182</v>
      </c>
      <c r="AO509" s="20">
        <v>0</v>
      </c>
      <c r="AP509" s="20">
        <v>0</v>
      </c>
      <c r="AQ509" s="20">
        <v>0</v>
      </c>
      <c r="AR509" s="20">
        <v>0</v>
      </c>
      <c r="AS509" s="20">
        <v>7</v>
      </c>
      <c r="AT509" s="20">
        <v>10</v>
      </c>
      <c r="AU509" s="300">
        <f t="shared" si="78"/>
        <v>199</v>
      </c>
      <c r="AV509" s="20">
        <v>190</v>
      </c>
      <c r="AW509" s="20">
        <v>0</v>
      </c>
      <c r="AX509" s="20">
        <v>0</v>
      </c>
      <c r="AY509" s="20">
        <v>0</v>
      </c>
      <c r="AZ509" s="20">
        <v>0</v>
      </c>
      <c r="BA509" s="20">
        <v>7</v>
      </c>
      <c r="BB509" s="20">
        <v>10</v>
      </c>
      <c r="BC509" s="300">
        <f t="shared" si="79"/>
        <v>207</v>
      </c>
      <c r="BD509" s="42">
        <f t="shared" si="80"/>
        <v>8</v>
      </c>
      <c r="BE509" s="42">
        <f t="shared" si="81"/>
        <v>0</v>
      </c>
      <c r="BF509" s="42">
        <f t="shared" si="82"/>
        <v>0</v>
      </c>
      <c r="BG509" s="42">
        <f t="shared" si="83"/>
        <v>0</v>
      </c>
      <c r="BH509" s="42">
        <f t="shared" si="84"/>
        <v>0</v>
      </c>
      <c r="BI509" s="42">
        <f t="shared" si="85"/>
        <v>0</v>
      </c>
      <c r="BJ509" s="42">
        <f t="shared" si="86"/>
        <v>0</v>
      </c>
      <c r="BK509" s="42">
        <f t="shared" si="87"/>
        <v>8</v>
      </c>
    </row>
    <row r="510" spans="1:63" ht="27" customHeight="1">
      <c r="A510" s="222">
        <f t="shared" si="88"/>
        <v>508</v>
      </c>
      <c r="B510" s="223"/>
      <c r="C510" s="223">
        <v>3319</v>
      </c>
      <c r="D510" s="225" t="s">
        <v>3287</v>
      </c>
      <c r="E510" s="226" t="s">
        <v>3288</v>
      </c>
      <c r="F510" s="227" t="s">
        <v>2257</v>
      </c>
      <c r="G510" s="228" t="s">
        <v>2064</v>
      </c>
      <c r="H510" s="229" t="s">
        <v>2259</v>
      </c>
      <c r="I510" s="230" t="s">
        <v>3289</v>
      </c>
      <c r="J510" s="231" t="s">
        <v>173</v>
      </c>
      <c r="K510" s="232">
        <v>36541</v>
      </c>
      <c r="L510" s="233" t="s">
        <v>174</v>
      </c>
      <c r="M510" s="234">
        <v>43745</v>
      </c>
      <c r="N510" s="234"/>
      <c r="O510" s="234" t="s">
        <v>32</v>
      </c>
      <c r="P510" s="222" t="s">
        <v>25</v>
      </c>
      <c r="Q510" s="222" t="s">
        <v>176</v>
      </c>
      <c r="R510" s="222" t="s">
        <v>177</v>
      </c>
      <c r="S510" s="222" t="s">
        <v>2425</v>
      </c>
      <c r="T510" s="235"/>
      <c r="U510" s="235"/>
      <c r="V510" s="236"/>
      <c r="W510" s="236"/>
      <c r="X510" s="236">
        <v>8</v>
      </c>
      <c r="Y510" s="237"/>
      <c r="Z510" s="238" t="s">
        <v>181</v>
      </c>
      <c r="AA510" s="238"/>
      <c r="AB510" s="236"/>
      <c r="AC510" s="239"/>
      <c r="AD510" s="240"/>
      <c r="AE510" s="240"/>
      <c r="AF510" s="241"/>
      <c r="AG510" s="242"/>
      <c r="AH510" s="243"/>
      <c r="AI510" s="243"/>
      <c r="AJ510" s="244" t="s">
        <v>198</v>
      </c>
      <c r="AK510" s="244" t="s">
        <v>185</v>
      </c>
      <c r="AL510" s="244" t="s">
        <v>185</v>
      </c>
      <c r="AM510" s="239" t="s">
        <v>2344</v>
      </c>
      <c r="AN510" s="20">
        <v>182</v>
      </c>
      <c r="AO510" s="20">
        <v>0</v>
      </c>
      <c r="AP510" s="20">
        <v>0</v>
      </c>
      <c r="AQ510" s="20">
        <v>0</v>
      </c>
      <c r="AR510" s="20">
        <v>0</v>
      </c>
      <c r="AS510" s="20">
        <v>7</v>
      </c>
      <c r="AT510" s="20">
        <v>10</v>
      </c>
      <c r="AU510" s="300">
        <f t="shared" si="78"/>
        <v>199</v>
      </c>
      <c r="AV510" s="20">
        <v>190</v>
      </c>
      <c r="AW510" s="20">
        <v>0</v>
      </c>
      <c r="AX510" s="20">
        <v>0</v>
      </c>
      <c r="AY510" s="20">
        <v>0</v>
      </c>
      <c r="AZ510" s="20">
        <v>0</v>
      </c>
      <c r="BA510" s="20">
        <v>7</v>
      </c>
      <c r="BB510" s="20">
        <v>10</v>
      </c>
      <c r="BC510" s="300">
        <f t="shared" si="79"/>
        <v>207</v>
      </c>
      <c r="BD510" s="42">
        <f t="shared" si="80"/>
        <v>8</v>
      </c>
      <c r="BE510" s="42">
        <f t="shared" si="81"/>
        <v>0</v>
      </c>
      <c r="BF510" s="42">
        <f t="shared" si="82"/>
        <v>0</v>
      </c>
      <c r="BG510" s="42">
        <f t="shared" si="83"/>
        <v>0</v>
      </c>
      <c r="BH510" s="42">
        <f t="shared" si="84"/>
        <v>0</v>
      </c>
      <c r="BI510" s="42">
        <f t="shared" si="85"/>
        <v>0</v>
      </c>
      <c r="BJ510" s="42">
        <f t="shared" si="86"/>
        <v>0</v>
      </c>
      <c r="BK510" s="42">
        <f t="shared" si="87"/>
        <v>8</v>
      </c>
    </row>
    <row r="511" spans="1:63" ht="27" customHeight="1">
      <c r="A511" s="222">
        <f t="shared" si="88"/>
        <v>509</v>
      </c>
      <c r="B511" s="223"/>
      <c r="C511" s="223">
        <v>3384</v>
      </c>
      <c r="D511" s="225" t="s">
        <v>3290</v>
      </c>
      <c r="E511" s="226" t="s">
        <v>3291</v>
      </c>
      <c r="F511" s="227" t="s">
        <v>670</v>
      </c>
      <c r="G511" s="228" t="s">
        <v>3292</v>
      </c>
      <c r="H511" s="229" t="s">
        <v>3293</v>
      </c>
      <c r="I511" s="230" t="s">
        <v>3294</v>
      </c>
      <c r="J511" s="231" t="s">
        <v>173</v>
      </c>
      <c r="K511" s="232">
        <v>28401</v>
      </c>
      <c r="L511" s="233" t="s">
        <v>174</v>
      </c>
      <c r="M511" s="234">
        <v>43756</v>
      </c>
      <c r="N511" s="234"/>
      <c r="O511" s="234" t="s">
        <v>32</v>
      </c>
      <c r="P511" s="222" t="s">
        <v>1080</v>
      </c>
      <c r="Q511" s="222" t="s">
        <v>176</v>
      </c>
      <c r="R511" s="222" t="s">
        <v>177</v>
      </c>
      <c r="S511" s="222" t="s">
        <v>2425</v>
      </c>
      <c r="T511" s="235"/>
      <c r="U511" s="235"/>
      <c r="V511" s="236"/>
      <c r="W511" s="236"/>
      <c r="X511" s="236">
        <v>0</v>
      </c>
      <c r="Y511" s="237"/>
      <c r="Z511" s="238"/>
      <c r="AA511" s="238" t="s">
        <v>181</v>
      </c>
      <c r="AB511" s="236"/>
      <c r="AC511" s="239"/>
      <c r="AD511" s="240"/>
      <c r="AE511" s="240"/>
      <c r="AF511" s="241"/>
      <c r="AG511" s="242"/>
      <c r="AH511" s="243"/>
      <c r="AI511" s="243"/>
      <c r="AJ511" s="244" t="s">
        <v>198</v>
      </c>
      <c r="AK511" s="244" t="s">
        <v>185</v>
      </c>
      <c r="AL511" s="244" t="s">
        <v>185</v>
      </c>
      <c r="AM511" s="239" t="s">
        <v>2344</v>
      </c>
      <c r="AN511" s="20">
        <v>182</v>
      </c>
      <c r="AO511" s="20">
        <v>0</v>
      </c>
      <c r="AP511" s="20">
        <v>0</v>
      </c>
      <c r="AQ511" s="20">
        <v>0</v>
      </c>
      <c r="AR511" s="20">
        <v>0</v>
      </c>
      <c r="AS511" s="20">
        <v>7</v>
      </c>
      <c r="AT511" s="20">
        <v>10</v>
      </c>
      <c r="AU511" s="300">
        <f t="shared" si="78"/>
        <v>199</v>
      </c>
      <c r="AV511" s="20">
        <v>190</v>
      </c>
      <c r="AW511" s="20">
        <v>0</v>
      </c>
      <c r="AX511" s="20">
        <v>0</v>
      </c>
      <c r="AY511" s="20">
        <v>0</v>
      </c>
      <c r="AZ511" s="20">
        <v>0</v>
      </c>
      <c r="BA511" s="20">
        <v>7</v>
      </c>
      <c r="BB511" s="20">
        <v>10</v>
      </c>
      <c r="BC511" s="300">
        <f t="shared" si="79"/>
        <v>207</v>
      </c>
      <c r="BD511" s="42">
        <f t="shared" si="80"/>
        <v>8</v>
      </c>
      <c r="BE511" s="42">
        <f t="shared" si="81"/>
        <v>0</v>
      </c>
      <c r="BF511" s="42">
        <f t="shared" si="82"/>
        <v>0</v>
      </c>
      <c r="BG511" s="42">
        <f t="shared" si="83"/>
        <v>0</v>
      </c>
      <c r="BH511" s="42">
        <f t="shared" si="84"/>
        <v>0</v>
      </c>
      <c r="BI511" s="42">
        <f t="shared" si="85"/>
        <v>0</v>
      </c>
      <c r="BJ511" s="42">
        <f t="shared" si="86"/>
        <v>0</v>
      </c>
      <c r="BK511" s="42">
        <f t="shared" si="87"/>
        <v>8</v>
      </c>
    </row>
    <row r="512" spans="1:63" ht="27" customHeight="1">
      <c r="A512" s="222">
        <f t="shared" si="88"/>
        <v>510</v>
      </c>
      <c r="B512" s="223"/>
      <c r="C512" s="223">
        <v>3390</v>
      </c>
      <c r="D512" s="225" t="s">
        <v>3295</v>
      </c>
      <c r="E512" s="226" t="s">
        <v>3296</v>
      </c>
      <c r="F512" s="227" t="s">
        <v>1411</v>
      </c>
      <c r="G512" s="228" t="s">
        <v>3297</v>
      </c>
      <c r="H512" s="229" t="s">
        <v>3298</v>
      </c>
      <c r="I512" s="230" t="s">
        <v>3299</v>
      </c>
      <c r="J512" s="231" t="s">
        <v>173</v>
      </c>
      <c r="K512" s="232">
        <v>33374</v>
      </c>
      <c r="L512" s="233" t="s">
        <v>174</v>
      </c>
      <c r="M512" s="234">
        <v>43713</v>
      </c>
      <c r="N512" s="234"/>
      <c r="O512" s="234" t="s">
        <v>32</v>
      </c>
      <c r="P512" s="222" t="s">
        <v>25</v>
      </c>
      <c r="Q512" s="222" t="s">
        <v>176</v>
      </c>
      <c r="R512" s="222" t="s">
        <v>177</v>
      </c>
      <c r="S512" s="222" t="s">
        <v>2500</v>
      </c>
      <c r="T512" s="235"/>
      <c r="U512" s="235"/>
      <c r="V512" s="236"/>
      <c r="W512" s="236"/>
      <c r="X512" s="236">
        <v>4</v>
      </c>
      <c r="Y512" s="237" t="s">
        <v>3300</v>
      </c>
      <c r="Z512" s="238"/>
      <c r="AA512" s="238" t="s">
        <v>181</v>
      </c>
      <c r="AB512" s="238"/>
      <c r="AC512" s="239"/>
      <c r="AD512" s="240"/>
      <c r="AE512" s="240"/>
      <c r="AF512" s="241"/>
      <c r="AG512" s="242"/>
      <c r="AH512" s="243"/>
      <c r="AI512" s="243"/>
      <c r="AJ512" s="244" t="s">
        <v>198</v>
      </c>
      <c r="AK512" s="244" t="s">
        <v>185</v>
      </c>
      <c r="AL512" s="244" t="s">
        <v>185</v>
      </c>
      <c r="AM512" s="239" t="s">
        <v>2344</v>
      </c>
      <c r="AN512" s="20">
        <v>182</v>
      </c>
      <c r="AO512" s="20">
        <v>0</v>
      </c>
      <c r="AP512" s="20">
        <v>0</v>
      </c>
      <c r="AQ512" s="20">
        <v>0</v>
      </c>
      <c r="AR512" s="20">
        <v>0</v>
      </c>
      <c r="AS512" s="20">
        <v>7</v>
      </c>
      <c r="AT512" s="20">
        <v>10</v>
      </c>
      <c r="AU512" s="300">
        <f t="shared" si="78"/>
        <v>199</v>
      </c>
      <c r="AV512" s="20">
        <v>190</v>
      </c>
      <c r="AW512" s="20">
        <v>0</v>
      </c>
      <c r="AX512" s="20">
        <v>0</v>
      </c>
      <c r="AY512" s="20">
        <v>0</v>
      </c>
      <c r="AZ512" s="20">
        <v>0</v>
      </c>
      <c r="BA512" s="20">
        <v>7</v>
      </c>
      <c r="BB512" s="20">
        <v>10</v>
      </c>
      <c r="BC512" s="300">
        <f t="shared" si="79"/>
        <v>207</v>
      </c>
      <c r="BD512" s="42">
        <f t="shared" si="80"/>
        <v>8</v>
      </c>
      <c r="BE512" s="42">
        <f t="shared" si="81"/>
        <v>0</v>
      </c>
      <c r="BF512" s="42">
        <f t="shared" si="82"/>
        <v>0</v>
      </c>
      <c r="BG512" s="42">
        <f t="shared" si="83"/>
        <v>0</v>
      </c>
      <c r="BH512" s="42">
        <f t="shared" si="84"/>
        <v>0</v>
      </c>
      <c r="BI512" s="42">
        <f t="shared" si="85"/>
        <v>0</v>
      </c>
      <c r="BJ512" s="42">
        <f t="shared" si="86"/>
        <v>0</v>
      </c>
      <c r="BK512" s="42">
        <f t="shared" si="87"/>
        <v>8</v>
      </c>
    </row>
    <row r="513" spans="1:63" ht="27" customHeight="1">
      <c r="A513" s="222">
        <f t="shared" si="88"/>
        <v>511</v>
      </c>
      <c r="B513" s="223"/>
      <c r="C513" s="223">
        <v>3369</v>
      </c>
      <c r="D513" s="225" t="s">
        <v>3301</v>
      </c>
      <c r="E513" s="226" t="s">
        <v>3302</v>
      </c>
      <c r="F513" s="227" t="s">
        <v>825</v>
      </c>
      <c r="G513" s="228" t="s">
        <v>1119</v>
      </c>
      <c r="H513" s="229" t="s">
        <v>2208</v>
      </c>
      <c r="I513" s="230" t="s">
        <v>3272</v>
      </c>
      <c r="J513" s="231" t="s">
        <v>173</v>
      </c>
      <c r="K513" s="232">
        <v>30788</v>
      </c>
      <c r="L513" s="233" t="s">
        <v>174</v>
      </c>
      <c r="M513" s="234">
        <v>43755</v>
      </c>
      <c r="N513" s="234"/>
      <c r="O513" s="234" t="s">
        <v>32</v>
      </c>
      <c r="P513" s="222" t="s">
        <v>397</v>
      </c>
      <c r="Q513" s="222" t="s">
        <v>176</v>
      </c>
      <c r="R513" s="222" t="s">
        <v>177</v>
      </c>
      <c r="S513" s="222" t="s">
        <v>2425</v>
      </c>
      <c r="T513" s="235"/>
      <c r="U513" s="235"/>
      <c r="V513" s="236"/>
      <c r="W513" s="236"/>
      <c r="X513" s="236">
        <v>2</v>
      </c>
      <c r="Y513" s="237" t="s">
        <v>3303</v>
      </c>
      <c r="Z513" s="238" t="s">
        <v>181</v>
      </c>
      <c r="AA513" s="238"/>
      <c r="AB513" s="245"/>
      <c r="AC513" s="239"/>
      <c r="AD513" s="240"/>
      <c r="AE513" s="240"/>
      <c r="AF513" s="241"/>
      <c r="AG513" s="242"/>
      <c r="AH513" s="243"/>
      <c r="AI513" s="243"/>
      <c r="AJ513" s="244" t="s">
        <v>198</v>
      </c>
      <c r="AK513" s="244" t="s">
        <v>185</v>
      </c>
      <c r="AL513" s="244" t="s">
        <v>185</v>
      </c>
      <c r="AM513" s="239" t="s">
        <v>2344</v>
      </c>
      <c r="AN513" s="20">
        <v>182</v>
      </c>
      <c r="AO513" s="20">
        <v>0</v>
      </c>
      <c r="AP513" s="20">
        <v>0</v>
      </c>
      <c r="AQ513" s="20">
        <v>0</v>
      </c>
      <c r="AR513" s="20">
        <v>0</v>
      </c>
      <c r="AS513" s="20">
        <v>7</v>
      </c>
      <c r="AT513" s="20">
        <v>10</v>
      </c>
      <c r="AU513" s="300">
        <f t="shared" si="78"/>
        <v>199</v>
      </c>
      <c r="AV513" s="20">
        <v>190</v>
      </c>
      <c r="AW513" s="20">
        <v>0</v>
      </c>
      <c r="AX513" s="20">
        <v>0</v>
      </c>
      <c r="AY513" s="20">
        <v>0</v>
      </c>
      <c r="AZ513" s="20">
        <v>0</v>
      </c>
      <c r="BA513" s="20">
        <v>7</v>
      </c>
      <c r="BB513" s="20">
        <v>10</v>
      </c>
      <c r="BC513" s="300">
        <f t="shared" si="79"/>
        <v>207</v>
      </c>
      <c r="BD513" s="42">
        <f t="shared" si="80"/>
        <v>8</v>
      </c>
      <c r="BE513" s="42">
        <f t="shared" si="81"/>
        <v>0</v>
      </c>
      <c r="BF513" s="42">
        <f t="shared" si="82"/>
        <v>0</v>
      </c>
      <c r="BG513" s="42">
        <f t="shared" si="83"/>
        <v>0</v>
      </c>
      <c r="BH513" s="42">
        <f t="shared" si="84"/>
        <v>0</v>
      </c>
      <c r="BI513" s="42">
        <f t="shared" si="85"/>
        <v>0</v>
      </c>
      <c r="BJ513" s="42">
        <f t="shared" si="86"/>
        <v>0</v>
      </c>
      <c r="BK513" s="42">
        <f t="shared" si="87"/>
        <v>8</v>
      </c>
    </row>
    <row r="514" spans="1:63" ht="27" customHeight="1">
      <c r="A514" s="222">
        <f t="shared" si="88"/>
        <v>512</v>
      </c>
      <c r="B514" s="223"/>
      <c r="C514" s="223">
        <v>3382</v>
      </c>
      <c r="D514" s="225"/>
      <c r="E514" s="226" t="s">
        <v>3304</v>
      </c>
      <c r="F514" s="227" t="s">
        <v>3151</v>
      </c>
      <c r="G514" s="228" t="s">
        <v>2016</v>
      </c>
      <c r="H514" s="229" t="s">
        <v>3305</v>
      </c>
      <c r="I514" s="230" t="s">
        <v>303</v>
      </c>
      <c r="J514" s="231" t="s">
        <v>173</v>
      </c>
      <c r="K514" s="232">
        <v>33344</v>
      </c>
      <c r="L514" s="233" t="s">
        <v>174</v>
      </c>
      <c r="M514" s="234">
        <v>43755</v>
      </c>
      <c r="N514" s="234"/>
      <c r="O514" s="234" t="s">
        <v>32</v>
      </c>
      <c r="P514" s="222" t="s">
        <v>1338</v>
      </c>
      <c r="Q514" s="222" t="s">
        <v>176</v>
      </c>
      <c r="R514" s="222" t="s">
        <v>177</v>
      </c>
      <c r="S514" s="222" t="s">
        <v>2479</v>
      </c>
      <c r="T514" s="235"/>
      <c r="U514" s="235"/>
      <c r="V514" s="236"/>
      <c r="W514" s="236"/>
      <c r="X514" s="236">
        <v>6</v>
      </c>
      <c r="Y514" s="237" t="s">
        <v>3306</v>
      </c>
      <c r="Z514" s="238"/>
      <c r="AA514" s="238" t="s">
        <v>181</v>
      </c>
      <c r="AB514" s="238"/>
      <c r="AC514" s="239"/>
      <c r="AD514" s="240" t="s">
        <v>184</v>
      </c>
      <c r="AE514" s="240" t="s">
        <v>184</v>
      </c>
      <c r="AF514" s="241"/>
      <c r="AG514" s="242"/>
      <c r="AH514" s="243"/>
      <c r="AI514" s="243"/>
      <c r="AJ514" s="244" t="s">
        <v>198</v>
      </c>
      <c r="AK514" s="244" t="s">
        <v>185</v>
      </c>
      <c r="AL514" s="244" t="s">
        <v>185</v>
      </c>
      <c r="AM514" s="239" t="s">
        <v>2344</v>
      </c>
      <c r="AN514" s="20">
        <v>182</v>
      </c>
      <c r="AO514" s="20">
        <v>0</v>
      </c>
      <c r="AP514" s="20">
        <v>0</v>
      </c>
      <c r="AQ514" s="20">
        <v>0</v>
      </c>
      <c r="AR514" s="20">
        <v>0</v>
      </c>
      <c r="AS514" s="20">
        <v>7</v>
      </c>
      <c r="AT514" s="20">
        <v>10</v>
      </c>
      <c r="AU514" s="300">
        <f t="shared" si="78"/>
        <v>199</v>
      </c>
      <c r="AV514" s="20">
        <v>190</v>
      </c>
      <c r="AW514" s="20">
        <v>0</v>
      </c>
      <c r="AX514" s="20">
        <v>0</v>
      </c>
      <c r="AY514" s="20">
        <v>0</v>
      </c>
      <c r="AZ514" s="20">
        <v>0</v>
      </c>
      <c r="BA514" s="20">
        <v>7</v>
      </c>
      <c r="BB514" s="20">
        <v>10</v>
      </c>
      <c r="BC514" s="300">
        <f t="shared" si="79"/>
        <v>207</v>
      </c>
      <c r="BD514" s="42">
        <f t="shared" si="80"/>
        <v>8</v>
      </c>
      <c r="BE514" s="42">
        <f t="shared" si="81"/>
        <v>0</v>
      </c>
      <c r="BF514" s="42">
        <f t="shared" si="82"/>
        <v>0</v>
      </c>
      <c r="BG514" s="42">
        <f t="shared" si="83"/>
        <v>0</v>
      </c>
      <c r="BH514" s="42">
        <f t="shared" si="84"/>
        <v>0</v>
      </c>
      <c r="BI514" s="42">
        <f t="shared" si="85"/>
        <v>0</v>
      </c>
      <c r="BJ514" s="42">
        <f t="shared" si="86"/>
        <v>0</v>
      </c>
      <c r="BK514" s="42">
        <f t="shared" si="87"/>
        <v>8</v>
      </c>
    </row>
    <row r="515" spans="1:63" ht="27" customHeight="1">
      <c r="A515" s="222">
        <f t="shared" si="88"/>
        <v>513</v>
      </c>
      <c r="B515" s="223"/>
      <c r="C515" s="223">
        <v>3388</v>
      </c>
      <c r="D515" s="225">
        <v>282110192215695</v>
      </c>
      <c r="E515" s="226" t="s">
        <v>3307</v>
      </c>
      <c r="F515" s="227" t="s">
        <v>958</v>
      </c>
      <c r="G515" s="228" t="s">
        <v>2263</v>
      </c>
      <c r="H515" s="229" t="s">
        <v>3308</v>
      </c>
      <c r="I515" s="230" t="s">
        <v>2122</v>
      </c>
      <c r="J515" s="231" t="s">
        <v>173</v>
      </c>
      <c r="K515" s="232">
        <v>30142</v>
      </c>
      <c r="L515" s="233" t="s">
        <v>174</v>
      </c>
      <c r="M515" s="234">
        <v>43760</v>
      </c>
      <c r="N515" s="234"/>
      <c r="O515" s="234" t="s">
        <v>32</v>
      </c>
      <c r="P515" s="222" t="s">
        <v>222</v>
      </c>
      <c r="Q515" s="222" t="s">
        <v>176</v>
      </c>
      <c r="R515" s="222" t="s">
        <v>177</v>
      </c>
      <c r="S515" s="222" t="s">
        <v>2354</v>
      </c>
      <c r="T515" s="235"/>
      <c r="U515" s="235"/>
      <c r="V515" s="236"/>
      <c r="W515" s="236"/>
      <c r="X515" s="236">
        <v>7</v>
      </c>
      <c r="Y515" s="237" t="s">
        <v>3309</v>
      </c>
      <c r="Z515" s="238"/>
      <c r="AA515" s="238" t="s">
        <v>181</v>
      </c>
      <c r="AB515" s="238"/>
      <c r="AC515" s="239"/>
      <c r="AD515" s="240" t="s">
        <v>184</v>
      </c>
      <c r="AE515" s="240" t="s">
        <v>184</v>
      </c>
      <c r="AF515" s="241"/>
      <c r="AG515" s="242"/>
      <c r="AH515" s="243"/>
      <c r="AI515" s="243"/>
      <c r="AJ515" s="244" t="s">
        <v>198</v>
      </c>
      <c r="AK515" s="244" t="s">
        <v>185</v>
      </c>
      <c r="AL515" s="244" t="s">
        <v>185</v>
      </c>
      <c r="AM515" s="239" t="s">
        <v>2344</v>
      </c>
      <c r="AN515" s="20">
        <v>182</v>
      </c>
      <c r="AO515" s="20">
        <v>0</v>
      </c>
      <c r="AP515" s="20">
        <v>0</v>
      </c>
      <c r="AQ515" s="20">
        <v>0</v>
      </c>
      <c r="AR515" s="20">
        <v>0</v>
      </c>
      <c r="AS515" s="20">
        <v>7</v>
      </c>
      <c r="AT515" s="20">
        <v>10</v>
      </c>
      <c r="AU515" s="300">
        <f t="shared" si="78"/>
        <v>199</v>
      </c>
      <c r="AV515" s="20">
        <v>190</v>
      </c>
      <c r="AW515" s="20">
        <v>0</v>
      </c>
      <c r="AX515" s="20">
        <v>0</v>
      </c>
      <c r="AY515" s="20">
        <v>0</v>
      </c>
      <c r="AZ515" s="20">
        <v>0</v>
      </c>
      <c r="BA515" s="20">
        <v>7</v>
      </c>
      <c r="BB515" s="20">
        <v>10</v>
      </c>
      <c r="BC515" s="300">
        <f t="shared" si="79"/>
        <v>207</v>
      </c>
      <c r="BD515" s="42">
        <f t="shared" si="80"/>
        <v>8</v>
      </c>
      <c r="BE515" s="42">
        <f t="shared" si="81"/>
        <v>0</v>
      </c>
      <c r="BF515" s="42">
        <f t="shared" si="82"/>
        <v>0</v>
      </c>
      <c r="BG515" s="42">
        <f t="shared" si="83"/>
        <v>0</v>
      </c>
      <c r="BH515" s="42">
        <f t="shared" si="84"/>
        <v>0</v>
      </c>
      <c r="BI515" s="42">
        <f t="shared" si="85"/>
        <v>0</v>
      </c>
      <c r="BJ515" s="42">
        <f t="shared" si="86"/>
        <v>0</v>
      </c>
      <c r="BK515" s="42">
        <f t="shared" si="87"/>
        <v>8</v>
      </c>
    </row>
    <row r="516" spans="1:63" ht="27" customHeight="1">
      <c r="A516" s="222">
        <f t="shared" si="88"/>
        <v>514</v>
      </c>
      <c r="B516" s="223"/>
      <c r="C516" s="223">
        <v>3385</v>
      </c>
      <c r="D516" s="225" t="s">
        <v>3310</v>
      </c>
      <c r="E516" s="226" t="s">
        <v>3311</v>
      </c>
      <c r="F516" s="227" t="s">
        <v>3312</v>
      </c>
      <c r="G516" s="228" t="s">
        <v>3313</v>
      </c>
      <c r="H516" s="229" t="s">
        <v>3314</v>
      </c>
      <c r="I516" s="230" t="s">
        <v>3315</v>
      </c>
      <c r="J516" s="231" t="s">
        <v>173</v>
      </c>
      <c r="K516" s="232">
        <v>31846</v>
      </c>
      <c r="L516" s="233" t="s">
        <v>174</v>
      </c>
      <c r="M516" s="234">
        <v>43760</v>
      </c>
      <c r="N516" s="234"/>
      <c r="O516" s="234" t="s">
        <v>32</v>
      </c>
      <c r="P516" s="222" t="s">
        <v>1080</v>
      </c>
      <c r="Q516" s="222" t="s">
        <v>176</v>
      </c>
      <c r="R516" s="222" t="s">
        <v>177</v>
      </c>
      <c r="S516" s="222" t="s">
        <v>2354</v>
      </c>
      <c r="T516" s="235"/>
      <c r="U516" s="235"/>
      <c r="V516" s="236"/>
      <c r="W516" s="236"/>
      <c r="X516" s="236"/>
      <c r="Y516" s="237"/>
      <c r="Z516" s="238" t="s">
        <v>181</v>
      </c>
      <c r="AA516" s="238"/>
      <c r="AB516" s="236"/>
      <c r="AC516" s="239"/>
      <c r="AD516" s="240"/>
      <c r="AE516" s="240"/>
      <c r="AF516" s="241"/>
      <c r="AG516" s="242"/>
      <c r="AH516" s="243"/>
      <c r="AI516" s="243"/>
      <c r="AJ516" s="244" t="s">
        <v>198</v>
      </c>
      <c r="AK516" s="244" t="s">
        <v>185</v>
      </c>
      <c r="AL516" s="244" t="s">
        <v>185</v>
      </c>
      <c r="AM516" s="239" t="s">
        <v>2344</v>
      </c>
      <c r="AN516" s="20">
        <v>182</v>
      </c>
      <c r="AO516" s="20">
        <v>0</v>
      </c>
      <c r="AP516" s="20">
        <v>0</v>
      </c>
      <c r="AQ516" s="20">
        <v>0</v>
      </c>
      <c r="AR516" s="20">
        <v>0</v>
      </c>
      <c r="AS516" s="20">
        <v>7</v>
      </c>
      <c r="AT516" s="20">
        <v>10</v>
      </c>
      <c r="AU516" s="300">
        <f t="shared" ref="AU516:AU579" si="89">SUM(AN516:AT516)</f>
        <v>199</v>
      </c>
      <c r="AV516" s="20">
        <v>190</v>
      </c>
      <c r="AW516" s="20">
        <v>0</v>
      </c>
      <c r="AX516" s="20">
        <v>0</v>
      </c>
      <c r="AY516" s="20">
        <v>0</v>
      </c>
      <c r="AZ516" s="20">
        <v>0</v>
      </c>
      <c r="BA516" s="20">
        <v>7</v>
      </c>
      <c r="BB516" s="20">
        <v>10</v>
      </c>
      <c r="BC516" s="300">
        <f t="shared" ref="BC516:BC579" si="90">SUM(AV516:BB516)</f>
        <v>207</v>
      </c>
      <c r="BD516" s="42">
        <f t="shared" ref="BD516:BD579" si="91">AV516-AN516</f>
        <v>8</v>
      </c>
      <c r="BE516" s="42">
        <f t="shared" ref="BE516:BE579" si="92">AW516-AO516</f>
        <v>0</v>
      </c>
      <c r="BF516" s="42">
        <f t="shared" ref="BF516:BF579" si="93">AX516-AP516</f>
        <v>0</v>
      </c>
      <c r="BG516" s="42">
        <f t="shared" ref="BG516:BG579" si="94">AY516-AQ516</f>
        <v>0</v>
      </c>
      <c r="BH516" s="42">
        <f t="shared" ref="BH516:BH579" si="95">AZ516-AR516</f>
        <v>0</v>
      </c>
      <c r="BI516" s="42">
        <f t="shared" ref="BI516:BI579" si="96">BA516-AS516</f>
        <v>0</v>
      </c>
      <c r="BJ516" s="42">
        <f t="shared" ref="BJ516:BJ579" si="97">BB516-AT516</f>
        <v>0</v>
      </c>
      <c r="BK516" s="42">
        <f t="shared" ref="BK516:BK579" si="98">BC516-AU516</f>
        <v>8</v>
      </c>
    </row>
    <row r="517" spans="1:63" ht="27" customHeight="1">
      <c r="A517" s="222">
        <f t="shared" ref="A517:A580" si="99">1+A516</f>
        <v>515</v>
      </c>
      <c r="B517" s="223"/>
      <c r="C517" s="223">
        <v>3392</v>
      </c>
      <c r="D517" s="225" t="s">
        <v>3316</v>
      </c>
      <c r="E517" s="226" t="s">
        <v>3317</v>
      </c>
      <c r="F517" s="227" t="s">
        <v>1173</v>
      </c>
      <c r="G517" s="228" t="s">
        <v>1784</v>
      </c>
      <c r="H517" s="229" t="s">
        <v>3318</v>
      </c>
      <c r="I517" s="230" t="s">
        <v>3319</v>
      </c>
      <c r="J517" s="231" t="s">
        <v>173</v>
      </c>
      <c r="K517" s="232">
        <v>32527</v>
      </c>
      <c r="L517" s="233" t="s">
        <v>174</v>
      </c>
      <c r="M517" s="234">
        <v>43760</v>
      </c>
      <c r="N517" s="234"/>
      <c r="O517" s="234" t="s">
        <v>32</v>
      </c>
      <c r="P517" s="222" t="s">
        <v>507</v>
      </c>
      <c r="Q517" s="222" t="s">
        <v>176</v>
      </c>
      <c r="R517" s="222" t="s">
        <v>177</v>
      </c>
      <c r="S517" s="222" t="s">
        <v>2354</v>
      </c>
      <c r="T517" s="235"/>
      <c r="U517" s="235"/>
      <c r="V517" s="236"/>
      <c r="W517" s="236"/>
      <c r="X517" s="236">
        <v>8</v>
      </c>
      <c r="Y517" s="237" t="s">
        <v>3320</v>
      </c>
      <c r="Z517" s="238"/>
      <c r="AA517" s="238" t="s">
        <v>181</v>
      </c>
      <c r="AB517" s="236"/>
      <c r="AC517" s="239"/>
      <c r="AD517" s="240" t="s">
        <v>184</v>
      </c>
      <c r="AE517" s="240"/>
      <c r="AF517" s="241"/>
      <c r="AG517" s="242"/>
      <c r="AH517" s="243"/>
      <c r="AI517" s="243"/>
      <c r="AJ517" s="244" t="s">
        <v>198</v>
      </c>
      <c r="AK517" s="244" t="s">
        <v>185</v>
      </c>
      <c r="AL517" s="244" t="s">
        <v>185</v>
      </c>
      <c r="AM517" s="239" t="s">
        <v>2344</v>
      </c>
      <c r="AN517" s="20">
        <v>182</v>
      </c>
      <c r="AO517" s="20">
        <v>0</v>
      </c>
      <c r="AP517" s="20">
        <v>0</v>
      </c>
      <c r="AQ517" s="20">
        <v>0</v>
      </c>
      <c r="AR517" s="20">
        <v>0</v>
      </c>
      <c r="AS517" s="20">
        <v>7</v>
      </c>
      <c r="AT517" s="20">
        <v>10</v>
      </c>
      <c r="AU517" s="300">
        <f t="shared" si="89"/>
        <v>199</v>
      </c>
      <c r="AV517" s="20">
        <v>190</v>
      </c>
      <c r="AW517" s="20">
        <v>0</v>
      </c>
      <c r="AX517" s="20">
        <v>0</v>
      </c>
      <c r="AY517" s="20">
        <v>0</v>
      </c>
      <c r="AZ517" s="20">
        <v>0</v>
      </c>
      <c r="BA517" s="20">
        <v>7</v>
      </c>
      <c r="BB517" s="20">
        <v>10</v>
      </c>
      <c r="BC517" s="300">
        <f t="shared" si="90"/>
        <v>207</v>
      </c>
      <c r="BD517" s="42">
        <f t="shared" si="91"/>
        <v>8</v>
      </c>
      <c r="BE517" s="42">
        <f t="shared" si="92"/>
        <v>0</v>
      </c>
      <c r="BF517" s="42">
        <f t="shared" si="93"/>
        <v>0</v>
      </c>
      <c r="BG517" s="42">
        <f t="shared" si="94"/>
        <v>0</v>
      </c>
      <c r="BH517" s="42">
        <f t="shared" si="95"/>
        <v>0</v>
      </c>
      <c r="BI517" s="42">
        <f t="shared" si="96"/>
        <v>0</v>
      </c>
      <c r="BJ517" s="42">
        <f t="shared" si="97"/>
        <v>0</v>
      </c>
      <c r="BK517" s="42">
        <f t="shared" si="98"/>
        <v>8</v>
      </c>
    </row>
    <row r="518" spans="1:63" ht="27" customHeight="1">
      <c r="A518" s="222">
        <f t="shared" si="99"/>
        <v>516</v>
      </c>
      <c r="B518" s="223"/>
      <c r="C518" s="223">
        <v>3378</v>
      </c>
      <c r="D518" s="225" t="s">
        <v>3321</v>
      </c>
      <c r="E518" s="226" t="s">
        <v>3322</v>
      </c>
      <c r="F518" s="227" t="s">
        <v>3323</v>
      </c>
      <c r="G518" s="228" t="s">
        <v>331</v>
      </c>
      <c r="H518" s="229" t="s">
        <v>3324</v>
      </c>
      <c r="I518" s="230" t="s">
        <v>333</v>
      </c>
      <c r="J518" s="231" t="s">
        <v>173</v>
      </c>
      <c r="K518" s="232">
        <v>31506</v>
      </c>
      <c r="L518" s="233" t="s">
        <v>174</v>
      </c>
      <c r="M518" s="234">
        <v>43755</v>
      </c>
      <c r="N518" s="234"/>
      <c r="O518" s="234" t="s">
        <v>32</v>
      </c>
      <c r="P518" s="222" t="s">
        <v>25</v>
      </c>
      <c r="Q518" s="222" t="s">
        <v>176</v>
      </c>
      <c r="R518" s="222" t="s">
        <v>177</v>
      </c>
      <c r="S518" s="222" t="s">
        <v>1546</v>
      </c>
      <c r="T518" s="235"/>
      <c r="U518" s="235"/>
      <c r="V518" s="236"/>
      <c r="W518" s="236"/>
      <c r="X518" s="236">
        <v>6</v>
      </c>
      <c r="Y518" s="237" t="s">
        <v>3325</v>
      </c>
      <c r="Z518" s="238"/>
      <c r="AA518" s="238" t="s">
        <v>181</v>
      </c>
      <c r="AB518" s="236"/>
      <c r="AC518" s="239"/>
      <c r="AD518" s="240" t="s">
        <v>183</v>
      </c>
      <c r="AE518" s="240" t="s">
        <v>183</v>
      </c>
      <c r="AF518" s="241"/>
      <c r="AG518" s="242"/>
      <c r="AH518" s="243"/>
      <c r="AI518" s="243"/>
      <c r="AJ518" s="244" t="s">
        <v>198</v>
      </c>
      <c r="AK518" s="244" t="s">
        <v>185</v>
      </c>
      <c r="AL518" s="244" t="s">
        <v>185</v>
      </c>
      <c r="AM518" s="239" t="s">
        <v>2344</v>
      </c>
      <c r="AN518" s="20">
        <v>182</v>
      </c>
      <c r="AO518" s="20">
        <v>0</v>
      </c>
      <c r="AP518" s="20">
        <v>0</v>
      </c>
      <c r="AQ518" s="20">
        <v>0</v>
      </c>
      <c r="AR518" s="20">
        <v>0</v>
      </c>
      <c r="AS518" s="20">
        <v>7</v>
      </c>
      <c r="AT518" s="20">
        <v>10</v>
      </c>
      <c r="AU518" s="300">
        <f t="shared" si="89"/>
        <v>199</v>
      </c>
      <c r="AV518" s="20">
        <v>190</v>
      </c>
      <c r="AW518" s="20">
        <v>0</v>
      </c>
      <c r="AX518" s="20">
        <v>0</v>
      </c>
      <c r="AY518" s="20">
        <v>0</v>
      </c>
      <c r="AZ518" s="20">
        <v>0</v>
      </c>
      <c r="BA518" s="20">
        <v>7</v>
      </c>
      <c r="BB518" s="20">
        <v>10</v>
      </c>
      <c r="BC518" s="300">
        <f t="shared" si="90"/>
        <v>207</v>
      </c>
      <c r="BD518" s="42">
        <f t="shared" si="91"/>
        <v>8</v>
      </c>
      <c r="BE518" s="42">
        <f t="shared" si="92"/>
        <v>0</v>
      </c>
      <c r="BF518" s="42">
        <f t="shared" si="93"/>
        <v>0</v>
      </c>
      <c r="BG518" s="42">
        <f t="shared" si="94"/>
        <v>0</v>
      </c>
      <c r="BH518" s="42">
        <f t="shared" si="95"/>
        <v>0</v>
      </c>
      <c r="BI518" s="42">
        <f t="shared" si="96"/>
        <v>0</v>
      </c>
      <c r="BJ518" s="42">
        <f t="shared" si="97"/>
        <v>0</v>
      </c>
      <c r="BK518" s="42">
        <f t="shared" si="98"/>
        <v>8</v>
      </c>
    </row>
    <row r="519" spans="1:63" ht="27" customHeight="1">
      <c r="A519" s="222">
        <f t="shared" si="99"/>
        <v>517</v>
      </c>
      <c r="B519" s="223"/>
      <c r="C519" s="223">
        <v>3399</v>
      </c>
      <c r="D519" s="225" t="s">
        <v>3326</v>
      </c>
      <c r="E519" s="226" t="s">
        <v>3327</v>
      </c>
      <c r="F519" s="227" t="s">
        <v>876</v>
      </c>
      <c r="G519" s="228" t="s">
        <v>3328</v>
      </c>
      <c r="H519" s="229" t="s">
        <v>3236</v>
      </c>
      <c r="I519" s="230" t="s">
        <v>3329</v>
      </c>
      <c r="J519" s="231" t="s">
        <v>173</v>
      </c>
      <c r="K519" s="232">
        <v>27834</v>
      </c>
      <c r="L519" s="233" t="s">
        <v>174</v>
      </c>
      <c r="M519" s="234">
        <v>43760</v>
      </c>
      <c r="N519" s="234"/>
      <c r="O519" s="234" t="s">
        <v>32</v>
      </c>
      <c r="P519" s="222" t="s">
        <v>507</v>
      </c>
      <c r="Q519" s="222" t="s">
        <v>176</v>
      </c>
      <c r="R519" s="222" t="s">
        <v>177</v>
      </c>
      <c r="S519" s="222" t="s">
        <v>2593</v>
      </c>
      <c r="T519" s="235"/>
      <c r="U519" s="235"/>
      <c r="V519" s="236"/>
      <c r="W519" s="236"/>
      <c r="X519" s="236"/>
      <c r="Y519" s="237" t="s">
        <v>3330</v>
      </c>
      <c r="Z519" s="238"/>
      <c r="AA519" s="238" t="s">
        <v>181</v>
      </c>
      <c r="AB519" s="236"/>
      <c r="AC519" s="239"/>
      <c r="AD519" s="240" t="s">
        <v>183</v>
      </c>
      <c r="AE519" s="240" t="s">
        <v>183</v>
      </c>
      <c r="AF519" s="241"/>
      <c r="AG519" s="242"/>
      <c r="AH519" s="243"/>
      <c r="AI519" s="243"/>
      <c r="AJ519" s="244" t="s">
        <v>198</v>
      </c>
      <c r="AK519" s="244" t="s">
        <v>185</v>
      </c>
      <c r="AL519" s="244" t="s">
        <v>185</v>
      </c>
      <c r="AM519" s="239" t="s">
        <v>2344</v>
      </c>
      <c r="AN519" s="20">
        <v>182</v>
      </c>
      <c r="AO519" s="20">
        <v>0</v>
      </c>
      <c r="AP519" s="20">
        <v>0</v>
      </c>
      <c r="AQ519" s="20">
        <v>0</v>
      </c>
      <c r="AR519" s="20">
        <v>0</v>
      </c>
      <c r="AS519" s="20">
        <v>7</v>
      </c>
      <c r="AT519" s="20">
        <v>10</v>
      </c>
      <c r="AU519" s="300">
        <f t="shared" si="89"/>
        <v>199</v>
      </c>
      <c r="AV519" s="20">
        <v>190</v>
      </c>
      <c r="AW519" s="20">
        <v>0</v>
      </c>
      <c r="AX519" s="20">
        <v>0</v>
      </c>
      <c r="AY519" s="20">
        <v>0</v>
      </c>
      <c r="AZ519" s="20">
        <v>0</v>
      </c>
      <c r="BA519" s="20">
        <v>7</v>
      </c>
      <c r="BB519" s="20">
        <v>10</v>
      </c>
      <c r="BC519" s="300">
        <f t="shared" si="90"/>
        <v>207</v>
      </c>
      <c r="BD519" s="42">
        <f t="shared" si="91"/>
        <v>8</v>
      </c>
      <c r="BE519" s="42">
        <f t="shared" si="92"/>
        <v>0</v>
      </c>
      <c r="BF519" s="42">
        <f t="shared" si="93"/>
        <v>0</v>
      </c>
      <c r="BG519" s="42">
        <f t="shared" si="94"/>
        <v>0</v>
      </c>
      <c r="BH519" s="42">
        <f t="shared" si="95"/>
        <v>0</v>
      </c>
      <c r="BI519" s="42">
        <f t="shared" si="96"/>
        <v>0</v>
      </c>
      <c r="BJ519" s="42">
        <f t="shared" si="97"/>
        <v>0</v>
      </c>
      <c r="BK519" s="42">
        <f t="shared" si="98"/>
        <v>8</v>
      </c>
    </row>
    <row r="520" spans="1:63" ht="27" customHeight="1">
      <c r="A520" s="222">
        <f t="shared" si="99"/>
        <v>518</v>
      </c>
      <c r="B520" s="223"/>
      <c r="C520" s="223">
        <v>3393</v>
      </c>
      <c r="D520" s="225" t="s">
        <v>3331</v>
      </c>
      <c r="E520" s="226" t="s">
        <v>3332</v>
      </c>
      <c r="F520" s="227" t="s">
        <v>1173</v>
      </c>
      <c r="G520" s="228" t="s">
        <v>130</v>
      </c>
      <c r="H520" s="229" t="s">
        <v>3318</v>
      </c>
      <c r="I520" s="230" t="s">
        <v>3333</v>
      </c>
      <c r="J520" s="231" t="s">
        <v>173</v>
      </c>
      <c r="K520" s="232">
        <v>29952</v>
      </c>
      <c r="L520" s="233" t="s">
        <v>174</v>
      </c>
      <c r="M520" s="234">
        <v>43760</v>
      </c>
      <c r="N520" s="234"/>
      <c r="O520" s="234" t="s">
        <v>32</v>
      </c>
      <c r="P520" s="222" t="s">
        <v>507</v>
      </c>
      <c r="Q520" s="222" t="s">
        <v>176</v>
      </c>
      <c r="R520" s="222" t="s">
        <v>177</v>
      </c>
      <c r="S520" s="222" t="s">
        <v>2354</v>
      </c>
      <c r="T520" s="235"/>
      <c r="U520" s="235"/>
      <c r="V520" s="236"/>
      <c r="W520" s="236"/>
      <c r="X520" s="236">
        <v>4</v>
      </c>
      <c r="Y520" s="237" t="s">
        <v>3334</v>
      </c>
      <c r="Z520" s="238"/>
      <c r="AA520" s="238" t="s">
        <v>181</v>
      </c>
      <c r="AB520" s="236"/>
      <c r="AC520" s="239"/>
      <c r="AD520" s="240" t="s">
        <v>183</v>
      </c>
      <c r="AE520" s="240" t="s">
        <v>183</v>
      </c>
      <c r="AF520" s="241"/>
      <c r="AG520" s="242"/>
      <c r="AH520" s="243"/>
      <c r="AI520" s="243"/>
      <c r="AJ520" s="244" t="s">
        <v>198</v>
      </c>
      <c r="AK520" s="244" t="s">
        <v>185</v>
      </c>
      <c r="AL520" s="244" t="s">
        <v>185</v>
      </c>
      <c r="AM520" s="239" t="s">
        <v>2344</v>
      </c>
      <c r="AN520" s="20">
        <v>182</v>
      </c>
      <c r="AO520" s="20">
        <v>0</v>
      </c>
      <c r="AP520" s="20">
        <v>0</v>
      </c>
      <c r="AQ520" s="20">
        <v>0</v>
      </c>
      <c r="AR520" s="20">
        <v>0</v>
      </c>
      <c r="AS520" s="20">
        <v>7</v>
      </c>
      <c r="AT520" s="20">
        <v>10</v>
      </c>
      <c r="AU520" s="300">
        <f t="shared" si="89"/>
        <v>199</v>
      </c>
      <c r="AV520" s="20">
        <v>190</v>
      </c>
      <c r="AW520" s="20">
        <v>0</v>
      </c>
      <c r="AX520" s="20">
        <v>0</v>
      </c>
      <c r="AY520" s="20">
        <v>0</v>
      </c>
      <c r="AZ520" s="20">
        <v>0</v>
      </c>
      <c r="BA520" s="20">
        <v>7</v>
      </c>
      <c r="BB520" s="20">
        <v>10</v>
      </c>
      <c r="BC520" s="300">
        <f t="shared" si="90"/>
        <v>207</v>
      </c>
      <c r="BD520" s="42">
        <f t="shared" si="91"/>
        <v>8</v>
      </c>
      <c r="BE520" s="42">
        <f t="shared" si="92"/>
        <v>0</v>
      </c>
      <c r="BF520" s="42">
        <f t="shared" si="93"/>
        <v>0</v>
      </c>
      <c r="BG520" s="42">
        <f t="shared" si="94"/>
        <v>0</v>
      </c>
      <c r="BH520" s="42">
        <f t="shared" si="95"/>
        <v>0</v>
      </c>
      <c r="BI520" s="42">
        <f t="shared" si="96"/>
        <v>0</v>
      </c>
      <c r="BJ520" s="42">
        <f t="shared" si="97"/>
        <v>0</v>
      </c>
      <c r="BK520" s="42">
        <f t="shared" si="98"/>
        <v>8</v>
      </c>
    </row>
    <row r="521" spans="1:63" ht="27" customHeight="1">
      <c r="A521" s="222">
        <f t="shared" si="99"/>
        <v>519</v>
      </c>
      <c r="B521" s="223"/>
      <c r="C521" s="223">
        <v>3386</v>
      </c>
      <c r="D521" s="225" t="s">
        <v>3335</v>
      </c>
      <c r="E521" s="226" t="s">
        <v>3336</v>
      </c>
      <c r="F521" s="227" t="s">
        <v>2926</v>
      </c>
      <c r="G521" s="228" t="s">
        <v>2064</v>
      </c>
      <c r="H521" s="229" t="s">
        <v>2927</v>
      </c>
      <c r="I521" s="230" t="s">
        <v>3289</v>
      </c>
      <c r="J521" s="231" t="s">
        <v>173</v>
      </c>
      <c r="K521" s="232">
        <v>30399</v>
      </c>
      <c r="L521" s="233" t="s">
        <v>174</v>
      </c>
      <c r="M521" s="234">
        <v>43759</v>
      </c>
      <c r="N521" s="234"/>
      <c r="O521" s="234" t="s">
        <v>32</v>
      </c>
      <c r="P521" s="222" t="s">
        <v>304</v>
      </c>
      <c r="Q521" s="222" t="s">
        <v>176</v>
      </c>
      <c r="R521" s="222" t="s">
        <v>177</v>
      </c>
      <c r="S521" s="222" t="s">
        <v>2593</v>
      </c>
      <c r="T521" s="235"/>
      <c r="U521" s="235"/>
      <c r="V521" s="236"/>
      <c r="W521" s="236"/>
      <c r="X521" s="236"/>
      <c r="Y521" s="237"/>
      <c r="Z521" s="238"/>
      <c r="AA521" s="238" t="s">
        <v>181</v>
      </c>
      <c r="AB521" s="236"/>
      <c r="AC521" s="239"/>
      <c r="AD521" s="240"/>
      <c r="AE521" s="240"/>
      <c r="AF521" s="241"/>
      <c r="AG521" s="242"/>
      <c r="AH521" s="243"/>
      <c r="AI521" s="243"/>
      <c r="AJ521" s="244" t="s">
        <v>198</v>
      </c>
      <c r="AK521" s="244" t="s">
        <v>185</v>
      </c>
      <c r="AL521" s="244" t="s">
        <v>185</v>
      </c>
      <c r="AM521" s="239" t="s">
        <v>2344</v>
      </c>
      <c r="AN521" s="20">
        <v>177</v>
      </c>
      <c r="AO521" s="20">
        <v>0</v>
      </c>
      <c r="AP521" s="20">
        <v>0</v>
      </c>
      <c r="AQ521" s="20">
        <v>0</v>
      </c>
      <c r="AR521" s="20">
        <v>0</v>
      </c>
      <c r="AS521" s="20">
        <v>7</v>
      </c>
      <c r="AT521" s="20">
        <v>10</v>
      </c>
      <c r="AU521" s="300">
        <f t="shared" si="89"/>
        <v>194</v>
      </c>
      <c r="AV521" s="20">
        <v>185</v>
      </c>
      <c r="AW521" s="20">
        <v>0</v>
      </c>
      <c r="AX521" s="20">
        <v>0</v>
      </c>
      <c r="AY521" s="20">
        <v>0</v>
      </c>
      <c r="AZ521" s="20">
        <v>0</v>
      </c>
      <c r="BA521" s="20">
        <v>7</v>
      </c>
      <c r="BB521" s="20">
        <v>10</v>
      </c>
      <c r="BC521" s="300">
        <f t="shared" si="90"/>
        <v>202</v>
      </c>
      <c r="BD521" s="42">
        <f t="shared" si="91"/>
        <v>8</v>
      </c>
      <c r="BE521" s="42">
        <f t="shared" si="92"/>
        <v>0</v>
      </c>
      <c r="BF521" s="42">
        <f t="shared" si="93"/>
        <v>0</v>
      </c>
      <c r="BG521" s="42">
        <f t="shared" si="94"/>
        <v>0</v>
      </c>
      <c r="BH521" s="42">
        <f t="shared" si="95"/>
        <v>0</v>
      </c>
      <c r="BI521" s="42">
        <f t="shared" si="96"/>
        <v>0</v>
      </c>
      <c r="BJ521" s="42">
        <f t="shared" si="97"/>
        <v>0</v>
      </c>
      <c r="BK521" s="42">
        <f t="shared" si="98"/>
        <v>8</v>
      </c>
    </row>
    <row r="522" spans="1:63" ht="27" customHeight="1">
      <c r="A522" s="222">
        <f t="shared" si="99"/>
        <v>520</v>
      </c>
      <c r="B522" s="223"/>
      <c r="C522" s="223">
        <v>3396</v>
      </c>
      <c r="D522" s="225" t="s">
        <v>3337</v>
      </c>
      <c r="E522" s="226" t="s">
        <v>3338</v>
      </c>
      <c r="F522" s="227" t="s">
        <v>2054</v>
      </c>
      <c r="G522" s="228" t="s">
        <v>3339</v>
      </c>
      <c r="H522" s="229" t="s">
        <v>3340</v>
      </c>
      <c r="I522" s="230" t="s">
        <v>3341</v>
      </c>
      <c r="J522" s="231" t="s">
        <v>173</v>
      </c>
      <c r="K522" s="232">
        <v>25973</v>
      </c>
      <c r="L522" s="233" t="s">
        <v>174</v>
      </c>
      <c r="M522" s="234">
        <v>43760</v>
      </c>
      <c r="N522" s="234"/>
      <c r="O522" s="234" t="s">
        <v>32</v>
      </c>
      <c r="P522" s="222" t="s">
        <v>260</v>
      </c>
      <c r="Q522" s="222" t="s">
        <v>176</v>
      </c>
      <c r="R522" s="222" t="s">
        <v>177</v>
      </c>
      <c r="S522" s="222" t="s">
        <v>2500</v>
      </c>
      <c r="T522" s="235"/>
      <c r="U522" s="235"/>
      <c r="V522" s="236"/>
      <c r="W522" s="236"/>
      <c r="X522" s="236"/>
      <c r="Y522" s="237"/>
      <c r="Z522" s="238"/>
      <c r="AA522" s="238" t="s">
        <v>181</v>
      </c>
      <c r="AB522" s="236"/>
      <c r="AC522" s="239"/>
      <c r="AD522" s="240" t="s">
        <v>183</v>
      </c>
      <c r="AE522" s="240" t="s">
        <v>183</v>
      </c>
      <c r="AF522" s="241"/>
      <c r="AG522" s="242"/>
      <c r="AH522" s="243"/>
      <c r="AI522" s="243"/>
      <c r="AJ522" s="244" t="s">
        <v>198</v>
      </c>
      <c r="AK522" s="244" t="s">
        <v>185</v>
      </c>
      <c r="AL522" s="244" t="s">
        <v>185</v>
      </c>
      <c r="AM522" s="239" t="s">
        <v>2344</v>
      </c>
      <c r="AN522" s="20">
        <v>182</v>
      </c>
      <c r="AO522" s="20">
        <v>0</v>
      </c>
      <c r="AP522" s="20">
        <v>0</v>
      </c>
      <c r="AQ522" s="20">
        <v>0</v>
      </c>
      <c r="AR522" s="20">
        <v>0</v>
      </c>
      <c r="AS522" s="20">
        <v>7</v>
      </c>
      <c r="AT522" s="20">
        <v>10</v>
      </c>
      <c r="AU522" s="300">
        <f t="shared" si="89"/>
        <v>199</v>
      </c>
      <c r="AV522" s="20">
        <v>190</v>
      </c>
      <c r="AW522" s="20">
        <v>0</v>
      </c>
      <c r="AX522" s="20">
        <v>0</v>
      </c>
      <c r="AY522" s="20">
        <v>0</v>
      </c>
      <c r="AZ522" s="20">
        <v>0</v>
      </c>
      <c r="BA522" s="20">
        <v>7</v>
      </c>
      <c r="BB522" s="20">
        <v>10</v>
      </c>
      <c r="BC522" s="300">
        <f t="shared" si="90"/>
        <v>207</v>
      </c>
      <c r="BD522" s="42">
        <f t="shared" si="91"/>
        <v>8</v>
      </c>
      <c r="BE522" s="42">
        <f t="shared" si="92"/>
        <v>0</v>
      </c>
      <c r="BF522" s="42">
        <f t="shared" si="93"/>
        <v>0</v>
      </c>
      <c r="BG522" s="42">
        <f t="shared" si="94"/>
        <v>0</v>
      </c>
      <c r="BH522" s="42">
        <f t="shared" si="95"/>
        <v>0</v>
      </c>
      <c r="BI522" s="42">
        <f t="shared" si="96"/>
        <v>0</v>
      </c>
      <c r="BJ522" s="42">
        <f t="shared" si="97"/>
        <v>0</v>
      </c>
      <c r="BK522" s="42">
        <f t="shared" si="98"/>
        <v>8</v>
      </c>
    </row>
    <row r="523" spans="1:63" ht="27" customHeight="1">
      <c r="A523" s="222">
        <f t="shared" si="99"/>
        <v>521</v>
      </c>
      <c r="B523" s="223"/>
      <c r="C523" s="223">
        <v>3402</v>
      </c>
      <c r="D523" s="225" t="s">
        <v>3342</v>
      </c>
      <c r="E523" s="226" t="s">
        <v>3343</v>
      </c>
      <c r="F523" s="227" t="s">
        <v>3344</v>
      </c>
      <c r="G523" s="228" t="s">
        <v>3345</v>
      </c>
      <c r="H523" s="229" t="s">
        <v>3346</v>
      </c>
      <c r="I523" s="230" t="s">
        <v>3347</v>
      </c>
      <c r="J523" s="231" t="s">
        <v>173</v>
      </c>
      <c r="K523" s="232">
        <v>29053</v>
      </c>
      <c r="L523" s="233" t="s">
        <v>174</v>
      </c>
      <c r="M523" s="234">
        <v>43759</v>
      </c>
      <c r="N523" s="234"/>
      <c r="O523" s="234" t="s">
        <v>32</v>
      </c>
      <c r="P523" s="222" t="s">
        <v>1276</v>
      </c>
      <c r="Q523" s="222" t="s">
        <v>176</v>
      </c>
      <c r="R523" s="222" t="s">
        <v>177</v>
      </c>
      <c r="S523" s="222" t="s">
        <v>2593</v>
      </c>
      <c r="T523" s="235"/>
      <c r="U523" s="235"/>
      <c r="V523" s="236"/>
      <c r="W523" s="236"/>
      <c r="X523" s="236">
        <v>3</v>
      </c>
      <c r="Y523" s="237" t="s">
        <v>3348</v>
      </c>
      <c r="Z523" s="238"/>
      <c r="AA523" s="238" t="s">
        <v>181</v>
      </c>
      <c r="AB523" s="236"/>
      <c r="AC523" s="239"/>
      <c r="AD523" s="240" t="s">
        <v>183</v>
      </c>
      <c r="AE523" s="240" t="s">
        <v>183</v>
      </c>
      <c r="AF523" s="241"/>
      <c r="AG523" s="242"/>
      <c r="AH523" s="243"/>
      <c r="AI523" s="243"/>
      <c r="AJ523" s="244" t="s">
        <v>198</v>
      </c>
      <c r="AK523" s="244" t="s">
        <v>185</v>
      </c>
      <c r="AL523" s="244" t="s">
        <v>185</v>
      </c>
      <c r="AM523" s="239" t="s">
        <v>2344</v>
      </c>
      <c r="AN523" s="20">
        <v>177</v>
      </c>
      <c r="AO523" s="20">
        <v>0</v>
      </c>
      <c r="AP523" s="20">
        <v>20</v>
      </c>
      <c r="AQ523" s="20">
        <v>0</v>
      </c>
      <c r="AR523" s="20">
        <v>0</v>
      </c>
      <c r="AS523" s="20">
        <v>7</v>
      </c>
      <c r="AT523" s="20">
        <v>10</v>
      </c>
      <c r="AU523" s="300">
        <f t="shared" si="89"/>
        <v>214</v>
      </c>
      <c r="AV523" s="20">
        <v>185</v>
      </c>
      <c r="AW523" s="20">
        <v>0</v>
      </c>
      <c r="AX523" s="20">
        <v>20</v>
      </c>
      <c r="AY523" s="20">
        <v>0</v>
      </c>
      <c r="AZ523" s="20">
        <v>0</v>
      </c>
      <c r="BA523" s="20">
        <v>7</v>
      </c>
      <c r="BB523" s="20">
        <v>10</v>
      </c>
      <c r="BC523" s="300">
        <f t="shared" si="90"/>
        <v>222</v>
      </c>
      <c r="BD523" s="42">
        <f t="shared" si="91"/>
        <v>8</v>
      </c>
      <c r="BE523" s="42">
        <f t="shared" si="92"/>
        <v>0</v>
      </c>
      <c r="BF523" s="42">
        <f t="shared" si="93"/>
        <v>0</v>
      </c>
      <c r="BG523" s="42">
        <f t="shared" si="94"/>
        <v>0</v>
      </c>
      <c r="BH523" s="42">
        <f t="shared" si="95"/>
        <v>0</v>
      </c>
      <c r="BI523" s="42">
        <f t="shared" si="96"/>
        <v>0</v>
      </c>
      <c r="BJ523" s="42">
        <f t="shared" si="97"/>
        <v>0</v>
      </c>
      <c r="BK523" s="42">
        <f t="shared" si="98"/>
        <v>8</v>
      </c>
    </row>
    <row r="524" spans="1:63" ht="27" customHeight="1">
      <c r="A524" s="222">
        <f t="shared" si="99"/>
        <v>522</v>
      </c>
      <c r="B524" s="223"/>
      <c r="C524" s="223">
        <v>3100</v>
      </c>
      <c r="D524" s="225" t="s">
        <v>3349</v>
      </c>
      <c r="E524" s="226"/>
      <c r="F524" s="227" t="s">
        <v>3350</v>
      </c>
      <c r="G524" s="228" t="s">
        <v>3351</v>
      </c>
      <c r="H524" s="229" t="s">
        <v>115</v>
      </c>
      <c r="I524" s="230" t="s">
        <v>3352</v>
      </c>
      <c r="J524" s="231" t="s">
        <v>204</v>
      </c>
      <c r="K524" s="232">
        <v>32364</v>
      </c>
      <c r="L524" s="233" t="s">
        <v>174</v>
      </c>
      <c r="M524" s="234">
        <v>43740</v>
      </c>
      <c r="N524" s="234"/>
      <c r="O524" s="234" t="s">
        <v>32</v>
      </c>
      <c r="P524" s="222" t="s">
        <v>287</v>
      </c>
      <c r="Q524" s="222" t="s">
        <v>176</v>
      </c>
      <c r="R524" s="222" t="s">
        <v>177</v>
      </c>
      <c r="S524" s="222" t="s">
        <v>2379</v>
      </c>
      <c r="T524" s="235"/>
      <c r="U524" s="235"/>
      <c r="V524" s="236"/>
      <c r="W524" s="236"/>
      <c r="X524" s="246"/>
      <c r="Y524" s="237" t="s">
        <v>3353</v>
      </c>
      <c r="Z524" s="238"/>
      <c r="AA524" s="238" t="s">
        <v>181</v>
      </c>
      <c r="AB524" s="236"/>
      <c r="AC524" s="239"/>
      <c r="AD524" s="240"/>
      <c r="AE524" s="240"/>
      <c r="AF524" s="241"/>
      <c r="AG524" s="242"/>
      <c r="AH524" s="243"/>
      <c r="AI524" s="243"/>
      <c r="AJ524" s="244" t="s">
        <v>198</v>
      </c>
      <c r="AK524" s="244" t="s">
        <v>185</v>
      </c>
      <c r="AL524" s="244" t="s">
        <v>185</v>
      </c>
      <c r="AM524" s="239" t="s">
        <v>2344</v>
      </c>
      <c r="AN524" s="20">
        <v>182</v>
      </c>
      <c r="AO524" s="20">
        <v>0</v>
      </c>
      <c r="AP524" s="20">
        <v>20</v>
      </c>
      <c r="AQ524" s="20">
        <v>0</v>
      </c>
      <c r="AR524" s="20">
        <v>0</v>
      </c>
      <c r="AS524" s="20">
        <v>7</v>
      </c>
      <c r="AT524" s="20">
        <v>10</v>
      </c>
      <c r="AU524" s="300">
        <f t="shared" si="89"/>
        <v>219</v>
      </c>
      <c r="AV524" s="20">
        <v>190</v>
      </c>
      <c r="AW524" s="20">
        <v>0</v>
      </c>
      <c r="AX524" s="20">
        <v>20</v>
      </c>
      <c r="AY524" s="20">
        <v>0</v>
      </c>
      <c r="AZ524" s="20">
        <v>0</v>
      </c>
      <c r="BA524" s="20">
        <v>7</v>
      </c>
      <c r="BB524" s="20">
        <v>10</v>
      </c>
      <c r="BC524" s="300">
        <f t="shared" si="90"/>
        <v>227</v>
      </c>
      <c r="BD524" s="42">
        <f t="shared" si="91"/>
        <v>8</v>
      </c>
      <c r="BE524" s="42">
        <f t="shared" si="92"/>
        <v>0</v>
      </c>
      <c r="BF524" s="42">
        <f t="shared" si="93"/>
        <v>0</v>
      </c>
      <c r="BG524" s="42">
        <f t="shared" si="94"/>
        <v>0</v>
      </c>
      <c r="BH524" s="42">
        <f t="shared" si="95"/>
        <v>0</v>
      </c>
      <c r="BI524" s="42">
        <f t="shared" si="96"/>
        <v>0</v>
      </c>
      <c r="BJ524" s="42">
        <f t="shared" si="97"/>
        <v>0</v>
      </c>
      <c r="BK524" s="42">
        <f t="shared" si="98"/>
        <v>8</v>
      </c>
    </row>
    <row r="525" spans="1:63" ht="27" customHeight="1">
      <c r="A525" s="222">
        <f t="shared" si="99"/>
        <v>523</v>
      </c>
      <c r="B525" s="223"/>
      <c r="C525" s="223">
        <v>3116</v>
      </c>
      <c r="D525" s="225" t="s">
        <v>3354</v>
      </c>
      <c r="E525" s="226" t="s">
        <v>3355</v>
      </c>
      <c r="F525" s="227" t="s">
        <v>2422</v>
      </c>
      <c r="G525" s="228" t="s">
        <v>3356</v>
      </c>
      <c r="H525" s="229" t="s">
        <v>3357</v>
      </c>
      <c r="I525" s="230" t="s">
        <v>3358</v>
      </c>
      <c r="J525" s="231" t="s">
        <v>173</v>
      </c>
      <c r="K525" s="232">
        <v>35449</v>
      </c>
      <c r="L525" s="233" t="s">
        <v>3359</v>
      </c>
      <c r="M525" s="234">
        <v>43740</v>
      </c>
      <c r="N525" s="234"/>
      <c r="O525" s="234" t="s">
        <v>32</v>
      </c>
      <c r="P525" s="222" t="s">
        <v>631</v>
      </c>
      <c r="Q525" s="222" t="s">
        <v>176</v>
      </c>
      <c r="R525" s="222" t="s">
        <v>177</v>
      </c>
      <c r="S525" s="222" t="s">
        <v>2354</v>
      </c>
      <c r="T525" s="235"/>
      <c r="U525" s="235"/>
      <c r="V525" s="236"/>
      <c r="W525" s="236"/>
      <c r="X525" s="236"/>
      <c r="Y525" s="237" t="s">
        <v>3360</v>
      </c>
      <c r="Z525" s="238"/>
      <c r="AA525" s="238" t="s">
        <v>181</v>
      </c>
      <c r="AB525" s="236"/>
      <c r="AC525" s="239"/>
      <c r="AD525" s="240" t="s">
        <v>183</v>
      </c>
      <c r="AE525" s="240"/>
      <c r="AF525" s="241"/>
      <c r="AG525" s="242"/>
      <c r="AH525" s="243"/>
      <c r="AI525" s="243"/>
      <c r="AJ525" s="244" t="s">
        <v>198</v>
      </c>
      <c r="AK525" s="244" t="s">
        <v>185</v>
      </c>
      <c r="AL525" s="244" t="s">
        <v>185</v>
      </c>
      <c r="AM525" s="239" t="s">
        <v>2344</v>
      </c>
      <c r="AN525" s="20">
        <v>182</v>
      </c>
      <c r="AO525" s="20">
        <v>0</v>
      </c>
      <c r="AP525" s="20">
        <v>20</v>
      </c>
      <c r="AQ525" s="20">
        <v>0</v>
      </c>
      <c r="AR525" s="20">
        <v>0</v>
      </c>
      <c r="AS525" s="20">
        <v>7</v>
      </c>
      <c r="AT525" s="20">
        <v>10</v>
      </c>
      <c r="AU525" s="300">
        <f t="shared" si="89"/>
        <v>219</v>
      </c>
      <c r="AV525" s="20">
        <v>190</v>
      </c>
      <c r="AW525" s="20">
        <v>0</v>
      </c>
      <c r="AX525" s="20">
        <v>20</v>
      </c>
      <c r="AY525" s="20">
        <v>0</v>
      </c>
      <c r="AZ525" s="20">
        <v>0</v>
      </c>
      <c r="BA525" s="20">
        <v>7</v>
      </c>
      <c r="BB525" s="20">
        <v>10</v>
      </c>
      <c r="BC525" s="300">
        <f t="shared" si="90"/>
        <v>227</v>
      </c>
      <c r="BD525" s="42">
        <f t="shared" si="91"/>
        <v>8</v>
      </c>
      <c r="BE525" s="42">
        <f t="shared" si="92"/>
        <v>0</v>
      </c>
      <c r="BF525" s="42">
        <f t="shared" si="93"/>
        <v>0</v>
      </c>
      <c r="BG525" s="42">
        <f t="shared" si="94"/>
        <v>0</v>
      </c>
      <c r="BH525" s="42">
        <f t="shared" si="95"/>
        <v>0</v>
      </c>
      <c r="BI525" s="42">
        <f t="shared" si="96"/>
        <v>0</v>
      </c>
      <c r="BJ525" s="42">
        <f t="shared" si="97"/>
        <v>0</v>
      </c>
      <c r="BK525" s="42">
        <f t="shared" si="98"/>
        <v>8</v>
      </c>
    </row>
    <row r="526" spans="1:63" ht="27" customHeight="1">
      <c r="A526" s="222">
        <f t="shared" si="99"/>
        <v>524</v>
      </c>
      <c r="B526" s="223"/>
      <c r="C526" s="223">
        <v>3373</v>
      </c>
      <c r="D526" s="225" t="s">
        <v>3361</v>
      </c>
      <c r="E526" s="226" t="s">
        <v>3362</v>
      </c>
      <c r="F526" s="227" t="s">
        <v>3363</v>
      </c>
      <c r="G526" s="228" t="s">
        <v>2171</v>
      </c>
      <c r="H526" s="229" t="s">
        <v>3364</v>
      </c>
      <c r="I526" s="230" t="s">
        <v>3249</v>
      </c>
      <c r="J526" s="231" t="s">
        <v>204</v>
      </c>
      <c r="K526" s="232">
        <v>36331</v>
      </c>
      <c r="L526" s="233" t="s">
        <v>174</v>
      </c>
      <c r="M526" s="234">
        <v>43755</v>
      </c>
      <c r="N526" s="234"/>
      <c r="O526" s="234" t="s">
        <v>32</v>
      </c>
      <c r="P526" s="222" t="s">
        <v>547</v>
      </c>
      <c r="Q526" s="222" t="s">
        <v>176</v>
      </c>
      <c r="R526" s="222" t="s">
        <v>177</v>
      </c>
      <c r="S526" s="222" t="s">
        <v>2354</v>
      </c>
      <c r="T526" s="235"/>
      <c r="U526" s="235"/>
      <c r="V526" s="236"/>
      <c r="W526" s="236"/>
      <c r="X526" s="236">
        <v>5</v>
      </c>
      <c r="Y526" s="237" t="s">
        <v>3365</v>
      </c>
      <c r="Z526" s="238" t="s">
        <v>181</v>
      </c>
      <c r="AA526" s="238"/>
      <c r="AB526" s="236"/>
      <c r="AC526" s="239"/>
      <c r="AD526" s="240"/>
      <c r="AE526" s="240"/>
      <c r="AF526" s="241"/>
      <c r="AG526" s="242"/>
      <c r="AH526" s="243"/>
      <c r="AI526" s="243"/>
      <c r="AJ526" s="244" t="s">
        <v>198</v>
      </c>
      <c r="AK526" s="244" t="s">
        <v>185</v>
      </c>
      <c r="AL526" s="244" t="s">
        <v>185</v>
      </c>
      <c r="AM526" s="239" t="s">
        <v>2344</v>
      </c>
      <c r="AN526" s="20">
        <v>177</v>
      </c>
      <c r="AO526" s="20">
        <v>0</v>
      </c>
      <c r="AP526" s="20">
        <v>20</v>
      </c>
      <c r="AQ526" s="20">
        <v>0</v>
      </c>
      <c r="AR526" s="20">
        <v>0</v>
      </c>
      <c r="AS526" s="20">
        <v>7</v>
      </c>
      <c r="AT526" s="20">
        <v>10</v>
      </c>
      <c r="AU526" s="300">
        <f t="shared" si="89"/>
        <v>214</v>
      </c>
      <c r="AV526" s="20">
        <v>185</v>
      </c>
      <c r="AW526" s="20">
        <v>0</v>
      </c>
      <c r="AX526" s="20">
        <v>20</v>
      </c>
      <c r="AY526" s="20">
        <v>0</v>
      </c>
      <c r="AZ526" s="20">
        <v>0</v>
      </c>
      <c r="BA526" s="20">
        <v>7</v>
      </c>
      <c r="BB526" s="20">
        <v>10</v>
      </c>
      <c r="BC526" s="300">
        <f t="shared" si="90"/>
        <v>222</v>
      </c>
      <c r="BD526" s="42">
        <f t="shared" si="91"/>
        <v>8</v>
      </c>
      <c r="BE526" s="42">
        <f t="shared" si="92"/>
        <v>0</v>
      </c>
      <c r="BF526" s="42">
        <f t="shared" si="93"/>
        <v>0</v>
      </c>
      <c r="BG526" s="42">
        <f t="shared" si="94"/>
        <v>0</v>
      </c>
      <c r="BH526" s="42">
        <f t="shared" si="95"/>
        <v>0</v>
      </c>
      <c r="BI526" s="42">
        <f t="shared" si="96"/>
        <v>0</v>
      </c>
      <c r="BJ526" s="42">
        <f t="shared" si="97"/>
        <v>0</v>
      </c>
      <c r="BK526" s="42">
        <f t="shared" si="98"/>
        <v>8</v>
      </c>
    </row>
    <row r="527" spans="1:63" ht="27" customHeight="1">
      <c r="A527" s="222">
        <f t="shared" si="99"/>
        <v>525</v>
      </c>
      <c r="B527" s="223"/>
      <c r="C527" s="223">
        <v>3372</v>
      </c>
      <c r="D527" s="225" t="s">
        <v>3366</v>
      </c>
      <c r="E527" s="226" t="s">
        <v>3367</v>
      </c>
      <c r="F527" s="227" t="s">
        <v>3368</v>
      </c>
      <c r="G527" s="228" t="s">
        <v>2933</v>
      </c>
      <c r="H527" s="229" t="s">
        <v>2197</v>
      </c>
      <c r="I527" s="230" t="s">
        <v>2121</v>
      </c>
      <c r="J527" s="231" t="s">
        <v>204</v>
      </c>
      <c r="K527" s="232">
        <v>36576</v>
      </c>
      <c r="L527" s="233" t="s">
        <v>174</v>
      </c>
      <c r="M527" s="234">
        <v>43754</v>
      </c>
      <c r="N527" s="234"/>
      <c r="O527" s="234" t="s">
        <v>32</v>
      </c>
      <c r="P527" s="222" t="s">
        <v>547</v>
      </c>
      <c r="Q527" s="222" t="s">
        <v>176</v>
      </c>
      <c r="R527" s="222" t="s">
        <v>177</v>
      </c>
      <c r="S527" s="222" t="s">
        <v>2354</v>
      </c>
      <c r="T527" s="235"/>
      <c r="U527" s="235"/>
      <c r="V527" s="236"/>
      <c r="W527" s="236"/>
      <c r="X527" s="236">
        <v>9</v>
      </c>
      <c r="Y527" s="237" t="s">
        <v>3369</v>
      </c>
      <c r="Z527" s="238" t="s">
        <v>181</v>
      </c>
      <c r="AA527" s="238"/>
      <c r="AB527" s="236"/>
      <c r="AC527" s="239"/>
      <c r="AD527" s="240"/>
      <c r="AE527" s="240"/>
      <c r="AF527" s="241"/>
      <c r="AG527" s="242"/>
      <c r="AH527" s="243"/>
      <c r="AI527" s="243"/>
      <c r="AJ527" s="244" t="s">
        <v>198</v>
      </c>
      <c r="AK527" s="244" t="s">
        <v>185</v>
      </c>
      <c r="AL527" s="244" t="s">
        <v>185</v>
      </c>
      <c r="AM527" s="239" t="s">
        <v>2344</v>
      </c>
      <c r="AN527" s="20">
        <v>177</v>
      </c>
      <c r="AO527" s="20">
        <v>0</v>
      </c>
      <c r="AP527" s="20">
        <v>20</v>
      </c>
      <c r="AQ527" s="20">
        <v>0</v>
      </c>
      <c r="AR527" s="20">
        <v>0</v>
      </c>
      <c r="AS527" s="20">
        <v>7</v>
      </c>
      <c r="AT527" s="20">
        <v>10</v>
      </c>
      <c r="AU527" s="300">
        <f t="shared" si="89"/>
        <v>214</v>
      </c>
      <c r="AV527" s="20">
        <v>185</v>
      </c>
      <c r="AW527" s="20">
        <v>0</v>
      </c>
      <c r="AX527" s="20">
        <v>20</v>
      </c>
      <c r="AY527" s="20">
        <v>0</v>
      </c>
      <c r="AZ527" s="20">
        <v>0</v>
      </c>
      <c r="BA527" s="20">
        <v>7</v>
      </c>
      <c r="BB527" s="20">
        <v>10</v>
      </c>
      <c r="BC527" s="300">
        <f t="shared" si="90"/>
        <v>222</v>
      </c>
      <c r="BD527" s="42">
        <f t="shared" si="91"/>
        <v>8</v>
      </c>
      <c r="BE527" s="42">
        <f t="shared" si="92"/>
        <v>0</v>
      </c>
      <c r="BF527" s="42">
        <f t="shared" si="93"/>
        <v>0</v>
      </c>
      <c r="BG527" s="42">
        <f t="shared" si="94"/>
        <v>0</v>
      </c>
      <c r="BH527" s="42">
        <f t="shared" si="95"/>
        <v>0</v>
      </c>
      <c r="BI527" s="42">
        <f t="shared" si="96"/>
        <v>0</v>
      </c>
      <c r="BJ527" s="42">
        <f t="shared" si="97"/>
        <v>0</v>
      </c>
      <c r="BK527" s="42">
        <f t="shared" si="98"/>
        <v>8</v>
      </c>
    </row>
    <row r="528" spans="1:63" ht="27" customHeight="1">
      <c r="A528" s="222">
        <f t="shared" si="99"/>
        <v>526</v>
      </c>
      <c r="B528" s="223"/>
      <c r="C528" s="223">
        <v>3347</v>
      </c>
      <c r="D528" s="225"/>
      <c r="E528" s="226" t="s">
        <v>3370</v>
      </c>
      <c r="F528" s="227" t="s">
        <v>3371</v>
      </c>
      <c r="G528" s="228" t="s">
        <v>3372</v>
      </c>
      <c r="H528" s="229" t="s">
        <v>3373</v>
      </c>
      <c r="I528" s="230" t="s">
        <v>3374</v>
      </c>
      <c r="J528" s="231" t="s">
        <v>173</v>
      </c>
      <c r="K528" s="232">
        <v>34581</v>
      </c>
      <c r="L528" s="233" t="s">
        <v>174</v>
      </c>
      <c r="M528" s="234">
        <v>43754</v>
      </c>
      <c r="N528" s="234"/>
      <c r="O528" s="234" t="s">
        <v>32</v>
      </c>
      <c r="P528" s="222" t="s">
        <v>397</v>
      </c>
      <c r="Q528" s="222" t="s">
        <v>176</v>
      </c>
      <c r="R528" s="222" t="s">
        <v>177</v>
      </c>
      <c r="S528" s="222" t="s">
        <v>2479</v>
      </c>
      <c r="T528" s="235"/>
      <c r="U528" s="235"/>
      <c r="V528" s="236"/>
      <c r="W528" s="236"/>
      <c r="X528" s="236">
        <v>5</v>
      </c>
      <c r="Y528" s="237" t="s">
        <v>3375</v>
      </c>
      <c r="Z528" s="238"/>
      <c r="AA528" s="238" t="s">
        <v>181</v>
      </c>
      <c r="AB528" s="236"/>
      <c r="AC528" s="239"/>
      <c r="AD528" s="240" t="s">
        <v>183</v>
      </c>
      <c r="AE528" s="240"/>
      <c r="AF528" s="241"/>
      <c r="AG528" s="242"/>
      <c r="AH528" s="243"/>
      <c r="AI528" s="243"/>
      <c r="AJ528" s="244" t="s">
        <v>198</v>
      </c>
      <c r="AK528" s="244" t="s">
        <v>185</v>
      </c>
      <c r="AL528" s="244" t="s">
        <v>185</v>
      </c>
      <c r="AM528" s="239" t="s">
        <v>2344</v>
      </c>
      <c r="AN528" s="20">
        <v>182</v>
      </c>
      <c r="AO528" s="20">
        <v>0</v>
      </c>
      <c r="AP528" s="20">
        <v>0</v>
      </c>
      <c r="AQ528" s="20">
        <v>0</v>
      </c>
      <c r="AR528" s="20">
        <v>0</v>
      </c>
      <c r="AS528" s="20">
        <v>7</v>
      </c>
      <c r="AT528" s="20">
        <v>10</v>
      </c>
      <c r="AU528" s="300">
        <f t="shared" si="89"/>
        <v>199</v>
      </c>
      <c r="AV528" s="20">
        <v>190</v>
      </c>
      <c r="AW528" s="20">
        <v>0</v>
      </c>
      <c r="AX528" s="20">
        <v>0</v>
      </c>
      <c r="AY528" s="20">
        <v>0</v>
      </c>
      <c r="AZ528" s="20">
        <v>0</v>
      </c>
      <c r="BA528" s="20">
        <v>7</v>
      </c>
      <c r="BB528" s="20">
        <v>10</v>
      </c>
      <c r="BC528" s="300">
        <f t="shared" si="90"/>
        <v>207</v>
      </c>
      <c r="BD528" s="42">
        <f t="shared" si="91"/>
        <v>8</v>
      </c>
      <c r="BE528" s="42">
        <f t="shared" si="92"/>
        <v>0</v>
      </c>
      <c r="BF528" s="42">
        <f t="shared" si="93"/>
        <v>0</v>
      </c>
      <c r="BG528" s="42">
        <f t="shared" si="94"/>
        <v>0</v>
      </c>
      <c r="BH528" s="42">
        <f t="shared" si="95"/>
        <v>0</v>
      </c>
      <c r="BI528" s="42">
        <f t="shared" si="96"/>
        <v>0</v>
      </c>
      <c r="BJ528" s="42">
        <f t="shared" si="97"/>
        <v>0</v>
      </c>
      <c r="BK528" s="42">
        <f t="shared" si="98"/>
        <v>8</v>
      </c>
    </row>
    <row r="529" spans="1:63" ht="27" customHeight="1">
      <c r="A529" s="222">
        <f t="shared" si="99"/>
        <v>527</v>
      </c>
      <c r="B529" s="223"/>
      <c r="C529" s="223">
        <v>3357</v>
      </c>
      <c r="D529" s="225"/>
      <c r="E529" s="226"/>
      <c r="F529" s="227" t="s">
        <v>2814</v>
      </c>
      <c r="G529" s="228" t="s">
        <v>3376</v>
      </c>
      <c r="H529" s="229" t="s">
        <v>3377</v>
      </c>
      <c r="I529" s="230" t="s">
        <v>3378</v>
      </c>
      <c r="J529" s="231" t="s">
        <v>173</v>
      </c>
      <c r="K529" s="232">
        <v>36872</v>
      </c>
      <c r="L529" s="233" t="s">
        <v>174</v>
      </c>
      <c r="M529" s="234">
        <v>43755</v>
      </c>
      <c r="N529" s="234"/>
      <c r="O529" s="234" t="s">
        <v>32</v>
      </c>
      <c r="P529" s="222" t="s">
        <v>381</v>
      </c>
      <c r="Q529" s="222" t="s">
        <v>176</v>
      </c>
      <c r="R529" s="222" t="s">
        <v>177</v>
      </c>
      <c r="S529" s="222" t="s">
        <v>2425</v>
      </c>
      <c r="T529" s="235"/>
      <c r="U529" s="235"/>
      <c r="V529" s="236"/>
      <c r="W529" s="236"/>
      <c r="X529" s="236">
        <v>7</v>
      </c>
      <c r="Y529" s="237" t="s">
        <v>3379</v>
      </c>
      <c r="Z529" s="238" t="s">
        <v>181</v>
      </c>
      <c r="AA529" s="238"/>
      <c r="AB529" s="236"/>
      <c r="AC529" s="239"/>
      <c r="AD529" s="240"/>
      <c r="AE529" s="240"/>
      <c r="AF529" s="241"/>
      <c r="AG529" s="242"/>
      <c r="AH529" s="243"/>
      <c r="AI529" s="243"/>
      <c r="AJ529" s="244" t="s">
        <v>198</v>
      </c>
      <c r="AK529" s="244" t="s">
        <v>185</v>
      </c>
      <c r="AL529" s="244" t="s">
        <v>185</v>
      </c>
      <c r="AM529" s="239" t="s">
        <v>2344</v>
      </c>
      <c r="AN529" s="20">
        <v>177</v>
      </c>
      <c r="AO529" s="20">
        <v>0</v>
      </c>
      <c r="AP529" s="20">
        <v>0</v>
      </c>
      <c r="AQ529" s="20">
        <v>0</v>
      </c>
      <c r="AR529" s="20">
        <v>0</v>
      </c>
      <c r="AS529" s="20">
        <v>7</v>
      </c>
      <c r="AT529" s="20">
        <v>10</v>
      </c>
      <c r="AU529" s="300">
        <f t="shared" si="89"/>
        <v>194</v>
      </c>
      <c r="AV529" s="20">
        <v>185</v>
      </c>
      <c r="AW529" s="20">
        <v>0</v>
      </c>
      <c r="AX529" s="20">
        <v>0</v>
      </c>
      <c r="AY529" s="20">
        <v>0</v>
      </c>
      <c r="AZ529" s="20">
        <v>0</v>
      </c>
      <c r="BA529" s="20">
        <v>7</v>
      </c>
      <c r="BB529" s="20">
        <v>10</v>
      </c>
      <c r="BC529" s="300">
        <f t="shared" si="90"/>
        <v>202</v>
      </c>
      <c r="BD529" s="42">
        <f t="shared" si="91"/>
        <v>8</v>
      </c>
      <c r="BE529" s="42">
        <f t="shared" si="92"/>
        <v>0</v>
      </c>
      <c r="BF529" s="42">
        <f t="shared" si="93"/>
        <v>0</v>
      </c>
      <c r="BG529" s="42">
        <f t="shared" si="94"/>
        <v>0</v>
      </c>
      <c r="BH529" s="42">
        <f t="shared" si="95"/>
        <v>0</v>
      </c>
      <c r="BI529" s="42">
        <f t="shared" si="96"/>
        <v>0</v>
      </c>
      <c r="BJ529" s="42">
        <f t="shared" si="97"/>
        <v>0</v>
      </c>
      <c r="BK529" s="42">
        <f t="shared" si="98"/>
        <v>8</v>
      </c>
    </row>
    <row r="530" spans="1:63" ht="27" customHeight="1">
      <c r="A530" s="222">
        <f t="shared" si="99"/>
        <v>528</v>
      </c>
      <c r="B530" s="223"/>
      <c r="C530" s="223">
        <v>3111</v>
      </c>
      <c r="D530" s="225" t="s">
        <v>3380</v>
      </c>
      <c r="E530" s="226" t="s">
        <v>3381</v>
      </c>
      <c r="F530" s="227" t="s">
        <v>3382</v>
      </c>
      <c r="G530" s="228" t="s">
        <v>1804</v>
      </c>
      <c r="H530" s="229" t="s">
        <v>3383</v>
      </c>
      <c r="I530" s="230" t="s">
        <v>3384</v>
      </c>
      <c r="J530" s="231" t="s">
        <v>173</v>
      </c>
      <c r="K530" s="232">
        <v>36417</v>
      </c>
      <c r="L530" s="233" t="s">
        <v>174</v>
      </c>
      <c r="M530" s="234">
        <v>43740</v>
      </c>
      <c r="N530" s="234"/>
      <c r="O530" s="234" t="s">
        <v>32</v>
      </c>
      <c r="P530" s="222" t="s">
        <v>547</v>
      </c>
      <c r="Q530" s="222" t="s">
        <v>176</v>
      </c>
      <c r="R530" s="222" t="s">
        <v>177</v>
      </c>
      <c r="S530" s="222" t="s">
        <v>2354</v>
      </c>
      <c r="T530" s="235"/>
      <c r="U530" s="235"/>
      <c r="V530" s="236"/>
      <c r="W530" s="236"/>
      <c r="X530" s="236"/>
      <c r="Y530" s="237" t="s">
        <v>3385</v>
      </c>
      <c r="Z530" s="238" t="s">
        <v>181</v>
      </c>
      <c r="AA530" s="238"/>
      <c r="AB530" s="236"/>
      <c r="AC530" s="239"/>
      <c r="AD530" s="240"/>
      <c r="AE530" s="240"/>
      <c r="AF530" s="241"/>
      <c r="AG530" s="242"/>
      <c r="AH530" s="243"/>
      <c r="AI530" s="243"/>
      <c r="AJ530" s="244" t="s">
        <v>198</v>
      </c>
      <c r="AK530" s="244" t="s">
        <v>185</v>
      </c>
      <c r="AL530" s="244" t="s">
        <v>185</v>
      </c>
      <c r="AM530" s="239" t="s">
        <v>2344</v>
      </c>
      <c r="AN530" s="20">
        <v>182</v>
      </c>
      <c r="AO530" s="20">
        <v>0</v>
      </c>
      <c r="AP530" s="20">
        <v>20</v>
      </c>
      <c r="AQ530" s="20">
        <v>0</v>
      </c>
      <c r="AR530" s="20">
        <v>0</v>
      </c>
      <c r="AS530" s="20">
        <v>7</v>
      </c>
      <c r="AT530" s="20">
        <v>10</v>
      </c>
      <c r="AU530" s="300">
        <f t="shared" si="89"/>
        <v>219</v>
      </c>
      <c r="AV530" s="20">
        <v>190</v>
      </c>
      <c r="AW530" s="20">
        <v>0</v>
      </c>
      <c r="AX530" s="20">
        <v>20</v>
      </c>
      <c r="AY530" s="20">
        <v>0</v>
      </c>
      <c r="AZ530" s="20">
        <v>0</v>
      </c>
      <c r="BA530" s="20">
        <v>7</v>
      </c>
      <c r="BB530" s="20">
        <v>10</v>
      </c>
      <c r="BC530" s="300">
        <f t="shared" si="90"/>
        <v>227</v>
      </c>
      <c r="BD530" s="42">
        <f t="shared" si="91"/>
        <v>8</v>
      </c>
      <c r="BE530" s="42">
        <f t="shared" si="92"/>
        <v>0</v>
      </c>
      <c r="BF530" s="42">
        <f t="shared" si="93"/>
        <v>0</v>
      </c>
      <c r="BG530" s="42">
        <f t="shared" si="94"/>
        <v>0</v>
      </c>
      <c r="BH530" s="42">
        <f t="shared" si="95"/>
        <v>0</v>
      </c>
      <c r="BI530" s="42">
        <f t="shared" si="96"/>
        <v>0</v>
      </c>
      <c r="BJ530" s="42">
        <f t="shared" si="97"/>
        <v>0</v>
      </c>
      <c r="BK530" s="42">
        <f t="shared" si="98"/>
        <v>8</v>
      </c>
    </row>
    <row r="531" spans="1:63" ht="27" customHeight="1">
      <c r="A531" s="222">
        <f t="shared" si="99"/>
        <v>529</v>
      </c>
      <c r="B531" s="223"/>
      <c r="C531" s="223">
        <v>3317</v>
      </c>
      <c r="D531" s="225" t="s">
        <v>3386</v>
      </c>
      <c r="E531" s="226"/>
      <c r="F531" s="227" t="s">
        <v>3387</v>
      </c>
      <c r="G531" s="228" t="s">
        <v>3388</v>
      </c>
      <c r="H531" s="229" t="s">
        <v>3389</v>
      </c>
      <c r="I531" s="230" t="s">
        <v>3390</v>
      </c>
      <c r="J531" s="231" t="s">
        <v>173</v>
      </c>
      <c r="K531" s="232">
        <v>35261</v>
      </c>
      <c r="L531" s="233" t="s">
        <v>174</v>
      </c>
      <c r="M531" s="234">
        <v>43743</v>
      </c>
      <c r="N531" s="234"/>
      <c r="O531" s="234" t="s">
        <v>32</v>
      </c>
      <c r="P531" s="222" t="s">
        <v>334</v>
      </c>
      <c r="Q531" s="222" t="s">
        <v>176</v>
      </c>
      <c r="R531" s="222" t="s">
        <v>177</v>
      </c>
      <c r="S531" s="222" t="s">
        <v>1113</v>
      </c>
      <c r="T531" s="235"/>
      <c r="U531" s="235"/>
      <c r="V531" s="236"/>
      <c r="W531" s="236"/>
      <c r="X531" s="236">
        <v>4</v>
      </c>
      <c r="Y531" s="237"/>
      <c r="Z531" s="238"/>
      <c r="AA531" s="238" t="s">
        <v>181</v>
      </c>
      <c r="AB531" s="236"/>
      <c r="AC531" s="239"/>
      <c r="AD531" s="240"/>
      <c r="AE531" s="240"/>
      <c r="AF531" s="241"/>
      <c r="AG531" s="242"/>
      <c r="AH531" s="243"/>
      <c r="AI531" s="243"/>
      <c r="AJ531" s="244" t="s">
        <v>198</v>
      </c>
      <c r="AK531" s="244" t="s">
        <v>185</v>
      </c>
      <c r="AL531" s="244" t="s">
        <v>185</v>
      </c>
      <c r="AM531" s="239" t="s">
        <v>2344</v>
      </c>
      <c r="AN531" s="20">
        <v>182</v>
      </c>
      <c r="AO531" s="20">
        <v>0</v>
      </c>
      <c r="AP531" s="20">
        <v>0</v>
      </c>
      <c r="AQ531" s="20">
        <v>0</v>
      </c>
      <c r="AR531" s="20">
        <v>0</v>
      </c>
      <c r="AS531" s="20">
        <v>7</v>
      </c>
      <c r="AT531" s="20">
        <v>10</v>
      </c>
      <c r="AU531" s="300">
        <f t="shared" si="89"/>
        <v>199</v>
      </c>
      <c r="AV531" s="20">
        <v>190</v>
      </c>
      <c r="AW531" s="20">
        <v>0</v>
      </c>
      <c r="AX531" s="20">
        <v>0</v>
      </c>
      <c r="AY531" s="20">
        <v>0</v>
      </c>
      <c r="AZ531" s="20">
        <v>0</v>
      </c>
      <c r="BA531" s="20">
        <v>7</v>
      </c>
      <c r="BB531" s="20">
        <v>10</v>
      </c>
      <c r="BC531" s="300">
        <f t="shared" si="90"/>
        <v>207</v>
      </c>
      <c r="BD531" s="42">
        <f t="shared" si="91"/>
        <v>8</v>
      </c>
      <c r="BE531" s="42">
        <f t="shared" si="92"/>
        <v>0</v>
      </c>
      <c r="BF531" s="42">
        <f t="shared" si="93"/>
        <v>0</v>
      </c>
      <c r="BG531" s="42">
        <f t="shared" si="94"/>
        <v>0</v>
      </c>
      <c r="BH531" s="42">
        <f t="shared" si="95"/>
        <v>0</v>
      </c>
      <c r="BI531" s="42">
        <f t="shared" si="96"/>
        <v>0</v>
      </c>
      <c r="BJ531" s="42">
        <f t="shared" si="97"/>
        <v>0</v>
      </c>
      <c r="BK531" s="42">
        <f t="shared" si="98"/>
        <v>8</v>
      </c>
    </row>
    <row r="532" spans="1:63" ht="27" customHeight="1">
      <c r="A532" s="222">
        <f t="shared" si="99"/>
        <v>530</v>
      </c>
      <c r="B532" s="223"/>
      <c r="C532" s="223">
        <v>3346</v>
      </c>
      <c r="D532" s="225" t="s">
        <v>3391</v>
      </c>
      <c r="E532" s="226" t="s">
        <v>3392</v>
      </c>
      <c r="F532" s="227" t="s">
        <v>3393</v>
      </c>
      <c r="G532" s="228" t="s">
        <v>3394</v>
      </c>
      <c r="H532" s="229" t="s">
        <v>3395</v>
      </c>
      <c r="I532" s="230" t="s">
        <v>3396</v>
      </c>
      <c r="J532" s="231" t="s">
        <v>173</v>
      </c>
      <c r="K532" s="232">
        <v>31629</v>
      </c>
      <c r="L532" s="233" t="s">
        <v>174</v>
      </c>
      <c r="M532" s="234">
        <v>43750</v>
      </c>
      <c r="N532" s="234"/>
      <c r="O532" s="234" t="s">
        <v>32</v>
      </c>
      <c r="P532" s="222" t="s">
        <v>287</v>
      </c>
      <c r="Q532" s="222" t="s">
        <v>176</v>
      </c>
      <c r="R532" s="222" t="s">
        <v>177</v>
      </c>
      <c r="S532" s="222" t="s">
        <v>2354</v>
      </c>
      <c r="T532" s="235"/>
      <c r="U532" s="235"/>
      <c r="V532" s="236"/>
      <c r="W532" s="236"/>
      <c r="X532" s="236">
        <v>9</v>
      </c>
      <c r="Y532" s="237" t="s">
        <v>3397</v>
      </c>
      <c r="Z532" s="238"/>
      <c r="AA532" s="238" t="s">
        <v>181</v>
      </c>
      <c r="AB532" s="236"/>
      <c r="AC532" s="239"/>
      <c r="AD532" s="240"/>
      <c r="AE532" s="240"/>
      <c r="AF532" s="241"/>
      <c r="AG532" s="242"/>
      <c r="AH532" s="243"/>
      <c r="AI532" s="243"/>
      <c r="AJ532" s="244" t="s">
        <v>198</v>
      </c>
      <c r="AK532" s="244" t="s">
        <v>185</v>
      </c>
      <c r="AL532" s="244" t="s">
        <v>185</v>
      </c>
      <c r="AM532" s="239" t="s">
        <v>2344</v>
      </c>
      <c r="AN532" s="20">
        <v>182</v>
      </c>
      <c r="AO532" s="20">
        <v>0</v>
      </c>
      <c r="AP532" s="20">
        <v>20</v>
      </c>
      <c r="AQ532" s="20">
        <v>0</v>
      </c>
      <c r="AR532" s="20">
        <v>0</v>
      </c>
      <c r="AS532" s="20">
        <v>7</v>
      </c>
      <c r="AT532" s="20">
        <v>10</v>
      </c>
      <c r="AU532" s="300">
        <f t="shared" si="89"/>
        <v>219</v>
      </c>
      <c r="AV532" s="20">
        <v>190</v>
      </c>
      <c r="AW532" s="20">
        <v>0</v>
      </c>
      <c r="AX532" s="20">
        <v>20</v>
      </c>
      <c r="AY532" s="20">
        <v>0</v>
      </c>
      <c r="AZ532" s="20">
        <v>0</v>
      </c>
      <c r="BA532" s="20">
        <v>7</v>
      </c>
      <c r="BB532" s="20">
        <v>10</v>
      </c>
      <c r="BC532" s="300">
        <f t="shared" si="90"/>
        <v>227</v>
      </c>
      <c r="BD532" s="42">
        <f t="shared" si="91"/>
        <v>8</v>
      </c>
      <c r="BE532" s="42">
        <f t="shared" si="92"/>
        <v>0</v>
      </c>
      <c r="BF532" s="42">
        <f t="shared" si="93"/>
        <v>0</v>
      </c>
      <c r="BG532" s="42">
        <f t="shared" si="94"/>
        <v>0</v>
      </c>
      <c r="BH532" s="42">
        <f t="shared" si="95"/>
        <v>0</v>
      </c>
      <c r="BI532" s="42">
        <f t="shared" si="96"/>
        <v>0</v>
      </c>
      <c r="BJ532" s="42">
        <f t="shared" si="97"/>
        <v>0</v>
      </c>
      <c r="BK532" s="42">
        <f t="shared" si="98"/>
        <v>8</v>
      </c>
    </row>
    <row r="533" spans="1:63" ht="27" customHeight="1">
      <c r="A533" s="222">
        <f t="shared" si="99"/>
        <v>531</v>
      </c>
      <c r="B533" s="223"/>
      <c r="C533" s="223">
        <v>3340</v>
      </c>
      <c r="D533" s="225" t="s">
        <v>3398</v>
      </c>
      <c r="E533" s="226" t="s">
        <v>3399</v>
      </c>
      <c r="F533" s="227" t="s">
        <v>2054</v>
      </c>
      <c r="G533" s="228" t="s">
        <v>416</v>
      </c>
      <c r="H533" s="229" t="s">
        <v>2650</v>
      </c>
      <c r="I533" s="230" t="s">
        <v>3400</v>
      </c>
      <c r="J533" s="231" t="s">
        <v>204</v>
      </c>
      <c r="K533" s="232" t="s">
        <v>3401</v>
      </c>
      <c r="L533" s="233" t="s">
        <v>174</v>
      </c>
      <c r="M533" s="234">
        <v>43748</v>
      </c>
      <c r="N533" s="234"/>
      <c r="O533" s="234" t="s">
        <v>32</v>
      </c>
      <c r="P533" s="222" t="s">
        <v>83</v>
      </c>
      <c r="Q533" s="222" t="s">
        <v>176</v>
      </c>
      <c r="R533" s="222" t="s">
        <v>177</v>
      </c>
      <c r="S533" s="222" t="s">
        <v>2354</v>
      </c>
      <c r="T533" s="235"/>
      <c r="U533" s="235"/>
      <c r="V533" s="236"/>
      <c r="W533" s="236"/>
      <c r="X533" s="236">
        <v>5</v>
      </c>
      <c r="Y533" s="237" t="s">
        <v>3402</v>
      </c>
      <c r="Z533" s="238" t="s">
        <v>181</v>
      </c>
      <c r="AA533" s="238"/>
      <c r="AB533" s="236"/>
      <c r="AC533" s="239"/>
      <c r="AD533" s="240"/>
      <c r="AE533" s="240"/>
      <c r="AF533" s="241"/>
      <c r="AG533" s="242"/>
      <c r="AH533" s="243"/>
      <c r="AI533" s="243"/>
      <c r="AJ533" s="244" t="s">
        <v>198</v>
      </c>
      <c r="AK533" s="244" t="s">
        <v>185</v>
      </c>
      <c r="AL533" s="244" t="s">
        <v>185</v>
      </c>
      <c r="AM533" s="239"/>
      <c r="AN533" s="20">
        <v>182</v>
      </c>
      <c r="AO533" s="20">
        <v>0</v>
      </c>
      <c r="AP533" s="20">
        <v>0</v>
      </c>
      <c r="AQ533" s="20">
        <v>0</v>
      </c>
      <c r="AR533" s="20">
        <v>0</v>
      </c>
      <c r="AS533" s="20">
        <v>7</v>
      </c>
      <c r="AT533" s="20">
        <v>10</v>
      </c>
      <c r="AU533" s="300">
        <f t="shared" si="89"/>
        <v>199</v>
      </c>
      <c r="AV533" s="20">
        <v>190</v>
      </c>
      <c r="AW533" s="20">
        <v>0</v>
      </c>
      <c r="AX533" s="20">
        <v>0</v>
      </c>
      <c r="AY533" s="20">
        <v>0</v>
      </c>
      <c r="AZ533" s="20">
        <v>0</v>
      </c>
      <c r="BA533" s="20">
        <v>7</v>
      </c>
      <c r="BB533" s="20">
        <v>10</v>
      </c>
      <c r="BC533" s="300">
        <f t="shared" si="90"/>
        <v>207</v>
      </c>
      <c r="BD533" s="42">
        <f t="shared" si="91"/>
        <v>8</v>
      </c>
      <c r="BE533" s="42">
        <f t="shared" si="92"/>
        <v>0</v>
      </c>
      <c r="BF533" s="42">
        <f t="shared" si="93"/>
        <v>0</v>
      </c>
      <c r="BG533" s="42">
        <f t="shared" si="94"/>
        <v>0</v>
      </c>
      <c r="BH533" s="42">
        <f t="shared" si="95"/>
        <v>0</v>
      </c>
      <c r="BI533" s="42">
        <f t="shared" si="96"/>
        <v>0</v>
      </c>
      <c r="BJ533" s="42">
        <f t="shared" si="97"/>
        <v>0</v>
      </c>
      <c r="BK533" s="42">
        <f t="shared" si="98"/>
        <v>8</v>
      </c>
    </row>
    <row r="534" spans="1:63" ht="27" customHeight="1">
      <c r="A534" s="222">
        <f t="shared" si="99"/>
        <v>532</v>
      </c>
      <c r="B534" s="223"/>
      <c r="C534" s="223">
        <v>3324</v>
      </c>
      <c r="D534" s="225" t="s">
        <v>3403</v>
      </c>
      <c r="E534" s="226" t="s">
        <v>3404</v>
      </c>
      <c r="F534" s="227" t="s">
        <v>2829</v>
      </c>
      <c r="G534" s="228" t="s">
        <v>3405</v>
      </c>
      <c r="H534" s="229" t="s">
        <v>91</v>
      </c>
      <c r="I534" s="230" t="s">
        <v>3406</v>
      </c>
      <c r="J534" s="231" t="s">
        <v>173</v>
      </c>
      <c r="K534" s="232">
        <v>34326</v>
      </c>
      <c r="L534" s="233" t="s">
        <v>174</v>
      </c>
      <c r="M534" s="234">
        <v>43745</v>
      </c>
      <c r="N534" s="234"/>
      <c r="O534" s="234" t="s">
        <v>32</v>
      </c>
      <c r="P534" s="222" t="s">
        <v>381</v>
      </c>
      <c r="Q534" s="222" t="s">
        <v>176</v>
      </c>
      <c r="R534" s="222" t="s">
        <v>177</v>
      </c>
      <c r="S534" s="222" t="s">
        <v>2425</v>
      </c>
      <c r="T534" s="235"/>
      <c r="U534" s="235"/>
      <c r="V534" s="236"/>
      <c r="W534" s="236"/>
      <c r="X534" s="236">
        <v>7</v>
      </c>
      <c r="Y534" s="237" t="s">
        <v>3407</v>
      </c>
      <c r="Z534" s="238"/>
      <c r="AA534" s="238" t="s">
        <v>181</v>
      </c>
      <c r="AB534" s="236"/>
      <c r="AC534" s="239"/>
      <c r="AD534" s="240"/>
      <c r="AE534" s="240"/>
      <c r="AF534" s="241"/>
      <c r="AG534" s="242"/>
      <c r="AH534" s="243"/>
      <c r="AI534" s="243"/>
      <c r="AJ534" s="244" t="s">
        <v>198</v>
      </c>
      <c r="AK534" s="244" t="s">
        <v>185</v>
      </c>
      <c r="AL534" s="244" t="s">
        <v>185</v>
      </c>
      <c r="AM534" s="239"/>
      <c r="AN534" s="20">
        <v>182</v>
      </c>
      <c r="AO534" s="20">
        <v>0</v>
      </c>
      <c r="AP534" s="20">
        <v>0</v>
      </c>
      <c r="AQ534" s="20">
        <v>0</v>
      </c>
      <c r="AR534" s="20">
        <v>0</v>
      </c>
      <c r="AS534" s="20">
        <v>7</v>
      </c>
      <c r="AT534" s="20">
        <v>10</v>
      </c>
      <c r="AU534" s="300">
        <f t="shared" si="89"/>
        <v>199</v>
      </c>
      <c r="AV534" s="20">
        <v>190</v>
      </c>
      <c r="AW534" s="20">
        <v>0</v>
      </c>
      <c r="AX534" s="20">
        <v>0</v>
      </c>
      <c r="AY534" s="20">
        <v>0</v>
      </c>
      <c r="AZ534" s="20">
        <v>0</v>
      </c>
      <c r="BA534" s="20">
        <v>7</v>
      </c>
      <c r="BB534" s="20">
        <v>10</v>
      </c>
      <c r="BC534" s="300">
        <f t="shared" si="90"/>
        <v>207</v>
      </c>
      <c r="BD534" s="42">
        <f t="shared" si="91"/>
        <v>8</v>
      </c>
      <c r="BE534" s="42">
        <f t="shared" si="92"/>
        <v>0</v>
      </c>
      <c r="BF534" s="42">
        <f t="shared" si="93"/>
        <v>0</v>
      </c>
      <c r="BG534" s="42">
        <f t="shared" si="94"/>
        <v>0</v>
      </c>
      <c r="BH534" s="42">
        <f t="shared" si="95"/>
        <v>0</v>
      </c>
      <c r="BI534" s="42">
        <f t="shared" si="96"/>
        <v>0</v>
      </c>
      <c r="BJ534" s="42">
        <f t="shared" si="97"/>
        <v>0</v>
      </c>
      <c r="BK534" s="42">
        <f t="shared" si="98"/>
        <v>8</v>
      </c>
    </row>
    <row r="535" spans="1:63" ht="27" customHeight="1">
      <c r="A535" s="222">
        <f t="shared" si="99"/>
        <v>533</v>
      </c>
      <c r="B535" s="223"/>
      <c r="C535" s="223">
        <v>3129</v>
      </c>
      <c r="D535" s="225" t="s">
        <v>3408</v>
      </c>
      <c r="E535" s="226" t="s">
        <v>3409</v>
      </c>
      <c r="F535" s="227" t="s">
        <v>3410</v>
      </c>
      <c r="G535" s="228" t="s">
        <v>3411</v>
      </c>
      <c r="H535" s="229" t="s">
        <v>3412</v>
      </c>
      <c r="I535" s="230" t="s">
        <v>3413</v>
      </c>
      <c r="J535" s="231" t="s">
        <v>173</v>
      </c>
      <c r="K535" s="232">
        <v>31323</v>
      </c>
      <c r="L535" s="233" t="s">
        <v>174</v>
      </c>
      <c r="M535" s="234">
        <v>43742</v>
      </c>
      <c r="N535" s="234"/>
      <c r="O535" s="234" t="s">
        <v>32</v>
      </c>
      <c r="P535" s="222" t="s">
        <v>80</v>
      </c>
      <c r="Q535" s="222" t="s">
        <v>176</v>
      </c>
      <c r="R535" s="222" t="s">
        <v>177</v>
      </c>
      <c r="S535" s="222" t="s">
        <v>2354</v>
      </c>
      <c r="T535" s="235"/>
      <c r="U535" s="235"/>
      <c r="V535" s="236"/>
      <c r="W535" s="236"/>
      <c r="X535" s="236">
        <v>9</v>
      </c>
      <c r="Y535" s="237" t="s">
        <v>3414</v>
      </c>
      <c r="Z535" s="238"/>
      <c r="AA535" s="238" t="s">
        <v>181</v>
      </c>
      <c r="AB535" s="236"/>
      <c r="AC535" s="239"/>
      <c r="AD535" s="240" t="s">
        <v>183</v>
      </c>
      <c r="AE535" s="240" t="s">
        <v>183</v>
      </c>
      <c r="AF535" s="241" t="s">
        <v>183</v>
      </c>
      <c r="AG535" s="242"/>
      <c r="AH535" s="243"/>
      <c r="AI535" s="243"/>
      <c r="AJ535" s="244" t="s">
        <v>198</v>
      </c>
      <c r="AK535" s="244" t="s">
        <v>185</v>
      </c>
      <c r="AL535" s="244" t="s">
        <v>185</v>
      </c>
      <c r="AM535" s="239"/>
      <c r="AN535" s="20">
        <v>182</v>
      </c>
      <c r="AO535" s="20">
        <v>0</v>
      </c>
      <c r="AP535" s="20">
        <v>0</v>
      </c>
      <c r="AQ535" s="20">
        <v>0</v>
      </c>
      <c r="AR535" s="20">
        <v>0</v>
      </c>
      <c r="AS535" s="20">
        <v>7</v>
      </c>
      <c r="AT535" s="20">
        <v>10</v>
      </c>
      <c r="AU535" s="300">
        <f t="shared" si="89"/>
        <v>199</v>
      </c>
      <c r="AV535" s="20">
        <v>190</v>
      </c>
      <c r="AW535" s="20">
        <v>0</v>
      </c>
      <c r="AX535" s="20">
        <v>0</v>
      </c>
      <c r="AY535" s="20">
        <v>0</v>
      </c>
      <c r="AZ535" s="20">
        <v>0</v>
      </c>
      <c r="BA535" s="20">
        <v>7</v>
      </c>
      <c r="BB535" s="20">
        <v>10</v>
      </c>
      <c r="BC535" s="300">
        <f t="shared" si="90"/>
        <v>207</v>
      </c>
      <c r="BD535" s="42">
        <f t="shared" si="91"/>
        <v>8</v>
      </c>
      <c r="BE535" s="42">
        <f t="shared" si="92"/>
        <v>0</v>
      </c>
      <c r="BF535" s="42">
        <f t="shared" si="93"/>
        <v>0</v>
      </c>
      <c r="BG535" s="42">
        <f t="shared" si="94"/>
        <v>0</v>
      </c>
      <c r="BH535" s="42">
        <f t="shared" si="95"/>
        <v>0</v>
      </c>
      <c r="BI535" s="42">
        <f t="shared" si="96"/>
        <v>0</v>
      </c>
      <c r="BJ535" s="42">
        <f t="shared" si="97"/>
        <v>0</v>
      </c>
      <c r="BK535" s="42">
        <f t="shared" si="98"/>
        <v>8</v>
      </c>
    </row>
    <row r="536" spans="1:63" ht="27" customHeight="1">
      <c r="A536" s="222">
        <f t="shared" si="99"/>
        <v>534</v>
      </c>
      <c r="B536" s="223"/>
      <c r="C536" s="223">
        <v>3321</v>
      </c>
      <c r="D536" s="225" t="s">
        <v>3415</v>
      </c>
      <c r="E536" s="226" t="s">
        <v>3416</v>
      </c>
      <c r="F536" s="227" t="s">
        <v>3417</v>
      </c>
      <c r="G536" s="228" t="s">
        <v>3418</v>
      </c>
      <c r="H536" s="229" t="s">
        <v>3419</v>
      </c>
      <c r="I536" s="230" t="s">
        <v>3420</v>
      </c>
      <c r="J536" s="231" t="s">
        <v>173</v>
      </c>
      <c r="K536" s="232">
        <v>33764</v>
      </c>
      <c r="L536" s="233" t="s">
        <v>174</v>
      </c>
      <c r="M536" s="234">
        <v>43746</v>
      </c>
      <c r="N536" s="234"/>
      <c r="O536" s="234" t="s">
        <v>32</v>
      </c>
      <c r="P536" s="222" t="s">
        <v>397</v>
      </c>
      <c r="Q536" s="222" t="s">
        <v>176</v>
      </c>
      <c r="R536" s="222" t="s">
        <v>177</v>
      </c>
      <c r="S536" s="222" t="s">
        <v>1113</v>
      </c>
      <c r="T536" s="235"/>
      <c r="U536" s="235"/>
      <c r="V536" s="236"/>
      <c r="W536" s="236"/>
      <c r="X536" s="236">
        <v>3</v>
      </c>
      <c r="Y536" s="237" t="s">
        <v>3421</v>
      </c>
      <c r="Z536" s="238"/>
      <c r="AA536" s="238" t="s">
        <v>181</v>
      </c>
      <c r="AB536" s="236"/>
      <c r="AC536" s="239"/>
      <c r="AD536" s="240"/>
      <c r="AE536" s="240"/>
      <c r="AF536" s="241"/>
      <c r="AG536" s="242"/>
      <c r="AH536" s="243"/>
      <c r="AI536" s="243"/>
      <c r="AJ536" s="244" t="s">
        <v>198</v>
      </c>
      <c r="AK536" s="244" t="s">
        <v>185</v>
      </c>
      <c r="AL536" s="244" t="s">
        <v>185</v>
      </c>
      <c r="AM536" s="239"/>
      <c r="AN536" s="20">
        <v>182</v>
      </c>
      <c r="AO536" s="20">
        <v>0</v>
      </c>
      <c r="AP536" s="20">
        <v>0</v>
      </c>
      <c r="AQ536" s="20">
        <v>0</v>
      </c>
      <c r="AR536" s="20">
        <v>0</v>
      </c>
      <c r="AS536" s="20">
        <v>7</v>
      </c>
      <c r="AT536" s="20">
        <v>10</v>
      </c>
      <c r="AU536" s="300">
        <f t="shared" si="89"/>
        <v>199</v>
      </c>
      <c r="AV536" s="20">
        <v>190</v>
      </c>
      <c r="AW536" s="20">
        <v>0</v>
      </c>
      <c r="AX536" s="20">
        <v>0</v>
      </c>
      <c r="AY536" s="20">
        <v>0</v>
      </c>
      <c r="AZ536" s="20">
        <v>0</v>
      </c>
      <c r="BA536" s="20">
        <v>7</v>
      </c>
      <c r="BB536" s="20">
        <v>10</v>
      </c>
      <c r="BC536" s="300">
        <f t="shared" si="90"/>
        <v>207</v>
      </c>
      <c r="BD536" s="42">
        <f t="shared" si="91"/>
        <v>8</v>
      </c>
      <c r="BE536" s="42">
        <f t="shared" si="92"/>
        <v>0</v>
      </c>
      <c r="BF536" s="42">
        <f t="shared" si="93"/>
        <v>0</v>
      </c>
      <c r="BG536" s="42">
        <f t="shared" si="94"/>
        <v>0</v>
      </c>
      <c r="BH536" s="42">
        <f t="shared" si="95"/>
        <v>0</v>
      </c>
      <c r="BI536" s="42">
        <f t="shared" si="96"/>
        <v>0</v>
      </c>
      <c r="BJ536" s="42">
        <f t="shared" si="97"/>
        <v>0</v>
      </c>
      <c r="BK536" s="42">
        <f t="shared" si="98"/>
        <v>8</v>
      </c>
    </row>
    <row r="537" spans="1:63" ht="27" customHeight="1">
      <c r="A537" s="222">
        <f t="shared" si="99"/>
        <v>535</v>
      </c>
      <c r="B537" s="223"/>
      <c r="C537" s="223">
        <v>3330</v>
      </c>
      <c r="D537" s="225" t="s">
        <v>3422</v>
      </c>
      <c r="E537" s="226" t="s">
        <v>3423</v>
      </c>
      <c r="F537" s="227" t="s">
        <v>3424</v>
      </c>
      <c r="G537" s="228" t="s">
        <v>3027</v>
      </c>
      <c r="H537" s="229" t="s">
        <v>3425</v>
      </c>
      <c r="I537" s="230" t="s">
        <v>3426</v>
      </c>
      <c r="J537" s="231" t="s">
        <v>173</v>
      </c>
      <c r="K537" s="232">
        <v>26670</v>
      </c>
      <c r="L537" s="233" t="s">
        <v>174</v>
      </c>
      <c r="M537" s="234">
        <v>43746</v>
      </c>
      <c r="N537" s="234"/>
      <c r="O537" s="234" t="s">
        <v>32</v>
      </c>
      <c r="P537" s="222" t="s">
        <v>1276</v>
      </c>
      <c r="Q537" s="222" t="s">
        <v>176</v>
      </c>
      <c r="R537" s="222" t="s">
        <v>177</v>
      </c>
      <c r="S537" s="222" t="s">
        <v>2354</v>
      </c>
      <c r="T537" s="235"/>
      <c r="U537" s="235"/>
      <c r="V537" s="236"/>
      <c r="W537" s="236"/>
      <c r="X537" s="236">
        <v>9</v>
      </c>
      <c r="Y537" s="237" t="s">
        <v>3427</v>
      </c>
      <c r="Z537" s="238"/>
      <c r="AA537" s="238" t="s">
        <v>181</v>
      </c>
      <c r="AB537" s="236"/>
      <c r="AC537" s="239"/>
      <c r="AD537" s="240" t="s">
        <v>183</v>
      </c>
      <c r="AE537" s="240" t="s">
        <v>183</v>
      </c>
      <c r="AF537" s="241" t="s">
        <v>183</v>
      </c>
      <c r="AG537" s="242" t="s">
        <v>183</v>
      </c>
      <c r="AH537" s="243"/>
      <c r="AI537" s="243"/>
      <c r="AJ537" s="244" t="s">
        <v>198</v>
      </c>
      <c r="AK537" s="244" t="s">
        <v>185</v>
      </c>
      <c r="AL537" s="244" t="s">
        <v>185</v>
      </c>
      <c r="AM537" s="239"/>
      <c r="AN537" s="20">
        <v>182</v>
      </c>
      <c r="AO537" s="20">
        <v>0</v>
      </c>
      <c r="AP537" s="20">
        <v>0</v>
      </c>
      <c r="AQ537" s="20">
        <v>0</v>
      </c>
      <c r="AR537" s="20">
        <v>0</v>
      </c>
      <c r="AS537" s="20">
        <v>7</v>
      </c>
      <c r="AT537" s="20">
        <v>10</v>
      </c>
      <c r="AU537" s="300">
        <f t="shared" si="89"/>
        <v>199</v>
      </c>
      <c r="AV537" s="20">
        <v>190</v>
      </c>
      <c r="AW537" s="20">
        <v>0</v>
      </c>
      <c r="AX537" s="20">
        <v>0</v>
      </c>
      <c r="AY537" s="20">
        <v>0</v>
      </c>
      <c r="AZ537" s="20">
        <v>0</v>
      </c>
      <c r="BA537" s="20">
        <v>7</v>
      </c>
      <c r="BB537" s="20">
        <v>10</v>
      </c>
      <c r="BC537" s="300">
        <f t="shared" si="90"/>
        <v>207</v>
      </c>
      <c r="BD537" s="42">
        <f t="shared" si="91"/>
        <v>8</v>
      </c>
      <c r="BE537" s="42">
        <f t="shared" si="92"/>
        <v>0</v>
      </c>
      <c r="BF537" s="42">
        <f t="shared" si="93"/>
        <v>0</v>
      </c>
      <c r="BG537" s="42">
        <f t="shared" si="94"/>
        <v>0</v>
      </c>
      <c r="BH537" s="42">
        <f t="shared" si="95"/>
        <v>0</v>
      </c>
      <c r="BI537" s="42">
        <f t="shared" si="96"/>
        <v>0</v>
      </c>
      <c r="BJ537" s="42">
        <f t="shared" si="97"/>
        <v>0</v>
      </c>
      <c r="BK537" s="42">
        <f t="shared" si="98"/>
        <v>8</v>
      </c>
    </row>
    <row r="538" spans="1:63" ht="27" customHeight="1">
      <c r="A538" s="222">
        <f t="shared" si="99"/>
        <v>536</v>
      </c>
      <c r="B538" s="223"/>
      <c r="C538" s="223">
        <v>3328</v>
      </c>
      <c r="D538" s="225" t="s">
        <v>3428</v>
      </c>
      <c r="E538" s="226" t="s">
        <v>3429</v>
      </c>
      <c r="F538" s="227" t="s">
        <v>3182</v>
      </c>
      <c r="G538" s="228" t="s">
        <v>2359</v>
      </c>
      <c r="H538" s="229" t="s">
        <v>3183</v>
      </c>
      <c r="I538" s="230" t="s">
        <v>2361</v>
      </c>
      <c r="J538" s="231" t="s">
        <v>173</v>
      </c>
      <c r="K538" s="232">
        <v>34012</v>
      </c>
      <c r="L538" s="233" t="s">
        <v>174</v>
      </c>
      <c r="M538" s="234">
        <v>43746</v>
      </c>
      <c r="N538" s="234"/>
      <c r="O538" s="234" t="s">
        <v>32</v>
      </c>
      <c r="P538" s="222" t="s">
        <v>287</v>
      </c>
      <c r="Q538" s="222" t="s">
        <v>176</v>
      </c>
      <c r="R538" s="222" t="s">
        <v>177</v>
      </c>
      <c r="S538" s="222" t="s">
        <v>1113</v>
      </c>
      <c r="T538" s="235"/>
      <c r="U538" s="235"/>
      <c r="V538" s="236"/>
      <c r="W538" s="236"/>
      <c r="X538" s="236">
        <v>3</v>
      </c>
      <c r="Y538" s="237" t="s">
        <v>3430</v>
      </c>
      <c r="Z538" s="238"/>
      <c r="AA538" s="238" t="s">
        <v>181</v>
      </c>
      <c r="AB538" s="236"/>
      <c r="AC538" s="239"/>
      <c r="AD538" s="240"/>
      <c r="AE538" s="240"/>
      <c r="AF538" s="241"/>
      <c r="AG538" s="242"/>
      <c r="AH538" s="243"/>
      <c r="AI538" s="243"/>
      <c r="AJ538" s="244" t="s">
        <v>198</v>
      </c>
      <c r="AK538" s="244" t="s">
        <v>185</v>
      </c>
      <c r="AL538" s="244" t="s">
        <v>185</v>
      </c>
      <c r="AM538" s="239"/>
      <c r="AN538" s="20">
        <v>182</v>
      </c>
      <c r="AO538" s="20">
        <v>0</v>
      </c>
      <c r="AP538" s="20">
        <v>20</v>
      </c>
      <c r="AQ538" s="20">
        <v>0</v>
      </c>
      <c r="AR538" s="20">
        <v>0</v>
      </c>
      <c r="AS538" s="20">
        <v>7</v>
      </c>
      <c r="AT538" s="20">
        <v>10</v>
      </c>
      <c r="AU538" s="300">
        <f t="shared" si="89"/>
        <v>219</v>
      </c>
      <c r="AV538" s="20">
        <v>190</v>
      </c>
      <c r="AW538" s="20">
        <v>0</v>
      </c>
      <c r="AX538" s="20">
        <v>20</v>
      </c>
      <c r="AY538" s="20">
        <v>0</v>
      </c>
      <c r="AZ538" s="20">
        <v>0</v>
      </c>
      <c r="BA538" s="20">
        <v>7</v>
      </c>
      <c r="BB538" s="20">
        <v>10</v>
      </c>
      <c r="BC538" s="300">
        <f t="shared" si="90"/>
        <v>227</v>
      </c>
      <c r="BD538" s="42">
        <f t="shared" si="91"/>
        <v>8</v>
      </c>
      <c r="BE538" s="42">
        <f t="shared" si="92"/>
        <v>0</v>
      </c>
      <c r="BF538" s="42">
        <f t="shared" si="93"/>
        <v>0</v>
      </c>
      <c r="BG538" s="42">
        <f t="shared" si="94"/>
        <v>0</v>
      </c>
      <c r="BH538" s="42">
        <f t="shared" si="95"/>
        <v>0</v>
      </c>
      <c r="BI538" s="42">
        <f t="shared" si="96"/>
        <v>0</v>
      </c>
      <c r="BJ538" s="42">
        <f t="shared" si="97"/>
        <v>0</v>
      </c>
      <c r="BK538" s="42">
        <f t="shared" si="98"/>
        <v>8</v>
      </c>
    </row>
    <row r="539" spans="1:63" ht="27" customHeight="1">
      <c r="A539" s="222">
        <f t="shared" si="99"/>
        <v>537</v>
      </c>
      <c r="B539" s="223"/>
      <c r="C539" s="223">
        <v>3098</v>
      </c>
      <c r="D539" s="225" t="s">
        <v>3431</v>
      </c>
      <c r="E539" s="226" t="s">
        <v>3432</v>
      </c>
      <c r="F539" s="227" t="s">
        <v>402</v>
      </c>
      <c r="G539" s="228" t="s">
        <v>899</v>
      </c>
      <c r="H539" s="229" t="s">
        <v>3117</v>
      </c>
      <c r="I539" s="230" t="s">
        <v>2202</v>
      </c>
      <c r="J539" s="231" t="s">
        <v>173</v>
      </c>
      <c r="K539" s="232">
        <v>25386</v>
      </c>
      <c r="L539" s="233" t="s">
        <v>174</v>
      </c>
      <c r="M539" s="234">
        <v>43740</v>
      </c>
      <c r="N539" s="234"/>
      <c r="O539" s="234" t="s">
        <v>32</v>
      </c>
      <c r="P539" s="222" t="s">
        <v>194</v>
      </c>
      <c r="Q539" s="222" t="s">
        <v>176</v>
      </c>
      <c r="R539" s="222" t="s">
        <v>177</v>
      </c>
      <c r="S539" s="222" t="s">
        <v>2487</v>
      </c>
      <c r="T539" s="235"/>
      <c r="U539" s="235"/>
      <c r="V539" s="236"/>
      <c r="W539" s="236"/>
      <c r="X539" s="236"/>
      <c r="Y539" s="237"/>
      <c r="Z539" s="238"/>
      <c r="AA539" s="238" t="s">
        <v>181</v>
      </c>
      <c r="AB539" s="236"/>
      <c r="AC539" s="239"/>
      <c r="AD539" s="240"/>
      <c r="AE539" s="240"/>
      <c r="AF539" s="241"/>
      <c r="AG539" s="242"/>
      <c r="AH539" s="243"/>
      <c r="AI539" s="243"/>
      <c r="AJ539" s="244" t="s">
        <v>198</v>
      </c>
      <c r="AK539" s="244" t="s">
        <v>185</v>
      </c>
      <c r="AL539" s="244" t="s">
        <v>185</v>
      </c>
      <c r="AM539" s="239"/>
      <c r="AN539" s="20">
        <v>182</v>
      </c>
      <c r="AO539" s="20">
        <v>0</v>
      </c>
      <c r="AP539" s="20">
        <v>0</v>
      </c>
      <c r="AQ539" s="20">
        <v>0</v>
      </c>
      <c r="AR539" s="20">
        <v>0</v>
      </c>
      <c r="AS539" s="20">
        <v>7</v>
      </c>
      <c r="AT539" s="20">
        <v>10</v>
      </c>
      <c r="AU539" s="300">
        <f t="shared" si="89"/>
        <v>199</v>
      </c>
      <c r="AV539" s="20">
        <v>190</v>
      </c>
      <c r="AW539" s="20">
        <v>0</v>
      </c>
      <c r="AX539" s="20">
        <v>0</v>
      </c>
      <c r="AY539" s="20">
        <v>0</v>
      </c>
      <c r="AZ539" s="20">
        <v>0</v>
      </c>
      <c r="BA539" s="20">
        <v>7</v>
      </c>
      <c r="BB539" s="20">
        <v>10</v>
      </c>
      <c r="BC539" s="300">
        <f t="shared" si="90"/>
        <v>207</v>
      </c>
      <c r="BD539" s="42">
        <f t="shared" si="91"/>
        <v>8</v>
      </c>
      <c r="BE539" s="42">
        <f t="shared" si="92"/>
        <v>0</v>
      </c>
      <c r="BF539" s="42">
        <f t="shared" si="93"/>
        <v>0</v>
      </c>
      <c r="BG539" s="42">
        <f t="shared" si="94"/>
        <v>0</v>
      </c>
      <c r="BH539" s="42">
        <f t="shared" si="95"/>
        <v>0</v>
      </c>
      <c r="BI539" s="42">
        <f t="shared" si="96"/>
        <v>0</v>
      </c>
      <c r="BJ539" s="42">
        <f t="shared" si="97"/>
        <v>0</v>
      </c>
      <c r="BK539" s="42">
        <f t="shared" si="98"/>
        <v>8</v>
      </c>
    </row>
    <row r="540" spans="1:63" ht="27" customHeight="1">
      <c r="A540" s="222">
        <f t="shared" si="99"/>
        <v>538</v>
      </c>
      <c r="B540" s="223"/>
      <c r="C540" s="223">
        <v>3336</v>
      </c>
      <c r="D540" s="225">
        <v>0</v>
      </c>
      <c r="E540" s="226" t="s">
        <v>291</v>
      </c>
      <c r="F540" s="227" t="s">
        <v>3433</v>
      </c>
      <c r="G540" s="228" t="s">
        <v>1823</v>
      </c>
      <c r="H540" s="229" t="s">
        <v>3434</v>
      </c>
      <c r="I540" s="230" t="s">
        <v>48</v>
      </c>
      <c r="J540" s="231" t="s">
        <v>204</v>
      </c>
      <c r="K540" s="232">
        <v>35833</v>
      </c>
      <c r="L540" s="233" t="s">
        <v>174</v>
      </c>
      <c r="M540" s="234">
        <v>43749</v>
      </c>
      <c r="N540" s="234"/>
      <c r="O540" s="234" t="s">
        <v>32</v>
      </c>
      <c r="P540" s="222" t="s">
        <v>83</v>
      </c>
      <c r="Q540" s="222" t="s">
        <v>176</v>
      </c>
      <c r="R540" s="222" t="s">
        <v>177</v>
      </c>
      <c r="S540" s="222" t="s">
        <v>1113</v>
      </c>
      <c r="T540" s="235"/>
      <c r="U540" s="235"/>
      <c r="V540" s="236"/>
      <c r="W540" s="236"/>
      <c r="X540" s="236">
        <v>3</v>
      </c>
      <c r="Y540" s="237"/>
      <c r="Z540" s="238" t="s">
        <v>181</v>
      </c>
      <c r="AA540" s="238"/>
      <c r="AB540" s="236"/>
      <c r="AC540" s="239"/>
      <c r="AD540" s="240"/>
      <c r="AE540" s="240"/>
      <c r="AF540" s="241"/>
      <c r="AG540" s="242"/>
      <c r="AH540" s="243"/>
      <c r="AI540" s="243"/>
      <c r="AJ540" s="244" t="s">
        <v>198</v>
      </c>
      <c r="AK540" s="244" t="s">
        <v>185</v>
      </c>
      <c r="AL540" s="244" t="s">
        <v>185</v>
      </c>
      <c r="AM540" s="239"/>
      <c r="AN540" s="20">
        <v>182</v>
      </c>
      <c r="AO540" s="20">
        <v>0</v>
      </c>
      <c r="AP540" s="20">
        <v>0</v>
      </c>
      <c r="AQ540" s="20">
        <v>0</v>
      </c>
      <c r="AR540" s="20">
        <v>0</v>
      </c>
      <c r="AS540" s="20">
        <v>7</v>
      </c>
      <c r="AT540" s="20">
        <v>10</v>
      </c>
      <c r="AU540" s="300">
        <f t="shared" si="89"/>
        <v>199</v>
      </c>
      <c r="AV540" s="20">
        <v>190</v>
      </c>
      <c r="AW540" s="20">
        <v>0</v>
      </c>
      <c r="AX540" s="20">
        <v>0</v>
      </c>
      <c r="AY540" s="20">
        <v>0</v>
      </c>
      <c r="AZ540" s="20">
        <v>0</v>
      </c>
      <c r="BA540" s="20">
        <v>7</v>
      </c>
      <c r="BB540" s="20">
        <v>10</v>
      </c>
      <c r="BC540" s="300">
        <f t="shared" si="90"/>
        <v>207</v>
      </c>
      <c r="BD540" s="42">
        <f t="shared" si="91"/>
        <v>8</v>
      </c>
      <c r="BE540" s="42">
        <f t="shared" si="92"/>
        <v>0</v>
      </c>
      <c r="BF540" s="42">
        <f t="shared" si="93"/>
        <v>0</v>
      </c>
      <c r="BG540" s="42">
        <f t="shared" si="94"/>
        <v>0</v>
      </c>
      <c r="BH540" s="42">
        <f t="shared" si="95"/>
        <v>0</v>
      </c>
      <c r="BI540" s="42">
        <f t="shared" si="96"/>
        <v>0</v>
      </c>
      <c r="BJ540" s="42">
        <f t="shared" si="97"/>
        <v>0</v>
      </c>
      <c r="BK540" s="42">
        <f t="shared" si="98"/>
        <v>8</v>
      </c>
    </row>
    <row r="541" spans="1:63" ht="27" customHeight="1">
      <c r="A541" s="222">
        <f t="shared" si="99"/>
        <v>539</v>
      </c>
      <c r="B541" s="223"/>
      <c r="C541" s="223">
        <v>3348</v>
      </c>
      <c r="D541" s="225" t="s">
        <v>3260</v>
      </c>
      <c r="E541" s="226" t="s">
        <v>3261</v>
      </c>
      <c r="F541" s="227" t="s">
        <v>3435</v>
      </c>
      <c r="G541" s="228" t="s">
        <v>1150</v>
      </c>
      <c r="H541" s="229" t="s">
        <v>3263</v>
      </c>
      <c r="I541" s="230" t="s">
        <v>2583</v>
      </c>
      <c r="J541" s="231" t="s">
        <v>173</v>
      </c>
      <c r="K541" s="232">
        <v>33489</v>
      </c>
      <c r="L541" s="233" t="s">
        <v>174</v>
      </c>
      <c r="M541" s="234">
        <v>43750</v>
      </c>
      <c r="N541" s="234"/>
      <c r="O541" s="234" t="s">
        <v>32</v>
      </c>
      <c r="P541" s="222" t="s">
        <v>1080</v>
      </c>
      <c r="Q541" s="222" t="s">
        <v>176</v>
      </c>
      <c r="R541" s="222" t="s">
        <v>177</v>
      </c>
      <c r="S541" s="222" t="s">
        <v>2392</v>
      </c>
      <c r="T541" s="235"/>
      <c r="U541" s="235"/>
      <c r="V541" s="236"/>
      <c r="W541" s="236"/>
      <c r="X541" s="236">
        <v>4</v>
      </c>
      <c r="Y541" s="237" t="s">
        <v>3436</v>
      </c>
      <c r="Z541" s="238"/>
      <c r="AA541" s="238" t="s">
        <v>181</v>
      </c>
      <c r="AB541" s="236"/>
      <c r="AC541" s="239"/>
      <c r="AD541" s="240"/>
      <c r="AE541" s="240"/>
      <c r="AF541" s="241"/>
      <c r="AG541" s="242"/>
      <c r="AH541" s="243"/>
      <c r="AI541" s="243"/>
      <c r="AJ541" s="244" t="s">
        <v>198</v>
      </c>
      <c r="AK541" s="244" t="s">
        <v>185</v>
      </c>
      <c r="AL541" s="244" t="s">
        <v>185</v>
      </c>
      <c r="AM541" s="239"/>
      <c r="AN541" s="20">
        <v>182</v>
      </c>
      <c r="AO541" s="20">
        <v>0</v>
      </c>
      <c r="AP541" s="20">
        <v>0</v>
      </c>
      <c r="AQ541" s="20">
        <v>0</v>
      </c>
      <c r="AR541" s="20">
        <v>0</v>
      </c>
      <c r="AS541" s="20">
        <v>7</v>
      </c>
      <c r="AT541" s="20">
        <v>10</v>
      </c>
      <c r="AU541" s="300">
        <f t="shared" si="89"/>
        <v>199</v>
      </c>
      <c r="AV541" s="20">
        <v>190</v>
      </c>
      <c r="AW541" s="20">
        <v>0</v>
      </c>
      <c r="AX541" s="20">
        <v>0</v>
      </c>
      <c r="AY541" s="20">
        <v>0</v>
      </c>
      <c r="AZ541" s="20">
        <v>0</v>
      </c>
      <c r="BA541" s="20">
        <v>7</v>
      </c>
      <c r="BB541" s="20">
        <v>10</v>
      </c>
      <c r="BC541" s="300">
        <f t="shared" si="90"/>
        <v>207</v>
      </c>
      <c r="BD541" s="42">
        <f t="shared" si="91"/>
        <v>8</v>
      </c>
      <c r="BE541" s="42">
        <f t="shared" si="92"/>
        <v>0</v>
      </c>
      <c r="BF541" s="42">
        <f t="shared" si="93"/>
        <v>0</v>
      </c>
      <c r="BG541" s="42">
        <f t="shared" si="94"/>
        <v>0</v>
      </c>
      <c r="BH541" s="42">
        <f t="shared" si="95"/>
        <v>0</v>
      </c>
      <c r="BI541" s="42">
        <f t="shared" si="96"/>
        <v>0</v>
      </c>
      <c r="BJ541" s="42">
        <f t="shared" si="97"/>
        <v>0</v>
      </c>
      <c r="BK541" s="42">
        <f t="shared" si="98"/>
        <v>8</v>
      </c>
    </row>
    <row r="542" spans="1:63" ht="27" customHeight="1">
      <c r="A542" s="222">
        <f t="shared" si="99"/>
        <v>540</v>
      </c>
      <c r="B542" s="223"/>
      <c r="C542" s="223">
        <v>3351</v>
      </c>
      <c r="D542" s="225" t="s">
        <v>3437</v>
      </c>
      <c r="E542" s="226" t="s">
        <v>3438</v>
      </c>
      <c r="F542" s="227" t="s">
        <v>3439</v>
      </c>
      <c r="G542" s="228" t="s">
        <v>2932</v>
      </c>
      <c r="H542" s="229" t="s">
        <v>3440</v>
      </c>
      <c r="I542" s="230" t="s">
        <v>3441</v>
      </c>
      <c r="J542" s="231" t="s">
        <v>204</v>
      </c>
      <c r="K542" s="232">
        <v>33088</v>
      </c>
      <c r="L542" s="233" t="s">
        <v>174</v>
      </c>
      <c r="M542" s="234">
        <v>43753</v>
      </c>
      <c r="N542" s="234"/>
      <c r="O542" s="234" t="s">
        <v>32</v>
      </c>
      <c r="P542" s="222" t="s">
        <v>83</v>
      </c>
      <c r="Q542" s="222" t="s">
        <v>176</v>
      </c>
      <c r="R542" s="222" t="s">
        <v>177</v>
      </c>
      <c r="S542" s="222" t="s">
        <v>2354</v>
      </c>
      <c r="T542" s="235"/>
      <c r="U542" s="235"/>
      <c r="V542" s="236"/>
      <c r="W542" s="236"/>
      <c r="X542" s="236"/>
      <c r="Y542" s="237" t="s">
        <v>3442</v>
      </c>
      <c r="Z542" s="238"/>
      <c r="AA542" s="238" t="s">
        <v>181</v>
      </c>
      <c r="AB542" s="236"/>
      <c r="AC542" s="239"/>
      <c r="AD542" s="240" t="s">
        <v>183</v>
      </c>
      <c r="AE542" s="240" t="s">
        <v>183</v>
      </c>
      <c r="AF542" s="241" t="s">
        <v>183</v>
      </c>
      <c r="AG542" s="242"/>
      <c r="AH542" s="243"/>
      <c r="AI542" s="243"/>
      <c r="AJ542" s="244"/>
      <c r="AK542" s="244"/>
      <c r="AL542" s="244"/>
      <c r="AM542" s="239"/>
      <c r="AN542" s="20">
        <v>182</v>
      </c>
      <c r="AO542" s="20">
        <v>0</v>
      </c>
      <c r="AP542" s="20">
        <v>0</v>
      </c>
      <c r="AQ542" s="20">
        <v>0</v>
      </c>
      <c r="AR542" s="20">
        <v>0</v>
      </c>
      <c r="AS542" s="20">
        <v>7</v>
      </c>
      <c r="AT542" s="20">
        <v>10</v>
      </c>
      <c r="AU542" s="300">
        <f t="shared" si="89"/>
        <v>199</v>
      </c>
      <c r="AV542" s="20">
        <v>190</v>
      </c>
      <c r="AW542" s="20">
        <v>0</v>
      </c>
      <c r="AX542" s="20">
        <v>0</v>
      </c>
      <c r="AY542" s="20">
        <v>0</v>
      </c>
      <c r="AZ542" s="20">
        <v>0</v>
      </c>
      <c r="BA542" s="20">
        <v>7</v>
      </c>
      <c r="BB542" s="20">
        <v>10</v>
      </c>
      <c r="BC542" s="300">
        <f t="shared" si="90"/>
        <v>207</v>
      </c>
      <c r="BD542" s="42">
        <f t="shared" si="91"/>
        <v>8</v>
      </c>
      <c r="BE542" s="42">
        <f t="shared" si="92"/>
        <v>0</v>
      </c>
      <c r="BF542" s="42">
        <f t="shared" si="93"/>
        <v>0</v>
      </c>
      <c r="BG542" s="42">
        <f t="shared" si="94"/>
        <v>0</v>
      </c>
      <c r="BH542" s="42">
        <f t="shared" si="95"/>
        <v>0</v>
      </c>
      <c r="BI542" s="42">
        <f t="shared" si="96"/>
        <v>0</v>
      </c>
      <c r="BJ542" s="42">
        <f t="shared" si="97"/>
        <v>0</v>
      </c>
      <c r="BK542" s="42">
        <f t="shared" si="98"/>
        <v>8</v>
      </c>
    </row>
    <row r="543" spans="1:63" ht="27" customHeight="1">
      <c r="A543" s="222">
        <f t="shared" si="99"/>
        <v>541</v>
      </c>
      <c r="B543" s="223"/>
      <c r="C543" s="223">
        <v>3361</v>
      </c>
      <c r="D543" s="225" t="s">
        <v>3443</v>
      </c>
      <c r="E543" s="226" t="s">
        <v>3444</v>
      </c>
      <c r="F543" s="227" t="s">
        <v>3445</v>
      </c>
      <c r="G543" s="228" t="s">
        <v>3446</v>
      </c>
      <c r="H543" s="229" t="s">
        <v>3447</v>
      </c>
      <c r="I543" s="230" t="s">
        <v>3448</v>
      </c>
      <c r="J543" s="231" t="s">
        <v>173</v>
      </c>
      <c r="K543" s="232">
        <v>27918</v>
      </c>
      <c r="L543" s="233" t="s">
        <v>174</v>
      </c>
      <c r="M543" s="234">
        <v>43744</v>
      </c>
      <c r="N543" s="234"/>
      <c r="O543" s="234" t="s">
        <v>32</v>
      </c>
      <c r="P543" s="222" t="s">
        <v>1276</v>
      </c>
      <c r="Q543" s="222" t="s">
        <v>176</v>
      </c>
      <c r="R543" s="222" t="s">
        <v>177</v>
      </c>
      <c r="S543" s="222" t="s">
        <v>2354</v>
      </c>
      <c r="T543" s="235"/>
      <c r="U543" s="235"/>
      <c r="V543" s="236"/>
      <c r="W543" s="236"/>
      <c r="X543" s="236">
        <v>10</v>
      </c>
      <c r="Y543" s="237" t="s">
        <v>3449</v>
      </c>
      <c r="Z543" s="238" t="s">
        <v>181</v>
      </c>
      <c r="AA543" s="238"/>
      <c r="AB543" s="236"/>
      <c r="AC543" s="239"/>
      <c r="AD543" s="240"/>
      <c r="AE543" s="240"/>
      <c r="AF543" s="241"/>
      <c r="AG543" s="242"/>
      <c r="AH543" s="243"/>
      <c r="AI543" s="243"/>
      <c r="AJ543" s="244" t="s">
        <v>198</v>
      </c>
      <c r="AK543" s="244" t="s">
        <v>185</v>
      </c>
      <c r="AL543" s="244" t="s">
        <v>185</v>
      </c>
      <c r="AM543" s="239" t="s">
        <v>3450</v>
      </c>
      <c r="AN543" s="20">
        <v>182</v>
      </c>
      <c r="AO543" s="20">
        <v>0</v>
      </c>
      <c r="AP543" s="20">
        <v>20</v>
      </c>
      <c r="AQ543" s="20">
        <v>0</v>
      </c>
      <c r="AR543" s="20">
        <v>0</v>
      </c>
      <c r="AS543" s="20">
        <v>7</v>
      </c>
      <c r="AT543" s="20">
        <v>10</v>
      </c>
      <c r="AU543" s="300">
        <f t="shared" si="89"/>
        <v>219</v>
      </c>
      <c r="AV543" s="20">
        <v>190</v>
      </c>
      <c r="AW543" s="20">
        <v>0</v>
      </c>
      <c r="AX543" s="20">
        <v>20</v>
      </c>
      <c r="AY543" s="20">
        <v>0</v>
      </c>
      <c r="AZ543" s="20">
        <v>0</v>
      </c>
      <c r="BA543" s="20">
        <v>7</v>
      </c>
      <c r="BB543" s="20">
        <v>10</v>
      </c>
      <c r="BC543" s="300">
        <f t="shared" si="90"/>
        <v>227</v>
      </c>
      <c r="BD543" s="42">
        <f t="shared" si="91"/>
        <v>8</v>
      </c>
      <c r="BE543" s="42">
        <f t="shared" si="92"/>
        <v>0</v>
      </c>
      <c r="BF543" s="42">
        <f t="shared" si="93"/>
        <v>0</v>
      </c>
      <c r="BG543" s="42">
        <f t="shared" si="94"/>
        <v>0</v>
      </c>
      <c r="BH543" s="42">
        <f t="shared" si="95"/>
        <v>0</v>
      </c>
      <c r="BI543" s="42">
        <f t="shared" si="96"/>
        <v>0</v>
      </c>
      <c r="BJ543" s="42">
        <f t="shared" si="97"/>
        <v>0</v>
      </c>
      <c r="BK543" s="42">
        <f t="shared" si="98"/>
        <v>8</v>
      </c>
    </row>
    <row r="544" spans="1:63" ht="27" customHeight="1">
      <c r="A544" s="222">
        <f t="shared" si="99"/>
        <v>542</v>
      </c>
      <c r="B544" s="223"/>
      <c r="C544" s="223">
        <v>3122</v>
      </c>
      <c r="D544" s="225" t="s">
        <v>3451</v>
      </c>
      <c r="E544" s="226" t="s">
        <v>3452</v>
      </c>
      <c r="F544" s="227" t="s">
        <v>1134</v>
      </c>
      <c r="G544" s="228" t="s">
        <v>3453</v>
      </c>
      <c r="H544" s="229" t="s">
        <v>3454</v>
      </c>
      <c r="I544" s="230" t="s">
        <v>3455</v>
      </c>
      <c r="J544" s="231" t="s">
        <v>173</v>
      </c>
      <c r="K544" s="232">
        <v>25692</v>
      </c>
      <c r="L544" s="233" t="s">
        <v>174</v>
      </c>
      <c r="M544" s="234">
        <v>43741</v>
      </c>
      <c r="N544" s="234"/>
      <c r="O544" s="234" t="s">
        <v>32</v>
      </c>
      <c r="P544" s="222" t="s">
        <v>599</v>
      </c>
      <c r="Q544" s="222" t="s">
        <v>176</v>
      </c>
      <c r="R544" s="222" t="s">
        <v>177</v>
      </c>
      <c r="S544" s="222" t="s">
        <v>2425</v>
      </c>
      <c r="T544" s="235"/>
      <c r="U544" s="235"/>
      <c r="V544" s="236"/>
      <c r="W544" s="236"/>
      <c r="X544" s="236">
        <v>2</v>
      </c>
      <c r="Y544" s="237" t="s">
        <v>3456</v>
      </c>
      <c r="Z544" s="238"/>
      <c r="AA544" s="238" t="s">
        <v>181</v>
      </c>
      <c r="AB544" s="236"/>
      <c r="AC544" s="239"/>
      <c r="AD544" s="240"/>
      <c r="AE544" s="240"/>
      <c r="AF544" s="241"/>
      <c r="AG544" s="242"/>
      <c r="AH544" s="243"/>
      <c r="AI544" s="243"/>
      <c r="AJ544" s="244" t="s">
        <v>198</v>
      </c>
      <c r="AK544" s="245" t="s">
        <v>185</v>
      </c>
      <c r="AL544" s="244" t="s">
        <v>185</v>
      </c>
      <c r="AM544" s="239" t="s">
        <v>3457</v>
      </c>
      <c r="AN544" s="20">
        <v>182</v>
      </c>
      <c r="AO544" s="20">
        <v>0</v>
      </c>
      <c r="AP544" s="20">
        <v>0</v>
      </c>
      <c r="AQ544" s="20">
        <v>0</v>
      </c>
      <c r="AR544" s="20">
        <v>0</v>
      </c>
      <c r="AS544" s="20">
        <v>7</v>
      </c>
      <c r="AT544" s="20">
        <v>10</v>
      </c>
      <c r="AU544" s="300">
        <f t="shared" si="89"/>
        <v>199</v>
      </c>
      <c r="AV544" s="20">
        <v>190</v>
      </c>
      <c r="AW544" s="20">
        <v>0</v>
      </c>
      <c r="AX544" s="20">
        <v>0</v>
      </c>
      <c r="AY544" s="20">
        <v>0</v>
      </c>
      <c r="AZ544" s="20">
        <v>0</v>
      </c>
      <c r="BA544" s="20">
        <v>7</v>
      </c>
      <c r="BB544" s="20">
        <v>10</v>
      </c>
      <c r="BC544" s="300">
        <f t="shared" si="90"/>
        <v>207</v>
      </c>
      <c r="BD544" s="42">
        <f t="shared" si="91"/>
        <v>8</v>
      </c>
      <c r="BE544" s="42">
        <f t="shared" si="92"/>
        <v>0</v>
      </c>
      <c r="BF544" s="42">
        <f t="shared" si="93"/>
        <v>0</v>
      </c>
      <c r="BG544" s="42">
        <f t="shared" si="94"/>
        <v>0</v>
      </c>
      <c r="BH544" s="42">
        <f t="shared" si="95"/>
        <v>0</v>
      </c>
      <c r="BI544" s="42">
        <f t="shared" si="96"/>
        <v>0</v>
      </c>
      <c r="BJ544" s="42">
        <f t="shared" si="97"/>
        <v>0</v>
      </c>
      <c r="BK544" s="42">
        <f t="shared" si="98"/>
        <v>8</v>
      </c>
    </row>
    <row r="545" spans="1:63" ht="27" customHeight="1">
      <c r="A545" s="222">
        <f t="shared" si="99"/>
        <v>543</v>
      </c>
      <c r="B545" s="223"/>
      <c r="C545" s="223">
        <v>3112</v>
      </c>
      <c r="D545" s="225" t="s">
        <v>3458</v>
      </c>
      <c r="E545" s="226" t="s">
        <v>3459</v>
      </c>
      <c r="F545" s="227" t="s">
        <v>3092</v>
      </c>
      <c r="G545" s="228" t="s">
        <v>3460</v>
      </c>
      <c r="H545" s="229" t="s">
        <v>3461</v>
      </c>
      <c r="I545" s="230" t="s">
        <v>3462</v>
      </c>
      <c r="J545" s="231" t="s">
        <v>173</v>
      </c>
      <c r="K545" s="232">
        <v>34488</v>
      </c>
      <c r="L545" s="233" t="s">
        <v>174</v>
      </c>
      <c r="M545" s="234">
        <v>43741</v>
      </c>
      <c r="N545" s="234"/>
      <c r="O545" s="234" t="s">
        <v>32</v>
      </c>
      <c r="P545" s="222" t="s">
        <v>287</v>
      </c>
      <c r="Q545" s="222" t="s">
        <v>176</v>
      </c>
      <c r="R545" s="222" t="s">
        <v>177</v>
      </c>
      <c r="S545" s="222" t="s">
        <v>2500</v>
      </c>
      <c r="T545" s="235"/>
      <c r="U545" s="235"/>
      <c r="V545" s="236"/>
      <c r="W545" s="236"/>
      <c r="X545" s="236">
        <v>5</v>
      </c>
      <c r="Y545" s="237" t="s">
        <v>3463</v>
      </c>
      <c r="Z545" s="238"/>
      <c r="AA545" s="238" t="s">
        <v>181</v>
      </c>
      <c r="AB545" s="236"/>
      <c r="AC545" s="239"/>
      <c r="AD545" s="240" t="s">
        <v>183</v>
      </c>
      <c r="AE545" s="240"/>
      <c r="AF545" s="241"/>
      <c r="AG545" s="242"/>
      <c r="AH545" s="243"/>
      <c r="AI545" s="243"/>
      <c r="AJ545" s="244" t="s">
        <v>198</v>
      </c>
      <c r="AK545" s="244" t="s">
        <v>185</v>
      </c>
      <c r="AL545" s="244" t="s">
        <v>185</v>
      </c>
      <c r="AM545" s="239" t="s">
        <v>3464</v>
      </c>
      <c r="AN545" s="20">
        <v>182</v>
      </c>
      <c r="AO545" s="20">
        <v>0</v>
      </c>
      <c r="AP545" s="20">
        <v>20</v>
      </c>
      <c r="AQ545" s="20">
        <v>0</v>
      </c>
      <c r="AR545" s="20">
        <v>0</v>
      </c>
      <c r="AS545" s="20">
        <v>7</v>
      </c>
      <c r="AT545" s="20">
        <v>10</v>
      </c>
      <c r="AU545" s="300">
        <f t="shared" si="89"/>
        <v>219</v>
      </c>
      <c r="AV545" s="20">
        <v>190</v>
      </c>
      <c r="AW545" s="20">
        <v>0</v>
      </c>
      <c r="AX545" s="20">
        <v>20</v>
      </c>
      <c r="AY545" s="20">
        <v>0</v>
      </c>
      <c r="AZ545" s="20">
        <v>0</v>
      </c>
      <c r="BA545" s="20">
        <v>7</v>
      </c>
      <c r="BB545" s="20">
        <v>10</v>
      </c>
      <c r="BC545" s="300">
        <f t="shared" si="90"/>
        <v>227</v>
      </c>
      <c r="BD545" s="42">
        <f t="shared" si="91"/>
        <v>8</v>
      </c>
      <c r="BE545" s="42">
        <f t="shared" si="92"/>
        <v>0</v>
      </c>
      <c r="BF545" s="42">
        <f t="shared" si="93"/>
        <v>0</v>
      </c>
      <c r="BG545" s="42">
        <f t="shared" si="94"/>
        <v>0</v>
      </c>
      <c r="BH545" s="42">
        <f t="shared" si="95"/>
        <v>0</v>
      </c>
      <c r="BI545" s="42">
        <f t="shared" si="96"/>
        <v>0</v>
      </c>
      <c r="BJ545" s="42">
        <f t="shared" si="97"/>
        <v>0</v>
      </c>
      <c r="BK545" s="42">
        <f t="shared" si="98"/>
        <v>8</v>
      </c>
    </row>
    <row r="546" spans="1:63" ht="27" customHeight="1">
      <c r="A546" s="222">
        <f t="shared" si="99"/>
        <v>544</v>
      </c>
      <c r="B546" s="223"/>
      <c r="C546" s="223">
        <v>3363</v>
      </c>
      <c r="D546" s="225">
        <v>0</v>
      </c>
      <c r="E546" s="226" t="s">
        <v>3465</v>
      </c>
      <c r="F546" s="227" t="s">
        <v>3466</v>
      </c>
      <c r="G546" s="228" t="s">
        <v>3467</v>
      </c>
      <c r="H546" s="229" t="s">
        <v>3468</v>
      </c>
      <c r="I546" s="230" t="s">
        <v>3469</v>
      </c>
      <c r="J546" s="231" t="s">
        <v>173</v>
      </c>
      <c r="K546" s="232">
        <v>36291</v>
      </c>
      <c r="L546" s="233" t="s">
        <v>174</v>
      </c>
      <c r="M546" s="234">
        <v>43755</v>
      </c>
      <c r="N546" s="234"/>
      <c r="O546" s="234" t="s">
        <v>32</v>
      </c>
      <c r="P546" s="222" t="s">
        <v>287</v>
      </c>
      <c r="Q546" s="222" t="s">
        <v>176</v>
      </c>
      <c r="R546" s="222" t="s">
        <v>177</v>
      </c>
      <c r="S546" s="222" t="s">
        <v>2379</v>
      </c>
      <c r="T546" s="235"/>
      <c r="U546" s="235"/>
      <c r="V546" s="236"/>
      <c r="W546" s="236"/>
      <c r="X546" s="236">
        <v>4</v>
      </c>
      <c r="Y546" s="237" t="s">
        <v>3470</v>
      </c>
      <c r="Z546" s="238"/>
      <c r="AA546" s="238"/>
      <c r="AB546" s="236"/>
      <c r="AC546" s="239"/>
      <c r="AD546" s="240"/>
      <c r="AE546" s="240"/>
      <c r="AF546" s="241"/>
      <c r="AG546" s="242"/>
      <c r="AH546" s="243"/>
      <c r="AI546" s="243"/>
      <c r="AJ546" s="244" t="s">
        <v>198</v>
      </c>
      <c r="AK546" s="244" t="s">
        <v>185</v>
      </c>
      <c r="AL546" s="244" t="s">
        <v>185</v>
      </c>
      <c r="AM546" s="239" t="s">
        <v>3471</v>
      </c>
      <c r="AN546" s="20">
        <v>177</v>
      </c>
      <c r="AO546" s="20">
        <v>0</v>
      </c>
      <c r="AP546" s="20">
        <v>20</v>
      </c>
      <c r="AQ546" s="20">
        <v>0</v>
      </c>
      <c r="AR546" s="20">
        <v>0</v>
      </c>
      <c r="AS546" s="20">
        <v>7</v>
      </c>
      <c r="AT546" s="20">
        <v>10</v>
      </c>
      <c r="AU546" s="300">
        <f t="shared" si="89"/>
        <v>214</v>
      </c>
      <c r="AV546" s="20">
        <v>185</v>
      </c>
      <c r="AW546" s="20">
        <v>0</v>
      </c>
      <c r="AX546" s="20">
        <v>20</v>
      </c>
      <c r="AY546" s="20">
        <v>0</v>
      </c>
      <c r="AZ546" s="20">
        <v>0</v>
      </c>
      <c r="BA546" s="20">
        <v>7</v>
      </c>
      <c r="BB546" s="20">
        <v>10</v>
      </c>
      <c r="BC546" s="300">
        <f t="shared" si="90"/>
        <v>222</v>
      </c>
      <c r="BD546" s="42">
        <f t="shared" si="91"/>
        <v>8</v>
      </c>
      <c r="BE546" s="42">
        <f t="shared" si="92"/>
        <v>0</v>
      </c>
      <c r="BF546" s="42">
        <f t="shared" si="93"/>
        <v>0</v>
      </c>
      <c r="BG546" s="42">
        <f t="shared" si="94"/>
        <v>0</v>
      </c>
      <c r="BH546" s="42">
        <f t="shared" si="95"/>
        <v>0</v>
      </c>
      <c r="BI546" s="42">
        <f t="shared" si="96"/>
        <v>0</v>
      </c>
      <c r="BJ546" s="42">
        <f t="shared" si="97"/>
        <v>0</v>
      </c>
      <c r="BK546" s="42">
        <f t="shared" si="98"/>
        <v>8</v>
      </c>
    </row>
    <row r="547" spans="1:63" ht="27" customHeight="1">
      <c r="A547" s="222">
        <f t="shared" si="99"/>
        <v>545</v>
      </c>
      <c r="B547" s="223"/>
      <c r="C547" s="223">
        <v>3126</v>
      </c>
      <c r="D547" s="225">
        <v>0</v>
      </c>
      <c r="E547" s="226" t="s">
        <v>3472</v>
      </c>
      <c r="F547" s="227" t="s">
        <v>3473</v>
      </c>
      <c r="G547" s="228" t="s">
        <v>3474</v>
      </c>
      <c r="H547" s="229" t="s">
        <v>3475</v>
      </c>
      <c r="I547" s="230" t="s">
        <v>3476</v>
      </c>
      <c r="J547" s="231" t="s">
        <v>173</v>
      </c>
      <c r="K547" s="232">
        <v>30929</v>
      </c>
      <c r="L547" s="233" t="s">
        <v>174</v>
      </c>
      <c r="M547" s="234">
        <v>43742</v>
      </c>
      <c r="N547" s="234"/>
      <c r="O547" s="234" t="s">
        <v>32</v>
      </c>
      <c r="P547" s="222" t="s">
        <v>381</v>
      </c>
      <c r="Q547" s="222" t="s">
        <v>176</v>
      </c>
      <c r="R547" s="222" t="s">
        <v>177</v>
      </c>
      <c r="S547" s="222" t="s">
        <v>2392</v>
      </c>
      <c r="T547" s="235"/>
      <c r="U547" s="235"/>
      <c r="V547" s="236" t="s">
        <v>185</v>
      </c>
      <c r="W547" s="236" t="s">
        <v>185</v>
      </c>
      <c r="X547" s="236">
        <v>7</v>
      </c>
      <c r="Y547" s="237" t="s">
        <v>3477</v>
      </c>
      <c r="Z547" s="238"/>
      <c r="AA547" s="238"/>
      <c r="AB547" s="236"/>
      <c r="AC547" s="239"/>
      <c r="AD547" s="240"/>
      <c r="AE547" s="240"/>
      <c r="AF547" s="241"/>
      <c r="AG547" s="242"/>
      <c r="AH547" s="243"/>
      <c r="AI547" s="243"/>
      <c r="AJ547" s="244" t="s">
        <v>198</v>
      </c>
      <c r="AK547" s="244" t="s">
        <v>185</v>
      </c>
      <c r="AL547" s="244" t="s">
        <v>185</v>
      </c>
      <c r="AM547" s="239" t="s">
        <v>3478</v>
      </c>
      <c r="AN547" s="20">
        <v>182</v>
      </c>
      <c r="AO547" s="20">
        <v>0</v>
      </c>
      <c r="AP547" s="20">
        <v>0</v>
      </c>
      <c r="AQ547" s="20">
        <v>0</v>
      </c>
      <c r="AR547" s="20">
        <v>0</v>
      </c>
      <c r="AS547" s="20">
        <v>7</v>
      </c>
      <c r="AT547" s="20">
        <v>10</v>
      </c>
      <c r="AU547" s="300">
        <f t="shared" si="89"/>
        <v>199</v>
      </c>
      <c r="AV547" s="20">
        <v>190</v>
      </c>
      <c r="AW547" s="20">
        <v>0</v>
      </c>
      <c r="AX547" s="20">
        <v>0</v>
      </c>
      <c r="AY547" s="20">
        <v>0</v>
      </c>
      <c r="AZ547" s="20">
        <v>0</v>
      </c>
      <c r="BA547" s="20">
        <v>7</v>
      </c>
      <c r="BB547" s="20">
        <v>10</v>
      </c>
      <c r="BC547" s="300">
        <f t="shared" si="90"/>
        <v>207</v>
      </c>
      <c r="BD547" s="42">
        <f t="shared" si="91"/>
        <v>8</v>
      </c>
      <c r="BE547" s="42">
        <f t="shared" si="92"/>
        <v>0</v>
      </c>
      <c r="BF547" s="42">
        <f t="shared" si="93"/>
        <v>0</v>
      </c>
      <c r="BG547" s="42">
        <f t="shared" si="94"/>
        <v>0</v>
      </c>
      <c r="BH547" s="42">
        <f t="shared" si="95"/>
        <v>0</v>
      </c>
      <c r="BI547" s="42">
        <f t="shared" si="96"/>
        <v>0</v>
      </c>
      <c r="BJ547" s="42">
        <f t="shared" si="97"/>
        <v>0</v>
      </c>
      <c r="BK547" s="42">
        <f t="shared" si="98"/>
        <v>8</v>
      </c>
    </row>
    <row r="548" spans="1:63" ht="27" customHeight="1">
      <c r="A548" s="222">
        <f t="shared" si="99"/>
        <v>546</v>
      </c>
      <c r="B548" s="223"/>
      <c r="C548" s="223">
        <v>3318</v>
      </c>
      <c r="D548" s="225" t="s">
        <v>3479</v>
      </c>
      <c r="E548" s="226" t="s">
        <v>3480</v>
      </c>
      <c r="F548" s="227" t="s">
        <v>2434</v>
      </c>
      <c r="G548" s="228" t="s">
        <v>3481</v>
      </c>
      <c r="H548" s="229" t="s">
        <v>3482</v>
      </c>
      <c r="I548" s="230" t="s">
        <v>3483</v>
      </c>
      <c r="J548" s="231" t="s">
        <v>173</v>
      </c>
      <c r="K548" s="232">
        <v>36471</v>
      </c>
      <c r="L548" s="233" t="s">
        <v>174</v>
      </c>
      <c r="M548" s="234">
        <v>43743</v>
      </c>
      <c r="N548" s="234"/>
      <c r="O548" s="234" t="s">
        <v>32</v>
      </c>
      <c r="P548" s="222" t="s">
        <v>25</v>
      </c>
      <c r="Q548" s="222" t="s">
        <v>176</v>
      </c>
      <c r="R548" s="222" t="s">
        <v>177</v>
      </c>
      <c r="S548" s="222" t="s">
        <v>2354</v>
      </c>
      <c r="T548" s="235"/>
      <c r="U548" s="235"/>
      <c r="V548" s="236" t="s">
        <v>185</v>
      </c>
      <c r="W548" s="236" t="s">
        <v>185</v>
      </c>
      <c r="X548" s="236">
        <v>7</v>
      </c>
      <c r="Y548" s="237" t="s">
        <v>3484</v>
      </c>
      <c r="Z548" s="238" t="s">
        <v>181</v>
      </c>
      <c r="AA548" s="238"/>
      <c r="AB548" s="236"/>
      <c r="AC548" s="239"/>
      <c r="AD548" s="240"/>
      <c r="AE548" s="240"/>
      <c r="AF548" s="241"/>
      <c r="AG548" s="242"/>
      <c r="AH548" s="243"/>
      <c r="AI548" s="243"/>
      <c r="AJ548" s="244" t="s">
        <v>198</v>
      </c>
      <c r="AK548" s="244" t="s">
        <v>185</v>
      </c>
      <c r="AL548" s="244" t="s">
        <v>185</v>
      </c>
      <c r="AM548" s="239" t="s">
        <v>3478</v>
      </c>
      <c r="AN548" s="20">
        <v>182</v>
      </c>
      <c r="AO548" s="20">
        <v>0</v>
      </c>
      <c r="AP548" s="20">
        <v>0</v>
      </c>
      <c r="AQ548" s="20">
        <v>0</v>
      </c>
      <c r="AR548" s="20">
        <v>0</v>
      </c>
      <c r="AS548" s="20">
        <v>7</v>
      </c>
      <c r="AT548" s="20">
        <v>10</v>
      </c>
      <c r="AU548" s="300">
        <f t="shared" si="89"/>
        <v>199</v>
      </c>
      <c r="AV548" s="20">
        <v>190</v>
      </c>
      <c r="AW548" s="20">
        <v>0</v>
      </c>
      <c r="AX548" s="20">
        <v>0</v>
      </c>
      <c r="AY548" s="20">
        <v>0</v>
      </c>
      <c r="AZ548" s="20">
        <v>0</v>
      </c>
      <c r="BA548" s="20">
        <v>7</v>
      </c>
      <c r="BB548" s="20">
        <v>10</v>
      </c>
      <c r="BC548" s="300">
        <f t="shared" si="90"/>
        <v>207</v>
      </c>
      <c r="BD548" s="42">
        <f t="shared" si="91"/>
        <v>8</v>
      </c>
      <c r="BE548" s="42">
        <f t="shared" si="92"/>
        <v>0</v>
      </c>
      <c r="BF548" s="42">
        <f t="shared" si="93"/>
        <v>0</v>
      </c>
      <c r="BG548" s="42">
        <f t="shared" si="94"/>
        <v>0</v>
      </c>
      <c r="BH548" s="42">
        <f t="shared" si="95"/>
        <v>0</v>
      </c>
      <c r="BI548" s="42">
        <f t="shared" si="96"/>
        <v>0</v>
      </c>
      <c r="BJ548" s="42">
        <f t="shared" si="97"/>
        <v>0</v>
      </c>
      <c r="BK548" s="42">
        <f t="shared" si="98"/>
        <v>8</v>
      </c>
    </row>
    <row r="549" spans="1:63" ht="27" customHeight="1">
      <c r="A549" s="222">
        <f t="shared" si="99"/>
        <v>547</v>
      </c>
      <c r="B549" s="223"/>
      <c r="C549" s="223">
        <v>3335</v>
      </c>
      <c r="D549" s="225" t="s">
        <v>3485</v>
      </c>
      <c r="E549" s="226" t="s">
        <v>3486</v>
      </c>
      <c r="F549" s="227" t="s">
        <v>173</v>
      </c>
      <c r="G549" s="228" t="s">
        <v>3487</v>
      </c>
      <c r="H549" s="229" t="s">
        <v>93</v>
      </c>
      <c r="I549" s="230" t="s">
        <v>3488</v>
      </c>
      <c r="J549" s="231" t="s">
        <v>204</v>
      </c>
      <c r="K549" s="232">
        <v>30651</v>
      </c>
      <c r="L549" s="233" t="s">
        <v>174</v>
      </c>
      <c r="M549" s="234">
        <v>43749</v>
      </c>
      <c r="N549" s="234"/>
      <c r="O549" s="234" t="s">
        <v>32</v>
      </c>
      <c r="P549" s="222" t="s">
        <v>83</v>
      </c>
      <c r="Q549" s="222" t="s">
        <v>176</v>
      </c>
      <c r="R549" s="222" t="s">
        <v>177</v>
      </c>
      <c r="S549" s="222" t="s">
        <v>2379</v>
      </c>
      <c r="T549" s="235"/>
      <c r="U549" s="235"/>
      <c r="V549" s="236" t="s">
        <v>185</v>
      </c>
      <c r="W549" s="236" t="s">
        <v>185</v>
      </c>
      <c r="X549" s="236"/>
      <c r="Y549" s="237"/>
      <c r="Z549" s="238"/>
      <c r="AA549" s="238"/>
      <c r="AB549" s="236"/>
      <c r="AC549" s="239"/>
      <c r="AD549" s="240"/>
      <c r="AE549" s="240"/>
      <c r="AF549" s="241"/>
      <c r="AG549" s="242"/>
      <c r="AH549" s="243"/>
      <c r="AI549" s="243"/>
      <c r="AJ549" s="244" t="s">
        <v>198</v>
      </c>
      <c r="AK549" s="244" t="s">
        <v>185</v>
      </c>
      <c r="AL549" s="244" t="s">
        <v>185</v>
      </c>
      <c r="AM549" s="239" t="s">
        <v>3478</v>
      </c>
      <c r="AN549" s="20">
        <v>182</v>
      </c>
      <c r="AO549" s="20">
        <v>0</v>
      </c>
      <c r="AP549" s="20">
        <v>0</v>
      </c>
      <c r="AQ549" s="20">
        <v>0</v>
      </c>
      <c r="AR549" s="20">
        <v>0</v>
      </c>
      <c r="AS549" s="20">
        <v>7</v>
      </c>
      <c r="AT549" s="20">
        <v>10</v>
      </c>
      <c r="AU549" s="300">
        <f t="shared" si="89"/>
        <v>199</v>
      </c>
      <c r="AV549" s="20">
        <v>190</v>
      </c>
      <c r="AW549" s="20">
        <v>0</v>
      </c>
      <c r="AX549" s="20">
        <v>0</v>
      </c>
      <c r="AY549" s="20">
        <v>0</v>
      </c>
      <c r="AZ549" s="20">
        <v>0</v>
      </c>
      <c r="BA549" s="20">
        <v>7</v>
      </c>
      <c r="BB549" s="20">
        <v>10</v>
      </c>
      <c r="BC549" s="300">
        <f t="shared" si="90"/>
        <v>207</v>
      </c>
      <c r="BD549" s="42">
        <f t="shared" si="91"/>
        <v>8</v>
      </c>
      <c r="BE549" s="42">
        <f t="shared" si="92"/>
        <v>0</v>
      </c>
      <c r="BF549" s="42">
        <f t="shared" si="93"/>
        <v>0</v>
      </c>
      <c r="BG549" s="42">
        <f t="shared" si="94"/>
        <v>0</v>
      </c>
      <c r="BH549" s="42">
        <f t="shared" si="95"/>
        <v>0</v>
      </c>
      <c r="BI549" s="42">
        <f t="shared" si="96"/>
        <v>0</v>
      </c>
      <c r="BJ549" s="42">
        <f t="shared" si="97"/>
        <v>0</v>
      </c>
      <c r="BK549" s="42">
        <f t="shared" si="98"/>
        <v>8</v>
      </c>
    </row>
    <row r="550" spans="1:63" ht="27" customHeight="1">
      <c r="A550" s="222">
        <f t="shared" si="99"/>
        <v>548</v>
      </c>
      <c r="B550" s="223"/>
      <c r="C550" s="223">
        <v>3099</v>
      </c>
      <c r="D550" s="225" t="s">
        <v>3489</v>
      </c>
      <c r="E550" s="226" t="s">
        <v>3490</v>
      </c>
      <c r="F550" s="227" t="s">
        <v>3491</v>
      </c>
      <c r="G550" s="228" t="s">
        <v>3492</v>
      </c>
      <c r="H550" s="229" t="s">
        <v>2160</v>
      </c>
      <c r="I550" s="230" t="s">
        <v>3493</v>
      </c>
      <c r="J550" s="231" t="s">
        <v>204</v>
      </c>
      <c r="K550" s="232">
        <v>29136</v>
      </c>
      <c r="L550" s="233" t="s">
        <v>174</v>
      </c>
      <c r="M550" s="234">
        <v>43740</v>
      </c>
      <c r="N550" s="234"/>
      <c r="O550" s="234" t="s">
        <v>32</v>
      </c>
      <c r="P550" s="222" t="s">
        <v>83</v>
      </c>
      <c r="Q550" s="222" t="s">
        <v>176</v>
      </c>
      <c r="R550" s="222" t="s">
        <v>177</v>
      </c>
      <c r="S550" s="222" t="s">
        <v>2487</v>
      </c>
      <c r="T550" s="235"/>
      <c r="U550" s="235"/>
      <c r="V550" s="236" t="s">
        <v>185</v>
      </c>
      <c r="W550" s="236" t="s">
        <v>185</v>
      </c>
      <c r="X550" s="236"/>
      <c r="Y550" s="237"/>
      <c r="Z550" s="238"/>
      <c r="AA550" s="238" t="s">
        <v>181</v>
      </c>
      <c r="AB550" s="236"/>
      <c r="AC550" s="239"/>
      <c r="AD550" s="240"/>
      <c r="AE550" s="240"/>
      <c r="AF550" s="241"/>
      <c r="AG550" s="242"/>
      <c r="AH550" s="243"/>
      <c r="AI550" s="243"/>
      <c r="AJ550" s="244" t="s">
        <v>198</v>
      </c>
      <c r="AK550" s="244" t="s">
        <v>185</v>
      </c>
      <c r="AL550" s="244" t="s">
        <v>185</v>
      </c>
      <c r="AM550" s="239" t="s">
        <v>3478</v>
      </c>
      <c r="AN550" s="20">
        <v>182</v>
      </c>
      <c r="AO550" s="20">
        <v>0</v>
      </c>
      <c r="AP550" s="20">
        <v>0</v>
      </c>
      <c r="AQ550" s="20">
        <v>0</v>
      </c>
      <c r="AR550" s="20">
        <v>0</v>
      </c>
      <c r="AS550" s="20">
        <v>7</v>
      </c>
      <c r="AT550" s="20">
        <v>10</v>
      </c>
      <c r="AU550" s="300">
        <f t="shared" si="89"/>
        <v>199</v>
      </c>
      <c r="AV550" s="20">
        <v>190</v>
      </c>
      <c r="AW550" s="20">
        <v>0</v>
      </c>
      <c r="AX550" s="20">
        <v>0</v>
      </c>
      <c r="AY550" s="20">
        <v>0</v>
      </c>
      <c r="AZ550" s="20">
        <v>0</v>
      </c>
      <c r="BA550" s="20">
        <v>7</v>
      </c>
      <c r="BB550" s="20">
        <v>10</v>
      </c>
      <c r="BC550" s="300">
        <f t="shared" si="90"/>
        <v>207</v>
      </c>
      <c r="BD550" s="42">
        <f t="shared" si="91"/>
        <v>8</v>
      </c>
      <c r="BE550" s="42">
        <f t="shared" si="92"/>
        <v>0</v>
      </c>
      <c r="BF550" s="42">
        <f t="shared" si="93"/>
        <v>0</v>
      </c>
      <c r="BG550" s="42">
        <f t="shared" si="94"/>
        <v>0</v>
      </c>
      <c r="BH550" s="42">
        <f t="shared" si="95"/>
        <v>0</v>
      </c>
      <c r="BI550" s="42">
        <f t="shared" si="96"/>
        <v>0</v>
      </c>
      <c r="BJ550" s="42">
        <f t="shared" si="97"/>
        <v>0</v>
      </c>
      <c r="BK550" s="42">
        <f t="shared" si="98"/>
        <v>8</v>
      </c>
    </row>
    <row r="551" spans="1:63" ht="27" customHeight="1">
      <c r="A551" s="222">
        <f t="shared" si="99"/>
        <v>549</v>
      </c>
      <c r="B551" s="223"/>
      <c r="C551" s="223">
        <v>3365</v>
      </c>
      <c r="D551" s="225" t="s">
        <v>3494</v>
      </c>
      <c r="E551" s="226" t="s">
        <v>3495</v>
      </c>
      <c r="F551" s="227" t="s">
        <v>3496</v>
      </c>
      <c r="G551" s="228" t="s">
        <v>2060</v>
      </c>
      <c r="H551" s="229" t="s">
        <v>3497</v>
      </c>
      <c r="I551" s="230" t="s">
        <v>3498</v>
      </c>
      <c r="J551" s="231" t="s">
        <v>173</v>
      </c>
      <c r="K551" s="232">
        <v>33637</v>
      </c>
      <c r="L551" s="233" t="s">
        <v>174</v>
      </c>
      <c r="M551" s="234">
        <v>43754</v>
      </c>
      <c r="N551" s="234"/>
      <c r="O551" s="234" t="s">
        <v>32</v>
      </c>
      <c r="P551" s="222" t="s">
        <v>334</v>
      </c>
      <c r="Q551" s="222" t="s">
        <v>176</v>
      </c>
      <c r="R551" s="222" t="s">
        <v>177</v>
      </c>
      <c r="S551" s="222" t="s">
        <v>2379</v>
      </c>
      <c r="T551" s="235"/>
      <c r="U551" s="235"/>
      <c r="V551" s="236" t="s">
        <v>3499</v>
      </c>
      <c r="W551" s="236" t="s">
        <v>185</v>
      </c>
      <c r="X551" s="236">
        <v>4</v>
      </c>
      <c r="Y551" s="237" t="s">
        <v>3500</v>
      </c>
      <c r="Z551" s="238"/>
      <c r="AA551" s="238" t="s">
        <v>181</v>
      </c>
      <c r="AB551" s="236"/>
      <c r="AC551" s="239"/>
      <c r="AD551" s="240" t="s">
        <v>183</v>
      </c>
      <c r="AE551" s="240" t="s">
        <v>183</v>
      </c>
      <c r="AF551" s="241" t="s">
        <v>183</v>
      </c>
      <c r="AG551" s="242"/>
      <c r="AH551" s="243"/>
      <c r="AI551" s="243"/>
      <c r="AJ551" s="244"/>
      <c r="AK551" s="244"/>
      <c r="AL551" s="244"/>
      <c r="AM551" s="239" t="s">
        <v>3478</v>
      </c>
      <c r="AN551" s="20">
        <v>182</v>
      </c>
      <c r="AO551" s="20">
        <v>0</v>
      </c>
      <c r="AP551" s="20">
        <v>0</v>
      </c>
      <c r="AQ551" s="20">
        <v>0</v>
      </c>
      <c r="AR551" s="20">
        <v>0</v>
      </c>
      <c r="AS551" s="20">
        <v>7</v>
      </c>
      <c r="AT551" s="20">
        <v>10</v>
      </c>
      <c r="AU551" s="300">
        <f t="shared" si="89"/>
        <v>199</v>
      </c>
      <c r="AV551" s="20">
        <v>190</v>
      </c>
      <c r="AW551" s="20">
        <v>0</v>
      </c>
      <c r="AX551" s="20">
        <v>0</v>
      </c>
      <c r="AY551" s="20">
        <v>0</v>
      </c>
      <c r="AZ551" s="20">
        <v>0</v>
      </c>
      <c r="BA551" s="20">
        <v>7</v>
      </c>
      <c r="BB551" s="20">
        <v>10</v>
      </c>
      <c r="BC551" s="300">
        <f t="shared" si="90"/>
        <v>207</v>
      </c>
      <c r="BD551" s="42">
        <f t="shared" si="91"/>
        <v>8</v>
      </c>
      <c r="BE551" s="42">
        <f t="shared" si="92"/>
        <v>0</v>
      </c>
      <c r="BF551" s="42">
        <f t="shared" si="93"/>
        <v>0</v>
      </c>
      <c r="BG551" s="42">
        <f t="shared" si="94"/>
        <v>0</v>
      </c>
      <c r="BH551" s="42">
        <f t="shared" si="95"/>
        <v>0</v>
      </c>
      <c r="BI551" s="42">
        <f t="shared" si="96"/>
        <v>0</v>
      </c>
      <c r="BJ551" s="42">
        <f t="shared" si="97"/>
        <v>0</v>
      </c>
      <c r="BK551" s="42">
        <f t="shared" si="98"/>
        <v>8</v>
      </c>
    </row>
    <row r="552" spans="1:63" ht="27" customHeight="1">
      <c r="A552" s="222">
        <f t="shared" si="99"/>
        <v>550</v>
      </c>
      <c r="B552" s="223"/>
      <c r="C552" s="223">
        <v>3380</v>
      </c>
      <c r="D552" s="225">
        <v>28511160399907</v>
      </c>
      <c r="E552" s="226" t="s">
        <v>3501</v>
      </c>
      <c r="F552" s="227" t="s">
        <v>330</v>
      </c>
      <c r="G552" s="228" t="s">
        <v>3074</v>
      </c>
      <c r="H552" s="229" t="s">
        <v>3502</v>
      </c>
      <c r="I552" s="230" t="s">
        <v>3503</v>
      </c>
      <c r="J552" s="231" t="s">
        <v>173</v>
      </c>
      <c r="K552" s="232">
        <v>31145</v>
      </c>
      <c r="L552" s="233" t="s">
        <v>174</v>
      </c>
      <c r="M552" s="234">
        <v>43754</v>
      </c>
      <c r="N552" s="234"/>
      <c r="O552" s="234" t="s">
        <v>32</v>
      </c>
      <c r="P552" s="222" t="s">
        <v>304</v>
      </c>
      <c r="Q552" s="222" t="s">
        <v>176</v>
      </c>
      <c r="R552" s="222" t="s">
        <v>177</v>
      </c>
      <c r="S552" s="222" t="s">
        <v>2487</v>
      </c>
      <c r="T552" s="235"/>
      <c r="U552" s="235"/>
      <c r="V552" s="236"/>
      <c r="W552" s="236"/>
      <c r="X552" s="236">
        <v>6</v>
      </c>
      <c r="Y552" s="237" t="s">
        <v>3504</v>
      </c>
      <c r="Z552" s="238"/>
      <c r="AA552" s="238" t="s">
        <v>181</v>
      </c>
      <c r="AB552" s="236"/>
      <c r="AC552" s="239"/>
      <c r="AD552" s="240" t="s">
        <v>183</v>
      </c>
      <c r="AE552" s="240"/>
      <c r="AF552" s="241"/>
      <c r="AG552" s="242"/>
      <c r="AH552" s="243"/>
      <c r="AI552" s="243"/>
      <c r="AJ552" s="244"/>
      <c r="AK552" s="244"/>
      <c r="AL552" s="244"/>
      <c r="AM552" s="239"/>
      <c r="AN552" s="20">
        <v>182</v>
      </c>
      <c r="AO552" s="20">
        <v>0</v>
      </c>
      <c r="AP552" s="20">
        <v>0</v>
      </c>
      <c r="AQ552" s="20">
        <v>0</v>
      </c>
      <c r="AR552" s="20">
        <v>0</v>
      </c>
      <c r="AS552" s="20">
        <v>7</v>
      </c>
      <c r="AT552" s="20">
        <v>10</v>
      </c>
      <c r="AU552" s="300">
        <f t="shared" si="89"/>
        <v>199</v>
      </c>
      <c r="AV552" s="20">
        <v>190</v>
      </c>
      <c r="AW552" s="20">
        <v>0</v>
      </c>
      <c r="AX552" s="20">
        <v>0</v>
      </c>
      <c r="AY552" s="20">
        <v>0</v>
      </c>
      <c r="AZ552" s="20">
        <v>0</v>
      </c>
      <c r="BA552" s="20">
        <v>7</v>
      </c>
      <c r="BB552" s="20">
        <v>10</v>
      </c>
      <c r="BC552" s="300">
        <f t="shared" si="90"/>
        <v>207</v>
      </c>
      <c r="BD552" s="42">
        <f t="shared" si="91"/>
        <v>8</v>
      </c>
      <c r="BE552" s="42">
        <f t="shared" si="92"/>
        <v>0</v>
      </c>
      <c r="BF552" s="42">
        <f t="shared" si="93"/>
        <v>0</v>
      </c>
      <c r="BG552" s="42">
        <f t="shared" si="94"/>
        <v>0</v>
      </c>
      <c r="BH552" s="42">
        <f t="shared" si="95"/>
        <v>0</v>
      </c>
      <c r="BI552" s="42">
        <f t="shared" si="96"/>
        <v>0</v>
      </c>
      <c r="BJ552" s="42">
        <f t="shared" si="97"/>
        <v>0</v>
      </c>
      <c r="BK552" s="42">
        <f t="shared" si="98"/>
        <v>8</v>
      </c>
    </row>
    <row r="553" spans="1:63" ht="27" customHeight="1">
      <c r="A553" s="222">
        <f t="shared" si="99"/>
        <v>551</v>
      </c>
      <c r="B553" s="223"/>
      <c r="C553" s="223">
        <v>3408</v>
      </c>
      <c r="D553" s="225" t="s">
        <v>3505</v>
      </c>
      <c r="E553" s="226" t="s">
        <v>3506</v>
      </c>
      <c r="F553" s="227" t="s">
        <v>1411</v>
      </c>
      <c r="G553" s="228" t="s">
        <v>3507</v>
      </c>
      <c r="H553" s="229" t="s">
        <v>3298</v>
      </c>
      <c r="I553" s="230" t="s">
        <v>3508</v>
      </c>
      <c r="J553" s="231" t="s">
        <v>173</v>
      </c>
      <c r="K553" s="232">
        <v>35388</v>
      </c>
      <c r="L553" s="233" t="s">
        <v>174</v>
      </c>
      <c r="M553" s="234">
        <v>43763</v>
      </c>
      <c r="N553" s="234"/>
      <c r="O553" s="234" t="s">
        <v>32</v>
      </c>
      <c r="P553" s="222" t="s">
        <v>343</v>
      </c>
      <c r="Q553" s="222" t="s">
        <v>176</v>
      </c>
      <c r="R553" s="222" t="s">
        <v>177</v>
      </c>
      <c r="S553" s="222" t="s">
        <v>3509</v>
      </c>
      <c r="T553" s="235"/>
      <c r="U553" s="235"/>
      <c r="V553" s="236"/>
      <c r="W553" s="236"/>
      <c r="X553" s="236">
        <v>9</v>
      </c>
      <c r="Y553" s="237" t="s">
        <v>3510</v>
      </c>
      <c r="Z553" s="238"/>
      <c r="AA553" s="238" t="s">
        <v>181</v>
      </c>
      <c r="AB553" s="236"/>
      <c r="AC553" s="239"/>
      <c r="AD553" s="240" t="s">
        <v>183</v>
      </c>
      <c r="AE553" s="240"/>
      <c r="AF553" s="241"/>
      <c r="AG553" s="242"/>
      <c r="AH553" s="243"/>
      <c r="AI553" s="243"/>
      <c r="AJ553" s="244"/>
      <c r="AK553" s="244"/>
      <c r="AL553" s="244"/>
      <c r="AM553" s="239"/>
      <c r="AN553" s="20">
        <v>182</v>
      </c>
      <c r="AO553" s="20">
        <v>0</v>
      </c>
      <c r="AP553" s="20">
        <v>0</v>
      </c>
      <c r="AQ553" s="20">
        <v>0</v>
      </c>
      <c r="AR553" s="20">
        <v>0</v>
      </c>
      <c r="AS553" s="20">
        <v>7</v>
      </c>
      <c r="AT553" s="20">
        <v>10</v>
      </c>
      <c r="AU553" s="300">
        <f t="shared" si="89"/>
        <v>199</v>
      </c>
      <c r="AV553" s="20">
        <v>190</v>
      </c>
      <c r="AW553" s="20">
        <v>0</v>
      </c>
      <c r="AX553" s="20">
        <v>0</v>
      </c>
      <c r="AY553" s="20">
        <v>0</v>
      </c>
      <c r="AZ553" s="20">
        <v>0</v>
      </c>
      <c r="BA553" s="20">
        <v>7</v>
      </c>
      <c r="BB553" s="20">
        <v>10</v>
      </c>
      <c r="BC553" s="300">
        <f t="shared" si="90"/>
        <v>207</v>
      </c>
      <c r="BD553" s="42">
        <f t="shared" si="91"/>
        <v>8</v>
      </c>
      <c r="BE553" s="42">
        <f t="shared" si="92"/>
        <v>0</v>
      </c>
      <c r="BF553" s="42">
        <f t="shared" si="93"/>
        <v>0</v>
      </c>
      <c r="BG553" s="42">
        <f t="shared" si="94"/>
        <v>0</v>
      </c>
      <c r="BH553" s="42">
        <f t="shared" si="95"/>
        <v>0</v>
      </c>
      <c r="BI553" s="42">
        <f t="shared" si="96"/>
        <v>0</v>
      </c>
      <c r="BJ553" s="42">
        <f t="shared" si="97"/>
        <v>0</v>
      </c>
      <c r="BK553" s="42">
        <f t="shared" si="98"/>
        <v>8</v>
      </c>
    </row>
    <row r="554" spans="1:63" ht="27" customHeight="1">
      <c r="A554" s="222">
        <f t="shared" si="99"/>
        <v>552</v>
      </c>
      <c r="B554" s="223"/>
      <c r="C554" s="223">
        <v>3327</v>
      </c>
      <c r="D554" s="225" t="s">
        <v>3511</v>
      </c>
      <c r="E554" s="226" t="s">
        <v>3512</v>
      </c>
      <c r="F554" s="227" t="s">
        <v>1061</v>
      </c>
      <c r="G554" s="228" t="s">
        <v>3513</v>
      </c>
      <c r="H554" s="229" t="s">
        <v>3113</v>
      </c>
      <c r="I554" s="230" t="s">
        <v>3514</v>
      </c>
      <c r="J554" s="231" t="s">
        <v>204</v>
      </c>
      <c r="K554" s="232">
        <v>33361</v>
      </c>
      <c r="L554" s="233" t="s">
        <v>174</v>
      </c>
      <c r="M554" s="234">
        <v>43744</v>
      </c>
      <c r="N554" s="234"/>
      <c r="O554" s="234" t="s">
        <v>32</v>
      </c>
      <c r="P554" s="222" t="s">
        <v>83</v>
      </c>
      <c r="Q554" s="222" t="s">
        <v>176</v>
      </c>
      <c r="R554" s="222" t="s">
        <v>177</v>
      </c>
      <c r="S554" s="222" t="s">
        <v>2425</v>
      </c>
      <c r="T554" s="235"/>
      <c r="U554" s="235"/>
      <c r="V554" s="236"/>
      <c r="W554" s="236"/>
      <c r="X554" s="236">
        <v>10</v>
      </c>
      <c r="Y554" s="237" t="s">
        <v>3515</v>
      </c>
      <c r="Z554" s="238"/>
      <c r="AA554" s="238" t="s">
        <v>181</v>
      </c>
      <c r="AB554" s="236"/>
      <c r="AC554" s="239"/>
      <c r="AD554" s="240"/>
      <c r="AE554" s="240"/>
      <c r="AF554" s="241"/>
      <c r="AG554" s="242"/>
      <c r="AH554" s="243"/>
      <c r="AI554" s="243"/>
      <c r="AJ554" s="244"/>
      <c r="AK554" s="244"/>
      <c r="AL554" s="244"/>
      <c r="AM554" s="239"/>
      <c r="AN554" s="20">
        <v>182</v>
      </c>
      <c r="AO554" s="20">
        <v>0</v>
      </c>
      <c r="AP554" s="20">
        <v>0</v>
      </c>
      <c r="AQ554" s="20">
        <v>0</v>
      </c>
      <c r="AR554" s="20">
        <v>0</v>
      </c>
      <c r="AS554" s="20">
        <v>7</v>
      </c>
      <c r="AT554" s="20">
        <v>10</v>
      </c>
      <c r="AU554" s="300">
        <f t="shared" si="89"/>
        <v>199</v>
      </c>
      <c r="AV554" s="20">
        <v>190</v>
      </c>
      <c r="AW554" s="20">
        <v>0</v>
      </c>
      <c r="AX554" s="20">
        <v>0</v>
      </c>
      <c r="AY554" s="20">
        <v>0</v>
      </c>
      <c r="AZ554" s="20">
        <v>0</v>
      </c>
      <c r="BA554" s="20">
        <v>7</v>
      </c>
      <c r="BB554" s="20">
        <v>10</v>
      </c>
      <c r="BC554" s="300">
        <f t="shared" si="90"/>
        <v>207</v>
      </c>
      <c r="BD554" s="42">
        <f t="shared" si="91"/>
        <v>8</v>
      </c>
      <c r="BE554" s="42">
        <f t="shared" si="92"/>
        <v>0</v>
      </c>
      <c r="BF554" s="42">
        <f t="shared" si="93"/>
        <v>0</v>
      </c>
      <c r="BG554" s="42">
        <f t="shared" si="94"/>
        <v>0</v>
      </c>
      <c r="BH554" s="42">
        <f t="shared" si="95"/>
        <v>0</v>
      </c>
      <c r="BI554" s="42">
        <f t="shared" si="96"/>
        <v>0</v>
      </c>
      <c r="BJ554" s="42">
        <f t="shared" si="97"/>
        <v>0</v>
      </c>
      <c r="BK554" s="42">
        <f t="shared" si="98"/>
        <v>8</v>
      </c>
    </row>
    <row r="555" spans="1:63" ht="27" customHeight="1">
      <c r="A555" s="222">
        <f t="shared" si="99"/>
        <v>553</v>
      </c>
      <c r="B555" s="223"/>
      <c r="C555" s="223">
        <v>3377</v>
      </c>
      <c r="D555" s="225" t="s">
        <v>3516</v>
      </c>
      <c r="E555" s="226" t="s">
        <v>3517</v>
      </c>
      <c r="F555" s="227" t="s">
        <v>1418</v>
      </c>
      <c r="G555" s="228" t="s">
        <v>265</v>
      </c>
      <c r="H555" s="229" t="s">
        <v>3276</v>
      </c>
      <c r="I555" s="230" t="s">
        <v>3518</v>
      </c>
      <c r="J555" s="231" t="s">
        <v>173</v>
      </c>
      <c r="K555" s="232">
        <v>31419</v>
      </c>
      <c r="L555" s="233" t="s">
        <v>174</v>
      </c>
      <c r="M555" s="234">
        <v>43755</v>
      </c>
      <c r="N555" s="234"/>
      <c r="O555" s="234" t="s">
        <v>32</v>
      </c>
      <c r="P555" s="222" t="s">
        <v>1080</v>
      </c>
      <c r="Q555" s="222" t="s">
        <v>176</v>
      </c>
      <c r="R555" s="222" t="s">
        <v>177</v>
      </c>
      <c r="S555" s="222" t="s">
        <v>2392</v>
      </c>
      <c r="T555" s="235"/>
      <c r="U555" s="235"/>
      <c r="V555" s="236"/>
      <c r="W555" s="236"/>
      <c r="X555" s="236">
        <v>4</v>
      </c>
      <c r="Y555" s="237" t="s">
        <v>3519</v>
      </c>
      <c r="Z555" s="238" t="s">
        <v>181</v>
      </c>
      <c r="AA555" s="238"/>
      <c r="AB555" s="236"/>
      <c r="AC555" s="239"/>
      <c r="AD555" s="240"/>
      <c r="AE555" s="240"/>
      <c r="AF555" s="241"/>
      <c r="AG555" s="242"/>
      <c r="AH555" s="243"/>
      <c r="AI555" s="243"/>
      <c r="AJ555" s="244"/>
      <c r="AK555" s="244"/>
      <c r="AL555" s="244"/>
      <c r="AM555" s="239"/>
      <c r="AN555" s="20">
        <v>182</v>
      </c>
      <c r="AO555" s="20">
        <v>0</v>
      </c>
      <c r="AP555" s="20">
        <v>0</v>
      </c>
      <c r="AQ555" s="20">
        <v>0</v>
      </c>
      <c r="AR555" s="20">
        <v>0</v>
      </c>
      <c r="AS555" s="20">
        <v>7</v>
      </c>
      <c r="AT555" s="20">
        <v>10</v>
      </c>
      <c r="AU555" s="300">
        <f t="shared" si="89"/>
        <v>199</v>
      </c>
      <c r="AV555" s="20">
        <v>190</v>
      </c>
      <c r="AW555" s="20">
        <v>0</v>
      </c>
      <c r="AX555" s="20">
        <v>0</v>
      </c>
      <c r="AY555" s="20">
        <v>0</v>
      </c>
      <c r="AZ555" s="20">
        <v>0</v>
      </c>
      <c r="BA555" s="20">
        <v>7</v>
      </c>
      <c r="BB555" s="20">
        <v>10</v>
      </c>
      <c r="BC555" s="300">
        <f t="shared" si="90"/>
        <v>207</v>
      </c>
      <c r="BD555" s="42">
        <f t="shared" si="91"/>
        <v>8</v>
      </c>
      <c r="BE555" s="42">
        <f t="shared" si="92"/>
        <v>0</v>
      </c>
      <c r="BF555" s="42">
        <f t="shared" si="93"/>
        <v>0</v>
      </c>
      <c r="BG555" s="42">
        <f t="shared" si="94"/>
        <v>0</v>
      </c>
      <c r="BH555" s="42">
        <f t="shared" si="95"/>
        <v>0</v>
      </c>
      <c r="BI555" s="42">
        <f t="shared" si="96"/>
        <v>0</v>
      </c>
      <c r="BJ555" s="42">
        <f t="shared" si="97"/>
        <v>0</v>
      </c>
      <c r="BK555" s="42">
        <f t="shared" si="98"/>
        <v>8</v>
      </c>
    </row>
    <row r="556" spans="1:63" ht="27" customHeight="1">
      <c r="A556" s="222">
        <f t="shared" si="99"/>
        <v>554</v>
      </c>
      <c r="B556" s="223"/>
      <c r="C556" s="223">
        <v>3400</v>
      </c>
      <c r="D556" s="225" t="s">
        <v>3520</v>
      </c>
      <c r="E556" s="226" t="s">
        <v>3521</v>
      </c>
      <c r="F556" s="227" t="s">
        <v>3243</v>
      </c>
      <c r="G556" s="228" t="s">
        <v>3522</v>
      </c>
      <c r="H556" s="229" t="s">
        <v>2108</v>
      </c>
      <c r="I556" s="230" t="s">
        <v>3523</v>
      </c>
      <c r="J556" s="231" t="s">
        <v>173</v>
      </c>
      <c r="K556" s="232">
        <v>31658</v>
      </c>
      <c r="L556" s="233" t="s">
        <v>174</v>
      </c>
      <c r="M556" s="234">
        <v>43760</v>
      </c>
      <c r="N556" s="234"/>
      <c r="O556" s="234" t="s">
        <v>32</v>
      </c>
      <c r="P556" s="222" t="s">
        <v>343</v>
      </c>
      <c r="Q556" s="222" t="s">
        <v>176</v>
      </c>
      <c r="R556" s="222" t="s">
        <v>177</v>
      </c>
      <c r="S556" s="222" t="s">
        <v>2379</v>
      </c>
      <c r="T556" s="235"/>
      <c r="U556" s="235"/>
      <c r="V556" s="236"/>
      <c r="W556" s="236"/>
      <c r="X556" s="236">
        <v>9</v>
      </c>
      <c r="Y556" s="237" t="s">
        <v>3524</v>
      </c>
      <c r="Z556" s="238" t="s">
        <v>181</v>
      </c>
      <c r="AA556" s="238"/>
      <c r="AB556" s="236"/>
      <c r="AC556" s="239"/>
      <c r="AD556" s="240"/>
      <c r="AE556" s="240"/>
      <c r="AF556" s="241"/>
      <c r="AG556" s="242"/>
      <c r="AH556" s="243"/>
      <c r="AI556" s="243"/>
      <c r="AJ556" s="244"/>
      <c r="AK556" s="244"/>
      <c r="AL556" s="244"/>
      <c r="AM556" s="239"/>
      <c r="AN556" s="20">
        <v>182</v>
      </c>
      <c r="AO556" s="20">
        <v>0</v>
      </c>
      <c r="AP556" s="20">
        <v>0</v>
      </c>
      <c r="AQ556" s="20">
        <v>0</v>
      </c>
      <c r="AR556" s="20">
        <v>0</v>
      </c>
      <c r="AS556" s="20">
        <v>7</v>
      </c>
      <c r="AT556" s="20">
        <v>10</v>
      </c>
      <c r="AU556" s="300">
        <f t="shared" si="89"/>
        <v>199</v>
      </c>
      <c r="AV556" s="20">
        <v>190</v>
      </c>
      <c r="AW556" s="20">
        <v>0</v>
      </c>
      <c r="AX556" s="20">
        <v>0</v>
      </c>
      <c r="AY556" s="20">
        <v>0</v>
      </c>
      <c r="AZ556" s="20">
        <v>0</v>
      </c>
      <c r="BA556" s="20">
        <v>7</v>
      </c>
      <c r="BB556" s="20">
        <v>10</v>
      </c>
      <c r="BC556" s="300">
        <f t="shared" si="90"/>
        <v>207</v>
      </c>
      <c r="BD556" s="42">
        <f t="shared" si="91"/>
        <v>8</v>
      </c>
      <c r="BE556" s="42">
        <f t="shared" si="92"/>
        <v>0</v>
      </c>
      <c r="BF556" s="42">
        <f t="shared" si="93"/>
        <v>0</v>
      </c>
      <c r="BG556" s="42">
        <f t="shared" si="94"/>
        <v>0</v>
      </c>
      <c r="BH556" s="42">
        <f t="shared" si="95"/>
        <v>0</v>
      </c>
      <c r="BI556" s="42">
        <f t="shared" si="96"/>
        <v>0</v>
      </c>
      <c r="BJ556" s="42">
        <f t="shared" si="97"/>
        <v>0</v>
      </c>
      <c r="BK556" s="42">
        <f t="shared" si="98"/>
        <v>8</v>
      </c>
    </row>
    <row r="557" spans="1:63" ht="27" customHeight="1">
      <c r="A557" s="222">
        <f t="shared" si="99"/>
        <v>555</v>
      </c>
      <c r="B557" s="223"/>
      <c r="C557" s="223">
        <v>3376</v>
      </c>
      <c r="D557" s="225" t="s">
        <v>3525</v>
      </c>
      <c r="E557" s="226" t="s">
        <v>291</v>
      </c>
      <c r="F557" s="227" t="s">
        <v>3526</v>
      </c>
      <c r="G557" s="228" t="s">
        <v>2191</v>
      </c>
      <c r="H557" s="247" t="s">
        <v>3527</v>
      </c>
      <c r="I557" s="248" t="s">
        <v>3528</v>
      </c>
      <c r="J557" s="228" t="s">
        <v>173</v>
      </c>
      <c r="K557" s="232">
        <v>36014</v>
      </c>
      <c r="L557" s="249" t="s">
        <v>174</v>
      </c>
      <c r="M557" s="234">
        <v>43754</v>
      </c>
      <c r="N557" s="234"/>
      <c r="O557" s="234" t="s">
        <v>24</v>
      </c>
      <c r="P557" s="222" t="s">
        <v>25</v>
      </c>
      <c r="Q557" s="222" t="s">
        <v>176</v>
      </c>
      <c r="R557" s="236" t="s">
        <v>177</v>
      </c>
      <c r="S557" s="236" t="s">
        <v>2379</v>
      </c>
      <c r="T557" s="235"/>
      <c r="U557" s="235"/>
      <c r="V557" s="236" t="s">
        <v>185</v>
      </c>
      <c r="W557" s="236" t="s">
        <v>185</v>
      </c>
      <c r="X557" s="236">
        <v>7</v>
      </c>
      <c r="Y557" s="237" t="s">
        <v>3529</v>
      </c>
      <c r="Z557" s="238" t="s">
        <v>181</v>
      </c>
      <c r="AA557" s="238"/>
      <c r="AB557" s="236"/>
      <c r="AC557" s="239"/>
      <c r="AD557" s="240"/>
      <c r="AE557" s="240"/>
      <c r="AF557" s="241"/>
      <c r="AG557" s="242"/>
      <c r="AH557" s="243"/>
      <c r="AI557" s="243"/>
      <c r="AJ557" s="244" t="s">
        <v>198</v>
      </c>
      <c r="AK557" s="244" t="s">
        <v>185</v>
      </c>
      <c r="AL557" s="244" t="s">
        <v>185</v>
      </c>
      <c r="AM557" s="239" t="s">
        <v>3530</v>
      </c>
      <c r="AN557" s="20">
        <v>182</v>
      </c>
      <c r="AO557" s="20">
        <v>0</v>
      </c>
      <c r="AP557" s="20">
        <v>0</v>
      </c>
      <c r="AQ557" s="20">
        <v>0</v>
      </c>
      <c r="AR557" s="20">
        <v>0</v>
      </c>
      <c r="AS557" s="20">
        <v>7</v>
      </c>
      <c r="AT557" s="20">
        <v>10</v>
      </c>
      <c r="AU557" s="300">
        <f t="shared" si="89"/>
        <v>199</v>
      </c>
      <c r="AV557" s="20">
        <v>190</v>
      </c>
      <c r="AW557" s="20">
        <v>0</v>
      </c>
      <c r="AX557" s="20">
        <v>0</v>
      </c>
      <c r="AY557" s="20">
        <v>0</v>
      </c>
      <c r="AZ557" s="20">
        <v>0</v>
      </c>
      <c r="BA557" s="20">
        <v>7</v>
      </c>
      <c r="BB557" s="20">
        <v>10</v>
      </c>
      <c r="BC557" s="300">
        <f t="shared" si="90"/>
        <v>207</v>
      </c>
      <c r="BD557" s="42">
        <f t="shared" si="91"/>
        <v>8</v>
      </c>
      <c r="BE557" s="42">
        <f t="shared" si="92"/>
        <v>0</v>
      </c>
      <c r="BF557" s="42">
        <f t="shared" si="93"/>
        <v>0</v>
      </c>
      <c r="BG557" s="42">
        <f t="shared" si="94"/>
        <v>0</v>
      </c>
      <c r="BH557" s="42">
        <f t="shared" si="95"/>
        <v>0</v>
      </c>
      <c r="BI557" s="42">
        <f t="shared" si="96"/>
        <v>0</v>
      </c>
      <c r="BJ557" s="42">
        <f t="shared" si="97"/>
        <v>0</v>
      </c>
      <c r="BK557" s="42">
        <f t="shared" si="98"/>
        <v>8</v>
      </c>
    </row>
    <row r="558" spans="1:63" ht="27" customHeight="1">
      <c r="A558" s="222">
        <f t="shared" si="99"/>
        <v>556</v>
      </c>
      <c r="B558" s="223"/>
      <c r="C558" s="223">
        <v>3110</v>
      </c>
      <c r="D558" s="225" t="s">
        <v>3199</v>
      </c>
      <c r="E558" s="226" t="s">
        <v>3200</v>
      </c>
      <c r="F558" s="227" t="s">
        <v>1061</v>
      </c>
      <c r="G558" s="228" t="s">
        <v>3201</v>
      </c>
      <c r="H558" s="247" t="s">
        <v>1063</v>
      </c>
      <c r="I558" s="248" t="s">
        <v>3531</v>
      </c>
      <c r="J558" s="228" t="s">
        <v>173</v>
      </c>
      <c r="K558" s="232">
        <v>36630</v>
      </c>
      <c r="L558" s="249" t="s">
        <v>174</v>
      </c>
      <c r="M558" s="234">
        <v>43741</v>
      </c>
      <c r="N558" s="234"/>
      <c r="O558" s="234" t="s">
        <v>3532</v>
      </c>
      <c r="P558" s="222" t="s">
        <v>507</v>
      </c>
      <c r="Q558" s="222" t="s">
        <v>176</v>
      </c>
      <c r="R558" s="236" t="s">
        <v>177</v>
      </c>
      <c r="S558" s="236" t="s">
        <v>2425</v>
      </c>
      <c r="T558" s="235"/>
      <c r="U558" s="235"/>
      <c r="V558" s="236" t="s">
        <v>198</v>
      </c>
      <c r="W558" s="236" t="s">
        <v>185</v>
      </c>
      <c r="X558" s="236">
        <v>4</v>
      </c>
      <c r="Y558" s="237" t="s">
        <v>3533</v>
      </c>
      <c r="Z558" s="238" t="s">
        <v>181</v>
      </c>
      <c r="AA558" s="238"/>
      <c r="AB558" s="236"/>
      <c r="AC558" s="239"/>
      <c r="AD558" s="240"/>
      <c r="AE558" s="240"/>
      <c r="AF558" s="241"/>
      <c r="AG558" s="242"/>
      <c r="AH558" s="243"/>
      <c r="AI558" s="243"/>
      <c r="AJ558" s="244" t="s">
        <v>198</v>
      </c>
      <c r="AK558" s="244" t="s">
        <v>185</v>
      </c>
      <c r="AL558" s="244" t="s">
        <v>185</v>
      </c>
      <c r="AM558" s="239" t="s">
        <v>3478</v>
      </c>
      <c r="AN558" s="20">
        <v>182</v>
      </c>
      <c r="AO558" s="20">
        <v>0</v>
      </c>
      <c r="AP558" s="20">
        <v>0</v>
      </c>
      <c r="AQ558" s="20">
        <v>0</v>
      </c>
      <c r="AR558" s="20">
        <v>0</v>
      </c>
      <c r="AS558" s="20">
        <v>7</v>
      </c>
      <c r="AT558" s="20">
        <v>10</v>
      </c>
      <c r="AU558" s="300">
        <f t="shared" si="89"/>
        <v>199</v>
      </c>
      <c r="AV558" s="20">
        <v>190</v>
      </c>
      <c r="AW558" s="20">
        <v>0</v>
      </c>
      <c r="AX558" s="20">
        <v>0</v>
      </c>
      <c r="AY558" s="20">
        <v>0</v>
      </c>
      <c r="AZ558" s="20">
        <v>0</v>
      </c>
      <c r="BA558" s="20">
        <v>7</v>
      </c>
      <c r="BB558" s="20">
        <v>10</v>
      </c>
      <c r="BC558" s="300">
        <f t="shared" si="90"/>
        <v>207</v>
      </c>
      <c r="BD558" s="42">
        <f t="shared" si="91"/>
        <v>8</v>
      </c>
      <c r="BE558" s="42">
        <f t="shared" si="92"/>
        <v>0</v>
      </c>
      <c r="BF558" s="42">
        <f t="shared" si="93"/>
        <v>0</v>
      </c>
      <c r="BG558" s="42">
        <f t="shared" si="94"/>
        <v>0</v>
      </c>
      <c r="BH558" s="42">
        <f t="shared" si="95"/>
        <v>0</v>
      </c>
      <c r="BI558" s="42">
        <f t="shared" si="96"/>
        <v>0</v>
      </c>
      <c r="BJ558" s="42">
        <f t="shared" si="97"/>
        <v>0</v>
      </c>
      <c r="BK558" s="42">
        <f t="shared" si="98"/>
        <v>8</v>
      </c>
    </row>
    <row r="559" spans="1:63" ht="27" customHeight="1">
      <c r="A559" s="222">
        <f t="shared" si="99"/>
        <v>557</v>
      </c>
      <c r="B559" s="223"/>
      <c r="C559" s="223">
        <v>3415</v>
      </c>
      <c r="D559" s="225">
        <v>0</v>
      </c>
      <c r="E559" s="226" t="s">
        <v>291</v>
      </c>
      <c r="F559" s="227" t="s">
        <v>2032</v>
      </c>
      <c r="G559" s="228" t="s">
        <v>3534</v>
      </c>
      <c r="H559" s="247">
        <v>0</v>
      </c>
      <c r="I559" s="248">
        <v>0</v>
      </c>
      <c r="J559" s="231" t="s">
        <v>173</v>
      </c>
      <c r="K559" s="232">
        <v>36990</v>
      </c>
      <c r="L559" s="249" t="s">
        <v>174</v>
      </c>
      <c r="M559" s="234">
        <v>43765</v>
      </c>
      <c r="N559" s="234"/>
      <c r="O559" s="234" t="s">
        <v>24</v>
      </c>
      <c r="P559" s="222" t="s">
        <v>25</v>
      </c>
      <c r="Q559" s="222" t="s">
        <v>176</v>
      </c>
      <c r="R559" s="236" t="s">
        <v>177</v>
      </c>
      <c r="S559" s="236" t="s">
        <v>1369</v>
      </c>
      <c r="T559" s="235"/>
      <c r="U559" s="235"/>
      <c r="V559" s="236" t="s">
        <v>198</v>
      </c>
      <c r="W559" s="236">
        <v>86</v>
      </c>
      <c r="X559" s="236">
        <v>6</v>
      </c>
      <c r="Y559" s="237" t="s">
        <v>3535</v>
      </c>
      <c r="Z559" s="238"/>
      <c r="AA559" s="238" t="s">
        <v>181</v>
      </c>
      <c r="AB559" s="236"/>
      <c r="AC559" s="239"/>
      <c r="AD559" s="240"/>
      <c r="AE559" s="240"/>
      <c r="AF559" s="241"/>
      <c r="AG559" s="242"/>
      <c r="AH559" s="243"/>
      <c r="AI559" s="243"/>
      <c r="AJ559" s="244" t="s">
        <v>198</v>
      </c>
      <c r="AK559" s="244" t="s">
        <v>185</v>
      </c>
      <c r="AL559" s="244" t="s">
        <v>185</v>
      </c>
      <c r="AM559" s="239" t="s">
        <v>3478</v>
      </c>
      <c r="AN559" s="20">
        <v>177</v>
      </c>
      <c r="AO559" s="20">
        <v>0</v>
      </c>
      <c r="AP559" s="20">
        <v>0</v>
      </c>
      <c r="AQ559" s="20">
        <v>0</v>
      </c>
      <c r="AR559" s="20">
        <v>0</v>
      </c>
      <c r="AS559" s="20">
        <v>7</v>
      </c>
      <c r="AT559" s="20">
        <v>10</v>
      </c>
      <c r="AU559" s="300">
        <f t="shared" si="89"/>
        <v>194</v>
      </c>
      <c r="AV559" s="20">
        <v>185</v>
      </c>
      <c r="AW559" s="20">
        <v>0</v>
      </c>
      <c r="AX559" s="20">
        <v>0</v>
      </c>
      <c r="AY559" s="20">
        <v>0</v>
      </c>
      <c r="AZ559" s="20">
        <v>0</v>
      </c>
      <c r="BA559" s="20">
        <v>7</v>
      </c>
      <c r="BB559" s="20">
        <v>10</v>
      </c>
      <c r="BC559" s="300">
        <f t="shared" si="90"/>
        <v>202</v>
      </c>
      <c r="BD559" s="42">
        <f t="shared" si="91"/>
        <v>8</v>
      </c>
      <c r="BE559" s="42">
        <f t="shared" si="92"/>
        <v>0</v>
      </c>
      <c r="BF559" s="42">
        <f t="shared" si="93"/>
        <v>0</v>
      </c>
      <c r="BG559" s="42">
        <f t="shared" si="94"/>
        <v>0</v>
      </c>
      <c r="BH559" s="42">
        <f t="shared" si="95"/>
        <v>0</v>
      </c>
      <c r="BI559" s="42">
        <f t="shared" si="96"/>
        <v>0</v>
      </c>
      <c r="BJ559" s="42">
        <f t="shared" si="97"/>
        <v>0</v>
      </c>
      <c r="BK559" s="42">
        <f t="shared" si="98"/>
        <v>8</v>
      </c>
    </row>
    <row r="560" spans="1:63" ht="27" customHeight="1">
      <c r="A560" s="222">
        <f t="shared" si="99"/>
        <v>558</v>
      </c>
      <c r="B560" s="223"/>
      <c r="C560" s="223">
        <v>3362</v>
      </c>
      <c r="D560" s="225" t="s">
        <v>3536</v>
      </c>
      <c r="E560" s="226" t="s">
        <v>3537</v>
      </c>
      <c r="F560" s="227" t="s">
        <v>240</v>
      </c>
      <c r="G560" s="228" t="s">
        <v>3538</v>
      </c>
      <c r="H560" s="247" t="s">
        <v>324</v>
      </c>
      <c r="I560" s="248" t="s">
        <v>3539</v>
      </c>
      <c r="J560" s="231" t="s">
        <v>173</v>
      </c>
      <c r="K560" s="232">
        <v>29772</v>
      </c>
      <c r="L560" s="249" t="s">
        <v>174</v>
      </c>
      <c r="M560" s="234">
        <v>43755</v>
      </c>
      <c r="N560" s="234"/>
      <c r="O560" s="234" t="s">
        <v>3540</v>
      </c>
      <c r="P560" s="222" t="s">
        <v>334</v>
      </c>
      <c r="Q560" s="222" t="s">
        <v>176</v>
      </c>
      <c r="R560" s="236" t="s">
        <v>177</v>
      </c>
      <c r="S560" s="236" t="s">
        <v>2392</v>
      </c>
      <c r="T560" s="235"/>
      <c r="U560" s="235"/>
      <c r="V560" s="236" t="s">
        <v>185</v>
      </c>
      <c r="W560" s="236" t="s">
        <v>185</v>
      </c>
      <c r="X560" s="236">
        <v>1</v>
      </c>
      <c r="Y560" s="237" t="s">
        <v>3541</v>
      </c>
      <c r="Z560" s="238"/>
      <c r="AA560" s="238" t="s">
        <v>181</v>
      </c>
      <c r="AB560" s="236"/>
      <c r="AC560" s="239"/>
      <c r="AD560" s="240"/>
      <c r="AE560" s="240"/>
      <c r="AF560" s="241"/>
      <c r="AG560" s="242"/>
      <c r="AH560" s="243"/>
      <c r="AI560" s="243"/>
      <c r="AJ560" s="244" t="s">
        <v>198</v>
      </c>
      <c r="AK560" s="244" t="s">
        <v>185</v>
      </c>
      <c r="AL560" s="244" t="s">
        <v>185</v>
      </c>
      <c r="AM560" s="239" t="s">
        <v>3542</v>
      </c>
      <c r="AN560" s="20">
        <v>182</v>
      </c>
      <c r="AO560" s="20">
        <v>0</v>
      </c>
      <c r="AP560" s="20">
        <v>0</v>
      </c>
      <c r="AQ560" s="20">
        <v>0</v>
      </c>
      <c r="AR560" s="20">
        <v>0</v>
      </c>
      <c r="AS560" s="20">
        <v>7</v>
      </c>
      <c r="AT560" s="20">
        <v>10</v>
      </c>
      <c r="AU560" s="300">
        <f t="shared" si="89"/>
        <v>199</v>
      </c>
      <c r="AV560" s="20">
        <v>190</v>
      </c>
      <c r="AW560" s="20">
        <v>0</v>
      </c>
      <c r="AX560" s="20">
        <v>0</v>
      </c>
      <c r="AY560" s="20">
        <v>0</v>
      </c>
      <c r="AZ560" s="20">
        <v>0</v>
      </c>
      <c r="BA560" s="20">
        <v>7</v>
      </c>
      <c r="BB560" s="20">
        <v>10</v>
      </c>
      <c r="BC560" s="300">
        <f t="shared" si="90"/>
        <v>207</v>
      </c>
      <c r="BD560" s="42">
        <f t="shared" si="91"/>
        <v>8</v>
      </c>
      <c r="BE560" s="42">
        <f t="shared" si="92"/>
        <v>0</v>
      </c>
      <c r="BF560" s="42">
        <f t="shared" si="93"/>
        <v>0</v>
      </c>
      <c r="BG560" s="42">
        <f t="shared" si="94"/>
        <v>0</v>
      </c>
      <c r="BH560" s="42">
        <f t="shared" si="95"/>
        <v>0</v>
      </c>
      <c r="BI560" s="42">
        <f t="shared" si="96"/>
        <v>0</v>
      </c>
      <c r="BJ560" s="42">
        <f t="shared" si="97"/>
        <v>0</v>
      </c>
      <c r="BK560" s="42">
        <f t="shared" si="98"/>
        <v>8</v>
      </c>
    </row>
    <row r="561" spans="1:63" ht="27" customHeight="1">
      <c r="A561" s="222">
        <f t="shared" si="99"/>
        <v>559</v>
      </c>
      <c r="B561" s="223"/>
      <c r="C561" s="223">
        <v>3412</v>
      </c>
      <c r="D561" s="225" t="s">
        <v>3543</v>
      </c>
      <c r="E561" s="226" t="s">
        <v>3544</v>
      </c>
      <c r="F561" s="227" t="s">
        <v>958</v>
      </c>
      <c r="G561" s="228" t="s">
        <v>2520</v>
      </c>
      <c r="H561" s="247" t="s">
        <v>959</v>
      </c>
      <c r="I561" s="248" t="s">
        <v>3545</v>
      </c>
      <c r="J561" s="231" t="s">
        <v>173</v>
      </c>
      <c r="K561" s="232">
        <v>30198</v>
      </c>
      <c r="L561" s="249" t="s">
        <v>174</v>
      </c>
      <c r="M561" s="234">
        <v>43763</v>
      </c>
      <c r="N561" s="234"/>
      <c r="O561" s="234" t="s">
        <v>3546</v>
      </c>
      <c r="P561" s="222" t="s">
        <v>260</v>
      </c>
      <c r="Q561" s="222" t="s">
        <v>176</v>
      </c>
      <c r="R561" s="236" t="s">
        <v>177</v>
      </c>
      <c r="S561" s="236" t="s">
        <v>2425</v>
      </c>
      <c r="T561" s="235"/>
      <c r="U561" s="235"/>
      <c r="V561" s="236" t="s">
        <v>185</v>
      </c>
      <c r="W561" s="236" t="s">
        <v>185</v>
      </c>
      <c r="X561" s="236">
        <v>5</v>
      </c>
      <c r="Y561" s="237" t="s">
        <v>3547</v>
      </c>
      <c r="Z561" s="238" t="s">
        <v>181</v>
      </c>
      <c r="AA561" s="238"/>
      <c r="AB561" s="236"/>
      <c r="AC561" s="239"/>
      <c r="AD561" s="240"/>
      <c r="AE561" s="240"/>
      <c r="AF561" s="241"/>
      <c r="AG561" s="242"/>
      <c r="AH561" s="243"/>
      <c r="AI561" s="243"/>
      <c r="AJ561" s="244" t="s">
        <v>198</v>
      </c>
      <c r="AK561" s="244" t="s">
        <v>185</v>
      </c>
      <c r="AL561" s="244" t="s">
        <v>185</v>
      </c>
      <c r="AM561" s="239" t="s">
        <v>3548</v>
      </c>
      <c r="AN561" s="20">
        <v>182</v>
      </c>
      <c r="AO561" s="20">
        <v>0</v>
      </c>
      <c r="AP561" s="20">
        <v>0</v>
      </c>
      <c r="AQ561" s="20">
        <v>0</v>
      </c>
      <c r="AR561" s="20">
        <v>0</v>
      </c>
      <c r="AS561" s="20">
        <v>7</v>
      </c>
      <c r="AT561" s="20">
        <v>10</v>
      </c>
      <c r="AU561" s="300">
        <f t="shared" si="89"/>
        <v>199</v>
      </c>
      <c r="AV561" s="20">
        <v>190</v>
      </c>
      <c r="AW561" s="20">
        <v>0</v>
      </c>
      <c r="AX561" s="20">
        <v>0</v>
      </c>
      <c r="AY561" s="20">
        <v>0</v>
      </c>
      <c r="AZ561" s="20">
        <v>0</v>
      </c>
      <c r="BA561" s="20">
        <v>7</v>
      </c>
      <c r="BB561" s="20">
        <v>10</v>
      </c>
      <c r="BC561" s="300">
        <f t="shared" si="90"/>
        <v>207</v>
      </c>
      <c r="BD561" s="42">
        <f t="shared" si="91"/>
        <v>8</v>
      </c>
      <c r="BE561" s="42">
        <f t="shared" si="92"/>
        <v>0</v>
      </c>
      <c r="BF561" s="42">
        <f t="shared" si="93"/>
        <v>0</v>
      </c>
      <c r="BG561" s="42">
        <f t="shared" si="94"/>
        <v>0</v>
      </c>
      <c r="BH561" s="42">
        <f t="shared" si="95"/>
        <v>0</v>
      </c>
      <c r="BI561" s="42">
        <f t="shared" si="96"/>
        <v>0</v>
      </c>
      <c r="BJ561" s="42">
        <f t="shared" si="97"/>
        <v>0</v>
      </c>
      <c r="BK561" s="42">
        <f t="shared" si="98"/>
        <v>8</v>
      </c>
    </row>
    <row r="562" spans="1:63" ht="27" customHeight="1">
      <c r="A562" s="222">
        <f t="shared" si="99"/>
        <v>560</v>
      </c>
      <c r="B562" s="223"/>
      <c r="C562" s="223">
        <v>3409</v>
      </c>
      <c r="D562" s="225" t="s">
        <v>3549</v>
      </c>
      <c r="E562" s="226" t="s">
        <v>3550</v>
      </c>
      <c r="F562" s="227" t="s">
        <v>3551</v>
      </c>
      <c r="G562" s="228" t="s">
        <v>2570</v>
      </c>
      <c r="H562" s="247" t="s">
        <v>3552</v>
      </c>
      <c r="I562" s="248" t="s">
        <v>3553</v>
      </c>
      <c r="J562" s="231" t="s">
        <v>173</v>
      </c>
      <c r="K562" s="232">
        <v>32092</v>
      </c>
      <c r="L562" s="249" t="s">
        <v>174</v>
      </c>
      <c r="M562" s="234">
        <v>43763</v>
      </c>
      <c r="N562" s="234"/>
      <c r="O562" s="234" t="s">
        <v>3554</v>
      </c>
      <c r="P562" s="222" t="s">
        <v>296</v>
      </c>
      <c r="Q562" s="222" t="s">
        <v>176</v>
      </c>
      <c r="R562" s="236" t="s">
        <v>177</v>
      </c>
      <c r="S562" s="236" t="s">
        <v>2354</v>
      </c>
      <c r="T562" s="235"/>
      <c r="U562" s="235"/>
      <c r="V562" s="236" t="s">
        <v>185</v>
      </c>
      <c r="W562" s="236" t="s">
        <v>185</v>
      </c>
      <c r="X562" s="236">
        <v>4</v>
      </c>
      <c r="Y562" s="237" t="s">
        <v>3555</v>
      </c>
      <c r="Z562" s="238"/>
      <c r="AA562" s="238" t="s">
        <v>181</v>
      </c>
      <c r="AB562" s="236"/>
      <c r="AC562" s="239"/>
      <c r="AD562" s="240" t="s">
        <v>183</v>
      </c>
      <c r="AE562" s="240"/>
      <c r="AF562" s="241"/>
      <c r="AG562" s="242"/>
      <c r="AH562" s="243"/>
      <c r="AI562" s="243"/>
      <c r="AJ562" s="244" t="s">
        <v>198</v>
      </c>
      <c r="AK562" s="244" t="s">
        <v>185</v>
      </c>
      <c r="AL562" s="244" t="s">
        <v>185</v>
      </c>
      <c r="AM562" s="239" t="s">
        <v>3542</v>
      </c>
      <c r="AN562" s="20">
        <v>182</v>
      </c>
      <c r="AO562" s="20">
        <v>0</v>
      </c>
      <c r="AP562" s="20">
        <v>0</v>
      </c>
      <c r="AQ562" s="20">
        <v>0</v>
      </c>
      <c r="AR562" s="20">
        <v>0</v>
      </c>
      <c r="AS562" s="20">
        <v>7</v>
      </c>
      <c r="AT562" s="20">
        <v>10</v>
      </c>
      <c r="AU562" s="300">
        <f t="shared" si="89"/>
        <v>199</v>
      </c>
      <c r="AV562" s="20">
        <v>190</v>
      </c>
      <c r="AW562" s="20">
        <v>0</v>
      </c>
      <c r="AX562" s="20">
        <v>0</v>
      </c>
      <c r="AY562" s="20">
        <v>0</v>
      </c>
      <c r="AZ562" s="20">
        <v>0</v>
      </c>
      <c r="BA562" s="20">
        <v>7</v>
      </c>
      <c r="BB562" s="20">
        <v>10</v>
      </c>
      <c r="BC562" s="300">
        <f t="shared" si="90"/>
        <v>207</v>
      </c>
      <c r="BD562" s="42">
        <f t="shared" si="91"/>
        <v>8</v>
      </c>
      <c r="BE562" s="42">
        <f t="shared" si="92"/>
        <v>0</v>
      </c>
      <c r="BF562" s="42">
        <f t="shared" si="93"/>
        <v>0</v>
      </c>
      <c r="BG562" s="42">
        <f t="shared" si="94"/>
        <v>0</v>
      </c>
      <c r="BH562" s="42">
        <f t="shared" si="95"/>
        <v>0</v>
      </c>
      <c r="BI562" s="42">
        <f t="shared" si="96"/>
        <v>0</v>
      </c>
      <c r="BJ562" s="42">
        <f t="shared" si="97"/>
        <v>0</v>
      </c>
      <c r="BK562" s="42">
        <f t="shared" si="98"/>
        <v>8</v>
      </c>
    </row>
    <row r="563" spans="1:63" ht="27" customHeight="1">
      <c r="A563" s="222">
        <f t="shared" si="99"/>
        <v>561</v>
      </c>
      <c r="B563" s="223"/>
      <c r="C563" s="223">
        <v>3397</v>
      </c>
      <c r="D563" s="225" t="s">
        <v>3301</v>
      </c>
      <c r="E563" s="226" t="s">
        <v>3302</v>
      </c>
      <c r="F563" s="227" t="s">
        <v>825</v>
      </c>
      <c r="G563" s="228" t="s">
        <v>1119</v>
      </c>
      <c r="H563" s="247" t="s">
        <v>1799</v>
      </c>
      <c r="I563" s="248" t="s">
        <v>1121</v>
      </c>
      <c r="J563" s="231" t="s">
        <v>173</v>
      </c>
      <c r="K563" s="232">
        <v>30788</v>
      </c>
      <c r="L563" s="249" t="s">
        <v>174</v>
      </c>
      <c r="M563" s="234">
        <v>43755</v>
      </c>
      <c r="N563" s="234"/>
      <c r="O563" s="234" t="s">
        <v>3546</v>
      </c>
      <c r="P563" s="222" t="s">
        <v>260</v>
      </c>
      <c r="Q563" s="222" t="s">
        <v>176</v>
      </c>
      <c r="R563" s="236" t="s">
        <v>177</v>
      </c>
      <c r="S563" s="236" t="s">
        <v>2425</v>
      </c>
      <c r="T563" s="235"/>
      <c r="U563" s="235"/>
      <c r="V563" s="236" t="s">
        <v>185</v>
      </c>
      <c r="W563" s="236" t="s">
        <v>185</v>
      </c>
      <c r="X563" s="236">
        <v>2</v>
      </c>
      <c r="Y563" s="237" t="s">
        <v>3556</v>
      </c>
      <c r="Z563" s="238" t="s">
        <v>181</v>
      </c>
      <c r="AA563" s="238"/>
      <c r="AB563" s="236"/>
      <c r="AC563" s="239"/>
      <c r="AD563" s="240"/>
      <c r="AE563" s="240"/>
      <c r="AF563" s="241"/>
      <c r="AG563" s="242"/>
      <c r="AH563" s="243"/>
      <c r="AI563" s="243"/>
      <c r="AJ563" s="244" t="s">
        <v>198</v>
      </c>
      <c r="AK563" s="244" t="s">
        <v>185</v>
      </c>
      <c r="AL563" s="244" t="s">
        <v>185</v>
      </c>
      <c r="AM563" s="239" t="s">
        <v>2349</v>
      </c>
      <c r="AN563" s="20">
        <v>182</v>
      </c>
      <c r="AO563" s="20">
        <v>0</v>
      </c>
      <c r="AP563" s="20">
        <v>0</v>
      </c>
      <c r="AQ563" s="20">
        <v>0</v>
      </c>
      <c r="AR563" s="20">
        <v>0</v>
      </c>
      <c r="AS563" s="20">
        <v>7</v>
      </c>
      <c r="AT563" s="20">
        <v>10</v>
      </c>
      <c r="AU563" s="300">
        <f t="shared" si="89"/>
        <v>199</v>
      </c>
      <c r="AV563" s="20">
        <v>190</v>
      </c>
      <c r="AW563" s="20">
        <v>0</v>
      </c>
      <c r="AX563" s="20">
        <v>0</v>
      </c>
      <c r="AY563" s="20">
        <v>0</v>
      </c>
      <c r="AZ563" s="20">
        <v>0</v>
      </c>
      <c r="BA563" s="20">
        <v>7</v>
      </c>
      <c r="BB563" s="20">
        <v>10</v>
      </c>
      <c r="BC563" s="300">
        <f t="shared" si="90"/>
        <v>207</v>
      </c>
      <c r="BD563" s="42">
        <f t="shared" si="91"/>
        <v>8</v>
      </c>
      <c r="BE563" s="42">
        <f t="shared" si="92"/>
        <v>0</v>
      </c>
      <c r="BF563" s="42">
        <f t="shared" si="93"/>
        <v>0</v>
      </c>
      <c r="BG563" s="42">
        <f t="shared" si="94"/>
        <v>0</v>
      </c>
      <c r="BH563" s="42">
        <f t="shared" si="95"/>
        <v>0</v>
      </c>
      <c r="BI563" s="42">
        <f t="shared" si="96"/>
        <v>0</v>
      </c>
      <c r="BJ563" s="42">
        <f t="shared" si="97"/>
        <v>0</v>
      </c>
      <c r="BK563" s="42">
        <f t="shared" si="98"/>
        <v>8</v>
      </c>
    </row>
    <row r="564" spans="1:63" ht="27" customHeight="1">
      <c r="A564" s="222">
        <f t="shared" si="99"/>
        <v>562</v>
      </c>
      <c r="B564" s="223"/>
      <c r="C564" s="223">
        <v>3398</v>
      </c>
      <c r="D564" s="225" t="s">
        <v>3557</v>
      </c>
      <c r="E564" s="226" t="s">
        <v>3558</v>
      </c>
      <c r="F564" s="227" t="s">
        <v>1032</v>
      </c>
      <c r="G564" s="228" t="s">
        <v>3559</v>
      </c>
      <c r="H564" s="247" t="s">
        <v>1760</v>
      </c>
      <c r="I564" s="248" t="s">
        <v>3560</v>
      </c>
      <c r="J564" s="231" t="s">
        <v>173</v>
      </c>
      <c r="K564" s="232">
        <v>31788</v>
      </c>
      <c r="L564" s="249" t="s">
        <v>174</v>
      </c>
      <c r="M564" s="234">
        <v>43760</v>
      </c>
      <c r="N564" s="234"/>
      <c r="O564" s="234" t="s">
        <v>3540</v>
      </c>
      <c r="P564" s="222" t="s">
        <v>334</v>
      </c>
      <c r="Q564" s="222" t="s">
        <v>176</v>
      </c>
      <c r="R564" s="236" t="s">
        <v>177</v>
      </c>
      <c r="S564" s="236" t="s">
        <v>2593</v>
      </c>
      <c r="T564" s="235"/>
      <c r="U564" s="235"/>
      <c r="V564" s="236" t="s">
        <v>185</v>
      </c>
      <c r="W564" s="236" t="s">
        <v>185</v>
      </c>
      <c r="X564" s="236">
        <v>7</v>
      </c>
      <c r="Y564" s="237" t="s">
        <v>3561</v>
      </c>
      <c r="Z564" s="238"/>
      <c r="AA564" s="238" t="s">
        <v>181</v>
      </c>
      <c r="AB564" s="236"/>
      <c r="AC564" s="239"/>
      <c r="AD564" s="240" t="s">
        <v>183</v>
      </c>
      <c r="AE564" s="240" t="s">
        <v>183</v>
      </c>
      <c r="AF564" s="241"/>
      <c r="AG564" s="242"/>
      <c r="AH564" s="243"/>
      <c r="AI564" s="243"/>
      <c r="AJ564" s="244" t="s">
        <v>198</v>
      </c>
      <c r="AK564" s="244" t="s">
        <v>185</v>
      </c>
      <c r="AL564" s="244" t="s">
        <v>185</v>
      </c>
      <c r="AM564" s="239" t="s">
        <v>2349</v>
      </c>
      <c r="AN564" s="20">
        <v>182</v>
      </c>
      <c r="AO564" s="20">
        <v>0</v>
      </c>
      <c r="AP564" s="20">
        <v>0</v>
      </c>
      <c r="AQ564" s="20">
        <v>0</v>
      </c>
      <c r="AR564" s="20">
        <v>0</v>
      </c>
      <c r="AS564" s="20">
        <v>7</v>
      </c>
      <c r="AT564" s="20">
        <v>10</v>
      </c>
      <c r="AU564" s="300">
        <f t="shared" si="89"/>
        <v>199</v>
      </c>
      <c r="AV564" s="20">
        <v>190</v>
      </c>
      <c r="AW564" s="20">
        <v>0</v>
      </c>
      <c r="AX564" s="20">
        <v>0</v>
      </c>
      <c r="AY564" s="20">
        <v>0</v>
      </c>
      <c r="AZ564" s="20">
        <v>0</v>
      </c>
      <c r="BA564" s="20">
        <v>7</v>
      </c>
      <c r="BB564" s="20">
        <v>10</v>
      </c>
      <c r="BC564" s="300">
        <f t="shared" si="90"/>
        <v>207</v>
      </c>
      <c r="BD564" s="42">
        <f t="shared" si="91"/>
        <v>8</v>
      </c>
      <c r="BE564" s="42">
        <f t="shared" si="92"/>
        <v>0</v>
      </c>
      <c r="BF564" s="42">
        <f t="shared" si="93"/>
        <v>0</v>
      </c>
      <c r="BG564" s="42">
        <f t="shared" si="94"/>
        <v>0</v>
      </c>
      <c r="BH564" s="42">
        <f t="shared" si="95"/>
        <v>0</v>
      </c>
      <c r="BI564" s="42">
        <f t="shared" si="96"/>
        <v>0</v>
      </c>
      <c r="BJ564" s="42">
        <f t="shared" si="97"/>
        <v>0</v>
      </c>
      <c r="BK564" s="42">
        <f t="shared" si="98"/>
        <v>8</v>
      </c>
    </row>
    <row r="565" spans="1:63" ht="27" customHeight="1">
      <c r="A565" s="222">
        <f t="shared" si="99"/>
        <v>563</v>
      </c>
      <c r="B565" s="223"/>
      <c r="C565" s="223">
        <v>3359</v>
      </c>
      <c r="D565" s="225" t="s">
        <v>3562</v>
      </c>
      <c r="E565" s="226" t="s">
        <v>3563</v>
      </c>
      <c r="F565" s="227" t="s">
        <v>1512</v>
      </c>
      <c r="G565" s="228" t="s">
        <v>1419</v>
      </c>
      <c r="H565" s="247" t="s">
        <v>1538</v>
      </c>
      <c r="I565" s="248" t="s">
        <v>1421</v>
      </c>
      <c r="J565" s="231" t="s">
        <v>173</v>
      </c>
      <c r="K565" s="232">
        <v>34182</v>
      </c>
      <c r="L565" s="249" t="s">
        <v>174</v>
      </c>
      <c r="M565" s="234">
        <v>43755</v>
      </c>
      <c r="N565" s="234"/>
      <c r="O565" s="234" t="s">
        <v>3564</v>
      </c>
      <c r="P565" s="222" t="s">
        <v>381</v>
      </c>
      <c r="Q565" s="222" t="s">
        <v>176</v>
      </c>
      <c r="R565" s="236" t="s">
        <v>177</v>
      </c>
      <c r="S565" s="236" t="s">
        <v>2593</v>
      </c>
      <c r="T565" s="235"/>
      <c r="U565" s="235"/>
      <c r="V565" s="236" t="s">
        <v>185</v>
      </c>
      <c r="W565" s="236" t="s">
        <v>185</v>
      </c>
      <c r="X565" s="236">
        <v>8</v>
      </c>
      <c r="Y565" s="237" t="s">
        <v>3565</v>
      </c>
      <c r="Z565" s="238"/>
      <c r="AA565" s="238" t="s">
        <v>181</v>
      </c>
      <c r="AB565" s="236"/>
      <c r="AC565" s="239"/>
      <c r="AD565" s="240"/>
      <c r="AE565" s="240"/>
      <c r="AF565" s="241"/>
      <c r="AG565" s="242"/>
      <c r="AH565" s="243"/>
      <c r="AI565" s="243"/>
      <c r="AJ565" s="244" t="s">
        <v>198</v>
      </c>
      <c r="AK565" s="244" t="s">
        <v>185</v>
      </c>
      <c r="AL565" s="244" t="s">
        <v>185</v>
      </c>
      <c r="AM565" s="239" t="s">
        <v>3542</v>
      </c>
      <c r="AN565" s="20">
        <v>182</v>
      </c>
      <c r="AO565" s="20">
        <v>0</v>
      </c>
      <c r="AP565" s="20">
        <v>0</v>
      </c>
      <c r="AQ565" s="20">
        <v>0</v>
      </c>
      <c r="AR565" s="20">
        <v>0</v>
      </c>
      <c r="AS565" s="20">
        <v>7</v>
      </c>
      <c r="AT565" s="20">
        <v>10</v>
      </c>
      <c r="AU565" s="300">
        <f t="shared" si="89"/>
        <v>199</v>
      </c>
      <c r="AV565" s="20">
        <v>190</v>
      </c>
      <c r="AW565" s="20">
        <v>0</v>
      </c>
      <c r="AX565" s="20">
        <v>0</v>
      </c>
      <c r="AY565" s="20">
        <v>0</v>
      </c>
      <c r="AZ565" s="20">
        <v>0</v>
      </c>
      <c r="BA565" s="20">
        <v>7</v>
      </c>
      <c r="BB565" s="20">
        <v>10</v>
      </c>
      <c r="BC565" s="300">
        <f t="shared" si="90"/>
        <v>207</v>
      </c>
      <c r="BD565" s="42">
        <f t="shared" si="91"/>
        <v>8</v>
      </c>
      <c r="BE565" s="42">
        <f t="shared" si="92"/>
        <v>0</v>
      </c>
      <c r="BF565" s="42">
        <f t="shared" si="93"/>
        <v>0</v>
      </c>
      <c r="BG565" s="42">
        <f t="shared" si="94"/>
        <v>0</v>
      </c>
      <c r="BH565" s="42">
        <f t="shared" si="95"/>
        <v>0</v>
      </c>
      <c r="BI565" s="42">
        <f t="shared" si="96"/>
        <v>0</v>
      </c>
      <c r="BJ565" s="42">
        <f t="shared" si="97"/>
        <v>0</v>
      </c>
      <c r="BK565" s="42">
        <f t="shared" si="98"/>
        <v>8</v>
      </c>
    </row>
    <row r="566" spans="1:63" ht="27" customHeight="1">
      <c r="A566" s="222">
        <f t="shared" si="99"/>
        <v>564</v>
      </c>
      <c r="B566" s="223"/>
      <c r="C566" s="223">
        <v>3406</v>
      </c>
      <c r="D566" s="225" t="s">
        <v>3566</v>
      </c>
      <c r="E566" s="226" t="s">
        <v>3567</v>
      </c>
      <c r="F566" s="227" t="s">
        <v>256</v>
      </c>
      <c r="G566" s="228" t="s">
        <v>826</v>
      </c>
      <c r="H566" s="247" t="s">
        <v>16</v>
      </c>
      <c r="I566" s="248" t="s">
        <v>1914</v>
      </c>
      <c r="J566" s="231" t="s">
        <v>173</v>
      </c>
      <c r="K566" s="232">
        <v>30867</v>
      </c>
      <c r="L566" s="249" t="s">
        <v>174</v>
      </c>
      <c r="M566" s="234">
        <v>43760</v>
      </c>
      <c r="N566" s="234"/>
      <c r="O566" s="234" t="s">
        <v>3568</v>
      </c>
      <c r="P566" s="222" t="s">
        <v>1080</v>
      </c>
      <c r="Q566" s="222" t="s">
        <v>176</v>
      </c>
      <c r="R566" s="236" t="s">
        <v>177</v>
      </c>
      <c r="S566" s="236" t="s">
        <v>2354</v>
      </c>
      <c r="T566" s="235"/>
      <c r="U566" s="235"/>
      <c r="V566" s="236" t="s">
        <v>185</v>
      </c>
      <c r="W566" s="236" t="s">
        <v>185</v>
      </c>
      <c r="X566" s="236">
        <v>2</v>
      </c>
      <c r="Y566" s="237" t="s">
        <v>3569</v>
      </c>
      <c r="Z566" s="238" t="s">
        <v>181</v>
      </c>
      <c r="AA566" s="238"/>
      <c r="AB566" s="236"/>
      <c r="AC566" s="239"/>
      <c r="AD566" s="240"/>
      <c r="AE566" s="240"/>
      <c r="AF566" s="241"/>
      <c r="AG566" s="242"/>
      <c r="AH566" s="243"/>
      <c r="AI566" s="243"/>
      <c r="AJ566" s="244" t="s">
        <v>198</v>
      </c>
      <c r="AK566" s="244" t="s">
        <v>185</v>
      </c>
      <c r="AL566" s="244" t="s">
        <v>185</v>
      </c>
      <c r="AM566" s="239" t="s">
        <v>3570</v>
      </c>
      <c r="AN566" s="20">
        <v>182</v>
      </c>
      <c r="AO566" s="20">
        <v>0</v>
      </c>
      <c r="AP566" s="20">
        <v>0</v>
      </c>
      <c r="AQ566" s="20">
        <v>0</v>
      </c>
      <c r="AR566" s="20">
        <v>0</v>
      </c>
      <c r="AS566" s="20">
        <v>7</v>
      </c>
      <c r="AT566" s="20">
        <v>10</v>
      </c>
      <c r="AU566" s="300">
        <f t="shared" si="89"/>
        <v>199</v>
      </c>
      <c r="AV566" s="20">
        <v>190</v>
      </c>
      <c r="AW566" s="20">
        <v>0</v>
      </c>
      <c r="AX566" s="20">
        <v>0</v>
      </c>
      <c r="AY566" s="20">
        <v>0</v>
      </c>
      <c r="AZ566" s="20">
        <v>0</v>
      </c>
      <c r="BA566" s="20">
        <v>7</v>
      </c>
      <c r="BB566" s="20">
        <v>10</v>
      </c>
      <c r="BC566" s="300">
        <f t="shared" si="90"/>
        <v>207</v>
      </c>
      <c r="BD566" s="42">
        <f t="shared" si="91"/>
        <v>8</v>
      </c>
      <c r="BE566" s="42">
        <f t="shared" si="92"/>
        <v>0</v>
      </c>
      <c r="BF566" s="42">
        <f t="shared" si="93"/>
        <v>0</v>
      </c>
      <c r="BG566" s="42">
        <f t="shared" si="94"/>
        <v>0</v>
      </c>
      <c r="BH566" s="42">
        <f t="shared" si="95"/>
        <v>0</v>
      </c>
      <c r="BI566" s="42">
        <f t="shared" si="96"/>
        <v>0</v>
      </c>
      <c r="BJ566" s="42">
        <f t="shared" si="97"/>
        <v>0</v>
      </c>
      <c r="BK566" s="42">
        <f t="shared" si="98"/>
        <v>8</v>
      </c>
    </row>
    <row r="567" spans="1:63" ht="27" customHeight="1">
      <c r="A567" s="222">
        <f t="shared" si="99"/>
        <v>565</v>
      </c>
      <c r="B567" s="223"/>
      <c r="C567" s="223">
        <v>3394</v>
      </c>
      <c r="D567" s="225" t="s">
        <v>3571</v>
      </c>
      <c r="E567" s="226" t="s">
        <v>3572</v>
      </c>
      <c r="F567" s="227" t="s">
        <v>3573</v>
      </c>
      <c r="G567" s="228" t="s">
        <v>3574</v>
      </c>
      <c r="H567" s="247" t="s">
        <v>1989</v>
      </c>
      <c r="I567" s="248" t="s">
        <v>3575</v>
      </c>
      <c r="J567" s="231" t="s">
        <v>173</v>
      </c>
      <c r="K567" s="232">
        <v>27852</v>
      </c>
      <c r="L567" s="249" t="s">
        <v>174</v>
      </c>
      <c r="M567" s="234">
        <v>43760</v>
      </c>
      <c r="N567" s="234"/>
      <c r="O567" s="234" t="s">
        <v>3532</v>
      </c>
      <c r="P567" s="222" t="s">
        <v>507</v>
      </c>
      <c r="Q567" s="222" t="s">
        <v>176</v>
      </c>
      <c r="R567" s="236" t="s">
        <v>177</v>
      </c>
      <c r="S567" s="236" t="s">
        <v>2425</v>
      </c>
      <c r="T567" s="235"/>
      <c r="U567" s="235"/>
      <c r="V567" s="236" t="s">
        <v>185</v>
      </c>
      <c r="W567" s="236" t="s">
        <v>185</v>
      </c>
      <c r="X567" s="236"/>
      <c r="Y567" s="237" t="s">
        <v>3576</v>
      </c>
      <c r="Z567" s="238"/>
      <c r="AA567" s="238" t="s">
        <v>181</v>
      </c>
      <c r="AB567" s="236"/>
      <c r="AC567" s="239"/>
      <c r="AD567" s="240" t="s">
        <v>183</v>
      </c>
      <c r="AE567" s="240" t="s">
        <v>183</v>
      </c>
      <c r="AF567" s="241"/>
      <c r="AG567" s="242"/>
      <c r="AH567" s="243"/>
      <c r="AI567" s="243"/>
      <c r="AJ567" s="244" t="s">
        <v>198</v>
      </c>
      <c r="AK567" s="244" t="s">
        <v>185</v>
      </c>
      <c r="AL567" s="244" t="s">
        <v>185</v>
      </c>
      <c r="AM567" s="239" t="s">
        <v>2349</v>
      </c>
      <c r="AN567" s="20">
        <v>182</v>
      </c>
      <c r="AO567" s="20">
        <v>0</v>
      </c>
      <c r="AP567" s="20">
        <v>0</v>
      </c>
      <c r="AQ567" s="20">
        <v>0</v>
      </c>
      <c r="AR567" s="20">
        <v>0</v>
      </c>
      <c r="AS567" s="20">
        <v>7</v>
      </c>
      <c r="AT567" s="20">
        <v>10</v>
      </c>
      <c r="AU567" s="300">
        <f t="shared" si="89"/>
        <v>199</v>
      </c>
      <c r="AV567" s="20">
        <v>190</v>
      </c>
      <c r="AW567" s="20">
        <v>0</v>
      </c>
      <c r="AX567" s="20">
        <v>0</v>
      </c>
      <c r="AY567" s="20">
        <v>0</v>
      </c>
      <c r="AZ567" s="20">
        <v>0</v>
      </c>
      <c r="BA567" s="20">
        <v>7</v>
      </c>
      <c r="BB567" s="20">
        <v>10</v>
      </c>
      <c r="BC567" s="300">
        <f t="shared" si="90"/>
        <v>207</v>
      </c>
      <c r="BD567" s="42">
        <f t="shared" si="91"/>
        <v>8</v>
      </c>
      <c r="BE567" s="42">
        <f t="shared" si="92"/>
        <v>0</v>
      </c>
      <c r="BF567" s="42">
        <f t="shared" si="93"/>
        <v>0</v>
      </c>
      <c r="BG567" s="42">
        <f t="shared" si="94"/>
        <v>0</v>
      </c>
      <c r="BH567" s="42">
        <f t="shared" si="95"/>
        <v>0</v>
      </c>
      <c r="BI567" s="42">
        <f t="shared" si="96"/>
        <v>0</v>
      </c>
      <c r="BJ567" s="42">
        <f t="shared" si="97"/>
        <v>0</v>
      </c>
      <c r="BK567" s="42">
        <f t="shared" si="98"/>
        <v>8</v>
      </c>
    </row>
    <row r="568" spans="1:63" ht="27" customHeight="1">
      <c r="A568" s="222">
        <f t="shared" si="99"/>
        <v>566</v>
      </c>
      <c r="B568" s="223"/>
      <c r="C568" s="223">
        <v>3395</v>
      </c>
      <c r="D568" s="225" t="s">
        <v>3577</v>
      </c>
      <c r="E568" s="226" t="s">
        <v>3578</v>
      </c>
      <c r="F568" s="227" t="s">
        <v>452</v>
      </c>
      <c r="G568" s="228" t="s">
        <v>3292</v>
      </c>
      <c r="H568" s="247" t="s">
        <v>3210</v>
      </c>
      <c r="I568" s="248" t="s">
        <v>3579</v>
      </c>
      <c r="J568" s="231" t="s">
        <v>173</v>
      </c>
      <c r="K568" s="232">
        <v>33624</v>
      </c>
      <c r="L568" s="249" t="s">
        <v>174</v>
      </c>
      <c r="M568" s="234">
        <v>43760</v>
      </c>
      <c r="N568" s="234"/>
      <c r="O568" s="234" t="s">
        <v>3580</v>
      </c>
      <c r="P568" s="222" t="s">
        <v>343</v>
      </c>
      <c r="Q568" s="222" t="s">
        <v>176</v>
      </c>
      <c r="R568" s="236" t="s">
        <v>177</v>
      </c>
      <c r="S568" s="236" t="s">
        <v>2379</v>
      </c>
      <c r="T568" s="235"/>
      <c r="U568" s="235"/>
      <c r="V568" s="236" t="s">
        <v>185</v>
      </c>
      <c r="W568" s="236" t="s">
        <v>185</v>
      </c>
      <c r="X568" s="236">
        <v>6</v>
      </c>
      <c r="Y568" s="237" t="s">
        <v>3581</v>
      </c>
      <c r="Z568" s="238" t="s">
        <v>181</v>
      </c>
      <c r="AA568" s="238"/>
      <c r="AB568" s="236"/>
      <c r="AC568" s="239"/>
      <c r="AD568" s="240"/>
      <c r="AE568" s="240"/>
      <c r="AF568" s="241"/>
      <c r="AG568" s="242"/>
      <c r="AH568" s="243"/>
      <c r="AI568" s="243"/>
      <c r="AJ568" s="244" t="s">
        <v>198</v>
      </c>
      <c r="AK568" s="244" t="s">
        <v>185</v>
      </c>
      <c r="AL568" s="244" t="s">
        <v>185</v>
      </c>
      <c r="AM568" s="239" t="s">
        <v>3542</v>
      </c>
      <c r="AN568" s="20">
        <v>182</v>
      </c>
      <c r="AO568" s="20">
        <v>0</v>
      </c>
      <c r="AP568" s="20">
        <v>0</v>
      </c>
      <c r="AQ568" s="20">
        <v>0</v>
      </c>
      <c r="AR568" s="20">
        <v>0</v>
      </c>
      <c r="AS568" s="20">
        <v>7</v>
      </c>
      <c r="AT568" s="20">
        <v>10</v>
      </c>
      <c r="AU568" s="300">
        <f t="shared" si="89"/>
        <v>199</v>
      </c>
      <c r="AV568" s="20">
        <v>190</v>
      </c>
      <c r="AW568" s="20">
        <v>0</v>
      </c>
      <c r="AX568" s="20">
        <v>0</v>
      </c>
      <c r="AY568" s="20">
        <v>0</v>
      </c>
      <c r="AZ568" s="20">
        <v>0</v>
      </c>
      <c r="BA568" s="20">
        <v>7</v>
      </c>
      <c r="BB568" s="20">
        <v>10</v>
      </c>
      <c r="BC568" s="300">
        <f t="shared" si="90"/>
        <v>207</v>
      </c>
      <c r="BD568" s="42">
        <f t="shared" si="91"/>
        <v>8</v>
      </c>
      <c r="BE568" s="42">
        <f t="shared" si="92"/>
        <v>0</v>
      </c>
      <c r="BF568" s="42">
        <f t="shared" si="93"/>
        <v>0</v>
      </c>
      <c r="BG568" s="42">
        <f t="shared" si="94"/>
        <v>0</v>
      </c>
      <c r="BH568" s="42">
        <f t="shared" si="95"/>
        <v>0</v>
      </c>
      <c r="BI568" s="42">
        <f t="shared" si="96"/>
        <v>0</v>
      </c>
      <c r="BJ568" s="42">
        <f t="shared" si="97"/>
        <v>0</v>
      </c>
      <c r="BK568" s="42">
        <f t="shared" si="98"/>
        <v>8</v>
      </c>
    </row>
    <row r="569" spans="1:63" ht="27" customHeight="1">
      <c r="A569" s="222">
        <f t="shared" si="99"/>
        <v>567</v>
      </c>
      <c r="B569" s="223"/>
      <c r="C569" s="223">
        <v>3391</v>
      </c>
      <c r="D569" s="225" t="s">
        <v>3582</v>
      </c>
      <c r="E569" s="226" t="s">
        <v>3583</v>
      </c>
      <c r="F569" s="227" t="s">
        <v>452</v>
      </c>
      <c r="G569" s="228" t="s">
        <v>3584</v>
      </c>
      <c r="H569" s="247" t="s">
        <v>3210</v>
      </c>
      <c r="I569" s="248" t="s">
        <v>3585</v>
      </c>
      <c r="J569" s="231" t="s">
        <v>173</v>
      </c>
      <c r="K569" s="232">
        <v>31749</v>
      </c>
      <c r="L569" s="249" t="s">
        <v>174</v>
      </c>
      <c r="M569" s="234">
        <v>43760</v>
      </c>
      <c r="N569" s="234"/>
      <c r="O569" s="234" t="s">
        <v>3580</v>
      </c>
      <c r="P569" s="222" t="s">
        <v>343</v>
      </c>
      <c r="Q569" s="222" t="s">
        <v>176</v>
      </c>
      <c r="R569" s="236" t="s">
        <v>177</v>
      </c>
      <c r="S569" s="236" t="s">
        <v>2379</v>
      </c>
      <c r="T569" s="235"/>
      <c r="U569" s="235"/>
      <c r="V569" s="236" t="s">
        <v>185</v>
      </c>
      <c r="W569" s="236" t="s">
        <v>185</v>
      </c>
      <c r="X569" s="236">
        <v>5</v>
      </c>
      <c r="Y569" s="237" t="s">
        <v>3586</v>
      </c>
      <c r="Z569" s="238" t="s">
        <v>181</v>
      </c>
      <c r="AA569" s="238"/>
      <c r="AB569" s="236"/>
      <c r="AC569" s="239"/>
      <c r="AD569" s="240"/>
      <c r="AE569" s="240"/>
      <c r="AF569" s="241"/>
      <c r="AG569" s="242"/>
      <c r="AH569" s="243"/>
      <c r="AI569" s="243"/>
      <c r="AJ569" s="244" t="s">
        <v>198</v>
      </c>
      <c r="AK569" s="244" t="s">
        <v>185</v>
      </c>
      <c r="AL569" s="244" t="s">
        <v>185</v>
      </c>
      <c r="AM569" s="239" t="s">
        <v>2349</v>
      </c>
      <c r="AN569" s="20">
        <v>182</v>
      </c>
      <c r="AO569" s="20">
        <v>0</v>
      </c>
      <c r="AP569" s="20">
        <v>0</v>
      </c>
      <c r="AQ569" s="20">
        <v>0</v>
      </c>
      <c r="AR569" s="20">
        <v>0</v>
      </c>
      <c r="AS569" s="20">
        <v>7</v>
      </c>
      <c r="AT569" s="20">
        <v>10</v>
      </c>
      <c r="AU569" s="300">
        <f t="shared" si="89"/>
        <v>199</v>
      </c>
      <c r="AV569" s="20">
        <v>190</v>
      </c>
      <c r="AW569" s="20">
        <v>0</v>
      </c>
      <c r="AX569" s="20">
        <v>0</v>
      </c>
      <c r="AY569" s="20">
        <v>0</v>
      </c>
      <c r="AZ569" s="20">
        <v>0</v>
      </c>
      <c r="BA569" s="20">
        <v>7</v>
      </c>
      <c r="BB569" s="20">
        <v>10</v>
      </c>
      <c r="BC569" s="300">
        <f t="shared" si="90"/>
        <v>207</v>
      </c>
      <c r="BD569" s="42">
        <f t="shared" si="91"/>
        <v>8</v>
      </c>
      <c r="BE569" s="42">
        <f t="shared" si="92"/>
        <v>0</v>
      </c>
      <c r="BF569" s="42">
        <f t="shared" si="93"/>
        <v>0</v>
      </c>
      <c r="BG569" s="42">
        <f t="shared" si="94"/>
        <v>0</v>
      </c>
      <c r="BH569" s="42">
        <f t="shared" si="95"/>
        <v>0</v>
      </c>
      <c r="BI569" s="42">
        <f t="shared" si="96"/>
        <v>0</v>
      </c>
      <c r="BJ569" s="42">
        <f t="shared" si="97"/>
        <v>0</v>
      </c>
      <c r="BK569" s="42">
        <f t="shared" si="98"/>
        <v>8</v>
      </c>
    </row>
    <row r="570" spans="1:63" ht="27" customHeight="1">
      <c r="A570" s="222">
        <f t="shared" si="99"/>
        <v>568</v>
      </c>
      <c r="B570" s="223"/>
      <c r="C570" s="223">
        <v>3401</v>
      </c>
      <c r="D570" s="225" t="s">
        <v>3587</v>
      </c>
      <c r="E570" s="226" t="s">
        <v>3588</v>
      </c>
      <c r="F570" s="227" t="s">
        <v>445</v>
      </c>
      <c r="G570" s="228" t="s">
        <v>3589</v>
      </c>
      <c r="H570" s="247" t="s">
        <v>447</v>
      </c>
      <c r="I570" s="248" t="s">
        <v>3590</v>
      </c>
      <c r="J570" s="231" t="s">
        <v>173</v>
      </c>
      <c r="K570" s="232">
        <v>27853</v>
      </c>
      <c r="L570" s="249" t="s">
        <v>174</v>
      </c>
      <c r="M570" s="234">
        <v>43760</v>
      </c>
      <c r="N570" s="234"/>
      <c r="O570" s="234" t="s">
        <v>3540</v>
      </c>
      <c r="P570" s="222" t="s">
        <v>334</v>
      </c>
      <c r="Q570" s="222" t="s">
        <v>176</v>
      </c>
      <c r="R570" s="236" t="s">
        <v>177</v>
      </c>
      <c r="S570" s="236" t="s">
        <v>2487</v>
      </c>
      <c r="T570" s="235"/>
      <c r="U570" s="235"/>
      <c r="V570" s="236" t="s">
        <v>185</v>
      </c>
      <c r="W570" s="236" t="s">
        <v>185</v>
      </c>
      <c r="X570" s="236">
        <v>6</v>
      </c>
      <c r="Y570" s="237" t="s">
        <v>3591</v>
      </c>
      <c r="Z570" s="238"/>
      <c r="AA570" s="238" t="s">
        <v>181</v>
      </c>
      <c r="AB570" s="236"/>
      <c r="AC570" s="239"/>
      <c r="AD570" s="240"/>
      <c r="AE570" s="240"/>
      <c r="AF570" s="241"/>
      <c r="AG570" s="242"/>
      <c r="AH570" s="243"/>
      <c r="AI570" s="243"/>
      <c r="AJ570" s="244" t="s">
        <v>198</v>
      </c>
      <c r="AK570" s="244" t="s">
        <v>185</v>
      </c>
      <c r="AL570" s="244" t="s">
        <v>185</v>
      </c>
      <c r="AM570" s="239" t="s">
        <v>3542</v>
      </c>
      <c r="AN570" s="20">
        <v>182</v>
      </c>
      <c r="AO570" s="20">
        <v>0</v>
      </c>
      <c r="AP570" s="20">
        <v>0</v>
      </c>
      <c r="AQ570" s="20">
        <v>0</v>
      </c>
      <c r="AR570" s="20">
        <v>0</v>
      </c>
      <c r="AS570" s="20">
        <v>7</v>
      </c>
      <c r="AT570" s="20">
        <v>10</v>
      </c>
      <c r="AU570" s="300">
        <f t="shared" si="89"/>
        <v>199</v>
      </c>
      <c r="AV570" s="20">
        <v>190</v>
      </c>
      <c r="AW570" s="20">
        <v>0</v>
      </c>
      <c r="AX570" s="20">
        <v>0</v>
      </c>
      <c r="AY570" s="20">
        <v>0</v>
      </c>
      <c r="AZ570" s="20">
        <v>0</v>
      </c>
      <c r="BA570" s="20">
        <v>7</v>
      </c>
      <c r="BB570" s="20">
        <v>10</v>
      </c>
      <c r="BC570" s="300">
        <f t="shared" si="90"/>
        <v>207</v>
      </c>
      <c r="BD570" s="42">
        <f t="shared" si="91"/>
        <v>8</v>
      </c>
      <c r="BE570" s="42">
        <f t="shared" si="92"/>
        <v>0</v>
      </c>
      <c r="BF570" s="42">
        <f t="shared" si="93"/>
        <v>0</v>
      </c>
      <c r="BG570" s="42">
        <f t="shared" si="94"/>
        <v>0</v>
      </c>
      <c r="BH570" s="42">
        <f t="shared" si="95"/>
        <v>0</v>
      </c>
      <c r="BI570" s="42">
        <f t="shared" si="96"/>
        <v>0</v>
      </c>
      <c r="BJ570" s="42">
        <f t="shared" si="97"/>
        <v>0</v>
      </c>
      <c r="BK570" s="42">
        <f t="shared" si="98"/>
        <v>8</v>
      </c>
    </row>
    <row r="571" spans="1:63" ht="27" customHeight="1">
      <c r="A571" s="222">
        <f t="shared" si="99"/>
        <v>569</v>
      </c>
      <c r="B571" s="223"/>
      <c r="C571" s="223">
        <v>3105</v>
      </c>
      <c r="D571" s="225">
        <v>0</v>
      </c>
      <c r="E571" s="226" t="s">
        <v>3592</v>
      </c>
      <c r="F571" s="227" t="s">
        <v>832</v>
      </c>
      <c r="G571" s="228" t="s">
        <v>3593</v>
      </c>
      <c r="H571" s="247" t="s">
        <v>3594</v>
      </c>
      <c r="I571" s="248" t="s">
        <v>3595</v>
      </c>
      <c r="J571" s="231" t="s">
        <v>173</v>
      </c>
      <c r="K571" s="232">
        <v>29983</v>
      </c>
      <c r="L571" s="249" t="s">
        <v>174</v>
      </c>
      <c r="M571" s="234">
        <v>43739</v>
      </c>
      <c r="N571" s="234"/>
      <c r="O571" s="234" t="s">
        <v>3580</v>
      </c>
      <c r="P571" s="222" t="s">
        <v>343</v>
      </c>
      <c r="Q571" s="222" t="s">
        <v>176</v>
      </c>
      <c r="R571" s="236" t="s">
        <v>177</v>
      </c>
      <c r="S571" s="236" t="s">
        <v>3596</v>
      </c>
      <c r="T571" s="235"/>
      <c r="U571" s="235"/>
      <c r="V571" s="236" t="s">
        <v>198</v>
      </c>
      <c r="W571" s="236" t="s">
        <v>185</v>
      </c>
      <c r="X571" s="236">
        <v>3</v>
      </c>
      <c r="Y571" s="237" t="s">
        <v>3597</v>
      </c>
      <c r="Z571" s="238"/>
      <c r="AA571" s="238" t="s">
        <v>181</v>
      </c>
      <c r="AB571" s="236"/>
      <c r="AC571" s="239"/>
      <c r="AD571" s="240"/>
      <c r="AE571" s="240"/>
      <c r="AF571" s="241"/>
      <c r="AG571" s="242"/>
      <c r="AH571" s="243"/>
      <c r="AI571" s="243"/>
      <c r="AJ571" s="244" t="s">
        <v>198</v>
      </c>
      <c r="AK571" s="244" t="s">
        <v>185</v>
      </c>
      <c r="AL571" s="244" t="s">
        <v>185</v>
      </c>
      <c r="AM571" s="239" t="s">
        <v>2494</v>
      </c>
      <c r="AN571" s="20">
        <v>182</v>
      </c>
      <c r="AO571" s="20">
        <v>0</v>
      </c>
      <c r="AP571" s="20">
        <v>0</v>
      </c>
      <c r="AQ571" s="20">
        <v>0</v>
      </c>
      <c r="AR571" s="20">
        <v>0</v>
      </c>
      <c r="AS571" s="20">
        <v>7</v>
      </c>
      <c r="AT571" s="20">
        <v>10</v>
      </c>
      <c r="AU571" s="300">
        <f t="shared" si="89"/>
        <v>199</v>
      </c>
      <c r="AV571" s="20">
        <v>190</v>
      </c>
      <c r="AW571" s="20">
        <v>0</v>
      </c>
      <c r="AX571" s="20">
        <v>0</v>
      </c>
      <c r="AY571" s="20">
        <v>0</v>
      </c>
      <c r="AZ571" s="20">
        <v>0</v>
      </c>
      <c r="BA571" s="20">
        <v>7</v>
      </c>
      <c r="BB571" s="20">
        <v>10</v>
      </c>
      <c r="BC571" s="300">
        <f t="shared" si="90"/>
        <v>207</v>
      </c>
      <c r="BD571" s="42">
        <f t="shared" si="91"/>
        <v>8</v>
      </c>
      <c r="BE571" s="42">
        <f t="shared" si="92"/>
        <v>0</v>
      </c>
      <c r="BF571" s="42">
        <f t="shared" si="93"/>
        <v>0</v>
      </c>
      <c r="BG571" s="42">
        <f t="shared" si="94"/>
        <v>0</v>
      </c>
      <c r="BH571" s="42">
        <f t="shared" si="95"/>
        <v>0</v>
      </c>
      <c r="BI571" s="42">
        <f t="shared" si="96"/>
        <v>0</v>
      </c>
      <c r="BJ571" s="42">
        <f t="shared" si="97"/>
        <v>0</v>
      </c>
      <c r="BK571" s="42">
        <f t="shared" si="98"/>
        <v>8</v>
      </c>
    </row>
    <row r="572" spans="1:63" ht="27" customHeight="1">
      <c r="A572" s="222">
        <f t="shared" si="99"/>
        <v>570</v>
      </c>
      <c r="B572" s="223"/>
      <c r="C572" s="223">
        <v>3389</v>
      </c>
      <c r="D572" s="225" t="s">
        <v>3598</v>
      </c>
      <c r="E572" s="226" t="s">
        <v>3599</v>
      </c>
      <c r="F572" s="227" t="s">
        <v>3142</v>
      </c>
      <c r="G572" s="228" t="s">
        <v>1446</v>
      </c>
      <c r="H572" s="247" t="s">
        <v>3600</v>
      </c>
      <c r="I572" s="248" t="s">
        <v>1448</v>
      </c>
      <c r="J572" s="231" t="s">
        <v>173</v>
      </c>
      <c r="K572" s="232">
        <v>31521</v>
      </c>
      <c r="L572" s="249" t="s">
        <v>174</v>
      </c>
      <c r="M572" s="234">
        <v>43760</v>
      </c>
      <c r="N572" s="234"/>
      <c r="O572" s="234" t="s">
        <v>3546</v>
      </c>
      <c r="P572" s="222" t="s">
        <v>260</v>
      </c>
      <c r="Q572" s="222" t="s">
        <v>176</v>
      </c>
      <c r="R572" s="236" t="s">
        <v>177</v>
      </c>
      <c r="S572" s="236" t="s">
        <v>2379</v>
      </c>
      <c r="T572" s="235"/>
      <c r="U572" s="235"/>
      <c r="V572" s="236" t="s">
        <v>185</v>
      </c>
      <c r="W572" s="236" t="s">
        <v>185</v>
      </c>
      <c r="X572" s="236">
        <v>5</v>
      </c>
      <c r="Y572" s="237" t="s">
        <v>3601</v>
      </c>
      <c r="Z572" s="238"/>
      <c r="AA572" s="238" t="s">
        <v>181</v>
      </c>
      <c r="AB572" s="236"/>
      <c r="AC572" s="239" t="s">
        <v>197</v>
      </c>
      <c r="AD572" s="240" t="s">
        <v>183</v>
      </c>
      <c r="AE572" s="240" t="s">
        <v>3602</v>
      </c>
      <c r="AF572" s="241"/>
      <c r="AG572" s="242"/>
      <c r="AH572" s="243"/>
      <c r="AI572" s="243"/>
      <c r="AJ572" s="244" t="s">
        <v>198</v>
      </c>
      <c r="AK572" s="244" t="s">
        <v>185</v>
      </c>
      <c r="AL572" s="244" t="s">
        <v>185</v>
      </c>
      <c r="AM572" s="239" t="s">
        <v>3542</v>
      </c>
      <c r="AN572" s="20">
        <v>182</v>
      </c>
      <c r="AO572" s="20">
        <v>0</v>
      </c>
      <c r="AP572" s="20">
        <v>0</v>
      </c>
      <c r="AQ572" s="20">
        <v>0</v>
      </c>
      <c r="AR572" s="20">
        <v>0</v>
      </c>
      <c r="AS572" s="20">
        <v>7</v>
      </c>
      <c r="AT572" s="20">
        <v>10</v>
      </c>
      <c r="AU572" s="300">
        <f t="shared" si="89"/>
        <v>199</v>
      </c>
      <c r="AV572" s="20">
        <v>190</v>
      </c>
      <c r="AW572" s="20">
        <v>0</v>
      </c>
      <c r="AX572" s="20">
        <v>0</v>
      </c>
      <c r="AY572" s="20">
        <v>0</v>
      </c>
      <c r="AZ572" s="20">
        <v>0</v>
      </c>
      <c r="BA572" s="20">
        <v>7</v>
      </c>
      <c r="BB572" s="20">
        <v>10</v>
      </c>
      <c r="BC572" s="300">
        <f t="shared" si="90"/>
        <v>207</v>
      </c>
      <c r="BD572" s="42">
        <f t="shared" si="91"/>
        <v>8</v>
      </c>
      <c r="BE572" s="42">
        <f t="shared" si="92"/>
        <v>0</v>
      </c>
      <c r="BF572" s="42">
        <f t="shared" si="93"/>
        <v>0</v>
      </c>
      <c r="BG572" s="42">
        <f t="shared" si="94"/>
        <v>0</v>
      </c>
      <c r="BH572" s="42">
        <f t="shared" si="95"/>
        <v>0</v>
      </c>
      <c r="BI572" s="42">
        <f t="shared" si="96"/>
        <v>0</v>
      </c>
      <c r="BJ572" s="42">
        <f t="shared" si="97"/>
        <v>0</v>
      </c>
      <c r="BK572" s="42">
        <f t="shared" si="98"/>
        <v>8</v>
      </c>
    </row>
    <row r="573" spans="1:63" ht="27" customHeight="1">
      <c r="A573" s="222">
        <f t="shared" si="99"/>
        <v>571</v>
      </c>
      <c r="B573" s="223"/>
      <c r="C573" s="223">
        <v>3411</v>
      </c>
      <c r="D573" s="225" t="s">
        <v>3603</v>
      </c>
      <c r="E573" s="226" t="s">
        <v>3604</v>
      </c>
      <c r="F573" s="227" t="s">
        <v>958</v>
      </c>
      <c r="G573" s="228" t="s">
        <v>3605</v>
      </c>
      <c r="H573" s="247" t="s">
        <v>959</v>
      </c>
      <c r="I573" s="248" t="s">
        <v>3606</v>
      </c>
      <c r="J573" s="231" t="s">
        <v>173</v>
      </c>
      <c r="K573" s="232">
        <v>32048</v>
      </c>
      <c r="L573" s="249" t="s">
        <v>174</v>
      </c>
      <c r="M573" s="234">
        <v>43763</v>
      </c>
      <c r="N573" s="234"/>
      <c r="O573" s="234" t="s">
        <v>3546</v>
      </c>
      <c r="P573" s="222" t="s">
        <v>260</v>
      </c>
      <c r="Q573" s="222" t="s">
        <v>176</v>
      </c>
      <c r="R573" s="236" t="s">
        <v>177</v>
      </c>
      <c r="S573" s="236" t="s">
        <v>2379</v>
      </c>
      <c r="T573" s="235"/>
      <c r="U573" s="235"/>
      <c r="V573" s="236" t="s">
        <v>185</v>
      </c>
      <c r="W573" s="236" t="s">
        <v>185</v>
      </c>
      <c r="X573" s="236">
        <v>9</v>
      </c>
      <c r="Y573" s="237" t="s">
        <v>3607</v>
      </c>
      <c r="Z573" s="238"/>
      <c r="AA573" s="238"/>
      <c r="AB573" s="238" t="s">
        <v>181</v>
      </c>
      <c r="AC573" s="239"/>
      <c r="AD573" s="240"/>
      <c r="AE573" s="240"/>
      <c r="AF573" s="241"/>
      <c r="AG573" s="242"/>
      <c r="AH573" s="243"/>
      <c r="AI573" s="243"/>
      <c r="AJ573" s="244" t="s">
        <v>198</v>
      </c>
      <c r="AK573" s="244" t="s">
        <v>185</v>
      </c>
      <c r="AL573" s="244" t="s">
        <v>185</v>
      </c>
      <c r="AM573" s="239" t="s">
        <v>3608</v>
      </c>
      <c r="AN573" s="20">
        <v>182</v>
      </c>
      <c r="AO573" s="20">
        <v>0</v>
      </c>
      <c r="AP573" s="20">
        <v>0</v>
      </c>
      <c r="AQ573" s="20">
        <v>0</v>
      </c>
      <c r="AR573" s="20">
        <v>0</v>
      </c>
      <c r="AS573" s="20">
        <v>7</v>
      </c>
      <c r="AT573" s="20">
        <v>10</v>
      </c>
      <c r="AU573" s="300">
        <f t="shared" si="89"/>
        <v>199</v>
      </c>
      <c r="AV573" s="20">
        <v>190</v>
      </c>
      <c r="AW573" s="20">
        <v>0</v>
      </c>
      <c r="AX573" s="20">
        <v>0</v>
      </c>
      <c r="AY573" s="20">
        <v>0</v>
      </c>
      <c r="AZ573" s="20">
        <v>0</v>
      </c>
      <c r="BA573" s="20">
        <v>7</v>
      </c>
      <c r="BB573" s="20">
        <v>10</v>
      </c>
      <c r="BC573" s="300">
        <f t="shared" si="90"/>
        <v>207</v>
      </c>
      <c r="BD573" s="42">
        <f t="shared" si="91"/>
        <v>8</v>
      </c>
      <c r="BE573" s="42">
        <f t="shared" si="92"/>
        <v>0</v>
      </c>
      <c r="BF573" s="42">
        <f t="shared" si="93"/>
        <v>0</v>
      </c>
      <c r="BG573" s="42">
        <f t="shared" si="94"/>
        <v>0</v>
      </c>
      <c r="BH573" s="42">
        <f t="shared" si="95"/>
        <v>0</v>
      </c>
      <c r="BI573" s="42">
        <f t="shared" si="96"/>
        <v>0</v>
      </c>
      <c r="BJ573" s="42">
        <f t="shared" si="97"/>
        <v>0</v>
      </c>
      <c r="BK573" s="42">
        <f t="shared" si="98"/>
        <v>8</v>
      </c>
    </row>
    <row r="574" spans="1:63" ht="27" customHeight="1">
      <c r="A574" s="222">
        <f t="shared" si="99"/>
        <v>572</v>
      </c>
      <c r="B574" s="223"/>
      <c r="C574" s="223">
        <v>3352</v>
      </c>
      <c r="D574" s="225" t="s">
        <v>3609</v>
      </c>
      <c r="E574" s="226" t="s">
        <v>3610</v>
      </c>
      <c r="F574" s="227" t="s">
        <v>213</v>
      </c>
      <c r="G574" s="228" t="s">
        <v>685</v>
      </c>
      <c r="H574" s="247" t="s">
        <v>1984</v>
      </c>
      <c r="I574" s="248" t="s">
        <v>687</v>
      </c>
      <c r="J574" s="231" t="s">
        <v>173</v>
      </c>
      <c r="K574" s="232">
        <v>33119</v>
      </c>
      <c r="L574" s="249" t="s">
        <v>174</v>
      </c>
      <c r="M574" s="234">
        <v>43755</v>
      </c>
      <c r="N574" s="234"/>
      <c r="O574" s="234" t="s">
        <v>3554</v>
      </c>
      <c r="P574" s="222" t="s">
        <v>296</v>
      </c>
      <c r="Q574" s="222" t="s">
        <v>176</v>
      </c>
      <c r="R574" s="236" t="s">
        <v>177</v>
      </c>
      <c r="S574" s="236" t="s">
        <v>2379</v>
      </c>
      <c r="T574" s="235"/>
      <c r="U574" s="235"/>
      <c r="V574" s="236" t="s">
        <v>185</v>
      </c>
      <c r="W574" s="236" t="s">
        <v>185</v>
      </c>
      <c r="X574" s="236">
        <v>5</v>
      </c>
      <c r="Y574" s="237" t="s">
        <v>3611</v>
      </c>
      <c r="Z574" s="238" t="s">
        <v>181</v>
      </c>
      <c r="AA574" s="238"/>
      <c r="AB574" s="236"/>
      <c r="AC574" s="239"/>
      <c r="AD574" s="240"/>
      <c r="AE574" s="240"/>
      <c r="AF574" s="241"/>
      <c r="AG574" s="242"/>
      <c r="AH574" s="243"/>
      <c r="AI574" s="243"/>
      <c r="AJ574" s="244" t="s">
        <v>198</v>
      </c>
      <c r="AK574" s="244" t="s">
        <v>185</v>
      </c>
      <c r="AL574" s="244" t="s">
        <v>185</v>
      </c>
      <c r="AM574" s="239" t="s">
        <v>3570</v>
      </c>
      <c r="AN574" s="20">
        <v>182</v>
      </c>
      <c r="AO574" s="20">
        <v>0</v>
      </c>
      <c r="AP574" s="20">
        <v>0</v>
      </c>
      <c r="AQ574" s="20">
        <v>0</v>
      </c>
      <c r="AR574" s="20">
        <v>0</v>
      </c>
      <c r="AS574" s="20">
        <v>7</v>
      </c>
      <c r="AT574" s="20">
        <v>10</v>
      </c>
      <c r="AU574" s="300">
        <f t="shared" si="89"/>
        <v>199</v>
      </c>
      <c r="AV574" s="20">
        <v>190</v>
      </c>
      <c r="AW574" s="20">
        <v>0</v>
      </c>
      <c r="AX574" s="20">
        <v>0</v>
      </c>
      <c r="AY574" s="20">
        <v>0</v>
      </c>
      <c r="AZ574" s="20">
        <v>0</v>
      </c>
      <c r="BA574" s="20">
        <v>7</v>
      </c>
      <c r="BB574" s="20">
        <v>10</v>
      </c>
      <c r="BC574" s="300">
        <f t="shared" si="90"/>
        <v>207</v>
      </c>
      <c r="BD574" s="42">
        <f t="shared" si="91"/>
        <v>8</v>
      </c>
      <c r="BE574" s="42">
        <f t="shared" si="92"/>
        <v>0</v>
      </c>
      <c r="BF574" s="42">
        <f t="shared" si="93"/>
        <v>0</v>
      </c>
      <c r="BG574" s="42">
        <f t="shared" si="94"/>
        <v>0</v>
      </c>
      <c r="BH574" s="42">
        <f t="shared" si="95"/>
        <v>0</v>
      </c>
      <c r="BI574" s="42">
        <f t="shared" si="96"/>
        <v>0</v>
      </c>
      <c r="BJ574" s="42">
        <f t="shared" si="97"/>
        <v>0</v>
      </c>
      <c r="BK574" s="42">
        <f t="shared" si="98"/>
        <v>8</v>
      </c>
    </row>
    <row r="575" spans="1:63" ht="27" customHeight="1">
      <c r="A575" s="222">
        <f t="shared" si="99"/>
        <v>573</v>
      </c>
      <c r="B575" s="223"/>
      <c r="C575" s="223">
        <v>3413</v>
      </c>
      <c r="D575" s="225">
        <v>0</v>
      </c>
      <c r="E575" s="226" t="s">
        <v>3612</v>
      </c>
      <c r="F575" s="227" t="s">
        <v>1085</v>
      </c>
      <c r="G575" s="228" t="s">
        <v>3613</v>
      </c>
      <c r="H575" s="247" t="s">
        <v>295</v>
      </c>
      <c r="I575" s="248" t="s">
        <v>3614</v>
      </c>
      <c r="J575" s="231" t="s">
        <v>173</v>
      </c>
      <c r="K575" s="232">
        <v>34355</v>
      </c>
      <c r="L575" s="249" t="s">
        <v>174</v>
      </c>
      <c r="M575" s="234">
        <v>43762</v>
      </c>
      <c r="N575" s="234"/>
      <c r="O575" s="234" t="s">
        <v>3546</v>
      </c>
      <c r="P575" s="222" t="s">
        <v>260</v>
      </c>
      <c r="Q575" s="222" t="s">
        <v>176</v>
      </c>
      <c r="R575" s="236" t="s">
        <v>177</v>
      </c>
      <c r="S575" s="236" t="s">
        <v>2392</v>
      </c>
      <c r="T575" s="235"/>
      <c r="U575" s="235"/>
      <c r="V575" s="236" t="s">
        <v>185</v>
      </c>
      <c r="W575" s="236" t="s">
        <v>185</v>
      </c>
      <c r="X575" s="236">
        <v>6</v>
      </c>
      <c r="Y575" s="237" t="s">
        <v>3615</v>
      </c>
      <c r="Z575" s="238"/>
      <c r="AA575" s="238" t="s">
        <v>181</v>
      </c>
      <c r="AB575" s="236"/>
      <c r="AC575" s="239" t="s">
        <v>3616</v>
      </c>
      <c r="AD575" s="240" t="s">
        <v>183</v>
      </c>
      <c r="AE575" s="240"/>
      <c r="AF575" s="241"/>
      <c r="AG575" s="242"/>
      <c r="AH575" s="243"/>
      <c r="AI575" s="243"/>
      <c r="AJ575" s="244" t="s">
        <v>198</v>
      </c>
      <c r="AK575" s="244" t="s">
        <v>185</v>
      </c>
      <c r="AL575" s="244" t="s">
        <v>185</v>
      </c>
      <c r="AM575" s="239" t="s">
        <v>3542</v>
      </c>
      <c r="AN575" s="20">
        <v>182</v>
      </c>
      <c r="AO575" s="20">
        <v>0</v>
      </c>
      <c r="AP575" s="20">
        <v>0</v>
      </c>
      <c r="AQ575" s="20">
        <v>0</v>
      </c>
      <c r="AR575" s="20">
        <v>0</v>
      </c>
      <c r="AS575" s="20">
        <v>7</v>
      </c>
      <c r="AT575" s="20">
        <v>10</v>
      </c>
      <c r="AU575" s="300">
        <f t="shared" si="89"/>
        <v>199</v>
      </c>
      <c r="AV575" s="20">
        <v>190</v>
      </c>
      <c r="AW575" s="20">
        <v>0</v>
      </c>
      <c r="AX575" s="20">
        <v>0</v>
      </c>
      <c r="AY575" s="20">
        <v>0</v>
      </c>
      <c r="AZ575" s="20">
        <v>0</v>
      </c>
      <c r="BA575" s="20">
        <v>7</v>
      </c>
      <c r="BB575" s="20">
        <v>10</v>
      </c>
      <c r="BC575" s="300">
        <f t="shared" si="90"/>
        <v>207</v>
      </c>
      <c r="BD575" s="42">
        <f t="shared" si="91"/>
        <v>8</v>
      </c>
      <c r="BE575" s="42">
        <f t="shared" si="92"/>
        <v>0</v>
      </c>
      <c r="BF575" s="42">
        <f t="shared" si="93"/>
        <v>0</v>
      </c>
      <c r="BG575" s="42">
        <f t="shared" si="94"/>
        <v>0</v>
      </c>
      <c r="BH575" s="42">
        <f t="shared" si="95"/>
        <v>0</v>
      </c>
      <c r="BI575" s="42">
        <f t="shared" si="96"/>
        <v>0</v>
      </c>
      <c r="BJ575" s="42">
        <f t="shared" si="97"/>
        <v>0</v>
      </c>
      <c r="BK575" s="42">
        <f t="shared" si="98"/>
        <v>8</v>
      </c>
    </row>
    <row r="576" spans="1:63" ht="27" customHeight="1">
      <c r="A576" s="222">
        <f t="shared" si="99"/>
        <v>574</v>
      </c>
      <c r="B576" s="223"/>
      <c r="C576" s="223">
        <v>3381</v>
      </c>
      <c r="D576" s="225" t="s">
        <v>3617</v>
      </c>
      <c r="E576" s="226" t="s">
        <v>3618</v>
      </c>
      <c r="F576" s="227" t="s">
        <v>1996</v>
      </c>
      <c r="G576" s="228" t="s">
        <v>3619</v>
      </c>
      <c r="H576" s="247" t="s">
        <v>937</v>
      </c>
      <c r="I576" s="248" t="s">
        <v>3620</v>
      </c>
      <c r="J576" s="231" t="s">
        <v>173</v>
      </c>
      <c r="K576" s="232">
        <v>31579</v>
      </c>
      <c r="L576" s="249" t="s">
        <v>174</v>
      </c>
      <c r="M576" s="234">
        <v>43755</v>
      </c>
      <c r="N576" s="234"/>
      <c r="O576" s="234" t="s">
        <v>3546</v>
      </c>
      <c r="P576" s="222" t="s">
        <v>260</v>
      </c>
      <c r="Q576" s="222" t="s">
        <v>176</v>
      </c>
      <c r="R576" s="236" t="s">
        <v>177</v>
      </c>
      <c r="S576" s="236" t="s">
        <v>2379</v>
      </c>
      <c r="T576" s="235"/>
      <c r="U576" s="235"/>
      <c r="V576" s="236" t="s">
        <v>185</v>
      </c>
      <c r="W576" s="236" t="s">
        <v>185</v>
      </c>
      <c r="X576" s="236"/>
      <c r="Y576" s="237" t="s">
        <v>3621</v>
      </c>
      <c r="Z576" s="238"/>
      <c r="AA576" s="238" t="s">
        <v>181</v>
      </c>
      <c r="AB576" s="236"/>
      <c r="AC576" s="239" t="s">
        <v>197</v>
      </c>
      <c r="AD576" s="240" t="s">
        <v>183</v>
      </c>
      <c r="AE576" s="240"/>
      <c r="AF576" s="241"/>
      <c r="AG576" s="242"/>
      <c r="AH576" s="243"/>
      <c r="AI576" s="243"/>
      <c r="AJ576" s="244" t="s">
        <v>198</v>
      </c>
      <c r="AK576" s="244" t="s">
        <v>185</v>
      </c>
      <c r="AL576" s="244" t="s">
        <v>185</v>
      </c>
      <c r="AM576" s="239" t="s">
        <v>2349</v>
      </c>
      <c r="AN576" s="20">
        <v>182</v>
      </c>
      <c r="AO576" s="20">
        <v>0</v>
      </c>
      <c r="AP576" s="20">
        <v>0</v>
      </c>
      <c r="AQ576" s="20">
        <v>0</v>
      </c>
      <c r="AR576" s="20">
        <v>0</v>
      </c>
      <c r="AS576" s="20">
        <v>7</v>
      </c>
      <c r="AT576" s="20">
        <v>10</v>
      </c>
      <c r="AU576" s="300">
        <f t="shared" si="89"/>
        <v>199</v>
      </c>
      <c r="AV576" s="20">
        <v>190</v>
      </c>
      <c r="AW576" s="20">
        <v>0</v>
      </c>
      <c r="AX576" s="20">
        <v>0</v>
      </c>
      <c r="AY576" s="20">
        <v>0</v>
      </c>
      <c r="AZ576" s="20">
        <v>0</v>
      </c>
      <c r="BA576" s="20">
        <v>7</v>
      </c>
      <c r="BB576" s="20">
        <v>10</v>
      </c>
      <c r="BC576" s="300">
        <f t="shared" si="90"/>
        <v>207</v>
      </c>
      <c r="BD576" s="42">
        <f t="shared" si="91"/>
        <v>8</v>
      </c>
      <c r="BE576" s="42">
        <f t="shared" si="92"/>
        <v>0</v>
      </c>
      <c r="BF576" s="42">
        <f t="shared" si="93"/>
        <v>0</v>
      </c>
      <c r="BG576" s="42">
        <f t="shared" si="94"/>
        <v>0</v>
      </c>
      <c r="BH576" s="42">
        <f t="shared" si="95"/>
        <v>0</v>
      </c>
      <c r="BI576" s="42">
        <f t="shared" si="96"/>
        <v>0</v>
      </c>
      <c r="BJ576" s="42">
        <f t="shared" si="97"/>
        <v>0</v>
      </c>
      <c r="BK576" s="42">
        <f t="shared" si="98"/>
        <v>8</v>
      </c>
    </row>
    <row r="577" spans="1:63" ht="27" customHeight="1">
      <c r="A577" s="222">
        <f t="shared" si="99"/>
        <v>575</v>
      </c>
      <c r="B577" s="223"/>
      <c r="C577" s="223">
        <v>3360</v>
      </c>
      <c r="D577" s="225" t="s">
        <v>3622</v>
      </c>
      <c r="E577" s="226" t="s">
        <v>3623</v>
      </c>
      <c r="F577" s="227" t="s">
        <v>3624</v>
      </c>
      <c r="G577" s="228" t="s">
        <v>452</v>
      </c>
      <c r="H577" s="247" t="s">
        <v>3625</v>
      </c>
      <c r="I577" s="248" t="s">
        <v>454</v>
      </c>
      <c r="J577" s="231" t="s">
        <v>173</v>
      </c>
      <c r="K577" s="232">
        <v>27357</v>
      </c>
      <c r="L577" s="249" t="s">
        <v>174</v>
      </c>
      <c r="M577" s="234">
        <v>43754</v>
      </c>
      <c r="N577" s="234"/>
      <c r="O577" s="234" t="s">
        <v>3580</v>
      </c>
      <c r="P577" s="222" t="s">
        <v>343</v>
      </c>
      <c r="Q577" s="222" t="s">
        <v>176</v>
      </c>
      <c r="R577" s="236" t="s">
        <v>177</v>
      </c>
      <c r="S577" s="236" t="s">
        <v>2425</v>
      </c>
      <c r="T577" s="235"/>
      <c r="U577" s="235"/>
      <c r="V577" s="236" t="s">
        <v>185</v>
      </c>
      <c r="W577" s="236" t="s">
        <v>185</v>
      </c>
      <c r="X577" s="236">
        <v>3</v>
      </c>
      <c r="Y577" s="237" t="s">
        <v>3626</v>
      </c>
      <c r="Z577" s="238"/>
      <c r="AA577" s="238" t="s">
        <v>181</v>
      </c>
      <c r="AB577" s="236"/>
      <c r="AC577" s="239"/>
      <c r="AD577" s="240"/>
      <c r="AE577" s="240"/>
      <c r="AF577" s="241"/>
      <c r="AG577" s="242"/>
      <c r="AH577" s="243"/>
      <c r="AI577" s="243"/>
      <c r="AJ577" s="244" t="s">
        <v>198</v>
      </c>
      <c r="AK577" s="244" t="s">
        <v>185</v>
      </c>
      <c r="AL577" s="244" t="s">
        <v>185</v>
      </c>
      <c r="AM577" s="239" t="s">
        <v>2494</v>
      </c>
      <c r="AN577" s="20">
        <v>182</v>
      </c>
      <c r="AO577" s="20">
        <v>0</v>
      </c>
      <c r="AP577" s="20">
        <v>0</v>
      </c>
      <c r="AQ577" s="20">
        <v>0</v>
      </c>
      <c r="AR577" s="20">
        <v>0</v>
      </c>
      <c r="AS577" s="20">
        <v>7</v>
      </c>
      <c r="AT577" s="20">
        <v>10</v>
      </c>
      <c r="AU577" s="300">
        <f t="shared" si="89"/>
        <v>199</v>
      </c>
      <c r="AV577" s="20">
        <v>190</v>
      </c>
      <c r="AW577" s="20">
        <v>0</v>
      </c>
      <c r="AX577" s="20">
        <v>0</v>
      </c>
      <c r="AY577" s="20">
        <v>0</v>
      </c>
      <c r="AZ577" s="20">
        <v>0</v>
      </c>
      <c r="BA577" s="20">
        <v>7</v>
      </c>
      <c r="BB577" s="20">
        <v>10</v>
      </c>
      <c r="BC577" s="300">
        <f t="shared" si="90"/>
        <v>207</v>
      </c>
      <c r="BD577" s="42">
        <f t="shared" si="91"/>
        <v>8</v>
      </c>
      <c r="BE577" s="42">
        <f t="shared" si="92"/>
        <v>0</v>
      </c>
      <c r="BF577" s="42">
        <f t="shared" si="93"/>
        <v>0</v>
      </c>
      <c r="BG577" s="42">
        <f t="shared" si="94"/>
        <v>0</v>
      </c>
      <c r="BH577" s="42">
        <f t="shared" si="95"/>
        <v>0</v>
      </c>
      <c r="BI577" s="42">
        <f t="shared" si="96"/>
        <v>0</v>
      </c>
      <c r="BJ577" s="42">
        <f t="shared" si="97"/>
        <v>0</v>
      </c>
      <c r="BK577" s="42">
        <f t="shared" si="98"/>
        <v>8</v>
      </c>
    </row>
    <row r="578" spans="1:63" ht="27" customHeight="1">
      <c r="A578" s="222">
        <f t="shared" si="99"/>
        <v>576</v>
      </c>
      <c r="B578" s="223"/>
      <c r="C578" s="223">
        <v>3756</v>
      </c>
      <c r="D578" s="225" t="s">
        <v>3627</v>
      </c>
      <c r="E578" s="226" t="s">
        <v>3628</v>
      </c>
      <c r="F578" s="227" t="s">
        <v>1335</v>
      </c>
      <c r="G578" s="228" t="s">
        <v>1572</v>
      </c>
      <c r="H578" s="229" t="s">
        <v>1337</v>
      </c>
      <c r="I578" s="230" t="s">
        <v>1574</v>
      </c>
      <c r="J578" s="231" t="s">
        <v>173</v>
      </c>
      <c r="K578" s="232">
        <v>35187</v>
      </c>
      <c r="L578" s="233" t="s">
        <v>174</v>
      </c>
      <c r="M578" s="234">
        <v>43762</v>
      </c>
      <c r="N578" s="234"/>
      <c r="O578" s="234"/>
      <c r="P578" s="222" t="s">
        <v>3629</v>
      </c>
      <c r="Q578" s="222" t="s">
        <v>244</v>
      </c>
      <c r="R578" s="222" t="s">
        <v>177</v>
      </c>
      <c r="S578" s="222" t="s">
        <v>2500</v>
      </c>
      <c r="T578" s="235"/>
      <c r="U578" s="235"/>
      <c r="V578" s="236" t="s">
        <v>185</v>
      </c>
      <c r="W578" s="236" t="s">
        <v>185</v>
      </c>
      <c r="X578" s="236">
        <v>6</v>
      </c>
      <c r="Y578" s="237" t="s">
        <v>3630</v>
      </c>
      <c r="Z578" s="238"/>
      <c r="AA578" s="238" t="s">
        <v>181</v>
      </c>
      <c r="AB578" s="236"/>
      <c r="AC578" s="239"/>
      <c r="AD578" s="240" t="s">
        <v>183</v>
      </c>
      <c r="AE578" s="240"/>
      <c r="AF578" s="241"/>
      <c r="AG578" s="242"/>
      <c r="AH578" s="243"/>
      <c r="AI578" s="243"/>
      <c r="AJ578" s="244" t="s">
        <v>185</v>
      </c>
      <c r="AK578" s="244" t="s">
        <v>185</v>
      </c>
      <c r="AL578" s="244" t="s">
        <v>185</v>
      </c>
      <c r="AM578" s="239" t="s">
        <v>3631</v>
      </c>
      <c r="AN578" s="20">
        <v>182</v>
      </c>
      <c r="AO578" s="20">
        <v>0</v>
      </c>
      <c r="AP578" s="20">
        <v>20</v>
      </c>
      <c r="AQ578" s="20">
        <v>0</v>
      </c>
      <c r="AR578" s="20">
        <v>0</v>
      </c>
      <c r="AS578" s="20">
        <v>7</v>
      </c>
      <c r="AT578" s="20">
        <v>10</v>
      </c>
      <c r="AU578" s="300">
        <f t="shared" si="89"/>
        <v>219</v>
      </c>
      <c r="AV578" s="20">
        <v>190</v>
      </c>
      <c r="AW578" s="20">
        <v>0</v>
      </c>
      <c r="AX578" s="20">
        <v>20</v>
      </c>
      <c r="AY578" s="20">
        <v>0</v>
      </c>
      <c r="AZ578" s="20">
        <v>0</v>
      </c>
      <c r="BA578" s="20">
        <v>7</v>
      </c>
      <c r="BB578" s="20">
        <v>10</v>
      </c>
      <c r="BC578" s="300">
        <f t="shared" si="90"/>
        <v>227</v>
      </c>
      <c r="BD578" s="42">
        <f t="shared" si="91"/>
        <v>8</v>
      </c>
      <c r="BE578" s="42">
        <f t="shared" si="92"/>
        <v>0</v>
      </c>
      <c r="BF578" s="42">
        <f t="shared" si="93"/>
        <v>0</v>
      </c>
      <c r="BG578" s="42">
        <f t="shared" si="94"/>
        <v>0</v>
      </c>
      <c r="BH578" s="42">
        <f t="shared" si="95"/>
        <v>0</v>
      </c>
      <c r="BI578" s="42">
        <f t="shared" si="96"/>
        <v>0</v>
      </c>
      <c r="BJ578" s="42">
        <f t="shared" si="97"/>
        <v>0</v>
      </c>
      <c r="BK578" s="42">
        <f t="shared" si="98"/>
        <v>8</v>
      </c>
    </row>
    <row r="579" spans="1:63" ht="27" customHeight="1">
      <c r="A579" s="222">
        <f t="shared" si="99"/>
        <v>577</v>
      </c>
      <c r="B579" s="223"/>
      <c r="C579" s="223">
        <v>3625</v>
      </c>
      <c r="D579" s="225">
        <v>0</v>
      </c>
      <c r="E579" s="226" t="s">
        <v>291</v>
      </c>
      <c r="F579" s="227" t="s">
        <v>1225</v>
      </c>
      <c r="G579" s="228" t="s">
        <v>3632</v>
      </c>
      <c r="H579" s="229">
        <v>0</v>
      </c>
      <c r="I579" s="230">
        <v>0</v>
      </c>
      <c r="J579" s="231" t="s">
        <v>173</v>
      </c>
      <c r="K579" s="232">
        <v>36626</v>
      </c>
      <c r="L579" s="233" t="s">
        <v>174</v>
      </c>
      <c r="M579" s="234">
        <v>43750</v>
      </c>
      <c r="N579" s="234"/>
      <c r="O579" s="234"/>
      <c r="P579" s="222" t="s">
        <v>3633</v>
      </c>
      <c r="Q579" s="222" t="s">
        <v>244</v>
      </c>
      <c r="R579" s="222" t="s">
        <v>177</v>
      </c>
      <c r="S579" s="222" t="s">
        <v>2354</v>
      </c>
      <c r="T579" s="235"/>
      <c r="U579" s="235"/>
      <c r="V579" s="236" t="s">
        <v>185</v>
      </c>
      <c r="W579" s="236" t="s">
        <v>185</v>
      </c>
      <c r="X579" s="236">
        <v>7</v>
      </c>
      <c r="Y579" s="237"/>
      <c r="Z579" s="238"/>
      <c r="AA579" s="238" t="s">
        <v>181</v>
      </c>
      <c r="AB579" s="236"/>
      <c r="AC579" s="239"/>
      <c r="AD579" s="240"/>
      <c r="AE579" s="240"/>
      <c r="AF579" s="241"/>
      <c r="AG579" s="242"/>
      <c r="AH579" s="243"/>
      <c r="AI579" s="243"/>
      <c r="AJ579" s="244" t="s">
        <v>185</v>
      </c>
      <c r="AK579" s="244" t="s">
        <v>185</v>
      </c>
      <c r="AL579" s="244" t="s">
        <v>185</v>
      </c>
      <c r="AM579" s="239" t="s">
        <v>2494</v>
      </c>
      <c r="AN579" s="20">
        <v>182</v>
      </c>
      <c r="AO579" s="20">
        <v>0</v>
      </c>
      <c r="AP579" s="20">
        <v>0</v>
      </c>
      <c r="AQ579" s="20">
        <v>0</v>
      </c>
      <c r="AR579" s="20">
        <v>0</v>
      </c>
      <c r="AS579" s="20">
        <v>7</v>
      </c>
      <c r="AT579" s="20">
        <v>10</v>
      </c>
      <c r="AU579" s="300">
        <f t="shared" si="89"/>
        <v>199</v>
      </c>
      <c r="AV579" s="20">
        <v>190</v>
      </c>
      <c r="AW579" s="20">
        <v>0</v>
      </c>
      <c r="AX579" s="20">
        <v>0</v>
      </c>
      <c r="AY579" s="20">
        <v>0</v>
      </c>
      <c r="AZ579" s="20">
        <v>0</v>
      </c>
      <c r="BA579" s="20">
        <v>7</v>
      </c>
      <c r="BB579" s="20">
        <v>10</v>
      </c>
      <c r="BC579" s="300">
        <f t="shared" si="90"/>
        <v>207</v>
      </c>
      <c r="BD579" s="42">
        <f t="shared" si="91"/>
        <v>8</v>
      </c>
      <c r="BE579" s="42">
        <f t="shared" si="92"/>
        <v>0</v>
      </c>
      <c r="BF579" s="42">
        <f t="shared" si="93"/>
        <v>0</v>
      </c>
      <c r="BG579" s="42">
        <f t="shared" si="94"/>
        <v>0</v>
      </c>
      <c r="BH579" s="42">
        <f t="shared" si="95"/>
        <v>0</v>
      </c>
      <c r="BI579" s="42">
        <f t="shared" si="96"/>
        <v>0</v>
      </c>
      <c r="BJ579" s="42">
        <f t="shared" si="97"/>
        <v>0</v>
      </c>
      <c r="BK579" s="42">
        <f t="shared" si="98"/>
        <v>8</v>
      </c>
    </row>
    <row r="580" spans="1:63" ht="27" customHeight="1">
      <c r="A580" s="222">
        <f t="shared" si="99"/>
        <v>578</v>
      </c>
      <c r="B580" s="223"/>
      <c r="C580" s="223">
        <v>3170</v>
      </c>
      <c r="D580" s="225">
        <v>0</v>
      </c>
      <c r="E580" s="226" t="s">
        <v>291</v>
      </c>
      <c r="F580" s="227" t="s">
        <v>1809</v>
      </c>
      <c r="G580" s="228" t="s">
        <v>1293</v>
      </c>
      <c r="H580" s="229" t="s">
        <v>1811</v>
      </c>
      <c r="I580" s="230" t="s">
        <v>1295</v>
      </c>
      <c r="J580" s="231" t="s">
        <v>204</v>
      </c>
      <c r="K580" s="232">
        <v>30694</v>
      </c>
      <c r="L580" s="233" t="s">
        <v>174</v>
      </c>
      <c r="M580" s="234">
        <v>43741</v>
      </c>
      <c r="N580" s="234"/>
      <c r="O580" s="234"/>
      <c r="P580" s="222" t="s">
        <v>2493</v>
      </c>
      <c r="Q580" s="222" t="s">
        <v>244</v>
      </c>
      <c r="R580" s="222" t="s">
        <v>177</v>
      </c>
      <c r="S580" s="222" t="s">
        <v>2593</v>
      </c>
      <c r="T580" s="235"/>
      <c r="U580" s="235"/>
      <c r="V580" s="236" t="s">
        <v>185</v>
      </c>
      <c r="W580" s="236" t="s">
        <v>185</v>
      </c>
      <c r="X580" s="236">
        <v>4</v>
      </c>
      <c r="Y580" s="237" t="s">
        <v>3634</v>
      </c>
      <c r="Z580" s="238"/>
      <c r="AA580" s="238" t="s">
        <v>181</v>
      </c>
      <c r="AB580" s="236"/>
      <c r="AC580" s="239"/>
      <c r="AD580" s="240" t="s">
        <v>183</v>
      </c>
      <c r="AE580" s="240" t="s">
        <v>183</v>
      </c>
      <c r="AF580" s="240" t="s">
        <v>183</v>
      </c>
      <c r="AG580" s="242"/>
      <c r="AH580" s="243"/>
      <c r="AI580" s="243"/>
      <c r="AJ580" s="244" t="s">
        <v>185</v>
      </c>
      <c r="AK580" s="244" t="s">
        <v>185</v>
      </c>
      <c r="AL580" s="244" t="s">
        <v>185</v>
      </c>
      <c r="AM580" s="239" t="s">
        <v>2494</v>
      </c>
      <c r="AN580" s="20">
        <v>182</v>
      </c>
      <c r="AO580" s="20">
        <v>0</v>
      </c>
      <c r="AP580" s="20">
        <v>20</v>
      </c>
      <c r="AQ580" s="20">
        <v>0</v>
      </c>
      <c r="AR580" s="20">
        <v>0</v>
      </c>
      <c r="AS580" s="20">
        <v>7</v>
      </c>
      <c r="AT580" s="20">
        <v>10</v>
      </c>
      <c r="AU580" s="300">
        <f t="shared" ref="AU580:AU643" si="100">SUM(AN580:AT580)</f>
        <v>219</v>
      </c>
      <c r="AV580" s="20">
        <v>190</v>
      </c>
      <c r="AW580" s="20">
        <v>0</v>
      </c>
      <c r="AX580" s="20">
        <v>20</v>
      </c>
      <c r="AY580" s="20">
        <v>0</v>
      </c>
      <c r="AZ580" s="20">
        <v>0</v>
      </c>
      <c r="BA580" s="20">
        <v>7</v>
      </c>
      <c r="BB580" s="20">
        <v>10</v>
      </c>
      <c r="BC580" s="300">
        <f t="shared" ref="BC580:BC643" si="101">SUM(AV580:BB580)</f>
        <v>227</v>
      </c>
      <c r="BD580" s="42">
        <f t="shared" ref="BD580:BD643" si="102">AV580-AN580</f>
        <v>8</v>
      </c>
      <c r="BE580" s="42">
        <f t="shared" ref="BE580:BE643" si="103">AW580-AO580</f>
        <v>0</v>
      </c>
      <c r="BF580" s="42">
        <f t="shared" ref="BF580:BF643" si="104">AX580-AP580</f>
        <v>0</v>
      </c>
      <c r="BG580" s="42">
        <f t="shared" ref="BG580:BG643" si="105">AY580-AQ580</f>
        <v>0</v>
      </c>
      <c r="BH580" s="42">
        <f t="shared" ref="BH580:BH643" si="106">AZ580-AR580</f>
        <v>0</v>
      </c>
      <c r="BI580" s="42">
        <f t="shared" ref="BI580:BI643" si="107">BA580-AS580</f>
        <v>0</v>
      </c>
      <c r="BJ580" s="42">
        <f t="shared" ref="BJ580:BJ643" si="108">BB580-AT580</f>
        <v>0</v>
      </c>
      <c r="BK580" s="42">
        <f t="shared" ref="BK580:BK643" si="109">BC580-AU580</f>
        <v>8</v>
      </c>
    </row>
    <row r="581" spans="1:63" ht="27" customHeight="1">
      <c r="A581" s="222">
        <f t="shared" ref="A581:A644" si="110">1+A580</f>
        <v>579</v>
      </c>
      <c r="B581" s="223"/>
      <c r="C581" s="223">
        <v>3646</v>
      </c>
      <c r="D581" s="225">
        <v>0</v>
      </c>
      <c r="E581" s="226" t="s">
        <v>3635</v>
      </c>
      <c r="F581" s="227" t="s">
        <v>3027</v>
      </c>
      <c r="G581" s="228" t="s">
        <v>3636</v>
      </c>
      <c r="H581" s="229" t="s">
        <v>3637</v>
      </c>
      <c r="I581" s="230" t="s">
        <v>3638</v>
      </c>
      <c r="J581" s="231" t="s">
        <v>173</v>
      </c>
      <c r="K581" s="232">
        <v>33327</v>
      </c>
      <c r="L581" s="233" t="s">
        <v>174</v>
      </c>
      <c r="M581" s="234">
        <v>43754</v>
      </c>
      <c r="N581" s="234"/>
      <c r="O581" s="234" t="s">
        <v>3639</v>
      </c>
      <c r="P581" s="222" t="s">
        <v>313</v>
      </c>
      <c r="Q581" s="222" t="s">
        <v>244</v>
      </c>
      <c r="R581" s="222" t="s">
        <v>177</v>
      </c>
      <c r="S581" s="222" t="s">
        <v>2354</v>
      </c>
      <c r="T581" s="235"/>
      <c r="U581" s="235"/>
      <c r="V581" s="236" t="s">
        <v>185</v>
      </c>
      <c r="W581" s="236" t="s">
        <v>185</v>
      </c>
      <c r="X581" s="236">
        <v>8</v>
      </c>
      <c r="Y581" s="236" t="s">
        <v>3640</v>
      </c>
      <c r="Z581" s="238"/>
      <c r="AA581" s="238" t="s">
        <v>181</v>
      </c>
      <c r="AB581" s="236"/>
      <c r="AC581" s="239"/>
      <c r="AD581" s="240" t="s">
        <v>3602</v>
      </c>
      <c r="AE581" s="240"/>
      <c r="AF581" s="241"/>
      <c r="AG581" s="242"/>
      <c r="AH581" s="243"/>
      <c r="AI581" s="243"/>
      <c r="AJ581" s="244" t="s">
        <v>185</v>
      </c>
      <c r="AK581" s="244" t="s">
        <v>185</v>
      </c>
      <c r="AL581" s="244" t="s">
        <v>185</v>
      </c>
      <c r="AM581" s="239" t="s">
        <v>2494</v>
      </c>
      <c r="AN581" s="20">
        <v>182</v>
      </c>
      <c r="AO581" s="20">
        <v>0</v>
      </c>
      <c r="AP581" s="20">
        <v>0</v>
      </c>
      <c r="AQ581" s="20">
        <v>0</v>
      </c>
      <c r="AR581" s="20">
        <v>0</v>
      </c>
      <c r="AS581" s="20">
        <v>7</v>
      </c>
      <c r="AT581" s="20">
        <v>10</v>
      </c>
      <c r="AU581" s="300">
        <f t="shared" si="100"/>
        <v>199</v>
      </c>
      <c r="AV581" s="20">
        <v>190</v>
      </c>
      <c r="AW581" s="20">
        <v>0</v>
      </c>
      <c r="AX581" s="20">
        <v>0</v>
      </c>
      <c r="AY581" s="20">
        <v>0</v>
      </c>
      <c r="AZ581" s="20">
        <v>0</v>
      </c>
      <c r="BA581" s="20">
        <v>7</v>
      </c>
      <c r="BB581" s="20">
        <v>10</v>
      </c>
      <c r="BC581" s="300">
        <f t="shared" si="101"/>
        <v>207</v>
      </c>
      <c r="BD581" s="42">
        <f t="shared" si="102"/>
        <v>8</v>
      </c>
      <c r="BE581" s="42">
        <f t="shared" si="103"/>
        <v>0</v>
      </c>
      <c r="BF581" s="42">
        <f t="shared" si="104"/>
        <v>0</v>
      </c>
      <c r="BG581" s="42">
        <f t="shared" si="105"/>
        <v>0</v>
      </c>
      <c r="BH581" s="42">
        <f t="shared" si="106"/>
        <v>0</v>
      </c>
      <c r="BI581" s="42">
        <f t="shared" si="107"/>
        <v>0</v>
      </c>
      <c r="BJ581" s="42">
        <f t="shared" si="108"/>
        <v>0</v>
      </c>
      <c r="BK581" s="42">
        <f t="shared" si="109"/>
        <v>8</v>
      </c>
    </row>
    <row r="582" spans="1:63" ht="27" customHeight="1">
      <c r="A582" s="222">
        <f t="shared" si="110"/>
        <v>580</v>
      </c>
      <c r="B582" s="223"/>
      <c r="C582" s="223">
        <v>3293</v>
      </c>
      <c r="D582" s="225">
        <v>0</v>
      </c>
      <c r="E582" s="226" t="s">
        <v>3641</v>
      </c>
      <c r="F582" s="227" t="s">
        <v>1809</v>
      </c>
      <c r="G582" s="228" t="s">
        <v>3642</v>
      </c>
      <c r="H582" s="229" t="s">
        <v>1811</v>
      </c>
      <c r="I582" s="230" t="s">
        <v>3643</v>
      </c>
      <c r="J582" s="231" t="s">
        <v>173</v>
      </c>
      <c r="K582" s="232">
        <v>35868</v>
      </c>
      <c r="L582" s="233" t="s">
        <v>174</v>
      </c>
      <c r="M582" s="234">
        <v>43746</v>
      </c>
      <c r="N582" s="234"/>
      <c r="O582" s="234"/>
      <c r="P582" s="222" t="s">
        <v>3644</v>
      </c>
      <c r="Q582" s="222" t="s">
        <v>244</v>
      </c>
      <c r="R582" s="222" t="s">
        <v>177</v>
      </c>
      <c r="S582" s="222" t="s">
        <v>3645</v>
      </c>
      <c r="T582" s="235"/>
      <c r="U582" s="235"/>
      <c r="V582" s="236" t="s">
        <v>185</v>
      </c>
      <c r="W582" s="236" t="s">
        <v>185</v>
      </c>
      <c r="X582" s="236">
        <v>7</v>
      </c>
      <c r="Y582" s="237" t="s">
        <v>3646</v>
      </c>
      <c r="Z582" s="238"/>
      <c r="AA582" s="238" t="s">
        <v>181</v>
      </c>
      <c r="AB582" s="236"/>
      <c r="AC582" s="239"/>
      <c r="AD582" s="240" t="s">
        <v>3602</v>
      </c>
      <c r="AE582" s="240"/>
      <c r="AF582" s="241"/>
      <c r="AG582" s="242"/>
      <c r="AH582" s="243"/>
      <c r="AI582" s="243"/>
      <c r="AJ582" s="244" t="s">
        <v>185</v>
      </c>
      <c r="AK582" s="244" t="s">
        <v>185</v>
      </c>
      <c r="AL582" s="244" t="s">
        <v>185</v>
      </c>
      <c r="AM582" s="239" t="s">
        <v>2494</v>
      </c>
      <c r="AN582" s="20">
        <v>182</v>
      </c>
      <c r="AO582" s="20">
        <v>0</v>
      </c>
      <c r="AP582" s="20">
        <v>20</v>
      </c>
      <c r="AQ582" s="20">
        <v>0</v>
      </c>
      <c r="AR582" s="20">
        <v>0</v>
      </c>
      <c r="AS582" s="20">
        <v>7</v>
      </c>
      <c r="AT582" s="20">
        <v>10</v>
      </c>
      <c r="AU582" s="300">
        <f t="shared" si="100"/>
        <v>219</v>
      </c>
      <c r="AV582" s="20">
        <v>190</v>
      </c>
      <c r="AW582" s="20">
        <v>0</v>
      </c>
      <c r="AX582" s="20">
        <v>20</v>
      </c>
      <c r="AY582" s="20">
        <v>0</v>
      </c>
      <c r="AZ582" s="20">
        <v>0</v>
      </c>
      <c r="BA582" s="20">
        <v>7</v>
      </c>
      <c r="BB582" s="20">
        <v>10</v>
      </c>
      <c r="BC582" s="300">
        <f t="shared" si="101"/>
        <v>227</v>
      </c>
      <c r="BD582" s="42">
        <f t="shared" si="102"/>
        <v>8</v>
      </c>
      <c r="BE582" s="42">
        <f t="shared" si="103"/>
        <v>0</v>
      </c>
      <c r="BF582" s="42">
        <f t="shared" si="104"/>
        <v>0</v>
      </c>
      <c r="BG582" s="42">
        <f t="shared" si="105"/>
        <v>0</v>
      </c>
      <c r="BH582" s="42">
        <f t="shared" si="106"/>
        <v>0</v>
      </c>
      <c r="BI582" s="42">
        <f t="shared" si="107"/>
        <v>0</v>
      </c>
      <c r="BJ582" s="42">
        <f t="shared" si="108"/>
        <v>0</v>
      </c>
      <c r="BK582" s="42">
        <f t="shared" si="109"/>
        <v>8</v>
      </c>
    </row>
    <row r="583" spans="1:63" ht="27" customHeight="1">
      <c r="A583" s="222">
        <f t="shared" si="110"/>
        <v>581</v>
      </c>
      <c r="B583" s="223"/>
      <c r="C583" s="223">
        <v>3259</v>
      </c>
      <c r="D583" s="225" t="s">
        <v>3647</v>
      </c>
      <c r="E583" s="226" t="s">
        <v>291</v>
      </c>
      <c r="F583" s="227" t="s">
        <v>431</v>
      </c>
      <c r="G583" s="228" t="s">
        <v>3648</v>
      </c>
      <c r="H583" s="229" t="s">
        <v>1183</v>
      </c>
      <c r="I583" s="230" t="s">
        <v>3649</v>
      </c>
      <c r="J583" s="231" t="s">
        <v>173</v>
      </c>
      <c r="K583" s="232">
        <v>34596</v>
      </c>
      <c r="L583" s="233" t="s">
        <v>174</v>
      </c>
      <c r="M583" s="234">
        <v>43746</v>
      </c>
      <c r="N583" s="234"/>
      <c r="O583" s="234"/>
      <c r="P583" s="222" t="s">
        <v>3644</v>
      </c>
      <c r="Q583" s="222" t="s">
        <v>244</v>
      </c>
      <c r="R583" s="222" t="s">
        <v>177</v>
      </c>
      <c r="S583" s="222" t="s">
        <v>2392</v>
      </c>
      <c r="T583" s="235"/>
      <c r="U583" s="235"/>
      <c r="V583" s="236" t="s">
        <v>185</v>
      </c>
      <c r="W583" s="236" t="s">
        <v>185</v>
      </c>
      <c r="X583" s="236">
        <v>1</v>
      </c>
      <c r="Y583" s="237" t="s">
        <v>3650</v>
      </c>
      <c r="Z583" s="238"/>
      <c r="AA583" s="238" t="s">
        <v>181</v>
      </c>
      <c r="AB583" s="236"/>
      <c r="AC583" s="239"/>
      <c r="AD583" s="240" t="s">
        <v>183</v>
      </c>
      <c r="AE583" s="240"/>
      <c r="AF583" s="241"/>
      <c r="AG583" s="242"/>
      <c r="AH583" s="243"/>
      <c r="AI583" s="243"/>
      <c r="AJ583" s="244" t="s">
        <v>185</v>
      </c>
      <c r="AK583" s="244" t="s">
        <v>185</v>
      </c>
      <c r="AL583" s="244" t="s">
        <v>185</v>
      </c>
      <c r="AM583" s="239" t="s">
        <v>2494</v>
      </c>
      <c r="AN583" s="20">
        <v>182</v>
      </c>
      <c r="AO583" s="20">
        <v>0</v>
      </c>
      <c r="AP583" s="20">
        <v>20</v>
      </c>
      <c r="AQ583" s="20">
        <v>0</v>
      </c>
      <c r="AR583" s="20">
        <v>0</v>
      </c>
      <c r="AS583" s="20">
        <v>7</v>
      </c>
      <c r="AT583" s="20">
        <v>10</v>
      </c>
      <c r="AU583" s="300">
        <f t="shared" si="100"/>
        <v>219</v>
      </c>
      <c r="AV583" s="20">
        <v>190</v>
      </c>
      <c r="AW583" s="20">
        <v>0</v>
      </c>
      <c r="AX583" s="20">
        <v>20</v>
      </c>
      <c r="AY583" s="20">
        <v>0</v>
      </c>
      <c r="AZ583" s="20">
        <v>0</v>
      </c>
      <c r="BA583" s="20">
        <v>7</v>
      </c>
      <c r="BB583" s="20">
        <v>10</v>
      </c>
      <c r="BC583" s="300">
        <f t="shared" si="101"/>
        <v>227</v>
      </c>
      <c r="BD583" s="42">
        <f t="shared" si="102"/>
        <v>8</v>
      </c>
      <c r="BE583" s="42">
        <f t="shared" si="103"/>
        <v>0</v>
      </c>
      <c r="BF583" s="42">
        <f t="shared" si="104"/>
        <v>0</v>
      </c>
      <c r="BG583" s="42">
        <f t="shared" si="105"/>
        <v>0</v>
      </c>
      <c r="BH583" s="42">
        <f t="shared" si="106"/>
        <v>0</v>
      </c>
      <c r="BI583" s="42">
        <f t="shared" si="107"/>
        <v>0</v>
      </c>
      <c r="BJ583" s="42">
        <f t="shared" si="108"/>
        <v>0</v>
      </c>
      <c r="BK583" s="42">
        <f t="shared" si="109"/>
        <v>8</v>
      </c>
    </row>
    <row r="584" spans="1:63" ht="27" customHeight="1">
      <c r="A584" s="222">
        <f t="shared" si="110"/>
        <v>582</v>
      </c>
      <c r="B584" s="223"/>
      <c r="C584" s="223">
        <v>3256</v>
      </c>
      <c r="D584" s="225">
        <v>0</v>
      </c>
      <c r="E584" s="226" t="s">
        <v>291</v>
      </c>
      <c r="F584" s="227" t="s">
        <v>3651</v>
      </c>
      <c r="G584" s="228" t="s">
        <v>3652</v>
      </c>
      <c r="H584" s="229">
        <v>0</v>
      </c>
      <c r="I584" s="230">
        <v>0</v>
      </c>
      <c r="J584" s="231" t="s">
        <v>173</v>
      </c>
      <c r="K584" s="232"/>
      <c r="L584" s="233" t="s">
        <v>174</v>
      </c>
      <c r="M584" s="234">
        <v>43741</v>
      </c>
      <c r="N584" s="234"/>
      <c r="O584" s="234"/>
      <c r="P584" s="222" t="s">
        <v>3644</v>
      </c>
      <c r="Q584" s="222" t="s">
        <v>244</v>
      </c>
      <c r="R584" s="222" t="s">
        <v>177</v>
      </c>
      <c r="S584" s="222" t="s">
        <v>2354</v>
      </c>
      <c r="T584" s="235"/>
      <c r="U584" s="235"/>
      <c r="V584" s="236" t="s">
        <v>185</v>
      </c>
      <c r="W584" s="236" t="s">
        <v>185</v>
      </c>
      <c r="X584" s="236">
        <v>5</v>
      </c>
      <c r="Y584" s="237" t="s">
        <v>3653</v>
      </c>
      <c r="Z584" s="238"/>
      <c r="AA584" s="238" t="s">
        <v>181</v>
      </c>
      <c r="AB584" s="236"/>
      <c r="AC584" s="239"/>
      <c r="AD584" s="240" t="s">
        <v>183</v>
      </c>
      <c r="AE584" s="240" t="s">
        <v>3602</v>
      </c>
      <c r="AF584" s="241"/>
      <c r="AG584" s="242"/>
      <c r="AH584" s="243"/>
      <c r="AI584" s="243"/>
      <c r="AJ584" s="244" t="s">
        <v>185</v>
      </c>
      <c r="AK584" s="244" t="s">
        <v>185</v>
      </c>
      <c r="AL584" s="244" t="s">
        <v>185</v>
      </c>
      <c r="AM584" s="239" t="s">
        <v>3654</v>
      </c>
      <c r="AN584" s="20">
        <v>182</v>
      </c>
      <c r="AO584" s="20">
        <v>0</v>
      </c>
      <c r="AP584" s="20">
        <v>20</v>
      </c>
      <c r="AQ584" s="20">
        <v>20</v>
      </c>
      <c r="AR584" s="20">
        <v>0</v>
      </c>
      <c r="AS584" s="20">
        <v>7</v>
      </c>
      <c r="AT584" s="20">
        <v>10</v>
      </c>
      <c r="AU584" s="300">
        <f t="shared" si="100"/>
        <v>239</v>
      </c>
      <c r="AV584" s="20">
        <v>190</v>
      </c>
      <c r="AW584" s="20">
        <v>0</v>
      </c>
      <c r="AX584" s="20">
        <v>20</v>
      </c>
      <c r="AY584" s="20">
        <v>20</v>
      </c>
      <c r="AZ584" s="20">
        <v>0</v>
      </c>
      <c r="BA584" s="20">
        <v>7</v>
      </c>
      <c r="BB584" s="20">
        <v>10</v>
      </c>
      <c r="BC584" s="300">
        <f t="shared" si="101"/>
        <v>247</v>
      </c>
      <c r="BD584" s="42">
        <f t="shared" si="102"/>
        <v>8</v>
      </c>
      <c r="BE584" s="42">
        <f t="shared" si="103"/>
        <v>0</v>
      </c>
      <c r="BF584" s="42">
        <f t="shared" si="104"/>
        <v>0</v>
      </c>
      <c r="BG584" s="42">
        <f t="shared" si="105"/>
        <v>0</v>
      </c>
      <c r="BH584" s="42">
        <f t="shared" si="106"/>
        <v>0</v>
      </c>
      <c r="BI584" s="42">
        <f t="shared" si="107"/>
        <v>0</v>
      </c>
      <c r="BJ584" s="42">
        <f t="shared" si="108"/>
        <v>0</v>
      </c>
      <c r="BK584" s="42">
        <f t="shared" si="109"/>
        <v>8</v>
      </c>
    </row>
    <row r="585" spans="1:63" ht="27" customHeight="1">
      <c r="A585" s="222">
        <f t="shared" si="110"/>
        <v>583</v>
      </c>
      <c r="B585" s="223"/>
      <c r="C585" s="223">
        <v>3626</v>
      </c>
      <c r="D585" s="225">
        <v>0</v>
      </c>
      <c r="E585" s="226" t="s">
        <v>3655</v>
      </c>
      <c r="F585" s="227" t="s">
        <v>3656</v>
      </c>
      <c r="G585" s="228" t="s">
        <v>3657</v>
      </c>
      <c r="H585" s="229" t="s">
        <v>3658</v>
      </c>
      <c r="I585" s="230" t="s">
        <v>3659</v>
      </c>
      <c r="J585" s="231" t="s">
        <v>204</v>
      </c>
      <c r="K585" s="232">
        <v>36595</v>
      </c>
      <c r="L585" s="233" t="s">
        <v>174</v>
      </c>
      <c r="M585" s="234">
        <v>43750</v>
      </c>
      <c r="N585" s="234"/>
      <c r="O585" s="234" t="s">
        <v>3639</v>
      </c>
      <c r="P585" s="222" t="s">
        <v>3633</v>
      </c>
      <c r="Q585" s="222" t="s">
        <v>244</v>
      </c>
      <c r="R585" s="222" t="s">
        <v>177</v>
      </c>
      <c r="S585" s="222" t="s">
        <v>2354</v>
      </c>
      <c r="T585" s="235"/>
      <c r="U585" s="235"/>
      <c r="V585" s="236" t="s">
        <v>185</v>
      </c>
      <c r="W585" s="236" t="s">
        <v>185</v>
      </c>
      <c r="X585" s="236">
        <v>11</v>
      </c>
      <c r="Y585" s="237" t="s">
        <v>3660</v>
      </c>
      <c r="Z585" s="238"/>
      <c r="AA585" s="238" t="s">
        <v>181</v>
      </c>
      <c r="AB585" s="236"/>
      <c r="AC585" s="239"/>
      <c r="AD585" s="240"/>
      <c r="AE585" s="240"/>
      <c r="AF585" s="241"/>
      <c r="AG585" s="242"/>
      <c r="AH585" s="243"/>
      <c r="AI585" s="243"/>
      <c r="AJ585" s="244" t="s">
        <v>185</v>
      </c>
      <c r="AK585" s="244" t="s">
        <v>185</v>
      </c>
      <c r="AL585" s="244" t="s">
        <v>185</v>
      </c>
      <c r="AM585" s="239" t="s">
        <v>2494</v>
      </c>
      <c r="AN585" s="20">
        <v>182</v>
      </c>
      <c r="AO585" s="20">
        <v>0</v>
      </c>
      <c r="AP585" s="20">
        <v>0</v>
      </c>
      <c r="AQ585" s="20">
        <v>0</v>
      </c>
      <c r="AR585" s="20">
        <v>0</v>
      </c>
      <c r="AS585" s="20">
        <v>7</v>
      </c>
      <c r="AT585" s="20">
        <v>10</v>
      </c>
      <c r="AU585" s="300">
        <f t="shared" si="100"/>
        <v>199</v>
      </c>
      <c r="AV585" s="20">
        <v>190</v>
      </c>
      <c r="AW585" s="20">
        <v>0</v>
      </c>
      <c r="AX585" s="20">
        <v>0</v>
      </c>
      <c r="AY585" s="20">
        <v>0</v>
      </c>
      <c r="AZ585" s="20">
        <v>0</v>
      </c>
      <c r="BA585" s="20">
        <v>7</v>
      </c>
      <c r="BB585" s="20">
        <v>10</v>
      </c>
      <c r="BC585" s="300">
        <f t="shared" si="101"/>
        <v>207</v>
      </c>
      <c r="BD585" s="42">
        <f t="shared" si="102"/>
        <v>8</v>
      </c>
      <c r="BE585" s="42">
        <f t="shared" si="103"/>
        <v>0</v>
      </c>
      <c r="BF585" s="42">
        <f t="shared" si="104"/>
        <v>0</v>
      </c>
      <c r="BG585" s="42">
        <f t="shared" si="105"/>
        <v>0</v>
      </c>
      <c r="BH585" s="42">
        <f t="shared" si="106"/>
        <v>0</v>
      </c>
      <c r="BI585" s="42">
        <f t="shared" si="107"/>
        <v>0</v>
      </c>
      <c r="BJ585" s="42">
        <f t="shared" si="108"/>
        <v>0</v>
      </c>
      <c r="BK585" s="42">
        <f t="shared" si="109"/>
        <v>8</v>
      </c>
    </row>
    <row r="586" spans="1:63" ht="27" customHeight="1">
      <c r="A586" s="222">
        <f t="shared" si="110"/>
        <v>584</v>
      </c>
      <c r="B586" s="223"/>
      <c r="C586" s="223">
        <v>3342</v>
      </c>
      <c r="D586" s="225" t="s">
        <v>3661</v>
      </c>
      <c r="E586" s="226" t="s">
        <v>3662</v>
      </c>
      <c r="F586" s="227" t="s">
        <v>1109</v>
      </c>
      <c r="G586" s="228" t="s">
        <v>3663</v>
      </c>
      <c r="H586" s="229" t="s">
        <v>3664</v>
      </c>
      <c r="I586" s="230" t="s">
        <v>3665</v>
      </c>
      <c r="J586" s="231" t="s">
        <v>173</v>
      </c>
      <c r="K586" s="232">
        <v>31755</v>
      </c>
      <c r="L586" s="233" t="s">
        <v>174</v>
      </c>
      <c r="M586" s="234">
        <v>43743</v>
      </c>
      <c r="N586" s="234"/>
      <c r="O586" s="234"/>
      <c r="P586" s="222" t="s">
        <v>334</v>
      </c>
      <c r="Q586" s="222" t="s">
        <v>176</v>
      </c>
      <c r="R586" s="222" t="s">
        <v>177</v>
      </c>
      <c r="S586" s="222" t="s">
        <v>3509</v>
      </c>
      <c r="T586" s="235"/>
      <c r="U586" s="235"/>
      <c r="V586" s="236" t="s">
        <v>179</v>
      </c>
      <c r="W586" s="236" t="s">
        <v>179</v>
      </c>
      <c r="X586" s="236">
        <v>6</v>
      </c>
      <c r="Y586" s="237"/>
      <c r="Z586" s="238"/>
      <c r="AA586" s="238" t="s">
        <v>181</v>
      </c>
      <c r="AB586" s="236"/>
      <c r="AC586" s="239"/>
      <c r="AD586" s="240"/>
      <c r="AE586" s="240"/>
      <c r="AF586" s="241"/>
      <c r="AG586" s="242"/>
      <c r="AH586" s="243"/>
      <c r="AI586" s="243"/>
      <c r="AJ586" s="244" t="s">
        <v>198</v>
      </c>
      <c r="AK586" s="244" t="s">
        <v>185</v>
      </c>
      <c r="AL586" s="244" t="s">
        <v>185</v>
      </c>
      <c r="AM586" s="239" t="s">
        <v>2494</v>
      </c>
      <c r="AN586" s="20">
        <v>182</v>
      </c>
      <c r="AO586" s="20">
        <v>0</v>
      </c>
      <c r="AP586" s="20">
        <v>0</v>
      </c>
      <c r="AQ586" s="20">
        <v>0</v>
      </c>
      <c r="AR586" s="20">
        <v>0</v>
      </c>
      <c r="AS586" s="20">
        <v>7</v>
      </c>
      <c r="AT586" s="20">
        <v>10</v>
      </c>
      <c r="AU586" s="300">
        <f t="shared" si="100"/>
        <v>199</v>
      </c>
      <c r="AV586" s="20">
        <v>190</v>
      </c>
      <c r="AW586" s="20">
        <v>0</v>
      </c>
      <c r="AX586" s="20">
        <v>0</v>
      </c>
      <c r="AY586" s="20">
        <v>0</v>
      </c>
      <c r="AZ586" s="20">
        <v>0</v>
      </c>
      <c r="BA586" s="20">
        <v>7</v>
      </c>
      <c r="BB586" s="20">
        <v>10</v>
      </c>
      <c r="BC586" s="300">
        <f t="shared" si="101"/>
        <v>207</v>
      </c>
      <c r="BD586" s="42">
        <f t="shared" si="102"/>
        <v>8</v>
      </c>
      <c r="BE586" s="42">
        <f t="shared" si="103"/>
        <v>0</v>
      </c>
      <c r="BF586" s="42">
        <f t="shared" si="104"/>
        <v>0</v>
      </c>
      <c r="BG586" s="42">
        <f t="shared" si="105"/>
        <v>0</v>
      </c>
      <c r="BH586" s="42">
        <f t="shared" si="106"/>
        <v>0</v>
      </c>
      <c r="BI586" s="42">
        <f t="shared" si="107"/>
        <v>0</v>
      </c>
      <c r="BJ586" s="42">
        <f t="shared" si="108"/>
        <v>0</v>
      </c>
      <c r="BK586" s="42">
        <f t="shared" si="109"/>
        <v>8</v>
      </c>
    </row>
    <row r="587" spans="1:63" ht="27" customHeight="1">
      <c r="A587" s="222">
        <f t="shared" si="110"/>
        <v>585</v>
      </c>
      <c r="B587" s="223"/>
      <c r="C587" s="223">
        <v>3414</v>
      </c>
      <c r="D587" s="225" t="s">
        <v>3666</v>
      </c>
      <c r="E587" s="226" t="s">
        <v>3667</v>
      </c>
      <c r="F587" s="227" t="s">
        <v>3668</v>
      </c>
      <c r="G587" s="228" t="s">
        <v>3022</v>
      </c>
      <c r="H587" s="229" t="s">
        <v>3669</v>
      </c>
      <c r="I587" s="230" t="s">
        <v>114</v>
      </c>
      <c r="J587" s="231" t="s">
        <v>173</v>
      </c>
      <c r="K587" s="232">
        <v>31109</v>
      </c>
      <c r="L587" s="233" t="s">
        <v>174</v>
      </c>
      <c r="M587" s="234">
        <v>43763</v>
      </c>
      <c r="N587" s="234"/>
      <c r="O587" s="234"/>
      <c r="P587" s="222" t="s">
        <v>304</v>
      </c>
      <c r="Q587" s="222" t="s">
        <v>176</v>
      </c>
      <c r="R587" s="222" t="s">
        <v>177</v>
      </c>
      <c r="S587" s="222" t="s">
        <v>2425</v>
      </c>
      <c r="T587" s="235"/>
      <c r="U587" s="235"/>
      <c r="V587" s="236" t="s">
        <v>179</v>
      </c>
      <c r="W587" s="236" t="s">
        <v>179</v>
      </c>
      <c r="X587" s="236">
        <v>7</v>
      </c>
      <c r="Y587" s="237" t="s">
        <v>3670</v>
      </c>
      <c r="Z587" s="238"/>
      <c r="AA587" s="238" t="s">
        <v>181</v>
      </c>
      <c r="AB587" s="236"/>
      <c r="AC587" s="239"/>
      <c r="AD587" s="240"/>
      <c r="AE587" s="240"/>
      <c r="AF587" s="241"/>
      <c r="AG587" s="242"/>
      <c r="AH587" s="243"/>
      <c r="AI587" s="243"/>
      <c r="AJ587" s="244" t="s">
        <v>198</v>
      </c>
      <c r="AK587" s="244" t="s">
        <v>185</v>
      </c>
      <c r="AL587" s="244" t="s">
        <v>185</v>
      </c>
      <c r="AM587" s="239" t="s">
        <v>2494</v>
      </c>
      <c r="AN587" s="20">
        <v>182</v>
      </c>
      <c r="AO587" s="20">
        <v>0</v>
      </c>
      <c r="AP587" s="20">
        <v>0</v>
      </c>
      <c r="AQ587" s="20">
        <v>0</v>
      </c>
      <c r="AR587" s="20">
        <v>0</v>
      </c>
      <c r="AS587" s="20">
        <v>7</v>
      </c>
      <c r="AT587" s="20">
        <v>10</v>
      </c>
      <c r="AU587" s="300">
        <f t="shared" si="100"/>
        <v>199</v>
      </c>
      <c r="AV587" s="20">
        <v>190</v>
      </c>
      <c r="AW587" s="20">
        <v>0</v>
      </c>
      <c r="AX587" s="20">
        <v>0</v>
      </c>
      <c r="AY587" s="20">
        <v>0</v>
      </c>
      <c r="AZ587" s="20">
        <v>0</v>
      </c>
      <c r="BA587" s="20">
        <v>7</v>
      </c>
      <c r="BB587" s="20">
        <v>10</v>
      </c>
      <c r="BC587" s="300">
        <f t="shared" si="101"/>
        <v>207</v>
      </c>
      <c r="BD587" s="42">
        <f t="shared" si="102"/>
        <v>8</v>
      </c>
      <c r="BE587" s="42">
        <f t="shared" si="103"/>
        <v>0</v>
      </c>
      <c r="BF587" s="42">
        <f t="shared" si="104"/>
        <v>0</v>
      </c>
      <c r="BG587" s="42">
        <f t="shared" si="105"/>
        <v>0</v>
      </c>
      <c r="BH587" s="42">
        <f t="shared" si="106"/>
        <v>0</v>
      </c>
      <c r="BI587" s="42">
        <f t="shared" si="107"/>
        <v>0</v>
      </c>
      <c r="BJ587" s="42">
        <f t="shared" si="108"/>
        <v>0</v>
      </c>
      <c r="BK587" s="42">
        <f t="shared" si="109"/>
        <v>8</v>
      </c>
    </row>
    <row r="588" spans="1:63" ht="27" customHeight="1">
      <c r="A588" s="222">
        <f t="shared" si="110"/>
        <v>586</v>
      </c>
      <c r="B588" s="223"/>
      <c r="C588" s="223">
        <v>3667</v>
      </c>
      <c r="D588" s="225" t="s">
        <v>3671</v>
      </c>
      <c r="E588" s="226" t="s">
        <v>291</v>
      </c>
      <c r="F588" s="227" t="s">
        <v>2032</v>
      </c>
      <c r="G588" s="228" t="s">
        <v>3672</v>
      </c>
      <c r="H588" s="229" t="s">
        <v>2254</v>
      </c>
      <c r="I588" s="230" t="s">
        <v>3673</v>
      </c>
      <c r="J588" s="231" t="s">
        <v>173</v>
      </c>
      <c r="K588" s="232">
        <v>36369</v>
      </c>
      <c r="L588" s="233" t="s">
        <v>174</v>
      </c>
      <c r="M588" s="234">
        <v>43757</v>
      </c>
      <c r="N588" s="234"/>
      <c r="O588" s="234"/>
      <c r="P588" s="222" t="s">
        <v>3629</v>
      </c>
      <c r="Q588" s="222" t="s">
        <v>244</v>
      </c>
      <c r="R588" s="222" t="s">
        <v>177</v>
      </c>
      <c r="S588" s="222" t="s">
        <v>2500</v>
      </c>
      <c r="T588" s="235"/>
      <c r="U588" s="235"/>
      <c r="V588" s="236" t="s">
        <v>179</v>
      </c>
      <c r="W588" s="236" t="s">
        <v>179</v>
      </c>
      <c r="X588" s="236">
        <v>4</v>
      </c>
      <c r="Y588" s="237" t="s">
        <v>3674</v>
      </c>
      <c r="Z588" s="238"/>
      <c r="AA588" s="238" t="s">
        <v>181</v>
      </c>
      <c r="AB588" s="236"/>
      <c r="AC588" s="239"/>
      <c r="AD588" s="240"/>
      <c r="AE588" s="240"/>
      <c r="AF588" s="241"/>
      <c r="AG588" s="242"/>
      <c r="AH588" s="243"/>
      <c r="AI588" s="243"/>
      <c r="AJ588" s="244" t="s">
        <v>198</v>
      </c>
      <c r="AK588" s="244" t="s">
        <v>185</v>
      </c>
      <c r="AL588" s="244" t="s">
        <v>185</v>
      </c>
      <c r="AM588" s="239" t="s">
        <v>2494</v>
      </c>
      <c r="AN588" s="20">
        <v>182</v>
      </c>
      <c r="AO588" s="20">
        <v>0</v>
      </c>
      <c r="AP588" s="20">
        <v>20</v>
      </c>
      <c r="AQ588" s="20">
        <v>0</v>
      </c>
      <c r="AR588" s="20">
        <v>0</v>
      </c>
      <c r="AS588" s="20">
        <v>7</v>
      </c>
      <c r="AT588" s="20">
        <v>10</v>
      </c>
      <c r="AU588" s="300">
        <f t="shared" si="100"/>
        <v>219</v>
      </c>
      <c r="AV588" s="20">
        <v>190</v>
      </c>
      <c r="AW588" s="20">
        <v>0</v>
      </c>
      <c r="AX588" s="20">
        <v>20</v>
      </c>
      <c r="AY588" s="20">
        <v>0</v>
      </c>
      <c r="AZ588" s="20">
        <v>0</v>
      </c>
      <c r="BA588" s="20">
        <v>7</v>
      </c>
      <c r="BB588" s="20">
        <v>10</v>
      </c>
      <c r="BC588" s="300">
        <f t="shared" si="101"/>
        <v>227</v>
      </c>
      <c r="BD588" s="42">
        <f t="shared" si="102"/>
        <v>8</v>
      </c>
      <c r="BE588" s="42">
        <f t="shared" si="103"/>
        <v>0</v>
      </c>
      <c r="BF588" s="42">
        <f t="shared" si="104"/>
        <v>0</v>
      </c>
      <c r="BG588" s="42">
        <f t="shared" si="105"/>
        <v>0</v>
      </c>
      <c r="BH588" s="42">
        <f t="shared" si="106"/>
        <v>0</v>
      </c>
      <c r="BI588" s="42">
        <f t="shared" si="107"/>
        <v>0</v>
      </c>
      <c r="BJ588" s="42">
        <f t="shared" si="108"/>
        <v>0</v>
      </c>
      <c r="BK588" s="42">
        <f t="shared" si="109"/>
        <v>8</v>
      </c>
    </row>
    <row r="589" spans="1:63" ht="27" customHeight="1">
      <c r="A589" s="222">
        <f t="shared" si="110"/>
        <v>587</v>
      </c>
      <c r="B589" s="223"/>
      <c r="C589" s="223">
        <v>3662</v>
      </c>
      <c r="D589" s="225" t="s">
        <v>3675</v>
      </c>
      <c r="E589" s="226" t="s">
        <v>3676</v>
      </c>
      <c r="F589" s="227" t="s">
        <v>3677</v>
      </c>
      <c r="G589" s="228" t="s">
        <v>3678</v>
      </c>
      <c r="H589" s="229" t="s">
        <v>2247</v>
      </c>
      <c r="I589" s="230" t="s">
        <v>3679</v>
      </c>
      <c r="J589" s="231" t="s">
        <v>173</v>
      </c>
      <c r="K589" s="232">
        <v>34015</v>
      </c>
      <c r="L589" s="233" t="s">
        <v>174</v>
      </c>
      <c r="M589" s="234">
        <v>43757</v>
      </c>
      <c r="N589" s="234"/>
      <c r="O589" s="234"/>
      <c r="P589" s="222" t="s">
        <v>3629</v>
      </c>
      <c r="Q589" s="222" t="s">
        <v>244</v>
      </c>
      <c r="R589" s="222" t="s">
        <v>177</v>
      </c>
      <c r="S589" s="222" t="s">
        <v>2500</v>
      </c>
      <c r="T589" s="235"/>
      <c r="U589" s="235"/>
      <c r="V589" s="236" t="s">
        <v>179</v>
      </c>
      <c r="W589" s="236" t="s">
        <v>179</v>
      </c>
      <c r="X589" s="236">
        <v>7</v>
      </c>
      <c r="Y589" s="237" t="s">
        <v>3680</v>
      </c>
      <c r="Z589" s="238"/>
      <c r="AA589" s="238" t="s">
        <v>181</v>
      </c>
      <c r="AB589" s="236"/>
      <c r="AC589" s="239"/>
      <c r="AD589" s="240"/>
      <c r="AE589" s="240"/>
      <c r="AF589" s="241"/>
      <c r="AG589" s="242"/>
      <c r="AH589" s="243"/>
      <c r="AI589" s="243"/>
      <c r="AJ589" s="244" t="s">
        <v>198</v>
      </c>
      <c r="AK589" s="244" t="s">
        <v>185</v>
      </c>
      <c r="AL589" s="244" t="s">
        <v>185</v>
      </c>
      <c r="AM589" s="239" t="s">
        <v>2494</v>
      </c>
      <c r="AN589" s="20">
        <v>182</v>
      </c>
      <c r="AO589" s="20">
        <v>0</v>
      </c>
      <c r="AP589" s="20">
        <v>0</v>
      </c>
      <c r="AQ589" s="20">
        <v>0</v>
      </c>
      <c r="AR589" s="20">
        <v>0</v>
      </c>
      <c r="AS589" s="20">
        <v>7</v>
      </c>
      <c r="AT589" s="20">
        <v>10</v>
      </c>
      <c r="AU589" s="300">
        <f t="shared" si="100"/>
        <v>199</v>
      </c>
      <c r="AV589" s="20">
        <v>190</v>
      </c>
      <c r="AW589" s="20">
        <v>0</v>
      </c>
      <c r="AX589" s="20">
        <v>0</v>
      </c>
      <c r="AY589" s="20">
        <v>0</v>
      </c>
      <c r="AZ589" s="20">
        <v>0</v>
      </c>
      <c r="BA589" s="20">
        <v>7</v>
      </c>
      <c r="BB589" s="20">
        <v>10</v>
      </c>
      <c r="BC589" s="300">
        <f t="shared" si="101"/>
        <v>207</v>
      </c>
      <c r="BD589" s="42">
        <f t="shared" si="102"/>
        <v>8</v>
      </c>
      <c r="BE589" s="42">
        <f t="shared" si="103"/>
        <v>0</v>
      </c>
      <c r="BF589" s="42">
        <f t="shared" si="104"/>
        <v>0</v>
      </c>
      <c r="BG589" s="42">
        <f t="shared" si="105"/>
        <v>0</v>
      </c>
      <c r="BH589" s="42">
        <f t="shared" si="106"/>
        <v>0</v>
      </c>
      <c r="BI589" s="42">
        <f t="shared" si="107"/>
        <v>0</v>
      </c>
      <c r="BJ589" s="42">
        <f t="shared" si="108"/>
        <v>0</v>
      </c>
      <c r="BK589" s="42">
        <f t="shared" si="109"/>
        <v>8</v>
      </c>
    </row>
    <row r="590" spans="1:63" ht="27" customHeight="1">
      <c r="A590" s="222">
        <f t="shared" si="110"/>
        <v>588</v>
      </c>
      <c r="B590" s="223"/>
      <c r="C590" s="223">
        <v>3660</v>
      </c>
      <c r="D590" s="225" t="s">
        <v>3681</v>
      </c>
      <c r="E590" s="226" t="s">
        <v>3682</v>
      </c>
      <c r="F590" s="227" t="s">
        <v>2146</v>
      </c>
      <c r="G590" s="228" t="s">
        <v>2120</v>
      </c>
      <c r="H590" s="229" t="s">
        <v>3683</v>
      </c>
      <c r="I590" s="230" t="s">
        <v>2122</v>
      </c>
      <c r="J590" s="231" t="s">
        <v>173</v>
      </c>
      <c r="K590" s="232">
        <v>33677</v>
      </c>
      <c r="L590" s="233" t="s">
        <v>174</v>
      </c>
      <c r="M590" s="234">
        <v>43757</v>
      </c>
      <c r="N590" s="234"/>
      <c r="O590" s="234"/>
      <c r="P590" s="222" t="s">
        <v>3644</v>
      </c>
      <c r="Q590" s="222" t="s">
        <v>244</v>
      </c>
      <c r="R590" s="222" t="s">
        <v>177</v>
      </c>
      <c r="S590" s="222" t="s">
        <v>2379</v>
      </c>
      <c r="T590" s="235"/>
      <c r="U590" s="235"/>
      <c r="V590" s="236" t="s">
        <v>179</v>
      </c>
      <c r="W590" s="236" t="s">
        <v>179</v>
      </c>
      <c r="X590" s="236">
        <v>8</v>
      </c>
      <c r="Y590" s="237" t="s">
        <v>3684</v>
      </c>
      <c r="Z590" s="238"/>
      <c r="AA590" s="238" t="s">
        <v>181</v>
      </c>
      <c r="AB590" s="236"/>
      <c r="AC590" s="239"/>
      <c r="AD590" s="240"/>
      <c r="AE590" s="240"/>
      <c r="AF590" s="241"/>
      <c r="AG590" s="242"/>
      <c r="AH590" s="243"/>
      <c r="AI590" s="243"/>
      <c r="AJ590" s="244" t="s">
        <v>198</v>
      </c>
      <c r="AK590" s="244" t="s">
        <v>185</v>
      </c>
      <c r="AL590" s="244" t="s">
        <v>185</v>
      </c>
      <c r="AM590" s="239" t="s">
        <v>2494</v>
      </c>
      <c r="AN590" s="20">
        <v>182</v>
      </c>
      <c r="AO590" s="20">
        <v>0</v>
      </c>
      <c r="AP590" s="20">
        <v>20</v>
      </c>
      <c r="AQ590" s="20">
        <v>0</v>
      </c>
      <c r="AR590" s="20">
        <v>0</v>
      </c>
      <c r="AS590" s="20">
        <v>7</v>
      </c>
      <c r="AT590" s="20">
        <v>10</v>
      </c>
      <c r="AU590" s="300">
        <f t="shared" si="100"/>
        <v>219</v>
      </c>
      <c r="AV590" s="20">
        <v>190</v>
      </c>
      <c r="AW590" s="20">
        <v>0</v>
      </c>
      <c r="AX590" s="20">
        <v>20</v>
      </c>
      <c r="AY590" s="20">
        <v>0</v>
      </c>
      <c r="AZ590" s="20">
        <v>0</v>
      </c>
      <c r="BA590" s="20">
        <v>7</v>
      </c>
      <c r="BB590" s="20">
        <v>10</v>
      </c>
      <c r="BC590" s="300">
        <f t="shared" si="101"/>
        <v>227</v>
      </c>
      <c r="BD590" s="42">
        <f t="shared" si="102"/>
        <v>8</v>
      </c>
      <c r="BE590" s="42">
        <f t="shared" si="103"/>
        <v>0</v>
      </c>
      <c r="BF590" s="42">
        <f t="shared" si="104"/>
        <v>0</v>
      </c>
      <c r="BG590" s="42">
        <f t="shared" si="105"/>
        <v>0</v>
      </c>
      <c r="BH590" s="42">
        <f t="shared" si="106"/>
        <v>0</v>
      </c>
      <c r="BI590" s="42">
        <f t="shared" si="107"/>
        <v>0</v>
      </c>
      <c r="BJ590" s="42">
        <f t="shared" si="108"/>
        <v>0</v>
      </c>
      <c r="BK590" s="42">
        <f t="shared" si="109"/>
        <v>8</v>
      </c>
    </row>
    <row r="591" spans="1:63" ht="27" customHeight="1">
      <c r="A591" s="222">
        <f t="shared" si="110"/>
        <v>589</v>
      </c>
      <c r="B591" s="223"/>
      <c r="C591" s="223">
        <v>3661</v>
      </c>
      <c r="D591" s="225" t="s">
        <v>3685</v>
      </c>
      <c r="E591" s="226" t="s">
        <v>3686</v>
      </c>
      <c r="F591" s="227" t="s">
        <v>402</v>
      </c>
      <c r="G591" s="228" t="s">
        <v>504</v>
      </c>
      <c r="H591" s="229" t="s">
        <v>3340</v>
      </c>
      <c r="I591" s="230" t="s">
        <v>44</v>
      </c>
      <c r="J591" s="231" t="s">
        <v>173</v>
      </c>
      <c r="K591" s="232">
        <v>33534</v>
      </c>
      <c r="L591" s="233" t="s">
        <v>174</v>
      </c>
      <c r="M591" s="234">
        <v>43757</v>
      </c>
      <c r="N591" s="234"/>
      <c r="O591" s="234"/>
      <c r="P591" s="222" t="s">
        <v>3629</v>
      </c>
      <c r="Q591" s="222" t="s">
        <v>244</v>
      </c>
      <c r="R591" s="222" t="s">
        <v>177</v>
      </c>
      <c r="S591" s="222" t="s">
        <v>2379</v>
      </c>
      <c r="T591" s="235"/>
      <c r="U591" s="235"/>
      <c r="V591" s="236" t="s">
        <v>179</v>
      </c>
      <c r="W591" s="236" t="s">
        <v>179</v>
      </c>
      <c r="X591" s="236">
        <v>8</v>
      </c>
      <c r="Y591" s="237" t="s">
        <v>3687</v>
      </c>
      <c r="Z591" s="238"/>
      <c r="AA591" s="238" t="s">
        <v>181</v>
      </c>
      <c r="AB591" s="236"/>
      <c r="AC591" s="239"/>
      <c r="AD591" s="240"/>
      <c r="AE591" s="240"/>
      <c r="AF591" s="241"/>
      <c r="AG591" s="242"/>
      <c r="AH591" s="243"/>
      <c r="AI591" s="243"/>
      <c r="AJ591" s="244" t="s">
        <v>198</v>
      </c>
      <c r="AK591" s="244" t="s">
        <v>185</v>
      </c>
      <c r="AL591" s="244" t="s">
        <v>185</v>
      </c>
      <c r="AM591" s="239" t="s">
        <v>2494</v>
      </c>
      <c r="AN591" s="20">
        <v>182</v>
      </c>
      <c r="AO591" s="20">
        <v>0</v>
      </c>
      <c r="AP591" s="20">
        <v>20</v>
      </c>
      <c r="AQ591" s="20">
        <v>0</v>
      </c>
      <c r="AR591" s="20">
        <v>0</v>
      </c>
      <c r="AS591" s="20">
        <v>7</v>
      </c>
      <c r="AT591" s="20">
        <v>10</v>
      </c>
      <c r="AU591" s="300">
        <f t="shared" si="100"/>
        <v>219</v>
      </c>
      <c r="AV591" s="20">
        <v>190</v>
      </c>
      <c r="AW591" s="20">
        <v>0</v>
      </c>
      <c r="AX591" s="20">
        <v>20</v>
      </c>
      <c r="AY591" s="20">
        <v>0</v>
      </c>
      <c r="AZ591" s="20">
        <v>0</v>
      </c>
      <c r="BA591" s="20">
        <v>7</v>
      </c>
      <c r="BB591" s="20">
        <v>10</v>
      </c>
      <c r="BC591" s="300">
        <f t="shared" si="101"/>
        <v>227</v>
      </c>
      <c r="BD591" s="42">
        <f t="shared" si="102"/>
        <v>8</v>
      </c>
      <c r="BE591" s="42">
        <f t="shared" si="103"/>
        <v>0</v>
      </c>
      <c r="BF591" s="42">
        <f t="shared" si="104"/>
        <v>0</v>
      </c>
      <c r="BG591" s="42">
        <f t="shared" si="105"/>
        <v>0</v>
      </c>
      <c r="BH591" s="42">
        <f t="shared" si="106"/>
        <v>0</v>
      </c>
      <c r="BI591" s="42">
        <f t="shared" si="107"/>
        <v>0</v>
      </c>
      <c r="BJ591" s="42">
        <f t="shared" si="108"/>
        <v>0</v>
      </c>
      <c r="BK591" s="42">
        <f t="shared" si="109"/>
        <v>8</v>
      </c>
    </row>
    <row r="592" spans="1:63" ht="27" customHeight="1">
      <c r="A592" s="222">
        <f t="shared" si="110"/>
        <v>590</v>
      </c>
      <c r="B592" s="223"/>
      <c r="C592" s="223">
        <v>3666</v>
      </c>
      <c r="D592" s="225" t="s">
        <v>3688</v>
      </c>
      <c r="E592" s="226" t="s">
        <v>3689</v>
      </c>
      <c r="F592" s="227" t="s">
        <v>3690</v>
      </c>
      <c r="G592" s="228" t="s">
        <v>3691</v>
      </c>
      <c r="H592" s="229" t="s">
        <v>2360</v>
      </c>
      <c r="I592" s="230" t="s">
        <v>3692</v>
      </c>
      <c r="J592" s="231" t="s">
        <v>173</v>
      </c>
      <c r="K592" s="232">
        <v>33056</v>
      </c>
      <c r="L592" s="233" t="s">
        <v>174</v>
      </c>
      <c r="M592" s="234">
        <v>43757</v>
      </c>
      <c r="N592" s="234"/>
      <c r="O592" s="234"/>
      <c r="P592" s="222" t="s">
        <v>3644</v>
      </c>
      <c r="Q592" s="222" t="s">
        <v>244</v>
      </c>
      <c r="R592" s="222" t="s">
        <v>177</v>
      </c>
      <c r="S592" s="222" t="s">
        <v>2479</v>
      </c>
      <c r="T592" s="235"/>
      <c r="U592" s="235"/>
      <c r="V592" s="236" t="s">
        <v>179</v>
      </c>
      <c r="W592" s="236" t="s">
        <v>179</v>
      </c>
      <c r="X592" s="236">
        <v>6</v>
      </c>
      <c r="Y592" s="237" t="s">
        <v>3693</v>
      </c>
      <c r="Z592" s="238" t="s">
        <v>181</v>
      </c>
      <c r="AA592" s="238"/>
      <c r="AB592" s="236"/>
      <c r="AC592" s="239"/>
      <c r="AD592" s="240"/>
      <c r="AE592" s="240"/>
      <c r="AF592" s="241"/>
      <c r="AG592" s="242"/>
      <c r="AH592" s="243"/>
      <c r="AI592" s="243"/>
      <c r="AJ592" s="244" t="s">
        <v>198</v>
      </c>
      <c r="AK592" s="244" t="s">
        <v>185</v>
      </c>
      <c r="AL592" s="244" t="s">
        <v>185</v>
      </c>
      <c r="AM592" s="239" t="s">
        <v>2494</v>
      </c>
      <c r="AN592" s="20">
        <v>182</v>
      </c>
      <c r="AO592" s="20">
        <v>0</v>
      </c>
      <c r="AP592" s="20">
        <v>20</v>
      </c>
      <c r="AQ592" s="20">
        <v>0</v>
      </c>
      <c r="AR592" s="20">
        <v>0</v>
      </c>
      <c r="AS592" s="20">
        <v>7</v>
      </c>
      <c r="AT592" s="20">
        <v>10</v>
      </c>
      <c r="AU592" s="300">
        <f t="shared" si="100"/>
        <v>219</v>
      </c>
      <c r="AV592" s="20">
        <v>190</v>
      </c>
      <c r="AW592" s="20">
        <v>0</v>
      </c>
      <c r="AX592" s="20">
        <v>20</v>
      </c>
      <c r="AY592" s="20">
        <v>0</v>
      </c>
      <c r="AZ592" s="20">
        <v>0</v>
      </c>
      <c r="BA592" s="20">
        <v>7</v>
      </c>
      <c r="BB592" s="20">
        <v>10</v>
      </c>
      <c r="BC592" s="300">
        <f t="shared" si="101"/>
        <v>227</v>
      </c>
      <c r="BD592" s="42">
        <f t="shared" si="102"/>
        <v>8</v>
      </c>
      <c r="BE592" s="42">
        <f t="shared" si="103"/>
        <v>0</v>
      </c>
      <c r="BF592" s="42">
        <f t="shared" si="104"/>
        <v>0</v>
      </c>
      <c r="BG592" s="42">
        <f t="shared" si="105"/>
        <v>0</v>
      </c>
      <c r="BH592" s="42">
        <f t="shared" si="106"/>
        <v>0</v>
      </c>
      <c r="BI592" s="42">
        <f t="shared" si="107"/>
        <v>0</v>
      </c>
      <c r="BJ592" s="42">
        <f t="shared" si="108"/>
        <v>0</v>
      </c>
      <c r="BK592" s="42">
        <f t="shared" si="109"/>
        <v>8</v>
      </c>
    </row>
    <row r="593" spans="1:63" ht="27" customHeight="1">
      <c r="A593" s="222">
        <f t="shared" si="110"/>
        <v>591</v>
      </c>
      <c r="B593" s="223"/>
      <c r="C593" s="223">
        <v>3674</v>
      </c>
      <c r="D593" s="225" t="s">
        <v>3694</v>
      </c>
      <c r="E593" s="226" t="s">
        <v>3695</v>
      </c>
      <c r="F593" s="227" t="s">
        <v>3696</v>
      </c>
      <c r="G593" s="228" t="s">
        <v>3157</v>
      </c>
      <c r="H593" s="229" t="s">
        <v>3697</v>
      </c>
      <c r="I593" s="230" t="s">
        <v>3159</v>
      </c>
      <c r="J593" s="231" t="s">
        <v>173</v>
      </c>
      <c r="K593" s="232">
        <v>31728</v>
      </c>
      <c r="L593" s="233" t="s">
        <v>174</v>
      </c>
      <c r="M593" s="234">
        <v>43757</v>
      </c>
      <c r="N593" s="234"/>
      <c r="O593" s="234"/>
      <c r="P593" s="222" t="s">
        <v>3644</v>
      </c>
      <c r="Q593" s="222" t="s">
        <v>244</v>
      </c>
      <c r="R593" s="222" t="s">
        <v>177</v>
      </c>
      <c r="S593" s="222" t="s">
        <v>2379</v>
      </c>
      <c r="T593" s="235"/>
      <c r="U593" s="235"/>
      <c r="V593" s="236" t="s">
        <v>179</v>
      </c>
      <c r="W593" s="236" t="s">
        <v>179</v>
      </c>
      <c r="X593" s="236">
        <v>5</v>
      </c>
      <c r="Y593" s="237" t="s">
        <v>3698</v>
      </c>
      <c r="Z593" s="238" t="s">
        <v>181</v>
      </c>
      <c r="AA593" s="238"/>
      <c r="AB593" s="236"/>
      <c r="AC593" s="239"/>
      <c r="AD593" s="240"/>
      <c r="AE593" s="240"/>
      <c r="AF593" s="241"/>
      <c r="AG593" s="242"/>
      <c r="AH593" s="243"/>
      <c r="AI593" s="243"/>
      <c r="AJ593" s="244" t="s">
        <v>198</v>
      </c>
      <c r="AK593" s="244" t="s">
        <v>185</v>
      </c>
      <c r="AL593" s="244" t="s">
        <v>185</v>
      </c>
      <c r="AM593" s="239" t="s">
        <v>2494</v>
      </c>
      <c r="AN593" s="20">
        <v>182</v>
      </c>
      <c r="AO593" s="20">
        <v>0</v>
      </c>
      <c r="AP593" s="20">
        <v>20</v>
      </c>
      <c r="AQ593" s="20">
        <v>0</v>
      </c>
      <c r="AR593" s="20">
        <v>0</v>
      </c>
      <c r="AS593" s="20">
        <v>7</v>
      </c>
      <c r="AT593" s="20">
        <v>10</v>
      </c>
      <c r="AU593" s="300">
        <f t="shared" si="100"/>
        <v>219</v>
      </c>
      <c r="AV593" s="20">
        <v>190</v>
      </c>
      <c r="AW593" s="20">
        <v>0</v>
      </c>
      <c r="AX593" s="20">
        <v>20</v>
      </c>
      <c r="AY593" s="20">
        <v>0</v>
      </c>
      <c r="AZ593" s="20">
        <v>0</v>
      </c>
      <c r="BA593" s="20">
        <v>7</v>
      </c>
      <c r="BB593" s="20">
        <v>10</v>
      </c>
      <c r="BC593" s="300">
        <f t="shared" si="101"/>
        <v>227</v>
      </c>
      <c r="BD593" s="42">
        <f t="shared" si="102"/>
        <v>8</v>
      </c>
      <c r="BE593" s="42">
        <f t="shared" si="103"/>
        <v>0</v>
      </c>
      <c r="BF593" s="42">
        <f t="shared" si="104"/>
        <v>0</v>
      </c>
      <c r="BG593" s="42">
        <f t="shared" si="105"/>
        <v>0</v>
      </c>
      <c r="BH593" s="42">
        <f t="shared" si="106"/>
        <v>0</v>
      </c>
      <c r="BI593" s="42">
        <f t="shared" si="107"/>
        <v>0</v>
      </c>
      <c r="BJ593" s="42">
        <f t="shared" si="108"/>
        <v>0</v>
      </c>
      <c r="BK593" s="42">
        <f t="shared" si="109"/>
        <v>8</v>
      </c>
    </row>
    <row r="594" spans="1:63" ht="27" customHeight="1">
      <c r="A594" s="222">
        <f t="shared" si="110"/>
        <v>592</v>
      </c>
      <c r="B594" s="223"/>
      <c r="C594" s="223">
        <v>3656</v>
      </c>
      <c r="D594" s="225" t="s">
        <v>3699</v>
      </c>
      <c r="E594" s="226" t="s">
        <v>3700</v>
      </c>
      <c r="F594" s="227" t="s">
        <v>1335</v>
      </c>
      <c r="G594" s="228" t="s">
        <v>2100</v>
      </c>
      <c r="H594" s="229" t="s">
        <v>3701</v>
      </c>
      <c r="I594" s="230" t="s">
        <v>3702</v>
      </c>
      <c r="J594" s="231" t="s">
        <v>173</v>
      </c>
      <c r="K594" s="232">
        <v>33606</v>
      </c>
      <c r="L594" s="233" t="s">
        <v>174</v>
      </c>
      <c r="M594" s="234">
        <v>43755</v>
      </c>
      <c r="N594" s="234"/>
      <c r="O594" s="234"/>
      <c r="P594" s="222" t="s">
        <v>277</v>
      </c>
      <c r="Q594" s="222" t="s">
        <v>244</v>
      </c>
      <c r="R594" s="222" t="s">
        <v>177</v>
      </c>
      <c r="S594" s="222" t="s">
        <v>3596</v>
      </c>
      <c r="T594" s="235"/>
      <c r="U594" s="235"/>
      <c r="V594" s="236" t="s">
        <v>179</v>
      </c>
      <c r="W594" s="236" t="s">
        <v>179</v>
      </c>
      <c r="X594" s="236">
        <v>5</v>
      </c>
      <c r="Y594" s="237" t="s">
        <v>3703</v>
      </c>
      <c r="Z594" s="238"/>
      <c r="AA594" s="238" t="s">
        <v>181</v>
      </c>
      <c r="AB594" s="236"/>
      <c r="AC594" s="239"/>
      <c r="AD594" s="240"/>
      <c r="AE594" s="240"/>
      <c r="AF594" s="241"/>
      <c r="AG594" s="242"/>
      <c r="AH594" s="243"/>
      <c r="AI594" s="243"/>
      <c r="AJ594" s="244" t="s">
        <v>198</v>
      </c>
      <c r="AK594" s="244" t="s">
        <v>185</v>
      </c>
      <c r="AL594" s="244" t="s">
        <v>185</v>
      </c>
      <c r="AM594" s="239" t="s">
        <v>2494</v>
      </c>
      <c r="AN594" s="20">
        <v>182</v>
      </c>
      <c r="AO594" s="20">
        <v>0</v>
      </c>
      <c r="AP594" s="20">
        <v>20</v>
      </c>
      <c r="AQ594" s="20">
        <v>0</v>
      </c>
      <c r="AR594" s="20">
        <v>0</v>
      </c>
      <c r="AS594" s="20">
        <v>7</v>
      </c>
      <c r="AT594" s="20">
        <v>10</v>
      </c>
      <c r="AU594" s="300">
        <f t="shared" si="100"/>
        <v>219</v>
      </c>
      <c r="AV594" s="20">
        <v>190</v>
      </c>
      <c r="AW594" s="20">
        <v>0</v>
      </c>
      <c r="AX594" s="20">
        <v>20</v>
      </c>
      <c r="AY594" s="20">
        <v>0</v>
      </c>
      <c r="AZ594" s="20">
        <v>0</v>
      </c>
      <c r="BA594" s="20">
        <v>7</v>
      </c>
      <c r="BB594" s="20">
        <v>10</v>
      </c>
      <c r="BC594" s="300">
        <f t="shared" si="101"/>
        <v>227</v>
      </c>
      <c r="BD594" s="42">
        <f t="shared" si="102"/>
        <v>8</v>
      </c>
      <c r="BE594" s="42">
        <f t="shared" si="103"/>
        <v>0</v>
      </c>
      <c r="BF594" s="42">
        <f t="shared" si="104"/>
        <v>0</v>
      </c>
      <c r="BG594" s="42">
        <f t="shared" si="105"/>
        <v>0</v>
      </c>
      <c r="BH594" s="42">
        <f t="shared" si="106"/>
        <v>0</v>
      </c>
      <c r="BI594" s="42">
        <f t="shared" si="107"/>
        <v>0</v>
      </c>
      <c r="BJ594" s="42">
        <f t="shared" si="108"/>
        <v>0</v>
      </c>
      <c r="BK594" s="42">
        <f t="shared" si="109"/>
        <v>8</v>
      </c>
    </row>
    <row r="595" spans="1:63" ht="27" customHeight="1">
      <c r="A595" s="222">
        <f t="shared" si="110"/>
        <v>593</v>
      </c>
      <c r="B595" s="223"/>
      <c r="C595" s="223">
        <v>3663</v>
      </c>
      <c r="D595" s="225" t="s">
        <v>3704</v>
      </c>
      <c r="E595" s="226" t="s">
        <v>3705</v>
      </c>
      <c r="F595" s="227" t="s">
        <v>3706</v>
      </c>
      <c r="G595" s="228" t="s">
        <v>3707</v>
      </c>
      <c r="H595" s="229" t="s">
        <v>3708</v>
      </c>
      <c r="I595" s="230" t="s">
        <v>2102</v>
      </c>
      <c r="J595" s="231" t="s">
        <v>173</v>
      </c>
      <c r="K595" s="232">
        <v>35103</v>
      </c>
      <c r="L595" s="233" t="s">
        <v>174</v>
      </c>
      <c r="M595" s="234">
        <v>43757</v>
      </c>
      <c r="N595" s="234"/>
      <c r="O595" s="234"/>
      <c r="P595" s="222" t="s">
        <v>3629</v>
      </c>
      <c r="Q595" s="222" t="s">
        <v>244</v>
      </c>
      <c r="R595" s="222" t="s">
        <v>177</v>
      </c>
      <c r="S595" s="222" t="s">
        <v>2487</v>
      </c>
      <c r="T595" s="235"/>
      <c r="U595" s="235"/>
      <c r="V595" s="236" t="s">
        <v>179</v>
      </c>
      <c r="W595" s="236" t="s">
        <v>179</v>
      </c>
      <c r="X595" s="236">
        <v>7</v>
      </c>
      <c r="Y595" s="237" t="s">
        <v>3709</v>
      </c>
      <c r="Z595" s="238"/>
      <c r="AA595" s="238" t="s">
        <v>181</v>
      </c>
      <c r="AB595" s="236"/>
      <c r="AC595" s="239"/>
      <c r="AD595" s="240"/>
      <c r="AE595" s="240"/>
      <c r="AF595" s="241"/>
      <c r="AG595" s="242"/>
      <c r="AH595" s="243"/>
      <c r="AI595" s="243"/>
      <c r="AJ595" s="244" t="s">
        <v>198</v>
      </c>
      <c r="AK595" s="244" t="s">
        <v>185</v>
      </c>
      <c r="AL595" s="244" t="s">
        <v>185</v>
      </c>
      <c r="AM595" s="239" t="s">
        <v>2494</v>
      </c>
      <c r="AN595" s="20">
        <v>182</v>
      </c>
      <c r="AO595" s="20">
        <v>0</v>
      </c>
      <c r="AP595" s="20">
        <v>20</v>
      </c>
      <c r="AQ595" s="20">
        <v>0</v>
      </c>
      <c r="AR595" s="20">
        <v>0</v>
      </c>
      <c r="AS595" s="20">
        <v>7</v>
      </c>
      <c r="AT595" s="20">
        <v>10</v>
      </c>
      <c r="AU595" s="300">
        <f t="shared" si="100"/>
        <v>219</v>
      </c>
      <c r="AV595" s="20">
        <v>190</v>
      </c>
      <c r="AW595" s="20">
        <v>0</v>
      </c>
      <c r="AX595" s="20">
        <v>20</v>
      </c>
      <c r="AY595" s="20">
        <v>0</v>
      </c>
      <c r="AZ595" s="20">
        <v>0</v>
      </c>
      <c r="BA595" s="20">
        <v>7</v>
      </c>
      <c r="BB595" s="20">
        <v>10</v>
      </c>
      <c r="BC595" s="300">
        <f t="shared" si="101"/>
        <v>227</v>
      </c>
      <c r="BD595" s="42">
        <f t="shared" si="102"/>
        <v>8</v>
      </c>
      <c r="BE595" s="42">
        <f t="shared" si="103"/>
        <v>0</v>
      </c>
      <c r="BF595" s="42">
        <f t="shared" si="104"/>
        <v>0</v>
      </c>
      <c r="BG595" s="42">
        <f t="shared" si="105"/>
        <v>0</v>
      </c>
      <c r="BH595" s="42">
        <f t="shared" si="106"/>
        <v>0</v>
      </c>
      <c r="BI595" s="42">
        <f t="shared" si="107"/>
        <v>0</v>
      </c>
      <c r="BJ595" s="42">
        <f t="shared" si="108"/>
        <v>0</v>
      </c>
      <c r="BK595" s="42">
        <f t="shared" si="109"/>
        <v>8</v>
      </c>
    </row>
    <row r="596" spans="1:63" ht="27" customHeight="1">
      <c r="A596" s="222">
        <f t="shared" si="110"/>
        <v>594</v>
      </c>
      <c r="B596" s="223"/>
      <c r="C596" s="223">
        <v>3671</v>
      </c>
      <c r="D596" s="225" t="s">
        <v>3710</v>
      </c>
      <c r="E596" s="226" t="s">
        <v>291</v>
      </c>
      <c r="F596" s="227" t="s">
        <v>3711</v>
      </c>
      <c r="G596" s="228" t="s">
        <v>3712</v>
      </c>
      <c r="H596" s="229" t="s">
        <v>3713</v>
      </c>
      <c r="I596" s="230" t="s">
        <v>3714</v>
      </c>
      <c r="J596" s="231" t="s">
        <v>173</v>
      </c>
      <c r="K596" s="232">
        <v>35432</v>
      </c>
      <c r="L596" s="233" t="s">
        <v>174</v>
      </c>
      <c r="M596" s="234">
        <v>43753</v>
      </c>
      <c r="N596" s="234"/>
      <c r="O596" s="234"/>
      <c r="P596" s="222" t="s">
        <v>3644</v>
      </c>
      <c r="Q596" s="222" t="s">
        <v>244</v>
      </c>
      <c r="R596" s="222" t="s">
        <v>177</v>
      </c>
      <c r="S596" s="222" t="s">
        <v>2379</v>
      </c>
      <c r="T596" s="235"/>
      <c r="U596" s="235"/>
      <c r="V596" s="236" t="s">
        <v>179</v>
      </c>
      <c r="W596" s="236" t="s">
        <v>179</v>
      </c>
      <c r="X596" s="236">
        <v>7</v>
      </c>
      <c r="Y596" s="237" t="s">
        <v>3715</v>
      </c>
      <c r="Z596" s="238" t="s">
        <v>181</v>
      </c>
      <c r="AA596" s="238"/>
      <c r="AB596" s="236"/>
      <c r="AC596" s="239"/>
      <c r="AD596" s="240"/>
      <c r="AE596" s="240"/>
      <c r="AF596" s="241"/>
      <c r="AG596" s="242"/>
      <c r="AH596" s="243"/>
      <c r="AI596" s="243"/>
      <c r="AJ596" s="244" t="s">
        <v>198</v>
      </c>
      <c r="AK596" s="244" t="s">
        <v>185</v>
      </c>
      <c r="AL596" s="244" t="s">
        <v>185</v>
      </c>
      <c r="AM596" s="239" t="s">
        <v>2494</v>
      </c>
      <c r="AN596" s="20">
        <v>182</v>
      </c>
      <c r="AO596" s="20">
        <v>0</v>
      </c>
      <c r="AP596" s="20">
        <v>0</v>
      </c>
      <c r="AQ596" s="20">
        <v>0</v>
      </c>
      <c r="AR596" s="20">
        <v>0</v>
      </c>
      <c r="AS596" s="20">
        <v>7</v>
      </c>
      <c r="AT596" s="20">
        <v>10</v>
      </c>
      <c r="AU596" s="300">
        <f t="shared" si="100"/>
        <v>199</v>
      </c>
      <c r="AV596" s="20">
        <v>190</v>
      </c>
      <c r="AW596" s="20">
        <v>0</v>
      </c>
      <c r="AX596" s="20">
        <v>0</v>
      </c>
      <c r="AY596" s="20">
        <v>0</v>
      </c>
      <c r="AZ596" s="20">
        <v>0</v>
      </c>
      <c r="BA596" s="20">
        <v>7</v>
      </c>
      <c r="BB596" s="20">
        <v>10</v>
      </c>
      <c r="BC596" s="300">
        <f t="shared" si="101"/>
        <v>207</v>
      </c>
      <c r="BD596" s="42">
        <f t="shared" si="102"/>
        <v>8</v>
      </c>
      <c r="BE596" s="42">
        <f t="shared" si="103"/>
        <v>0</v>
      </c>
      <c r="BF596" s="42">
        <f t="shared" si="104"/>
        <v>0</v>
      </c>
      <c r="BG596" s="42">
        <f t="shared" si="105"/>
        <v>0</v>
      </c>
      <c r="BH596" s="42">
        <f t="shared" si="106"/>
        <v>0</v>
      </c>
      <c r="BI596" s="42">
        <f t="shared" si="107"/>
        <v>0</v>
      </c>
      <c r="BJ596" s="42">
        <f t="shared" si="108"/>
        <v>0</v>
      </c>
      <c r="BK596" s="42">
        <f t="shared" si="109"/>
        <v>8</v>
      </c>
    </row>
    <row r="597" spans="1:63" ht="27" customHeight="1">
      <c r="A597" s="222">
        <f t="shared" si="110"/>
        <v>595</v>
      </c>
      <c r="B597" s="223"/>
      <c r="C597" s="223">
        <v>3657</v>
      </c>
      <c r="D597" s="225" t="s">
        <v>3716</v>
      </c>
      <c r="E597" s="226" t="s">
        <v>3717</v>
      </c>
      <c r="F597" s="227" t="s">
        <v>264</v>
      </c>
      <c r="G597" s="228" t="s">
        <v>3022</v>
      </c>
      <c r="H597" s="229" t="s">
        <v>266</v>
      </c>
      <c r="I597" s="230" t="s">
        <v>114</v>
      </c>
      <c r="J597" s="231" t="s">
        <v>204</v>
      </c>
      <c r="K597" s="232">
        <v>35402</v>
      </c>
      <c r="L597" s="233" t="s">
        <v>174</v>
      </c>
      <c r="M597" s="234">
        <v>43757</v>
      </c>
      <c r="N597" s="234"/>
      <c r="O597" s="234"/>
      <c r="P597" s="222" t="s">
        <v>3629</v>
      </c>
      <c r="Q597" s="222" t="s">
        <v>244</v>
      </c>
      <c r="R597" s="222" t="s">
        <v>177</v>
      </c>
      <c r="S597" s="222" t="s">
        <v>2425</v>
      </c>
      <c r="T597" s="235"/>
      <c r="U597" s="235"/>
      <c r="V597" s="236" t="s">
        <v>179</v>
      </c>
      <c r="W597" s="236" t="s">
        <v>179</v>
      </c>
      <c r="X597" s="236">
        <v>9</v>
      </c>
      <c r="Y597" s="237" t="s">
        <v>3718</v>
      </c>
      <c r="Z597" s="238" t="s">
        <v>181</v>
      </c>
      <c r="AA597" s="238"/>
      <c r="AB597" s="236"/>
      <c r="AC597" s="239"/>
      <c r="AD597" s="240"/>
      <c r="AE597" s="240"/>
      <c r="AF597" s="241"/>
      <c r="AG597" s="242"/>
      <c r="AH597" s="243"/>
      <c r="AI597" s="243"/>
      <c r="AJ597" s="244" t="s">
        <v>198</v>
      </c>
      <c r="AK597" s="244" t="s">
        <v>185</v>
      </c>
      <c r="AL597" s="244" t="s">
        <v>185</v>
      </c>
      <c r="AM597" s="239" t="s">
        <v>2494</v>
      </c>
      <c r="AN597" s="20">
        <v>182</v>
      </c>
      <c r="AO597" s="20">
        <v>0</v>
      </c>
      <c r="AP597" s="20">
        <v>0</v>
      </c>
      <c r="AQ597" s="20">
        <v>0</v>
      </c>
      <c r="AR597" s="20">
        <v>0</v>
      </c>
      <c r="AS597" s="20">
        <v>7</v>
      </c>
      <c r="AT597" s="20">
        <v>10</v>
      </c>
      <c r="AU597" s="300">
        <f t="shared" si="100"/>
        <v>199</v>
      </c>
      <c r="AV597" s="20">
        <v>190</v>
      </c>
      <c r="AW597" s="20">
        <v>0</v>
      </c>
      <c r="AX597" s="20">
        <v>0</v>
      </c>
      <c r="AY597" s="20">
        <v>0</v>
      </c>
      <c r="AZ597" s="20">
        <v>0</v>
      </c>
      <c r="BA597" s="20">
        <v>7</v>
      </c>
      <c r="BB597" s="20">
        <v>10</v>
      </c>
      <c r="BC597" s="300">
        <f t="shared" si="101"/>
        <v>207</v>
      </c>
      <c r="BD597" s="42">
        <f t="shared" si="102"/>
        <v>8</v>
      </c>
      <c r="BE597" s="42">
        <f t="shared" si="103"/>
        <v>0</v>
      </c>
      <c r="BF597" s="42">
        <f t="shared" si="104"/>
        <v>0</v>
      </c>
      <c r="BG597" s="42">
        <f t="shared" si="105"/>
        <v>0</v>
      </c>
      <c r="BH597" s="42">
        <f t="shared" si="106"/>
        <v>0</v>
      </c>
      <c r="BI597" s="42">
        <f t="shared" si="107"/>
        <v>0</v>
      </c>
      <c r="BJ597" s="42">
        <f t="shared" si="108"/>
        <v>0</v>
      </c>
      <c r="BK597" s="42">
        <f t="shared" si="109"/>
        <v>8</v>
      </c>
    </row>
    <row r="598" spans="1:63" ht="27" customHeight="1">
      <c r="A598" s="222">
        <f t="shared" si="110"/>
        <v>596</v>
      </c>
      <c r="B598" s="223"/>
      <c r="C598" s="223">
        <v>3689</v>
      </c>
      <c r="D598" s="225">
        <v>0</v>
      </c>
      <c r="E598" s="226" t="s">
        <v>291</v>
      </c>
      <c r="F598" s="227" t="s">
        <v>3719</v>
      </c>
      <c r="G598" s="228" t="s">
        <v>3720</v>
      </c>
      <c r="H598" s="229" t="s">
        <v>3721</v>
      </c>
      <c r="I598" s="230" t="s">
        <v>3722</v>
      </c>
      <c r="J598" s="231" t="s">
        <v>173</v>
      </c>
      <c r="K598" s="232">
        <v>35802</v>
      </c>
      <c r="L598" s="233" t="s">
        <v>174</v>
      </c>
      <c r="M598" s="234">
        <v>43762</v>
      </c>
      <c r="N598" s="234"/>
      <c r="O598" s="234"/>
      <c r="P598" s="222" t="s">
        <v>3633</v>
      </c>
      <c r="Q598" s="222" t="s">
        <v>244</v>
      </c>
      <c r="R598" s="222" t="s">
        <v>177</v>
      </c>
      <c r="S598" s="222" t="s">
        <v>1369</v>
      </c>
      <c r="T598" s="235"/>
      <c r="U598" s="235"/>
      <c r="V598" s="236" t="s">
        <v>179</v>
      </c>
      <c r="W598" s="236" t="s">
        <v>179</v>
      </c>
      <c r="X598" s="236">
        <v>10</v>
      </c>
      <c r="Y598" s="237" t="s">
        <v>3723</v>
      </c>
      <c r="Z598" s="238"/>
      <c r="AA598" s="238" t="s">
        <v>181</v>
      </c>
      <c r="AB598" s="236"/>
      <c r="AC598" s="239"/>
      <c r="AD598" s="240"/>
      <c r="AE598" s="240"/>
      <c r="AF598" s="241"/>
      <c r="AG598" s="242"/>
      <c r="AH598" s="243"/>
      <c r="AI598" s="243"/>
      <c r="AJ598" s="244" t="s">
        <v>198</v>
      </c>
      <c r="AK598" s="244" t="s">
        <v>185</v>
      </c>
      <c r="AL598" s="244" t="s">
        <v>185</v>
      </c>
      <c r="AM598" s="239" t="s">
        <v>2494</v>
      </c>
      <c r="AN598" s="20">
        <v>182</v>
      </c>
      <c r="AO598" s="20">
        <v>0</v>
      </c>
      <c r="AP598" s="20">
        <v>0</v>
      </c>
      <c r="AQ598" s="20">
        <v>0</v>
      </c>
      <c r="AR598" s="20">
        <v>0</v>
      </c>
      <c r="AS598" s="20">
        <v>7</v>
      </c>
      <c r="AT598" s="20">
        <v>10</v>
      </c>
      <c r="AU598" s="300">
        <f t="shared" si="100"/>
        <v>199</v>
      </c>
      <c r="AV598" s="20">
        <v>190</v>
      </c>
      <c r="AW598" s="20">
        <v>0</v>
      </c>
      <c r="AX598" s="20">
        <v>0</v>
      </c>
      <c r="AY598" s="20">
        <v>0</v>
      </c>
      <c r="AZ598" s="20">
        <v>0</v>
      </c>
      <c r="BA598" s="20">
        <v>7</v>
      </c>
      <c r="BB598" s="20">
        <v>10</v>
      </c>
      <c r="BC598" s="300">
        <f t="shared" si="101"/>
        <v>207</v>
      </c>
      <c r="BD598" s="42">
        <f t="shared" si="102"/>
        <v>8</v>
      </c>
      <c r="BE598" s="42">
        <f t="shared" si="103"/>
        <v>0</v>
      </c>
      <c r="BF598" s="42">
        <f t="shared" si="104"/>
        <v>0</v>
      </c>
      <c r="BG598" s="42">
        <f t="shared" si="105"/>
        <v>0</v>
      </c>
      <c r="BH598" s="42">
        <f t="shared" si="106"/>
        <v>0</v>
      </c>
      <c r="BI598" s="42">
        <f t="shared" si="107"/>
        <v>0</v>
      </c>
      <c r="BJ598" s="42">
        <f t="shared" si="108"/>
        <v>0</v>
      </c>
      <c r="BK598" s="42">
        <f t="shared" si="109"/>
        <v>8</v>
      </c>
    </row>
    <row r="599" spans="1:63" ht="27" customHeight="1">
      <c r="A599" s="222">
        <f t="shared" si="110"/>
        <v>597</v>
      </c>
      <c r="B599" s="223"/>
      <c r="C599" s="223">
        <v>3673</v>
      </c>
      <c r="D599" s="225" t="s">
        <v>3724</v>
      </c>
      <c r="E599" s="226" t="s">
        <v>3725</v>
      </c>
      <c r="F599" s="227" t="s">
        <v>522</v>
      </c>
      <c r="G599" s="228" t="s">
        <v>3726</v>
      </c>
      <c r="H599" s="229" t="s">
        <v>89</v>
      </c>
      <c r="I599" s="230" t="s">
        <v>3727</v>
      </c>
      <c r="J599" s="231" t="s">
        <v>173</v>
      </c>
      <c r="K599" s="232">
        <v>36072</v>
      </c>
      <c r="L599" s="233" t="s">
        <v>174</v>
      </c>
      <c r="M599" s="234">
        <v>43757</v>
      </c>
      <c r="N599" s="234"/>
      <c r="O599" s="234"/>
      <c r="P599" s="222" t="s">
        <v>3629</v>
      </c>
      <c r="Q599" s="222" t="s">
        <v>244</v>
      </c>
      <c r="R599" s="222" t="s">
        <v>177</v>
      </c>
      <c r="S599" s="222" t="s">
        <v>1546</v>
      </c>
      <c r="T599" s="235"/>
      <c r="U599" s="235"/>
      <c r="V599" s="236" t="s">
        <v>179</v>
      </c>
      <c r="W599" s="236" t="s">
        <v>179</v>
      </c>
      <c r="X599" s="236">
        <v>5</v>
      </c>
      <c r="Y599" s="237" t="s">
        <v>3728</v>
      </c>
      <c r="Z599" s="238"/>
      <c r="AA599" s="238" t="s">
        <v>181</v>
      </c>
      <c r="AB599" s="236"/>
      <c r="AC599" s="239"/>
      <c r="AD599" s="240"/>
      <c r="AE599" s="240"/>
      <c r="AF599" s="241"/>
      <c r="AG599" s="242"/>
      <c r="AH599" s="243"/>
      <c r="AI599" s="243"/>
      <c r="AJ599" s="244" t="s">
        <v>198</v>
      </c>
      <c r="AK599" s="244" t="s">
        <v>185</v>
      </c>
      <c r="AL599" s="244" t="s">
        <v>185</v>
      </c>
      <c r="AM599" s="239" t="s">
        <v>2494</v>
      </c>
      <c r="AN599" s="20">
        <v>182</v>
      </c>
      <c r="AO599" s="20">
        <v>0</v>
      </c>
      <c r="AP599" s="20">
        <v>20</v>
      </c>
      <c r="AQ599" s="20">
        <v>0</v>
      </c>
      <c r="AR599" s="20">
        <v>0</v>
      </c>
      <c r="AS599" s="20">
        <v>7</v>
      </c>
      <c r="AT599" s="20">
        <v>10</v>
      </c>
      <c r="AU599" s="300">
        <f t="shared" si="100"/>
        <v>219</v>
      </c>
      <c r="AV599" s="20">
        <v>190</v>
      </c>
      <c r="AW599" s="20">
        <v>0</v>
      </c>
      <c r="AX599" s="20">
        <v>20</v>
      </c>
      <c r="AY599" s="20">
        <v>0</v>
      </c>
      <c r="AZ599" s="20">
        <v>0</v>
      </c>
      <c r="BA599" s="20">
        <v>7</v>
      </c>
      <c r="BB599" s="20">
        <v>10</v>
      </c>
      <c r="BC599" s="300">
        <f t="shared" si="101"/>
        <v>227</v>
      </c>
      <c r="BD599" s="42">
        <f t="shared" si="102"/>
        <v>8</v>
      </c>
      <c r="BE599" s="42">
        <f t="shared" si="103"/>
        <v>0</v>
      </c>
      <c r="BF599" s="42">
        <f t="shared" si="104"/>
        <v>0</v>
      </c>
      <c r="BG599" s="42">
        <f t="shared" si="105"/>
        <v>0</v>
      </c>
      <c r="BH599" s="42">
        <f t="shared" si="106"/>
        <v>0</v>
      </c>
      <c r="BI599" s="42">
        <f t="shared" si="107"/>
        <v>0</v>
      </c>
      <c r="BJ599" s="42">
        <f t="shared" si="108"/>
        <v>0</v>
      </c>
      <c r="BK599" s="42">
        <f t="shared" si="109"/>
        <v>8</v>
      </c>
    </row>
    <row r="600" spans="1:63" ht="27" customHeight="1">
      <c r="A600" s="222">
        <f t="shared" si="110"/>
        <v>598</v>
      </c>
      <c r="B600" s="223"/>
      <c r="C600" s="223">
        <v>3672</v>
      </c>
      <c r="D600" s="225" t="s">
        <v>3729</v>
      </c>
      <c r="E600" s="226" t="s">
        <v>3730</v>
      </c>
      <c r="F600" s="227" t="s">
        <v>855</v>
      </c>
      <c r="G600" s="228" t="s">
        <v>3731</v>
      </c>
      <c r="H600" s="229" t="s">
        <v>3732</v>
      </c>
      <c r="I600" s="230" t="s">
        <v>3733</v>
      </c>
      <c r="J600" s="231" t="s">
        <v>173</v>
      </c>
      <c r="K600" s="232">
        <v>31598</v>
      </c>
      <c r="L600" s="233" t="s">
        <v>174</v>
      </c>
      <c r="M600" s="234">
        <v>43757</v>
      </c>
      <c r="N600" s="234"/>
      <c r="O600" s="234"/>
      <c r="P600" s="222" t="s">
        <v>3644</v>
      </c>
      <c r="Q600" s="222" t="s">
        <v>244</v>
      </c>
      <c r="R600" s="222" t="s">
        <v>177</v>
      </c>
      <c r="S600" s="222" t="s">
        <v>2500</v>
      </c>
      <c r="T600" s="235"/>
      <c r="U600" s="235"/>
      <c r="V600" s="236" t="s">
        <v>179</v>
      </c>
      <c r="W600" s="236" t="s">
        <v>179</v>
      </c>
      <c r="X600" s="236">
        <v>6</v>
      </c>
      <c r="Y600" s="237" t="s">
        <v>3734</v>
      </c>
      <c r="Z600" s="238"/>
      <c r="AA600" s="238" t="s">
        <v>181</v>
      </c>
      <c r="AB600" s="236"/>
      <c r="AC600" s="239"/>
      <c r="AD600" s="240"/>
      <c r="AE600" s="240"/>
      <c r="AF600" s="241"/>
      <c r="AG600" s="242"/>
      <c r="AH600" s="243"/>
      <c r="AI600" s="243"/>
      <c r="AJ600" s="244" t="s">
        <v>198</v>
      </c>
      <c r="AK600" s="244" t="s">
        <v>185</v>
      </c>
      <c r="AL600" s="244" t="s">
        <v>185</v>
      </c>
      <c r="AM600" s="239" t="s">
        <v>2494</v>
      </c>
      <c r="AN600" s="20">
        <v>182</v>
      </c>
      <c r="AO600" s="20">
        <v>0</v>
      </c>
      <c r="AP600" s="20">
        <v>20</v>
      </c>
      <c r="AQ600" s="20">
        <v>0</v>
      </c>
      <c r="AR600" s="20">
        <v>0</v>
      </c>
      <c r="AS600" s="20">
        <v>7</v>
      </c>
      <c r="AT600" s="20">
        <v>10</v>
      </c>
      <c r="AU600" s="300">
        <f t="shared" si="100"/>
        <v>219</v>
      </c>
      <c r="AV600" s="20">
        <v>190</v>
      </c>
      <c r="AW600" s="20">
        <v>0</v>
      </c>
      <c r="AX600" s="20">
        <v>20</v>
      </c>
      <c r="AY600" s="20">
        <v>0</v>
      </c>
      <c r="AZ600" s="20">
        <v>0</v>
      </c>
      <c r="BA600" s="20">
        <v>7</v>
      </c>
      <c r="BB600" s="20">
        <v>10</v>
      </c>
      <c r="BC600" s="300">
        <f t="shared" si="101"/>
        <v>227</v>
      </c>
      <c r="BD600" s="42">
        <f t="shared" si="102"/>
        <v>8</v>
      </c>
      <c r="BE600" s="42">
        <f t="shared" si="103"/>
        <v>0</v>
      </c>
      <c r="BF600" s="42">
        <f t="shared" si="104"/>
        <v>0</v>
      </c>
      <c r="BG600" s="42">
        <f t="shared" si="105"/>
        <v>0</v>
      </c>
      <c r="BH600" s="42">
        <f t="shared" si="106"/>
        <v>0</v>
      </c>
      <c r="BI600" s="42">
        <f t="shared" si="107"/>
        <v>0</v>
      </c>
      <c r="BJ600" s="42">
        <f t="shared" si="108"/>
        <v>0</v>
      </c>
      <c r="BK600" s="42">
        <f t="shared" si="109"/>
        <v>8</v>
      </c>
    </row>
    <row r="601" spans="1:63" ht="27" customHeight="1">
      <c r="A601" s="222">
        <f t="shared" si="110"/>
        <v>599</v>
      </c>
      <c r="B601" s="223"/>
      <c r="C601" s="223">
        <v>3669</v>
      </c>
      <c r="D601" s="225" t="s">
        <v>3735</v>
      </c>
      <c r="E601" s="226" t="s">
        <v>3736</v>
      </c>
      <c r="F601" s="227" t="s">
        <v>1157</v>
      </c>
      <c r="G601" s="228" t="s">
        <v>3737</v>
      </c>
      <c r="H601" s="229" t="s">
        <v>53</v>
      </c>
      <c r="I601" s="230" t="s">
        <v>2361</v>
      </c>
      <c r="J601" s="231" t="s">
        <v>173</v>
      </c>
      <c r="K601" s="232">
        <v>29344</v>
      </c>
      <c r="L601" s="233" t="s">
        <v>174</v>
      </c>
      <c r="M601" s="234">
        <v>43757</v>
      </c>
      <c r="N601" s="234"/>
      <c r="O601" s="234"/>
      <c r="P601" s="222" t="s">
        <v>3629</v>
      </c>
      <c r="Q601" s="222" t="s">
        <v>244</v>
      </c>
      <c r="R601" s="222" t="s">
        <v>177</v>
      </c>
      <c r="S601" s="222" t="s">
        <v>2479</v>
      </c>
      <c r="T601" s="235"/>
      <c r="U601" s="235"/>
      <c r="V601" s="236" t="s">
        <v>179</v>
      </c>
      <c r="W601" s="236" t="s">
        <v>179</v>
      </c>
      <c r="X601" s="236">
        <v>5</v>
      </c>
      <c r="Y601" s="237" t="s">
        <v>3738</v>
      </c>
      <c r="Z601" s="238"/>
      <c r="AA601" s="238" t="s">
        <v>181</v>
      </c>
      <c r="AB601" s="236"/>
      <c r="AC601" s="239"/>
      <c r="AD601" s="240"/>
      <c r="AE601" s="240"/>
      <c r="AF601" s="241"/>
      <c r="AG601" s="242"/>
      <c r="AH601" s="243"/>
      <c r="AI601" s="243"/>
      <c r="AJ601" s="244" t="s">
        <v>198</v>
      </c>
      <c r="AK601" s="244" t="s">
        <v>185</v>
      </c>
      <c r="AL601" s="244" t="s">
        <v>185</v>
      </c>
      <c r="AM601" s="239" t="s">
        <v>2494</v>
      </c>
      <c r="AN601" s="20">
        <v>182</v>
      </c>
      <c r="AO601" s="20">
        <v>0</v>
      </c>
      <c r="AP601" s="20">
        <v>0</v>
      </c>
      <c r="AQ601" s="20">
        <v>0</v>
      </c>
      <c r="AR601" s="20">
        <v>0</v>
      </c>
      <c r="AS601" s="20">
        <v>7</v>
      </c>
      <c r="AT601" s="20">
        <v>10</v>
      </c>
      <c r="AU601" s="300">
        <f t="shared" si="100"/>
        <v>199</v>
      </c>
      <c r="AV601" s="20">
        <v>190</v>
      </c>
      <c r="AW601" s="20">
        <v>0</v>
      </c>
      <c r="AX601" s="20">
        <v>0</v>
      </c>
      <c r="AY601" s="20">
        <v>0</v>
      </c>
      <c r="AZ601" s="20">
        <v>0</v>
      </c>
      <c r="BA601" s="20">
        <v>7</v>
      </c>
      <c r="BB601" s="20">
        <v>10</v>
      </c>
      <c r="BC601" s="300">
        <f t="shared" si="101"/>
        <v>207</v>
      </c>
      <c r="BD601" s="42">
        <f t="shared" si="102"/>
        <v>8</v>
      </c>
      <c r="BE601" s="42">
        <f t="shared" si="103"/>
        <v>0</v>
      </c>
      <c r="BF601" s="42">
        <f t="shared" si="104"/>
        <v>0</v>
      </c>
      <c r="BG601" s="42">
        <f t="shared" si="105"/>
        <v>0</v>
      </c>
      <c r="BH601" s="42">
        <f t="shared" si="106"/>
        <v>0</v>
      </c>
      <c r="BI601" s="42">
        <f t="shared" si="107"/>
        <v>0</v>
      </c>
      <c r="BJ601" s="42">
        <f t="shared" si="108"/>
        <v>0</v>
      </c>
      <c r="BK601" s="42">
        <f t="shared" si="109"/>
        <v>8</v>
      </c>
    </row>
    <row r="602" spans="1:63" ht="27" customHeight="1">
      <c r="A602" s="222">
        <f t="shared" si="110"/>
        <v>600</v>
      </c>
      <c r="B602" s="223"/>
      <c r="C602" s="223">
        <v>3668</v>
      </c>
      <c r="D602" s="225" t="s">
        <v>3739</v>
      </c>
      <c r="E602" s="226" t="s">
        <v>3740</v>
      </c>
      <c r="F602" s="227" t="s">
        <v>3741</v>
      </c>
      <c r="G602" s="228" t="s">
        <v>3742</v>
      </c>
      <c r="H602" s="229" t="s">
        <v>3743</v>
      </c>
      <c r="I602" s="230" t="s">
        <v>3744</v>
      </c>
      <c r="J602" s="231" t="s">
        <v>173</v>
      </c>
      <c r="K602" s="232">
        <v>29603</v>
      </c>
      <c r="L602" s="233" t="s">
        <v>174</v>
      </c>
      <c r="M602" s="234">
        <v>43757</v>
      </c>
      <c r="N602" s="234"/>
      <c r="O602" s="234"/>
      <c r="P602" s="222" t="s">
        <v>3629</v>
      </c>
      <c r="Q602" s="222" t="s">
        <v>244</v>
      </c>
      <c r="R602" s="222" t="s">
        <v>177</v>
      </c>
      <c r="S602" s="222" t="s">
        <v>2392</v>
      </c>
      <c r="T602" s="235"/>
      <c r="U602" s="235"/>
      <c r="V602" s="236" t="s">
        <v>179</v>
      </c>
      <c r="W602" s="236" t="s">
        <v>179</v>
      </c>
      <c r="X602" s="236">
        <v>5</v>
      </c>
      <c r="Y602" s="237" t="s">
        <v>3745</v>
      </c>
      <c r="Z602" s="238"/>
      <c r="AA602" s="238" t="s">
        <v>181</v>
      </c>
      <c r="AB602" s="236"/>
      <c r="AC602" s="239"/>
      <c r="AD602" s="240"/>
      <c r="AE602" s="240"/>
      <c r="AF602" s="241"/>
      <c r="AG602" s="242"/>
      <c r="AH602" s="243"/>
      <c r="AI602" s="243"/>
      <c r="AJ602" s="244" t="s">
        <v>198</v>
      </c>
      <c r="AK602" s="244" t="s">
        <v>185</v>
      </c>
      <c r="AL602" s="244" t="s">
        <v>185</v>
      </c>
      <c r="AM602" s="239" t="s">
        <v>2494</v>
      </c>
      <c r="AN602" s="20">
        <v>182</v>
      </c>
      <c r="AO602" s="20">
        <v>0</v>
      </c>
      <c r="AP602" s="20">
        <v>20</v>
      </c>
      <c r="AQ602" s="20">
        <v>0</v>
      </c>
      <c r="AR602" s="20">
        <v>0</v>
      </c>
      <c r="AS602" s="20">
        <v>7</v>
      </c>
      <c r="AT602" s="20">
        <v>10</v>
      </c>
      <c r="AU602" s="300">
        <f t="shared" si="100"/>
        <v>219</v>
      </c>
      <c r="AV602" s="20">
        <v>190</v>
      </c>
      <c r="AW602" s="20">
        <v>0</v>
      </c>
      <c r="AX602" s="20">
        <v>20</v>
      </c>
      <c r="AY602" s="20">
        <v>0</v>
      </c>
      <c r="AZ602" s="20">
        <v>0</v>
      </c>
      <c r="BA602" s="20">
        <v>7</v>
      </c>
      <c r="BB602" s="20">
        <v>10</v>
      </c>
      <c r="BC602" s="300">
        <f t="shared" si="101"/>
        <v>227</v>
      </c>
      <c r="BD602" s="42">
        <f t="shared" si="102"/>
        <v>8</v>
      </c>
      <c r="BE602" s="42">
        <f t="shared" si="103"/>
        <v>0</v>
      </c>
      <c r="BF602" s="42">
        <f t="shared" si="104"/>
        <v>0</v>
      </c>
      <c r="BG602" s="42">
        <f t="shared" si="105"/>
        <v>0</v>
      </c>
      <c r="BH602" s="42">
        <f t="shared" si="106"/>
        <v>0</v>
      </c>
      <c r="BI602" s="42">
        <f t="shared" si="107"/>
        <v>0</v>
      </c>
      <c r="BJ602" s="42">
        <f t="shared" si="108"/>
        <v>0</v>
      </c>
      <c r="BK602" s="42">
        <f t="shared" si="109"/>
        <v>8</v>
      </c>
    </row>
    <row r="603" spans="1:63" ht="27" customHeight="1">
      <c r="A603" s="222">
        <f t="shared" si="110"/>
        <v>601</v>
      </c>
      <c r="B603" s="223"/>
      <c r="C603" s="223">
        <v>3677</v>
      </c>
      <c r="D603" s="225" t="s">
        <v>3746</v>
      </c>
      <c r="E603" s="226" t="s">
        <v>3747</v>
      </c>
      <c r="F603" s="227" t="s">
        <v>1173</v>
      </c>
      <c r="G603" s="228" t="s">
        <v>2291</v>
      </c>
      <c r="H603" s="229" t="s">
        <v>3318</v>
      </c>
      <c r="I603" s="230" t="s">
        <v>3748</v>
      </c>
      <c r="J603" s="231" t="s">
        <v>173</v>
      </c>
      <c r="K603" s="232">
        <v>29747</v>
      </c>
      <c r="L603" s="233" t="s">
        <v>174</v>
      </c>
      <c r="M603" s="234">
        <v>43757</v>
      </c>
      <c r="N603" s="234"/>
      <c r="O603" s="234"/>
      <c r="P603" s="222" t="s">
        <v>3749</v>
      </c>
      <c r="Q603" s="222" t="s">
        <v>244</v>
      </c>
      <c r="R603" s="222" t="s">
        <v>177</v>
      </c>
      <c r="S603" s="222" t="s">
        <v>2392</v>
      </c>
      <c r="T603" s="235"/>
      <c r="U603" s="235"/>
      <c r="V603" s="236" t="s">
        <v>179</v>
      </c>
      <c r="W603" s="236" t="s">
        <v>179</v>
      </c>
      <c r="X603" s="236">
        <v>3</v>
      </c>
      <c r="Y603" s="237" t="s">
        <v>3750</v>
      </c>
      <c r="Z603" s="238"/>
      <c r="AA603" s="238" t="s">
        <v>181</v>
      </c>
      <c r="AB603" s="236"/>
      <c r="AC603" s="239"/>
      <c r="AD603" s="240"/>
      <c r="AE603" s="240"/>
      <c r="AF603" s="241"/>
      <c r="AG603" s="242"/>
      <c r="AH603" s="243"/>
      <c r="AI603" s="243"/>
      <c r="AJ603" s="244" t="s">
        <v>198</v>
      </c>
      <c r="AK603" s="244" t="s">
        <v>185</v>
      </c>
      <c r="AL603" s="244" t="s">
        <v>185</v>
      </c>
      <c r="AM603" s="239" t="s">
        <v>2494</v>
      </c>
      <c r="AN603" s="20">
        <v>182</v>
      </c>
      <c r="AO603" s="20">
        <v>0</v>
      </c>
      <c r="AP603" s="20">
        <v>20</v>
      </c>
      <c r="AQ603" s="20">
        <v>0</v>
      </c>
      <c r="AR603" s="20">
        <v>0</v>
      </c>
      <c r="AS603" s="20">
        <v>7</v>
      </c>
      <c r="AT603" s="20">
        <v>10</v>
      </c>
      <c r="AU603" s="300">
        <f t="shared" si="100"/>
        <v>219</v>
      </c>
      <c r="AV603" s="20">
        <v>190</v>
      </c>
      <c r="AW603" s="20">
        <v>0</v>
      </c>
      <c r="AX603" s="20">
        <v>20</v>
      </c>
      <c r="AY603" s="20">
        <v>0</v>
      </c>
      <c r="AZ603" s="20">
        <v>0</v>
      </c>
      <c r="BA603" s="20">
        <v>7</v>
      </c>
      <c r="BB603" s="20">
        <v>10</v>
      </c>
      <c r="BC603" s="300">
        <f t="shared" si="101"/>
        <v>227</v>
      </c>
      <c r="BD603" s="42">
        <f t="shared" si="102"/>
        <v>8</v>
      </c>
      <c r="BE603" s="42">
        <f t="shared" si="103"/>
        <v>0</v>
      </c>
      <c r="BF603" s="42">
        <f t="shared" si="104"/>
        <v>0</v>
      </c>
      <c r="BG603" s="42">
        <f t="shared" si="105"/>
        <v>0</v>
      </c>
      <c r="BH603" s="42">
        <f t="shared" si="106"/>
        <v>0</v>
      </c>
      <c r="BI603" s="42">
        <f t="shared" si="107"/>
        <v>0</v>
      </c>
      <c r="BJ603" s="42">
        <f t="shared" si="108"/>
        <v>0</v>
      </c>
      <c r="BK603" s="42">
        <f t="shared" si="109"/>
        <v>8</v>
      </c>
    </row>
    <row r="604" spans="1:63" ht="27" customHeight="1">
      <c r="A604" s="222">
        <f t="shared" si="110"/>
        <v>602</v>
      </c>
      <c r="B604" s="223"/>
      <c r="C604" s="223">
        <v>3670</v>
      </c>
      <c r="D604" s="225" t="s">
        <v>3751</v>
      </c>
      <c r="E604" s="226" t="s">
        <v>3752</v>
      </c>
      <c r="F604" s="227" t="s">
        <v>568</v>
      </c>
      <c r="G604" s="228" t="s">
        <v>3753</v>
      </c>
      <c r="H604" s="229" t="s">
        <v>2192</v>
      </c>
      <c r="I604" s="230" t="s">
        <v>3754</v>
      </c>
      <c r="J604" s="231" t="s">
        <v>173</v>
      </c>
      <c r="K604" s="232">
        <v>33217</v>
      </c>
      <c r="L604" s="233" t="s">
        <v>174</v>
      </c>
      <c r="M604" s="234">
        <v>43757</v>
      </c>
      <c r="N604" s="234"/>
      <c r="O604" s="234"/>
      <c r="P604" s="222" t="s">
        <v>3629</v>
      </c>
      <c r="Q604" s="222" t="s">
        <v>244</v>
      </c>
      <c r="R604" s="222" t="s">
        <v>177</v>
      </c>
      <c r="S604" s="222" t="s">
        <v>2425</v>
      </c>
      <c r="T604" s="235"/>
      <c r="U604" s="235"/>
      <c r="V604" s="236" t="s">
        <v>179</v>
      </c>
      <c r="W604" s="236" t="s">
        <v>179</v>
      </c>
      <c r="X604" s="236">
        <v>7</v>
      </c>
      <c r="Y604" s="237" t="s">
        <v>3755</v>
      </c>
      <c r="Z604" s="238" t="s">
        <v>181</v>
      </c>
      <c r="AA604" s="238"/>
      <c r="AB604" s="236"/>
      <c r="AC604" s="239"/>
      <c r="AD604" s="240"/>
      <c r="AE604" s="240"/>
      <c r="AF604" s="241"/>
      <c r="AG604" s="242"/>
      <c r="AH604" s="243"/>
      <c r="AI604" s="243"/>
      <c r="AJ604" s="244" t="s">
        <v>198</v>
      </c>
      <c r="AK604" s="244" t="s">
        <v>185</v>
      </c>
      <c r="AL604" s="244" t="s">
        <v>185</v>
      </c>
      <c r="AM604" s="239" t="s">
        <v>2494</v>
      </c>
      <c r="AN604" s="20">
        <v>182</v>
      </c>
      <c r="AO604" s="20">
        <v>0</v>
      </c>
      <c r="AP604" s="20">
        <v>20</v>
      </c>
      <c r="AQ604" s="20">
        <v>0</v>
      </c>
      <c r="AR604" s="20">
        <v>0</v>
      </c>
      <c r="AS604" s="20">
        <v>7</v>
      </c>
      <c r="AT604" s="20">
        <v>10</v>
      </c>
      <c r="AU604" s="300">
        <f t="shared" si="100"/>
        <v>219</v>
      </c>
      <c r="AV604" s="20">
        <v>190</v>
      </c>
      <c r="AW604" s="20">
        <v>0</v>
      </c>
      <c r="AX604" s="20">
        <v>20</v>
      </c>
      <c r="AY604" s="20">
        <v>0</v>
      </c>
      <c r="AZ604" s="20">
        <v>0</v>
      </c>
      <c r="BA604" s="20">
        <v>7</v>
      </c>
      <c r="BB604" s="20">
        <v>10</v>
      </c>
      <c r="BC604" s="300">
        <f t="shared" si="101"/>
        <v>227</v>
      </c>
      <c r="BD604" s="42">
        <f t="shared" si="102"/>
        <v>8</v>
      </c>
      <c r="BE604" s="42">
        <f t="shared" si="103"/>
        <v>0</v>
      </c>
      <c r="BF604" s="42">
        <f t="shared" si="104"/>
        <v>0</v>
      </c>
      <c r="BG604" s="42">
        <f t="shared" si="105"/>
        <v>0</v>
      </c>
      <c r="BH604" s="42">
        <f t="shared" si="106"/>
        <v>0</v>
      </c>
      <c r="BI604" s="42">
        <f t="shared" si="107"/>
        <v>0</v>
      </c>
      <c r="BJ604" s="42">
        <f t="shared" si="108"/>
        <v>0</v>
      </c>
      <c r="BK604" s="42">
        <f t="shared" si="109"/>
        <v>8</v>
      </c>
    </row>
    <row r="605" spans="1:63" ht="27" customHeight="1">
      <c r="A605" s="222">
        <f t="shared" si="110"/>
        <v>603</v>
      </c>
      <c r="B605" s="223"/>
      <c r="C605" s="223">
        <v>3653</v>
      </c>
      <c r="D605" s="225" t="s">
        <v>3756</v>
      </c>
      <c r="E605" s="226" t="s">
        <v>3757</v>
      </c>
      <c r="F605" s="227" t="s">
        <v>477</v>
      </c>
      <c r="G605" s="228" t="s">
        <v>3758</v>
      </c>
      <c r="H605" s="229" t="s">
        <v>3759</v>
      </c>
      <c r="I605" s="230" t="s">
        <v>3760</v>
      </c>
      <c r="J605" s="231" t="s">
        <v>173</v>
      </c>
      <c r="K605" s="232">
        <v>34620</v>
      </c>
      <c r="L605" s="233" t="s">
        <v>174</v>
      </c>
      <c r="M605" s="234">
        <v>43757</v>
      </c>
      <c r="N605" s="234"/>
      <c r="O605" s="234"/>
      <c r="P605" s="222" t="s">
        <v>2493</v>
      </c>
      <c r="Q605" s="222" t="s">
        <v>244</v>
      </c>
      <c r="R605" s="222" t="s">
        <v>177</v>
      </c>
      <c r="S605" s="222" t="s">
        <v>2500</v>
      </c>
      <c r="T605" s="235"/>
      <c r="U605" s="235"/>
      <c r="V605" s="236" t="s">
        <v>179</v>
      </c>
      <c r="W605" s="236" t="s">
        <v>179</v>
      </c>
      <c r="X605" s="236">
        <v>5</v>
      </c>
      <c r="Y605" s="237" t="s">
        <v>3761</v>
      </c>
      <c r="Z605" s="238" t="s">
        <v>181</v>
      </c>
      <c r="AA605" s="238"/>
      <c r="AB605" s="236"/>
      <c r="AC605" s="239"/>
      <c r="AD605" s="240"/>
      <c r="AE605" s="240"/>
      <c r="AF605" s="241"/>
      <c r="AG605" s="242"/>
      <c r="AH605" s="243"/>
      <c r="AI605" s="243"/>
      <c r="AJ605" s="244" t="s">
        <v>198</v>
      </c>
      <c r="AK605" s="244" t="s">
        <v>185</v>
      </c>
      <c r="AL605" s="244" t="s">
        <v>185</v>
      </c>
      <c r="AM605" s="239" t="s">
        <v>2494</v>
      </c>
      <c r="AN605" s="20">
        <v>182</v>
      </c>
      <c r="AO605" s="20">
        <v>0</v>
      </c>
      <c r="AP605" s="20">
        <v>20</v>
      </c>
      <c r="AQ605" s="20">
        <v>0</v>
      </c>
      <c r="AR605" s="20">
        <v>0</v>
      </c>
      <c r="AS605" s="20">
        <v>7</v>
      </c>
      <c r="AT605" s="20">
        <v>10</v>
      </c>
      <c r="AU605" s="300">
        <f t="shared" si="100"/>
        <v>219</v>
      </c>
      <c r="AV605" s="20">
        <v>190</v>
      </c>
      <c r="AW605" s="20">
        <v>0</v>
      </c>
      <c r="AX605" s="20">
        <v>20</v>
      </c>
      <c r="AY605" s="20">
        <v>0</v>
      </c>
      <c r="AZ605" s="20">
        <v>0</v>
      </c>
      <c r="BA605" s="20">
        <v>7</v>
      </c>
      <c r="BB605" s="20">
        <v>10</v>
      </c>
      <c r="BC605" s="300">
        <f t="shared" si="101"/>
        <v>227</v>
      </c>
      <c r="BD605" s="42">
        <f t="shared" si="102"/>
        <v>8</v>
      </c>
      <c r="BE605" s="42">
        <f t="shared" si="103"/>
        <v>0</v>
      </c>
      <c r="BF605" s="42">
        <f t="shared" si="104"/>
        <v>0</v>
      </c>
      <c r="BG605" s="42">
        <f t="shared" si="105"/>
        <v>0</v>
      </c>
      <c r="BH605" s="42">
        <f t="shared" si="106"/>
        <v>0</v>
      </c>
      <c r="BI605" s="42">
        <f t="shared" si="107"/>
        <v>0</v>
      </c>
      <c r="BJ605" s="42">
        <f t="shared" si="108"/>
        <v>0</v>
      </c>
      <c r="BK605" s="42">
        <f t="shared" si="109"/>
        <v>8</v>
      </c>
    </row>
    <row r="606" spans="1:63" ht="27" customHeight="1">
      <c r="A606" s="222">
        <f t="shared" si="110"/>
        <v>604</v>
      </c>
      <c r="B606" s="223"/>
      <c r="C606" s="223">
        <v>3752</v>
      </c>
      <c r="D606" s="225">
        <v>0</v>
      </c>
      <c r="E606" s="226" t="s">
        <v>3762</v>
      </c>
      <c r="F606" s="227" t="s">
        <v>3763</v>
      </c>
      <c r="G606" s="228" t="s">
        <v>2088</v>
      </c>
      <c r="H606" s="229" t="s">
        <v>3764</v>
      </c>
      <c r="I606" s="230" t="s">
        <v>2471</v>
      </c>
      <c r="J606" s="231" t="s">
        <v>204</v>
      </c>
      <c r="K606" s="232">
        <v>32694</v>
      </c>
      <c r="L606" s="233" t="s">
        <v>174</v>
      </c>
      <c r="M606" s="234">
        <v>43763</v>
      </c>
      <c r="N606" s="234"/>
      <c r="O606" s="234"/>
      <c r="P606" s="222" t="s">
        <v>3765</v>
      </c>
      <c r="Q606" s="222" t="s">
        <v>244</v>
      </c>
      <c r="R606" s="222" t="s">
        <v>177</v>
      </c>
      <c r="S606" s="222" t="s">
        <v>2425</v>
      </c>
      <c r="T606" s="235"/>
      <c r="U606" s="235"/>
      <c r="V606" s="236" t="s">
        <v>179</v>
      </c>
      <c r="W606" s="236" t="s">
        <v>179</v>
      </c>
      <c r="X606" s="236">
        <v>4</v>
      </c>
      <c r="Y606" s="237" t="s">
        <v>3766</v>
      </c>
      <c r="Z606" s="238"/>
      <c r="AA606" s="238" t="s">
        <v>181</v>
      </c>
      <c r="AB606" s="236"/>
      <c r="AC606" s="239"/>
      <c r="AD606" s="240" t="s">
        <v>183</v>
      </c>
      <c r="AE606" s="240"/>
      <c r="AF606" s="241"/>
      <c r="AG606" s="242"/>
      <c r="AH606" s="243"/>
      <c r="AI606" s="243"/>
      <c r="AJ606" s="244" t="s">
        <v>198</v>
      </c>
      <c r="AK606" s="244" t="s">
        <v>185</v>
      </c>
      <c r="AL606" s="244" t="s">
        <v>185</v>
      </c>
      <c r="AM606" s="239" t="s">
        <v>2494</v>
      </c>
      <c r="AN606" s="20">
        <v>182</v>
      </c>
      <c r="AO606" s="20">
        <v>0</v>
      </c>
      <c r="AP606" s="20">
        <v>20</v>
      </c>
      <c r="AQ606" s="20">
        <v>0</v>
      </c>
      <c r="AR606" s="20">
        <v>0</v>
      </c>
      <c r="AS606" s="20">
        <v>7</v>
      </c>
      <c r="AT606" s="20">
        <v>10</v>
      </c>
      <c r="AU606" s="300">
        <f t="shared" si="100"/>
        <v>219</v>
      </c>
      <c r="AV606" s="20">
        <v>190</v>
      </c>
      <c r="AW606" s="20">
        <v>0</v>
      </c>
      <c r="AX606" s="20">
        <v>20</v>
      </c>
      <c r="AY606" s="20">
        <v>0</v>
      </c>
      <c r="AZ606" s="20">
        <v>0</v>
      </c>
      <c r="BA606" s="20">
        <v>7</v>
      </c>
      <c r="BB606" s="20">
        <v>10</v>
      </c>
      <c r="BC606" s="300">
        <f t="shared" si="101"/>
        <v>227</v>
      </c>
      <c r="BD606" s="42">
        <f t="shared" si="102"/>
        <v>8</v>
      </c>
      <c r="BE606" s="42">
        <f t="shared" si="103"/>
        <v>0</v>
      </c>
      <c r="BF606" s="42">
        <f t="shared" si="104"/>
        <v>0</v>
      </c>
      <c r="BG606" s="42">
        <f t="shared" si="105"/>
        <v>0</v>
      </c>
      <c r="BH606" s="42">
        <f t="shared" si="106"/>
        <v>0</v>
      </c>
      <c r="BI606" s="42">
        <f t="shared" si="107"/>
        <v>0</v>
      </c>
      <c r="BJ606" s="42">
        <f t="shared" si="108"/>
        <v>0</v>
      </c>
      <c r="BK606" s="42">
        <f t="shared" si="109"/>
        <v>8</v>
      </c>
    </row>
    <row r="607" spans="1:63" ht="27" customHeight="1">
      <c r="A607" s="222">
        <f t="shared" si="110"/>
        <v>605</v>
      </c>
      <c r="B607" s="223"/>
      <c r="C607" s="223">
        <v>3522</v>
      </c>
      <c r="D607" s="225" t="s">
        <v>3767</v>
      </c>
      <c r="E607" s="226" t="s">
        <v>3768</v>
      </c>
      <c r="F607" s="227" t="s">
        <v>1652</v>
      </c>
      <c r="G607" s="228" t="s">
        <v>1784</v>
      </c>
      <c r="H607" s="229" t="s">
        <v>3769</v>
      </c>
      <c r="I607" s="230" t="s">
        <v>3764</v>
      </c>
      <c r="J607" s="231" t="s">
        <v>173</v>
      </c>
      <c r="K607" s="232">
        <v>31977</v>
      </c>
      <c r="L607" s="233" t="s">
        <v>174</v>
      </c>
      <c r="M607" s="234">
        <v>43746</v>
      </c>
      <c r="N607" s="234"/>
      <c r="O607" s="234"/>
      <c r="P607" s="222" t="s">
        <v>3770</v>
      </c>
      <c r="Q607" s="222" t="s">
        <v>244</v>
      </c>
      <c r="R607" s="222" t="s">
        <v>177</v>
      </c>
      <c r="S607" s="222" t="s">
        <v>2354</v>
      </c>
      <c r="T607" s="235"/>
      <c r="U607" s="235"/>
      <c r="V607" s="236" t="s">
        <v>179</v>
      </c>
      <c r="W607" s="236" t="s">
        <v>179</v>
      </c>
      <c r="X607" s="236">
        <v>2</v>
      </c>
      <c r="Y607" s="237" t="s">
        <v>3771</v>
      </c>
      <c r="Z607" s="238"/>
      <c r="AA607" s="238" t="s">
        <v>181</v>
      </c>
      <c r="AB607" s="236"/>
      <c r="AC607" s="239"/>
      <c r="AD607" s="240"/>
      <c r="AE607" s="240"/>
      <c r="AF607" s="241"/>
      <c r="AG607" s="242"/>
      <c r="AH607" s="243"/>
      <c r="AI607" s="243"/>
      <c r="AJ607" s="244" t="s">
        <v>198</v>
      </c>
      <c r="AK607" s="244" t="s">
        <v>185</v>
      </c>
      <c r="AL607" s="244" t="s">
        <v>185</v>
      </c>
      <c r="AM607" s="239" t="s">
        <v>2494</v>
      </c>
      <c r="AN607" s="20">
        <v>182</v>
      </c>
      <c r="AO607" s="20">
        <v>0</v>
      </c>
      <c r="AP607" s="20">
        <v>20</v>
      </c>
      <c r="AQ607" s="20">
        <v>0</v>
      </c>
      <c r="AR607" s="20">
        <v>0</v>
      </c>
      <c r="AS607" s="20">
        <v>7</v>
      </c>
      <c r="AT607" s="20">
        <v>10</v>
      </c>
      <c r="AU607" s="300">
        <f t="shared" si="100"/>
        <v>219</v>
      </c>
      <c r="AV607" s="20">
        <v>190</v>
      </c>
      <c r="AW607" s="20">
        <v>0</v>
      </c>
      <c r="AX607" s="20">
        <v>20</v>
      </c>
      <c r="AY607" s="20">
        <v>0</v>
      </c>
      <c r="AZ607" s="20">
        <v>0</v>
      </c>
      <c r="BA607" s="20">
        <v>7</v>
      </c>
      <c r="BB607" s="20">
        <v>10</v>
      </c>
      <c r="BC607" s="300">
        <f t="shared" si="101"/>
        <v>227</v>
      </c>
      <c r="BD607" s="42">
        <f t="shared" si="102"/>
        <v>8</v>
      </c>
      <c r="BE607" s="42">
        <f t="shared" si="103"/>
        <v>0</v>
      </c>
      <c r="BF607" s="42">
        <f t="shared" si="104"/>
        <v>0</v>
      </c>
      <c r="BG607" s="42">
        <f t="shared" si="105"/>
        <v>0</v>
      </c>
      <c r="BH607" s="42">
        <f t="shared" si="106"/>
        <v>0</v>
      </c>
      <c r="BI607" s="42">
        <f t="shared" si="107"/>
        <v>0</v>
      </c>
      <c r="BJ607" s="42">
        <f t="shared" si="108"/>
        <v>0</v>
      </c>
      <c r="BK607" s="42">
        <f t="shared" si="109"/>
        <v>8</v>
      </c>
    </row>
    <row r="608" spans="1:63" ht="27" customHeight="1">
      <c r="A608" s="222">
        <f t="shared" si="110"/>
        <v>606</v>
      </c>
      <c r="B608" s="223"/>
      <c r="C608" s="223">
        <v>3547</v>
      </c>
      <c r="D608" s="225" t="s">
        <v>3772</v>
      </c>
      <c r="E608" s="226" t="s">
        <v>3773</v>
      </c>
      <c r="F608" s="227" t="s">
        <v>2409</v>
      </c>
      <c r="G608" s="228" t="s">
        <v>3774</v>
      </c>
      <c r="H608" s="229" t="s">
        <v>2411</v>
      </c>
      <c r="I608" s="230" t="s">
        <v>3775</v>
      </c>
      <c r="J608" s="231" t="s">
        <v>204</v>
      </c>
      <c r="K608" s="232">
        <v>33894</v>
      </c>
      <c r="L608" s="233" t="s">
        <v>174</v>
      </c>
      <c r="M608" s="234">
        <v>43747</v>
      </c>
      <c r="N608" s="234"/>
      <c r="O608" s="234"/>
      <c r="P608" s="222" t="s">
        <v>3749</v>
      </c>
      <c r="Q608" s="222" t="s">
        <v>244</v>
      </c>
      <c r="R608" s="222" t="s">
        <v>177</v>
      </c>
      <c r="S608" s="222" t="s">
        <v>2460</v>
      </c>
      <c r="T608" s="235"/>
      <c r="U608" s="235"/>
      <c r="V608" s="236" t="s">
        <v>179</v>
      </c>
      <c r="W608" s="236" t="s">
        <v>179</v>
      </c>
      <c r="X608" s="236">
        <v>9</v>
      </c>
      <c r="Y608" s="237" t="s">
        <v>3776</v>
      </c>
      <c r="Z608" s="238" t="s">
        <v>181</v>
      </c>
      <c r="AA608" s="238"/>
      <c r="AB608" s="236"/>
      <c r="AC608" s="239"/>
      <c r="AD608" s="240"/>
      <c r="AE608" s="240"/>
      <c r="AF608" s="241"/>
      <c r="AG608" s="242"/>
      <c r="AH608" s="243"/>
      <c r="AI608" s="243"/>
      <c r="AJ608" s="244" t="s">
        <v>198</v>
      </c>
      <c r="AK608" s="244" t="s">
        <v>185</v>
      </c>
      <c r="AL608" s="244" t="s">
        <v>185</v>
      </c>
      <c r="AM608" s="239" t="s">
        <v>2494</v>
      </c>
      <c r="AN608" s="20">
        <v>182</v>
      </c>
      <c r="AO608" s="20">
        <v>0</v>
      </c>
      <c r="AP608" s="20">
        <v>20</v>
      </c>
      <c r="AQ608" s="20">
        <v>0</v>
      </c>
      <c r="AR608" s="20">
        <v>0</v>
      </c>
      <c r="AS608" s="20">
        <v>7</v>
      </c>
      <c r="AT608" s="20">
        <v>10</v>
      </c>
      <c r="AU608" s="300">
        <f t="shared" si="100"/>
        <v>219</v>
      </c>
      <c r="AV608" s="20">
        <v>190</v>
      </c>
      <c r="AW608" s="20">
        <v>0</v>
      </c>
      <c r="AX608" s="20">
        <v>20</v>
      </c>
      <c r="AY608" s="20">
        <v>0</v>
      </c>
      <c r="AZ608" s="20">
        <v>0</v>
      </c>
      <c r="BA608" s="20">
        <v>7</v>
      </c>
      <c r="BB608" s="20">
        <v>10</v>
      </c>
      <c r="BC608" s="300">
        <f t="shared" si="101"/>
        <v>227</v>
      </c>
      <c r="BD608" s="42">
        <f t="shared" si="102"/>
        <v>8</v>
      </c>
      <c r="BE608" s="42">
        <f t="shared" si="103"/>
        <v>0</v>
      </c>
      <c r="BF608" s="42">
        <f t="shared" si="104"/>
        <v>0</v>
      </c>
      <c r="BG608" s="42">
        <f t="shared" si="105"/>
        <v>0</v>
      </c>
      <c r="BH608" s="42">
        <f t="shared" si="106"/>
        <v>0</v>
      </c>
      <c r="BI608" s="42">
        <f t="shared" si="107"/>
        <v>0</v>
      </c>
      <c r="BJ608" s="42">
        <f t="shared" si="108"/>
        <v>0</v>
      </c>
      <c r="BK608" s="42">
        <f t="shared" si="109"/>
        <v>8</v>
      </c>
    </row>
    <row r="609" spans="1:63" ht="27" customHeight="1">
      <c r="A609" s="222">
        <f t="shared" si="110"/>
        <v>607</v>
      </c>
      <c r="B609" s="223"/>
      <c r="C609" s="223">
        <v>3651</v>
      </c>
      <c r="D609" s="225" t="s">
        <v>3777</v>
      </c>
      <c r="E609" s="226" t="s">
        <v>3778</v>
      </c>
      <c r="F609" s="227" t="s">
        <v>2305</v>
      </c>
      <c r="G609" s="228" t="s">
        <v>575</v>
      </c>
      <c r="H609" s="229" t="s">
        <v>2307</v>
      </c>
      <c r="I609" s="230" t="s">
        <v>3779</v>
      </c>
      <c r="J609" s="231" t="s">
        <v>173</v>
      </c>
      <c r="K609" s="232">
        <v>31478</v>
      </c>
      <c r="L609" s="233" t="s">
        <v>174</v>
      </c>
      <c r="M609" s="234">
        <v>43755</v>
      </c>
      <c r="N609" s="234"/>
      <c r="O609" s="234"/>
      <c r="P609" s="222" t="s">
        <v>3780</v>
      </c>
      <c r="Q609" s="222" t="s">
        <v>244</v>
      </c>
      <c r="R609" s="222" t="s">
        <v>177</v>
      </c>
      <c r="S609" s="222" t="s">
        <v>2425</v>
      </c>
      <c r="T609" s="235"/>
      <c r="U609" s="235"/>
      <c r="V609" s="236" t="s">
        <v>179</v>
      </c>
      <c r="W609" s="236" t="s">
        <v>179</v>
      </c>
      <c r="X609" s="236">
        <v>9</v>
      </c>
      <c r="Y609" s="237" t="s">
        <v>3781</v>
      </c>
      <c r="Z609" s="238"/>
      <c r="AA609" s="238" t="s">
        <v>181</v>
      </c>
      <c r="AB609" s="236"/>
      <c r="AC609" s="239"/>
      <c r="AD609" s="240"/>
      <c r="AE609" s="240"/>
      <c r="AF609" s="241"/>
      <c r="AG609" s="242"/>
      <c r="AH609" s="243"/>
      <c r="AI609" s="243"/>
      <c r="AJ609" s="244" t="s">
        <v>198</v>
      </c>
      <c r="AK609" s="244" t="s">
        <v>185</v>
      </c>
      <c r="AL609" s="244" t="s">
        <v>185</v>
      </c>
      <c r="AM609" s="239" t="s">
        <v>2494</v>
      </c>
      <c r="AN609" s="20">
        <v>182</v>
      </c>
      <c r="AO609" s="20">
        <v>0</v>
      </c>
      <c r="AP609" s="20">
        <v>20</v>
      </c>
      <c r="AQ609" s="20">
        <v>0</v>
      </c>
      <c r="AR609" s="20">
        <v>0</v>
      </c>
      <c r="AS609" s="20">
        <v>7</v>
      </c>
      <c r="AT609" s="20">
        <v>10</v>
      </c>
      <c r="AU609" s="300">
        <f t="shared" si="100"/>
        <v>219</v>
      </c>
      <c r="AV609" s="20">
        <v>190</v>
      </c>
      <c r="AW609" s="20">
        <v>0</v>
      </c>
      <c r="AX609" s="20">
        <v>20</v>
      </c>
      <c r="AY609" s="20">
        <v>0</v>
      </c>
      <c r="AZ609" s="20">
        <v>0</v>
      </c>
      <c r="BA609" s="20">
        <v>7</v>
      </c>
      <c r="BB609" s="20">
        <v>10</v>
      </c>
      <c r="BC609" s="300">
        <f t="shared" si="101"/>
        <v>227</v>
      </c>
      <c r="BD609" s="42">
        <f t="shared" si="102"/>
        <v>8</v>
      </c>
      <c r="BE609" s="42">
        <f t="shared" si="103"/>
        <v>0</v>
      </c>
      <c r="BF609" s="42">
        <f t="shared" si="104"/>
        <v>0</v>
      </c>
      <c r="BG609" s="42">
        <f t="shared" si="105"/>
        <v>0</v>
      </c>
      <c r="BH609" s="42">
        <f t="shared" si="106"/>
        <v>0</v>
      </c>
      <c r="BI609" s="42">
        <f t="shared" si="107"/>
        <v>0</v>
      </c>
      <c r="BJ609" s="42">
        <f t="shared" si="108"/>
        <v>0</v>
      </c>
      <c r="BK609" s="42">
        <f t="shared" si="109"/>
        <v>8</v>
      </c>
    </row>
    <row r="610" spans="1:63" ht="27" customHeight="1">
      <c r="A610" s="222">
        <f t="shared" si="110"/>
        <v>608</v>
      </c>
      <c r="B610" s="223"/>
      <c r="C610" s="223">
        <v>3658</v>
      </c>
      <c r="D610" s="225" t="s">
        <v>3782</v>
      </c>
      <c r="E610" s="226" t="s">
        <v>3783</v>
      </c>
      <c r="F610" s="227" t="s">
        <v>190</v>
      </c>
      <c r="G610" s="228" t="s">
        <v>3784</v>
      </c>
      <c r="H610" s="229" t="s">
        <v>192</v>
      </c>
      <c r="I610" s="230" t="s">
        <v>3785</v>
      </c>
      <c r="J610" s="231" t="s">
        <v>204</v>
      </c>
      <c r="K610" s="232">
        <v>29959</v>
      </c>
      <c r="L610" s="233" t="s">
        <v>174</v>
      </c>
      <c r="M610" s="234">
        <v>43757</v>
      </c>
      <c r="N610" s="234"/>
      <c r="O610" s="234"/>
      <c r="P610" s="222" t="s">
        <v>3629</v>
      </c>
      <c r="Q610" s="222" t="s">
        <v>244</v>
      </c>
      <c r="R610" s="222" t="s">
        <v>177</v>
      </c>
      <c r="S610" s="222" t="s">
        <v>2500</v>
      </c>
      <c r="T610" s="235"/>
      <c r="U610" s="235"/>
      <c r="V610" s="236" t="s">
        <v>179</v>
      </c>
      <c r="W610" s="236" t="s">
        <v>179</v>
      </c>
      <c r="X610" s="236">
        <v>5</v>
      </c>
      <c r="Y610" s="237" t="s">
        <v>3786</v>
      </c>
      <c r="Z610" s="238"/>
      <c r="AA610" s="238" t="s">
        <v>181</v>
      </c>
      <c r="AB610" s="236"/>
      <c r="AC610" s="239"/>
      <c r="AD610" s="240"/>
      <c r="AE610" s="240"/>
      <c r="AF610" s="241"/>
      <c r="AG610" s="242"/>
      <c r="AH610" s="243"/>
      <c r="AI610" s="243"/>
      <c r="AJ610" s="244" t="s">
        <v>198</v>
      </c>
      <c r="AK610" s="244" t="s">
        <v>185</v>
      </c>
      <c r="AL610" s="244" t="s">
        <v>185</v>
      </c>
      <c r="AM610" s="239" t="s">
        <v>2494</v>
      </c>
      <c r="AN610" s="20">
        <v>182</v>
      </c>
      <c r="AO610" s="20">
        <v>0</v>
      </c>
      <c r="AP610" s="20">
        <v>0</v>
      </c>
      <c r="AQ610" s="20">
        <v>0</v>
      </c>
      <c r="AR610" s="20">
        <v>0</v>
      </c>
      <c r="AS610" s="20">
        <v>7</v>
      </c>
      <c r="AT610" s="20">
        <v>10</v>
      </c>
      <c r="AU610" s="300">
        <f t="shared" si="100"/>
        <v>199</v>
      </c>
      <c r="AV610" s="20">
        <v>190</v>
      </c>
      <c r="AW610" s="20">
        <v>0</v>
      </c>
      <c r="AX610" s="20">
        <v>0</v>
      </c>
      <c r="AY610" s="20">
        <v>0</v>
      </c>
      <c r="AZ610" s="20">
        <v>0</v>
      </c>
      <c r="BA610" s="20">
        <v>7</v>
      </c>
      <c r="BB610" s="20">
        <v>10</v>
      </c>
      <c r="BC610" s="300">
        <f t="shared" si="101"/>
        <v>207</v>
      </c>
      <c r="BD610" s="42">
        <f t="shared" si="102"/>
        <v>8</v>
      </c>
      <c r="BE610" s="42">
        <f t="shared" si="103"/>
        <v>0</v>
      </c>
      <c r="BF610" s="42">
        <f t="shared" si="104"/>
        <v>0</v>
      </c>
      <c r="BG610" s="42">
        <f t="shared" si="105"/>
        <v>0</v>
      </c>
      <c r="BH610" s="42">
        <f t="shared" si="106"/>
        <v>0</v>
      </c>
      <c r="BI610" s="42">
        <f t="shared" si="107"/>
        <v>0</v>
      </c>
      <c r="BJ610" s="42">
        <f t="shared" si="108"/>
        <v>0</v>
      </c>
      <c r="BK610" s="42">
        <f t="shared" si="109"/>
        <v>8</v>
      </c>
    </row>
    <row r="611" spans="1:63" ht="27" customHeight="1">
      <c r="A611" s="222">
        <f t="shared" si="110"/>
        <v>609</v>
      </c>
      <c r="B611" s="223"/>
      <c r="C611" s="223">
        <v>3548</v>
      </c>
      <c r="D611" s="225" t="s">
        <v>3787</v>
      </c>
      <c r="E611" s="226" t="s">
        <v>3788</v>
      </c>
      <c r="F611" s="227" t="s">
        <v>476</v>
      </c>
      <c r="G611" s="228" t="s">
        <v>3789</v>
      </c>
      <c r="H611" s="229" t="s">
        <v>3790</v>
      </c>
      <c r="I611" s="230" t="s">
        <v>3791</v>
      </c>
      <c r="J611" s="231" t="s">
        <v>173</v>
      </c>
      <c r="K611" s="232">
        <v>33820</v>
      </c>
      <c r="L611" s="233" t="s">
        <v>174</v>
      </c>
      <c r="M611" s="234">
        <v>43747</v>
      </c>
      <c r="N611" s="234"/>
      <c r="O611" s="234"/>
      <c r="P611" s="222" t="s">
        <v>3749</v>
      </c>
      <c r="Q611" s="222" t="s">
        <v>244</v>
      </c>
      <c r="R611" s="222" t="s">
        <v>177</v>
      </c>
      <c r="S611" s="222" t="s">
        <v>2354</v>
      </c>
      <c r="T611" s="235"/>
      <c r="U611" s="235"/>
      <c r="V611" s="236" t="s">
        <v>179</v>
      </c>
      <c r="W611" s="236" t="s">
        <v>179</v>
      </c>
      <c r="X611" s="236">
        <v>7</v>
      </c>
      <c r="Y611" s="237" t="s">
        <v>3792</v>
      </c>
      <c r="Z611" s="238"/>
      <c r="AA611" s="238" t="s">
        <v>181</v>
      </c>
      <c r="AB611" s="236"/>
      <c r="AC611" s="239"/>
      <c r="AD611" s="240"/>
      <c r="AE611" s="240"/>
      <c r="AF611" s="241"/>
      <c r="AG611" s="242"/>
      <c r="AH611" s="243"/>
      <c r="AI611" s="243"/>
      <c r="AJ611" s="244" t="s">
        <v>198</v>
      </c>
      <c r="AK611" s="244" t="s">
        <v>185</v>
      </c>
      <c r="AL611" s="244" t="s">
        <v>185</v>
      </c>
      <c r="AM611" s="239" t="s">
        <v>2494</v>
      </c>
      <c r="AN611" s="20">
        <v>182</v>
      </c>
      <c r="AO611" s="20">
        <v>0</v>
      </c>
      <c r="AP611" s="20">
        <v>20</v>
      </c>
      <c r="AQ611" s="20">
        <v>0</v>
      </c>
      <c r="AR611" s="20">
        <v>0</v>
      </c>
      <c r="AS611" s="20">
        <v>7</v>
      </c>
      <c r="AT611" s="20">
        <v>10</v>
      </c>
      <c r="AU611" s="300">
        <f t="shared" si="100"/>
        <v>219</v>
      </c>
      <c r="AV611" s="20">
        <v>190</v>
      </c>
      <c r="AW611" s="20">
        <v>0</v>
      </c>
      <c r="AX611" s="20">
        <v>20</v>
      </c>
      <c r="AY611" s="20">
        <v>0</v>
      </c>
      <c r="AZ611" s="20">
        <v>0</v>
      </c>
      <c r="BA611" s="20">
        <v>7</v>
      </c>
      <c r="BB611" s="20">
        <v>10</v>
      </c>
      <c r="BC611" s="300">
        <f t="shared" si="101"/>
        <v>227</v>
      </c>
      <c r="BD611" s="42">
        <f t="shared" si="102"/>
        <v>8</v>
      </c>
      <c r="BE611" s="42">
        <f t="shared" si="103"/>
        <v>0</v>
      </c>
      <c r="BF611" s="42">
        <f t="shared" si="104"/>
        <v>0</v>
      </c>
      <c r="BG611" s="42">
        <f t="shared" si="105"/>
        <v>0</v>
      </c>
      <c r="BH611" s="42">
        <f t="shared" si="106"/>
        <v>0</v>
      </c>
      <c r="BI611" s="42">
        <f t="shared" si="107"/>
        <v>0</v>
      </c>
      <c r="BJ611" s="42">
        <f t="shared" si="108"/>
        <v>0</v>
      </c>
      <c r="BK611" s="42">
        <f t="shared" si="109"/>
        <v>8</v>
      </c>
    </row>
    <row r="612" spans="1:63" ht="27" customHeight="1">
      <c r="A612" s="222">
        <f t="shared" si="110"/>
        <v>610</v>
      </c>
      <c r="B612" s="223"/>
      <c r="C612" s="223">
        <v>3298</v>
      </c>
      <c r="D612" s="225" t="s">
        <v>3793</v>
      </c>
      <c r="E612" s="226" t="s">
        <v>3794</v>
      </c>
      <c r="F612" s="227" t="s">
        <v>1334</v>
      </c>
      <c r="G612" s="228" t="s">
        <v>3795</v>
      </c>
      <c r="H612" s="229" t="s">
        <v>3796</v>
      </c>
      <c r="I612" s="230" t="s">
        <v>3797</v>
      </c>
      <c r="J612" s="231" t="s">
        <v>173</v>
      </c>
      <c r="K612" s="232">
        <v>34897</v>
      </c>
      <c r="L612" s="233" t="s">
        <v>174</v>
      </c>
      <c r="M612" s="234">
        <v>43746</v>
      </c>
      <c r="N612" s="234"/>
      <c r="O612" s="234"/>
      <c r="P612" s="222" t="s">
        <v>3780</v>
      </c>
      <c r="Q612" s="222" t="s">
        <v>244</v>
      </c>
      <c r="R612" s="222" t="s">
        <v>177</v>
      </c>
      <c r="S612" s="222" t="s">
        <v>2379</v>
      </c>
      <c r="T612" s="235"/>
      <c r="U612" s="235"/>
      <c r="V612" s="236" t="s">
        <v>179</v>
      </c>
      <c r="W612" s="236" t="s">
        <v>179</v>
      </c>
      <c r="X612" s="236">
        <v>9</v>
      </c>
      <c r="Y612" s="237" t="s">
        <v>3798</v>
      </c>
      <c r="Z612" s="238" t="s">
        <v>181</v>
      </c>
      <c r="AA612" s="238"/>
      <c r="AB612" s="236"/>
      <c r="AC612" s="239"/>
      <c r="AD612" s="240" t="s">
        <v>183</v>
      </c>
      <c r="AE612" s="240"/>
      <c r="AF612" s="241"/>
      <c r="AG612" s="242"/>
      <c r="AH612" s="243"/>
      <c r="AI612" s="243"/>
      <c r="AJ612" s="244" t="s">
        <v>198</v>
      </c>
      <c r="AK612" s="244" t="s">
        <v>185</v>
      </c>
      <c r="AL612" s="244" t="s">
        <v>185</v>
      </c>
      <c r="AM612" s="239" t="s">
        <v>2494</v>
      </c>
      <c r="AN612" s="20">
        <v>182</v>
      </c>
      <c r="AO612" s="20">
        <v>0</v>
      </c>
      <c r="AP612" s="20">
        <v>20</v>
      </c>
      <c r="AQ612" s="20">
        <v>0</v>
      </c>
      <c r="AR612" s="20">
        <v>0</v>
      </c>
      <c r="AS612" s="20">
        <v>7</v>
      </c>
      <c r="AT612" s="20">
        <v>10</v>
      </c>
      <c r="AU612" s="300">
        <f t="shared" si="100"/>
        <v>219</v>
      </c>
      <c r="AV612" s="20">
        <v>190</v>
      </c>
      <c r="AW612" s="20">
        <v>0</v>
      </c>
      <c r="AX612" s="20">
        <v>20</v>
      </c>
      <c r="AY612" s="20">
        <v>0</v>
      </c>
      <c r="AZ612" s="20">
        <v>0</v>
      </c>
      <c r="BA612" s="20">
        <v>7</v>
      </c>
      <c r="BB612" s="20">
        <v>10</v>
      </c>
      <c r="BC612" s="300">
        <f t="shared" si="101"/>
        <v>227</v>
      </c>
      <c r="BD612" s="42">
        <f t="shared" si="102"/>
        <v>8</v>
      </c>
      <c r="BE612" s="42">
        <f t="shared" si="103"/>
        <v>0</v>
      </c>
      <c r="BF612" s="42">
        <f t="shared" si="104"/>
        <v>0</v>
      </c>
      <c r="BG612" s="42">
        <f t="shared" si="105"/>
        <v>0</v>
      </c>
      <c r="BH612" s="42">
        <f t="shared" si="106"/>
        <v>0</v>
      </c>
      <c r="BI612" s="42">
        <f t="shared" si="107"/>
        <v>0</v>
      </c>
      <c r="BJ612" s="42">
        <f t="shared" si="108"/>
        <v>0</v>
      </c>
      <c r="BK612" s="42">
        <f t="shared" si="109"/>
        <v>8</v>
      </c>
    </row>
    <row r="613" spans="1:63" ht="27" customHeight="1">
      <c r="A613" s="222">
        <f t="shared" si="110"/>
        <v>611</v>
      </c>
      <c r="B613" s="223"/>
      <c r="C613" s="223">
        <v>3237</v>
      </c>
      <c r="D613" s="225">
        <v>0</v>
      </c>
      <c r="E613" s="226" t="s">
        <v>291</v>
      </c>
      <c r="F613" s="227" t="s">
        <v>3092</v>
      </c>
      <c r="G613" s="228" t="s">
        <v>3799</v>
      </c>
      <c r="H613" s="229" t="s">
        <v>3800</v>
      </c>
      <c r="I613" s="230" t="s">
        <v>3801</v>
      </c>
      <c r="J613" s="231" t="s">
        <v>173</v>
      </c>
      <c r="K613" s="232">
        <v>34367</v>
      </c>
      <c r="L613" s="233" t="s">
        <v>174</v>
      </c>
      <c r="M613" s="234">
        <v>43742</v>
      </c>
      <c r="N613" s="234"/>
      <c r="O613" s="234"/>
      <c r="P613" s="222" t="s">
        <v>3770</v>
      </c>
      <c r="Q613" s="222" t="s">
        <v>244</v>
      </c>
      <c r="R613" s="222" t="s">
        <v>177</v>
      </c>
      <c r="S613" s="222" t="s">
        <v>2392</v>
      </c>
      <c r="T613" s="235"/>
      <c r="U613" s="235"/>
      <c r="V613" s="236" t="s">
        <v>179</v>
      </c>
      <c r="W613" s="236" t="s">
        <v>179</v>
      </c>
      <c r="X613" s="236">
        <v>5</v>
      </c>
      <c r="Y613" s="237" t="s">
        <v>3802</v>
      </c>
      <c r="Z613" s="238"/>
      <c r="AA613" s="238" t="s">
        <v>181</v>
      </c>
      <c r="AB613" s="236"/>
      <c r="AC613" s="239"/>
      <c r="AD613" s="240"/>
      <c r="AE613" s="240"/>
      <c r="AF613" s="241"/>
      <c r="AG613" s="242"/>
      <c r="AH613" s="243"/>
      <c r="AI613" s="243"/>
      <c r="AJ613" s="244" t="s">
        <v>198</v>
      </c>
      <c r="AK613" s="244" t="s">
        <v>185</v>
      </c>
      <c r="AL613" s="244" t="s">
        <v>185</v>
      </c>
      <c r="AM613" s="239" t="s">
        <v>2494</v>
      </c>
      <c r="AN613" s="20">
        <v>182</v>
      </c>
      <c r="AO613" s="20">
        <v>0</v>
      </c>
      <c r="AP613" s="20">
        <v>20</v>
      </c>
      <c r="AQ613" s="20">
        <v>0</v>
      </c>
      <c r="AR613" s="20">
        <v>0</v>
      </c>
      <c r="AS613" s="20">
        <v>7</v>
      </c>
      <c r="AT613" s="20">
        <v>10</v>
      </c>
      <c r="AU613" s="300">
        <f t="shared" si="100"/>
        <v>219</v>
      </c>
      <c r="AV613" s="20">
        <v>190</v>
      </c>
      <c r="AW613" s="20">
        <v>0</v>
      </c>
      <c r="AX613" s="20">
        <v>20</v>
      </c>
      <c r="AY613" s="20">
        <v>0</v>
      </c>
      <c r="AZ613" s="20">
        <v>0</v>
      </c>
      <c r="BA613" s="20">
        <v>7</v>
      </c>
      <c r="BB613" s="20">
        <v>10</v>
      </c>
      <c r="BC613" s="300">
        <f t="shared" si="101"/>
        <v>227</v>
      </c>
      <c r="BD613" s="42">
        <f t="shared" si="102"/>
        <v>8</v>
      </c>
      <c r="BE613" s="42">
        <f t="shared" si="103"/>
        <v>0</v>
      </c>
      <c r="BF613" s="42">
        <f t="shared" si="104"/>
        <v>0</v>
      </c>
      <c r="BG613" s="42">
        <f t="shared" si="105"/>
        <v>0</v>
      </c>
      <c r="BH613" s="42">
        <f t="shared" si="106"/>
        <v>0</v>
      </c>
      <c r="BI613" s="42">
        <f t="shared" si="107"/>
        <v>0</v>
      </c>
      <c r="BJ613" s="42">
        <f t="shared" si="108"/>
        <v>0</v>
      </c>
      <c r="BK613" s="42">
        <f t="shared" si="109"/>
        <v>8</v>
      </c>
    </row>
    <row r="614" spans="1:63" ht="27" customHeight="1">
      <c r="A614" s="222">
        <f t="shared" si="110"/>
        <v>612</v>
      </c>
      <c r="B614" s="223"/>
      <c r="C614" s="223">
        <v>3383</v>
      </c>
      <c r="D614" s="225" t="s">
        <v>3803</v>
      </c>
      <c r="E614" s="226" t="s">
        <v>3804</v>
      </c>
      <c r="F614" s="227" t="s">
        <v>1173</v>
      </c>
      <c r="G614" s="228" t="s">
        <v>3805</v>
      </c>
      <c r="H614" s="229" t="s">
        <v>3318</v>
      </c>
      <c r="I614" s="230" t="s">
        <v>3806</v>
      </c>
      <c r="J614" s="231" t="s">
        <v>173</v>
      </c>
      <c r="K614" s="232">
        <v>31640</v>
      </c>
      <c r="L614" s="233" t="s">
        <v>174</v>
      </c>
      <c r="M614" s="234">
        <v>43755</v>
      </c>
      <c r="N614" s="234"/>
      <c r="O614" s="234"/>
      <c r="P614" s="222" t="s">
        <v>260</v>
      </c>
      <c r="Q614" s="222" t="s">
        <v>176</v>
      </c>
      <c r="R614" s="222" t="s">
        <v>177</v>
      </c>
      <c r="S614" s="222" t="s">
        <v>2354</v>
      </c>
      <c r="T614" s="235"/>
      <c r="U614" s="235"/>
      <c r="V614" s="236" t="s">
        <v>179</v>
      </c>
      <c r="W614" s="236" t="s">
        <v>179</v>
      </c>
      <c r="X614" s="236">
        <v>10</v>
      </c>
      <c r="Y614" s="237" t="s">
        <v>3807</v>
      </c>
      <c r="Z614" s="238"/>
      <c r="AA614" s="238" t="s">
        <v>181</v>
      </c>
      <c r="AB614" s="236"/>
      <c r="AC614" s="239"/>
      <c r="AD614" s="240"/>
      <c r="AE614" s="240"/>
      <c r="AF614" s="241"/>
      <c r="AG614" s="242"/>
      <c r="AH614" s="243"/>
      <c r="AI614" s="243"/>
      <c r="AJ614" s="244" t="s">
        <v>198</v>
      </c>
      <c r="AK614" s="244" t="s">
        <v>185</v>
      </c>
      <c r="AL614" s="244" t="s">
        <v>185</v>
      </c>
      <c r="AM614" s="239" t="s">
        <v>2494</v>
      </c>
      <c r="AN614" s="20">
        <v>182</v>
      </c>
      <c r="AO614" s="20">
        <v>0</v>
      </c>
      <c r="AP614" s="20">
        <v>0</v>
      </c>
      <c r="AQ614" s="20">
        <v>0</v>
      </c>
      <c r="AR614" s="20">
        <v>0</v>
      </c>
      <c r="AS614" s="20">
        <v>7</v>
      </c>
      <c r="AT614" s="20">
        <v>10</v>
      </c>
      <c r="AU614" s="300">
        <f t="shared" si="100"/>
        <v>199</v>
      </c>
      <c r="AV614" s="20">
        <v>190</v>
      </c>
      <c r="AW614" s="20">
        <v>0</v>
      </c>
      <c r="AX614" s="20">
        <v>0</v>
      </c>
      <c r="AY614" s="20">
        <v>0</v>
      </c>
      <c r="AZ614" s="20">
        <v>0</v>
      </c>
      <c r="BA614" s="20">
        <v>7</v>
      </c>
      <c r="BB614" s="20">
        <v>10</v>
      </c>
      <c r="BC614" s="300">
        <f t="shared" si="101"/>
        <v>207</v>
      </c>
      <c r="BD614" s="42">
        <f t="shared" si="102"/>
        <v>8</v>
      </c>
      <c r="BE614" s="42">
        <f t="shared" si="103"/>
        <v>0</v>
      </c>
      <c r="BF614" s="42">
        <f t="shared" si="104"/>
        <v>0</v>
      </c>
      <c r="BG614" s="42">
        <f t="shared" si="105"/>
        <v>0</v>
      </c>
      <c r="BH614" s="42">
        <f t="shared" si="106"/>
        <v>0</v>
      </c>
      <c r="BI614" s="42">
        <f t="shared" si="107"/>
        <v>0</v>
      </c>
      <c r="BJ614" s="42">
        <f t="shared" si="108"/>
        <v>0</v>
      </c>
      <c r="BK614" s="42">
        <f t="shared" si="109"/>
        <v>8</v>
      </c>
    </row>
    <row r="615" spans="1:63" ht="27" customHeight="1">
      <c r="A615" s="222">
        <f t="shared" si="110"/>
        <v>613</v>
      </c>
      <c r="B615" s="223"/>
      <c r="C615" s="223">
        <v>3118</v>
      </c>
      <c r="D615" s="225">
        <v>0</v>
      </c>
      <c r="E615" s="226" t="s">
        <v>3808</v>
      </c>
      <c r="F615" s="227" t="s">
        <v>3350</v>
      </c>
      <c r="G615" s="228" t="s">
        <v>3492</v>
      </c>
      <c r="H615" s="229" t="s">
        <v>115</v>
      </c>
      <c r="I615" s="230" t="s">
        <v>3809</v>
      </c>
      <c r="J615" s="231" t="s">
        <v>173</v>
      </c>
      <c r="K615" s="232">
        <v>32202</v>
      </c>
      <c r="L615" s="233" t="s">
        <v>174</v>
      </c>
      <c r="M615" s="234">
        <v>43742</v>
      </c>
      <c r="N615" s="234"/>
      <c r="O615" s="234"/>
      <c r="P615" s="222" t="s">
        <v>334</v>
      </c>
      <c r="Q615" s="222" t="s">
        <v>176</v>
      </c>
      <c r="R615" s="222" t="s">
        <v>177</v>
      </c>
      <c r="S615" s="222" t="s">
        <v>2379</v>
      </c>
      <c r="T615" s="235"/>
      <c r="U615" s="235"/>
      <c r="V615" s="236" t="s">
        <v>179</v>
      </c>
      <c r="W615" s="236" t="s">
        <v>179</v>
      </c>
      <c r="X615" s="236">
        <v>9</v>
      </c>
      <c r="Y615" s="237" t="s">
        <v>291</v>
      </c>
      <c r="Z615" s="238"/>
      <c r="AA615" s="238" t="s">
        <v>181</v>
      </c>
      <c r="AB615" s="236"/>
      <c r="AC615" s="239"/>
      <c r="AD615" s="240"/>
      <c r="AE615" s="240"/>
      <c r="AF615" s="241"/>
      <c r="AG615" s="242"/>
      <c r="AH615" s="243"/>
      <c r="AI615" s="243"/>
      <c r="AJ615" s="244" t="s">
        <v>198</v>
      </c>
      <c r="AK615" s="244" t="s">
        <v>185</v>
      </c>
      <c r="AL615" s="244" t="s">
        <v>185</v>
      </c>
      <c r="AM615" s="239" t="s">
        <v>2494</v>
      </c>
      <c r="AN615" s="20">
        <v>182</v>
      </c>
      <c r="AO615" s="20">
        <v>0</v>
      </c>
      <c r="AP615" s="20">
        <v>0</v>
      </c>
      <c r="AQ615" s="20">
        <v>0</v>
      </c>
      <c r="AR615" s="20">
        <v>0</v>
      </c>
      <c r="AS615" s="20">
        <v>7</v>
      </c>
      <c r="AT615" s="20">
        <v>10</v>
      </c>
      <c r="AU615" s="300">
        <f t="shared" si="100"/>
        <v>199</v>
      </c>
      <c r="AV615" s="20">
        <v>190</v>
      </c>
      <c r="AW615" s="20">
        <v>0</v>
      </c>
      <c r="AX615" s="20">
        <v>0</v>
      </c>
      <c r="AY615" s="20">
        <v>0</v>
      </c>
      <c r="AZ615" s="20">
        <v>0</v>
      </c>
      <c r="BA615" s="20">
        <v>7</v>
      </c>
      <c r="BB615" s="20">
        <v>10</v>
      </c>
      <c r="BC615" s="300">
        <f t="shared" si="101"/>
        <v>207</v>
      </c>
      <c r="BD615" s="42">
        <f t="shared" si="102"/>
        <v>8</v>
      </c>
      <c r="BE615" s="42">
        <f t="shared" si="103"/>
        <v>0</v>
      </c>
      <c r="BF615" s="42">
        <f t="shared" si="104"/>
        <v>0</v>
      </c>
      <c r="BG615" s="42">
        <f t="shared" si="105"/>
        <v>0</v>
      </c>
      <c r="BH615" s="42">
        <f t="shared" si="106"/>
        <v>0</v>
      </c>
      <c r="BI615" s="42">
        <f t="shared" si="107"/>
        <v>0</v>
      </c>
      <c r="BJ615" s="42">
        <f t="shared" si="108"/>
        <v>0</v>
      </c>
      <c r="BK615" s="42">
        <f t="shared" si="109"/>
        <v>8</v>
      </c>
    </row>
    <row r="616" spans="1:63" ht="27" customHeight="1">
      <c r="A616" s="222">
        <f t="shared" si="110"/>
        <v>614</v>
      </c>
      <c r="B616" s="223"/>
      <c r="C616" s="223">
        <v>3387</v>
      </c>
      <c r="D616" s="225" t="s">
        <v>3310</v>
      </c>
      <c r="E616" s="226" t="s">
        <v>3311</v>
      </c>
      <c r="F616" s="227" t="s">
        <v>3312</v>
      </c>
      <c r="G616" s="228" t="s">
        <v>995</v>
      </c>
      <c r="H616" s="229" t="s">
        <v>3314</v>
      </c>
      <c r="I616" s="230" t="s">
        <v>3810</v>
      </c>
      <c r="J616" s="231" t="s">
        <v>173</v>
      </c>
      <c r="K616" s="232">
        <v>31846</v>
      </c>
      <c r="L616" s="233" t="s">
        <v>174</v>
      </c>
      <c r="M616" s="234">
        <v>43760</v>
      </c>
      <c r="N616" s="234"/>
      <c r="O616" s="234"/>
      <c r="P616" s="222" t="s">
        <v>381</v>
      </c>
      <c r="Q616" s="222" t="s">
        <v>176</v>
      </c>
      <c r="R616" s="222" t="s">
        <v>177</v>
      </c>
      <c r="S616" s="222" t="s">
        <v>2354</v>
      </c>
      <c r="T616" s="235"/>
      <c r="U616" s="235"/>
      <c r="V616" s="236" t="s">
        <v>179</v>
      </c>
      <c r="W616" s="236" t="s">
        <v>179</v>
      </c>
      <c r="X616" s="236">
        <v>8</v>
      </c>
      <c r="Y616" s="237" t="s">
        <v>3811</v>
      </c>
      <c r="Z616" s="238" t="s">
        <v>181</v>
      </c>
      <c r="AA616" s="238"/>
      <c r="AB616" s="236"/>
      <c r="AC616" s="239"/>
      <c r="AD616" s="240"/>
      <c r="AE616" s="240"/>
      <c r="AF616" s="241"/>
      <c r="AG616" s="242"/>
      <c r="AH616" s="243"/>
      <c r="AI616" s="243"/>
      <c r="AJ616" s="244" t="s">
        <v>198</v>
      </c>
      <c r="AK616" s="244" t="s">
        <v>185</v>
      </c>
      <c r="AL616" s="244" t="s">
        <v>185</v>
      </c>
      <c r="AM616" s="239" t="s">
        <v>2494</v>
      </c>
      <c r="AN616" s="20">
        <v>182</v>
      </c>
      <c r="AO616" s="20">
        <v>0</v>
      </c>
      <c r="AP616" s="20">
        <v>0</v>
      </c>
      <c r="AQ616" s="20">
        <v>0</v>
      </c>
      <c r="AR616" s="20">
        <v>0</v>
      </c>
      <c r="AS616" s="20">
        <v>7</v>
      </c>
      <c r="AT616" s="20">
        <v>10</v>
      </c>
      <c r="AU616" s="300">
        <f t="shared" si="100"/>
        <v>199</v>
      </c>
      <c r="AV616" s="20">
        <v>190</v>
      </c>
      <c r="AW616" s="20">
        <v>0</v>
      </c>
      <c r="AX616" s="20">
        <v>0</v>
      </c>
      <c r="AY616" s="20">
        <v>0</v>
      </c>
      <c r="AZ616" s="20">
        <v>0</v>
      </c>
      <c r="BA616" s="20">
        <v>7</v>
      </c>
      <c r="BB616" s="20">
        <v>10</v>
      </c>
      <c r="BC616" s="300">
        <f t="shared" si="101"/>
        <v>207</v>
      </c>
      <c r="BD616" s="42">
        <f t="shared" si="102"/>
        <v>8</v>
      </c>
      <c r="BE616" s="42">
        <f t="shared" si="103"/>
        <v>0</v>
      </c>
      <c r="BF616" s="42">
        <f t="shared" si="104"/>
        <v>0</v>
      </c>
      <c r="BG616" s="42">
        <f t="shared" si="105"/>
        <v>0</v>
      </c>
      <c r="BH616" s="42">
        <f t="shared" si="106"/>
        <v>0</v>
      </c>
      <c r="BI616" s="42">
        <f t="shared" si="107"/>
        <v>0</v>
      </c>
      <c r="BJ616" s="42">
        <f t="shared" si="108"/>
        <v>0</v>
      </c>
      <c r="BK616" s="42">
        <f t="shared" si="109"/>
        <v>8</v>
      </c>
    </row>
    <row r="617" spans="1:63" ht="27" customHeight="1">
      <c r="A617" s="222">
        <f t="shared" si="110"/>
        <v>615</v>
      </c>
      <c r="B617" s="223"/>
      <c r="C617" s="223">
        <v>3353</v>
      </c>
      <c r="D617" s="225">
        <v>0</v>
      </c>
      <c r="E617" s="226" t="s">
        <v>3812</v>
      </c>
      <c r="F617" s="227" t="s">
        <v>3813</v>
      </c>
      <c r="G617" s="228" t="s">
        <v>439</v>
      </c>
      <c r="H617" s="229" t="s">
        <v>3814</v>
      </c>
      <c r="I617" s="230" t="s">
        <v>2961</v>
      </c>
      <c r="J617" s="231" t="s">
        <v>173</v>
      </c>
      <c r="K617" s="232">
        <v>29426</v>
      </c>
      <c r="L617" s="233" t="s">
        <v>174</v>
      </c>
      <c r="M617" s="234">
        <v>43754</v>
      </c>
      <c r="N617" s="234"/>
      <c r="O617" s="234"/>
      <c r="P617" s="222" t="s">
        <v>304</v>
      </c>
      <c r="Q617" s="222" t="s">
        <v>176</v>
      </c>
      <c r="R617" s="222" t="s">
        <v>177</v>
      </c>
      <c r="S617" s="222" t="s">
        <v>2593</v>
      </c>
      <c r="T617" s="235"/>
      <c r="U617" s="235"/>
      <c r="V617" s="236" t="s">
        <v>179</v>
      </c>
      <c r="W617" s="236" t="s">
        <v>179</v>
      </c>
      <c r="X617" s="236">
        <v>4</v>
      </c>
      <c r="Y617" s="237" t="s">
        <v>3815</v>
      </c>
      <c r="Z617" s="238"/>
      <c r="AA617" s="238" t="s">
        <v>181</v>
      </c>
      <c r="AB617" s="236"/>
      <c r="AC617" s="239"/>
      <c r="AD617" s="240"/>
      <c r="AE617" s="240"/>
      <c r="AF617" s="241"/>
      <c r="AG617" s="242"/>
      <c r="AH617" s="243"/>
      <c r="AI617" s="243"/>
      <c r="AJ617" s="244" t="s">
        <v>198</v>
      </c>
      <c r="AK617" s="244" t="s">
        <v>185</v>
      </c>
      <c r="AL617" s="244" t="s">
        <v>185</v>
      </c>
      <c r="AM617" s="239" t="s">
        <v>2494</v>
      </c>
      <c r="AN617" s="20">
        <v>182</v>
      </c>
      <c r="AO617" s="20">
        <v>0</v>
      </c>
      <c r="AP617" s="20">
        <v>0</v>
      </c>
      <c r="AQ617" s="20">
        <v>0</v>
      </c>
      <c r="AR617" s="20">
        <v>0</v>
      </c>
      <c r="AS617" s="20">
        <v>7</v>
      </c>
      <c r="AT617" s="20">
        <v>10</v>
      </c>
      <c r="AU617" s="300">
        <f t="shared" si="100"/>
        <v>199</v>
      </c>
      <c r="AV617" s="20">
        <v>190</v>
      </c>
      <c r="AW617" s="20">
        <v>0</v>
      </c>
      <c r="AX617" s="20">
        <v>0</v>
      </c>
      <c r="AY617" s="20">
        <v>0</v>
      </c>
      <c r="AZ617" s="20">
        <v>0</v>
      </c>
      <c r="BA617" s="20">
        <v>7</v>
      </c>
      <c r="BB617" s="20">
        <v>10</v>
      </c>
      <c r="BC617" s="300">
        <f t="shared" si="101"/>
        <v>207</v>
      </c>
      <c r="BD617" s="42">
        <f t="shared" si="102"/>
        <v>8</v>
      </c>
      <c r="BE617" s="42">
        <f t="shared" si="103"/>
        <v>0</v>
      </c>
      <c r="BF617" s="42">
        <f t="shared" si="104"/>
        <v>0</v>
      </c>
      <c r="BG617" s="42">
        <f t="shared" si="105"/>
        <v>0</v>
      </c>
      <c r="BH617" s="42">
        <f t="shared" si="106"/>
        <v>0</v>
      </c>
      <c r="BI617" s="42">
        <f t="shared" si="107"/>
        <v>0</v>
      </c>
      <c r="BJ617" s="42">
        <f t="shared" si="108"/>
        <v>0</v>
      </c>
      <c r="BK617" s="42">
        <f t="shared" si="109"/>
        <v>8</v>
      </c>
    </row>
    <row r="618" spans="1:63" ht="27" customHeight="1">
      <c r="A618" s="222">
        <f t="shared" si="110"/>
        <v>616</v>
      </c>
      <c r="B618" s="223"/>
      <c r="C618" s="223">
        <v>3355</v>
      </c>
      <c r="D618" s="225" t="s">
        <v>3816</v>
      </c>
      <c r="E618" s="226" t="s">
        <v>3817</v>
      </c>
      <c r="F618" s="227" t="s">
        <v>3789</v>
      </c>
      <c r="G618" s="228" t="s">
        <v>1419</v>
      </c>
      <c r="H618" s="229" t="s">
        <v>10</v>
      </c>
      <c r="I618" s="230" t="s">
        <v>2465</v>
      </c>
      <c r="J618" s="231" t="s">
        <v>173</v>
      </c>
      <c r="K618" s="232">
        <v>29230</v>
      </c>
      <c r="L618" s="233" t="s">
        <v>174</v>
      </c>
      <c r="M618" s="234">
        <v>43755</v>
      </c>
      <c r="N618" s="234"/>
      <c r="O618" s="234"/>
      <c r="P618" s="222" t="s">
        <v>222</v>
      </c>
      <c r="Q618" s="222" t="s">
        <v>176</v>
      </c>
      <c r="R618" s="222" t="s">
        <v>177</v>
      </c>
      <c r="S618" s="222" t="s">
        <v>2392</v>
      </c>
      <c r="T618" s="235"/>
      <c r="U618" s="235"/>
      <c r="V618" s="236" t="s">
        <v>179</v>
      </c>
      <c r="W618" s="236" t="s">
        <v>179</v>
      </c>
      <c r="X618" s="236">
        <v>3</v>
      </c>
      <c r="Y618" s="237" t="s">
        <v>3818</v>
      </c>
      <c r="Z618" s="238"/>
      <c r="AA618" s="238" t="s">
        <v>181</v>
      </c>
      <c r="AB618" s="236"/>
      <c r="AC618" s="239"/>
      <c r="AD618" s="240"/>
      <c r="AE618" s="240"/>
      <c r="AF618" s="241"/>
      <c r="AG618" s="242"/>
      <c r="AH618" s="243"/>
      <c r="AI618" s="243"/>
      <c r="AJ618" s="244" t="s">
        <v>198</v>
      </c>
      <c r="AK618" s="244" t="s">
        <v>185</v>
      </c>
      <c r="AL618" s="244" t="s">
        <v>185</v>
      </c>
      <c r="AM618" s="239" t="s">
        <v>2494</v>
      </c>
      <c r="AN618" s="20">
        <v>182</v>
      </c>
      <c r="AO618" s="20">
        <v>0</v>
      </c>
      <c r="AP618" s="20">
        <v>0</v>
      </c>
      <c r="AQ618" s="20">
        <v>0</v>
      </c>
      <c r="AR618" s="20">
        <v>0</v>
      </c>
      <c r="AS618" s="20">
        <v>7</v>
      </c>
      <c r="AT618" s="20">
        <v>10</v>
      </c>
      <c r="AU618" s="300">
        <f t="shared" si="100"/>
        <v>199</v>
      </c>
      <c r="AV618" s="20">
        <v>190</v>
      </c>
      <c r="AW618" s="20">
        <v>0</v>
      </c>
      <c r="AX618" s="20">
        <v>0</v>
      </c>
      <c r="AY618" s="20">
        <v>0</v>
      </c>
      <c r="AZ618" s="20">
        <v>0</v>
      </c>
      <c r="BA618" s="20">
        <v>7</v>
      </c>
      <c r="BB618" s="20">
        <v>10</v>
      </c>
      <c r="BC618" s="300">
        <f t="shared" si="101"/>
        <v>207</v>
      </c>
      <c r="BD618" s="42">
        <f t="shared" si="102"/>
        <v>8</v>
      </c>
      <c r="BE618" s="42">
        <f t="shared" si="103"/>
        <v>0</v>
      </c>
      <c r="BF618" s="42">
        <f t="shared" si="104"/>
        <v>0</v>
      </c>
      <c r="BG618" s="42">
        <f t="shared" si="105"/>
        <v>0</v>
      </c>
      <c r="BH618" s="42">
        <f t="shared" si="106"/>
        <v>0</v>
      </c>
      <c r="BI618" s="42">
        <f t="shared" si="107"/>
        <v>0</v>
      </c>
      <c r="BJ618" s="42">
        <f t="shared" si="108"/>
        <v>0</v>
      </c>
      <c r="BK618" s="42">
        <f t="shared" si="109"/>
        <v>8</v>
      </c>
    </row>
    <row r="619" spans="1:63" ht="27" customHeight="1">
      <c r="A619" s="222">
        <f t="shared" si="110"/>
        <v>617</v>
      </c>
      <c r="B619" s="223"/>
      <c r="C619" s="223">
        <v>3095</v>
      </c>
      <c r="D619" s="225" t="s">
        <v>3819</v>
      </c>
      <c r="E619" s="226" t="s">
        <v>3820</v>
      </c>
      <c r="F619" s="227" t="s">
        <v>3821</v>
      </c>
      <c r="G619" s="228" t="s">
        <v>3022</v>
      </c>
      <c r="H619" s="229" t="s">
        <v>3822</v>
      </c>
      <c r="I619" s="230" t="s">
        <v>114</v>
      </c>
      <c r="J619" s="231" t="s">
        <v>173</v>
      </c>
      <c r="K619" s="232">
        <v>33118</v>
      </c>
      <c r="L619" s="233" t="s">
        <v>174</v>
      </c>
      <c r="M619" s="234">
        <v>43726</v>
      </c>
      <c r="N619" s="234"/>
      <c r="O619" s="234"/>
      <c r="P619" s="222" t="s">
        <v>83</v>
      </c>
      <c r="Q619" s="222" t="s">
        <v>176</v>
      </c>
      <c r="R619" s="222" t="s">
        <v>177</v>
      </c>
      <c r="S619" s="222" t="s">
        <v>3596</v>
      </c>
      <c r="T619" s="235"/>
      <c r="U619" s="235"/>
      <c r="V619" s="236" t="s">
        <v>179</v>
      </c>
      <c r="W619" s="236" t="s">
        <v>179</v>
      </c>
      <c r="X619" s="236">
        <v>4</v>
      </c>
      <c r="Y619" s="237" t="s">
        <v>3823</v>
      </c>
      <c r="Z619" s="238"/>
      <c r="AA619" s="238" t="s">
        <v>181</v>
      </c>
      <c r="AB619" s="236"/>
      <c r="AC619" s="239"/>
      <c r="AD619" s="240"/>
      <c r="AE619" s="240"/>
      <c r="AF619" s="241"/>
      <c r="AG619" s="242"/>
      <c r="AH619" s="243"/>
      <c r="AI619" s="243"/>
      <c r="AJ619" s="244" t="s">
        <v>198</v>
      </c>
      <c r="AK619" s="244" t="s">
        <v>185</v>
      </c>
      <c r="AL619" s="244" t="s">
        <v>185</v>
      </c>
      <c r="AM619" s="239" t="s">
        <v>2494</v>
      </c>
      <c r="AN619" s="20">
        <v>182</v>
      </c>
      <c r="AO619" s="20">
        <v>0</v>
      </c>
      <c r="AP619" s="20">
        <v>0</v>
      </c>
      <c r="AQ619" s="20">
        <v>0</v>
      </c>
      <c r="AR619" s="20">
        <v>0</v>
      </c>
      <c r="AS619" s="20">
        <v>7</v>
      </c>
      <c r="AT619" s="20">
        <v>10</v>
      </c>
      <c r="AU619" s="300">
        <f t="shared" si="100"/>
        <v>199</v>
      </c>
      <c r="AV619" s="20">
        <v>190</v>
      </c>
      <c r="AW619" s="20">
        <v>0</v>
      </c>
      <c r="AX619" s="20">
        <v>0</v>
      </c>
      <c r="AY619" s="20">
        <v>0</v>
      </c>
      <c r="AZ619" s="20">
        <v>0</v>
      </c>
      <c r="BA619" s="20">
        <v>7</v>
      </c>
      <c r="BB619" s="20">
        <v>10</v>
      </c>
      <c r="BC619" s="300">
        <f t="shared" si="101"/>
        <v>207</v>
      </c>
      <c r="BD619" s="42">
        <f t="shared" si="102"/>
        <v>8</v>
      </c>
      <c r="BE619" s="42">
        <f t="shared" si="103"/>
        <v>0</v>
      </c>
      <c r="BF619" s="42">
        <f t="shared" si="104"/>
        <v>0</v>
      </c>
      <c r="BG619" s="42">
        <f t="shared" si="105"/>
        <v>0</v>
      </c>
      <c r="BH619" s="42">
        <f t="shared" si="106"/>
        <v>0</v>
      </c>
      <c r="BI619" s="42">
        <f t="shared" si="107"/>
        <v>0</v>
      </c>
      <c r="BJ619" s="42">
        <f t="shared" si="108"/>
        <v>0</v>
      </c>
      <c r="BK619" s="42">
        <f t="shared" si="109"/>
        <v>8</v>
      </c>
    </row>
    <row r="620" spans="1:63" ht="27" customHeight="1">
      <c r="A620" s="222">
        <f t="shared" si="110"/>
        <v>618</v>
      </c>
      <c r="B620" s="223"/>
      <c r="C620" s="223">
        <v>3654</v>
      </c>
      <c r="D620" s="225">
        <v>0</v>
      </c>
      <c r="E620" s="226" t="s">
        <v>291</v>
      </c>
      <c r="F620" s="227" t="s">
        <v>3824</v>
      </c>
      <c r="G620" s="228" t="s">
        <v>3825</v>
      </c>
      <c r="H620" s="229" t="s">
        <v>3826</v>
      </c>
      <c r="I620" s="230" t="s">
        <v>3827</v>
      </c>
      <c r="J620" s="231" t="s">
        <v>173</v>
      </c>
      <c r="K620" s="232">
        <v>35525</v>
      </c>
      <c r="L620" s="233" t="s">
        <v>174</v>
      </c>
      <c r="M620" s="234">
        <v>43755</v>
      </c>
      <c r="N620" s="234"/>
      <c r="O620" s="234"/>
      <c r="P620" s="222" t="s">
        <v>3828</v>
      </c>
      <c r="Q620" s="222" t="s">
        <v>244</v>
      </c>
      <c r="R620" s="222" t="s">
        <v>177</v>
      </c>
      <c r="S620" s="222" t="s">
        <v>2593</v>
      </c>
      <c r="T620" s="235"/>
      <c r="U620" s="235"/>
      <c r="V620" s="236" t="s">
        <v>179</v>
      </c>
      <c r="W620" s="236" t="s">
        <v>179</v>
      </c>
      <c r="X620" s="236">
        <v>9</v>
      </c>
      <c r="Y620" s="237"/>
      <c r="Z620" s="238"/>
      <c r="AA620" s="238"/>
      <c r="AB620" s="236"/>
      <c r="AC620" s="239"/>
      <c r="AD620" s="240"/>
      <c r="AE620" s="240"/>
      <c r="AF620" s="241"/>
      <c r="AG620" s="242"/>
      <c r="AH620" s="243"/>
      <c r="AI620" s="243"/>
      <c r="AJ620" s="244" t="s">
        <v>198</v>
      </c>
      <c r="AK620" s="244" t="s">
        <v>185</v>
      </c>
      <c r="AL620" s="244" t="s">
        <v>185</v>
      </c>
      <c r="AM620" s="239" t="s">
        <v>2494</v>
      </c>
      <c r="AN620" s="20">
        <v>182</v>
      </c>
      <c r="AO620" s="20">
        <v>0</v>
      </c>
      <c r="AP620" s="20">
        <v>0</v>
      </c>
      <c r="AQ620" s="20">
        <v>0</v>
      </c>
      <c r="AR620" s="20">
        <v>0</v>
      </c>
      <c r="AS620" s="20">
        <v>7</v>
      </c>
      <c r="AT620" s="20">
        <v>10</v>
      </c>
      <c r="AU620" s="300">
        <f t="shared" si="100"/>
        <v>199</v>
      </c>
      <c r="AV620" s="20">
        <v>190</v>
      </c>
      <c r="AW620" s="20">
        <v>0</v>
      </c>
      <c r="AX620" s="20">
        <v>0</v>
      </c>
      <c r="AY620" s="20">
        <v>0</v>
      </c>
      <c r="AZ620" s="20">
        <v>0</v>
      </c>
      <c r="BA620" s="20">
        <v>7</v>
      </c>
      <c r="BB620" s="20">
        <v>10</v>
      </c>
      <c r="BC620" s="300">
        <f t="shared" si="101"/>
        <v>207</v>
      </c>
      <c r="BD620" s="42">
        <f t="shared" si="102"/>
        <v>8</v>
      </c>
      <c r="BE620" s="42">
        <f t="shared" si="103"/>
        <v>0</v>
      </c>
      <c r="BF620" s="42">
        <f t="shared" si="104"/>
        <v>0</v>
      </c>
      <c r="BG620" s="42">
        <f t="shared" si="105"/>
        <v>0</v>
      </c>
      <c r="BH620" s="42">
        <f t="shared" si="106"/>
        <v>0</v>
      </c>
      <c r="BI620" s="42">
        <f t="shared" si="107"/>
        <v>0</v>
      </c>
      <c r="BJ620" s="42">
        <f t="shared" si="108"/>
        <v>0</v>
      </c>
      <c r="BK620" s="42">
        <f t="shared" si="109"/>
        <v>8</v>
      </c>
    </row>
    <row r="621" spans="1:63" ht="27" customHeight="1">
      <c r="A621" s="222">
        <f t="shared" si="110"/>
        <v>619</v>
      </c>
      <c r="B621" s="223"/>
      <c r="C621" s="223">
        <v>3407</v>
      </c>
      <c r="D621" s="225" t="s">
        <v>3829</v>
      </c>
      <c r="E621" s="226" t="s">
        <v>3830</v>
      </c>
      <c r="F621" s="227" t="s">
        <v>393</v>
      </c>
      <c r="G621" s="228" t="s">
        <v>2610</v>
      </c>
      <c r="H621" s="229" t="s">
        <v>3831</v>
      </c>
      <c r="I621" s="230" t="s">
        <v>3832</v>
      </c>
      <c r="J621" s="231" t="s">
        <v>173</v>
      </c>
      <c r="K621" s="232">
        <v>32948</v>
      </c>
      <c r="L621" s="233" t="s">
        <v>174</v>
      </c>
      <c r="M621" s="234">
        <v>43762</v>
      </c>
      <c r="N621" s="234"/>
      <c r="O621" s="234"/>
      <c r="P621" s="222" t="s">
        <v>1276</v>
      </c>
      <c r="Q621" s="222" t="s">
        <v>176</v>
      </c>
      <c r="R621" s="222" t="s">
        <v>177</v>
      </c>
      <c r="S621" s="222" t="s">
        <v>2354</v>
      </c>
      <c r="T621" s="235"/>
      <c r="U621" s="235"/>
      <c r="V621" s="236" t="s">
        <v>179</v>
      </c>
      <c r="W621" s="236" t="s">
        <v>179</v>
      </c>
      <c r="X621" s="236">
        <v>8</v>
      </c>
      <c r="Y621" s="237" t="s">
        <v>3833</v>
      </c>
      <c r="Z621" s="238"/>
      <c r="AA621" s="238" t="s">
        <v>181</v>
      </c>
      <c r="AB621" s="236"/>
      <c r="AC621" s="239"/>
      <c r="AD621" s="240" t="s">
        <v>183</v>
      </c>
      <c r="AE621" s="240" t="s">
        <v>183</v>
      </c>
      <c r="AF621" s="241"/>
      <c r="AG621" s="242"/>
      <c r="AH621" s="243"/>
      <c r="AI621" s="243"/>
      <c r="AJ621" s="244" t="s">
        <v>198</v>
      </c>
      <c r="AK621" s="244" t="s">
        <v>185</v>
      </c>
      <c r="AL621" s="244" t="s">
        <v>185</v>
      </c>
      <c r="AM621" s="239" t="s">
        <v>2494</v>
      </c>
      <c r="AN621" s="20">
        <v>182</v>
      </c>
      <c r="AO621" s="20">
        <v>0</v>
      </c>
      <c r="AP621" s="20">
        <v>20</v>
      </c>
      <c r="AQ621" s="20">
        <v>0</v>
      </c>
      <c r="AR621" s="20">
        <v>0</v>
      </c>
      <c r="AS621" s="20">
        <v>7</v>
      </c>
      <c r="AT621" s="20">
        <v>10</v>
      </c>
      <c r="AU621" s="300">
        <f t="shared" si="100"/>
        <v>219</v>
      </c>
      <c r="AV621" s="20">
        <v>190</v>
      </c>
      <c r="AW621" s="20">
        <v>0</v>
      </c>
      <c r="AX621" s="20">
        <v>20</v>
      </c>
      <c r="AY621" s="20">
        <v>0</v>
      </c>
      <c r="AZ621" s="20">
        <v>0</v>
      </c>
      <c r="BA621" s="20">
        <v>7</v>
      </c>
      <c r="BB621" s="20">
        <v>10</v>
      </c>
      <c r="BC621" s="300">
        <f t="shared" si="101"/>
        <v>227</v>
      </c>
      <c r="BD621" s="42">
        <f t="shared" si="102"/>
        <v>8</v>
      </c>
      <c r="BE621" s="42">
        <f t="shared" si="103"/>
        <v>0</v>
      </c>
      <c r="BF621" s="42">
        <f t="shared" si="104"/>
        <v>0</v>
      </c>
      <c r="BG621" s="42">
        <f t="shared" si="105"/>
        <v>0</v>
      </c>
      <c r="BH621" s="42">
        <f t="shared" si="106"/>
        <v>0</v>
      </c>
      <c r="BI621" s="42">
        <f t="shared" si="107"/>
        <v>0</v>
      </c>
      <c r="BJ621" s="42">
        <f t="shared" si="108"/>
        <v>0</v>
      </c>
      <c r="BK621" s="42">
        <f t="shared" si="109"/>
        <v>8</v>
      </c>
    </row>
    <row r="622" spans="1:63" ht="27" customHeight="1">
      <c r="A622" s="222">
        <f t="shared" si="110"/>
        <v>620</v>
      </c>
      <c r="B622" s="223"/>
      <c r="C622" s="223">
        <v>3404</v>
      </c>
      <c r="D622" s="225" t="s">
        <v>3834</v>
      </c>
      <c r="E622" s="226" t="s">
        <v>3835</v>
      </c>
      <c r="F622" s="227" t="s">
        <v>3836</v>
      </c>
      <c r="G622" s="228" t="s">
        <v>460</v>
      </c>
      <c r="H622" s="229" t="s">
        <v>3837</v>
      </c>
      <c r="I622" s="230" t="s">
        <v>3838</v>
      </c>
      <c r="J622" s="231" t="s">
        <v>173</v>
      </c>
      <c r="K622" s="232">
        <v>34402</v>
      </c>
      <c r="L622" s="233" t="s">
        <v>174</v>
      </c>
      <c r="M622" s="234">
        <v>43761</v>
      </c>
      <c r="N622" s="234"/>
      <c r="O622" s="234"/>
      <c r="P622" s="222" t="s">
        <v>1080</v>
      </c>
      <c r="Q622" s="222" t="s">
        <v>176</v>
      </c>
      <c r="R622" s="222" t="s">
        <v>177</v>
      </c>
      <c r="S622" s="222" t="s">
        <v>2379</v>
      </c>
      <c r="T622" s="235"/>
      <c r="U622" s="235"/>
      <c r="V622" s="236" t="s">
        <v>179</v>
      </c>
      <c r="W622" s="236" t="s">
        <v>179</v>
      </c>
      <c r="X622" s="236">
        <v>8</v>
      </c>
      <c r="Y622" s="237" t="s">
        <v>3839</v>
      </c>
      <c r="Z622" s="238"/>
      <c r="AA622" s="238" t="s">
        <v>181</v>
      </c>
      <c r="AB622" s="236"/>
      <c r="AC622" s="239"/>
      <c r="AD622" s="240" t="s">
        <v>183</v>
      </c>
      <c r="AE622" s="240"/>
      <c r="AF622" s="241"/>
      <c r="AG622" s="242"/>
      <c r="AH622" s="243"/>
      <c r="AI622" s="243"/>
      <c r="AJ622" s="244" t="s">
        <v>198</v>
      </c>
      <c r="AK622" s="244" t="s">
        <v>185</v>
      </c>
      <c r="AL622" s="244" t="s">
        <v>185</v>
      </c>
      <c r="AM622" s="239" t="s">
        <v>2494</v>
      </c>
      <c r="AN622" s="20">
        <v>182</v>
      </c>
      <c r="AO622" s="20">
        <v>0</v>
      </c>
      <c r="AP622" s="20">
        <v>0</v>
      </c>
      <c r="AQ622" s="20">
        <v>0</v>
      </c>
      <c r="AR622" s="20">
        <v>0</v>
      </c>
      <c r="AS622" s="20">
        <v>7</v>
      </c>
      <c r="AT622" s="20">
        <v>10</v>
      </c>
      <c r="AU622" s="300">
        <f t="shared" si="100"/>
        <v>199</v>
      </c>
      <c r="AV622" s="20">
        <v>190</v>
      </c>
      <c r="AW622" s="20">
        <v>0</v>
      </c>
      <c r="AX622" s="20">
        <v>0</v>
      </c>
      <c r="AY622" s="20">
        <v>0</v>
      </c>
      <c r="AZ622" s="20">
        <v>0</v>
      </c>
      <c r="BA622" s="20">
        <v>7</v>
      </c>
      <c r="BB622" s="20">
        <v>10</v>
      </c>
      <c r="BC622" s="300">
        <f t="shared" si="101"/>
        <v>207</v>
      </c>
      <c r="BD622" s="42">
        <f t="shared" si="102"/>
        <v>8</v>
      </c>
      <c r="BE622" s="42">
        <f t="shared" si="103"/>
        <v>0</v>
      </c>
      <c r="BF622" s="42">
        <f t="shared" si="104"/>
        <v>0</v>
      </c>
      <c r="BG622" s="42">
        <f t="shared" si="105"/>
        <v>0</v>
      </c>
      <c r="BH622" s="42">
        <f t="shared" si="106"/>
        <v>0</v>
      </c>
      <c r="BI622" s="42">
        <f t="shared" si="107"/>
        <v>0</v>
      </c>
      <c r="BJ622" s="42">
        <f t="shared" si="108"/>
        <v>0</v>
      </c>
      <c r="BK622" s="42">
        <f t="shared" si="109"/>
        <v>8</v>
      </c>
    </row>
    <row r="623" spans="1:63" ht="27" customHeight="1">
      <c r="A623" s="222">
        <f t="shared" si="110"/>
        <v>621</v>
      </c>
      <c r="B623" s="223"/>
      <c r="C623" s="223">
        <v>3545</v>
      </c>
      <c r="D623" s="225" t="s">
        <v>3840</v>
      </c>
      <c r="E623" s="226" t="s">
        <v>3841</v>
      </c>
      <c r="F623" s="227" t="s">
        <v>3842</v>
      </c>
      <c r="G623" s="228" t="s">
        <v>3112</v>
      </c>
      <c r="H623" s="229" t="s">
        <v>3843</v>
      </c>
      <c r="I623" s="230" t="s">
        <v>3844</v>
      </c>
      <c r="J623" s="231" t="s">
        <v>173</v>
      </c>
      <c r="K623" s="232">
        <v>36871</v>
      </c>
      <c r="L623" s="233" t="s">
        <v>174</v>
      </c>
      <c r="M623" s="234">
        <v>43741</v>
      </c>
      <c r="N623" s="234"/>
      <c r="O623" s="234"/>
      <c r="P623" s="222" t="s">
        <v>3780</v>
      </c>
      <c r="Q623" s="222" t="s">
        <v>244</v>
      </c>
      <c r="R623" s="222" t="s">
        <v>177</v>
      </c>
      <c r="S623" s="222" t="s">
        <v>2425</v>
      </c>
      <c r="T623" s="235"/>
      <c r="U623" s="235"/>
      <c r="V623" s="236" t="s">
        <v>179</v>
      </c>
      <c r="W623" s="236" t="s">
        <v>179</v>
      </c>
      <c r="X623" s="236">
        <v>8</v>
      </c>
      <c r="Y623" s="237" t="s">
        <v>3845</v>
      </c>
      <c r="Z623" s="238" t="s">
        <v>181</v>
      </c>
      <c r="AA623" s="238"/>
      <c r="AB623" s="236"/>
      <c r="AC623" s="239"/>
      <c r="AD623" s="240"/>
      <c r="AE623" s="240"/>
      <c r="AF623" s="241"/>
      <c r="AG623" s="242"/>
      <c r="AH623" s="243"/>
      <c r="AI623" s="243"/>
      <c r="AJ623" s="244" t="s">
        <v>198</v>
      </c>
      <c r="AK623" s="244" t="s">
        <v>185</v>
      </c>
      <c r="AL623" s="244" t="s">
        <v>185</v>
      </c>
      <c r="AM623" s="239" t="s">
        <v>2494</v>
      </c>
      <c r="AN623" s="20">
        <v>182</v>
      </c>
      <c r="AO623" s="20">
        <v>0</v>
      </c>
      <c r="AP623" s="20">
        <v>0</v>
      </c>
      <c r="AQ623" s="20">
        <v>0</v>
      </c>
      <c r="AR623" s="20">
        <v>0</v>
      </c>
      <c r="AS623" s="20">
        <v>7</v>
      </c>
      <c r="AT623" s="20">
        <v>10</v>
      </c>
      <c r="AU623" s="300">
        <f t="shared" si="100"/>
        <v>199</v>
      </c>
      <c r="AV623" s="20">
        <v>190</v>
      </c>
      <c r="AW623" s="20">
        <v>0</v>
      </c>
      <c r="AX623" s="20">
        <v>0</v>
      </c>
      <c r="AY623" s="20">
        <v>0</v>
      </c>
      <c r="AZ623" s="20">
        <v>0</v>
      </c>
      <c r="BA623" s="20">
        <v>7</v>
      </c>
      <c r="BB623" s="20">
        <v>10</v>
      </c>
      <c r="BC623" s="300">
        <f t="shared" si="101"/>
        <v>207</v>
      </c>
      <c r="BD623" s="42">
        <f t="shared" si="102"/>
        <v>8</v>
      </c>
      <c r="BE623" s="42">
        <f t="shared" si="103"/>
        <v>0</v>
      </c>
      <c r="BF623" s="42">
        <f t="shared" si="104"/>
        <v>0</v>
      </c>
      <c r="BG623" s="42">
        <f t="shared" si="105"/>
        <v>0</v>
      </c>
      <c r="BH623" s="42">
        <f t="shared" si="106"/>
        <v>0</v>
      </c>
      <c r="BI623" s="42">
        <f t="shared" si="107"/>
        <v>0</v>
      </c>
      <c r="BJ623" s="42">
        <f t="shared" si="108"/>
        <v>0</v>
      </c>
      <c r="BK623" s="42">
        <f t="shared" si="109"/>
        <v>8</v>
      </c>
    </row>
    <row r="624" spans="1:63" ht="27" customHeight="1">
      <c r="A624" s="222">
        <f t="shared" si="110"/>
        <v>622</v>
      </c>
      <c r="B624" s="223"/>
      <c r="C624" s="250">
        <v>3303</v>
      </c>
      <c r="D624" s="225" t="s">
        <v>3846</v>
      </c>
      <c r="E624" s="251" t="s">
        <v>3847</v>
      </c>
      <c r="F624" s="252" t="s">
        <v>3848</v>
      </c>
      <c r="G624" s="253" t="s">
        <v>3849</v>
      </c>
      <c r="H624" s="229" t="s">
        <v>3850</v>
      </c>
      <c r="I624" s="230" t="s">
        <v>3851</v>
      </c>
      <c r="J624" s="254" t="s">
        <v>204</v>
      </c>
      <c r="K624" s="255">
        <v>29619</v>
      </c>
      <c r="L624" s="233" t="s">
        <v>174</v>
      </c>
      <c r="M624" s="256">
        <v>43746</v>
      </c>
      <c r="N624" s="256"/>
      <c r="O624" s="224" t="s">
        <v>3852</v>
      </c>
      <c r="P624" s="222" t="s">
        <v>527</v>
      </c>
      <c r="Q624" s="222" t="s">
        <v>244</v>
      </c>
      <c r="R624" s="224" t="s">
        <v>177</v>
      </c>
      <c r="S624" s="224" t="s">
        <v>498</v>
      </c>
      <c r="T624" s="235"/>
      <c r="U624" s="257"/>
      <c r="V624" s="258" t="s">
        <v>179</v>
      </c>
      <c r="W624" s="258" t="s">
        <v>179</v>
      </c>
      <c r="X624" s="259">
        <v>0</v>
      </c>
      <c r="Y624" s="251" t="s">
        <v>3853</v>
      </c>
      <c r="Z624" s="260"/>
      <c r="AA624" s="261"/>
      <c r="AB624" s="260"/>
      <c r="AC624" s="258"/>
      <c r="AD624" s="258"/>
      <c r="AE624" s="258"/>
      <c r="AF624" s="262"/>
      <c r="AG624" s="260"/>
      <c r="AH624" s="260"/>
      <c r="AI624" s="260"/>
      <c r="AJ624" s="258" t="s">
        <v>198</v>
      </c>
      <c r="AK624" s="258" t="s">
        <v>185</v>
      </c>
      <c r="AL624" s="258" t="s">
        <v>198</v>
      </c>
      <c r="AM624" s="244" t="s">
        <v>3854</v>
      </c>
      <c r="AN624" s="20">
        <v>182</v>
      </c>
      <c r="AO624" s="20">
        <v>0</v>
      </c>
      <c r="AP624" s="20">
        <v>31</v>
      </c>
      <c r="AQ624" s="20">
        <v>20</v>
      </c>
      <c r="AR624" s="20">
        <v>0</v>
      </c>
      <c r="AS624" s="20">
        <v>7</v>
      </c>
      <c r="AT624" s="20">
        <v>10</v>
      </c>
      <c r="AU624" s="300">
        <f t="shared" si="100"/>
        <v>250</v>
      </c>
      <c r="AV624" s="20">
        <v>190</v>
      </c>
      <c r="AW624" s="20">
        <v>0</v>
      </c>
      <c r="AX624" s="20">
        <v>31</v>
      </c>
      <c r="AY624" s="20">
        <v>20</v>
      </c>
      <c r="AZ624" s="20">
        <v>0</v>
      </c>
      <c r="BA624" s="20">
        <v>7</v>
      </c>
      <c r="BB624" s="20">
        <v>10</v>
      </c>
      <c r="BC624" s="300">
        <f t="shared" si="101"/>
        <v>258</v>
      </c>
      <c r="BD624" s="42">
        <f t="shared" si="102"/>
        <v>8</v>
      </c>
      <c r="BE624" s="42">
        <f t="shared" si="103"/>
        <v>0</v>
      </c>
      <c r="BF624" s="42">
        <f t="shared" si="104"/>
        <v>0</v>
      </c>
      <c r="BG624" s="42">
        <f t="shared" si="105"/>
        <v>0</v>
      </c>
      <c r="BH624" s="42">
        <f t="shared" si="106"/>
        <v>0</v>
      </c>
      <c r="BI624" s="42">
        <f t="shared" si="107"/>
        <v>0</v>
      </c>
      <c r="BJ624" s="42">
        <f t="shared" si="108"/>
        <v>0</v>
      </c>
      <c r="BK624" s="42">
        <f t="shared" si="109"/>
        <v>8</v>
      </c>
    </row>
    <row r="625" spans="1:63" ht="27" customHeight="1">
      <c r="A625" s="222">
        <f t="shared" si="110"/>
        <v>623</v>
      </c>
      <c r="B625" s="223"/>
      <c r="C625" s="250">
        <v>3277</v>
      </c>
      <c r="D625" s="251" t="s">
        <v>291</v>
      </c>
      <c r="E625" s="251" t="s">
        <v>3855</v>
      </c>
      <c r="F625" s="252" t="s">
        <v>2334</v>
      </c>
      <c r="G625" s="253" t="s">
        <v>3856</v>
      </c>
      <c r="H625" s="229">
        <v>0</v>
      </c>
      <c r="I625" s="230">
        <v>0</v>
      </c>
      <c r="J625" s="254" t="s">
        <v>204</v>
      </c>
      <c r="K625" s="255">
        <v>34828</v>
      </c>
      <c r="L625" s="233" t="s">
        <v>174</v>
      </c>
      <c r="M625" s="256">
        <v>43746</v>
      </c>
      <c r="N625" s="256"/>
      <c r="O625" s="224" t="s">
        <v>3852</v>
      </c>
      <c r="P625" s="222" t="s">
        <v>527</v>
      </c>
      <c r="Q625" s="222" t="s">
        <v>244</v>
      </c>
      <c r="R625" s="224" t="s">
        <v>177</v>
      </c>
      <c r="S625" s="224" t="s">
        <v>1113</v>
      </c>
      <c r="T625" s="235"/>
      <c r="U625" s="257"/>
      <c r="V625" s="258" t="s">
        <v>179</v>
      </c>
      <c r="W625" s="258">
        <v>241</v>
      </c>
      <c r="X625" s="259">
        <v>2</v>
      </c>
      <c r="Y625" s="251" t="s">
        <v>3857</v>
      </c>
      <c r="Z625" s="261" t="s">
        <v>181</v>
      </c>
      <c r="AA625" s="261"/>
      <c r="AB625" s="258"/>
      <c r="AC625" s="258"/>
      <c r="AD625" s="258"/>
      <c r="AE625" s="258"/>
      <c r="AF625" s="263"/>
      <c r="AG625" s="258"/>
      <c r="AH625" s="258"/>
      <c r="AI625" s="258"/>
      <c r="AJ625" s="258" t="s">
        <v>198</v>
      </c>
      <c r="AK625" s="258" t="s">
        <v>185</v>
      </c>
      <c r="AL625" s="258" t="s">
        <v>185</v>
      </c>
      <c r="AM625" s="244" t="s">
        <v>3854</v>
      </c>
      <c r="AN625" s="20">
        <v>182</v>
      </c>
      <c r="AO625" s="20">
        <v>0</v>
      </c>
      <c r="AP625" s="20">
        <v>31</v>
      </c>
      <c r="AQ625" s="20">
        <v>20</v>
      </c>
      <c r="AR625" s="20">
        <v>0</v>
      </c>
      <c r="AS625" s="20">
        <v>7</v>
      </c>
      <c r="AT625" s="20">
        <v>10</v>
      </c>
      <c r="AU625" s="300">
        <f t="shared" si="100"/>
        <v>250</v>
      </c>
      <c r="AV625" s="20">
        <v>190</v>
      </c>
      <c r="AW625" s="20">
        <v>0</v>
      </c>
      <c r="AX625" s="20">
        <v>31</v>
      </c>
      <c r="AY625" s="20">
        <v>20</v>
      </c>
      <c r="AZ625" s="20">
        <v>0</v>
      </c>
      <c r="BA625" s="20">
        <v>7</v>
      </c>
      <c r="BB625" s="20">
        <v>10</v>
      </c>
      <c r="BC625" s="300">
        <f t="shared" si="101"/>
        <v>258</v>
      </c>
      <c r="BD625" s="42">
        <f t="shared" si="102"/>
        <v>8</v>
      </c>
      <c r="BE625" s="42">
        <f t="shared" si="103"/>
        <v>0</v>
      </c>
      <c r="BF625" s="42">
        <f t="shared" si="104"/>
        <v>0</v>
      </c>
      <c r="BG625" s="42">
        <f t="shared" si="105"/>
        <v>0</v>
      </c>
      <c r="BH625" s="42">
        <f t="shared" si="106"/>
        <v>0</v>
      </c>
      <c r="BI625" s="42">
        <f t="shared" si="107"/>
        <v>0</v>
      </c>
      <c r="BJ625" s="42">
        <f t="shared" si="108"/>
        <v>0</v>
      </c>
      <c r="BK625" s="42">
        <f t="shared" si="109"/>
        <v>8</v>
      </c>
    </row>
    <row r="626" spans="1:63" ht="27" customHeight="1">
      <c r="A626" s="222">
        <f t="shared" si="110"/>
        <v>624</v>
      </c>
      <c r="B626" s="223"/>
      <c r="C626" s="250">
        <v>3238</v>
      </c>
      <c r="D626" s="264" t="s">
        <v>3858</v>
      </c>
      <c r="E626" s="251" t="s">
        <v>3859</v>
      </c>
      <c r="F626" s="252" t="s">
        <v>854</v>
      </c>
      <c r="G626" s="253" t="s">
        <v>3860</v>
      </c>
      <c r="H626" s="229" t="s">
        <v>3861</v>
      </c>
      <c r="I626" s="230" t="s">
        <v>3862</v>
      </c>
      <c r="J626" s="254" t="s">
        <v>204</v>
      </c>
      <c r="K626" s="255">
        <v>37235</v>
      </c>
      <c r="L626" s="233" t="s">
        <v>174</v>
      </c>
      <c r="M626" s="256">
        <v>43743</v>
      </c>
      <c r="N626" s="256"/>
      <c r="O626" s="224" t="s">
        <v>3852</v>
      </c>
      <c r="P626" s="222" t="s">
        <v>527</v>
      </c>
      <c r="Q626" s="222" t="s">
        <v>244</v>
      </c>
      <c r="R626" s="224" t="s">
        <v>177</v>
      </c>
      <c r="S626" s="224" t="s">
        <v>528</v>
      </c>
      <c r="T626" s="235"/>
      <c r="U626" s="257"/>
      <c r="V626" s="258" t="s">
        <v>179</v>
      </c>
      <c r="W626" s="258" t="s">
        <v>179</v>
      </c>
      <c r="X626" s="259">
        <v>9</v>
      </c>
      <c r="Y626" s="251" t="s">
        <v>3863</v>
      </c>
      <c r="Z626" s="261" t="s">
        <v>181</v>
      </c>
      <c r="AA626" s="261"/>
      <c r="AB626" s="260"/>
      <c r="AC626" s="258"/>
      <c r="AD626" s="260"/>
      <c r="AE626" s="260"/>
      <c r="AF626" s="262"/>
      <c r="AG626" s="260"/>
      <c r="AH626" s="260"/>
      <c r="AI626" s="260"/>
      <c r="AJ626" s="258" t="s">
        <v>198</v>
      </c>
      <c r="AK626" s="258" t="s">
        <v>185</v>
      </c>
      <c r="AL626" s="258" t="s">
        <v>185</v>
      </c>
      <c r="AM626" s="244" t="s">
        <v>3854</v>
      </c>
      <c r="AN626" s="20">
        <v>182</v>
      </c>
      <c r="AO626" s="20">
        <v>0</v>
      </c>
      <c r="AP626" s="20">
        <v>31</v>
      </c>
      <c r="AQ626" s="20">
        <v>20</v>
      </c>
      <c r="AR626" s="20">
        <v>0</v>
      </c>
      <c r="AS626" s="20">
        <v>7</v>
      </c>
      <c r="AT626" s="20">
        <v>10</v>
      </c>
      <c r="AU626" s="300">
        <f t="shared" si="100"/>
        <v>250</v>
      </c>
      <c r="AV626" s="20">
        <v>190</v>
      </c>
      <c r="AW626" s="20">
        <v>0</v>
      </c>
      <c r="AX626" s="20">
        <v>31</v>
      </c>
      <c r="AY626" s="20">
        <v>20</v>
      </c>
      <c r="AZ626" s="20">
        <v>0</v>
      </c>
      <c r="BA626" s="20">
        <v>7</v>
      </c>
      <c r="BB626" s="20">
        <v>10</v>
      </c>
      <c r="BC626" s="300">
        <f t="shared" si="101"/>
        <v>258</v>
      </c>
      <c r="BD626" s="42">
        <f t="shared" si="102"/>
        <v>8</v>
      </c>
      <c r="BE626" s="42">
        <f t="shared" si="103"/>
        <v>0</v>
      </c>
      <c r="BF626" s="42">
        <f t="shared" si="104"/>
        <v>0</v>
      </c>
      <c r="BG626" s="42">
        <f t="shared" si="105"/>
        <v>0</v>
      </c>
      <c r="BH626" s="42">
        <f t="shared" si="106"/>
        <v>0</v>
      </c>
      <c r="BI626" s="42">
        <f t="shared" si="107"/>
        <v>0</v>
      </c>
      <c r="BJ626" s="42">
        <f t="shared" si="108"/>
        <v>0</v>
      </c>
      <c r="BK626" s="42">
        <f t="shared" si="109"/>
        <v>8</v>
      </c>
    </row>
    <row r="627" spans="1:63" ht="27" customHeight="1">
      <c r="A627" s="222">
        <f t="shared" si="110"/>
        <v>625</v>
      </c>
      <c r="B627" s="223"/>
      <c r="C627" s="250">
        <v>3638</v>
      </c>
      <c r="D627" s="225" t="s">
        <v>3864</v>
      </c>
      <c r="E627" s="265" t="s">
        <v>3865</v>
      </c>
      <c r="F627" s="252" t="s">
        <v>3866</v>
      </c>
      <c r="G627" s="253" t="s">
        <v>3867</v>
      </c>
      <c r="H627" s="229" t="s">
        <v>3868</v>
      </c>
      <c r="I627" s="230" t="s">
        <v>3869</v>
      </c>
      <c r="J627" s="254" t="s">
        <v>173</v>
      </c>
      <c r="K627" s="255">
        <v>34163</v>
      </c>
      <c r="L627" s="233" t="s">
        <v>174</v>
      </c>
      <c r="M627" s="256">
        <v>43754</v>
      </c>
      <c r="N627" s="256"/>
      <c r="O627" s="224"/>
      <c r="P627" s="222" t="s">
        <v>3749</v>
      </c>
      <c r="Q627" s="222" t="s">
        <v>244</v>
      </c>
      <c r="R627" s="224" t="s">
        <v>177</v>
      </c>
      <c r="S627" s="224" t="s">
        <v>206</v>
      </c>
      <c r="T627" s="235"/>
      <c r="U627" s="257"/>
      <c r="V627" s="258" t="s">
        <v>179</v>
      </c>
      <c r="W627" s="258" t="s">
        <v>179</v>
      </c>
      <c r="X627" s="266">
        <v>7</v>
      </c>
      <c r="Y627" s="251" t="s">
        <v>3870</v>
      </c>
      <c r="Z627" s="261"/>
      <c r="AA627" s="260"/>
      <c r="AB627" s="260"/>
      <c r="AC627" s="260"/>
      <c r="AD627" s="260"/>
      <c r="AE627" s="260"/>
      <c r="AF627" s="262"/>
      <c r="AG627" s="260"/>
      <c r="AH627" s="260"/>
      <c r="AI627" s="260"/>
      <c r="AJ627" s="258" t="s">
        <v>185</v>
      </c>
      <c r="AK627" s="258" t="s">
        <v>185</v>
      </c>
      <c r="AL627" s="258" t="s">
        <v>185</v>
      </c>
      <c r="AM627" s="244" t="s">
        <v>3871</v>
      </c>
      <c r="AN627" s="20">
        <v>182</v>
      </c>
      <c r="AO627" s="20">
        <v>0</v>
      </c>
      <c r="AP627" s="20">
        <v>20</v>
      </c>
      <c r="AQ627" s="20">
        <v>0</v>
      </c>
      <c r="AR627" s="20">
        <v>0</v>
      </c>
      <c r="AS627" s="20">
        <v>7</v>
      </c>
      <c r="AT627" s="20">
        <v>10</v>
      </c>
      <c r="AU627" s="300">
        <f t="shared" si="100"/>
        <v>219</v>
      </c>
      <c r="AV627" s="20">
        <v>190</v>
      </c>
      <c r="AW627" s="20">
        <v>0</v>
      </c>
      <c r="AX627" s="20">
        <v>20</v>
      </c>
      <c r="AY627" s="20">
        <v>0</v>
      </c>
      <c r="AZ627" s="20">
        <v>0</v>
      </c>
      <c r="BA627" s="20">
        <v>7</v>
      </c>
      <c r="BB627" s="20">
        <v>10</v>
      </c>
      <c r="BC627" s="300">
        <f t="shared" si="101"/>
        <v>227</v>
      </c>
      <c r="BD627" s="42">
        <f t="shared" si="102"/>
        <v>8</v>
      </c>
      <c r="BE627" s="42">
        <f t="shared" si="103"/>
        <v>0</v>
      </c>
      <c r="BF627" s="42">
        <f t="shared" si="104"/>
        <v>0</v>
      </c>
      <c r="BG627" s="42">
        <f t="shared" si="105"/>
        <v>0</v>
      </c>
      <c r="BH627" s="42">
        <f t="shared" si="106"/>
        <v>0</v>
      </c>
      <c r="BI627" s="42">
        <f t="shared" si="107"/>
        <v>0</v>
      </c>
      <c r="BJ627" s="42">
        <f t="shared" si="108"/>
        <v>0</v>
      </c>
      <c r="BK627" s="42">
        <f t="shared" si="109"/>
        <v>8</v>
      </c>
    </row>
    <row r="628" spans="1:63" ht="27" customHeight="1">
      <c r="A628" s="222">
        <f t="shared" si="110"/>
        <v>626</v>
      </c>
      <c r="B628" s="223"/>
      <c r="C628" s="250">
        <v>3636</v>
      </c>
      <c r="D628" s="225" t="s">
        <v>3872</v>
      </c>
      <c r="E628" s="251" t="s">
        <v>3873</v>
      </c>
      <c r="F628" s="252" t="s">
        <v>488</v>
      </c>
      <c r="G628" s="253" t="s">
        <v>3874</v>
      </c>
      <c r="H628" s="229" t="s">
        <v>3875</v>
      </c>
      <c r="I628" s="230" t="s">
        <v>3876</v>
      </c>
      <c r="J628" s="254" t="s">
        <v>173</v>
      </c>
      <c r="K628" s="255">
        <v>33552</v>
      </c>
      <c r="L628" s="233" t="s">
        <v>174</v>
      </c>
      <c r="M628" s="256">
        <v>43754</v>
      </c>
      <c r="N628" s="256"/>
      <c r="O628" s="224"/>
      <c r="P628" s="222" t="s">
        <v>3749</v>
      </c>
      <c r="Q628" s="222" t="s">
        <v>244</v>
      </c>
      <c r="R628" s="224" t="s">
        <v>177</v>
      </c>
      <c r="S628" s="224" t="s">
        <v>223</v>
      </c>
      <c r="T628" s="235"/>
      <c r="U628" s="257"/>
      <c r="V628" s="258" t="s">
        <v>179</v>
      </c>
      <c r="W628" s="258" t="s">
        <v>179</v>
      </c>
      <c r="X628" s="259">
        <v>3</v>
      </c>
      <c r="Y628" s="251" t="s">
        <v>3877</v>
      </c>
      <c r="Z628" s="261"/>
      <c r="AA628" s="260"/>
      <c r="AB628" s="260"/>
      <c r="AC628" s="260"/>
      <c r="AD628" s="260"/>
      <c r="AE628" s="260"/>
      <c r="AF628" s="262"/>
      <c r="AG628" s="260"/>
      <c r="AH628" s="260"/>
      <c r="AI628" s="260"/>
      <c r="AJ628" s="258" t="s">
        <v>185</v>
      </c>
      <c r="AK628" s="258" t="s">
        <v>185</v>
      </c>
      <c r="AL628" s="258" t="s">
        <v>185</v>
      </c>
      <c r="AM628" s="244" t="s">
        <v>3854</v>
      </c>
      <c r="AN628" s="20">
        <v>182</v>
      </c>
      <c r="AO628" s="20">
        <v>0</v>
      </c>
      <c r="AP628" s="20">
        <v>20</v>
      </c>
      <c r="AQ628" s="20">
        <v>0</v>
      </c>
      <c r="AR628" s="20">
        <v>0</v>
      </c>
      <c r="AS628" s="20">
        <v>7</v>
      </c>
      <c r="AT628" s="20">
        <v>10</v>
      </c>
      <c r="AU628" s="300">
        <f t="shared" si="100"/>
        <v>219</v>
      </c>
      <c r="AV628" s="20">
        <v>190</v>
      </c>
      <c r="AW628" s="20">
        <v>0</v>
      </c>
      <c r="AX628" s="20">
        <v>20</v>
      </c>
      <c r="AY628" s="20">
        <v>0</v>
      </c>
      <c r="AZ628" s="20">
        <v>0</v>
      </c>
      <c r="BA628" s="20">
        <v>7</v>
      </c>
      <c r="BB628" s="20">
        <v>10</v>
      </c>
      <c r="BC628" s="300">
        <f t="shared" si="101"/>
        <v>227</v>
      </c>
      <c r="BD628" s="42">
        <f t="shared" si="102"/>
        <v>8</v>
      </c>
      <c r="BE628" s="42">
        <f t="shared" si="103"/>
        <v>0</v>
      </c>
      <c r="BF628" s="42">
        <f t="shared" si="104"/>
        <v>0</v>
      </c>
      <c r="BG628" s="42">
        <f t="shared" si="105"/>
        <v>0</v>
      </c>
      <c r="BH628" s="42">
        <f t="shared" si="106"/>
        <v>0</v>
      </c>
      <c r="BI628" s="42">
        <f t="shared" si="107"/>
        <v>0</v>
      </c>
      <c r="BJ628" s="42">
        <f t="shared" si="108"/>
        <v>0</v>
      </c>
      <c r="BK628" s="42">
        <f t="shared" si="109"/>
        <v>8</v>
      </c>
    </row>
    <row r="629" spans="1:63" ht="27" customHeight="1">
      <c r="A629" s="222">
        <f t="shared" si="110"/>
        <v>627</v>
      </c>
      <c r="B629" s="223"/>
      <c r="C629" s="250">
        <v>3606</v>
      </c>
      <c r="D629" s="225" t="s">
        <v>3878</v>
      </c>
      <c r="E629" s="251" t="s">
        <v>3879</v>
      </c>
      <c r="F629" s="252" t="s">
        <v>535</v>
      </c>
      <c r="G629" s="253" t="s">
        <v>3880</v>
      </c>
      <c r="H629" s="229" t="s">
        <v>537</v>
      </c>
      <c r="I629" s="230" t="s">
        <v>3881</v>
      </c>
      <c r="J629" s="254" t="s">
        <v>173</v>
      </c>
      <c r="K629" s="255">
        <v>29690</v>
      </c>
      <c r="L629" s="233" t="s">
        <v>174</v>
      </c>
      <c r="M629" s="256">
        <v>43750</v>
      </c>
      <c r="N629" s="256"/>
      <c r="O629" s="224"/>
      <c r="P629" s="222" t="s">
        <v>3749</v>
      </c>
      <c r="Q629" s="222" t="s">
        <v>244</v>
      </c>
      <c r="R629" s="224" t="s">
        <v>177</v>
      </c>
      <c r="S629" s="224" t="s">
        <v>251</v>
      </c>
      <c r="T629" s="235"/>
      <c r="U629" s="257"/>
      <c r="V629" s="258" t="s">
        <v>179</v>
      </c>
      <c r="W629" s="258" t="s">
        <v>179</v>
      </c>
      <c r="X629" s="266">
        <v>5</v>
      </c>
      <c r="Y629" s="251" t="s">
        <v>3882</v>
      </c>
      <c r="Z629" s="260"/>
      <c r="AA629" s="261" t="s">
        <v>181</v>
      </c>
      <c r="AB629" s="260"/>
      <c r="AC629" s="258" t="s">
        <v>3883</v>
      </c>
      <c r="AD629" s="258" t="s">
        <v>3883</v>
      </c>
      <c r="AE629" s="258" t="s">
        <v>3883</v>
      </c>
      <c r="AF629" s="258" t="s">
        <v>3883</v>
      </c>
      <c r="AG629" s="258" t="s">
        <v>3883</v>
      </c>
      <c r="AH629" s="260"/>
      <c r="AI629" s="260"/>
      <c r="AJ629" s="258" t="s">
        <v>198</v>
      </c>
      <c r="AK629" s="258" t="s">
        <v>185</v>
      </c>
      <c r="AL629" s="258" t="s">
        <v>185</v>
      </c>
      <c r="AM629" s="244" t="s">
        <v>3854</v>
      </c>
      <c r="AN629" s="20">
        <v>182</v>
      </c>
      <c r="AO629" s="20">
        <v>0</v>
      </c>
      <c r="AP629" s="20">
        <v>20</v>
      </c>
      <c r="AQ629" s="20">
        <v>0</v>
      </c>
      <c r="AR629" s="20">
        <v>0</v>
      </c>
      <c r="AS629" s="20">
        <v>7</v>
      </c>
      <c r="AT629" s="20">
        <v>10</v>
      </c>
      <c r="AU629" s="300">
        <f t="shared" si="100"/>
        <v>219</v>
      </c>
      <c r="AV629" s="20">
        <v>190</v>
      </c>
      <c r="AW629" s="20">
        <v>0</v>
      </c>
      <c r="AX629" s="20">
        <v>20</v>
      </c>
      <c r="AY629" s="20">
        <v>0</v>
      </c>
      <c r="AZ629" s="20">
        <v>0</v>
      </c>
      <c r="BA629" s="20">
        <v>7</v>
      </c>
      <c r="BB629" s="20">
        <v>10</v>
      </c>
      <c r="BC629" s="300">
        <f t="shared" si="101"/>
        <v>227</v>
      </c>
      <c r="BD629" s="42">
        <f t="shared" si="102"/>
        <v>8</v>
      </c>
      <c r="BE629" s="42">
        <f t="shared" si="103"/>
        <v>0</v>
      </c>
      <c r="BF629" s="42">
        <f t="shared" si="104"/>
        <v>0</v>
      </c>
      <c r="BG629" s="42">
        <f t="shared" si="105"/>
        <v>0</v>
      </c>
      <c r="BH629" s="42">
        <f t="shared" si="106"/>
        <v>0</v>
      </c>
      <c r="BI629" s="42">
        <f t="shared" si="107"/>
        <v>0</v>
      </c>
      <c r="BJ629" s="42">
        <f t="shared" si="108"/>
        <v>0</v>
      </c>
      <c r="BK629" s="42">
        <f t="shared" si="109"/>
        <v>8</v>
      </c>
    </row>
    <row r="630" spans="1:63" ht="27" customHeight="1">
      <c r="A630" s="222">
        <f t="shared" si="110"/>
        <v>628</v>
      </c>
      <c r="B630" s="223"/>
      <c r="C630" s="250">
        <v>3610</v>
      </c>
      <c r="D630" s="225" t="s">
        <v>3884</v>
      </c>
      <c r="E630" s="251" t="s">
        <v>3885</v>
      </c>
      <c r="F630" s="252" t="s">
        <v>1899</v>
      </c>
      <c r="G630" s="253" t="s">
        <v>3886</v>
      </c>
      <c r="H630" s="229" t="s">
        <v>1900</v>
      </c>
      <c r="I630" s="230" t="s">
        <v>3887</v>
      </c>
      <c r="J630" s="254" t="s">
        <v>173</v>
      </c>
      <c r="K630" s="255">
        <v>33866</v>
      </c>
      <c r="L630" s="233" t="s">
        <v>174</v>
      </c>
      <c r="M630" s="256">
        <v>43750</v>
      </c>
      <c r="N630" s="256"/>
      <c r="O630" s="224"/>
      <c r="P630" s="224"/>
      <c r="Q630" s="222" t="s">
        <v>244</v>
      </c>
      <c r="R630" s="224" t="s">
        <v>177</v>
      </c>
      <c r="S630" s="224" t="s">
        <v>326</v>
      </c>
      <c r="T630" s="235"/>
      <c r="U630" s="257"/>
      <c r="V630" s="258" t="s">
        <v>179</v>
      </c>
      <c r="W630" s="258" t="s">
        <v>179</v>
      </c>
      <c r="X630" s="259">
        <v>6</v>
      </c>
      <c r="Y630" s="251" t="s">
        <v>3888</v>
      </c>
      <c r="Z630" s="260"/>
      <c r="AA630" s="261"/>
      <c r="AB630" s="260"/>
      <c r="AC630" s="258"/>
      <c r="AD630" s="258"/>
      <c r="AE630" s="260"/>
      <c r="AF630" s="262"/>
      <c r="AG630" s="260"/>
      <c r="AH630" s="260"/>
      <c r="AI630" s="260"/>
      <c r="AJ630" s="258" t="s">
        <v>185</v>
      </c>
      <c r="AK630" s="258" t="s">
        <v>185</v>
      </c>
      <c r="AL630" s="258" t="s">
        <v>185</v>
      </c>
      <c r="AM630" s="244" t="s">
        <v>3654</v>
      </c>
      <c r="AN630" s="20">
        <v>182</v>
      </c>
      <c r="AO630" s="20">
        <v>0</v>
      </c>
      <c r="AP630" s="20">
        <v>20</v>
      </c>
      <c r="AQ630" s="20">
        <v>0</v>
      </c>
      <c r="AR630" s="20">
        <v>0</v>
      </c>
      <c r="AS630" s="20">
        <v>7</v>
      </c>
      <c r="AT630" s="20">
        <v>10</v>
      </c>
      <c r="AU630" s="300">
        <f t="shared" si="100"/>
        <v>219</v>
      </c>
      <c r="AV630" s="20">
        <v>190</v>
      </c>
      <c r="AW630" s="20">
        <v>0</v>
      </c>
      <c r="AX630" s="20">
        <v>20</v>
      </c>
      <c r="AY630" s="20">
        <v>0</v>
      </c>
      <c r="AZ630" s="20">
        <v>0</v>
      </c>
      <c r="BA630" s="20">
        <v>7</v>
      </c>
      <c r="BB630" s="20">
        <v>10</v>
      </c>
      <c r="BC630" s="300">
        <f t="shared" si="101"/>
        <v>227</v>
      </c>
      <c r="BD630" s="42">
        <f t="shared" si="102"/>
        <v>8</v>
      </c>
      <c r="BE630" s="42">
        <f t="shared" si="103"/>
        <v>0</v>
      </c>
      <c r="BF630" s="42">
        <f t="shared" si="104"/>
        <v>0</v>
      </c>
      <c r="BG630" s="42">
        <f t="shared" si="105"/>
        <v>0</v>
      </c>
      <c r="BH630" s="42">
        <f t="shared" si="106"/>
        <v>0</v>
      </c>
      <c r="BI630" s="42">
        <f t="shared" si="107"/>
        <v>0</v>
      </c>
      <c r="BJ630" s="42">
        <f t="shared" si="108"/>
        <v>0</v>
      </c>
      <c r="BK630" s="42">
        <f t="shared" si="109"/>
        <v>8</v>
      </c>
    </row>
    <row r="631" spans="1:63" ht="27" customHeight="1">
      <c r="A631" s="222">
        <f t="shared" si="110"/>
        <v>629</v>
      </c>
      <c r="B631" s="223"/>
      <c r="C631" s="250">
        <v>3615</v>
      </c>
      <c r="D631" s="225" t="s">
        <v>3889</v>
      </c>
      <c r="E631" s="251" t="s">
        <v>3890</v>
      </c>
      <c r="F631" s="252" t="s">
        <v>3891</v>
      </c>
      <c r="G631" s="253" t="s">
        <v>2953</v>
      </c>
      <c r="H631" s="229" t="s">
        <v>653</v>
      </c>
      <c r="I631" s="230" t="s">
        <v>3892</v>
      </c>
      <c r="J631" s="254" t="s">
        <v>173</v>
      </c>
      <c r="K631" s="255">
        <v>29688</v>
      </c>
      <c r="L631" s="233" t="s">
        <v>174</v>
      </c>
      <c r="M631" s="256">
        <v>43750</v>
      </c>
      <c r="N631" s="256"/>
      <c r="O631" s="224"/>
      <c r="P631" s="222" t="s">
        <v>3749</v>
      </c>
      <c r="Q631" s="222" t="s">
        <v>244</v>
      </c>
      <c r="R631" s="224" t="s">
        <v>177</v>
      </c>
      <c r="S631" s="224" t="s">
        <v>223</v>
      </c>
      <c r="T631" s="235"/>
      <c r="U631" s="257"/>
      <c r="V631" s="258" t="s">
        <v>179</v>
      </c>
      <c r="W631" s="258" t="s">
        <v>179</v>
      </c>
      <c r="X631" s="259">
        <v>6</v>
      </c>
      <c r="Y631" s="251" t="s">
        <v>3893</v>
      </c>
      <c r="Z631" s="261"/>
      <c r="AA631" s="261" t="s">
        <v>181</v>
      </c>
      <c r="AB631" s="260"/>
      <c r="AC631" s="258" t="s">
        <v>3883</v>
      </c>
      <c r="AD631" s="260" t="s">
        <v>3883</v>
      </c>
      <c r="AE631" s="260" t="s">
        <v>3883</v>
      </c>
      <c r="AF631" s="260" t="s">
        <v>3883</v>
      </c>
      <c r="AG631" s="260" t="s">
        <v>3883</v>
      </c>
      <c r="AH631" s="260" t="s">
        <v>3883</v>
      </c>
      <c r="AI631" s="260"/>
      <c r="AJ631" s="258" t="s">
        <v>198</v>
      </c>
      <c r="AK631" s="258" t="s">
        <v>185</v>
      </c>
      <c r="AL631" s="258" t="s">
        <v>185</v>
      </c>
      <c r="AM631" s="244" t="s">
        <v>3854</v>
      </c>
      <c r="AN631" s="20">
        <v>182</v>
      </c>
      <c r="AO631" s="20">
        <v>0</v>
      </c>
      <c r="AP631" s="20">
        <v>20</v>
      </c>
      <c r="AQ631" s="20">
        <v>0</v>
      </c>
      <c r="AR631" s="20">
        <v>0</v>
      </c>
      <c r="AS631" s="20">
        <v>7</v>
      </c>
      <c r="AT631" s="20">
        <v>10</v>
      </c>
      <c r="AU631" s="300">
        <f t="shared" si="100"/>
        <v>219</v>
      </c>
      <c r="AV631" s="20">
        <v>190</v>
      </c>
      <c r="AW631" s="20">
        <v>0</v>
      </c>
      <c r="AX631" s="20">
        <v>20</v>
      </c>
      <c r="AY631" s="20">
        <v>0</v>
      </c>
      <c r="AZ631" s="20">
        <v>0</v>
      </c>
      <c r="BA631" s="20">
        <v>7</v>
      </c>
      <c r="BB631" s="20">
        <v>10</v>
      </c>
      <c r="BC631" s="300">
        <f t="shared" si="101"/>
        <v>227</v>
      </c>
      <c r="BD631" s="42">
        <f t="shared" si="102"/>
        <v>8</v>
      </c>
      <c r="BE631" s="42">
        <f t="shared" si="103"/>
        <v>0</v>
      </c>
      <c r="BF631" s="42">
        <f t="shared" si="104"/>
        <v>0</v>
      </c>
      <c r="BG631" s="42">
        <f t="shared" si="105"/>
        <v>0</v>
      </c>
      <c r="BH631" s="42">
        <f t="shared" si="106"/>
        <v>0</v>
      </c>
      <c r="BI631" s="42">
        <f t="shared" si="107"/>
        <v>0</v>
      </c>
      <c r="BJ631" s="42">
        <f t="shared" si="108"/>
        <v>0</v>
      </c>
      <c r="BK631" s="42">
        <f t="shared" si="109"/>
        <v>8</v>
      </c>
    </row>
    <row r="632" spans="1:63" ht="27" customHeight="1">
      <c r="A632" s="222">
        <f t="shared" si="110"/>
        <v>630</v>
      </c>
      <c r="B632" s="223"/>
      <c r="C632" s="250">
        <v>3635</v>
      </c>
      <c r="D632" s="225" t="s">
        <v>3894</v>
      </c>
      <c r="E632" s="251" t="s">
        <v>3895</v>
      </c>
      <c r="F632" s="252" t="s">
        <v>2746</v>
      </c>
      <c r="G632" s="253" t="s">
        <v>3896</v>
      </c>
      <c r="H632" s="229" t="s">
        <v>3897</v>
      </c>
      <c r="I632" s="230" t="s">
        <v>3898</v>
      </c>
      <c r="J632" s="254" t="s">
        <v>173</v>
      </c>
      <c r="K632" s="255">
        <v>30487</v>
      </c>
      <c r="L632" s="233" t="s">
        <v>174</v>
      </c>
      <c r="M632" s="256">
        <v>43744</v>
      </c>
      <c r="N632" s="256"/>
      <c r="O632" s="224"/>
      <c r="P632" s="222" t="s">
        <v>3749</v>
      </c>
      <c r="Q632" s="222" t="s">
        <v>244</v>
      </c>
      <c r="R632" s="224" t="s">
        <v>177</v>
      </c>
      <c r="S632" s="224" t="s">
        <v>1546</v>
      </c>
      <c r="T632" s="235"/>
      <c r="U632" s="257"/>
      <c r="V632" s="258" t="s">
        <v>179</v>
      </c>
      <c r="W632" s="258">
        <v>310</v>
      </c>
      <c r="X632" s="259">
        <v>8</v>
      </c>
      <c r="Y632" s="251" t="s">
        <v>3899</v>
      </c>
      <c r="Z632" s="260"/>
      <c r="AA632" s="261"/>
      <c r="AB632" s="260"/>
      <c r="AC632" s="258"/>
      <c r="AD632" s="258"/>
      <c r="AE632" s="260"/>
      <c r="AF632" s="262"/>
      <c r="AG632" s="260"/>
      <c r="AH632" s="260"/>
      <c r="AI632" s="260"/>
      <c r="AJ632" s="258" t="s">
        <v>185</v>
      </c>
      <c r="AK632" s="258" t="s">
        <v>185</v>
      </c>
      <c r="AL632" s="258" t="s">
        <v>185</v>
      </c>
      <c r="AM632" s="244" t="s">
        <v>3854</v>
      </c>
      <c r="AN632" s="20">
        <v>182</v>
      </c>
      <c r="AO632" s="20">
        <v>0</v>
      </c>
      <c r="AP632" s="20">
        <v>20</v>
      </c>
      <c r="AQ632" s="20">
        <v>0</v>
      </c>
      <c r="AR632" s="20">
        <v>0</v>
      </c>
      <c r="AS632" s="20">
        <v>7</v>
      </c>
      <c r="AT632" s="20">
        <v>10</v>
      </c>
      <c r="AU632" s="300">
        <f t="shared" si="100"/>
        <v>219</v>
      </c>
      <c r="AV632" s="20">
        <v>190</v>
      </c>
      <c r="AW632" s="20">
        <v>0</v>
      </c>
      <c r="AX632" s="20">
        <v>20</v>
      </c>
      <c r="AY632" s="20">
        <v>0</v>
      </c>
      <c r="AZ632" s="20">
        <v>0</v>
      </c>
      <c r="BA632" s="20">
        <v>7</v>
      </c>
      <c r="BB632" s="20">
        <v>10</v>
      </c>
      <c r="BC632" s="300">
        <f t="shared" si="101"/>
        <v>227</v>
      </c>
      <c r="BD632" s="42">
        <f t="shared" si="102"/>
        <v>8</v>
      </c>
      <c r="BE632" s="42">
        <f t="shared" si="103"/>
        <v>0</v>
      </c>
      <c r="BF632" s="42">
        <f t="shared" si="104"/>
        <v>0</v>
      </c>
      <c r="BG632" s="42">
        <f t="shared" si="105"/>
        <v>0</v>
      </c>
      <c r="BH632" s="42">
        <f t="shared" si="106"/>
        <v>0</v>
      </c>
      <c r="BI632" s="42">
        <f t="shared" si="107"/>
        <v>0</v>
      </c>
      <c r="BJ632" s="42">
        <f t="shared" si="108"/>
        <v>0</v>
      </c>
      <c r="BK632" s="42">
        <f t="shared" si="109"/>
        <v>8</v>
      </c>
    </row>
    <row r="633" spans="1:63" ht="27" customHeight="1">
      <c r="A633" s="222">
        <f t="shared" si="110"/>
        <v>631</v>
      </c>
      <c r="B633" s="223"/>
      <c r="C633" s="250">
        <v>3637</v>
      </c>
      <c r="D633" s="225" t="s">
        <v>3900</v>
      </c>
      <c r="E633" s="251" t="s">
        <v>3901</v>
      </c>
      <c r="F633" s="252" t="s">
        <v>1705</v>
      </c>
      <c r="G633" s="253" t="s">
        <v>232</v>
      </c>
      <c r="H633" s="229" t="s">
        <v>1706</v>
      </c>
      <c r="I633" s="230" t="s">
        <v>3902</v>
      </c>
      <c r="J633" s="254" t="s">
        <v>173</v>
      </c>
      <c r="K633" s="255">
        <v>29805</v>
      </c>
      <c r="L633" s="233" t="s">
        <v>174</v>
      </c>
      <c r="M633" s="256">
        <v>43754</v>
      </c>
      <c r="N633" s="256"/>
      <c r="O633" s="224"/>
      <c r="P633" s="222" t="s">
        <v>3749</v>
      </c>
      <c r="Q633" s="222" t="s">
        <v>244</v>
      </c>
      <c r="R633" s="224" t="s">
        <v>177</v>
      </c>
      <c r="S633" s="224" t="s">
        <v>3596</v>
      </c>
      <c r="T633" s="235"/>
      <c r="U633" s="257"/>
      <c r="V633" s="258" t="s">
        <v>179</v>
      </c>
      <c r="W633" s="258" t="s">
        <v>179</v>
      </c>
      <c r="X633" s="259">
        <v>3</v>
      </c>
      <c r="Y633" s="251" t="s">
        <v>3903</v>
      </c>
      <c r="Z633" s="260"/>
      <c r="AA633" s="261"/>
      <c r="AB633" s="260"/>
      <c r="AC633" s="258"/>
      <c r="AD633" s="259"/>
      <c r="AE633" s="259"/>
      <c r="AF633" s="262"/>
      <c r="AG633" s="260"/>
      <c r="AH633" s="260"/>
      <c r="AI633" s="260"/>
      <c r="AJ633" s="258" t="s">
        <v>185</v>
      </c>
      <c r="AK633" s="258" t="s">
        <v>185</v>
      </c>
      <c r="AL633" s="258" t="s">
        <v>185</v>
      </c>
      <c r="AM633" s="244" t="s">
        <v>3854</v>
      </c>
      <c r="AN633" s="20">
        <v>182</v>
      </c>
      <c r="AO633" s="20">
        <v>0</v>
      </c>
      <c r="AP633" s="20">
        <v>20</v>
      </c>
      <c r="AQ633" s="20">
        <v>0</v>
      </c>
      <c r="AR633" s="20">
        <v>0</v>
      </c>
      <c r="AS633" s="20">
        <v>7</v>
      </c>
      <c r="AT633" s="20">
        <v>10</v>
      </c>
      <c r="AU633" s="300">
        <f t="shared" si="100"/>
        <v>219</v>
      </c>
      <c r="AV633" s="20">
        <v>190</v>
      </c>
      <c r="AW633" s="20">
        <v>0</v>
      </c>
      <c r="AX633" s="20">
        <v>20</v>
      </c>
      <c r="AY633" s="20">
        <v>0</v>
      </c>
      <c r="AZ633" s="20">
        <v>0</v>
      </c>
      <c r="BA633" s="20">
        <v>7</v>
      </c>
      <c r="BB633" s="20">
        <v>10</v>
      </c>
      <c r="BC633" s="300">
        <f t="shared" si="101"/>
        <v>227</v>
      </c>
      <c r="BD633" s="42">
        <f t="shared" si="102"/>
        <v>8</v>
      </c>
      <c r="BE633" s="42">
        <f t="shared" si="103"/>
        <v>0</v>
      </c>
      <c r="BF633" s="42">
        <f t="shared" si="104"/>
        <v>0</v>
      </c>
      <c r="BG633" s="42">
        <f t="shared" si="105"/>
        <v>0</v>
      </c>
      <c r="BH633" s="42">
        <f t="shared" si="106"/>
        <v>0</v>
      </c>
      <c r="BI633" s="42">
        <f t="shared" si="107"/>
        <v>0</v>
      </c>
      <c r="BJ633" s="42">
        <f t="shared" si="108"/>
        <v>0</v>
      </c>
      <c r="BK633" s="42">
        <f t="shared" si="109"/>
        <v>8</v>
      </c>
    </row>
    <row r="634" spans="1:63" ht="27" customHeight="1">
      <c r="A634" s="222">
        <f t="shared" si="110"/>
        <v>632</v>
      </c>
      <c r="B634" s="223"/>
      <c r="C634" s="250">
        <v>3639</v>
      </c>
      <c r="D634" s="225" t="s">
        <v>3904</v>
      </c>
      <c r="E634" s="251" t="s">
        <v>3905</v>
      </c>
      <c r="F634" s="252" t="s">
        <v>3906</v>
      </c>
      <c r="G634" s="253" t="s">
        <v>3907</v>
      </c>
      <c r="H634" s="229" t="s">
        <v>3908</v>
      </c>
      <c r="I634" s="230" t="s">
        <v>3909</v>
      </c>
      <c r="J634" s="254" t="s">
        <v>173</v>
      </c>
      <c r="K634" s="255">
        <v>33614</v>
      </c>
      <c r="L634" s="233" t="s">
        <v>174</v>
      </c>
      <c r="M634" s="256">
        <v>43753</v>
      </c>
      <c r="N634" s="256"/>
      <c r="O634" s="224"/>
      <c r="P634" s="224"/>
      <c r="Q634" s="222" t="s">
        <v>244</v>
      </c>
      <c r="R634" s="224" t="s">
        <v>177</v>
      </c>
      <c r="S634" s="224" t="s">
        <v>326</v>
      </c>
      <c r="T634" s="235"/>
      <c r="U634" s="257"/>
      <c r="V634" s="258" t="s">
        <v>179</v>
      </c>
      <c r="W634" s="258" t="s">
        <v>179</v>
      </c>
      <c r="X634" s="266">
        <v>7</v>
      </c>
      <c r="Y634" s="251" t="s">
        <v>3910</v>
      </c>
      <c r="Z634" s="260"/>
      <c r="AA634" s="261"/>
      <c r="AB634" s="260"/>
      <c r="AC634" s="258"/>
      <c r="AD634" s="259"/>
      <c r="AE634" s="259"/>
      <c r="AF634" s="263"/>
      <c r="AG634" s="259"/>
      <c r="AH634" s="260"/>
      <c r="AI634" s="260"/>
      <c r="AJ634" s="258" t="s">
        <v>198</v>
      </c>
      <c r="AK634" s="258" t="s">
        <v>185</v>
      </c>
      <c r="AL634" s="258" t="s">
        <v>185</v>
      </c>
      <c r="AM634" s="244" t="s">
        <v>3911</v>
      </c>
      <c r="AN634" s="20">
        <v>182</v>
      </c>
      <c r="AO634" s="20">
        <v>0</v>
      </c>
      <c r="AP634" s="20">
        <v>20</v>
      </c>
      <c r="AQ634" s="20">
        <v>0</v>
      </c>
      <c r="AR634" s="20">
        <v>0</v>
      </c>
      <c r="AS634" s="20">
        <v>7</v>
      </c>
      <c r="AT634" s="20">
        <v>10</v>
      </c>
      <c r="AU634" s="300">
        <f t="shared" si="100"/>
        <v>219</v>
      </c>
      <c r="AV634" s="20">
        <v>190</v>
      </c>
      <c r="AW634" s="20">
        <v>0</v>
      </c>
      <c r="AX634" s="20">
        <v>20</v>
      </c>
      <c r="AY634" s="20">
        <v>0</v>
      </c>
      <c r="AZ634" s="20">
        <v>0</v>
      </c>
      <c r="BA634" s="20">
        <v>7</v>
      </c>
      <c r="BB634" s="20">
        <v>10</v>
      </c>
      <c r="BC634" s="300">
        <f t="shared" si="101"/>
        <v>227</v>
      </c>
      <c r="BD634" s="42">
        <f t="shared" si="102"/>
        <v>8</v>
      </c>
      <c r="BE634" s="42">
        <f t="shared" si="103"/>
        <v>0</v>
      </c>
      <c r="BF634" s="42">
        <f t="shared" si="104"/>
        <v>0</v>
      </c>
      <c r="BG634" s="42">
        <f t="shared" si="105"/>
        <v>0</v>
      </c>
      <c r="BH634" s="42">
        <f t="shared" si="106"/>
        <v>0</v>
      </c>
      <c r="BI634" s="42">
        <f t="shared" si="107"/>
        <v>0</v>
      </c>
      <c r="BJ634" s="42">
        <f t="shared" si="108"/>
        <v>0</v>
      </c>
      <c r="BK634" s="42">
        <f t="shared" si="109"/>
        <v>8</v>
      </c>
    </row>
    <row r="635" spans="1:63" ht="27" customHeight="1">
      <c r="A635" s="222">
        <f t="shared" si="110"/>
        <v>633</v>
      </c>
      <c r="B635" s="223"/>
      <c r="C635" s="250">
        <v>3644</v>
      </c>
      <c r="D635" s="225" t="s">
        <v>3912</v>
      </c>
      <c r="E635" s="251" t="s">
        <v>3913</v>
      </c>
      <c r="F635" s="252" t="s">
        <v>3016</v>
      </c>
      <c r="G635" s="253" t="s">
        <v>3914</v>
      </c>
      <c r="H635" s="229" t="s">
        <v>3915</v>
      </c>
      <c r="I635" s="230" t="s">
        <v>3916</v>
      </c>
      <c r="J635" s="254" t="s">
        <v>204</v>
      </c>
      <c r="K635" s="255">
        <v>34202</v>
      </c>
      <c r="L635" s="233" t="s">
        <v>174</v>
      </c>
      <c r="M635" s="256">
        <v>43754</v>
      </c>
      <c r="N635" s="256"/>
      <c r="O635" s="224"/>
      <c r="P635" s="222" t="s">
        <v>3749</v>
      </c>
      <c r="Q635" s="222" t="s">
        <v>244</v>
      </c>
      <c r="R635" s="224" t="s">
        <v>177</v>
      </c>
      <c r="S635" s="224" t="s">
        <v>251</v>
      </c>
      <c r="T635" s="235"/>
      <c r="U635" s="257"/>
      <c r="V635" s="258" t="s">
        <v>195</v>
      </c>
      <c r="W635" s="258">
        <v>5739</v>
      </c>
      <c r="X635" s="266">
        <v>10</v>
      </c>
      <c r="Y635" s="267" t="s">
        <v>3917</v>
      </c>
      <c r="Z635" s="261" t="s">
        <v>181</v>
      </c>
      <c r="AA635" s="261"/>
      <c r="AB635" s="260"/>
      <c r="AC635" s="258"/>
      <c r="AD635" s="263"/>
      <c r="AE635" s="259"/>
      <c r="AF635" s="263"/>
      <c r="AG635" s="259"/>
      <c r="AH635" s="260"/>
      <c r="AI635" s="260"/>
      <c r="AJ635" s="258" t="s">
        <v>185</v>
      </c>
      <c r="AK635" s="258" t="s">
        <v>185</v>
      </c>
      <c r="AL635" s="258" t="s">
        <v>185</v>
      </c>
      <c r="AM635" s="244" t="s">
        <v>236</v>
      </c>
      <c r="AN635" s="20">
        <v>182</v>
      </c>
      <c r="AO635" s="20">
        <v>0</v>
      </c>
      <c r="AP635" s="20">
        <v>20</v>
      </c>
      <c r="AQ635" s="20">
        <v>0</v>
      </c>
      <c r="AR635" s="20">
        <v>0</v>
      </c>
      <c r="AS635" s="20">
        <v>7</v>
      </c>
      <c r="AT635" s="20">
        <v>10</v>
      </c>
      <c r="AU635" s="300">
        <f t="shared" si="100"/>
        <v>219</v>
      </c>
      <c r="AV635" s="20">
        <v>190</v>
      </c>
      <c r="AW635" s="20">
        <v>0</v>
      </c>
      <c r="AX635" s="20">
        <v>20</v>
      </c>
      <c r="AY635" s="20">
        <v>0</v>
      </c>
      <c r="AZ635" s="20">
        <v>0</v>
      </c>
      <c r="BA635" s="20">
        <v>7</v>
      </c>
      <c r="BB635" s="20">
        <v>10</v>
      </c>
      <c r="BC635" s="300">
        <f t="shared" si="101"/>
        <v>227</v>
      </c>
      <c r="BD635" s="42">
        <f t="shared" si="102"/>
        <v>8</v>
      </c>
      <c r="BE635" s="42">
        <f t="shared" si="103"/>
        <v>0</v>
      </c>
      <c r="BF635" s="42">
        <f t="shared" si="104"/>
        <v>0</v>
      </c>
      <c r="BG635" s="42">
        <f t="shared" si="105"/>
        <v>0</v>
      </c>
      <c r="BH635" s="42">
        <f t="shared" si="106"/>
        <v>0</v>
      </c>
      <c r="BI635" s="42">
        <f t="shared" si="107"/>
        <v>0</v>
      </c>
      <c r="BJ635" s="42">
        <f t="shared" si="108"/>
        <v>0</v>
      </c>
      <c r="BK635" s="42">
        <f t="shared" si="109"/>
        <v>8</v>
      </c>
    </row>
    <row r="636" spans="1:63" ht="27" customHeight="1">
      <c r="A636" s="222">
        <f t="shared" si="110"/>
        <v>634</v>
      </c>
      <c r="B636" s="223"/>
      <c r="C636" s="250">
        <v>3197</v>
      </c>
      <c r="D636" s="268" t="s">
        <v>3918</v>
      </c>
      <c r="E636" s="251" t="s">
        <v>3919</v>
      </c>
      <c r="F636" s="252" t="s">
        <v>3920</v>
      </c>
      <c r="G636" s="253" t="s">
        <v>3921</v>
      </c>
      <c r="H636" s="229" t="s">
        <v>3922</v>
      </c>
      <c r="I636" s="230" t="s">
        <v>3923</v>
      </c>
      <c r="J636" s="254" t="s">
        <v>173</v>
      </c>
      <c r="K636" s="255">
        <v>30900</v>
      </c>
      <c r="L636" s="233" t="s">
        <v>174</v>
      </c>
      <c r="M636" s="256">
        <v>43742</v>
      </c>
      <c r="N636" s="256"/>
      <c r="O636" s="224"/>
      <c r="P636" s="222" t="s">
        <v>3644</v>
      </c>
      <c r="Q636" s="222" t="s">
        <v>244</v>
      </c>
      <c r="R636" s="224" t="s">
        <v>177</v>
      </c>
      <c r="S636" s="224" t="s">
        <v>428</v>
      </c>
      <c r="T636" s="235"/>
      <c r="U636" s="257"/>
      <c r="V636" s="258" t="s">
        <v>179</v>
      </c>
      <c r="W636" s="258" t="s">
        <v>179</v>
      </c>
      <c r="X636" s="266">
        <v>12</v>
      </c>
      <c r="Y636" s="251" t="s">
        <v>3924</v>
      </c>
      <c r="Z636" s="261" t="s">
        <v>181</v>
      </c>
      <c r="AA636" s="261"/>
      <c r="AB636" s="260"/>
      <c r="AC636" s="258"/>
      <c r="AD636" s="259"/>
      <c r="AE636" s="259"/>
      <c r="AF636" s="263"/>
      <c r="AG636" s="259"/>
      <c r="AH636" s="260"/>
      <c r="AI636" s="260"/>
      <c r="AJ636" s="258" t="s">
        <v>198</v>
      </c>
      <c r="AK636" s="258" t="s">
        <v>185</v>
      </c>
      <c r="AL636" s="258" t="s">
        <v>185</v>
      </c>
      <c r="AM636" s="244" t="s">
        <v>3854</v>
      </c>
      <c r="AN636" s="20">
        <v>182</v>
      </c>
      <c r="AO636" s="20">
        <v>0</v>
      </c>
      <c r="AP636" s="20">
        <v>20</v>
      </c>
      <c r="AQ636" s="20">
        <v>0</v>
      </c>
      <c r="AR636" s="20">
        <v>0</v>
      </c>
      <c r="AS636" s="20">
        <v>7</v>
      </c>
      <c r="AT636" s="20">
        <v>10</v>
      </c>
      <c r="AU636" s="300">
        <f t="shared" si="100"/>
        <v>219</v>
      </c>
      <c r="AV636" s="20">
        <v>190</v>
      </c>
      <c r="AW636" s="20">
        <v>0</v>
      </c>
      <c r="AX636" s="20">
        <v>20</v>
      </c>
      <c r="AY636" s="20">
        <v>0</v>
      </c>
      <c r="AZ636" s="20">
        <v>0</v>
      </c>
      <c r="BA636" s="20">
        <v>7</v>
      </c>
      <c r="BB636" s="20">
        <v>10</v>
      </c>
      <c r="BC636" s="300">
        <f t="shared" si="101"/>
        <v>227</v>
      </c>
      <c r="BD636" s="42">
        <f t="shared" si="102"/>
        <v>8</v>
      </c>
      <c r="BE636" s="42">
        <f t="shared" si="103"/>
        <v>0</v>
      </c>
      <c r="BF636" s="42">
        <f t="shared" si="104"/>
        <v>0</v>
      </c>
      <c r="BG636" s="42">
        <f t="shared" si="105"/>
        <v>0</v>
      </c>
      <c r="BH636" s="42">
        <f t="shared" si="106"/>
        <v>0</v>
      </c>
      <c r="BI636" s="42">
        <f t="shared" si="107"/>
        <v>0</v>
      </c>
      <c r="BJ636" s="42">
        <f t="shared" si="108"/>
        <v>0</v>
      </c>
      <c r="BK636" s="42">
        <f t="shared" si="109"/>
        <v>8</v>
      </c>
    </row>
    <row r="637" spans="1:63" ht="27" customHeight="1">
      <c r="A637" s="222">
        <f t="shared" si="110"/>
        <v>635</v>
      </c>
      <c r="B637" s="223"/>
      <c r="C637" s="250">
        <v>3607</v>
      </c>
      <c r="D637" s="225" t="s">
        <v>3925</v>
      </c>
      <c r="E637" s="251" t="s">
        <v>3926</v>
      </c>
      <c r="F637" s="252" t="s">
        <v>3927</v>
      </c>
      <c r="G637" s="253" t="s">
        <v>3652</v>
      </c>
      <c r="H637" s="229" t="s">
        <v>3928</v>
      </c>
      <c r="I637" s="230" t="s">
        <v>1750</v>
      </c>
      <c r="J637" s="254" t="s">
        <v>173</v>
      </c>
      <c r="K637" s="255">
        <v>30756</v>
      </c>
      <c r="L637" s="233" t="s">
        <v>174</v>
      </c>
      <c r="M637" s="256">
        <v>43753</v>
      </c>
      <c r="N637" s="256"/>
      <c r="O637" s="224"/>
      <c r="P637" s="222" t="s">
        <v>3749</v>
      </c>
      <c r="Q637" s="222" t="s">
        <v>244</v>
      </c>
      <c r="R637" s="224" t="s">
        <v>177</v>
      </c>
      <c r="S637" s="224" t="s">
        <v>223</v>
      </c>
      <c r="T637" s="235"/>
      <c r="U637" s="257"/>
      <c r="V637" s="258" t="s">
        <v>179</v>
      </c>
      <c r="W637" s="258" t="s">
        <v>179</v>
      </c>
      <c r="X637" s="266">
        <v>9</v>
      </c>
      <c r="Y637" s="251" t="s">
        <v>3929</v>
      </c>
      <c r="Z637" s="260"/>
      <c r="AA637" s="261" t="s">
        <v>181</v>
      </c>
      <c r="AB637" s="260"/>
      <c r="AC637" s="258" t="s">
        <v>3883</v>
      </c>
      <c r="AD637" s="258" t="s">
        <v>3883</v>
      </c>
      <c r="AE637" s="258" t="s">
        <v>3883</v>
      </c>
      <c r="AF637" s="258" t="s">
        <v>3883</v>
      </c>
      <c r="AG637" s="258" t="s">
        <v>3883</v>
      </c>
      <c r="AH637" s="258" t="s">
        <v>3883</v>
      </c>
      <c r="AI637" s="260"/>
      <c r="AJ637" s="258" t="s">
        <v>198</v>
      </c>
      <c r="AK637" s="258" t="s">
        <v>185</v>
      </c>
      <c r="AL637" s="258" t="s">
        <v>185</v>
      </c>
      <c r="AM637" s="244" t="s">
        <v>3854</v>
      </c>
      <c r="AN637" s="20">
        <v>182</v>
      </c>
      <c r="AO637" s="20">
        <v>0</v>
      </c>
      <c r="AP637" s="20">
        <v>20</v>
      </c>
      <c r="AQ637" s="20">
        <v>0</v>
      </c>
      <c r="AR637" s="20">
        <v>0</v>
      </c>
      <c r="AS637" s="20">
        <v>7</v>
      </c>
      <c r="AT637" s="20">
        <v>10</v>
      </c>
      <c r="AU637" s="300">
        <f t="shared" si="100"/>
        <v>219</v>
      </c>
      <c r="AV637" s="20">
        <v>190</v>
      </c>
      <c r="AW637" s="20">
        <v>0</v>
      </c>
      <c r="AX637" s="20">
        <v>20</v>
      </c>
      <c r="AY637" s="20">
        <v>0</v>
      </c>
      <c r="AZ637" s="20">
        <v>0</v>
      </c>
      <c r="BA637" s="20">
        <v>7</v>
      </c>
      <c r="BB637" s="20">
        <v>10</v>
      </c>
      <c r="BC637" s="300">
        <f t="shared" si="101"/>
        <v>227</v>
      </c>
      <c r="BD637" s="42">
        <f t="shared" si="102"/>
        <v>8</v>
      </c>
      <c r="BE637" s="42">
        <f t="shared" si="103"/>
        <v>0</v>
      </c>
      <c r="BF637" s="42">
        <f t="shared" si="104"/>
        <v>0</v>
      </c>
      <c r="BG637" s="42">
        <f t="shared" si="105"/>
        <v>0</v>
      </c>
      <c r="BH637" s="42">
        <f t="shared" si="106"/>
        <v>0</v>
      </c>
      <c r="BI637" s="42">
        <f t="shared" si="107"/>
        <v>0</v>
      </c>
      <c r="BJ637" s="42">
        <f t="shared" si="108"/>
        <v>0</v>
      </c>
      <c r="BK637" s="42">
        <f t="shared" si="109"/>
        <v>8</v>
      </c>
    </row>
    <row r="638" spans="1:63" ht="27" customHeight="1">
      <c r="A638" s="222">
        <f t="shared" si="110"/>
        <v>636</v>
      </c>
      <c r="B638" s="223"/>
      <c r="C638" s="250">
        <v>3609</v>
      </c>
      <c r="D638" s="264" t="s">
        <v>3930</v>
      </c>
      <c r="E638" s="251" t="s">
        <v>3931</v>
      </c>
      <c r="F638" s="252" t="s">
        <v>3016</v>
      </c>
      <c r="G638" s="253" t="s">
        <v>3932</v>
      </c>
      <c r="H638" s="229" t="s">
        <v>3933</v>
      </c>
      <c r="I638" s="230" t="s">
        <v>3934</v>
      </c>
      <c r="J638" s="254" t="s">
        <v>204</v>
      </c>
      <c r="K638" s="255">
        <v>33643</v>
      </c>
      <c r="L638" s="233" t="s">
        <v>174</v>
      </c>
      <c r="M638" s="256">
        <v>43753</v>
      </c>
      <c r="N638" s="256"/>
      <c r="O638" s="224"/>
      <c r="P638" s="222" t="s">
        <v>3935</v>
      </c>
      <c r="Q638" s="222" t="s">
        <v>244</v>
      </c>
      <c r="R638" s="224" t="s">
        <v>177</v>
      </c>
      <c r="S638" s="224" t="s">
        <v>251</v>
      </c>
      <c r="T638" s="235"/>
      <c r="U638" s="257"/>
      <c r="V638" s="258" t="s">
        <v>179</v>
      </c>
      <c r="W638" s="258" t="s">
        <v>179</v>
      </c>
      <c r="X638" s="266">
        <v>7</v>
      </c>
      <c r="Y638" s="251" t="s">
        <v>3936</v>
      </c>
      <c r="Z638" s="258"/>
      <c r="AA638" s="261" t="s">
        <v>181</v>
      </c>
      <c r="AB638" s="260"/>
      <c r="AC638" s="258" t="s">
        <v>3883</v>
      </c>
      <c r="AD638" s="258" t="s">
        <v>3883</v>
      </c>
      <c r="AE638" s="258" t="s">
        <v>3883</v>
      </c>
      <c r="AF638" s="263"/>
      <c r="AG638" s="259"/>
      <c r="AH638" s="260"/>
      <c r="AI638" s="260"/>
      <c r="AJ638" s="258" t="s">
        <v>198</v>
      </c>
      <c r="AK638" s="258" t="s">
        <v>185</v>
      </c>
      <c r="AL638" s="258" t="s">
        <v>185</v>
      </c>
      <c r="AM638" s="244" t="s">
        <v>3854</v>
      </c>
      <c r="AN638" s="20">
        <v>182</v>
      </c>
      <c r="AO638" s="20">
        <v>0</v>
      </c>
      <c r="AP638" s="20">
        <v>20</v>
      </c>
      <c r="AQ638" s="20">
        <v>0</v>
      </c>
      <c r="AR638" s="20">
        <v>0</v>
      </c>
      <c r="AS638" s="20">
        <v>7</v>
      </c>
      <c r="AT638" s="20">
        <v>10</v>
      </c>
      <c r="AU638" s="300">
        <f t="shared" si="100"/>
        <v>219</v>
      </c>
      <c r="AV638" s="20">
        <v>190</v>
      </c>
      <c r="AW638" s="20">
        <v>0</v>
      </c>
      <c r="AX638" s="20">
        <v>20</v>
      </c>
      <c r="AY638" s="20">
        <v>0</v>
      </c>
      <c r="AZ638" s="20">
        <v>0</v>
      </c>
      <c r="BA638" s="20">
        <v>7</v>
      </c>
      <c r="BB638" s="20">
        <v>10</v>
      </c>
      <c r="BC638" s="300">
        <f t="shared" si="101"/>
        <v>227</v>
      </c>
      <c r="BD638" s="42">
        <f t="shared" si="102"/>
        <v>8</v>
      </c>
      <c r="BE638" s="42">
        <f t="shared" si="103"/>
        <v>0</v>
      </c>
      <c r="BF638" s="42">
        <f t="shared" si="104"/>
        <v>0</v>
      </c>
      <c r="BG638" s="42">
        <f t="shared" si="105"/>
        <v>0</v>
      </c>
      <c r="BH638" s="42">
        <f t="shared" si="106"/>
        <v>0</v>
      </c>
      <c r="BI638" s="42">
        <f t="shared" si="107"/>
        <v>0</v>
      </c>
      <c r="BJ638" s="42">
        <f t="shared" si="108"/>
        <v>0</v>
      </c>
      <c r="BK638" s="42">
        <f t="shared" si="109"/>
        <v>8</v>
      </c>
    </row>
    <row r="639" spans="1:63" ht="27" customHeight="1">
      <c r="A639" s="222">
        <f t="shared" si="110"/>
        <v>637</v>
      </c>
      <c r="B639" s="223"/>
      <c r="C639" s="250">
        <v>3616</v>
      </c>
      <c r="D639" s="225" t="s">
        <v>3937</v>
      </c>
      <c r="E639" s="251" t="s">
        <v>3938</v>
      </c>
      <c r="F639" s="252" t="s">
        <v>2054</v>
      </c>
      <c r="G639" s="253" t="s">
        <v>1315</v>
      </c>
      <c r="H639" s="229" t="s">
        <v>3939</v>
      </c>
      <c r="I639" s="230" t="s">
        <v>1829</v>
      </c>
      <c r="J639" s="254" t="s">
        <v>173</v>
      </c>
      <c r="K639" s="255">
        <v>30784</v>
      </c>
      <c r="L639" s="233" t="s">
        <v>174</v>
      </c>
      <c r="M639" s="256">
        <v>43750</v>
      </c>
      <c r="N639" s="256"/>
      <c r="O639" s="224"/>
      <c r="P639" s="222" t="s">
        <v>3935</v>
      </c>
      <c r="Q639" s="222" t="s">
        <v>244</v>
      </c>
      <c r="R639" s="224" t="s">
        <v>177</v>
      </c>
      <c r="S639" s="224" t="s">
        <v>223</v>
      </c>
      <c r="T639" s="235"/>
      <c r="U639" s="257"/>
      <c r="V639" s="258" t="s">
        <v>179</v>
      </c>
      <c r="W639" s="258" t="s">
        <v>179</v>
      </c>
      <c r="X639" s="266">
        <v>5</v>
      </c>
      <c r="Y639" s="251" t="s">
        <v>3940</v>
      </c>
      <c r="Z639" s="261"/>
      <c r="AA639" s="261" t="s">
        <v>181</v>
      </c>
      <c r="AB639" s="260"/>
      <c r="AC639" s="258" t="s">
        <v>3883</v>
      </c>
      <c r="AD639" s="258" t="s">
        <v>3883</v>
      </c>
      <c r="AE639" s="259"/>
      <c r="AF639" s="263"/>
      <c r="AG639" s="259"/>
      <c r="AH639" s="260"/>
      <c r="AI639" s="260"/>
      <c r="AJ639" s="258" t="s">
        <v>198</v>
      </c>
      <c r="AK639" s="258" t="s">
        <v>185</v>
      </c>
      <c r="AL639" s="258" t="s">
        <v>185</v>
      </c>
      <c r="AM639" s="244" t="s">
        <v>3854</v>
      </c>
      <c r="AN639" s="20">
        <v>182</v>
      </c>
      <c r="AO639" s="20">
        <v>0</v>
      </c>
      <c r="AP639" s="20">
        <v>20</v>
      </c>
      <c r="AQ639" s="20">
        <v>0</v>
      </c>
      <c r="AR639" s="20">
        <v>0</v>
      </c>
      <c r="AS639" s="20">
        <v>7</v>
      </c>
      <c r="AT639" s="20">
        <v>10</v>
      </c>
      <c r="AU639" s="300">
        <f t="shared" si="100"/>
        <v>219</v>
      </c>
      <c r="AV639" s="20">
        <v>190</v>
      </c>
      <c r="AW639" s="20">
        <v>0</v>
      </c>
      <c r="AX639" s="20">
        <v>20</v>
      </c>
      <c r="AY639" s="20">
        <v>0</v>
      </c>
      <c r="AZ639" s="20">
        <v>0</v>
      </c>
      <c r="BA639" s="20">
        <v>7</v>
      </c>
      <c r="BB639" s="20">
        <v>10</v>
      </c>
      <c r="BC639" s="300">
        <f t="shared" si="101"/>
        <v>227</v>
      </c>
      <c r="BD639" s="42">
        <f t="shared" si="102"/>
        <v>8</v>
      </c>
      <c r="BE639" s="42">
        <f t="shared" si="103"/>
        <v>0</v>
      </c>
      <c r="BF639" s="42">
        <f t="shared" si="104"/>
        <v>0</v>
      </c>
      <c r="BG639" s="42">
        <f t="shared" si="105"/>
        <v>0</v>
      </c>
      <c r="BH639" s="42">
        <f t="shared" si="106"/>
        <v>0</v>
      </c>
      <c r="BI639" s="42">
        <f t="shared" si="107"/>
        <v>0</v>
      </c>
      <c r="BJ639" s="42">
        <f t="shared" si="108"/>
        <v>0</v>
      </c>
      <c r="BK639" s="42">
        <f t="shared" si="109"/>
        <v>8</v>
      </c>
    </row>
    <row r="640" spans="1:63" ht="27" customHeight="1">
      <c r="A640" s="222">
        <f t="shared" si="110"/>
        <v>638</v>
      </c>
      <c r="B640" s="223"/>
      <c r="C640" s="250">
        <v>3613</v>
      </c>
      <c r="D640" s="225" t="s">
        <v>3941</v>
      </c>
      <c r="E640" s="251" t="s">
        <v>3942</v>
      </c>
      <c r="F640" s="252" t="s">
        <v>3943</v>
      </c>
      <c r="G640" s="253" t="s">
        <v>1419</v>
      </c>
      <c r="H640" s="229" t="s">
        <v>3944</v>
      </c>
      <c r="I640" s="230" t="s">
        <v>1421</v>
      </c>
      <c r="J640" s="254" t="s">
        <v>173</v>
      </c>
      <c r="K640" s="255">
        <v>37261</v>
      </c>
      <c r="L640" s="233" t="s">
        <v>174</v>
      </c>
      <c r="M640" s="256">
        <v>43753</v>
      </c>
      <c r="N640" s="256"/>
      <c r="O640" s="224"/>
      <c r="P640" s="222" t="s">
        <v>3945</v>
      </c>
      <c r="Q640" s="222" t="s">
        <v>244</v>
      </c>
      <c r="R640" s="224" t="s">
        <v>177</v>
      </c>
      <c r="S640" s="224" t="s">
        <v>3946</v>
      </c>
      <c r="T640" s="235"/>
      <c r="U640" s="257"/>
      <c r="V640" s="258" t="s">
        <v>179</v>
      </c>
      <c r="W640" s="258" t="s">
        <v>179</v>
      </c>
      <c r="X640" s="266">
        <v>9</v>
      </c>
      <c r="Y640" s="251" t="s">
        <v>3947</v>
      </c>
      <c r="Z640" s="261" t="s">
        <v>181</v>
      </c>
      <c r="AA640" s="258"/>
      <c r="AB640" s="260"/>
      <c r="AC640" s="258"/>
      <c r="AD640" s="259"/>
      <c r="AE640" s="259"/>
      <c r="AF640" s="263"/>
      <c r="AG640" s="259"/>
      <c r="AH640" s="260"/>
      <c r="AI640" s="260"/>
      <c r="AJ640" s="258" t="s">
        <v>198</v>
      </c>
      <c r="AK640" s="258" t="s">
        <v>185</v>
      </c>
      <c r="AL640" s="258" t="s">
        <v>185</v>
      </c>
      <c r="AM640" s="244" t="s">
        <v>3654</v>
      </c>
      <c r="AN640" s="20">
        <v>182</v>
      </c>
      <c r="AO640" s="20">
        <v>0</v>
      </c>
      <c r="AP640" s="20">
        <v>20</v>
      </c>
      <c r="AQ640" s="20">
        <v>0</v>
      </c>
      <c r="AR640" s="20">
        <v>0</v>
      </c>
      <c r="AS640" s="20">
        <v>7</v>
      </c>
      <c r="AT640" s="20">
        <v>10</v>
      </c>
      <c r="AU640" s="300">
        <f t="shared" si="100"/>
        <v>219</v>
      </c>
      <c r="AV640" s="20">
        <v>190</v>
      </c>
      <c r="AW640" s="20">
        <v>0</v>
      </c>
      <c r="AX640" s="20">
        <v>20</v>
      </c>
      <c r="AY640" s="20">
        <v>0</v>
      </c>
      <c r="AZ640" s="20">
        <v>0</v>
      </c>
      <c r="BA640" s="20">
        <v>7</v>
      </c>
      <c r="BB640" s="20">
        <v>10</v>
      </c>
      <c r="BC640" s="300">
        <f t="shared" si="101"/>
        <v>227</v>
      </c>
      <c r="BD640" s="42">
        <f t="shared" si="102"/>
        <v>8</v>
      </c>
      <c r="BE640" s="42">
        <f t="shared" si="103"/>
        <v>0</v>
      </c>
      <c r="BF640" s="42">
        <f t="shared" si="104"/>
        <v>0</v>
      </c>
      <c r="BG640" s="42">
        <f t="shared" si="105"/>
        <v>0</v>
      </c>
      <c r="BH640" s="42">
        <f t="shared" si="106"/>
        <v>0</v>
      </c>
      <c r="BI640" s="42">
        <f t="shared" si="107"/>
        <v>0</v>
      </c>
      <c r="BJ640" s="42">
        <f t="shared" si="108"/>
        <v>0</v>
      </c>
      <c r="BK640" s="42">
        <f t="shared" si="109"/>
        <v>8</v>
      </c>
    </row>
    <row r="641" spans="1:63" ht="27" customHeight="1">
      <c r="A641" s="222">
        <f t="shared" si="110"/>
        <v>639</v>
      </c>
      <c r="B641" s="223"/>
      <c r="C641" s="250">
        <v>3605</v>
      </c>
      <c r="D641" s="225" t="s">
        <v>3948</v>
      </c>
      <c r="E641" s="251" t="s">
        <v>291</v>
      </c>
      <c r="F641" s="252" t="s">
        <v>3949</v>
      </c>
      <c r="G641" s="253" t="s">
        <v>826</v>
      </c>
      <c r="H641" s="229" t="s">
        <v>3950</v>
      </c>
      <c r="I641" s="230" t="s">
        <v>1914</v>
      </c>
      <c r="J641" s="254" t="s">
        <v>173</v>
      </c>
      <c r="K641" s="255">
        <v>33947</v>
      </c>
      <c r="L641" s="233" t="s">
        <v>174</v>
      </c>
      <c r="M641" s="256">
        <v>43753</v>
      </c>
      <c r="N641" s="256"/>
      <c r="O641" s="224"/>
      <c r="P641" s="222" t="s">
        <v>3935</v>
      </c>
      <c r="Q641" s="222" t="s">
        <v>244</v>
      </c>
      <c r="R641" s="224" t="s">
        <v>177</v>
      </c>
      <c r="S641" s="224" t="s">
        <v>3596</v>
      </c>
      <c r="T641" s="235"/>
      <c r="U641" s="257"/>
      <c r="V641" s="258" t="s">
        <v>179</v>
      </c>
      <c r="W641" s="258">
        <v>2630</v>
      </c>
      <c r="X641" s="266">
        <v>9</v>
      </c>
      <c r="Y641" s="251" t="s">
        <v>3951</v>
      </c>
      <c r="Z641" s="258"/>
      <c r="AA641" s="261" t="s">
        <v>181</v>
      </c>
      <c r="AB641" s="260"/>
      <c r="AC641" s="258" t="s">
        <v>3883</v>
      </c>
      <c r="AD641" s="258" t="s">
        <v>3883</v>
      </c>
      <c r="AE641" s="258" t="s">
        <v>3883</v>
      </c>
      <c r="AF641" s="258" t="s">
        <v>3883</v>
      </c>
      <c r="AG641" s="258" t="s">
        <v>3883</v>
      </c>
      <c r="AH641" s="260"/>
      <c r="AI641" s="260"/>
      <c r="AJ641" s="258" t="s">
        <v>185</v>
      </c>
      <c r="AK641" s="258" t="s">
        <v>185</v>
      </c>
      <c r="AL641" s="258" t="s">
        <v>185</v>
      </c>
      <c r="AM641" s="244" t="s">
        <v>3854</v>
      </c>
      <c r="AN641" s="20">
        <v>182</v>
      </c>
      <c r="AO641" s="20">
        <v>0</v>
      </c>
      <c r="AP641" s="20">
        <v>20</v>
      </c>
      <c r="AQ641" s="20">
        <v>0</v>
      </c>
      <c r="AR641" s="20">
        <v>0</v>
      </c>
      <c r="AS641" s="20">
        <v>7</v>
      </c>
      <c r="AT641" s="20">
        <v>10</v>
      </c>
      <c r="AU641" s="300">
        <f t="shared" si="100"/>
        <v>219</v>
      </c>
      <c r="AV641" s="20">
        <v>190</v>
      </c>
      <c r="AW641" s="20">
        <v>0</v>
      </c>
      <c r="AX641" s="20">
        <v>20</v>
      </c>
      <c r="AY641" s="20">
        <v>0</v>
      </c>
      <c r="AZ641" s="20">
        <v>0</v>
      </c>
      <c r="BA641" s="20">
        <v>7</v>
      </c>
      <c r="BB641" s="20">
        <v>10</v>
      </c>
      <c r="BC641" s="300">
        <f t="shared" si="101"/>
        <v>227</v>
      </c>
      <c r="BD641" s="42">
        <f t="shared" si="102"/>
        <v>8</v>
      </c>
      <c r="BE641" s="42">
        <f t="shared" si="103"/>
        <v>0</v>
      </c>
      <c r="BF641" s="42">
        <f t="shared" si="104"/>
        <v>0</v>
      </c>
      <c r="BG641" s="42">
        <f t="shared" si="105"/>
        <v>0</v>
      </c>
      <c r="BH641" s="42">
        <f t="shared" si="106"/>
        <v>0</v>
      </c>
      <c r="BI641" s="42">
        <f t="shared" si="107"/>
        <v>0</v>
      </c>
      <c r="BJ641" s="42">
        <f t="shared" si="108"/>
        <v>0</v>
      </c>
      <c r="BK641" s="42">
        <f t="shared" si="109"/>
        <v>8</v>
      </c>
    </row>
    <row r="642" spans="1:63" ht="27" customHeight="1">
      <c r="A642" s="222">
        <f t="shared" si="110"/>
        <v>640</v>
      </c>
      <c r="B642" s="223"/>
      <c r="C642" s="250">
        <v>3229</v>
      </c>
      <c r="D642" s="269">
        <v>0</v>
      </c>
      <c r="E642" s="251" t="s">
        <v>3952</v>
      </c>
      <c r="F642" s="252" t="s">
        <v>1248</v>
      </c>
      <c r="G642" s="253" t="s">
        <v>2032</v>
      </c>
      <c r="H642" s="229" t="s">
        <v>1250</v>
      </c>
      <c r="I642" s="230" t="s">
        <v>2034</v>
      </c>
      <c r="J642" s="254" t="s">
        <v>204</v>
      </c>
      <c r="K642" s="255">
        <v>36163</v>
      </c>
      <c r="L642" s="233" t="s">
        <v>174</v>
      </c>
      <c r="M642" s="256">
        <v>43742</v>
      </c>
      <c r="N642" s="256"/>
      <c r="O642" s="224" t="s">
        <v>3953</v>
      </c>
      <c r="P642" s="222" t="s">
        <v>3954</v>
      </c>
      <c r="Q642" s="222" t="s">
        <v>244</v>
      </c>
      <c r="R642" s="224" t="s">
        <v>3955</v>
      </c>
      <c r="S642" s="224" t="s">
        <v>1201</v>
      </c>
      <c r="T642" s="235" t="s">
        <v>3956</v>
      </c>
      <c r="U642" s="257">
        <v>43789</v>
      </c>
      <c r="V642" s="258" t="s">
        <v>179</v>
      </c>
      <c r="W642" s="258" t="s">
        <v>179</v>
      </c>
      <c r="X642" s="259">
        <v>4</v>
      </c>
      <c r="Y642" s="251" t="s">
        <v>3957</v>
      </c>
      <c r="Z642" s="261"/>
      <c r="AA642" s="258"/>
      <c r="AB642" s="258"/>
      <c r="AC642" s="270"/>
      <c r="AD642" s="271"/>
      <c r="AE642" s="270"/>
      <c r="AF642" s="272"/>
      <c r="AG642" s="270"/>
      <c r="AH642" s="260"/>
      <c r="AI642" s="260"/>
      <c r="AJ642" s="258" t="s">
        <v>198</v>
      </c>
      <c r="AK642" s="258" t="s">
        <v>185</v>
      </c>
      <c r="AL642" s="258" t="s">
        <v>185</v>
      </c>
      <c r="AM642" s="244" t="s">
        <v>3854</v>
      </c>
      <c r="AN642" s="20">
        <v>182</v>
      </c>
      <c r="AO642" s="20">
        <v>0</v>
      </c>
      <c r="AP642" s="20">
        <v>0</v>
      </c>
      <c r="AQ642" s="20">
        <v>0</v>
      </c>
      <c r="AR642" s="20">
        <v>0</v>
      </c>
      <c r="AS642" s="20">
        <v>7</v>
      </c>
      <c r="AT642" s="20">
        <v>10</v>
      </c>
      <c r="AU642" s="300">
        <f t="shared" si="100"/>
        <v>199</v>
      </c>
      <c r="AV642" s="20">
        <v>190</v>
      </c>
      <c r="AW642" s="20">
        <v>0</v>
      </c>
      <c r="AX642" s="20">
        <v>0</v>
      </c>
      <c r="AY642" s="20">
        <v>0</v>
      </c>
      <c r="AZ642" s="20">
        <v>0</v>
      </c>
      <c r="BA642" s="20">
        <v>7</v>
      </c>
      <c r="BB642" s="20">
        <v>10</v>
      </c>
      <c r="BC642" s="300">
        <f t="shared" si="101"/>
        <v>207</v>
      </c>
      <c r="BD642" s="42">
        <f t="shared" si="102"/>
        <v>8</v>
      </c>
      <c r="BE642" s="42">
        <f t="shared" si="103"/>
        <v>0</v>
      </c>
      <c r="BF642" s="42">
        <f t="shared" si="104"/>
        <v>0</v>
      </c>
      <c r="BG642" s="42">
        <f t="shared" si="105"/>
        <v>0</v>
      </c>
      <c r="BH642" s="42">
        <f t="shared" si="106"/>
        <v>0</v>
      </c>
      <c r="BI642" s="42">
        <f t="shared" si="107"/>
        <v>0</v>
      </c>
      <c r="BJ642" s="42">
        <f t="shared" si="108"/>
        <v>0</v>
      </c>
      <c r="BK642" s="42">
        <f t="shared" si="109"/>
        <v>8</v>
      </c>
    </row>
    <row r="643" spans="1:63" ht="27" customHeight="1">
      <c r="A643" s="222">
        <f t="shared" si="110"/>
        <v>641</v>
      </c>
      <c r="B643" s="223"/>
      <c r="C643" s="250">
        <v>3242</v>
      </c>
      <c r="D643" s="225" t="s">
        <v>3958</v>
      </c>
      <c r="E643" s="251" t="s">
        <v>3959</v>
      </c>
      <c r="F643" s="252" t="s">
        <v>1899</v>
      </c>
      <c r="G643" s="253" t="s">
        <v>971</v>
      </c>
      <c r="H643" s="229" t="s">
        <v>1900</v>
      </c>
      <c r="I643" s="230" t="s">
        <v>972</v>
      </c>
      <c r="J643" s="254" t="s">
        <v>204</v>
      </c>
      <c r="K643" s="255">
        <v>36619</v>
      </c>
      <c r="L643" s="233" t="s">
        <v>174</v>
      </c>
      <c r="M643" s="256">
        <v>43746</v>
      </c>
      <c r="N643" s="256"/>
      <c r="O643" s="224" t="s">
        <v>3960</v>
      </c>
      <c r="P643" s="222" t="s">
        <v>3780</v>
      </c>
      <c r="Q643" s="222" t="s">
        <v>244</v>
      </c>
      <c r="R643" s="224" t="s">
        <v>177</v>
      </c>
      <c r="S643" s="224" t="s">
        <v>178</v>
      </c>
      <c r="T643" s="235"/>
      <c r="U643" s="257"/>
      <c r="V643" s="258" t="s">
        <v>179</v>
      </c>
      <c r="W643" s="258" t="s">
        <v>179</v>
      </c>
      <c r="X643" s="266">
        <v>9</v>
      </c>
      <c r="Y643" s="251" t="s">
        <v>3961</v>
      </c>
      <c r="Z643" s="261" t="s">
        <v>181</v>
      </c>
      <c r="AA643" s="258"/>
      <c r="AB643" s="258"/>
      <c r="AC643" s="271"/>
      <c r="AD643" s="271"/>
      <c r="AE643" s="259"/>
      <c r="AF643" s="263"/>
      <c r="AG643" s="259"/>
      <c r="AH643" s="260"/>
      <c r="AI643" s="260"/>
      <c r="AJ643" s="258" t="s">
        <v>185</v>
      </c>
      <c r="AK643" s="258" t="s">
        <v>185</v>
      </c>
      <c r="AL643" s="258" t="s">
        <v>185</v>
      </c>
      <c r="AM643" s="244" t="s">
        <v>3962</v>
      </c>
      <c r="AN643" s="20">
        <v>182</v>
      </c>
      <c r="AO643" s="20">
        <v>0</v>
      </c>
      <c r="AP643" s="20">
        <v>0</v>
      </c>
      <c r="AQ643" s="20">
        <v>0</v>
      </c>
      <c r="AR643" s="20">
        <v>0</v>
      </c>
      <c r="AS643" s="20">
        <v>7</v>
      </c>
      <c r="AT643" s="20">
        <v>10</v>
      </c>
      <c r="AU643" s="300">
        <f t="shared" si="100"/>
        <v>199</v>
      </c>
      <c r="AV643" s="20">
        <v>190</v>
      </c>
      <c r="AW643" s="20">
        <v>0</v>
      </c>
      <c r="AX643" s="20">
        <v>0</v>
      </c>
      <c r="AY643" s="20">
        <v>0</v>
      </c>
      <c r="AZ643" s="20">
        <v>0</v>
      </c>
      <c r="BA643" s="20">
        <v>7</v>
      </c>
      <c r="BB643" s="20">
        <v>10</v>
      </c>
      <c r="BC643" s="300">
        <f t="shared" si="101"/>
        <v>207</v>
      </c>
      <c r="BD643" s="42">
        <f t="shared" si="102"/>
        <v>8</v>
      </c>
      <c r="BE643" s="42">
        <f t="shared" si="103"/>
        <v>0</v>
      </c>
      <c r="BF643" s="42">
        <f t="shared" si="104"/>
        <v>0</v>
      </c>
      <c r="BG643" s="42">
        <f t="shared" si="105"/>
        <v>0</v>
      </c>
      <c r="BH643" s="42">
        <f t="shared" si="106"/>
        <v>0</v>
      </c>
      <c r="BI643" s="42">
        <f t="shared" si="107"/>
        <v>0</v>
      </c>
      <c r="BJ643" s="42">
        <f t="shared" si="108"/>
        <v>0</v>
      </c>
      <c r="BK643" s="42">
        <f t="shared" si="109"/>
        <v>8</v>
      </c>
    </row>
    <row r="644" spans="1:63" ht="27" customHeight="1">
      <c r="A644" s="222">
        <f t="shared" si="110"/>
        <v>642</v>
      </c>
      <c r="B644" s="223"/>
      <c r="C644" s="250">
        <v>3255</v>
      </c>
      <c r="D644" s="225" t="s">
        <v>3963</v>
      </c>
      <c r="E644" s="251" t="s">
        <v>3964</v>
      </c>
      <c r="F644" s="252" t="s">
        <v>3965</v>
      </c>
      <c r="G644" s="253" t="s">
        <v>3966</v>
      </c>
      <c r="H644" s="229" t="s">
        <v>3967</v>
      </c>
      <c r="I644" s="230" t="s">
        <v>3968</v>
      </c>
      <c r="J644" s="254" t="s">
        <v>204</v>
      </c>
      <c r="K644" s="255">
        <v>34360</v>
      </c>
      <c r="L644" s="233" t="s">
        <v>174</v>
      </c>
      <c r="M644" s="256">
        <v>43745</v>
      </c>
      <c r="N644" s="256"/>
      <c r="O644" s="224" t="s">
        <v>3960</v>
      </c>
      <c r="P644" s="222" t="s">
        <v>3780</v>
      </c>
      <c r="Q644" s="222" t="s">
        <v>244</v>
      </c>
      <c r="R644" s="224" t="s">
        <v>177</v>
      </c>
      <c r="S644" s="224" t="s">
        <v>206</v>
      </c>
      <c r="T644" s="235"/>
      <c r="U644" s="257"/>
      <c r="V644" s="258" t="s">
        <v>179</v>
      </c>
      <c r="W644" s="258" t="s">
        <v>179</v>
      </c>
      <c r="X644" s="266">
        <v>0</v>
      </c>
      <c r="Y644" s="251" t="s">
        <v>291</v>
      </c>
      <c r="Z644" s="258"/>
      <c r="AA644" s="261"/>
      <c r="AB644" s="258"/>
      <c r="AC644" s="258"/>
      <c r="AD644" s="259"/>
      <c r="AE644" s="259"/>
      <c r="AF644" s="263"/>
      <c r="AG644" s="259"/>
      <c r="AH644" s="260"/>
      <c r="AI644" s="260"/>
      <c r="AJ644" s="258" t="s">
        <v>198</v>
      </c>
      <c r="AK644" s="258" t="s">
        <v>185</v>
      </c>
      <c r="AL644" s="258" t="s">
        <v>185</v>
      </c>
      <c r="AM644" s="244" t="s">
        <v>3654</v>
      </c>
      <c r="AN644" s="20">
        <v>182</v>
      </c>
      <c r="AO644" s="20">
        <v>0</v>
      </c>
      <c r="AP644" s="20">
        <v>20</v>
      </c>
      <c r="AQ644" s="20">
        <v>0</v>
      </c>
      <c r="AR644" s="20">
        <v>0</v>
      </c>
      <c r="AS644" s="20">
        <v>7</v>
      </c>
      <c r="AT644" s="20">
        <v>10</v>
      </c>
      <c r="AU644" s="300">
        <f t="shared" ref="AU644:AU707" si="111">SUM(AN644:AT644)</f>
        <v>219</v>
      </c>
      <c r="AV644" s="20">
        <v>190</v>
      </c>
      <c r="AW644" s="20">
        <v>0</v>
      </c>
      <c r="AX644" s="20">
        <v>20</v>
      </c>
      <c r="AY644" s="20">
        <v>0</v>
      </c>
      <c r="AZ644" s="20">
        <v>0</v>
      </c>
      <c r="BA644" s="20">
        <v>7</v>
      </c>
      <c r="BB644" s="20">
        <v>10</v>
      </c>
      <c r="BC644" s="300">
        <f t="shared" ref="BC644:BC707" si="112">SUM(AV644:BB644)</f>
        <v>227</v>
      </c>
      <c r="BD644" s="42">
        <f t="shared" ref="BD644:BD707" si="113">AV644-AN644</f>
        <v>8</v>
      </c>
      <c r="BE644" s="42">
        <f t="shared" ref="BE644:BE707" si="114">AW644-AO644</f>
        <v>0</v>
      </c>
      <c r="BF644" s="42">
        <f t="shared" ref="BF644:BF707" si="115">AX644-AP644</f>
        <v>0</v>
      </c>
      <c r="BG644" s="42">
        <f t="shared" ref="BG644:BG707" si="116">AY644-AQ644</f>
        <v>0</v>
      </c>
      <c r="BH644" s="42">
        <f t="shared" ref="BH644:BH707" si="117">AZ644-AR644</f>
        <v>0</v>
      </c>
      <c r="BI644" s="42">
        <f t="shared" ref="BI644:BI707" si="118">BA644-AS644</f>
        <v>0</v>
      </c>
      <c r="BJ644" s="42">
        <f t="shared" ref="BJ644:BJ707" si="119">BB644-AT644</f>
        <v>0</v>
      </c>
      <c r="BK644" s="42">
        <f t="shared" ref="BK644:BK707" si="120">BC644-AU644</f>
        <v>8</v>
      </c>
    </row>
    <row r="645" spans="1:63" ht="27" customHeight="1">
      <c r="A645" s="222">
        <f t="shared" ref="A645:A708" si="121">1+A644</f>
        <v>643</v>
      </c>
      <c r="B645" s="223"/>
      <c r="C645" s="250">
        <v>3560</v>
      </c>
      <c r="D645" s="225" t="s">
        <v>3969</v>
      </c>
      <c r="E645" s="251" t="s">
        <v>3970</v>
      </c>
      <c r="F645" s="252" t="s">
        <v>644</v>
      </c>
      <c r="G645" s="253" t="s">
        <v>3971</v>
      </c>
      <c r="H645" s="229" t="s">
        <v>1531</v>
      </c>
      <c r="I645" s="230" t="s">
        <v>3972</v>
      </c>
      <c r="J645" s="254" t="s">
        <v>204</v>
      </c>
      <c r="K645" s="255">
        <v>31973</v>
      </c>
      <c r="L645" s="233" t="s">
        <v>174</v>
      </c>
      <c r="M645" s="256">
        <v>43748</v>
      </c>
      <c r="N645" s="256"/>
      <c r="O645" s="224" t="s">
        <v>3973</v>
      </c>
      <c r="P645" s="222" t="s">
        <v>3780</v>
      </c>
      <c r="Q645" s="222" t="s">
        <v>244</v>
      </c>
      <c r="R645" s="224" t="s">
        <v>177</v>
      </c>
      <c r="S645" s="224" t="s">
        <v>251</v>
      </c>
      <c r="T645" s="235"/>
      <c r="U645" s="257"/>
      <c r="V645" s="258" t="s">
        <v>179</v>
      </c>
      <c r="W645" s="258" t="s">
        <v>179</v>
      </c>
      <c r="X645" s="266">
        <v>5</v>
      </c>
      <c r="Y645" s="251" t="s">
        <v>3974</v>
      </c>
      <c r="Z645" s="261" t="s">
        <v>181</v>
      </c>
      <c r="AA645" s="258"/>
      <c r="AB645" s="258"/>
      <c r="AC645" s="258"/>
      <c r="AD645" s="259"/>
      <c r="AE645" s="259"/>
      <c r="AF645" s="263"/>
      <c r="AG645" s="259"/>
      <c r="AH645" s="260"/>
      <c r="AI645" s="260"/>
      <c r="AJ645" s="258" t="s">
        <v>198</v>
      </c>
      <c r="AK645" s="258" t="s">
        <v>185</v>
      </c>
      <c r="AL645" s="258" t="s">
        <v>185</v>
      </c>
      <c r="AM645" s="244" t="s">
        <v>236</v>
      </c>
      <c r="AN645" s="20">
        <v>182</v>
      </c>
      <c r="AO645" s="20">
        <v>0</v>
      </c>
      <c r="AP645" s="20">
        <v>20</v>
      </c>
      <c r="AQ645" s="20">
        <v>0</v>
      </c>
      <c r="AR645" s="20">
        <v>0</v>
      </c>
      <c r="AS645" s="20">
        <v>7</v>
      </c>
      <c r="AT645" s="20">
        <v>10</v>
      </c>
      <c r="AU645" s="300">
        <f t="shared" si="111"/>
        <v>219</v>
      </c>
      <c r="AV645" s="20">
        <v>190</v>
      </c>
      <c r="AW645" s="20">
        <v>0</v>
      </c>
      <c r="AX645" s="20">
        <v>20</v>
      </c>
      <c r="AY645" s="20">
        <v>0</v>
      </c>
      <c r="AZ645" s="20">
        <v>0</v>
      </c>
      <c r="BA645" s="20">
        <v>7</v>
      </c>
      <c r="BB645" s="20">
        <v>10</v>
      </c>
      <c r="BC645" s="300">
        <f t="shared" si="112"/>
        <v>227</v>
      </c>
      <c r="BD645" s="42">
        <f t="shared" si="113"/>
        <v>8</v>
      </c>
      <c r="BE645" s="42">
        <f t="shared" si="114"/>
        <v>0</v>
      </c>
      <c r="BF645" s="42">
        <f t="shared" si="115"/>
        <v>0</v>
      </c>
      <c r="BG645" s="42">
        <f t="shared" si="116"/>
        <v>0</v>
      </c>
      <c r="BH645" s="42">
        <f t="shared" si="117"/>
        <v>0</v>
      </c>
      <c r="BI645" s="42">
        <f t="shared" si="118"/>
        <v>0</v>
      </c>
      <c r="BJ645" s="42">
        <f t="shared" si="119"/>
        <v>0</v>
      </c>
      <c r="BK645" s="42">
        <f t="shared" si="120"/>
        <v>8</v>
      </c>
    </row>
    <row r="646" spans="1:63" ht="27" customHeight="1">
      <c r="A646" s="222">
        <f t="shared" si="121"/>
        <v>644</v>
      </c>
      <c r="B646" s="223"/>
      <c r="C646" s="250">
        <v>3537</v>
      </c>
      <c r="D646" s="225" t="s">
        <v>3975</v>
      </c>
      <c r="E646" s="251" t="s">
        <v>3976</v>
      </c>
      <c r="F646" s="252" t="s">
        <v>552</v>
      </c>
      <c r="G646" s="253" t="s">
        <v>3112</v>
      </c>
      <c r="H646" s="229" t="s">
        <v>554</v>
      </c>
      <c r="I646" s="230" t="s">
        <v>3977</v>
      </c>
      <c r="J646" s="254" t="s">
        <v>204</v>
      </c>
      <c r="K646" s="255">
        <v>36275</v>
      </c>
      <c r="L646" s="233" t="s">
        <v>174</v>
      </c>
      <c r="M646" s="256">
        <v>43757</v>
      </c>
      <c r="N646" s="256"/>
      <c r="O646" s="224" t="s">
        <v>3978</v>
      </c>
      <c r="P646" s="222" t="s">
        <v>2816</v>
      </c>
      <c r="Q646" s="222" t="s">
        <v>244</v>
      </c>
      <c r="R646" s="224" t="s">
        <v>177</v>
      </c>
      <c r="S646" s="224" t="s">
        <v>251</v>
      </c>
      <c r="T646" s="235"/>
      <c r="U646" s="257"/>
      <c r="V646" s="258" t="s">
        <v>179</v>
      </c>
      <c r="W646" s="258" t="s">
        <v>179</v>
      </c>
      <c r="X646" s="259">
        <v>7</v>
      </c>
      <c r="Y646" s="251" t="s">
        <v>291</v>
      </c>
      <c r="Z646" s="261"/>
      <c r="AA646" s="258"/>
      <c r="AB646" s="258"/>
      <c r="AC646" s="258"/>
      <c r="AD646" s="259"/>
      <c r="AE646" s="259"/>
      <c r="AF646" s="263"/>
      <c r="AG646" s="259"/>
      <c r="AH646" s="260"/>
      <c r="AI646" s="260"/>
      <c r="AJ646" s="258" t="s">
        <v>198</v>
      </c>
      <c r="AK646" s="258" t="s">
        <v>185</v>
      </c>
      <c r="AL646" s="258" t="s">
        <v>185</v>
      </c>
      <c r="AM646" s="244" t="s">
        <v>3979</v>
      </c>
      <c r="AN646" s="20">
        <v>177</v>
      </c>
      <c r="AO646" s="20">
        <v>0</v>
      </c>
      <c r="AP646" s="20">
        <v>20</v>
      </c>
      <c r="AQ646" s="20">
        <v>0</v>
      </c>
      <c r="AR646" s="20">
        <v>0</v>
      </c>
      <c r="AS646" s="20">
        <v>7</v>
      </c>
      <c r="AT646" s="20">
        <v>10</v>
      </c>
      <c r="AU646" s="300">
        <f t="shared" si="111"/>
        <v>214</v>
      </c>
      <c r="AV646" s="20">
        <v>185</v>
      </c>
      <c r="AW646" s="20">
        <v>0</v>
      </c>
      <c r="AX646" s="20">
        <v>20</v>
      </c>
      <c r="AY646" s="20">
        <v>0</v>
      </c>
      <c r="AZ646" s="20">
        <v>0</v>
      </c>
      <c r="BA646" s="20">
        <v>7</v>
      </c>
      <c r="BB646" s="20">
        <v>10</v>
      </c>
      <c r="BC646" s="300">
        <f t="shared" si="112"/>
        <v>222</v>
      </c>
      <c r="BD646" s="42">
        <f t="shared" si="113"/>
        <v>8</v>
      </c>
      <c r="BE646" s="42">
        <f t="shared" si="114"/>
        <v>0</v>
      </c>
      <c r="BF646" s="42">
        <f t="shared" si="115"/>
        <v>0</v>
      </c>
      <c r="BG646" s="42">
        <f t="shared" si="116"/>
        <v>0</v>
      </c>
      <c r="BH646" s="42">
        <f t="shared" si="117"/>
        <v>0</v>
      </c>
      <c r="BI646" s="42">
        <f t="shared" si="118"/>
        <v>0</v>
      </c>
      <c r="BJ646" s="42">
        <f t="shared" si="119"/>
        <v>0</v>
      </c>
      <c r="BK646" s="42">
        <f t="shared" si="120"/>
        <v>8</v>
      </c>
    </row>
    <row r="647" spans="1:63" ht="27" customHeight="1">
      <c r="A647" s="222">
        <f t="shared" si="121"/>
        <v>645</v>
      </c>
      <c r="B647" s="223"/>
      <c r="C647" s="250">
        <v>3536</v>
      </c>
      <c r="D647" s="225" t="s">
        <v>3980</v>
      </c>
      <c r="E647" s="251" t="s">
        <v>3981</v>
      </c>
      <c r="F647" s="252" t="s">
        <v>2304</v>
      </c>
      <c r="G647" s="253" t="s">
        <v>387</v>
      </c>
      <c r="H647" s="229" t="s">
        <v>3982</v>
      </c>
      <c r="I647" s="230" t="s">
        <v>1765</v>
      </c>
      <c r="J647" s="254" t="s">
        <v>204</v>
      </c>
      <c r="K647" s="255">
        <v>36040</v>
      </c>
      <c r="L647" s="233" t="s">
        <v>174</v>
      </c>
      <c r="M647" s="256">
        <v>43743</v>
      </c>
      <c r="N647" s="256"/>
      <c r="O647" s="224" t="s">
        <v>3960</v>
      </c>
      <c r="P647" s="222" t="s">
        <v>2816</v>
      </c>
      <c r="Q647" s="222" t="s">
        <v>244</v>
      </c>
      <c r="R647" s="224" t="s">
        <v>177</v>
      </c>
      <c r="S647" s="224" t="s">
        <v>251</v>
      </c>
      <c r="T647" s="235"/>
      <c r="U647" s="257"/>
      <c r="V647" s="258" t="s">
        <v>179</v>
      </c>
      <c r="W647" s="258" t="s">
        <v>179</v>
      </c>
      <c r="X647" s="259">
        <v>8</v>
      </c>
      <c r="Y647" s="251" t="s">
        <v>3983</v>
      </c>
      <c r="Z647" s="258"/>
      <c r="AA647" s="258"/>
      <c r="AB647" s="261"/>
      <c r="AC647" s="258"/>
      <c r="AD647" s="259"/>
      <c r="AE647" s="259"/>
      <c r="AF647" s="263"/>
      <c r="AG647" s="259"/>
      <c r="AH647" s="260"/>
      <c r="AI647" s="260"/>
      <c r="AJ647" s="258" t="s">
        <v>198</v>
      </c>
      <c r="AK647" s="258" t="s">
        <v>185</v>
      </c>
      <c r="AL647" s="258" t="s">
        <v>185</v>
      </c>
      <c r="AM647" s="244" t="s">
        <v>3854</v>
      </c>
      <c r="AN647" s="20">
        <v>182</v>
      </c>
      <c r="AO647" s="20">
        <v>0</v>
      </c>
      <c r="AP647" s="20">
        <v>20</v>
      </c>
      <c r="AQ647" s="20">
        <v>0</v>
      </c>
      <c r="AR647" s="20">
        <v>0</v>
      </c>
      <c r="AS647" s="20">
        <v>7</v>
      </c>
      <c r="AT647" s="20">
        <v>10</v>
      </c>
      <c r="AU647" s="300">
        <f t="shared" si="111"/>
        <v>219</v>
      </c>
      <c r="AV647" s="20">
        <v>190</v>
      </c>
      <c r="AW647" s="20">
        <v>0</v>
      </c>
      <c r="AX647" s="20">
        <v>20</v>
      </c>
      <c r="AY647" s="20">
        <v>0</v>
      </c>
      <c r="AZ647" s="20">
        <v>0</v>
      </c>
      <c r="BA647" s="20">
        <v>7</v>
      </c>
      <c r="BB647" s="20">
        <v>10</v>
      </c>
      <c r="BC647" s="300">
        <f t="shared" si="112"/>
        <v>227</v>
      </c>
      <c r="BD647" s="42">
        <f t="shared" si="113"/>
        <v>8</v>
      </c>
      <c r="BE647" s="42">
        <f t="shared" si="114"/>
        <v>0</v>
      </c>
      <c r="BF647" s="42">
        <f t="shared" si="115"/>
        <v>0</v>
      </c>
      <c r="BG647" s="42">
        <f t="shared" si="116"/>
        <v>0</v>
      </c>
      <c r="BH647" s="42">
        <f t="shared" si="117"/>
        <v>0</v>
      </c>
      <c r="BI647" s="42">
        <f t="shared" si="118"/>
        <v>0</v>
      </c>
      <c r="BJ647" s="42">
        <f t="shared" si="119"/>
        <v>0</v>
      </c>
      <c r="BK647" s="42">
        <f t="shared" si="120"/>
        <v>8</v>
      </c>
    </row>
    <row r="648" spans="1:63" ht="27" customHeight="1">
      <c r="A648" s="222">
        <f t="shared" si="121"/>
        <v>646</v>
      </c>
      <c r="B648" s="223"/>
      <c r="C648" s="250">
        <v>3577</v>
      </c>
      <c r="D648" s="225" t="s">
        <v>3984</v>
      </c>
      <c r="E648" s="251" t="s">
        <v>3985</v>
      </c>
      <c r="F648" s="252" t="s">
        <v>1207</v>
      </c>
      <c r="G648" s="253" t="s">
        <v>3492</v>
      </c>
      <c r="H648" s="229" t="s">
        <v>1209</v>
      </c>
      <c r="I648" s="230" t="s">
        <v>3986</v>
      </c>
      <c r="J648" s="254" t="s">
        <v>204</v>
      </c>
      <c r="K648" s="255">
        <v>36576</v>
      </c>
      <c r="L648" s="233" t="s">
        <v>174</v>
      </c>
      <c r="M648" s="256">
        <v>43746</v>
      </c>
      <c r="N648" s="256"/>
      <c r="O648" s="224" t="s">
        <v>3973</v>
      </c>
      <c r="P648" s="222" t="s">
        <v>3629</v>
      </c>
      <c r="Q648" s="222" t="s">
        <v>244</v>
      </c>
      <c r="R648" s="224" t="s">
        <v>177</v>
      </c>
      <c r="S648" s="224" t="s">
        <v>223</v>
      </c>
      <c r="T648" s="235"/>
      <c r="U648" s="257"/>
      <c r="V648" s="258" t="s">
        <v>179</v>
      </c>
      <c r="W648" s="258" t="s">
        <v>179</v>
      </c>
      <c r="X648" s="266">
        <v>7</v>
      </c>
      <c r="Y648" s="251" t="s">
        <v>3987</v>
      </c>
      <c r="Z648" s="258"/>
      <c r="AA648" s="261"/>
      <c r="AB648" s="258"/>
      <c r="AC648" s="258"/>
      <c r="AD648" s="259"/>
      <c r="AE648" s="259"/>
      <c r="AF648" s="263"/>
      <c r="AG648" s="259"/>
      <c r="AH648" s="260"/>
      <c r="AI648" s="260"/>
      <c r="AJ648" s="258" t="s">
        <v>185</v>
      </c>
      <c r="AK648" s="258" t="s">
        <v>185</v>
      </c>
      <c r="AL648" s="258" t="s">
        <v>185</v>
      </c>
      <c r="AM648" s="244"/>
      <c r="AN648" s="20">
        <v>182</v>
      </c>
      <c r="AO648" s="20">
        <v>0</v>
      </c>
      <c r="AP648" s="20">
        <v>20</v>
      </c>
      <c r="AQ648" s="20">
        <v>0</v>
      </c>
      <c r="AR648" s="20">
        <v>0</v>
      </c>
      <c r="AS648" s="20">
        <v>7</v>
      </c>
      <c r="AT648" s="20">
        <v>10</v>
      </c>
      <c r="AU648" s="300">
        <f t="shared" si="111"/>
        <v>219</v>
      </c>
      <c r="AV648" s="20">
        <v>190</v>
      </c>
      <c r="AW648" s="20">
        <v>0</v>
      </c>
      <c r="AX648" s="20">
        <v>20</v>
      </c>
      <c r="AY648" s="20">
        <v>0</v>
      </c>
      <c r="AZ648" s="20">
        <v>0</v>
      </c>
      <c r="BA648" s="20">
        <v>7</v>
      </c>
      <c r="BB648" s="20">
        <v>10</v>
      </c>
      <c r="BC648" s="300">
        <f t="shared" si="112"/>
        <v>227</v>
      </c>
      <c r="BD648" s="42">
        <f t="shared" si="113"/>
        <v>8</v>
      </c>
      <c r="BE648" s="42">
        <f t="shared" si="114"/>
        <v>0</v>
      </c>
      <c r="BF648" s="42">
        <f t="shared" si="115"/>
        <v>0</v>
      </c>
      <c r="BG648" s="42">
        <f t="shared" si="116"/>
        <v>0</v>
      </c>
      <c r="BH648" s="42">
        <f t="shared" si="117"/>
        <v>0</v>
      </c>
      <c r="BI648" s="42">
        <f t="shared" si="118"/>
        <v>0</v>
      </c>
      <c r="BJ648" s="42">
        <f t="shared" si="119"/>
        <v>0</v>
      </c>
      <c r="BK648" s="42">
        <f t="shared" si="120"/>
        <v>8</v>
      </c>
    </row>
    <row r="649" spans="1:63" ht="27" customHeight="1">
      <c r="A649" s="222">
        <f t="shared" si="121"/>
        <v>647</v>
      </c>
      <c r="B649" s="223"/>
      <c r="C649" s="250">
        <v>3594</v>
      </c>
      <c r="D649" s="225" t="s">
        <v>3988</v>
      </c>
      <c r="E649" s="251" t="s">
        <v>3989</v>
      </c>
      <c r="F649" s="252" t="s">
        <v>3990</v>
      </c>
      <c r="G649" s="253" t="s">
        <v>3991</v>
      </c>
      <c r="H649" s="229" t="s">
        <v>3992</v>
      </c>
      <c r="I649" s="230" t="s">
        <v>3993</v>
      </c>
      <c r="J649" s="254" t="s">
        <v>173</v>
      </c>
      <c r="K649" s="255">
        <v>29230</v>
      </c>
      <c r="L649" s="233" t="s">
        <v>174</v>
      </c>
      <c r="M649" s="256">
        <v>43749</v>
      </c>
      <c r="N649" s="256"/>
      <c r="O649" s="224" t="s">
        <v>3994</v>
      </c>
      <c r="P649" s="222" t="s">
        <v>3633</v>
      </c>
      <c r="Q649" s="222" t="s">
        <v>244</v>
      </c>
      <c r="R649" s="224" t="s">
        <v>177</v>
      </c>
      <c r="S649" s="224" t="s">
        <v>206</v>
      </c>
      <c r="T649" s="235"/>
      <c r="U649" s="257"/>
      <c r="V649" s="258" t="s">
        <v>179</v>
      </c>
      <c r="W649" s="258" t="s">
        <v>179</v>
      </c>
      <c r="X649" s="266">
        <v>5</v>
      </c>
      <c r="Y649" s="251" t="s">
        <v>3995</v>
      </c>
      <c r="Z649" s="258"/>
      <c r="AA649" s="261"/>
      <c r="AB649" s="258"/>
      <c r="AC649" s="258"/>
      <c r="AD649" s="259"/>
      <c r="AE649" s="259"/>
      <c r="AF649" s="263"/>
      <c r="AG649" s="259"/>
      <c r="AH649" s="260"/>
      <c r="AI649" s="260"/>
      <c r="AJ649" s="258" t="s">
        <v>185</v>
      </c>
      <c r="AK649" s="258" t="s">
        <v>185</v>
      </c>
      <c r="AL649" s="258" t="s">
        <v>185</v>
      </c>
      <c r="AM649" s="244" t="s">
        <v>3962</v>
      </c>
      <c r="AN649" s="20">
        <v>182</v>
      </c>
      <c r="AO649" s="20">
        <v>0</v>
      </c>
      <c r="AP649" s="20">
        <v>20</v>
      </c>
      <c r="AQ649" s="20">
        <v>0</v>
      </c>
      <c r="AR649" s="20">
        <v>0</v>
      </c>
      <c r="AS649" s="20">
        <v>7</v>
      </c>
      <c r="AT649" s="20">
        <v>10</v>
      </c>
      <c r="AU649" s="300">
        <f t="shared" si="111"/>
        <v>219</v>
      </c>
      <c r="AV649" s="20">
        <v>190</v>
      </c>
      <c r="AW649" s="20">
        <v>0</v>
      </c>
      <c r="AX649" s="20">
        <v>20</v>
      </c>
      <c r="AY649" s="20">
        <v>0</v>
      </c>
      <c r="AZ649" s="20">
        <v>0</v>
      </c>
      <c r="BA649" s="20">
        <v>7</v>
      </c>
      <c r="BB649" s="20">
        <v>10</v>
      </c>
      <c r="BC649" s="300">
        <f t="shared" si="112"/>
        <v>227</v>
      </c>
      <c r="BD649" s="42">
        <f t="shared" si="113"/>
        <v>8</v>
      </c>
      <c r="BE649" s="42">
        <f t="shared" si="114"/>
        <v>0</v>
      </c>
      <c r="BF649" s="42">
        <f t="shared" si="115"/>
        <v>0</v>
      </c>
      <c r="BG649" s="42">
        <f t="shared" si="116"/>
        <v>0</v>
      </c>
      <c r="BH649" s="42">
        <f t="shared" si="117"/>
        <v>0</v>
      </c>
      <c r="BI649" s="42">
        <f t="shared" si="118"/>
        <v>0</v>
      </c>
      <c r="BJ649" s="42">
        <f t="shared" si="119"/>
        <v>0</v>
      </c>
      <c r="BK649" s="42">
        <f t="shared" si="120"/>
        <v>8</v>
      </c>
    </row>
    <row r="650" spans="1:63" ht="27" customHeight="1">
      <c r="A650" s="222">
        <f t="shared" si="121"/>
        <v>648</v>
      </c>
      <c r="B650" s="223"/>
      <c r="C650" s="250">
        <v>3275</v>
      </c>
      <c r="D650" s="225" t="s">
        <v>3996</v>
      </c>
      <c r="E650" s="251" t="s">
        <v>3997</v>
      </c>
      <c r="F650" s="252" t="s">
        <v>3998</v>
      </c>
      <c r="G650" s="253" t="s">
        <v>971</v>
      </c>
      <c r="H650" s="229" t="s">
        <v>1420</v>
      </c>
      <c r="I650" s="230" t="s">
        <v>972</v>
      </c>
      <c r="J650" s="254" t="s">
        <v>173</v>
      </c>
      <c r="K650" s="255">
        <v>34295</v>
      </c>
      <c r="L650" s="233" t="s">
        <v>174</v>
      </c>
      <c r="M650" s="256">
        <v>43746</v>
      </c>
      <c r="N650" s="256"/>
      <c r="O650" s="224" t="s">
        <v>3999</v>
      </c>
      <c r="P650" s="222" t="s">
        <v>3828</v>
      </c>
      <c r="Q650" s="222" t="s">
        <v>244</v>
      </c>
      <c r="R650" s="224" t="s">
        <v>177</v>
      </c>
      <c r="S650" s="224" t="s">
        <v>214</v>
      </c>
      <c r="T650" s="235"/>
      <c r="U650" s="257"/>
      <c r="V650" s="258" t="s">
        <v>179</v>
      </c>
      <c r="W650" s="258" t="s">
        <v>179</v>
      </c>
      <c r="X650" s="266">
        <v>2</v>
      </c>
      <c r="Y650" s="251" t="s">
        <v>4000</v>
      </c>
      <c r="Z650" s="258"/>
      <c r="AA650" s="261" t="s">
        <v>181</v>
      </c>
      <c r="AB650" s="258"/>
      <c r="AC650" s="258"/>
      <c r="AD650" s="259"/>
      <c r="AE650" s="259"/>
      <c r="AF650" s="263"/>
      <c r="AG650" s="259"/>
      <c r="AH650" s="260"/>
      <c r="AI650" s="260"/>
      <c r="AJ650" s="258" t="s">
        <v>198</v>
      </c>
      <c r="AK650" s="258" t="s">
        <v>185</v>
      </c>
      <c r="AL650" s="258" t="s">
        <v>185</v>
      </c>
      <c r="AM650" s="244" t="s">
        <v>3854</v>
      </c>
      <c r="AN650" s="20">
        <v>182</v>
      </c>
      <c r="AO650" s="20">
        <v>0</v>
      </c>
      <c r="AP650" s="20">
        <v>20</v>
      </c>
      <c r="AQ650" s="20">
        <v>0</v>
      </c>
      <c r="AR650" s="20">
        <v>0</v>
      </c>
      <c r="AS650" s="20">
        <v>7</v>
      </c>
      <c r="AT650" s="20">
        <v>10</v>
      </c>
      <c r="AU650" s="300">
        <f t="shared" si="111"/>
        <v>219</v>
      </c>
      <c r="AV650" s="20">
        <v>190</v>
      </c>
      <c r="AW650" s="20">
        <v>0</v>
      </c>
      <c r="AX650" s="20">
        <v>20</v>
      </c>
      <c r="AY650" s="20">
        <v>0</v>
      </c>
      <c r="AZ650" s="20">
        <v>0</v>
      </c>
      <c r="BA650" s="20">
        <v>7</v>
      </c>
      <c r="BB650" s="20">
        <v>10</v>
      </c>
      <c r="BC650" s="300">
        <f t="shared" si="112"/>
        <v>227</v>
      </c>
      <c r="BD650" s="42">
        <f t="shared" si="113"/>
        <v>8</v>
      </c>
      <c r="BE650" s="42">
        <f t="shared" si="114"/>
        <v>0</v>
      </c>
      <c r="BF650" s="42">
        <f t="shared" si="115"/>
        <v>0</v>
      </c>
      <c r="BG650" s="42">
        <f t="shared" si="116"/>
        <v>0</v>
      </c>
      <c r="BH650" s="42">
        <f t="shared" si="117"/>
        <v>0</v>
      </c>
      <c r="BI650" s="42">
        <f t="shared" si="118"/>
        <v>0</v>
      </c>
      <c r="BJ650" s="42">
        <f t="shared" si="119"/>
        <v>0</v>
      </c>
      <c r="BK650" s="42">
        <f t="shared" si="120"/>
        <v>8</v>
      </c>
    </row>
    <row r="651" spans="1:63" ht="27" customHeight="1">
      <c r="A651" s="222">
        <f t="shared" si="121"/>
        <v>649</v>
      </c>
      <c r="B651" s="223"/>
      <c r="C651" s="250">
        <v>3252</v>
      </c>
      <c r="D651" s="225" t="s">
        <v>4001</v>
      </c>
      <c r="E651" s="251" t="s">
        <v>4002</v>
      </c>
      <c r="F651" s="252" t="s">
        <v>2908</v>
      </c>
      <c r="G651" s="253" t="s">
        <v>4003</v>
      </c>
      <c r="H651" s="229" t="s">
        <v>1042</v>
      </c>
      <c r="I651" s="230" t="s">
        <v>4004</v>
      </c>
      <c r="J651" s="254" t="s">
        <v>204</v>
      </c>
      <c r="K651" s="255">
        <v>35498</v>
      </c>
      <c r="L651" s="233" t="s">
        <v>174</v>
      </c>
      <c r="M651" s="256">
        <v>43745</v>
      </c>
      <c r="N651" s="256"/>
      <c r="O651" s="224" t="s">
        <v>3994</v>
      </c>
      <c r="P651" s="222" t="s">
        <v>3749</v>
      </c>
      <c r="Q651" s="222" t="s">
        <v>244</v>
      </c>
      <c r="R651" s="224" t="s">
        <v>177</v>
      </c>
      <c r="S651" s="224" t="s">
        <v>305</v>
      </c>
      <c r="T651" s="235"/>
      <c r="U651" s="257"/>
      <c r="V651" s="258" t="s">
        <v>179</v>
      </c>
      <c r="W651" s="258" t="s">
        <v>179</v>
      </c>
      <c r="X651" s="266">
        <v>7</v>
      </c>
      <c r="Y651" s="251" t="s">
        <v>4005</v>
      </c>
      <c r="Z651" s="261" t="s">
        <v>181</v>
      </c>
      <c r="AA651" s="261"/>
      <c r="AB651" s="258"/>
      <c r="AC651" s="258"/>
      <c r="AD651" s="259"/>
      <c r="AE651" s="259"/>
      <c r="AF651" s="263"/>
      <c r="AG651" s="259"/>
      <c r="AH651" s="260"/>
      <c r="AI651" s="260"/>
      <c r="AJ651" s="258" t="s">
        <v>185</v>
      </c>
      <c r="AK651" s="258" t="s">
        <v>185</v>
      </c>
      <c r="AL651" s="258" t="s">
        <v>185</v>
      </c>
      <c r="AM651" s="244" t="s">
        <v>3962</v>
      </c>
      <c r="AN651" s="20">
        <v>182</v>
      </c>
      <c r="AO651" s="20">
        <v>0</v>
      </c>
      <c r="AP651" s="20">
        <v>0</v>
      </c>
      <c r="AQ651" s="20">
        <v>0</v>
      </c>
      <c r="AR651" s="20">
        <v>0</v>
      </c>
      <c r="AS651" s="20">
        <v>7</v>
      </c>
      <c r="AT651" s="20">
        <v>10</v>
      </c>
      <c r="AU651" s="300">
        <f t="shared" si="111"/>
        <v>199</v>
      </c>
      <c r="AV651" s="20">
        <v>190</v>
      </c>
      <c r="AW651" s="20">
        <v>0</v>
      </c>
      <c r="AX651" s="20">
        <v>0</v>
      </c>
      <c r="AY651" s="20">
        <v>0</v>
      </c>
      <c r="AZ651" s="20">
        <v>0</v>
      </c>
      <c r="BA651" s="20">
        <v>7</v>
      </c>
      <c r="BB651" s="20">
        <v>10</v>
      </c>
      <c r="BC651" s="300">
        <f t="shared" si="112"/>
        <v>207</v>
      </c>
      <c r="BD651" s="42">
        <f t="shared" si="113"/>
        <v>8</v>
      </c>
      <c r="BE651" s="42">
        <f t="shared" si="114"/>
        <v>0</v>
      </c>
      <c r="BF651" s="42">
        <f t="shared" si="115"/>
        <v>0</v>
      </c>
      <c r="BG651" s="42">
        <f t="shared" si="116"/>
        <v>0</v>
      </c>
      <c r="BH651" s="42">
        <f t="shared" si="117"/>
        <v>0</v>
      </c>
      <c r="BI651" s="42">
        <f t="shared" si="118"/>
        <v>0</v>
      </c>
      <c r="BJ651" s="42">
        <f t="shared" si="119"/>
        <v>0</v>
      </c>
      <c r="BK651" s="42">
        <f t="shared" si="120"/>
        <v>8</v>
      </c>
    </row>
    <row r="652" spans="1:63" ht="27" customHeight="1">
      <c r="A652" s="222">
        <f t="shared" si="121"/>
        <v>650</v>
      </c>
      <c r="B652" s="223"/>
      <c r="C652" s="250">
        <v>3286</v>
      </c>
      <c r="D652" s="225" t="s">
        <v>4006</v>
      </c>
      <c r="E652" s="251" t="s">
        <v>4007</v>
      </c>
      <c r="F652" s="252" t="s">
        <v>825</v>
      </c>
      <c r="G652" s="253" t="s">
        <v>408</v>
      </c>
      <c r="H652" s="229" t="s">
        <v>1799</v>
      </c>
      <c r="I652" s="230" t="s">
        <v>4008</v>
      </c>
      <c r="J652" s="254" t="s">
        <v>173</v>
      </c>
      <c r="K652" s="255">
        <v>30871</v>
      </c>
      <c r="L652" s="233" t="s">
        <v>174</v>
      </c>
      <c r="M652" s="256">
        <v>43746</v>
      </c>
      <c r="N652" s="256"/>
      <c r="O652" s="224" t="s">
        <v>3999</v>
      </c>
      <c r="P652" s="222" t="s">
        <v>3828</v>
      </c>
      <c r="Q652" s="222" t="s">
        <v>244</v>
      </c>
      <c r="R652" s="224" t="s">
        <v>177</v>
      </c>
      <c r="S652" s="224" t="s">
        <v>223</v>
      </c>
      <c r="T652" s="235"/>
      <c r="U652" s="257"/>
      <c r="V652" s="258" t="s">
        <v>179</v>
      </c>
      <c r="W652" s="258" t="s">
        <v>179</v>
      </c>
      <c r="X652" s="266">
        <v>3</v>
      </c>
      <c r="Y652" s="251" t="s">
        <v>4009</v>
      </c>
      <c r="Z652" s="258"/>
      <c r="AA652" s="261" t="s">
        <v>181</v>
      </c>
      <c r="AB652" s="258"/>
      <c r="AC652" s="258"/>
      <c r="AD652" s="259"/>
      <c r="AE652" s="259"/>
      <c r="AF652" s="263"/>
      <c r="AG652" s="259"/>
      <c r="AH652" s="260"/>
      <c r="AI652" s="260"/>
      <c r="AJ652" s="258" t="s">
        <v>198</v>
      </c>
      <c r="AK652" s="258" t="s">
        <v>185</v>
      </c>
      <c r="AL652" s="258" t="s">
        <v>185</v>
      </c>
      <c r="AM652" s="244" t="s">
        <v>3962</v>
      </c>
      <c r="AN652" s="20">
        <v>182</v>
      </c>
      <c r="AO652" s="20">
        <v>0</v>
      </c>
      <c r="AP652" s="20">
        <v>20</v>
      </c>
      <c r="AQ652" s="20">
        <v>0</v>
      </c>
      <c r="AR652" s="20">
        <v>0</v>
      </c>
      <c r="AS652" s="20">
        <v>7</v>
      </c>
      <c r="AT652" s="20">
        <v>10</v>
      </c>
      <c r="AU652" s="300">
        <f t="shared" si="111"/>
        <v>219</v>
      </c>
      <c r="AV652" s="20">
        <v>190</v>
      </c>
      <c r="AW652" s="20">
        <v>0</v>
      </c>
      <c r="AX652" s="20">
        <v>20</v>
      </c>
      <c r="AY652" s="20">
        <v>0</v>
      </c>
      <c r="AZ652" s="20">
        <v>0</v>
      </c>
      <c r="BA652" s="20">
        <v>7</v>
      </c>
      <c r="BB652" s="20">
        <v>10</v>
      </c>
      <c r="BC652" s="300">
        <f t="shared" si="112"/>
        <v>227</v>
      </c>
      <c r="BD652" s="42">
        <f t="shared" si="113"/>
        <v>8</v>
      </c>
      <c r="BE652" s="42">
        <f t="shared" si="114"/>
        <v>0</v>
      </c>
      <c r="BF652" s="42">
        <f t="shared" si="115"/>
        <v>0</v>
      </c>
      <c r="BG652" s="42">
        <f t="shared" si="116"/>
        <v>0</v>
      </c>
      <c r="BH652" s="42">
        <f t="shared" si="117"/>
        <v>0</v>
      </c>
      <c r="BI652" s="42">
        <f t="shared" si="118"/>
        <v>0</v>
      </c>
      <c r="BJ652" s="42">
        <f t="shared" si="119"/>
        <v>0</v>
      </c>
      <c r="BK652" s="42">
        <f t="shared" si="120"/>
        <v>8</v>
      </c>
    </row>
    <row r="653" spans="1:63" ht="27" customHeight="1">
      <c r="A653" s="222">
        <f t="shared" si="121"/>
        <v>651</v>
      </c>
      <c r="B653" s="223"/>
      <c r="C653" s="250">
        <v>3279</v>
      </c>
      <c r="D653" s="225" t="s">
        <v>4010</v>
      </c>
      <c r="E653" s="251" t="s">
        <v>4011</v>
      </c>
      <c r="F653" s="252" t="s">
        <v>1809</v>
      </c>
      <c r="G653" s="253" t="s">
        <v>4012</v>
      </c>
      <c r="H653" s="229" t="s">
        <v>2293</v>
      </c>
      <c r="I653" s="230" t="s">
        <v>4013</v>
      </c>
      <c r="J653" s="254" t="s">
        <v>173</v>
      </c>
      <c r="K653" s="255">
        <v>32688</v>
      </c>
      <c r="L653" s="233" t="s">
        <v>174</v>
      </c>
      <c r="M653" s="256">
        <v>43746</v>
      </c>
      <c r="N653" s="256"/>
      <c r="O653" s="224" t="s">
        <v>3994</v>
      </c>
      <c r="P653" s="222" t="s">
        <v>3644</v>
      </c>
      <c r="Q653" s="222" t="s">
        <v>244</v>
      </c>
      <c r="R653" s="224" t="s">
        <v>177</v>
      </c>
      <c r="S653" s="224" t="s">
        <v>4014</v>
      </c>
      <c r="T653" s="235"/>
      <c r="U653" s="257"/>
      <c r="V653" s="258" t="s">
        <v>179</v>
      </c>
      <c r="W653" s="258" t="s">
        <v>179</v>
      </c>
      <c r="X653" s="266">
        <v>4</v>
      </c>
      <c r="Y653" s="251" t="s">
        <v>4015</v>
      </c>
      <c r="Z653" s="261"/>
      <c r="AA653" s="261"/>
      <c r="AB653" s="258"/>
      <c r="AC653" s="258"/>
      <c r="AD653" s="259"/>
      <c r="AE653" s="259"/>
      <c r="AF653" s="263"/>
      <c r="AG653" s="259"/>
      <c r="AH653" s="260"/>
      <c r="AI653" s="260"/>
      <c r="AJ653" s="258" t="s">
        <v>198</v>
      </c>
      <c r="AK653" s="258" t="s">
        <v>185</v>
      </c>
      <c r="AL653" s="258" t="s">
        <v>185</v>
      </c>
      <c r="AM653" s="244" t="s">
        <v>3854</v>
      </c>
      <c r="AN653" s="20">
        <v>182</v>
      </c>
      <c r="AO653" s="20">
        <v>0</v>
      </c>
      <c r="AP653" s="20">
        <v>0</v>
      </c>
      <c r="AQ653" s="20">
        <v>0</v>
      </c>
      <c r="AR653" s="20">
        <v>0</v>
      </c>
      <c r="AS653" s="20">
        <v>7</v>
      </c>
      <c r="AT653" s="20">
        <v>10</v>
      </c>
      <c r="AU653" s="300">
        <f t="shared" si="111"/>
        <v>199</v>
      </c>
      <c r="AV653" s="20">
        <v>190</v>
      </c>
      <c r="AW653" s="20">
        <v>0</v>
      </c>
      <c r="AX653" s="20">
        <v>0</v>
      </c>
      <c r="AY653" s="20">
        <v>0</v>
      </c>
      <c r="AZ653" s="20">
        <v>0</v>
      </c>
      <c r="BA653" s="20">
        <v>7</v>
      </c>
      <c r="BB653" s="20">
        <v>10</v>
      </c>
      <c r="BC653" s="300">
        <f t="shared" si="112"/>
        <v>207</v>
      </c>
      <c r="BD653" s="42">
        <f t="shared" si="113"/>
        <v>8</v>
      </c>
      <c r="BE653" s="42">
        <f t="shared" si="114"/>
        <v>0</v>
      </c>
      <c r="BF653" s="42">
        <f t="shared" si="115"/>
        <v>0</v>
      </c>
      <c r="BG653" s="42">
        <f t="shared" si="116"/>
        <v>0</v>
      </c>
      <c r="BH653" s="42">
        <f t="shared" si="117"/>
        <v>0</v>
      </c>
      <c r="BI653" s="42">
        <f t="shared" si="118"/>
        <v>0</v>
      </c>
      <c r="BJ653" s="42">
        <f t="shared" si="119"/>
        <v>0</v>
      </c>
      <c r="BK653" s="42">
        <f t="shared" si="120"/>
        <v>8</v>
      </c>
    </row>
    <row r="654" spans="1:63" ht="27" customHeight="1">
      <c r="A654" s="222">
        <f t="shared" si="121"/>
        <v>652</v>
      </c>
      <c r="B654" s="223"/>
      <c r="C654" s="250">
        <v>3566</v>
      </c>
      <c r="D654" s="225" t="s">
        <v>4016</v>
      </c>
      <c r="E654" s="251" t="s">
        <v>4017</v>
      </c>
      <c r="F654" s="252" t="s">
        <v>3473</v>
      </c>
      <c r="G654" s="253" t="s">
        <v>876</v>
      </c>
      <c r="H654" s="229" t="s">
        <v>4018</v>
      </c>
      <c r="I654" s="230" t="s">
        <v>877</v>
      </c>
      <c r="J654" s="254" t="s">
        <v>173</v>
      </c>
      <c r="K654" s="255">
        <v>27122</v>
      </c>
      <c r="L654" s="233" t="s">
        <v>174</v>
      </c>
      <c r="M654" s="256">
        <v>43746</v>
      </c>
      <c r="N654" s="256"/>
      <c r="O654" s="224" t="s">
        <v>4019</v>
      </c>
      <c r="P654" s="222" t="s">
        <v>3780</v>
      </c>
      <c r="Q654" s="222" t="s">
        <v>244</v>
      </c>
      <c r="R654" s="224" t="s">
        <v>177</v>
      </c>
      <c r="S654" s="224" t="s">
        <v>214</v>
      </c>
      <c r="T654" s="235"/>
      <c r="U654" s="257"/>
      <c r="V654" s="258" t="s">
        <v>179</v>
      </c>
      <c r="W654" s="258" t="s">
        <v>179</v>
      </c>
      <c r="X654" s="266">
        <v>8</v>
      </c>
      <c r="Y654" s="251" t="s">
        <v>4020</v>
      </c>
      <c r="Z654" s="261"/>
      <c r="AA654" s="261" t="s">
        <v>181</v>
      </c>
      <c r="AB654" s="258"/>
      <c r="AC654" s="258"/>
      <c r="AD654" s="259"/>
      <c r="AE654" s="259"/>
      <c r="AF654" s="263"/>
      <c r="AG654" s="259"/>
      <c r="AH654" s="260"/>
      <c r="AI654" s="260"/>
      <c r="AJ654" s="258" t="s">
        <v>198</v>
      </c>
      <c r="AK654" s="258" t="s">
        <v>185</v>
      </c>
      <c r="AL654" s="258" t="s">
        <v>185</v>
      </c>
      <c r="AM654" s="244" t="s">
        <v>3854</v>
      </c>
      <c r="AN654" s="20">
        <v>182</v>
      </c>
      <c r="AO654" s="20">
        <v>0</v>
      </c>
      <c r="AP654" s="20">
        <v>20</v>
      </c>
      <c r="AQ654" s="20">
        <v>0</v>
      </c>
      <c r="AR654" s="20">
        <v>0</v>
      </c>
      <c r="AS654" s="20">
        <v>7</v>
      </c>
      <c r="AT654" s="20">
        <v>10</v>
      </c>
      <c r="AU654" s="300">
        <f t="shared" si="111"/>
        <v>219</v>
      </c>
      <c r="AV654" s="20">
        <v>190</v>
      </c>
      <c r="AW654" s="20">
        <v>0</v>
      </c>
      <c r="AX654" s="20">
        <v>20</v>
      </c>
      <c r="AY654" s="20">
        <v>0</v>
      </c>
      <c r="AZ654" s="20">
        <v>0</v>
      </c>
      <c r="BA654" s="20">
        <v>7</v>
      </c>
      <c r="BB654" s="20">
        <v>10</v>
      </c>
      <c r="BC654" s="300">
        <f t="shared" si="112"/>
        <v>227</v>
      </c>
      <c r="BD654" s="42">
        <f t="shared" si="113"/>
        <v>8</v>
      </c>
      <c r="BE654" s="42">
        <f t="shared" si="114"/>
        <v>0</v>
      </c>
      <c r="BF654" s="42">
        <f t="shared" si="115"/>
        <v>0</v>
      </c>
      <c r="BG654" s="42">
        <f t="shared" si="116"/>
        <v>0</v>
      </c>
      <c r="BH654" s="42">
        <f t="shared" si="117"/>
        <v>0</v>
      </c>
      <c r="BI654" s="42">
        <f t="shared" si="118"/>
        <v>0</v>
      </c>
      <c r="BJ654" s="42">
        <f t="shared" si="119"/>
        <v>0</v>
      </c>
      <c r="BK654" s="42">
        <f t="shared" si="120"/>
        <v>8</v>
      </c>
    </row>
    <row r="655" spans="1:63" ht="27" customHeight="1">
      <c r="A655" s="222">
        <f t="shared" si="121"/>
        <v>653</v>
      </c>
      <c r="B655" s="223"/>
      <c r="C655" s="250">
        <v>3516</v>
      </c>
      <c r="D655" s="225" t="s">
        <v>4021</v>
      </c>
      <c r="E655" s="251" t="s">
        <v>4022</v>
      </c>
      <c r="F655" s="252" t="s">
        <v>4023</v>
      </c>
      <c r="G655" s="253" t="s">
        <v>4024</v>
      </c>
      <c r="H655" s="229" t="s">
        <v>4025</v>
      </c>
      <c r="I655" s="230" t="s">
        <v>4026</v>
      </c>
      <c r="J655" s="254" t="s">
        <v>173</v>
      </c>
      <c r="K655" s="255">
        <v>30384</v>
      </c>
      <c r="L655" s="233" t="s">
        <v>174</v>
      </c>
      <c r="M655" s="256">
        <v>43746</v>
      </c>
      <c r="N655" s="256"/>
      <c r="O655" s="224" t="s">
        <v>3994</v>
      </c>
      <c r="P655" s="222" t="s">
        <v>3629</v>
      </c>
      <c r="Q655" s="222" t="s">
        <v>244</v>
      </c>
      <c r="R655" s="224" t="s">
        <v>177</v>
      </c>
      <c r="S655" s="224" t="s">
        <v>1201</v>
      </c>
      <c r="T655" s="235"/>
      <c r="U655" s="257"/>
      <c r="V655" s="258" t="s">
        <v>179</v>
      </c>
      <c r="W655" s="258" t="s">
        <v>179</v>
      </c>
      <c r="X655" s="266">
        <v>6</v>
      </c>
      <c r="Y655" s="251" t="s">
        <v>4027</v>
      </c>
      <c r="Z655" s="258"/>
      <c r="AA655" s="261" t="s">
        <v>181</v>
      </c>
      <c r="AB655" s="258"/>
      <c r="AC655" s="270"/>
      <c r="AD655" s="270"/>
      <c r="AE655" s="270"/>
      <c r="AF655" s="263"/>
      <c r="AG655" s="259"/>
      <c r="AH655" s="260"/>
      <c r="AI655" s="260"/>
      <c r="AJ655" s="258" t="s">
        <v>198</v>
      </c>
      <c r="AK655" s="258" t="s">
        <v>185</v>
      </c>
      <c r="AL655" s="258" t="s">
        <v>185</v>
      </c>
      <c r="AM655" s="244" t="s">
        <v>4028</v>
      </c>
      <c r="AN655" s="20">
        <v>182</v>
      </c>
      <c r="AO655" s="20">
        <v>0</v>
      </c>
      <c r="AP655" s="20">
        <v>20</v>
      </c>
      <c r="AQ655" s="20">
        <v>0</v>
      </c>
      <c r="AR655" s="20">
        <v>0</v>
      </c>
      <c r="AS655" s="20">
        <v>7</v>
      </c>
      <c r="AT655" s="20">
        <v>10</v>
      </c>
      <c r="AU655" s="300">
        <f t="shared" si="111"/>
        <v>219</v>
      </c>
      <c r="AV655" s="20">
        <v>190</v>
      </c>
      <c r="AW655" s="20">
        <v>0</v>
      </c>
      <c r="AX655" s="20">
        <v>20</v>
      </c>
      <c r="AY655" s="20">
        <v>0</v>
      </c>
      <c r="AZ655" s="20">
        <v>0</v>
      </c>
      <c r="BA655" s="20">
        <v>7</v>
      </c>
      <c r="BB655" s="20">
        <v>10</v>
      </c>
      <c r="BC655" s="300">
        <f t="shared" si="112"/>
        <v>227</v>
      </c>
      <c r="BD655" s="42">
        <f t="shared" si="113"/>
        <v>8</v>
      </c>
      <c r="BE655" s="42">
        <f t="shared" si="114"/>
        <v>0</v>
      </c>
      <c r="BF655" s="42">
        <f t="shared" si="115"/>
        <v>0</v>
      </c>
      <c r="BG655" s="42">
        <f t="shared" si="116"/>
        <v>0</v>
      </c>
      <c r="BH655" s="42">
        <f t="shared" si="117"/>
        <v>0</v>
      </c>
      <c r="BI655" s="42">
        <f t="shared" si="118"/>
        <v>0</v>
      </c>
      <c r="BJ655" s="42">
        <f t="shared" si="119"/>
        <v>0</v>
      </c>
      <c r="BK655" s="42">
        <f t="shared" si="120"/>
        <v>8</v>
      </c>
    </row>
    <row r="656" spans="1:63" ht="27" customHeight="1">
      <c r="A656" s="222">
        <f t="shared" si="121"/>
        <v>654</v>
      </c>
      <c r="B656" s="223"/>
      <c r="C656" s="250">
        <v>3552</v>
      </c>
      <c r="D656" s="225" t="s">
        <v>4029</v>
      </c>
      <c r="E656" s="251" t="s">
        <v>4030</v>
      </c>
      <c r="F656" s="252" t="s">
        <v>644</v>
      </c>
      <c r="G656" s="253" t="s">
        <v>3492</v>
      </c>
      <c r="H656" s="229" t="s">
        <v>1531</v>
      </c>
      <c r="I656" s="230" t="s">
        <v>4031</v>
      </c>
      <c r="J656" s="254" t="s">
        <v>204</v>
      </c>
      <c r="K656" s="255">
        <v>37032</v>
      </c>
      <c r="L656" s="233" t="s">
        <v>174</v>
      </c>
      <c r="M656" s="256">
        <v>43747</v>
      </c>
      <c r="N656" s="256"/>
      <c r="O656" s="224" t="s">
        <v>4032</v>
      </c>
      <c r="P656" s="222" t="s">
        <v>3765</v>
      </c>
      <c r="Q656" s="222" t="s">
        <v>244</v>
      </c>
      <c r="R656" s="224" t="s">
        <v>177</v>
      </c>
      <c r="S656" s="224" t="s">
        <v>223</v>
      </c>
      <c r="T656" s="235"/>
      <c r="U656" s="257"/>
      <c r="V656" s="258" t="s">
        <v>179</v>
      </c>
      <c r="W656" s="258" t="s">
        <v>179</v>
      </c>
      <c r="X656" s="266">
        <v>7</v>
      </c>
      <c r="Y656" s="251" t="s">
        <v>4033</v>
      </c>
      <c r="Z656" s="261" t="s">
        <v>181</v>
      </c>
      <c r="AA656" s="261"/>
      <c r="AB656" s="258"/>
      <c r="AC656" s="270"/>
      <c r="AD656" s="270"/>
      <c r="AE656" s="270"/>
      <c r="AF656" s="272"/>
      <c r="AG656" s="259"/>
      <c r="AH656" s="260"/>
      <c r="AI656" s="260"/>
      <c r="AJ656" s="258" t="s">
        <v>198</v>
      </c>
      <c r="AK656" s="258" t="s">
        <v>185</v>
      </c>
      <c r="AL656" s="258" t="s">
        <v>185</v>
      </c>
      <c r="AM656" s="273"/>
      <c r="AN656" s="20">
        <v>182</v>
      </c>
      <c r="AO656" s="20">
        <v>0</v>
      </c>
      <c r="AP656" s="20">
        <v>20</v>
      </c>
      <c r="AQ656" s="20">
        <v>0</v>
      </c>
      <c r="AR656" s="20">
        <v>0</v>
      </c>
      <c r="AS656" s="20">
        <v>7</v>
      </c>
      <c r="AT656" s="20">
        <v>10</v>
      </c>
      <c r="AU656" s="300">
        <f t="shared" si="111"/>
        <v>219</v>
      </c>
      <c r="AV656" s="20">
        <v>190</v>
      </c>
      <c r="AW656" s="20">
        <v>0</v>
      </c>
      <c r="AX656" s="20">
        <v>20</v>
      </c>
      <c r="AY656" s="20">
        <v>0</v>
      </c>
      <c r="AZ656" s="20">
        <v>0</v>
      </c>
      <c r="BA656" s="20">
        <v>7</v>
      </c>
      <c r="BB656" s="20">
        <v>10</v>
      </c>
      <c r="BC656" s="300">
        <f t="shared" si="112"/>
        <v>227</v>
      </c>
      <c r="BD656" s="42">
        <f t="shared" si="113"/>
        <v>8</v>
      </c>
      <c r="BE656" s="42">
        <f t="shared" si="114"/>
        <v>0</v>
      </c>
      <c r="BF656" s="42">
        <f t="shared" si="115"/>
        <v>0</v>
      </c>
      <c r="BG656" s="42">
        <f t="shared" si="116"/>
        <v>0</v>
      </c>
      <c r="BH656" s="42">
        <f t="shared" si="117"/>
        <v>0</v>
      </c>
      <c r="BI656" s="42">
        <f t="shared" si="118"/>
        <v>0</v>
      </c>
      <c r="BJ656" s="42">
        <f t="shared" si="119"/>
        <v>0</v>
      </c>
      <c r="BK656" s="42">
        <f t="shared" si="120"/>
        <v>8</v>
      </c>
    </row>
    <row r="657" spans="1:63" ht="27" customHeight="1">
      <c r="A657" s="222">
        <f t="shared" si="121"/>
        <v>655</v>
      </c>
      <c r="B657" s="223"/>
      <c r="C657" s="250">
        <v>3520</v>
      </c>
      <c r="D657" s="225" t="s">
        <v>4034</v>
      </c>
      <c r="E657" s="251" t="s">
        <v>4035</v>
      </c>
      <c r="F657" s="252" t="s">
        <v>4036</v>
      </c>
      <c r="G657" s="253" t="s">
        <v>833</v>
      </c>
      <c r="H657" s="229" t="s">
        <v>4037</v>
      </c>
      <c r="I657" s="230" t="s">
        <v>835</v>
      </c>
      <c r="J657" s="254" t="s">
        <v>173</v>
      </c>
      <c r="K657" s="255">
        <v>30353</v>
      </c>
      <c r="L657" s="233" t="s">
        <v>174</v>
      </c>
      <c r="M657" s="256">
        <v>43746</v>
      </c>
      <c r="N657" s="256"/>
      <c r="O657" s="224" t="s">
        <v>3994</v>
      </c>
      <c r="P657" s="222" t="s">
        <v>3633</v>
      </c>
      <c r="Q657" s="222" t="s">
        <v>244</v>
      </c>
      <c r="R657" s="224" t="s">
        <v>177</v>
      </c>
      <c r="S657" s="224" t="s">
        <v>178</v>
      </c>
      <c r="T657" s="235"/>
      <c r="U657" s="257"/>
      <c r="V657" s="258" t="s">
        <v>179</v>
      </c>
      <c r="W657" s="258" t="s">
        <v>179</v>
      </c>
      <c r="X657" s="266">
        <v>4</v>
      </c>
      <c r="Y657" s="251" t="s">
        <v>4038</v>
      </c>
      <c r="Z657" s="258"/>
      <c r="AA657" s="261"/>
      <c r="AB657" s="258"/>
      <c r="AC657" s="270"/>
      <c r="AD657" s="270"/>
      <c r="AE657" s="270"/>
      <c r="AF657" s="272"/>
      <c r="AG657" s="259"/>
      <c r="AH657" s="260"/>
      <c r="AI657" s="260"/>
      <c r="AJ657" s="258" t="s">
        <v>198</v>
      </c>
      <c r="AK657" s="258" t="s">
        <v>185</v>
      </c>
      <c r="AL657" s="258" t="s">
        <v>185</v>
      </c>
      <c r="AM657" s="244" t="s">
        <v>3854</v>
      </c>
      <c r="AN657" s="20">
        <v>182</v>
      </c>
      <c r="AO657" s="20">
        <v>0</v>
      </c>
      <c r="AP657" s="20">
        <v>20</v>
      </c>
      <c r="AQ657" s="20">
        <v>0</v>
      </c>
      <c r="AR657" s="20">
        <v>0</v>
      </c>
      <c r="AS657" s="20">
        <v>7</v>
      </c>
      <c r="AT657" s="20">
        <v>10</v>
      </c>
      <c r="AU657" s="300">
        <f t="shared" si="111"/>
        <v>219</v>
      </c>
      <c r="AV657" s="20">
        <v>190</v>
      </c>
      <c r="AW657" s="20">
        <v>0</v>
      </c>
      <c r="AX657" s="20">
        <v>20</v>
      </c>
      <c r="AY657" s="20">
        <v>0</v>
      </c>
      <c r="AZ657" s="20">
        <v>0</v>
      </c>
      <c r="BA657" s="20">
        <v>7</v>
      </c>
      <c r="BB657" s="20">
        <v>10</v>
      </c>
      <c r="BC657" s="300">
        <f t="shared" si="112"/>
        <v>227</v>
      </c>
      <c r="BD657" s="42">
        <f t="shared" si="113"/>
        <v>8</v>
      </c>
      <c r="BE657" s="42">
        <f t="shared" si="114"/>
        <v>0</v>
      </c>
      <c r="BF657" s="42">
        <f t="shared" si="115"/>
        <v>0</v>
      </c>
      <c r="BG657" s="42">
        <f t="shared" si="116"/>
        <v>0</v>
      </c>
      <c r="BH657" s="42">
        <f t="shared" si="117"/>
        <v>0</v>
      </c>
      <c r="BI657" s="42">
        <f t="shared" si="118"/>
        <v>0</v>
      </c>
      <c r="BJ657" s="42">
        <f t="shared" si="119"/>
        <v>0</v>
      </c>
      <c r="BK657" s="42">
        <f t="shared" si="120"/>
        <v>8</v>
      </c>
    </row>
    <row r="658" spans="1:63" ht="27" customHeight="1">
      <c r="A658" s="222">
        <f t="shared" si="121"/>
        <v>656</v>
      </c>
      <c r="B658" s="223"/>
      <c r="C658" s="250">
        <v>3544</v>
      </c>
      <c r="D658" s="225" t="s">
        <v>4039</v>
      </c>
      <c r="E658" s="251" t="s">
        <v>4040</v>
      </c>
      <c r="F658" s="252" t="s">
        <v>3651</v>
      </c>
      <c r="G658" s="253" t="s">
        <v>4041</v>
      </c>
      <c r="H658" s="229" t="s">
        <v>4042</v>
      </c>
      <c r="I658" s="230" t="s">
        <v>4043</v>
      </c>
      <c r="J658" s="254" t="s">
        <v>173</v>
      </c>
      <c r="K658" s="255">
        <v>34142</v>
      </c>
      <c r="L658" s="233" t="s">
        <v>174</v>
      </c>
      <c r="M658" s="256">
        <v>43747</v>
      </c>
      <c r="N658" s="256"/>
      <c r="O658" s="224" t="s">
        <v>4019</v>
      </c>
      <c r="P658" s="222" t="s">
        <v>3954</v>
      </c>
      <c r="Q658" s="222" t="s">
        <v>244</v>
      </c>
      <c r="R658" s="224" t="s">
        <v>177</v>
      </c>
      <c r="S658" s="224" t="s">
        <v>223</v>
      </c>
      <c r="T658" s="235"/>
      <c r="U658" s="257"/>
      <c r="V658" s="258" t="s">
        <v>179</v>
      </c>
      <c r="W658" s="258" t="s">
        <v>179</v>
      </c>
      <c r="X658" s="266">
        <v>12</v>
      </c>
      <c r="Y658" s="251" t="s">
        <v>4044</v>
      </c>
      <c r="Z658" s="258"/>
      <c r="AA658" s="261" t="s">
        <v>181</v>
      </c>
      <c r="AB658" s="261"/>
      <c r="AC658" s="270"/>
      <c r="AD658" s="270"/>
      <c r="AE658" s="270"/>
      <c r="AF658" s="272"/>
      <c r="AG658" s="259"/>
      <c r="AH658" s="260"/>
      <c r="AI658" s="260"/>
      <c r="AJ658" s="258" t="s">
        <v>198</v>
      </c>
      <c r="AK658" s="258" t="s">
        <v>185</v>
      </c>
      <c r="AL658" s="258" t="s">
        <v>185</v>
      </c>
      <c r="AM658" s="244" t="s">
        <v>236</v>
      </c>
      <c r="AN658" s="20">
        <v>182</v>
      </c>
      <c r="AO658" s="20">
        <v>0</v>
      </c>
      <c r="AP658" s="20">
        <v>20</v>
      </c>
      <c r="AQ658" s="20">
        <v>0</v>
      </c>
      <c r="AR658" s="20">
        <v>0</v>
      </c>
      <c r="AS658" s="20">
        <v>7</v>
      </c>
      <c r="AT658" s="20">
        <v>10</v>
      </c>
      <c r="AU658" s="300">
        <f t="shared" si="111"/>
        <v>219</v>
      </c>
      <c r="AV658" s="20">
        <v>190</v>
      </c>
      <c r="AW658" s="20">
        <v>0</v>
      </c>
      <c r="AX658" s="20">
        <v>20</v>
      </c>
      <c r="AY658" s="20">
        <v>0</v>
      </c>
      <c r="AZ658" s="20">
        <v>0</v>
      </c>
      <c r="BA658" s="20">
        <v>7</v>
      </c>
      <c r="BB658" s="20">
        <v>10</v>
      </c>
      <c r="BC658" s="300">
        <f t="shared" si="112"/>
        <v>227</v>
      </c>
      <c r="BD658" s="42">
        <f t="shared" si="113"/>
        <v>8</v>
      </c>
      <c r="BE658" s="42">
        <f t="shared" si="114"/>
        <v>0</v>
      </c>
      <c r="BF658" s="42">
        <f t="shared" si="115"/>
        <v>0</v>
      </c>
      <c r="BG658" s="42">
        <f t="shared" si="116"/>
        <v>0</v>
      </c>
      <c r="BH658" s="42">
        <f t="shared" si="117"/>
        <v>0</v>
      </c>
      <c r="BI658" s="42">
        <f t="shared" si="118"/>
        <v>0</v>
      </c>
      <c r="BJ658" s="42">
        <f t="shared" si="119"/>
        <v>0</v>
      </c>
      <c r="BK658" s="42">
        <f t="shared" si="120"/>
        <v>8</v>
      </c>
    </row>
    <row r="659" spans="1:63" ht="27" customHeight="1">
      <c r="A659" s="222">
        <f t="shared" si="121"/>
        <v>657</v>
      </c>
      <c r="B659" s="223"/>
      <c r="C659" s="250">
        <v>3602</v>
      </c>
      <c r="D659" s="268">
        <v>0</v>
      </c>
      <c r="E659" s="251" t="s">
        <v>4045</v>
      </c>
      <c r="F659" s="252" t="s">
        <v>1912</v>
      </c>
      <c r="G659" s="253" t="s">
        <v>4046</v>
      </c>
      <c r="H659" s="229" t="s">
        <v>4047</v>
      </c>
      <c r="I659" s="230" t="s">
        <v>4048</v>
      </c>
      <c r="J659" s="254" t="s">
        <v>173</v>
      </c>
      <c r="K659" s="255">
        <v>30747</v>
      </c>
      <c r="L659" s="233" t="s">
        <v>174</v>
      </c>
      <c r="M659" s="256">
        <v>43750</v>
      </c>
      <c r="N659" s="256"/>
      <c r="O659" s="224" t="s">
        <v>4049</v>
      </c>
      <c r="P659" s="222" t="s">
        <v>101</v>
      </c>
      <c r="Q659" s="222" t="s">
        <v>244</v>
      </c>
      <c r="R659" s="224" t="s">
        <v>177</v>
      </c>
      <c r="S659" s="224" t="s">
        <v>305</v>
      </c>
      <c r="T659" s="274"/>
      <c r="U659" s="257"/>
      <c r="V659" s="258" t="s">
        <v>179</v>
      </c>
      <c r="W659" s="258" t="s">
        <v>179</v>
      </c>
      <c r="X659" s="266">
        <v>10</v>
      </c>
      <c r="Y659" s="267" t="s">
        <v>4050</v>
      </c>
      <c r="Z659" s="258"/>
      <c r="AA659" s="261" t="s">
        <v>181</v>
      </c>
      <c r="AB659" s="258"/>
      <c r="AC659" s="270"/>
      <c r="AD659" s="270"/>
      <c r="AE659" s="270"/>
      <c r="AF659" s="272"/>
      <c r="AG659" s="270"/>
      <c r="AH659" s="260"/>
      <c r="AI659" s="260"/>
      <c r="AJ659" s="258" t="s">
        <v>185</v>
      </c>
      <c r="AK659" s="258" t="s">
        <v>185</v>
      </c>
      <c r="AL659" s="258" t="s">
        <v>185</v>
      </c>
      <c r="AM659" s="244" t="s">
        <v>3854</v>
      </c>
      <c r="AN659" s="20">
        <v>182</v>
      </c>
      <c r="AO659" s="20">
        <v>0</v>
      </c>
      <c r="AP659" s="20">
        <v>31</v>
      </c>
      <c r="AQ659" s="20">
        <v>0</v>
      </c>
      <c r="AR659" s="20">
        <v>40</v>
      </c>
      <c r="AS659" s="20">
        <v>7</v>
      </c>
      <c r="AT659" s="20">
        <v>10</v>
      </c>
      <c r="AU659" s="300">
        <f t="shared" si="111"/>
        <v>270</v>
      </c>
      <c r="AV659" s="20">
        <v>190</v>
      </c>
      <c r="AW659" s="20">
        <v>0</v>
      </c>
      <c r="AX659" s="20">
        <v>31</v>
      </c>
      <c r="AY659" s="20">
        <v>0</v>
      </c>
      <c r="AZ659" s="20">
        <v>40</v>
      </c>
      <c r="BA659" s="20">
        <v>7</v>
      </c>
      <c r="BB659" s="20">
        <v>10</v>
      </c>
      <c r="BC659" s="300">
        <f t="shared" si="112"/>
        <v>278</v>
      </c>
      <c r="BD659" s="42">
        <f t="shared" si="113"/>
        <v>8</v>
      </c>
      <c r="BE659" s="42">
        <f t="shared" si="114"/>
        <v>0</v>
      </c>
      <c r="BF659" s="42">
        <f t="shared" si="115"/>
        <v>0</v>
      </c>
      <c r="BG659" s="42">
        <f t="shared" si="116"/>
        <v>0</v>
      </c>
      <c r="BH659" s="42">
        <f t="shared" si="117"/>
        <v>0</v>
      </c>
      <c r="BI659" s="42">
        <f t="shared" si="118"/>
        <v>0</v>
      </c>
      <c r="BJ659" s="42">
        <f t="shared" si="119"/>
        <v>0</v>
      </c>
      <c r="BK659" s="42">
        <f t="shared" si="120"/>
        <v>8</v>
      </c>
    </row>
    <row r="660" spans="1:63" ht="27" customHeight="1">
      <c r="A660" s="222">
        <f t="shared" si="121"/>
        <v>658</v>
      </c>
      <c r="B660" s="223"/>
      <c r="C660" s="250">
        <v>3230</v>
      </c>
      <c r="D660" s="225" t="s">
        <v>4051</v>
      </c>
      <c r="E660" s="251" t="s">
        <v>4052</v>
      </c>
      <c r="F660" s="252" t="s">
        <v>1334</v>
      </c>
      <c r="G660" s="253" t="s">
        <v>4053</v>
      </c>
      <c r="H660" s="229" t="s">
        <v>1336</v>
      </c>
      <c r="I660" s="230" t="s">
        <v>4054</v>
      </c>
      <c r="J660" s="254" t="s">
        <v>204</v>
      </c>
      <c r="K660" s="255">
        <v>26707</v>
      </c>
      <c r="L660" s="233" t="s">
        <v>174</v>
      </c>
      <c r="M660" s="256">
        <v>43740</v>
      </c>
      <c r="N660" s="256"/>
      <c r="O660" s="224" t="s">
        <v>4049</v>
      </c>
      <c r="P660" s="222" t="s">
        <v>101</v>
      </c>
      <c r="Q660" s="222" t="s">
        <v>244</v>
      </c>
      <c r="R660" s="224" t="s">
        <v>177</v>
      </c>
      <c r="S660" s="224" t="s">
        <v>206</v>
      </c>
      <c r="T660" s="235"/>
      <c r="U660" s="257"/>
      <c r="V660" s="258" t="s">
        <v>179</v>
      </c>
      <c r="W660" s="258" t="s">
        <v>179</v>
      </c>
      <c r="X660" s="266">
        <v>8</v>
      </c>
      <c r="Y660" s="251" t="s">
        <v>4055</v>
      </c>
      <c r="Z660" s="258"/>
      <c r="AA660" s="261" t="s">
        <v>181</v>
      </c>
      <c r="AB660" s="258"/>
      <c r="AC660" s="270"/>
      <c r="AD660" s="270"/>
      <c r="AE660" s="270"/>
      <c r="AF660" s="272"/>
      <c r="AG660" s="270"/>
      <c r="AH660" s="270"/>
      <c r="AI660" s="260"/>
      <c r="AJ660" s="258" t="s">
        <v>185</v>
      </c>
      <c r="AK660" s="258" t="s">
        <v>185</v>
      </c>
      <c r="AL660" s="258" t="s">
        <v>185</v>
      </c>
      <c r="AM660" s="244" t="s">
        <v>3854</v>
      </c>
      <c r="AN660" s="20">
        <v>182</v>
      </c>
      <c r="AO660" s="20">
        <v>0</v>
      </c>
      <c r="AP660" s="20">
        <v>20</v>
      </c>
      <c r="AQ660" s="20">
        <v>0</v>
      </c>
      <c r="AR660" s="20">
        <v>0</v>
      </c>
      <c r="AS660" s="20">
        <v>7</v>
      </c>
      <c r="AT660" s="20">
        <v>10</v>
      </c>
      <c r="AU660" s="300">
        <f t="shared" si="111"/>
        <v>219</v>
      </c>
      <c r="AV660" s="20">
        <v>190</v>
      </c>
      <c r="AW660" s="20">
        <v>0</v>
      </c>
      <c r="AX660" s="20">
        <v>20</v>
      </c>
      <c r="AY660" s="20">
        <v>0</v>
      </c>
      <c r="AZ660" s="20">
        <v>0</v>
      </c>
      <c r="BA660" s="20">
        <v>7</v>
      </c>
      <c r="BB660" s="20">
        <v>10</v>
      </c>
      <c r="BC660" s="300">
        <f t="shared" si="112"/>
        <v>227</v>
      </c>
      <c r="BD660" s="42">
        <f t="shared" si="113"/>
        <v>8</v>
      </c>
      <c r="BE660" s="42">
        <f t="shared" si="114"/>
        <v>0</v>
      </c>
      <c r="BF660" s="42">
        <f t="shared" si="115"/>
        <v>0</v>
      </c>
      <c r="BG660" s="42">
        <f t="shared" si="116"/>
        <v>0</v>
      </c>
      <c r="BH660" s="42">
        <f t="shared" si="117"/>
        <v>0</v>
      </c>
      <c r="BI660" s="42">
        <f t="shared" si="118"/>
        <v>0</v>
      </c>
      <c r="BJ660" s="42">
        <f t="shared" si="119"/>
        <v>0</v>
      </c>
      <c r="BK660" s="42">
        <f t="shared" si="120"/>
        <v>8</v>
      </c>
    </row>
    <row r="661" spans="1:63" ht="27" customHeight="1">
      <c r="A661" s="222">
        <f t="shared" si="121"/>
        <v>659</v>
      </c>
      <c r="B661" s="223"/>
      <c r="C661" s="250">
        <v>3585</v>
      </c>
      <c r="D661" s="225" t="s">
        <v>4056</v>
      </c>
      <c r="E661" s="251" t="s">
        <v>4057</v>
      </c>
      <c r="F661" s="252" t="s">
        <v>670</v>
      </c>
      <c r="G661" s="253" t="s">
        <v>504</v>
      </c>
      <c r="H661" s="229" t="s">
        <v>1961</v>
      </c>
      <c r="I661" s="230" t="s">
        <v>506</v>
      </c>
      <c r="J661" s="254" t="s">
        <v>173</v>
      </c>
      <c r="K661" s="255">
        <v>30448</v>
      </c>
      <c r="L661" s="233" t="s">
        <v>174</v>
      </c>
      <c r="M661" s="256">
        <v>43748</v>
      </c>
      <c r="N661" s="256"/>
      <c r="O661" s="224" t="s">
        <v>4049</v>
      </c>
      <c r="P661" s="222" t="s">
        <v>101</v>
      </c>
      <c r="Q661" s="222" t="s">
        <v>244</v>
      </c>
      <c r="R661" s="224" t="s">
        <v>177</v>
      </c>
      <c r="S661" s="224" t="s">
        <v>251</v>
      </c>
      <c r="T661" s="235"/>
      <c r="U661" s="257"/>
      <c r="V661" s="258" t="s">
        <v>179</v>
      </c>
      <c r="W661" s="258" t="s">
        <v>179</v>
      </c>
      <c r="X661" s="266" t="s">
        <v>4058</v>
      </c>
      <c r="Y661" s="251" t="s">
        <v>4059</v>
      </c>
      <c r="Z661" s="261"/>
      <c r="AA661" s="258"/>
      <c r="AB661" s="261" t="s">
        <v>181</v>
      </c>
      <c r="AC661" s="270"/>
      <c r="AD661" s="266" t="s">
        <v>183</v>
      </c>
      <c r="AE661" s="266" t="s">
        <v>183</v>
      </c>
      <c r="AF661" s="272"/>
      <c r="AG661" s="270"/>
      <c r="AH661" s="260"/>
      <c r="AI661" s="260"/>
      <c r="AJ661" s="258" t="s">
        <v>198</v>
      </c>
      <c r="AK661" s="258" t="s">
        <v>185</v>
      </c>
      <c r="AL661" s="258" t="s">
        <v>185</v>
      </c>
      <c r="AM661" s="244" t="s">
        <v>3854</v>
      </c>
      <c r="AN661" s="20">
        <v>182</v>
      </c>
      <c r="AO661" s="20">
        <v>0</v>
      </c>
      <c r="AP661" s="20">
        <v>20</v>
      </c>
      <c r="AQ661" s="20">
        <v>0</v>
      </c>
      <c r="AR661" s="20">
        <v>36</v>
      </c>
      <c r="AS661" s="20">
        <v>7</v>
      </c>
      <c r="AT661" s="20">
        <v>10</v>
      </c>
      <c r="AU661" s="300">
        <f t="shared" si="111"/>
        <v>255</v>
      </c>
      <c r="AV661" s="20">
        <v>190</v>
      </c>
      <c r="AW661" s="20">
        <v>0</v>
      </c>
      <c r="AX661" s="20">
        <v>20</v>
      </c>
      <c r="AY661" s="20">
        <v>0</v>
      </c>
      <c r="AZ661" s="20">
        <v>36</v>
      </c>
      <c r="BA661" s="20">
        <v>7</v>
      </c>
      <c r="BB661" s="20">
        <v>10</v>
      </c>
      <c r="BC661" s="300">
        <f t="shared" si="112"/>
        <v>263</v>
      </c>
      <c r="BD661" s="42">
        <f t="shared" si="113"/>
        <v>8</v>
      </c>
      <c r="BE661" s="42">
        <f t="shared" si="114"/>
        <v>0</v>
      </c>
      <c r="BF661" s="42">
        <f t="shared" si="115"/>
        <v>0</v>
      </c>
      <c r="BG661" s="42">
        <f t="shared" si="116"/>
        <v>0</v>
      </c>
      <c r="BH661" s="42">
        <f t="shared" si="117"/>
        <v>0</v>
      </c>
      <c r="BI661" s="42">
        <f t="shared" si="118"/>
        <v>0</v>
      </c>
      <c r="BJ661" s="42">
        <f t="shared" si="119"/>
        <v>0</v>
      </c>
      <c r="BK661" s="42">
        <f t="shared" si="120"/>
        <v>8</v>
      </c>
    </row>
    <row r="662" spans="1:63" ht="27" customHeight="1">
      <c r="A662" s="222">
        <f t="shared" si="121"/>
        <v>660</v>
      </c>
      <c r="B662" s="223"/>
      <c r="C662" s="250">
        <v>3247</v>
      </c>
      <c r="D662" s="250" t="s">
        <v>4060</v>
      </c>
      <c r="E662" s="251" t="s">
        <v>4061</v>
      </c>
      <c r="F662" s="252" t="s">
        <v>4062</v>
      </c>
      <c r="G662" s="253" t="s">
        <v>4063</v>
      </c>
      <c r="H662" s="229" t="s">
        <v>4064</v>
      </c>
      <c r="I662" s="230" t="s">
        <v>4065</v>
      </c>
      <c r="J662" s="254" t="s">
        <v>204</v>
      </c>
      <c r="K662" s="255">
        <v>36255</v>
      </c>
      <c r="L662" s="233" t="s">
        <v>174</v>
      </c>
      <c r="M662" s="256">
        <v>43746</v>
      </c>
      <c r="N662" s="256"/>
      <c r="O662" s="224" t="s">
        <v>3999</v>
      </c>
      <c r="P662" s="222" t="s">
        <v>3828</v>
      </c>
      <c r="Q662" s="222" t="s">
        <v>244</v>
      </c>
      <c r="R662" s="224" t="s">
        <v>177</v>
      </c>
      <c r="S662" s="224" t="s">
        <v>178</v>
      </c>
      <c r="T662" s="235"/>
      <c r="U662" s="257"/>
      <c r="V662" s="258" t="s">
        <v>179</v>
      </c>
      <c r="W662" s="258" t="s">
        <v>179</v>
      </c>
      <c r="X662" s="266">
        <v>9</v>
      </c>
      <c r="Y662" s="251" t="s">
        <v>4066</v>
      </c>
      <c r="Z662" s="261"/>
      <c r="AA662" s="261"/>
      <c r="AB662" s="258"/>
      <c r="AC662" s="270"/>
      <c r="AD662" s="270"/>
      <c r="AE662" s="270"/>
      <c r="AF662" s="272"/>
      <c r="AG662" s="270"/>
      <c r="AH662" s="260"/>
      <c r="AI662" s="260"/>
      <c r="AJ662" s="258" t="s">
        <v>185</v>
      </c>
      <c r="AK662" s="258" t="s">
        <v>185</v>
      </c>
      <c r="AL662" s="258" t="s">
        <v>185</v>
      </c>
      <c r="AM662" s="273" t="s">
        <v>3962</v>
      </c>
      <c r="AN662" s="20">
        <v>182</v>
      </c>
      <c r="AO662" s="20">
        <v>0</v>
      </c>
      <c r="AP662" s="20">
        <v>20</v>
      </c>
      <c r="AQ662" s="20">
        <v>10</v>
      </c>
      <c r="AR662" s="20">
        <v>0</v>
      </c>
      <c r="AS662" s="20">
        <v>7</v>
      </c>
      <c r="AT662" s="20">
        <v>10</v>
      </c>
      <c r="AU662" s="300">
        <f t="shared" si="111"/>
        <v>229</v>
      </c>
      <c r="AV662" s="20">
        <v>190</v>
      </c>
      <c r="AW662" s="20">
        <v>0</v>
      </c>
      <c r="AX662" s="20">
        <v>20</v>
      </c>
      <c r="AY662" s="20">
        <v>10</v>
      </c>
      <c r="AZ662" s="20">
        <v>0</v>
      </c>
      <c r="BA662" s="20">
        <v>7</v>
      </c>
      <c r="BB662" s="20">
        <v>10</v>
      </c>
      <c r="BC662" s="300">
        <f t="shared" si="112"/>
        <v>237</v>
      </c>
      <c r="BD662" s="42">
        <f t="shared" si="113"/>
        <v>8</v>
      </c>
      <c r="BE662" s="42">
        <f t="shared" si="114"/>
        <v>0</v>
      </c>
      <c r="BF662" s="42">
        <f t="shared" si="115"/>
        <v>0</v>
      </c>
      <c r="BG662" s="42">
        <f t="shared" si="116"/>
        <v>0</v>
      </c>
      <c r="BH662" s="42">
        <f t="shared" si="117"/>
        <v>0</v>
      </c>
      <c r="BI662" s="42">
        <f t="shared" si="118"/>
        <v>0</v>
      </c>
      <c r="BJ662" s="42">
        <f t="shared" si="119"/>
        <v>0</v>
      </c>
      <c r="BK662" s="42">
        <f t="shared" si="120"/>
        <v>8</v>
      </c>
    </row>
    <row r="663" spans="1:63" ht="27" customHeight="1">
      <c r="A663" s="222">
        <f t="shared" si="121"/>
        <v>661</v>
      </c>
      <c r="B663" s="223"/>
      <c r="C663" s="250">
        <v>3193</v>
      </c>
      <c r="D663" s="225" t="s">
        <v>4067</v>
      </c>
      <c r="E663" s="251" t="s">
        <v>4068</v>
      </c>
      <c r="F663" s="252" t="s">
        <v>958</v>
      </c>
      <c r="G663" s="253" t="s">
        <v>4069</v>
      </c>
      <c r="H663" s="229" t="s">
        <v>959</v>
      </c>
      <c r="I663" s="230" t="s">
        <v>4070</v>
      </c>
      <c r="J663" s="254" t="s">
        <v>173</v>
      </c>
      <c r="K663" s="255">
        <v>36320</v>
      </c>
      <c r="L663" s="233" t="s">
        <v>174</v>
      </c>
      <c r="M663" s="256">
        <v>43742</v>
      </c>
      <c r="N663" s="256"/>
      <c r="O663" s="224" t="s">
        <v>4071</v>
      </c>
      <c r="P663" s="222" t="s">
        <v>1380</v>
      </c>
      <c r="Q663" s="222" t="s">
        <v>244</v>
      </c>
      <c r="R663" s="224" t="s">
        <v>177</v>
      </c>
      <c r="S663" s="224" t="s">
        <v>223</v>
      </c>
      <c r="T663" s="235"/>
      <c r="U663" s="257"/>
      <c r="V663" s="258" t="s">
        <v>179</v>
      </c>
      <c r="W663" s="258" t="s">
        <v>179</v>
      </c>
      <c r="X663" s="259">
        <v>8</v>
      </c>
      <c r="Y663" s="251" t="s">
        <v>4072</v>
      </c>
      <c r="Z663" s="258"/>
      <c r="AA663" s="261" t="s">
        <v>181</v>
      </c>
      <c r="AB663" s="258"/>
      <c r="AC663" s="270"/>
      <c r="AD663" s="270"/>
      <c r="AE663" s="270"/>
      <c r="AF663" s="272"/>
      <c r="AG663" s="270"/>
      <c r="AH663" s="260"/>
      <c r="AI663" s="260"/>
      <c r="AJ663" s="258" t="s">
        <v>198</v>
      </c>
      <c r="AK663" s="258" t="s">
        <v>185</v>
      </c>
      <c r="AL663" s="258" t="s">
        <v>185</v>
      </c>
      <c r="AM663" s="244" t="s">
        <v>236</v>
      </c>
      <c r="AN663" s="20">
        <v>182</v>
      </c>
      <c r="AO663" s="20">
        <v>0</v>
      </c>
      <c r="AP663" s="20">
        <v>20</v>
      </c>
      <c r="AQ663" s="20">
        <v>0</v>
      </c>
      <c r="AR663" s="20">
        <v>0</v>
      </c>
      <c r="AS663" s="20">
        <v>7</v>
      </c>
      <c r="AT663" s="20">
        <v>10</v>
      </c>
      <c r="AU663" s="300">
        <f t="shared" si="111"/>
        <v>219</v>
      </c>
      <c r="AV663" s="20">
        <v>190</v>
      </c>
      <c r="AW663" s="20">
        <v>0</v>
      </c>
      <c r="AX663" s="20">
        <v>20</v>
      </c>
      <c r="AY663" s="20">
        <v>0</v>
      </c>
      <c r="AZ663" s="20">
        <v>0</v>
      </c>
      <c r="BA663" s="20">
        <v>7</v>
      </c>
      <c r="BB663" s="20">
        <v>10</v>
      </c>
      <c r="BC663" s="300">
        <f t="shared" si="112"/>
        <v>227</v>
      </c>
      <c r="BD663" s="42">
        <f t="shared" si="113"/>
        <v>8</v>
      </c>
      <c r="BE663" s="42">
        <f t="shared" si="114"/>
        <v>0</v>
      </c>
      <c r="BF663" s="42">
        <f t="shared" si="115"/>
        <v>0</v>
      </c>
      <c r="BG663" s="42">
        <f t="shared" si="116"/>
        <v>0</v>
      </c>
      <c r="BH663" s="42">
        <f t="shared" si="117"/>
        <v>0</v>
      </c>
      <c r="BI663" s="42">
        <f t="shared" si="118"/>
        <v>0</v>
      </c>
      <c r="BJ663" s="42">
        <f t="shared" si="119"/>
        <v>0</v>
      </c>
      <c r="BK663" s="42">
        <f t="shared" si="120"/>
        <v>8</v>
      </c>
    </row>
    <row r="664" spans="1:63" ht="27" customHeight="1">
      <c r="A664" s="222">
        <f t="shared" si="121"/>
        <v>662</v>
      </c>
      <c r="B664" s="223"/>
      <c r="C664" s="250">
        <v>3161</v>
      </c>
      <c r="D664" s="225" t="s">
        <v>4073</v>
      </c>
      <c r="E664" s="251" t="s">
        <v>4074</v>
      </c>
      <c r="F664" s="252" t="s">
        <v>1400</v>
      </c>
      <c r="G664" s="253" t="s">
        <v>1719</v>
      </c>
      <c r="H664" s="229" t="s">
        <v>1402</v>
      </c>
      <c r="I664" s="230" t="s">
        <v>4075</v>
      </c>
      <c r="J664" s="254" t="s">
        <v>204</v>
      </c>
      <c r="K664" s="255">
        <v>35951</v>
      </c>
      <c r="L664" s="233" t="s">
        <v>174</v>
      </c>
      <c r="M664" s="256">
        <v>43740</v>
      </c>
      <c r="N664" s="256"/>
      <c r="O664" s="224" t="s">
        <v>4076</v>
      </c>
      <c r="P664" s="222" t="s">
        <v>313</v>
      </c>
      <c r="Q664" s="222" t="s">
        <v>244</v>
      </c>
      <c r="R664" s="224" t="s">
        <v>177</v>
      </c>
      <c r="S664" s="224" t="s">
        <v>223</v>
      </c>
      <c r="T664" s="235"/>
      <c r="U664" s="257"/>
      <c r="V664" s="258" t="s">
        <v>179</v>
      </c>
      <c r="W664" s="258" t="s">
        <v>179</v>
      </c>
      <c r="X664" s="259">
        <v>10</v>
      </c>
      <c r="Y664" s="251" t="s">
        <v>4077</v>
      </c>
      <c r="Z664" s="261" t="s">
        <v>181</v>
      </c>
      <c r="AA664" s="261"/>
      <c r="AB664" s="258"/>
      <c r="AC664" s="270"/>
      <c r="AD664" s="270"/>
      <c r="AE664" s="270"/>
      <c r="AF664" s="270"/>
      <c r="AG664" s="270"/>
      <c r="AH664" s="260"/>
      <c r="AI664" s="260"/>
      <c r="AJ664" s="258" t="s">
        <v>198</v>
      </c>
      <c r="AK664" s="258" t="s">
        <v>185</v>
      </c>
      <c r="AL664" s="258" t="s">
        <v>185</v>
      </c>
      <c r="AM664" s="244" t="s">
        <v>3854</v>
      </c>
      <c r="AN664" s="20">
        <v>182</v>
      </c>
      <c r="AO664" s="20">
        <v>0</v>
      </c>
      <c r="AP664" s="20">
        <v>20</v>
      </c>
      <c r="AQ664" s="20">
        <v>0</v>
      </c>
      <c r="AR664" s="20">
        <v>0</v>
      </c>
      <c r="AS664" s="20">
        <v>7</v>
      </c>
      <c r="AT664" s="20">
        <v>10</v>
      </c>
      <c r="AU664" s="300">
        <f t="shared" si="111"/>
        <v>219</v>
      </c>
      <c r="AV664" s="20">
        <v>190</v>
      </c>
      <c r="AW664" s="20">
        <v>0</v>
      </c>
      <c r="AX664" s="20">
        <v>20</v>
      </c>
      <c r="AY664" s="20">
        <v>0</v>
      </c>
      <c r="AZ664" s="20">
        <v>0</v>
      </c>
      <c r="BA664" s="20">
        <v>7</v>
      </c>
      <c r="BB664" s="20">
        <v>10</v>
      </c>
      <c r="BC664" s="300">
        <f t="shared" si="112"/>
        <v>227</v>
      </c>
      <c r="BD664" s="42">
        <f t="shared" si="113"/>
        <v>8</v>
      </c>
      <c r="BE664" s="42">
        <f t="shared" si="114"/>
        <v>0</v>
      </c>
      <c r="BF664" s="42">
        <f t="shared" si="115"/>
        <v>0</v>
      </c>
      <c r="BG664" s="42">
        <f t="shared" si="116"/>
        <v>0</v>
      </c>
      <c r="BH664" s="42">
        <f t="shared" si="117"/>
        <v>0</v>
      </c>
      <c r="BI664" s="42">
        <f t="shared" si="118"/>
        <v>0</v>
      </c>
      <c r="BJ664" s="42">
        <f t="shared" si="119"/>
        <v>0</v>
      </c>
      <c r="BK664" s="42">
        <f t="shared" si="120"/>
        <v>8</v>
      </c>
    </row>
    <row r="665" spans="1:63" ht="27" customHeight="1">
      <c r="A665" s="222">
        <f t="shared" si="121"/>
        <v>663</v>
      </c>
      <c r="B665" s="223"/>
      <c r="C665" s="250">
        <v>3173</v>
      </c>
      <c r="D665" s="225" t="s">
        <v>4078</v>
      </c>
      <c r="E665" s="251" t="s">
        <v>4079</v>
      </c>
      <c r="F665" s="252" t="s">
        <v>4080</v>
      </c>
      <c r="G665" s="253" t="s">
        <v>907</v>
      </c>
      <c r="H665" s="229" t="s">
        <v>35</v>
      </c>
      <c r="I665" s="230" t="s">
        <v>908</v>
      </c>
      <c r="J665" s="254" t="s">
        <v>204</v>
      </c>
      <c r="K665" s="255">
        <v>36203</v>
      </c>
      <c r="L665" s="233" t="s">
        <v>174</v>
      </c>
      <c r="M665" s="256">
        <v>43741</v>
      </c>
      <c r="N665" s="256"/>
      <c r="O665" s="224" t="s">
        <v>4081</v>
      </c>
      <c r="P665" s="224"/>
      <c r="Q665" s="222" t="s">
        <v>244</v>
      </c>
      <c r="R665" s="224" t="s">
        <v>177</v>
      </c>
      <c r="S665" s="224" t="s">
        <v>722</v>
      </c>
      <c r="T665" s="235"/>
      <c r="U665" s="257"/>
      <c r="V665" s="258" t="s">
        <v>179</v>
      </c>
      <c r="W665" s="258" t="s">
        <v>179</v>
      </c>
      <c r="X665" s="259">
        <v>4</v>
      </c>
      <c r="Y665" s="251" t="s">
        <v>4082</v>
      </c>
      <c r="Z665" s="261" t="s">
        <v>181</v>
      </c>
      <c r="AA665" s="261"/>
      <c r="AB665" s="258"/>
      <c r="AC665" s="270"/>
      <c r="AD665" s="270"/>
      <c r="AE665" s="270"/>
      <c r="AF665" s="270"/>
      <c r="AG665" s="270"/>
      <c r="AH665" s="260"/>
      <c r="AI665" s="260"/>
      <c r="AJ665" s="258" t="s">
        <v>198</v>
      </c>
      <c r="AK665" s="258" t="s">
        <v>185</v>
      </c>
      <c r="AL665" s="258" t="s">
        <v>185</v>
      </c>
      <c r="AM665" s="244" t="s">
        <v>3854</v>
      </c>
      <c r="AN665" s="20">
        <v>182</v>
      </c>
      <c r="AO665" s="20">
        <v>0</v>
      </c>
      <c r="AP665" s="20">
        <v>20</v>
      </c>
      <c r="AQ665" s="20">
        <v>0</v>
      </c>
      <c r="AR665" s="20">
        <v>0</v>
      </c>
      <c r="AS665" s="20">
        <v>7</v>
      </c>
      <c r="AT665" s="20">
        <v>10</v>
      </c>
      <c r="AU665" s="300">
        <f t="shared" si="111"/>
        <v>219</v>
      </c>
      <c r="AV665" s="20">
        <v>190</v>
      </c>
      <c r="AW665" s="20">
        <v>0</v>
      </c>
      <c r="AX665" s="20">
        <v>20</v>
      </c>
      <c r="AY665" s="20">
        <v>0</v>
      </c>
      <c r="AZ665" s="20">
        <v>0</v>
      </c>
      <c r="BA665" s="20">
        <v>7</v>
      </c>
      <c r="BB665" s="20">
        <v>10</v>
      </c>
      <c r="BC665" s="300">
        <f t="shared" si="112"/>
        <v>227</v>
      </c>
      <c r="BD665" s="42">
        <f t="shared" si="113"/>
        <v>8</v>
      </c>
      <c r="BE665" s="42">
        <f t="shared" si="114"/>
        <v>0</v>
      </c>
      <c r="BF665" s="42">
        <f t="shared" si="115"/>
        <v>0</v>
      </c>
      <c r="BG665" s="42">
        <f t="shared" si="116"/>
        <v>0</v>
      </c>
      <c r="BH665" s="42">
        <f t="shared" si="117"/>
        <v>0</v>
      </c>
      <c r="BI665" s="42">
        <f t="shared" si="118"/>
        <v>0</v>
      </c>
      <c r="BJ665" s="42">
        <f t="shared" si="119"/>
        <v>0</v>
      </c>
      <c r="BK665" s="42">
        <f t="shared" si="120"/>
        <v>8</v>
      </c>
    </row>
    <row r="666" spans="1:63" ht="27" customHeight="1">
      <c r="A666" s="222">
        <f t="shared" si="121"/>
        <v>664</v>
      </c>
      <c r="B666" s="223"/>
      <c r="C666" s="250">
        <v>3152</v>
      </c>
      <c r="D666" s="225" t="s">
        <v>4083</v>
      </c>
      <c r="E666" s="251" t="s">
        <v>4084</v>
      </c>
      <c r="F666" s="252" t="s">
        <v>1292</v>
      </c>
      <c r="G666" s="253" t="s">
        <v>522</v>
      </c>
      <c r="H666" s="229" t="s">
        <v>1294</v>
      </c>
      <c r="I666" s="230" t="s">
        <v>524</v>
      </c>
      <c r="J666" s="254" t="s">
        <v>204</v>
      </c>
      <c r="K666" s="255">
        <v>35220</v>
      </c>
      <c r="L666" s="233" t="s">
        <v>174</v>
      </c>
      <c r="M666" s="256">
        <v>43740</v>
      </c>
      <c r="N666" s="256"/>
      <c r="O666" s="224" t="s">
        <v>4085</v>
      </c>
      <c r="P666" s="222" t="s">
        <v>3770</v>
      </c>
      <c r="Q666" s="222" t="s">
        <v>244</v>
      </c>
      <c r="R666" s="224" t="s">
        <v>177</v>
      </c>
      <c r="S666" s="224" t="s">
        <v>206</v>
      </c>
      <c r="T666" s="235"/>
      <c r="U666" s="257"/>
      <c r="V666" s="258" t="s">
        <v>179</v>
      </c>
      <c r="W666" s="258" t="s">
        <v>179</v>
      </c>
      <c r="X666" s="259">
        <v>0</v>
      </c>
      <c r="Y666" s="251" t="s">
        <v>4086</v>
      </c>
      <c r="Z666" s="261" t="s">
        <v>181</v>
      </c>
      <c r="AA666" s="261"/>
      <c r="AB666" s="258"/>
      <c r="AC666" s="270"/>
      <c r="AD666" s="270"/>
      <c r="AE666" s="270"/>
      <c r="AF666" s="272"/>
      <c r="AG666" s="270"/>
      <c r="AH666" s="260"/>
      <c r="AI666" s="260"/>
      <c r="AJ666" s="258" t="s">
        <v>198</v>
      </c>
      <c r="AK666" s="258" t="s">
        <v>185</v>
      </c>
      <c r="AL666" s="258" t="s">
        <v>185</v>
      </c>
      <c r="AM666" s="244" t="s">
        <v>3854</v>
      </c>
      <c r="AN666" s="20">
        <v>182</v>
      </c>
      <c r="AO666" s="20">
        <v>0</v>
      </c>
      <c r="AP666" s="20">
        <v>20</v>
      </c>
      <c r="AQ666" s="20">
        <v>0</v>
      </c>
      <c r="AR666" s="20">
        <v>0</v>
      </c>
      <c r="AS666" s="20">
        <v>7</v>
      </c>
      <c r="AT666" s="20">
        <v>10</v>
      </c>
      <c r="AU666" s="300">
        <f t="shared" si="111"/>
        <v>219</v>
      </c>
      <c r="AV666" s="20">
        <v>190</v>
      </c>
      <c r="AW666" s="20">
        <v>0</v>
      </c>
      <c r="AX666" s="20">
        <v>20</v>
      </c>
      <c r="AY666" s="20">
        <v>0</v>
      </c>
      <c r="AZ666" s="20">
        <v>0</v>
      </c>
      <c r="BA666" s="20">
        <v>7</v>
      </c>
      <c r="BB666" s="20">
        <v>10</v>
      </c>
      <c r="BC666" s="300">
        <f t="shared" si="112"/>
        <v>227</v>
      </c>
      <c r="BD666" s="42">
        <f t="shared" si="113"/>
        <v>8</v>
      </c>
      <c r="BE666" s="42">
        <f t="shared" si="114"/>
        <v>0</v>
      </c>
      <c r="BF666" s="42">
        <f t="shared" si="115"/>
        <v>0</v>
      </c>
      <c r="BG666" s="42">
        <f t="shared" si="116"/>
        <v>0</v>
      </c>
      <c r="BH666" s="42">
        <f t="shared" si="117"/>
        <v>0</v>
      </c>
      <c r="BI666" s="42">
        <f t="shared" si="118"/>
        <v>0</v>
      </c>
      <c r="BJ666" s="42">
        <f t="shared" si="119"/>
        <v>0</v>
      </c>
      <c r="BK666" s="42">
        <f t="shared" si="120"/>
        <v>8</v>
      </c>
    </row>
    <row r="667" spans="1:63" ht="27" customHeight="1">
      <c r="A667" s="222">
        <f t="shared" si="121"/>
        <v>665</v>
      </c>
      <c r="B667" s="223"/>
      <c r="C667" s="250">
        <v>3198</v>
      </c>
      <c r="D667" s="264" t="s">
        <v>4087</v>
      </c>
      <c r="E667" s="251" t="s">
        <v>4088</v>
      </c>
      <c r="F667" s="252" t="s">
        <v>2304</v>
      </c>
      <c r="G667" s="253" t="s">
        <v>2370</v>
      </c>
      <c r="H667" s="229" t="s">
        <v>4089</v>
      </c>
      <c r="I667" s="230" t="s">
        <v>4090</v>
      </c>
      <c r="J667" s="254" t="s">
        <v>173</v>
      </c>
      <c r="K667" s="255">
        <v>31153</v>
      </c>
      <c r="L667" s="233" t="s">
        <v>174</v>
      </c>
      <c r="M667" s="256">
        <v>43742</v>
      </c>
      <c r="N667" s="256"/>
      <c r="O667" s="224" t="s">
        <v>3960</v>
      </c>
      <c r="P667" s="222" t="s">
        <v>3780</v>
      </c>
      <c r="Q667" s="222" t="s">
        <v>244</v>
      </c>
      <c r="R667" s="224" t="s">
        <v>177</v>
      </c>
      <c r="S667" s="224" t="s">
        <v>223</v>
      </c>
      <c r="T667" s="235"/>
      <c r="U667" s="257"/>
      <c r="V667" s="258" t="s">
        <v>179</v>
      </c>
      <c r="W667" s="258" t="s">
        <v>179</v>
      </c>
      <c r="X667" s="259">
        <v>4</v>
      </c>
      <c r="Y667" s="251" t="s">
        <v>4091</v>
      </c>
      <c r="Z667" s="261"/>
      <c r="AA667" s="261" t="s">
        <v>181</v>
      </c>
      <c r="AB667" s="258"/>
      <c r="AC667" s="270"/>
      <c r="AD667" s="270"/>
      <c r="AE667" s="270"/>
      <c r="AF667" s="272"/>
      <c r="AG667" s="270"/>
      <c r="AH667" s="260"/>
      <c r="AI667" s="260"/>
      <c r="AJ667" s="258" t="s">
        <v>198</v>
      </c>
      <c r="AK667" s="258" t="s">
        <v>185</v>
      </c>
      <c r="AL667" s="258" t="s">
        <v>185</v>
      </c>
      <c r="AM667" s="244" t="s">
        <v>3854</v>
      </c>
      <c r="AN667" s="20">
        <v>182</v>
      </c>
      <c r="AO667" s="20">
        <v>0</v>
      </c>
      <c r="AP667" s="20">
        <v>20</v>
      </c>
      <c r="AQ667" s="20">
        <v>0</v>
      </c>
      <c r="AR667" s="20">
        <v>0</v>
      </c>
      <c r="AS667" s="20">
        <v>7</v>
      </c>
      <c r="AT667" s="20">
        <v>10</v>
      </c>
      <c r="AU667" s="300">
        <f t="shared" si="111"/>
        <v>219</v>
      </c>
      <c r="AV667" s="20">
        <v>190</v>
      </c>
      <c r="AW667" s="20">
        <v>0</v>
      </c>
      <c r="AX667" s="20">
        <v>20</v>
      </c>
      <c r="AY667" s="20">
        <v>0</v>
      </c>
      <c r="AZ667" s="20">
        <v>0</v>
      </c>
      <c r="BA667" s="20">
        <v>7</v>
      </c>
      <c r="BB667" s="20">
        <v>10</v>
      </c>
      <c r="BC667" s="300">
        <f t="shared" si="112"/>
        <v>227</v>
      </c>
      <c r="BD667" s="42">
        <f t="shared" si="113"/>
        <v>8</v>
      </c>
      <c r="BE667" s="42">
        <f t="shared" si="114"/>
        <v>0</v>
      </c>
      <c r="BF667" s="42">
        <f t="shared" si="115"/>
        <v>0</v>
      </c>
      <c r="BG667" s="42">
        <f t="shared" si="116"/>
        <v>0</v>
      </c>
      <c r="BH667" s="42">
        <f t="shared" si="117"/>
        <v>0</v>
      </c>
      <c r="BI667" s="42">
        <f t="shared" si="118"/>
        <v>0</v>
      </c>
      <c r="BJ667" s="42">
        <f t="shared" si="119"/>
        <v>0</v>
      </c>
      <c r="BK667" s="42">
        <f t="shared" si="120"/>
        <v>8</v>
      </c>
    </row>
    <row r="668" spans="1:63" ht="27" customHeight="1">
      <c r="A668" s="222">
        <f t="shared" si="121"/>
        <v>666</v>
      </c>
      <c r="B668" s="223"/>
      <c r="C668" s="250">
        <v>3136</v>
      </c>
      <c r="D668" s="225" t="s">
        <v>4092</v>
      </c>
      <c r="E668" s="251" t="s">
        <v>291</v>
      </c>
      <c r="F668" s="252" t="s">
        <v>483</v>
      </c>
      <c r="G668" s="253" t="s">
        <v>522</v>
      </c>
      <c r="H668" s="229" t="s">
        <v>97</v>
      </c>
      <c r="I668" s="230" t="s">
        <v>524</v>
      </c>
      <c r="J668" s="254" t="s">
        <v>173</v>
      </c>
      <c r="K668" s="255">
        <v>29709</v>
      </c>
      <c r="L668" s="233" t="s">
        <v>174</v>
      </c>
      <c r="M668" s="256">
        <v>43740</v>
      </c>
      <c r="N668" s="256"/>
      <c r="O668" s="224" t="s">
        <v>4085</v>
      </c>
      <c r="P668" s="222" t="s">
        <v>3770</v>
      </c>
      <c r="Q668" s="222" t="s">
        <v>244</v>
      </c>
      <c r="R668" s="224" t="s">
        <v>177</v>
      </c>
      <c r="S668" s="224" t="s">
        <v>214</v>
      </c>
      <c r="T668" s="235"/>
      <c r="U668" s="257"/>
      <c r="V668" s="258" t="s">
        <v>179</v>
      </c>
      <c r="W668" s="258" t="s">
        <v>179</v>
      </c>
      <c r="X668" s="259">
        <v>2</v>
      </c>
      <c r="Y668" s="251" t="s">
        <v>4093</v>
      </c>
      <c r="Z668" s="261"/>
      <c r="AA668" s="258"/>
      <c r="AB668" s="258"/>
      <c r="AC668" s="270"/>
      <c r="AD668" s="270"/>
      <c r="AE668" s="270"/>
      <c r="AF668" s="272"/>
      <c r="AG668" s="270"/>
      <c r="AH668" s="260"/>
      <c r="AI668" s="260"/>
      <c r="AJ668" s="258" t="s">
        <v>198</v>
      </c>
      <c r="AK668" s="258" t="s">
        <v>185</v>
      </c>
      <c r="AL668" s="258" t="s">
        <v>185</v>
      </c>
      <c r="AM668" s="244" t="s">
        <v>236</v>
      </c>
      <c r="AN668" s="20">
        <v>182</v>
      </c>
      <c r="AO668" s="20">
        <v>0</v>
      </c>
      <c r="AP668" s="20">
        <v>20</v>
      </c>
      <c r="AQ668" s="20">
        <v>0</v>
      </c>
      <c r="AR668" s="20">
        <v>0</v>
      </c>
      <c r="AS668" s="20">
        <v>7</v>
      </c>
      <c r="AT668" s="20">
        <v>10</v>
      </c>
      <c r="AU668" s="300">
        <f t="shared" si="111"/>
        <v>219</v>
      </c>
      <c r="AV668" s="20">
        <v>190</v>
      </c>
      <c r="AW668" s="20">
        <v>0</v>
      </c>
      <c r="AX668" s="20">
        <v>20</v>
      </c>
      <c r="AY668" s="20">
        <v>0</v>
      </c>
      <c r="AZ668" s="20">
        <v>0</v>
      </c>
      <c r="BA668" s="20">
        <v>7</v>
      </c>
      <c r="BB668" s="20">
        <v>10</v>
      </c>
      <c r="BC668" s="300">
        <f t="shared" si="112"/>
        <v>227</v>
      </c>
      <c r="BD668" s="42">
        <f t="shared" si="113"/>
        <v>8</v>
      </c>
      <c r="BE668" s="42">
        <f t="shared" si="114"/>
        <v>0</v>
      </c>
      <c r="BF668" s="42">
        <f t="shared" si="115"/>
        <v>0</v>
      </c>
      <c r="BG668" s="42">
        <f t="shared" si="116"/>
        <v>0</v>
      </c>
      <c r="BH668" s="42">
        <f t="shared" si="117"/>
        <v>0</v>
      </c>
      <c r="BI668" s="42">
        <f t="shared" si="118"/>
        <v>0</v>
      </c>
      <c r="BJ668" s="42">
        <f t="shared" si="119"/>
        <v>0</v>
      </c>
      <c r="BK668" s="42">
        <f t="shared" si="120"/>
        <v>8</v>
      </c>
    </row>
    <row r="669" spans="1:63" ht="27" customHeight="1">
      <c r="A669" s="222">
        <f t="shared" si="121"/>
        <v>667</v>
      </c>
      <c r="B669" s="223"/>
      <c r="C669" s="250">
        <v>3189</v>
      </c>
      <c r="D669" s="225" t="s">
        <v>4094</v>
      </c>
      <c r="E669" s="251" t="s">
        <v>291</v>
      </c>
      <c r="F669" s="252" t="s">
        <v>3048</v>
      </c>
      <c r="G669" s="253" t="s">
        <v>2236</v>
      </c>
      <c r="H669" s="229" t="s">
        <v>653</v>
      </c>
      <c r="I669" s="230" t="s">
        <v>2237</v>
      </c>
      <c r="J669" s="254" t="s">
        <v>173</v>
      </c>
      <c r="K669" s="255">
        <v>30683</v>
      </c>
      <c r="L669" s="233" t="s">
        <v>174</v>
      </c>
      <c r="M669" s="256">
        <v>43740</v>
      </c>
      <c r="N669" s="256"/>
      <c r="O669" s="224" t="s">
        <v>4076</v>
      </c>
      <c r="P669" s="222" t="s">
        <v>313</v>
      </c>
      <c r="Q669" s="222" t="s">
        <v>244</v>
      </c>
      <c r="R669" s="224" t="s">
        <v>177</v>
      </c>
      <c r="S669" s="224" t="s">
        <v>251</v>
      </c>
      <c r="T669" s="235"/>
      <c r="U669" s="257"/>
      <c r="V669" s="258" t="s">
        <v>179</v>
      </c>
      <c r="W669" s="258" t="s">
        <v>179</v>
      </c>
      <c r="X669" s="259">
        <v>2</v>
      </c>
      <c r="Y669" s="251" t="s">
        <v>4095</v>
      </c>
      <c r="Z669" s="261"/>
      <c r="AA669" s="261" t="s">
        <v>181</v>
      </c>
      <c r="AB669" s="258"/>
      <c r="AC669" s="270"/>
      <c r="AD669" s="270"/>
      <c r="AE669" s="270"/>
      <c r="AF669" s="272"/>
      <c r="AG669" s="270"/>
      <c r="AH669" s="260"/>
      <c r="AI669" s="260"/>
      <c r="AJ669" s="258" t="s">
        <v>198</v>
      </c>
      <c r="AK669" s="258" t="s">
        <v>185</v>
      </c>
      <c r="AL669" s="258" t="s">
        <v>185</v>
      </c>
      <c r="AM669" s="244" t="s">
        <v>236</v>
      </c>
      <c r="AN669" s="20">
        <v>182</v>
      </c>
      <c r="AO669" s="20">
        <v>0</v>
      </c>
      <c r="AP669" s="20">
        <v>20</v>
      </c>
      <c r="AQ669" s="20">
        <v>0</v>
      </c>
      <c r="AR669" s="20">
        <v>0</v>
      </c>
      <c r="AS669" s="20">
        <v>7</v>
      </c>
      <c r="AT669" s="20">
        <v>10</v>
      </c>
      <c r="AU669" s="300">
        <f t="shared" si="111"/>
        <v>219</v>
      </c>
      <c r="AV669" s="20">
        <v>190</v>
      </c>
      <c r="AW669" s="20">
        <v>0</v>
      </c>
      <c r="AX669" s="20">
        <v>20</v>
      </c>
      <c r="AY669" s="20">
        <v>0</v>
      </c>
      <c r="AZ669" s="20">
        <v>0</v>
      </c>
      <c r="BA669" s="20">
        <v>7</v>
      </c>
      <c r="BB669" s="20">
        <v>10</v>
      </c>
      <c r="BC669" s="300">
        <f t="shared" si="112"/>
        <v>227</v>
      </c>
      <c r="BD669" s="42">
        <f t="shared" si="113"/>
        <v>8</v>
      </c>
      <c r="BE669" s="42">
        <f t="shared" si="114"/>
        <v>0</v>
      </c>
      <c r="BF669" s="42">
        <f t="shared" si="115"/>
        <v>0</v>
      </c>
      <c r="BG669" s="42">
        <f t="shared" si="116"/>
        <v>0</v>
      </c>
      <c r="BH669" s="42">
        <f t="shared" si="117"/>
        <v>0</v>
      </c>
      <c r="BI669" s="42">
        <f t="shared" si="118"/>
        <v>0</v>
      </c>
      <c r="BJ669" s="42">
        <f t="shared" si="119"/>
        <v>0</v>
      </c>
      <c r="BK669" s="42">
        <f t="shared" si="120"/>
        <v>8</v>
      </c>
    </row>
    <row r="670" spans="1:63" ht="27" customHeight="1">
      <c r="A670" s="222">
        <f t="shared" si="121"/>
        <v>668</v>
      </c>
      <c r="B670" s="223"/>
      <c r="C670" s="250">
        <v>3199</v>
      </c>
      <c r="D670" s="225" t="s">
        <v>4096</v>
      </c>
      <c r="E670" s="251" t="s">
        <v>4097</v>
      </c>
      <c r="F670" s="252" t="s">
        <v>4098</v>
      </c>
      <c r="G670" s="253" t="s">
        <v>4099</v>
      </c>
      <c r="H670" s="229" t="s">
        <v>4100</v>
      </c>
      <c r="I670" s="230" t="s">
        <v>4101</v>
      </c>
      <c r="J670" s="254" t="s">
        <v>204</v>
      </c>
      <c r="K670" s="255">
        <v>34496</v>
      </c>
      <c r="L670" s="233" t="s">
        <v>174</v>
      </c>
      <c r="M670" s="256">
        <v>43740</v>
      </c>
      <c r="N670" s="256"/>
      <c r="O670" s="224" t="s">
        <v>4032</v>
      </c>
      <c r="P670" s="222" t="s">
        <v>3765</v>
      </c>
      <c r="Q670" s="222" t="s">
        <v>244</v>
      </c>
      <c r="R670" s="224" t="s">
        <v>177</v>
      </c>
      <c r="S670" s="224" t="s">
        <v>206</v>
      </c>
      <c r="T670" s="235"/>
      <c r="U670" s="257"/>
      <c r="V670" s="258" t="s">
        <v>179</v>
      </c>
      <c r="W670" s="258" t="s">
        <v>179</v>
      </c>
      <c r="X670" s="259">
        <v>8</v>
      </c>
      <c r="Y670" s="251" t="s">
        <v>4102</v>
      </c>
      <c r="Z670" s="258"/>
      <c r="AA670" s="261" t="s">
        <v>181</v>
      </c>
      <c r="AB670" s="258"/>
      <c r="AC670" s="270"/>
      <c r="AD670" s="270"/>
      <c r="AE670" s="270"/>
      <c r="AF670" s="272"/>
      <c r="AG670" s="270"/>
      <c r="AH670" s="260"/>
      <c r="AI670" s="260"/>
      <c r="AJ670" s="258" t="s">
        <v>198</v>
      </c>
      <c r="AK670" s="258" t="s">
        <v>185</v>
      </c>
      <c r="AL670" s="258" t="s">
        <v>185</v>
      </c>
      <c r="AM670" s="244" t="s">
        <v>3854</v>
      </c>
      <c r="AN670" s="20">
        <v>182</v>
      </c>
      <c r="AO670" s="20">
        <v>0</v>
      </c>
      <c r="AP670" s="20">
        <v>20</v>
      </c>
      <c r="AQ670" s="20">
        <v>0</v>
      </c>
      <c r="AR670" s="20">
        <v>0</v>
      </c>
      <c r="AS670" s="20">
        <v>7</v>
      </c>
      <c r="AT670" s="20">
        <v>10</v>
      </c>
      <c r="AU670" s="300">
        <f t="shared" si="111"/>
        <v>219</v>
      </c>
      <c r="AV670" s="20">
        <v>190</v>
      </c>
      <c r="AW670" s="20">
        <v>0</v>
      </c>
      <c r="AX670" s="20">
        <v>20</v>
      </c>
      <c r="AY670" s="20">
        <v>0</v>
      </c>
      <c r="AZ670" s="20">
        <v>0</v>
      </c>
      <c r="BA670" s="20">
        <v>7</v>
      </c>
      <c r="BB670" s="20">
        <v>10</v>
      </c>
      <c r="BC670" s="300">
        <f t="shared" si="112"/>
        <v>227</v>
      </c>
      <c r="BD670" s="42">
        <f t="shared" si="113"/>
        <v>8</v>
      </c>
      <c r="BE670" s="42">
        <f t="shared" si="114"/>
        <v>0</v>
      </c>
      <c r="BF670" s="42">
        <f t="shared" si="115"/>
        <v>0</v>
      </c>
      <c r="BG670" s="42">
        <f t="shared" si="116"/>
        <v>0</v>
      </c>
      <c r="BH670" s="42">
        <f t="shared" si="117"/>
        <v>0</v>
      </c>
      <c r="BI670" s="42">
        <f t="shared" si="118"/>
        <v>0</v>
      </c>
      <c r="BJ670" s="42">
        <f t="shared" si="119"/>
        <v>0</v>
      </c>
      <c r="BK670" s="42">
        <f t="shared" si="120"/>
        <v>8</v>
      </c>
    </row>
    <row r="671" spans="1:63" ht="27" customHeight="1">
      <c r="A671" s="222">
        <f t="shared" si="121"/>
        <v>669</v>
      </c>
      <c r="B671" s="223"/>
      <c r="C671" s="250">
        <v>3190</v>
      </c>
      <c r="D671" s="264" t="s">
        <v>4103</v>
      </c>
      <c r="E671" s="251" t="s">
        <v>4104</v>
      </c>
      <c r="F671" s="252" t="s">
        <v>4105</v>
      </c>
      <c r="G671" s="253" t="s">
        <v>2016</v>
      </c>
      <c r="H671" s="229" t="s">
        <v>4106</v>
      </c>
      <c r="I671" s="230" t="s">
        <v>902</v>
      </c>
      <c r="J671" s="254" t="s">
        <v>204</v>
      </c>
      <c r="K671" s="255">
        <v>36593</v>
      </c>
      <c r="L671" s="233" t="s">
        <v>174</v>
      </c>
      <c r="M671" s="256">
        <v>43741</v>
      </c>
      <c r="N671" s="256"/>
      <c r="O671" s="224" t="s">
        <v>4081</v>
      </c>
      <c r="P671" s="224"/>
      <c r="Q671" s="222" t="s">
        <v>244</v>
      </c>
      <c r="R671" s="224" t="s">
        <v>177</v>
      </c>
      <c r="S671" s="224" t="s">
        <v>223</v>
      </c>
      <c r="T671" s="235"/>
      <c r="U671" s="257"/>
      <c r="V671" s="258" t="s">
        <v>179</v>
      </c>
      <c r="W671" s="258" t="s">
        <v>179</v>
      </c>
      <c r="X671" s="266">
        <v>9</v>
      </c>
      <c r="Y671" s="251" t="s">
        <v>4107</v>
      </c>
      <c r="Z671" s="261" t="s">
        <v>181</v>
      </c>
      <c r="AA671" s="258"/>
      <c r="AB671" s="258"/>
      <c r="AC671" s="270"/>
      <c r="AD671" s="270"/>
      <c r="AE671" s="270"/>
      <c r="AF671" s="272"/>
      <c r="AG671" s="270"/>
      <c r="AH671" s="260"/>
      <c r="AI671" s="260"/>
      <c r="AJ671" s="258" t="s">
        <v>198</v>
      </c>
      <c r="AK671" s="258" t="s">
        <v>185</v>
      </c>
      <c r="AL671" s="258" t="s">
        <v>185</v>
      </c>
      <c r="AM671" s="244" t="s">
        <v>236</v>
      </c>
      <c r="AN671" s="20">
        <v>182</v>
      </c>
      <c r="AO671" s="20">
        <v>0</v>
      </c>
      <c r="AP671" s="20">
        <v>20</v>
      </c>
      <c r="AQ671" s="20">
        <v>0</v>
      </c>
      <c r="AR671" s="20">
        <v>0</v>
      </c>
      <c r="AS671" s="20">
        <v>7</v>
      </c>
      <c r="AT671" s="20">
        <v>10</v>
      </c>
      <c r="AU671" s="300">
        <f t="shared" si="111"/>
        <v>219</v>
      </c>
      <c r="AV671" s="20">
        <v>190</v>
      </c>
      <c r="AW671" s="20">
        <v>0</v>
      </c>
      <c r="AX671" s="20">
        <v>20</v>
      </c>
      <c r="AY671" s="20">
        <v>0</v>
      </c>
      <c r="AZ671" s="20">
        <v>0</v>
      </c>
      <c r="BA671" s="20">
        <v>7</v>
      </c>
      <c r="BB671" s="20">
        <v>10</v>
      </c>
      <c r="BC671" s="300">
        <f t="shared" si="112"/>
        <v>227</v>
      </c>
      <c r="BD671" s="42">
        <f t="shared" si="113"/>
        <v>8</v>
      </c>
      <c r="BE671" s="42">
        <f t="shared" si="114"/>
        <v>0</v>
      </c>
      <c r="BF671" s="42">
        <f t="shared" si="115"/>
        <v>0</v>
      </c>
      <c r="BG671" s="42">
        <f t="shared" si="116"/>
        <v>0</v>
      </c>
      <c r="BH671" s="42">
        <f t="shared" si="117"/>
        <v>0</v>
      </c>
      <c r="BI671" s="42">
        <f t="shared" si="118"/>
        <v>0</v>
      </c>
      <c r="BJ671" s="42">
        <f t="shared" si="119"/>
        <v>0</v>
      </c>
      <c r="BK671" s="42">
        <f t="shared" si="120"/>
        <v>8</v>
      </c>
    </row>
    <row r="672" spans="1:63" ht="27" customHeight="1">
      <c r="A672" s="222">
        <f t="shared" si="121"/>
        <v>670</v>
      </c>
      <c r="B672" s="223"/>
      <c r="C672" s="250">
        <v>3192</v>
      </c>
      <c r="D672" s="225" t="s">
        <v>4108</v>
      </c>
      <c r="E672" s="251" t="s">
        <v>4109</v>
      </c>
      <c r="F672" s="252" t="s">
        <v>1225</v>
      </c>
      <c r="G672" s="253" t="s">
        <v>4110</v>
      </c>
      <c r="H672" s="229" t="s">
        <v>4111</v>
      </c>
      <c r="I672" s="230" t="s">
        <v>4112</v>
      </c>
      <c r="J672" s="254" t="s">
        <v>204</v>
      </c>
      <c r="K672" s="255">
        <v>34783</v>
      </c>
      <c r="L672" s="233" t="s">
        <v>174</v>
      </c>
      <c r="M672" s="256">
        <v>43741</v>
      </c>
      <c r="N672" s="256"/>
      <c r="O672" s="224" t="s">
        <v>4076</v>
      </c>
      <c r="P672" s="222" t="s">
        <v>313</v>
      </c>
      <c r="Q672" s="222" t="s">
        <v>244</v>
      </c>
      <c r="R672" s="224" t="s">
        <v>177</v>
      </c>
      <c r="S672" s="224" t="s">
        <v>251</v>
      </c>
      <c r="T672" s="235"/>
      <c r="U672" s="257"/>
      <c r="V672" s="258" t="s">
        <v>179</v>
      </c>
      <c r="W672" s="258" t="s">
        <v>179</v>
      </c>
      <c r="X672" s="259">
        <v>6</v>
      </c>
      <c r="Y672" s="251" t="s">
        <v>4113</v>
      </c>
      <c r="Z672" s="261" t="s">
        <v>181</v>
      </c>
      <c r="AA672" s="261"/>
      <c r="AB672" s="258"/>
      <c r="AC672" s="270"/>
      <c r="AD672" s="270"/>
      <c r="AE672" s="270"/>
      <c r="AF672" s="272"/>
      <c r="AG672" s="270"/>
      <c r="AH672" s="260"/>
      <c r="AI672" s="260"/>
      <c r="AJ672" s="258" t="s">
        <v>198</v>
      </c>
      <c r="AK672" s="258" t="s">
        <v>185</v>
      </c>
      <c r="AL672" s="258" t="s">
        <v>185</v>
      </c>
      <c r="AM672" s="244" t="s">
        <v>3854</v>
      </c>
      <c r="AN672" s="20">
        <v>182</v>
      </c>
      <c r="AO672" s="20">
        <v>0</v>
      </c>
      <c r="AP672" s="20">
        <v>20</v>
      </c>
      <c r="AQ672" s="20">
        <v>0</v>
      </c>
      <c r="AR672" s="20">
        <v>0</v>
      </c>
      <c r="AS672" s="20">
        <v>7</v>
      </c>
      <c r="AT672" s="20">
        <v>10</v>
      </c>
      <c r="AU672" s="300">
        <f t="shared" si="111"/>
        <v>219</v>
      </c>
      <c r="AV672" s="20">
        <v>190</v>
      </c>
      <c r="AW672" s="20">
        <v>0</v>
      </c>
      <c r="AX672" s="20">
        <v>20</v>
      </c>
      <c r="AY672" s="20">
        <v>0</v>
      </c>
      <c r="AZ672" s="20">
        <v>0</v>
      </c>
      <c r="BA672" s="20">
        <v>7</v>
      </c>
      <c r="BB672" s="20">
        <v>10</v>
      </c>
      <c r="BC672" s="300">
        <f t="shared" si="112"/>
        <v>227</v>
      </c>
      <c r="BD672" s="42">
        <f t="shared" si="113"/>
        <v>8</v>
      </c>
      <c r="BE672" s="42">
        <f t="shared" si="114"/>
        <v>0</v>
      </c>
      <c r="BF672" s="42">
        <f t="shared" si="115"/>
        <v>0</v>
      </c>
      <c r="BG672" s="42">
        <f t="shared" si="116"/>
        <v>0</v>
      </c>
      <c r="BH672" s="42">
        <f t="shared" si="117"/>
        <v>0</v>
      </c>
      <c r="BI672" s="42">
        <f t="shared" si="118"/>
        <v>0</v>
      </c>
      <c r="BJ672" s="42">
        <f t="shared" si="119"/>
        <v>0</v>
      </c>
      <c r="BK672" s="42">
        <f t="shared" si="120"/>
        <v>8</v>
      </c>
    </row>
    <row r="673" spans="1:63" ht="27" customHeight="1">
      <c r="A673" s="222">
        <f t="shared" si="121"/>
        <v>671</v>
      </c>
      <c r="B673" s="223"/>
      <c r="C673" s="250">
        <v>3147</v>
      </c>
      <c r="D673" s="225" t="s">
        <v>4114</v>
      </c>
      <c r="E673" s="251" t="s">
        <v>4115</v>
      </c>
      <c r="F673" s="252" t="s">
        <v>316</v>
      </c>
      <c r="G673" s="253" t="s">
        <v>4116</v>
      </c>
      <c r="H673" s="229" t="s">
        <v>1989</v>
      </c>
      <c r="I673" s="230" t="s">
        <v>4117</v>
      </c>
      <c r="J673" s="254" t="s">
        <v>173</v>
      </c>
      <c r="K673" s="255">
        <v>31879</v>
      </c>
      <c r="L673" s="233" t="s">
        <v>174</v>
      </c>
      <c r="M673" s="256">
        <v>43740</v>
      </c>
      <c r="N673" s="256"/>
      <c r="O673" s="224" t="s">
        <v>4085</v>
      </c>
      <c r="P673" s="222" t="s">
        <v>3770</v>
      </c>
      <c r="Q673" s="222" t="s">
        <v>244</v>
      </c>
      <c r="R673" s="224" t="s">
        <v>177</v>
      </c>
      <c r="S673" s="224" t="s">
        <v>214</v>
      </c>
      <c r="T673" s="235"/>
      <c r="U673" s="257"/>
      <c r="V673" s="258" t="s">
        <v>179</v>
      </c>
      <c r="W673" s="258" t="s">
        <v>179</v>
      </c>
      <c r="X673" s="259">
        <v>3</v>
      </c>
      <c r="Y673" s="251" t="s">
        <v>4118</v>
      </c>
      <c r="Z673" s="258"/>
      <c r="AA673" s="261" t="s">
        <v>181</v>
      </c>
      <c r="AB673" s="258"/>
      <c r="AC673" s="270"/>
      <c r="AD673" s="270"/>
      <c r="AE673" s="270"/>
      <c r="AF673" s="272"/>
      <c r="AG673" s="270"/>
      <c r="AH673" s="260"/>
      <c r="AI673" s="260"/>
      <c r="AJ673" s="258" t="s">
        <v>198</v>
      </c>
      <c r="AK673" s="258" t="s">
        <v>185</v>
      </c>
      <c r="AL673" s="258" t="s">
        <v>185</v>
      </c>
      <c r="AM673" s="244" t="s">
        <v>3854</v>
      </c>
      <c r="AN673" s="20">
        <v>182</v>
      </c>
      <c r="AO673" s="20">
        <v>0</v>
      </c>
      <c r="AP673" s="20">
        <v>20</v>
      </c>
      <c r="AQ673" s="20">
        <v>10</v>
      </c>
      <c r="AR673" s="20">
        <v>0</v>
      </c>
      <c r="AS673" s="20">
        <v>7</v>
      </c>
      <c r="AT673" s="20">
        <v>10</v>
      </c>
      <c r="AU673" s="300">
        <f t="shared" si="111"/>
        <v>229</v>
      </c>
      <c r="AV673" s="20">
        <v>190</v>
      </c>
      <c r="AW673" s="20">
        <v>0</v>
      </c>
      <c r="AX673" s="20">
        <v>20</v>
      </c>
      <c r="AY673" s="20">
        <v>10</v>
      </c>
      <c r="AZ673" s="20">
        <v>0</v>
      </c>
      <c r="BA673" s="20">
        <v>7</v>
      </c>
      <c r="BB673" s="20">
        <v>10</v>
      </c>
      <c r="BC673" s="300">
        <f t="shared" si="112"/>
        <v>237</v>
      </c>
      <c r="BD673" s="42">
        <f t="shared" si="113"/>
        <v>8</v>
      </c>
      <c r="BE673" s="42">
        <f t="shared" si="114"/>
        <v>0</v>
      </c>
      <c r="BF673" s="42">
        <f t="shared" si="115"/>
        <v>0</v>
      </c>
      <c r="BG673" s="42">
        <f t="shared" si="116"/>
        <v>0</v>
      </c>
      <c r="BH673" s="42">
        <f t="shared" si="117"/>
        <v>0</v>
      </c>
      <c r="BI673" s="42">
        <f t="shared" si="118"/>
        <v>0</v>
      </c>
      <c r="BJ673" s="42">
        <f t="shared" si="119"/>
        <v>0</v>
      </c>
      <c r="BK673" s="42">
        <f t="shared" si="120"/>
        <v>8</v>
      </c>
    </row>
    <row r="674" spans="1:63" ht="27" customHeight="1">
      <c r="A674" s="222">
        <f t="shared" si="121"/>
        <v>672</v>
      </c>
      <c r="B674" s="223"/>
      <c r="C674" s="250">
        <v>3184</v>
      </c>
      <c r="D674" s="225" t="s">
        <v>4119</v>
      </c>
      <c r="E674" s="251" t="s">
        <v>4120</v>
      </c>
      <c r="F674" s="252" t="s">
        <v>4121</v>
      </c>
      <c r="G674" s="253" t="s">
        <v>4122</v>
      </c>
      <c r="H674" s="229" t="s">
        <v>294</v>
      </c>
      <c r="I674" s="230" t="s">
        <v>4123</v>
      </c>
      <c r="J674" s="254" t="s">
        <v>173</v>
      </c>
      <c r="K674" s="255">
        <v>34734</v>
      </c>
      <c r="L674" s="233" t="s">
        <v>174</v>
      </c>
      <c r="M674" s="256">
        <v>43740</v>
      </c>
      <c r="N674" s="256"/>
      <c r="O674" s="224" t="s">
        <v>4081</v>
      </c>
      <c r="P674" s="224"/>
      <c r="Q674" s="222" t="s">
        <v>244</v>
      </c>
      <c r="R674" s="224" t="s">
        <v>177</v>
      </c>
      <c r="S674" s="224" t="s">
        <v>428</v>
      </c>
      <c r="T674" s="235"/>
      <c r="U674" s="257"/>
      <c r="V674" s="258" t="s">
        <v>179</v>
      </c>
      <c r="W674" s="258" t="s">
        <v>179</v>
      </c>
      <c r="X674" s="259">
        <v>4</v>
      </c>
      <c r="Y674" s="251" t="s">
        <v>4124</v>
      </c>
      <c r="Z674" s="261" t="s">
        <v>181</v>
      </c>
      <c r="AA674" s="261"/>
      <c r="AB674" s="258"/>
      <c r="AC674" s="270"/>
      <c r="AD674" s="270"/>
      <c r="AE674" s="270"/>
      <c r="AF674" s="272"/>
      <c r="AG674" s="270"/>
      <c r="AH674" s="260"/>
      <c r="AI674" s="260"/>
      <c r="AJ674" s="258" t="s">
        <v>198</v>
      </c>
      <c r="AK674" s="258" t="s">
        <v>185</v>
      </c>
      <c r="AL674" s="258" t="s">
        <v>185</v>
      </c>
      <c r="AM674" s="244" t="s">
        <v>3854</v>
      </c>
      <c r="AN674" s="20">
        <v>182</v>
      </c>
      <c r="AO674" s="20">
        <v>0</v>
      </c>
      <c r="AP674" s="20">
        <v>20</v>
      </c>
      <c r="AQ674" s="20">
        <v>0</v>
      </c>
      <c r="AR674" s="20">
        <v>0</v>
      </c>
      <c r="AS674" s="20">
        <v>7</v>
      </c>
      <c r="AT674" s="20">
        <v>10</v>
      </c>
      <c r="AU674" s="300">
        <f t="shared" si="111"/>
        <v>219</v>
      </c>
      <c r="AV674" s="20">
        <v>190</v>
      </c>
      <c r="AW674" s="20">
        <v>0</v>
      </c>
      <c r="AX674" s="20">
        <v>20</v>
      </c>
      <c r="AY674" s="20">
        <v>0</v>
      </c>
      <c r="AZ674" s="20">
        <v>0</v>
      </c>
      <c r="BA674" s="20">
        <v>7</v>
      </c>
      <c r="BB674" s="20">
        <v>10</v>
      </c>
      <c r="BC674" s="300">
        <f t="shared" si="112"/>
        <v>227</v>
      </c>
      <c r="BD674" s="42">
        <f t="shared" si="113"/>
        <v>8</v>
      </c>
      <c r="BE674" s="42">
        <f t="shared" si="114"/>
        <v>0</v>
      </c>
      <c r="BF674" s="42">
        <f t="shared" si="115"/>
        <v>0</v>
      </c>
      <c r="BG674" s="42">
        <f t="shared" si="116"/>
        <v>0</v>
      </c>
      <c r="BH674" s="42">
        <f t="shared" si="117"/>
        <v>0</v>
      </c>
      <c r="BI674" s="42">
        <f t="shared" si="118"/>
        <v>0</v>
      </c>
      <c r="BJ674" s="42">
        <f t="shared" si="119"/>
        <v>0</v>
      </c>
      <c r="BK674" s="42">
        <f t="shared" si="120"/>
        <v>8</v>
      </c>
    </row>
    <row r="675" spans="1:63" ht="27" customHeight="1">
      <c r="A675" s="222">
        <f t="shared" si="121"/>
        <v>673</v>
      </c>
      <c r="B675" s="223"/>
      <c r="C675" s="250">
        <v>3204</v>
      </c>
      <c r="D675" s="225" t="s">
        <v>4125</v>
      </c>
      <c r="E675" s="251" t="s">
        <v>4126</v>
      </c>
      <c r="F675" s="252" t="s">
        <v>4127</v>
      </c>
      <c r="G675" s="253" t="s">
        <v>4128</v>
      </c>
      <c r="H675" s="229" t="s">
        <v>1631</v>
      </c>
      <c r="I675" s="230" t="s">
        <v>4129</v>
      </c>
      <c r="J675" s="254" t="s">
        <v>204</v>
      </c>
      <c r="K675" s="255">
        <v>32952</v>
      </c>
      <c r="L675" s="233" t="s">
        <v>174</v>
      </c>
      <c r="M675" s="256">
        <v>43740</v>
      </c>
      <c r="N675" s="256"/>
      <c r="O675" s="224" t="s">
        <v>4032</v>
      </c>
      <c r="P675" s="222" t="s">
        <v>3765</v>
      </c>
      <c r="Q675" s="222" t="s">
        <v>244</v>
      </c>
      <c r="R675" s="224" t="s">
        <v>177</v>
      </c>
      <c r="S675" s="224" t="s">
        <v>178</v>
      </c>
      <c r="T675" s="235"/>
      <c r="U675" s="257"/>
      <c r="V675" s="258" t="s">
        <v>179</v>
      </c>
      <c r="W675" s="258" t="s">
        <v>179</v>
      </c>
      <c r="X675" s="259">
        <v>1</v>
      </c>
      <c r="Y675" s="251" t="s">
        <v>4130</v>
      </c>
      <c r="Z675" s="261"/>
      <c r="AA675" s="261" t="s">
        <v>181</v>
      </c>
      <c r="AB675" s="258"/>
      <c r="AC675" s="270"/>
      <c r="AD675" s="270"/>
      <c r="AE675" s="270"/>
      <c r="AF675" s="272"/>
      <c r="AG675" s="270"/>
      <c r="AH675" s="260"/>
      <c r="AI675" s="260"/>
      <c r="AJ675" s="258" t="s">
        <v>185</v>
      </c>
      <c r="AK675" s="258" t="s">
        <v>185</v>
      </c>
      <c r="AL675" s="258" t="s">
        <v>185</v>
      </c>
      <c r="AM675" s="244" t="s">
        <v>3854</v>
      </c>
      <c r="AN675" s="20">
        <v>182</v>
      </c>
      <c r="AO675" s="20">
        <v>0</v>
      </c>
      <c r="AP675" s="20">
        <v>0</v>
      </c>
      <c r="AQ675" s="20">
        <v>0</v>
      </c>
      <c r="AR675" s="20">
        <v>0</v>
      </c>
      <c r="AS675" s="20">
        <v>7</v>
      </c>
      <c r="AT675" s="20">
        <v>10</v>
      </c>
      <c r="AU675" s="300">
        <f t="shared" si="111"/>
        <v>199</v>
      </c>
      <c r="AV675" s="20">
        <v>190</v>
      </c>
      <c r="AW675" s="20">
        <v>0</v>
      </c>
      <c r="AX675" s="20">
        <v>0</v>
      </c>
      <c r="AY675" s="20">
        <v>0</v>
      </c>
      <c r="AZ675" s="20">
        <v>0</v>
      </c>
      <c r="BA675" s="20">
        <v>7</v>
      </c>
      <c r="BB675" s="20">
        <v>10</v>
      </c>
      <c r="BC675" s="300">
        <f t="shared" si="112"/>
        <v>207</v>
      </c>
      <c r="BD675" s="42">
        <f t="shared" si="113"/>
        <v>8</v>
      </c>
      <c r="BE675" s="42">
        <f t="shared" si="114"/>
        <v>0</v>
      </c>
      <c r="BF675" s="42">
        <f t="shared" si="115"/>
        <v>0</v>
      </c>
      <c r="BG675" s="42">
        <f t="shared" si="116"/>
        <v>0</v>
      </c>
      <c r="BH675" s="42">
        <f t="shared" si="117"/>
        <v>0</v>
      </c>
      <c r="BI675" s="42">
        <f t="shared" si="118"/>
        <v>0</v>
      </c>
      <c r="BJ675" s="42">
        <f t="shared" si="119"/>
        <v>0</v>
      </c>
      <c r="BK675" s="42">
        <f t="shared" si="120"/>
        <v>8</v>
      </c>
    </row>
    <row r="676" spans="1:63" ht="27" customHeight="1">
      <c r="A676" s="222">
        <f t="shared" si="121"/>
        <v>674</v>
      </c>
      <c r="B676" s="223"/>
      <c r="C676" s="250">
        <v>3261</v>
      </c>
      <c r="D676" s="225" t="s">
        <v>4131</v>
      </c>
      <c r="E676" s="251" t="s">
        <v>4132</v>
      </c>
      <c r="F676" s="252" t="s">
        <v>4133</v>
      </c>
      <c r="G676" s="253" t="s">
        <v>4134</v>
      </c>
      <c r="H676" s="229" t="s">
        <v>944</v>
      </c>
      <c r="I676" s="230" t="s">
        <v>4135</v>
      </c>
      <c r="J676" s="254" t="s">
        <v>204</v>
      </c>
      <c r="K676" s="255">
        <v>32123</v>
      </c>
      <c r="L676" s="233" t="s">
        <v>174</v>
      </c>
      <c r="M676" s="256">
        <v>43746</v>
      </c>
      <c r="N676" s="256"/>
      <c r="O676" s="224" t="s">
        <v>3973</v>
      </c>
      <c r="P676" s="222" t="s">
        <v>3633</v>
      </c>
      <c r="Q676" s="222" t="s">
        <v>244</v>
      </c>
      <c r="R676" s="224" t="s">
        <v>177</v>
      </c>
      <c r="S676" s="224" t="s">
        <v>223</v>
      </c>
      <c r="T676" s="235"/>
      <c r="U676" s="257"/>
      <c r="V676" s="258" t="s">
        <v>179</v>
      </c>
      <c r="W676" s="258" t="s">
        <v>179</v>
      </c>
      <c r="X676" s="259">
        <v>6</v>
      </c>
      <c r="Y676" s="251" t="s">
        <v>4136</v>
      </c>
      <c r="Z676" s="258"/>
      <c r="AA676" s="261"/>
      <c r="AB676" s="258"/>
      <c r="AC676" s="270"/>
      <c r="AD676" s="270"/>
      <c r="AE676" s="270"/>
      <c r="AF676" s="272"/>
      <c r="AG676" s="270"/>
      <c r="AH676" s="260"/>
      <c r="AI676" s="260"/>
      <c r="AJ676" s="258" t="s">
        <v>198</v>
      </c>
      <c r="AK676" s="258" t="s">
        <v>185</v>
      </c>
      <c r="AL676" s="258" t="s">
        <v>185</v>
      </c>
      <c r="AM676" s="244" t="s">
        <v>236</v>
      </c>
      <c r="AN676" s="20">
        <v>182</v>
      </c>
      <c r="AO676" s="20">
        <v>0</v>
      </c>
      <c r="AP676" s="20">
        <v>20</v>
      </c>
      <c r="AQ676" s="20">
        <v>10</v>
      </c>
      <c r="AR676" s="20">
        <v>0</v>
      </c>
      <c r="AS676" s="20">
        <v>7</v>
      </c>
      <c r="AT676" s="20">
        <v>10</v>
      </c>
      <c r="AU676" s="300">
        <f t="shared" si="111"/>
        <v>229</v>
      </c>
      <c r="AV676" s="20">
        <v>190</v>
      </c>
      <c r="AW676" s="20">
        <v>0</v>
      </c>
      <c r="AX676" s="20">
        <v>20</v>
      </c>
      <c r="AY676" s="20">
        <v>10</v>
      </c>
      <c r="AZ676" s="20">
        <v>0</v>
      </c>
      <c r="BA676" s="20">
        <v>7</v>
      </c>
      <c r="BB676" s="20">
        <v>10</v>
      </c>
      <c r="BC676" s="300">
        <f t="shared" si="112"/>
        <v>237</v>
      </c>
      <c r="BD676" s="42">
        <f t="shared" si="113"/>
        <v>8</v>
      </c>
      <c r="BE676" s="42">
        <f t="shared" si="114"/>
        <v>0</v>
      </c>
      <c r="BF676" s="42">
        <f t="shared" si="115"/>
        <v>0</v>
      </c>
      <c r="BG676" s="42">
        <f t="shared" si="116"/>
        <v>0</v>
      </c>
      <c r="BH676" s="42">
        <f t="shared" si="117"/>
        <v>0</v>
      </c>
      <c r="BI676" s="42">
        <f t="shared" si="118"/>
        <v>0</v>
      </c>
      <c r="BJ676" s="42">
        <f t="shared" si="119"/>
        <v>0</v>
      </c>
      <c r="BK676" s="42">
        <f t="shared" si="120"/>
        <v>8</v>
      </c>
    </row>
    <row r="677" spans="1:63" ht="27" customHeight="1">
      <c r="A677" s="222">
        <f t="shared" si="121"/>
        <v>675</v>
      </c>
      <c r="B677" s="223"/>
      <c r="C677" s="250">
        <v>3153</v>
      </c>
      <c r="D677" s="225" t="s">
        <v>4137</v>
      </c>
      <c r="E677" s="251" t="s">
        <v>4138</v>
      </c>
      <c r="F677" s="252" t="s">
        <v>467</v>
      </c>
      <c r="G677" s="253" t="s">
        <v>2986</v>
      </c>
      <c r="H677" s="229" t="s">
        <v>469</v>
      </c>
      <c r="I677" s="230" t="s">
        <v>4139</v>
      </c>
      <c r="J677" s="254" t="s">
        <v>173</v>
      </c>
      <c r="K677" s="255">
        <v>33893</v>
      </c>
      <c r="L677" s="233" t="s">
        <v>174</v>
      </c>
      <c r="M677" s="256">
        <v>43740</v>
      </c>
      <c r="N677" s="256"/>
      <c r="O677" s="224" t="s">
        <v>4085</v>
      </c>
      <c r="P677" s="222" t="s">
        <v>3770</v>
      </c>
      <c r="Q677" s="222" t="s">
        <v>244</v>
      </c>
      <c r="R677" s="224" t="s">
        <v>177</v>
      </c>
      <c r="S677" s="224" t="s">
        <v>206</v>
      </c>
      <c r="T677" s="235"/>
      <c r="U677" s="257"/>
      <c r="V677" s="258" t="s">
        <v>179</v>
      </c>
      <c r="W677" s="258" t="s">
        <v>179</v>
      </c>
      <c r="X677" s="259">
        <v>3</v>
      </c>
      <c r="Y677" s="251" t="s">
        <v>4140</v>
      </c>
      <c r="Z677" s="258"/>
      <c r="AA677" s="261" t="s">
        <v>181</v>
      </c>
      <c r="AB677" s="258"/>
      <c r="AC677" s="270"/>
      <c r="AD677" s="270"/>
      <c r="AE677" s="270"/>
      <c r="AF677" s="272"/>
      <c r="AG677" s="270"/>
      <c r="AH677" s="260"/>
      <c r="AI677" s="260"/>
      <c r="AJ677" s="258" t="s">
        <v>198</v>
      </c>
      <c r="AK677" s="258" t="s">
        <v>185</v>
      </c>
      <c r="AL677" s="258" t="s">
        <v>185</v>
      </c>
      <c r="AM677" s="244" t="s">
        <v>3854</v>
      </c>
      <c r="AN677" s="20">
        <v>182</v>
      </c>
      <c r="AO677" s="20">
        <v>0</v>
      </c>
      <c r="AP677" s="20">
        <v>20</v>
      </c>
      <c r="AQ677" s="20">
        <v>0</v>
      </c>
      <c r="AR677" s="20">
        <v>0</v>
      </c>
      <c r="AS677" s="20">
        <v>7</v>
      </c>
      <c r="AT677" s="20">
        <v>10</v>
      </c>
      <c r="AU677" s="300">
        <f t="shared" si="111"/>
        <v>219</v>
      </c>
      <c r="AV677" s="20">
        <v>190</v>
      </c>
      <c r="AW677" s="20">
        <v>0</v>
      </c>
      <c r="AX677" s="20">
        <v>20</v>
      </c>
      <c r="AY677" s="20">
        <v>0</v>
      </c>
      <c r="AZ677" s="20">
        <v>0</v>
      </c>
      <c r="BA677" s="20">
        <v>7</v>
      </c>
      <c r="BB677" s="20">
        <v>10</v>
      </c>
      <c r="BC677" s="300">
        <f t="shared" si="112"/>
        <v>227</v>
      </c>
      <c r="BD677" s="42">
        <f t="shared" si="113"/>
        <v>8</v>
      </c>
      <c r="BE677" s="42">
        <f t="shared" si="114"/>
        <v>0</v>
      </c>
      <c r="BF677" s="42">
        <f t="shared" si="115"/>
        <v>0</v>
      </c>
      <c r="BG677" s="42">
        <f t="shared" si="116"/>
        <v>0</v>
      </c>
      <c r="BH677" s="42">
        <f t="shared" si="117"/>
        <v>0</v>
      </c>
      <c r="BI677" s="42">
        <f t="shared" si="118"/>
        <v>0</v>
      </c>
      <c r="BJ677" s="42">
        <f t="shared" si="119"/>
        <v>0</v>
      </c>
      <c r="BK677" s="42">
        <f t="shared" si="120"/>
        <v>8</v>
      </c>
    </row>
    <row r="678" spans="1:63" ht="27" customHeight="1">
      <c r="A678" s="222">
        <f t="shared" si="121"/>
        <v>676</v>
      </c>
      <c r="B678" s="223"/>
      <c r="C678" s="250">
        <v>3211</v>
      </c>
      <c r="D678" s="225" t="s">
        <v>4141</v>
      </c>
      <c r="E678" s="251" t="s">
        <v>4142</v>
      </c>
      <c r="F678" s="252" t="s">
        <v>4143</v>
      </c>
      <c r="G678" s="253" t="s">
        <v>4144</v>
      </c>
      <c r="H678" s="275" t="s">
        <v>4145</v>
      </c>
      <c r="I678" s="230" t="s">
        <v>4146</v>
      </c>
      <c r="J678" s="254" t="s">
        <v>204</v>
      </c>
      <c r="K678" s="255">
        <v>32572</v>
      </c>
      <c r="L678" s="233" t="s">
        <v>174</v>
      </c>
      <c r="M678" s="256">
        <v>43742</v>
      </c>
      <c r="N678" s="256"/>
      <c r="O678" s="224" t="s">
        <v>4147</v>
      </c>
      <c r="P678" s="222" t="s">
        <v>3945</v>
      </c>
      <c r="Q678" s="222" t="s">
        <v>244</v>
      </c>
      <c r="R678" s="224" t="s">
        <v>3955</v>
      </c>
      <c r="S678" s="224" t="s">
        <v>1201</v>
      </c>
      <c r="T678" s="235" t="s">
        <v>4148</v>
      </c>
      <c r="U678" s="257">
        <v>43789</v>
      </c>
      <c r="V678" s="258" t="s">
        <v>179</v>
      </c>
      <c r="W678" s="258" t="s">
        <v>179</v>
      </c>
      <c r="X678" s="259">
        <v>5</v>
      </c>
      <c r="Y678" s="251" t="s">
        <v>4149</v>
      </c>
      <c r="Z678" s="261" t="s">
        <v>181</v>
      </c>
      <c r="AA678" s="258"/>
      <c r="AB678" s="258"/>
      <c r="AC678" s="270"/>
      <c r="AD678" s="270"/>
      <c r="AE678" s="270"/>
      <c r="AF678" s="272"/>
      <c r="AG678" s="270"/>
      <c r="AH678" s="260"/>
      <c r="AI678" s="260"/>
      <c r="AJ678" s="258" t="s">
        <v>198</v>
      </c>
      <c r="AK678" s="258" t="s">
        <v>185</v>
      </c>
      <c r="AL678" s="258" t="s">
        <v>185</v>
      </c>
      <c r="AM678" s="244" t="s">
        <v>3854</v>
      </c>
      <c r="AN678" s="20">
        <v>182</v>
      </c>
      <c r="AO678" s="20">
        <v>0</v>
      </c>
      <c r="AP678" s="20">
        <v>0</v>
      </c>
      <c r="AQ678" s="20">
        <v>0</v>
      </c>
      <c r="AR678" s="20">
        <v>0</v>
      </c>
      <c r="AS678" s="20">
        <v>7</v>
      </c>
      <c r="AT678" s="20">
        <v>10</v>
      </c>
      <c r="AU678" s="300">
        <f t="shared" si="111"/>
        <v>199</v>
      </c>
      <c r="AV678" s="20">
        <v>190</v>
      </c>
      <c r="AW678" s="20">
        <v>0</v>
      </c>
      <c r="AX678" s="20">
        <v>0</v>
      </c>
      <c r="AY678" s="20">
        <v>0</v>
      </c>
      <c r="AZ678" s="20">
        <v>0</v>
      </c>
      <c r="BA678" s="20">
        <v>7</v>
      </c>
      <c r="BB678" s="20">
        <v>10</v>
      </c>
      <c r="BC678" s="300">
        <f t="shared" si="112"/>
        <v>207</v>
      </c>
      <c r="BD678" s="42">
        <f t="shared" si="113"/>
        <v>8</v>
      </c>
      <c r="BE678" s="42">
        <f t="shared" si="114"/>
        <v>0</v>
      </c>
      <c r="BF678" s="42">
        <f t="shared" si="115"/>
        <v>0</v>
      </c>
      <c r="BG678" s="42">
        <f t="shared" si="116"/>
        <v>0</v>
      </c>
      <c r="BH678" s="42">
        <f t="shared" si="117"/>
        <v>0</v>
      </c>
      <c r="BI678" s="42">
        <f t="shared" si="118"/>
        <v>0</v>
      </c>
      <c r="BJ678" s="42">
        <f t="shared" si="119"/>
        <v>0</v>
      </c>
      <c r="BK678" s="42">
        <f t="shared" si="120"/>
        <v>8</v>
      </c>
    </row>
    <row r="679" spans="1:63" ht="27" customHeight="1">
      <c r="A679" s="222">
        <f t="shared" si="121"/>
        <v>677</v>
      </c>
      <c r="B679" s="223"/>
      <c r="C679" s="250">
        <v>3597</v>
      </c>
      <c r="D679" s="225" t="s">
        <v>4150</v>
      </c>
      <c r="E679" s="251" t="s">
        <v>4151</v>
      </c>
      <c r="F679" s="252" t="s">
        <v>2545</v>
      </c>
      <c r="G679" s="253" t="s">
        <v>2236</v>
      </c>
      <c r="H679" s="229" t="s">
        <v>1642</v>
      </c>
      <c r="I679" s="230" t="s">
        <v>2237</v>
      </c>
      <c r="J679" s="254" t="s">
        <v>173</v>
      </c>
      <c r="K679" s="255">
        <v>34799</v>
      </c>
      <c r="L679" s="233" t="s">
        <v>174</v>
      </c>
      <c r="M679" s="256">
        <v>43747</v>
      </c>
      <c r="N679" s="256"/>
      <c r="O679" s="224"/>
      <c r="P679" s="222" t="s">
        <v>3749</v>
      </c>
      <c r="Q679" s="222" t="s">
        <v>244</v>
      </c>
      <c r="R679" s="224" t="s">
        <v>177</v>
      </c>
      <c r="S679" s="224" t="s">
        <v>223</v>
      </c>
      <c r="T679" s="235"/>
      <c r="U679" s="257"/>
      <c r="V679" s="258" t="s">
        <v>179</v>
      </c>
      <c r="W679" s="258" t="s">
        <v>179</v>
      </c>
      <c r="X679" s="259">
        <v>8</v>
      </c>
      <c r="Y679" s="251" t="s">
        <v>4152</v>
      </c>
      <c r="Z679" s="261"/>
      <c r="AA679" s="261"/>
      <c r="AB679" s="261"/>
      <c r="AC679" s="271"/>
      <c r="AD679" s="271"/>
      <c r="AE679" s="271"/>
      <c r="AF679" s="272"/>
      <c r="AG679" s="270"/>
      <c r="AH679" s="260"/>
      <c r="AI679" s="260"/>
      <c r="AJ679" s="258" t="s">
        <v>185</v>
      </c>
      <c r="AK679" s="258" t="s">
        <v>185</v>
      </c>
      <c r="AL679" s="258" t="s">
        <v>185</v>
      </c>
      <c r="AM679" s="273"/>
      <c r="AN679" s="20">
        <v>182</v>
      </c>
      <c r="AO679" s="20">
        <v>0</v>
      </c>
      <c r="AP679" s="20">
        <v>20</v>
      </c>
      <c r="AQ679" s="20">
        <v>0</v>
      </c>
      <c r="AR679" s="20">
        <v>0</v>
      </c>
      <c r="AS679" s="20">
        <v>7</v>
      </c>
      <c r="AT679" s="20">
        <v>10</v>
      </c>
      <c r="AU679" s="300">
        <f t="shared" si="111"/>
        <v>219</v>
      </c>
      <c r="AV679" s="20">
        <v>190</v>
      </c>
      <c r="AW679" s="20">
        <v>0</v>
      </c>
      <c r="AX679" s="20">
        <v>20</v>
      </c>
      <c r="AY679" s="20">
        <v>0</v>
      </c>
      <c r="AZ679" s="20">
        <v>0</v>
      </c>
      <c r="BA679" s="20">
        <v>7</v>
      </c>
      <c r="BB679" s="20">
        <v>10</v>
      </c>
      <c r="BC679" s="300">
        <f t="shared" si="112"/>
        <v>227</v>
      </c>
      <c r="BD679" s="42">
        <f t="shared" si="113"/>
        <v>8</v>
      </c>
      <c r="BE679" s="42">
        <f t="shared" si="114"/>
        <v>0</v>
      </c>
      <c r="BF679" s="42">
        <f t="shared" si="115"/>
        <v>0</v>
      </c>
      <c r="BG679" s="42">
        <f t="shared" si="116"/>
        <v>0</v>
      </c>
      <c r="BH679" s="42">
        <f t="shared" si="117"/>
        <v>0</v>
      </c>
      <c r="BI679" s="42">
        <f t="shared" si="118"/>
        <v>0</v>
      </c>
      <c r="BJ679" s="42">
        <f t="shared" si="119"/>
        <v>0</v>
      </c>
      <c r="BK679" s="42">
        <f t="shared" si="120"/>
        <v>8</v>
      </c>
    </row>
    <row r="680" spans="1:63" ht="27" customHeight="1">
      <c r="A680" s="222">
        <f t="shared" si="121"/>
        <v>678</v>
      </c>
      <c r="B680" s="223"/>
      <c r="C680" s="250">
        <v>3209</v>
      </c>
      <c r="D680" s="225" t="s">
        <v>4153</v>
      </c>
      <c r="E680" s="251" t="s">
        <v>4154</v>
      </c>
      <c r="F680" s="252" t="s">
        <v>3016</v>
      </c>
      <c r="G680" s="253" t="s">
        <v>4155</v>
      </c>
      <c r="H680" s="229" t="s">
        <v>3915</v>
      </c>
      <c r="I680" s="230" t="s">
        <v>4156</v>
      </c>
      <c r="J680" s="254" t="s">
        <v>204</v>
      </c>
      <c r="K680" s="255">
        <v>31786</v>
      </c>
      <c r="L680" s="233" t="s">
        <v>174</v>
      </c>
      <c r="M680" s="256">
        <v>43741</v>
      </c>
      <c r="N680" s="256"/>
      <c r="O680" s="224" t="s">
        <v>4076</v>
      </c>
      <c r="P680" s="222" t="s">
        <v>313</v>
      </c>
      <c r="Q680" s="222" t="s">
        <v>244</v>
      </c>
      <c r="R680" s="224" t="s">
        <v>177</v>
      </c>
      <c r="S680" s="224" t="s">
        <v>223</v>
      </c>
      <c r="T680" s="235"/>
      <c r="U680" s="257"/>
      <c r="V680" s="258" t="s">
        <v>179</v>
      </c>
      <c r="W680" s="258" t="s">
        <v>179</v>
      </c>
      <c r="X680" s="259">
        <v>6</v>
      </c>
      <c r="Y680" s="251" t="s">
        <v>4157</v>
      </c>
      <c r="Z680" s="261"/>
      <c r="AA680" s="261" t="s">
        <v>181</v>
      </c>
      <c r="AB680" s="261"/>
      <c r="AC680" s="271"/>
      <c r="AD680" s="271"/>
      <c r="AE680" s="270"/>
      <c r="AF680" s="272"/>
      <c r="AG680" s="270"/>
      <c r="AH680" s="260"/>
      <c r="AI680" s="260"/>
      <c r="AJ680" s="258" t="s">
        <v>198</v>
      </c>
      <c r="AK680" s="258" t="s">
        <v>185</v>
      </c>
      <c r="AL680" s="258" t="s">
        <v>185</v>
      </c>
      <c r="AM680" s="244" t="s">
        <v>3854</v>
      </c>
      <c r="AN680" s="20">
        <v>182</v>
      </c>
      <c r="AO680" s="20">
        <v>0</v>
      </c>
      <c r="AP680" s="20">
        <v>20</v>
      </c>
      <c r="AQ680" s="20">
        <v>0</v>
      </c>
      <c r="AR680" s="20">
        <v>0</v>
      </c>
      <c r="AS680" s="20">
        <v>7</v>
      </c>
      <c r="AT680" s="20">
        <v>10</v>
      </c>
      <c r="AU680" s="300">
        <f t="shared" si="111"/>
        <v>219</v>
      </c>
      <c r="AV680" s="20">
        <v>190</v>
      </c>
      <c r="AW680" s="20">
        <v>0</v>
      </c>
      <c r="AX680" s="20">
        <v>20</v>
      </c>
      <c r="AY680" s="20">
        <v>0</v>
      </c>
      <c r="AZ680" s="20">
        <v>0</v>
      </c>
      <c r="BA680" s="20">
        <v>7</v>
      </c>
      <c r="BB680" s="20">
        <v>10</v>
      </c>
      <c r="BC680" s="300">
        <f t="shared" si="112"/>
        <v>227</v>
      </c>
      <c r="BD680" s="42">
        <f t="shared" si="113"/>
        <v>8</v>
      </c>
      <c r="BE680" s="42">
        <f t="shared" si="114"/>
        <v>0</v>
      </c>
      <c r="BF680" s="42">
        <f t="shared" si="115"/>
        <v>0</v>
      </c>
      <c r="BG680" s="42">
        <f t="shared" si="116"/>
        <v>0</v>
      </c>
      <c r="BH680" s="42">
        <f t="shared" si="117"/>
        <v>0</v>
      </c>
      <c r="BI680" s="42">
        <f t="shared" si="118"/>
        <v>0</v>
      </c>
      <c r="BJ680" s="42">
        <f t="shared" si="119"/>
        <v>0</v>
      </c>
      <c r="BK680" s="42">
        <f t="shared" si="120"/>
        <v>8</v>
      </c>
    </row>
    <row r="681" spans="1:63" ht="27" customHeight="1">
      <c r="A681" s="222">
        <f t="shared" si="121"/>
        <v>679</v>
      </c>
      <c r="B681" s="223"/>
      <c r="C681" s="250">
        <v>3532</v>
      </c>
      <c r="D681" s="225" t="s">
        <v>4158</v>
      </c>
      <c r="E681" s="251" t="s">
        <v>4159</v>
      </c>
      <c r="F681" s="252" t="s">
        <v>4160</v>
      </c>
      <c r="G681" s="253" t="s">
        <v>2016</v>
      </c>
      <c r="H681" s="229" t="s">
        <v>4161</v>
      </c>
      <c r="I681" s="230" t="s">
        <v>902</v>
      </c>
      <c r="J681" s="254" t="s">
        <v>204</v>
      </c>
      <c r="K681" s="255">
        <v>30806</v>
      </c>
      <c r="L681" s="233" t="s">
        <v>174</v>
      </c>
      <c r="M681" s="256">
        <v>43746</v>
      </c>
      <c r="N681" s="256"/>
      <c r="O681" s="224" t="s">
        <v>4019</v>
      </c>
      <c r="P681" s="222" t="s">
        <v>3954</v>
      </c>
      <c r="Q681" s="222" t="s">
        <v>244</v>
      </c>
      <c r="R681" s="224" t="s">
        <v>177</v>
      </c>
      <c r="S681" s="224" t="s">
        <v>206</v>
      </c>
      <c r="T681" s="235"/>
      <c r="U681" s="257"/>
      <c r="V681" s="258" t="s">
        <v>179</v>
      </c>
      <c r="W681" s="258" t="s">
        <v>179</v>
      </c>
      <c r="X681" s="259">
        <v>4</v>
      </c>
      <c r="Y681" s="251" t="s">
        <v>4162</v>
      </c>
      <c r="Z681" s="261"/>
      <c r="AA681" s="261"/>
      <c r="AB681" s="261"/>
      <c r="AC681" s="271"/>
      <c r="AD681" s="271"/>
      <c r="AE681" s="271"/>
      <c r="AF681" s="272"/>
      <c r="AG681" s="270"/>
      <c r="AH681" s="260"/>
      <c r="AI681" s="260"/>
      <c r="AJ681" s="258" t="s">
        <v>185</v>
      </c>
      <c r="AK681" s="258" t="s">
        <v>185</v>
      </c>
      <c r="AL681" s="258" t="s">
        <v>185</v>
      </c>
      <c r="AM681" s="273"/>
      <c r="AN681" s="20">
        <v>182</v>
      </c>
      <c r="AO681" s="20">
        <v>0</v>
      </c>
      <c r="AP681" s="20">
        <v>20</v>
      </c>
      <c r="AQ681" s="20">
        <v>0</v>
      </c>
      <c r="AR681" s="20">
        <v>0</v>
      </c>
      <c r="AS681" s="20">
        <v>7</v>
      </c>
      <c r="AT681" s="20">
        <v>10</v>
      </c>
      <c r="AU681" s="300">
        <f t="shared" si="111"/>
        <v>219</v>
      </c>
      <c r="AV681" s="20">
        <v>190</v>
      </c>
      <c r="AW681" s="20">
        <v>0</v>
      </c>
      <c r="AX681" s="20">
        <v>20</v>
      </c>
      <c r="AY681" s="20">
        <v>0</v>
      </c>
      <c r="AZ681" s="20">
        <v>0</v>
      </c>
      <c r="BA681" s="20">
        <v>7</v>
      </c>
      <c r="BB681" s="20">
        <v>10</v>
      </c>
      <c r="BC681" s="300">
        <f t="shared" si="112"/>
        <v>227</v>
      </c>
      <c r="BD681" s="42">
        <f t="shared" si="113"/>
        <v>8</v>
      </c>
      <c r="BE681" s="42">
        <f t="shared" si="114"/>
        <v>0</v>
      </c>
      <c r="BF681" s="42">
        <f t="shared" si="115"/>
        <v>0</v>
      </c>
      <c r="BG681" s="42">
        <f t="shared" si="116"/>
        <v>0</v>
      </c>
      <c r="BH681" s="42">
        <f t="shared" si="117"/>
        <v>0</v>
      </c>
      <c r="BI681" s="42">
        <f t="shared" si="118"/>
        <v>0</v>
      </c>
      <c r="BJ681" s="42">
        <f t="shared" si="119"/>
        <v>0</v>
      </c>
      <c r="BK681" s="42">
        <f t="shared" si="120"/>
        <v>8</v>
      </c>
    </row>
    <row r="682" spans="1:63" ht="27" customHeight="1">
      <c r="A682" s="222">
        <f t="shared" si="121"/>
        <v>680</v>
      </c>
      <c r="B682" s="223"/>
      <c r="C682" s="250">
        <v>3234</v>
      </c>
      <c r="D682" s="225" t="s">
        <v>4163</v>
      </c>
      <c r="E682" s="251" t="s">
        <v>4164</v>
      </c>
      <c r="F682" s="252" t="s">
        <v>2093</v>
      </c>
      <c r="G682" s="253" t="s">
        <v>4165</v>
      </c>
      <c r="H682" s="229" t="s">
        <v>4166</v>
      </c>
      <c r="I682" s="230" t="s">
        <v>4111</v>
      </c>
      <c r="J682" s="254" t="s">
        <v>173</v>
      </c>
      <c r="K682" s="255">
        <v>32357</v>
      </c>
      <c r="L682" s="233" t="s">
        <v>174</v>
      </c>
      <c r="M682" s="256">
        <v>43742</v>
      </c>
      <c r="N682" s="256"/>
      <c r="O682" s="224" t="s">
        <v>4085</v>
      </c>
      <c r="P682" s="222" t="s">
        <v>3770</v>
      </c>
      <c r="Q682" s="222" t="s">
        <v>244</v>
      </c>
      <c r="R682" s="224" t="s">
        <v>177</v>
      </c>
      <c r="S682" s="224" t="s">
        <v>214</v>
      </c>
      <c r="T682" s="235"/>
      <c r="U682" s="257"/>
      <c r="V682" s="258" t="s">
        <v>179</v>
      </c>
      <c r="W682" s="258" t="s">
        <v>179</v>
      </c>
      <c r="X682" s="259">
        <v>3</v>
      </c>
      <c r="Y682" s="251" t="s">
        <v>4167</v>
      </c>
      <c r="Z682" s="261"/>
      <c r="AA682" s="261"/>
      <c r="AB682" s="261" t="s">
        <v>181</v>
      </c>
      <c r="AC682" s="271"/>
      <c r="AD682" s="270"/>
      <c r="AE682" s="270"/>
      <c r="AF682" s="272"/>
      <c r="AG682" s="270"/>
      <c r="AH682" s="260"/>
      <c r="AI682" s="260"/>
      <c r="AJ682" s="258" t="s">
        <v>185</v>
      </c>
      <c r="AK682" s="258" t="s">
        <v>185</v>
      </c>
      <c r="AL682" s="258" t="s">
        <v>185</v>
      </c>
      <c r="AM682" s="273" t="s">
        <v>3962</v>
      </c>
      <c r="AN682" s="20">
        <v>182</v>
      </c>
      <c r="AO682" s="20">
        <v>0</v>
      </c>
      <c r="AP682" s="20">
        <v>20</v>
      </c>
      <c r="AQ682" s="20">
        <v>0</v>
      </c>
      <c r="AR682" s="20">
        <v>0</v>
      </c>
      <c r="AS682" s="20">
        <v>7</v>
      </c>
      <c r="AT682" s="20">
        <v>10</v>
      </c>
      <c r="AU682" s="300">
        <f t="shared" si="111"/>
        <v>219</v>
      </c>
      <c r="AV682" s="20">
        <v>190</v>
      </c>
      <c r="AW682" s="20">
        <v>0</v>
      </c>
      <c r="AX682" s="20">
        <v>20</v>
      </c>
      <c r="AY682" s="20">
        <v>0</v>
      </c>
      <c r="AZ682" s="20">
        <v>0</v>
      </c>
      <c r="BA682" s="20">
        <v>7</v>
      </c>
      <c r="BB682" s="20">
        <v>10</v>
      </c>
      <c r="BC682" s="300">
        <f t="shared" si="112"/>
        <v>227</v>
      </c>
      <c r="BD682" s="42">
        <f t="shared" si="113"/>
        <v>8</v>
      </c>
      <c r="BE682" s="42">
        <f t="shared" si="114"/>
        <v>0</v>
      </c>
      <c r="BF682" s="42">
        <f t="shared" si="115"/>
        <v>0</v>
      </c>
      <c r="BG682" s="42">
        <f t="shared" si="116"/>
        <v>0</v>
      </c>
      <c r="BH682" s="42">
        <f t="shared" si="117"/>
        <v>0</v>
      </c>
      <c r="BI682" s="42">
        <f t="shared" si="118"/>
        <v>0</v>
      </c>
      <c r="BJ682" s="42">
        <f t="shared" si="119"/>
        <v>0</v>
      </c>
      <c r="BK682" s="42">
        <f t="shared" si="120"/>
        <v>8</v>
      </c>
    </row>
    <row r="683" spans="1:63" ht="27" customHeight="1">
      <c r="A683" s="222">
        <f t="shared" si="121"/>
        <v>681</v>
      </c>
      <c r="B683" s="223"/>
      <c r="C683" s="250">
        <v>3191</v>
      </c>
      <c r="D683" s="268">
        <v>0</v>
      </c>
      <c r="E683" s="251" t="s">
        <v>4168</v>
      </c>
      <c r="F683" s="252" t="s">
        <v>4169</v>
      </c>
      <c r="G683" s="253" t="s">
        <v>562</v>
      </c>
      <c r="H683" s="229" t="s">
        <v>4170</v>
      </c>
      <c r="I683" s="230" t="s">
        <v>563</v>
      </c>
      <c r="J683" s="254" t="s">
        <v>173</v>
      </c>
      <c r="K683" s="255">
        <v>34394</v>
      </c>
      <c r="L683" s="233" t="s">
        <v>174</v>
      </c>
      <c r="M683" s="256">
        <v>43742</v>
      </c>
      <c r="N683" s="256"/>
      <c r="O683" s="224" t="s">
        <v>4071</v>
      </c>
      <c r="P683" s="222" t="s">
        <v>1380</v>
      </c>
      <c r="Q683" s="222" t="s">
        <v>244</v>
      </c>
      <c r="R683" s="224" t="s">
        <v>177</v>
      </c>
      <c r="S683" s="224" t="s">
        <v>223</v>
      </c>
      <c r="T683" s="235"/>
      <c r="U683" s="257"/>
      <c r="V683" s="258" t="s">
        <v>179</v>
      </c>
      <c r="W683" s="258" t="s">
        <v>179</v>
      </c>
      <c r="X683" s="259">
        <v>7</v>
      </c>
      <c r="Y683" s="251" t="s">
        <v>4171</v>
      </c>
      <c r="Z683" s="261" t="s">
        <v>181</v>
      </c>
      <c r="AA683" s="261"/>
      <c r="AB683" s="261"/>
      <c r="AC683" s="271"/>
      <c r="AD683" s="271"/>
      <c r="AE683" s="270"/>
      <c r="AF683" s="272"/>
      <c r="AG683" s="270"/>
      <c r="AH683" s="260"/>
      <c r="AI683" s="260"/>
      <c r="AJ683" s="258" t="s">
        <v>198</v>
      </c>
      <c r="AK683" s="258" t="s">
        <v>185</v>
      </c>
      <c r="AL683" s="258" t="s">
        <v>185</v>
      </c>
      <c r="AM683" s="244" t="s">
        <v>236</v>
      </c>
      <c r="AN683" s="20">
        <v>182</v>
      </c>
      <c r="AO683" s="20">
        <v>0</v>
      </c>
      <c r="AP683" s="20">
        <v>20</v>
      </c>
      <c r="AQ683" s="20">
        <v>0</v>
      </c>
      <c r="AR683" s="20">
        <v>0</v>
      </c>
      <c r="AS683" s="20">
        <v>7</v>
      </c>
      <c r="AT683" s="20">
        <v>10</v>
      </c>
      <c r="AU683" s="300">
        <f t="shared" si="111"/>
        <v>219</v>
      </c>
      <c r="AV683" s="20">
        <v>190</v>
      </c>
      <c r="AW683" s="20">
        <v>0</v>
      </c>
      <c r="AX683" s="20">
        <v>20</v>
      </c>
      <c r="AY683" s="20">
        <v>0</v>
      </c>
      <c r="AZ683" s="20">
        <v>0</v>
      </c>
      <c r="BA683" s="20">
        <v>7</v>
      </c>
      <c r="BB683" s="20">
        <v>10</v>
      </c>
      <c r="BC683" s="300">
        <f t="shared" si="112"/>
        <v>227</v>
      </c>
      <c r="BD683" s="42">
        <f t="shared" si="113"/>
        <v>8</v>
      </c>
      <c r="BE683" s="42">
        <f t="shared" si="114"/>
        <v>0</v>
      </c>
      <c r="BF683" s="42">
        <f t="shared" si="115"/>
        <v>0</v>
      </c>
      <c r="BG683" s="42">
        <f t="shared" si="116"/>
        <v>0</v>
      </c>
      <c r="BH683" s="42">
        <f t="shared" si="117"/>
        <v>0</v>
      </c>
      <c r="BI683" s="42">
        <f t="shared" si="118"/>
        <v>0</v>
      </c>
      <c r="BJ683" s="42">
        <f t="shared" si="119"/>
        <v>0</v>
      </c>
      <c r="BK683" s="42">
        <f t="shared" si="120"/>
        <v>8</v>
      </c>
    </row>
    <row r="684" spans="1:63" ht="27" customHeight="1">
      <c r="A684" s="222">
        <f t="shared" si="121"/>
        <v>682</v>
      </c>
      <c r="B684" s="223"/>
      <c r="C684" s="250">
        <v>3309</v>
      </c>
      <c r="D684" s="225" t="s">
        <v>4172</v>
      </c>
      <c r="E684" s="251" t="s">
        <v>4173</v>
      </c>
      <c r="F684" s="252" t="s">
        <v>1061</v>
      </c>
      <c r="G684" s="253" t="s">
        <v>4174</v>
      </c>
      <c r="H684" s="229" t="s">
        <v>1063</v>
      </c>
      <c r="I684" s="230" t="s">
        <v>4175</v>
      </c>
      <c r="J684" s="254" t="s">
        <v>173</v>
      </c>
      <c r="K684" s="255">
        <v>35127</v>
      </c>
      <c r="L684" s="233" t="s">
        <v>174</v>
      </c>
      <c r="M684" s="256">
        <v>43746</v>
      </c>
      <c r="N684" s="256"/>
      <c r="O684" s="224" t="s">
        <v>4176</v>
      </c>
      <c r="P684" s="222" t="s">
        <v>277</v>
      </c>
      <c r="Q684" s="222" t="s">
        <v>244</v>
      </c>
      <c r="R684" s="224" t="s">
        <v>177</v>
      </c>
      <c r="S684" s="224" t="s">
        <v>1201</v>
      </c>
      <c r="T684" s="235"/>
      <c r="U684" s="257"/>
      <c r="V684" s="258" t="s">
        <v>179</v>
      </c>
      <c r="W684" s="258" t="s">
        <v>179</v>
      </c>
      <c r="X684" s="259">
        <v>5</v>
      </c>
      <c r="Y684" s="251" t="s">
        <v>4177</v>
      </c>
      <c r="Z684" s="261" t="s">
        <v>181</v>
      </c>
      <c r="AA684" s="261"/>
      <c r="AB684" s="261"/>
      <c r="AC684" s="270"/>
      <c r="AD684" s="270"/>
      <c r="AE684" s="270"/>
      <c r="AF684" s="272"/>
      <c r="AG684" s="270"/>
      <c r="AH684" s="260"/>
      <c r="AI684" s="260"/>
      <c r="AJ684" s="258" t="s">
        <v>198</v>
      </c>
      <c r="AK684" s="258" t="s">
        <v>185</v>
      </c>
      <c r="AL684" s="258" t="s">
        <v>185</v>
      </c>
      <c r="AM684" s="244" t="s">
        <v>3854</v>
      </c>
      <c r="AN684" s="20">
        <v>182</v>
      </c>
      <c r="AO684" s="20">
        <v>0</v>
      </c>
      <c r="AP684" s="20">
        <v>20</v>
      </c>
      <c r="AQ684" s="20">
        <v>0</v>
      </c>
      <c r="AR684" s="20">
        <v>0</v>
      </c>
      <c r="AS684" s="20">
        <v>7</v>
      </c>
      <c r="AT684" s="20">
        <v>10</v>
      </c>
      <c r="AU684" s="300">
        <f t="shared" si="111"/>
        <v>219</v>
      </c>
      <c r="AV684" s="20">
        <v>190</v>
      </c>
      <c r="AW684" s="20">
        <v>0</v>
      </c>
      <c r="AX684" s="20">
        <v>20</v>
      </c>
      <c r="AY684" s="20">
        <v>0</v>
      </c>
      <c r="AZ684" s="20">
        <v>0</v>
      </c>
      <c r="BA684" s="20">
        <v>7</v>
      </c>
      <c r="BB684" s="20">
        <v>10</v>
      </c>
      <c r="BC684" s="300">
        <f t="shared" si="112"/>
        <v>227</v>
      </c>
      <c r="BD684" s="42">
        <f t="shared" si="113"/>
        <v>8</v>
      </c>
      <c r="BE684" s="42">
        <f t="shared" si="114"/>
        <v>0</v>
      </c>
      <c r="BF684" s="42">
        <f t="shared" si="115"/>
        <v>0</v>
      </c>
      <c r="BG684" s="42">
        <f t="shared" si="116"/>
        <v>0</v>
      </c>
      <c r="BH684" s="42">
        <f t="shared" si="117"/>
        <v>0</v>
      </c>
      <c r="BI684" s="42">
        <f t="shared" si="118"/>
        <v>0</v>
      </c>
      <c r="BJ684" s="42">
        <f t="shared" si="119"/>
        <v>0</v>
      </c>
      <c r="BK684" s="42">
        <f t="shared" si="120"/>
        <v>8</v>
      </c>
    </row>
    <row r="685" spans="1:63" ht="27" customHeight="1">
      <c r="A685" s="222">
        <f t="shared" si="121"/>
        <v>683</v>
      </c>
      <c r="B685" s="223"/>
      <c r="C685" s="250">
        <v>3201</v>
      </c>
      <c r="D685" s="225" t="s">
        <v>4178</v>
      </c>
      <c r="E685" s="251" t="s">
        <v>4179</v>
      </c>
      <c r="F685" s="252" t="s">
        <v>4180</v>
      </c>
      <c r="G685" s="253" t="s">
        <v>1893</v>
      </c>
      <c r="H685" s="229" t="s">
        <v>4181</v>
      </c>
      <c r="I685" s="230" t="s">
        <v>1895</v>
      </c>
      <c r="J685" s="254" t="s">
        <v>173</v>
      </c>
      <c r="K685" s="255">
        <v>36858</v>
      </c>
      <c r="L685" s="233" t="s">
        <v>174</v>
      </c>
      <c r="M685" s="256">
        <v>43741</v>
      </c>
      <c r="N685" s="256"/>
      <c r="O685" s="224" t="s">
        <v>4081</v>
      </c>
      <c r="P685" s="224"/>
      <c r="Q685" s="222" t="s">
        <v>244</v>
      </c>
      <c r="R685" s="224" t="s">
        <v>177</v>
      </c>
      <c r="S685" s="224" t="s">
        <v>223</v>
      </c>
      <c r="T685" s="235"/>
      <c r="U685" s="257"/>
      <c r="V685" s="258" t="s">
        <v>179</v>
      </c>
      <c r="W685" s="258" t="s">
        <v>179</v>
      </c>
      <c r="X685" s="259">
        <v>5</v>
      </c>
      <c r="Y685" s="251" t="s">
        <v>4182</v>
      </c>
      <c r="Z685" s="261" t="s">
        <v>181</v>
      </c>
      <c r="AA685" s="261"/>
      <c r="AB685" s="258"/>
      <c r="AC685" s="271"/>
      <c r="AD685" s="270"/>
      <c r="AE685" s="271"/>
      <c r="AF685" s="272"/>
      <c r="AG685" s="270"/>
      <c r="AH685" s="260"/>
      <c r="AI685" s="260"/>
      <c r="AJ685" s="258" t="s">
        <v>198</v>
      </c>
      <c r="AK685" s="258" t="s">
        <v>185</v>
      </c>
      <c r="AL685" s="258" t="s">
        <v>185</v>
      </c>
      <c r="AM685" s="244" t="s">
        <v>3911</v>
      </c>
      <c r="AN685" s="20">
        <v>182</v>
      </c>
      <c r="AO685" s="20">
        <v>0</v>
      </c>
      <c r="AP685" s="20">
        <v>20</v>
      </c>
      <c r="AQ685" s="20">
        <v>0</v>
      </c>
      <c r="AR685" s="20">
        <v>0</v>
      </c>
      <c r="AS685" s="20">
        <v>7</v>
      </c>
      <c r="AT685" s="20">
        <v>10</v>
      </c>
      <c r="AU685" s="300">
        <f t="shared" si="111"/>
        <v>219</v>
      </c>
      <c r="AV685" s="20">
        <v>190</v>
      </c>
      <c r="AW685" s="20">
        <v>0</v>
      </c>
      <c r="AX685" s="20">
        <v>20</v>
      </c>
      <c r="AY685" s="20">
        <v>0</v>
      </c>
      <c r="AZ685" s="20">
        <v>0</v>
      </c>
      <c r="BA685" s="20">
        <v>7</v>
      </c>
      <c r="BB685" s="20">
        <v>10</v>
      </c>
      <c r="BC685" s="300">
        <f t="shared" si="112"/>
        <v>227</v>
      </c>
      <c r="BD685" s="42">
        <f t="shared" si="113"/>
        <v>8</v>
      </c>
      <c r="BE685" s="42">
        <f t="shared" si="114"/>
        <v>0</v>
      </c>
      <c r="BF685" s="42">
        <f t="shared" si="115"/>
        <v>0</v>
      </c>
      <c r="BG685" s="42">
        <f t="shared" si="116"/>
        <v>0</v>
      </c>
      <c r="BH685" s="42">
        <f t="shared" si="117"/>
        <v>0</v>
      </c>
      <c r="BI685" s="42">
        <f t="shared" si="118"/>
        <v>0</v>
      </c>
      <c r="BJ685" s="42">
        <f t="shared" si="119"/>
        <v>0</v>
      </c>
      <c r="BK685" s="42">
        <f t="shared" si="120"/>
        <v>8</v>
      </c>
    </row>
    <row r="686" spans="1:63" ht="27" customHeight="1">
      <c r="A686" s="222">
        <f t="shared" si="121"/>
        <v>684</v>
      </c>
      <c r="B686" s="223"/>
      <c r="C686" s="250">
        <v>3251</v>
      </c>
      <c r="D686" s="268">
        <v>0</v>
      </c>
      <c r="E686" s="251" t="s">
        <v>4183</v>
      </c>
      <c r="F686" s="252" t="s">
        <v>2932</v>
      </c>
      <c r="G686" s="253" t="s">
        <v>4184</v>
      </c>
      <c r="H686" s="229" t="s">
        <v>4185</v>
      </c>
      <c r="I686" s="230" t="s">
        <v>4186</v>
      </c>
      <c r="J686" s="254" t="s">
        <v>204</v>
      </c>
      <c r="K686" s="255">
        <v>33790</v>
      </c>
      <c r="L686" s="233" t="s">
        <v>174</v>
      </c>
      <c r="M686" s="256">
        <v>43746</v>
      </c>
      <c r="N686" s="256"/>
      <c r="O686" s="224" t="s">
        <v>3994</v>
      </c>
      <c r="P686" s="222" t="s">
        <v>3644</v>
      </c>
      <c r="Q686" s="222" t="s">
        <v>244</v>
      </c>
      <c r="R686" s="224" t="s">
        <v>177</v>
      </c>
      <c r="S686" s="224" t="s">
        <v>4187</v>
      </c>
      <c r="T686" s="235"/>
      <c r="U686" s="257"/>
      <c r="V686" s="258" t="s">
        <v>179</v>
      </c>
      <c r="W686" s="258" t="s">
        <v>179</v>
      </c>
      <c r="X686" s="259">
        <v>4</v>
      </c>
      <c r="Y686" s="251" t="s">
        <v>4000</v>
      </c>
      <c r="Z686" s="258"/>
      <c r="AA686" s="261"/>
      <c r="AB686" s="258"/>
      <c r="AC686" s="271"/>
      <c r="AD686" s="271"/>
      <c r="AE686" s="271"/>
      <c r="AF686" s="271"/>
      <c r="AG686" s="270"/>
      <c r="AH686" s="260"/>
      <c r="AI686" s="260"/>
      <c r="AJ686" s="258" t="s">
        <v>198</v>
      </c>
      <c r="AK686" s="258" t="s">
        <v>185</v>
      </c>
      <c r="AL686" s="258" t="s">
        <v>185</v>
      </c>
      <c r="AM686" s="244" t="s">
        <v>3854</v>
      </c>
      <c r="AN686" s="20">
        <v>182</v>
      </c>
      <c r="AO686" s="20">
        <v>0</v>
      </c>
      <c r="AP686" s="20">
        <v>20</v>
      </c>
      <c r="AQ686" s="20">
        <v>0</v>
      </c>
      <c r="AR686" s="20">
        <v>0</v>
      </c>
      <c r="AS686" s="20">
        <v>7</v>
      </c>
      <c r="AT686" s="20">
        <v>10</v>
      </c>
      <c r="AU686" s="300">
        <f t="shared" si="111"/>
        <v>219</v>
      </c>
      <c r="AV686" s="20">
        <v>190</v>
      </c>
      <c r="AW686" s="20">
        <v>0</v>
      </c>
      <c r="AX686" s="20">
        <v>20</v>
      </c>
      <c r="AY686" s="20">
        <v>0</v>
      </c>
      <c r="AZ686" s="20">
        <v>0</v>
      </c>
      <c r="BA686" s="20">
        <v>7</v>
      </c>
      <c r="BB686" s="20">
        <v>10</v>
      </c>
      <c r="BC686" s="300">
        <f t="shared" si="112"/>
        <v>227</v>
      </c>
      <c r="BD686" s="42">
        <f t="shared" si="113"/>
        <v>8</v>
      </c>
      <c r="BE686" s="42">
        <f t="shared" si="114"/>
        <v>0</v>
      </c>
      <c r="BF686" s="42">
        <f t="shared" si="115"/>
        <v>0</v>
      </c>
      <c r="BG686" s="42">
        <f t="shared" si="116"/>
        <v>0</v>
      </c>
      <c r="BH686" s="42">
        <f t="shared" si="117"/>
        <v>0</v>
      </c>
      <c r="BI686" s="42">
        <f t="shared" si="118"/>
        <v>0</v>
      </c>
      <c r="BJ686" s="42">
        <f t="shared" si="119"/>
        <v>0</v>
      </c>
      <c r="BK686" s="42">
        <f t="shared" si="120"/>
        <v>8</v>
      </c>
    </row>
    <row r="687" spans="1:63" ht="27" customHeight="1">
      <c r="A687" s="222">
        <f t="shared" si="121"/>
        <v>685</v>
      </c>
      <c r="B687" s="223"/>
      <c r="C687" s="250">
        <v>3288</v>
      </c>
      <c r="D687" s="225" t="s">
        <v>4188</v>
      </c>
      <c r="E687" s="251" t="s">
        <v>4189</v>
      </c>
      <c r="F687" s="252" t="s">
        <v>4190</v>
      </c>
      <c r="G687" s="253" t="s">
        <v>2016</v>
      </c>
      <c r="H687" s="229" t="s">
        <v>469</v>
      </c>
      <c r="I687" s="230" t="s">
        <v>902</v>
      </c>
      <c r="J687" s="254" t="s">
        <v>173</v>
      </c>
      <c r="K687" s="255">
        <v>35551</v>
      </c>
      <c r="L687" s="233" t="s">
        <v>174</v>
      </c>
      <c r="M687" s="256">
        <v>43746</v>
      </c>
      <c r="N687" s="256"/>
      <c r="O687" s="224" t="s">
        <v>3999</v>
      </c>
      <c r="P687" s="222" t="s">
        <v>3828</v>
      </c>
      <c r="Q687" s="222" t="s">
        <v>244</v>
      </c>
      <c r="R687" s="224" t="s">
        <v>177</v>
      </c>
      <c r="S687" s="224" t="s">
        <v>326</v>
      </c>
      <c r="T687" s="235"/>
      <c r="U687" s="257"/>
      <c r="V687" s="258" t="s">
        <v>179</v>
      </c>
      <c r="W687" s="258" t="s">
        <v>179</v>
      </c>
      <c r="X687" s="259">
        <v>8</v>
      </c>
      <c r="Y687" s="251" t="s">
        <v>4191</v>
      </c>
      <c r="Z687" s="261"/>
      <c r="AA687" s="258"/>
      <c r="AB687" s="258"/>
      <c r="AC687" s="271"/>
      <c r="AD687" s="271"/>
      <c r="AE687" s="271"/>
      <c r="AF687" s="271"/>
      <c r="AG687" s="270"/>
      <c r="AH687" s="260"/>
      <c r="AI687" s="260"/>
      <c r="AJ687" s="258" t="s">
        <v>198</v>
      </c>
      <c r="AK687" s="258" t="s">
        <v>185</v>
      </c>
      <c r="AL687" s="258" t="s">
        <v>185</v>
      </c>
      <c r="AM687" s="244" t="s">
        <v>3854</v>
      </c>
      <c r="AN687" s="20">
        <v>182</v>
      </c>
      <c r="AO687" s="20">
        <v>0</v>
      </c>
      <c r="AP687" s="20">
        <v>20</v>
      </c>
      <c r="AQ687" s="20">
        <v>0</v>
      </c>
      <c r="AR687" s="20">
        <v>0</v>
      </c>
      <c r="AS687" s="20">
        <v>7</v>
      </c>
      <c r="AT687" s="20">
        <v>10</v>
      </c>
      <c r="AU687" s="300">
        <f t="shared" si="111"/>
        <v>219</v>
      </c>
      <c r="AV687" s="20">
        <v>190</v>
      </c>
      <c r="AW687" s="20">
        <v>0</v>
      </c>
      <c r="AX687" s="20">
        <v>20</v>
      </c>
      <c r="AY687" s="20">
        <v>0</v>
      </c>
      <c r="AZ687" s="20">
        <v>0</v>
      </c>
      <c r="BA687" s="20">
        <v>7</v>
      </c>
      <c r="BB687" s="20">
        <v>10</v>
      </c>
      <c r="BC687" s="300">
        <f t="shared" si="112"/>
        <v>227</v>
      </c>
      <c r="BD687" s="42">
        <f t="shared" si="113"/>
        <v>8</v>
      </c>
      <c r="BE687" s="42">
        <f t="shared" si="114"/>
        <v>0</v>
      </c>
      <c r="BF687" s="42">
        <f t="shared" si="115"/>
        <v>0</v>
      </c>
      <c r="BG687" s="42">
        <f t="shared" si="116"/>
        <v>0</v>
      </c>
      <c r="BH687" s="42">
        <f t="shared" si="117"/>
        <v>0</v>
      </c>
      <c r="BI687" s="42">
        <f t="shared" si="118"/>
        <v>0</v>
      </c>
      <c r="BJ687" s="42">
        <f t="shared" si="119"/>
        <v>0</v>
      </c>
      <c r="BK687" s="42">
        <f t="shared" si="120"/>
        <v>8</v>
      </c>
    </row>
    <row r="688" spans="1:63" ht="27" customHeight="1">
      <c r="A688" s="222">
        <f t="shared" si="121"/>
        <v>686</v>
      </c>
      <c r="B688" s="223"/>
      <c r="C688" s="250">
        <v>3529</v>
      </c>
      <c r="D688" s="264" t="s">
        <v>4192</v>
      </c>
      <c r="E688" s="251" t="s">
        <v>4193</v>
      </c>
      <c r="F688" s="252" t="s">
        <v>1085</v>
      </c>
      <c r="G688" s="253" t="s">
        <v>4194</v>
      </c>
      <c r="H688" s="229" t="s">
        <v>1087</v>
      </c>
      <c r="I688" s="230" t="s">
        <v>4195</v>
      </c>
      <c r="J688" s="254" t="s">
        <v>204</v>
      </c>
      <c r="K688" s="255">
        <v>37051</v>
      </c>
      <c r="L688" s="233" t="s">
        <v>174</v>
      </c>
      <c r="M688" s="256">
        <v>43746</v>
      </c>
      <c r="N688" s="256"/>
      <c r="O688" s="224" t="s">
        <v>4196</v>
      </c>
      <c r="P688" s="222" t="s">
        <v>3629</v>
      </c>
      <c r="Q688" s="222" t="s">
        <v>244</v>
      </c>
      <c r="R688" s="224" t="s">
        <v>3955</v>
      </c>
      <c r="S688" s="224" t="s">
        <v>4197</v>
      </c>
      <c r="T688" s="235" t="s">
        <v>4148</v>
      </c>
      <c r="U688" s="257">
        <v>43789</v>
      </c>
      <c r="V688" s="258" t="s">
        <v>179</v>
      </c>
      <c r="W688" s="258" t="s">
        <v>179</v>
      </c>
      <c r="X688" s="259">
        <v>9</v>
      </c>
      <c r="Y688" s="251" t="s">
        <v>4198</v>
      </c>
      <c r="Z688" s="261" t="s">
        <v>181</v>
      </c>
      <c r="AA688" s="261"/>
      <c r="AB688" s="258"/>
      <c r="AC688" s="270"/>
      <c r="AD688" s="271"/>
      <c r="AE688" s="271"/>
      <c r="AF688" s="271"/>
      <c r="AG688" s="270"/>
      <c r="AH688" s="260"/>
      <c r="AI688" s="260"/>
      <c r="AJ688" s="258" t="s">
        <v>198</v>
      </c>
      <c r="AK688" s="258" t="s">
        <v>185</v>
      </c>
      <c r="AL688" s="258" t="s">
        <v>185</v>
      </c>
      <c r="AM688" s="244" t="s">
        <v>3854</v>
      </c>
      <c r="AN688" s="20">
        <v>182</v>
      </c>
      <c r="AO688" s="20">
        <v>0</v>
      </c>
      <c r="AP688" s="20">
        <v>0</v>
      </c>
      <c r="AQ688" s="20">
        <v>0</v>
      </c>
      <c r="AR688" s="20">
        <v>0</v>
      </c>
      <c r="AS688" s="20">
        <v>7</v>
      </c>
      <c r="AT688" s="20">
        <v>10</v>
      </c>
      <c r="AU688" s="300">
        <f t="shared" si="111"/>
        <v>199</v>
      </c>
      <c r="AV688" s="20">
        <v>190</v>
      </c>
      <c r="AW688" s="20">
        <v>0</v>
      </c>
      <c r="AX688" s="20">
        <v>0</v>
      </c>
      <c r="AY688" s="20">
        <v>0</v>
      </c>
      <c r="AZ688" s="20">
        <v>0</v>
      </c>
      <c r="BA688" s="20">
        <v>7</v>
      </c>
      <c r="BB688" s="20">
        <v>10</v>
      </c>
      <c r="BC688" s="300">
        <f t="shared" si="112"/>
        <v>207</v>
      </c>
      <c r="BD688" s="42">
        <f t="shared" si="113"/>
        <v>8</v>
      </c>
      <c r="BE688" s="42">
        <f t="shared" si="114"/>
        <v>0</v>
      </c>
      <c r="BF688" s="42">
        <f t="shared" si="115"/>
        <v>0</v>
      </c>
      <c r="BG688" s="42">
        <f t="shared" si="116"/>
        <v>0</v>
      </c>
      <c r="BH688" s="42">
        <f t="shared" si="117"/>
        <v>0</v>
      </c>
      <c r="BI688" s="42">
        <f t="shared" si="118"/>
        <v>0</v>
      </c>
      <c r="BJ688" s="42">
        <f t="shared" si="119"/>
        <v>0</v>
      </c>
      <c r="BK688" s="42">
        <f t="shared" si="120"/>
        <v>8</v>
      </c>
    </row>
    <row r="689" spans="1:63" ht="27" customHeight="1">
      <c r="A689" s="222">
        <f t="shared" si="121"/>
        <v>687</v>
      </c>
      <c r="B689" s="223"/>
      <c r="C689" s="250">
        <v>3565</v>
      </c>
      <c r="D689" s="225" t="s">
        <v>4199</v>
      </c>
      <c r="E689" s="251" t="s">
        <v>4200</v>
      </c>
      <c r="F689" s="252" t="s">
        <v>876</v>
      </c>
      <c r="G689" s="253" t="s">
        <v>4201</v>
      </c>
      <c r="H689" s="229" t="s">
        <v>877</v>
      </c>
      <c r="I689" s="230" t="s">
        <v>4202</v>
      </c>
      <c r="J689" s="254" t="s">
        <v>173</v>
      </c>
      <c r="K689" s="255">
        <v>36705</v>
      </c>
      <c r="L689" s="233" t="s">
        <v>174</v>
      </c>
      <c r="M689" s="256">
        <v>43746</v>
      </c>
      <c r="N689" s="256"/>
      <c r="O689" s="224" t="s">
        <v>4071</v>
      </c>
      <c r="P689" s="222" t="s">
        <v>1380</v>
      </c>
      <c r="Q689" s="222" t="s">
        <v>244</v>
      </c>
      <c r="R689" s="224" t="s">
        <v>177</v>
      </c>
      <c r="S689" s="224" t="s">
        <v>251</v>
      </c>
      <c r="T689" s="235"/>
      <c r="U689" s="257"/>
      <c r="V689" s="258" t="s">
        <v>179</v>
      </c>
      <c r="W689" s="258" t="s">
        <v>179</v>
      </c>
      <c r="X689" s="259">
        <v>11</v>
      </c>
      <c r="Y689" s="251" t="s">
        <v>4203</v>
      </c>
      <c r="Z689" s="258"/>
      <c r="AA689" s="261"/>
      <c r="AB689" s="258"/>
      <c r="AC689" s="270"/>
      <c r="AD689" s="271"/>
      <c r="AE689" s="270"/>
      <c r="AF689" s="272"/>
      <c r="AG689" s="270"/>
      <c r="AH689" s="260"/>
      <c r="AI689" s="260"/>
      <c r="AJ689" s="258" t="s">
        <v>198</v>
      </c>
      <c r="AK689" s="258" t="s">
        <v>185</v>
      </c>
      <c r="AL689" s="258" t="s">
        <v>185</v>
      </c>
      <c r="AM689" s="244" t="s">
        <v>3854</v>
      </c>
      <c r="AN689" s="20">
        <v>182</v>
      </c>
      <c r="AO689" s="20">
        <v>0</v>
      </c>
      <c r="AP689" s="20">
        <v>20</v>
      </c>
      <c r="AQ689" s="20">
        <v>0</v>
      </c>
      <c r="AR689" s="20">
        <v>0</v>
      </c>
      <c r="AS689" s="20">
        <v>7</v>
      </c>
      <c r="AT689" s="20">
        <v>10</v>
      </c>
      <c r="AU689" s="300">
        <f t="shared" si="111"/>
        <v>219</v>
      </c>
      <c r="AV689" s="20">
        <v>190</v>
      </c>
      <c r="AW689" s="20">
        <v>0</v>
      </c>
      <c r="AX689" s="20">
        <v>20</v>
      </c>
      <c r="AY689" s="20">
        <v>0</v>
      </c>
      <c r="AZ689" s="20">
        <v>0</v>
      </c>
      <c r="BA689" s="20">
        <v>7</v>
      </c>
      <c r="BB689" s="20">
        <v>10</v>
      </c>
      <c r="BC689" s="300">
        <f t="shared" si="112"/>
        <v>227</v>
      </c>
      <c r="BD689" s="42">
        <f t="shared" si="113"/>
        <v>8</v>
      </c>
      <c r="BE689" s="42">
        <f t="shared" si="114"/>
        <v>0</v>
      </c>
      <c r="BF689" s="42">
        <f t="shared" si="115"/>
        <v>0</v>
      </c>
      <c r="BG689" s="42">
        <f t="shared" si="116"/>
        <v>0</v>
      </c>
      <c r="BH689" s="42">
        <f t="shared" si="117"/>
        <v>0</v>
      </c>
      <c r="BI689" s="42">
        <f t="shared" si="118"/>
        <v>0</v>
      </c>
      <c r="BJ689" s="42">
        <f t="shared" si="119"/>
        <v>0</v>
      </c>
      <c r="BK689" s="42">
        <f t="shared" si="120"/>
        <v>8</v>
      </c>
    </row>
    <row r="690" spans="1:63" ht="27" customHeight="1">
      <c r="A690" s="222">
        <f t="shared" si="121"/>
        <v>688</v>
      </c>
      <c r="B690" s="223"/>
      <c r="C690" s="250">
        <v>3196</v>
      </c>
      <c r="D690" s="225" t="s">
        <v>4204</v>
      </c>
      <c r="E690" s="251" t="s">
        <v>4205</v>
      </c>
      <c r="F690" s="252" t="s">
        <v>4206</v>
      </c>
      <c r="G690" s="253" t="s">
        <v>2236</v>
      </c>
      <c r="H690" s="229" t="s">
        <v>4207</v>
      </c>
      <c r="I690" s="230" t="s">
        <v>2237</v>
      </c>
      <c r="J690" s="254" t="s">
        <v>173</v>
      </c>
      <c r="K690" s="255">
        <v>33755</v>
      </c>
      <c r="L690" s="233" t="s">
        <v>174</v>
      </c>
      <c r="M690" s="256">
        <v>43742</v>
      </c>
      <c r="N690" s="256"/>
      <c r="O690" s="224" t="s">
        <v>4085</v>
      </c>
      <c r="P690" s="222" t="s">
        <v>3770</v>
      </c>
      <c r="Q690" s="222" t="s">
        <v>244</v>
      </c>
      <c r="R690" s="224" t="s">
        <v>177</v>
      </c>
      <c r="S690" s="224" t="s">
        <v>223</v>
      </c>
      <c r="T690" s="235"/>
      <c r="U690" s="257"/>
      <c r="V690" s="258" t="s">
        <v>179</v>
      </c>
      <c r="W690" s="258" t="s">
        <v>179</v>
      </c>
      <c r="X690" s="259">
        <v>6</v>
      </c>
      <c r="Y690" s="251" t="s">
        <v>4208</v>
      </c>
      <c r="Z690" s="258"/>
      <c r="AA690" s="261" t="s">
        <v>181</v>
      </c>
      <c r="AB690" s="261"/>
      <c r="AC690" s="270"/>
      <c r="AD690" s="271"/>
      <c r="AE690" s="270"/>
      <c r="AF690" s="272"/>
      <c r="AG690" s="270"/>
      <c r="AH690" s="260"/>
      <c r="AI690" s="260"/>
      <c r="AJ690" s="258" t="s">
        <v>198</v>
      </c>
      <c r="AK690" s="258" t="s">
        <v>185</v>
      </c>
      <c r="AL690" s="258" t="s">
        <v>185</v>
      </c>
      <c r="AM690" s="244" t="s">
        <v>3854</v>
      </c>
      <c r="AN690" s="20">
        <v>182</v>
      </c>
      <c r="AO690" s="20">
        <v>0</v>
      </c>
      <c r="AP690" s="20">
        <v>20</v>
      </c>
      <c r="AQ690" s="20">
        <v>0</v>
      </c>
      <c r="AR690" s="20">
        <v>0</v>
      </c>
      <c r="AS690" s="20">
        <v>7</v>
      </c>
      <c r="AT690" s="20">
        <v>10</v>
      </c>
      <c r="AU690" s="300">
        <f t="shared" si="111"/>
        <v>219</v>
      </c>
      <c r="AV690" s="20">
        <v>190</v>
      </c>
      <c r="AW690" s="20">
        <v>0</v>
      </c>
      <c r="AX690" s="20">
        <v>20</v>
      </c>
      <c r="AY690" s="20">
        <v>0</v>
      </c>
      <c r="AZ690" s="20">
        <v>0</v>
      </c>
      <c r="BA690" s="20">
        <v>7</v>
      </c>
      <c r="BB690" s="20">
        <v>10</v>
      </c>
      <c r="BC690" s="300">
        <f t="shared" si="112"/>
        <v>227</v>
      </c>
      <c r="BD690" s="42">
        <f t="shared" si="113"/>
        <v>8</v>
      </c>
      <c r="BE690" s="42">
        <f t="shared" si="114"/>
        <v>0</v>
      </c>
      <c r="BF690" s="42">
        <f t="shared" si="115"/>
        <v>0</v>
      </c>
      <c r="BG690" s="42">
        <f t="shared" si="116"/>
        <v>0</v>
      </c>
      <c r="BH690" s="42">
        <f t="shared" si="117"/>
        <v>0</v>
      </c>
      <c r="BI690" s="42">
        <f t="shared" si="118"/>
        <v>0</v>
      </c>
      <c r="BJ690" s="42">
        <f t="shared" si="119"/>
        <v>0</v>
      </c>
      <c r="BK690" s="42">
        <f t="shared" si="120"/>
        <v>8</v>
      </c>
    </row>
    <row r="691" spans="1:63" ht="27" customHeight="1">
      <c r="A691" s="222">
        <f t="shared" si="121"/>
        <v>689</v>
      </c>
      <c r="B691" s="223"/>
      <c r="C691" s="250">
        <v>3141</v>
      </c>
      <c r="D691" s="225" t="s">
        <v>4209</v>
      </c>
      <c r="E691" s="251" t="s">
        <v>291</v>
      </c>
      <c r="F691" s="252" t="s">
        <v>4210</v>
      </c>
      <c r="G691" s="253" t="s">
        <v>1979</v>
      </c>
      <c r="H691" s="229" t="s">
        <v>4211</v>
      </c>
      <c r="I691" s="230" t="s">
        <v>4212</v>
      </c>
      <c r="J691" s="254" t="s">
        <v>173</v>
      </c>
      <c r="K691" s="255">
        <v>31778</v>
      </c>
      <c r="L691" s="233" t="s">
        <v>174</v>
      </c>
      <c r="M691" s="256">
        <v>43740</v>
      </c>
      <c r="N691" s="256"/>
      <c r="O691" s="224" t="s">
        <v>3999</v>
      </c>
      <c r="P691" s="222" t="s">
        <v>3828</v>
      </c>
      <c r="Q691" s="222" t="s">
        <v>244</v>
      </c>
      <c r="R691" s="224" t="s">
        <v>177</v>
      </c>
      <c r="S691" s="224" t="s">
        <v>206</v>
      </c>
      <c r="T691" s="235"/>
      <c r="U691" s="257"/>
      <c r="V691" s="258" t="s">
        <v>179</v>
      </c>
      <c r="W691" s="258" t="s">
        <v>179</v>
      </c>
      <c r="X691" s="259">
        <v>5</v>
      </c>
      <c r="Y691" s="251" t="s">
        <v>4213</v>
      </c>
      <c r="Z691" s="258"/>
      <c r="AA691" s="261" t="s">
        <v>181</v>
      </c>
      <c r="AB691" s="258"/>
      <c r="AC691" s="270"/>
      <c r="AD691" s="271"/>
      <c r="AE691" s="270"/>
      <c r="AF691" s="272"/>
      <c r="AG691" s="270"/>
      <c r="AH691" s="260"/>
      <c r="AI691" s="260"/>
      <c r="AJ691" s="258"/>
      <c r="AK691" s="258" t="s">
        <v>185</v>
      </c>
      <c r="AL691" s="258" t="s">
        <v>185</v>
      </c>
      <c r="AM691" s="244" t="s">
        <v>3854</v>
      </c>
      <c r="AN691" s="20">
        <v>182</v>
      </c>
      <c r="AO691" s="20">
        <v>0</v>
      </c>
      <c r="AP691" s="20">
        <v>20</v>
      </c>
      <c r="AQ691" s="20">
        <v>0</v>
      </c>
      <c r="AR691" s="20">
        <v>0</v>
      </c>
      <c r="AS691" s="20">
        <v>7</v>
      </c>
      <c r="AT691" s="20">
        <v>10</v>
      </c>
      <c r="AU691" s="300">
        <f t="shared" si="111"/>
        <v>219</v>
      </c>
      <c r="AV691" s="20">
        <v>190</v>
      </c>
      <c r="AW691" s="20">
        <v>0</v>
      </c>
      <c r="AX691" s="20">
        <v>20</v>
      </c>
      <c r="AY691" s="20">
        <v>0</v>
      </c>
      <c r="AZ691" s="20">
        <v>0</v>
      </c>
      <c r="BA691" s="20">
        <v>7</v>
      </c>
      <c r="BB691" s="20">
        <v>10</v>
      </c>
      <c r="BC691" s="300">
        <f t="shared" si="112"/>
        <v>227</v>
      </c>
      <c r="BD691" s="42">
        <f t="shared" si="113"/>
        <v>8</v>
      </c>
      <c r="BE691" s="42">
        <f t="shared" si="114"/>
        <v>0</v>
      </c>
      <c r="BF691" s="42">
        <f t="shared" si="115"/>
        <v>0</v>
      </c>
      <c r="BG691" s="42">
        <f t="shared" si="116"/>
        <v>0</v>
      </c>
      <c r="BH691" s="42">
        <f t="shared" si="117"/>
        <v>0</v>
      </c>
      <c r="BI691" s="42">
        <f t="shared" si="118"/>
        <v>0</v>
      </c>
      <c r="BJ691" s="42">
        <f t="shared" si="119"/>
        <v>0</v>
      </c>
      <c r="BK691" s="42">
        <f t="shared" si="120"/>
        <v>8</v>
      </c>
    </row>
    <row r="692" spans="1:63" ht="27" customHeight="1">
      <c r="A692" s="222">
        <f t="shared" si="121"/>
        <v>690</v>
      </c>
      <c r="B692" s="223"/>
      <c r="C692" s="250">
        <v>3182</v>
      </c>
      <c r="D692" s="225" t="s">
        <v>4214</v>
      </c>
      <c r="E692" s="251" t="s">
        <v>4215</v>
      </c>
      <c r="F692" s="252" t="s">
        <v>4216</v>
      </c>
      <c r="G692" s="253" t="s">
        <v>4217</v>
      </c>
      <c r="H692" s="229" t="s">
        <v>4218</v>
      </c>
      <c r="I692" s="230" t="s">
        <v>4219</v>
      </c>
      <c r="J692" s="254" t="s">
        <v>173</v>
      </c>
      <c r="K692" s="255">
        <v>34252</v>
      </c>
      <c r="L692" s="233" t="s">
        <v>174</v>
      </c>
      <c r="M692" s="256">
        <v>43741</v>
      </c>
      <c r="N692" s="256"/>
      <c r="O692" s="224" t="s">
        <v>4071</v>
      </c>
      <c r="P692" s="222" t="s">
        <v>1380</v>
      </c>
      <c r="Q692" s="222" t="s">
        <v>244</v>
      </c>
      <c r="R692" s="224" t="s">
        <v>177</v>
      </c>
      <c r="S692" s="224" t="s">
        <v>223</v>
      </c>
      <c r="T692" s="235"/>
      <c r="U692" s="257"/>
      <c r="V692" s="258" t="s">
        <v>179</v>
      </c>
      <c r="W692" s="258" t="s">
        <v>179</v>
      </c>
      <c r="X692" s="259">
        <v>7</v>
      </c>
      <c r="Y692" s="251" t="s">
        <v>4220</v>
      </c>
      <c r="Z692" s="258"/>
      <c r="AA692" s="261"/>
      <c r="AB692" s="258"/>
      <c r="AC692" s="270"/>
      <c r="AD692" s="271"/>
      <c r="AE692" s="271"/>
      <c r="AF692" s="272"/>
      <c r="AG692" s="270"/>
      <c r="AH692" s="260"/>
      <c r="AI692" s="260"/>
      <c r="AJ692" s="258" t="s">
        <v>185</v>
      </c>
      <c r="AK692" s="258" t="s">
        <v>185</v>
      </c>
      <c r="AL692" s="258"/>
      <c r="AM692" s="273" t="s">
        <v>3962</v>
      </c>
      <c r="AN692" s="20">
        <v>182</v>
      </c>
      <c r="AO692" s="20">
        <v>0</v>
      </c>
      <c r="AP692" s="20">
        <v>20</v>
      </c>
      <c r="AQ692" s="20">
        <v>0</v>
      </c>
      <c r="AR692" s="20">
        <v>0</v>
      </c>
      <c r="AS692" s="20">
        <v>7</v>
      </c>
      <c r="AT692" s="20">
        <v>10</v>
      </c>
      <c r="AU692" s="300">
        <f t="shared" si="111"/>
        <v>219</v>
      </c>
      <c r="AV692" s="20">
        <v>190</v>
      </c>
      <c r="AW692" s="20">
        <v>0</v>
      </c>
      <c r="AX692" s="20">
        <v>20</v>
      </c>
      <c r="AY692" s="20">
        <v>0</v>
      </c>
      <c r="AZ692" s="20">
        <v>0</v>
      </c>
      <c r="BA692" s="20">
        <v>7</v>
      </c>
      <c r="BB692" s="20">
        <v>10</v>
      </c>
      <c r="BC692" s="300">
        <f t="shared" si="112"/>
        <v>227</v>
      </c>
      <c r="BD692" s="42">
        <f t="shared" si="113"/>
        <v>8</v>
      </c>
      <c r="BE692" s="42">
        <f t="shared" si="114"/>
        <v>0</v>
      </c>
      <c r="BF692" s="42">
        <f t="shared" si="115"/>
        <v>0</v>
      </c>
      <c r="BG692" s="42">
        <f t="shared" si="116"/>
        <v>0</v>
      </c>
      <c r="BH692" s="42">
        <f t="shared" si="117"/>
        <v>0</v>
      </c>
      <c r="BI692" s="42">
        <f t="shared" si="118"/>
        <v>0</v>
      </c>
      <c r="BJ692" s="42">
        <f t="shared" si="119"/>
        <v>0</v>
      </c>
      <c r="BK692" s="42">
        <f t="shared" si="120"/>
        <v>8</v>
      </c>
    </row>
    <row r="693" spans="1:63" ht="27" customHeight="1">
      <c r="A693" s="222">
        <f t="shared" si="121"/>
        <v>691</v>
      </c>
      <c r="B693" s="223"/>
      <c r="C693" s="250">
        <v>3140</v>
      </c>
      <c r="D693" s="225" t="s">
        <v>4221</v>
      </c>
      <c r="E693" s="251" t="s">
        <v>4222</v>
      </c>
      <c r="F693" s="252" t="s">
        <v>467</v>
      </c>
      <c r="G693" s="253" t="s">
        <v>4223</v>
      </c>
      <c r="H693" s="229" t="s">
        <v>469</v>
      </c>
      <c r="I693" s="230" t="s">
        <v>4224</v>
      </c>
      <c r="J693" s="254" t="s">
        <v>173</v>
      </c>
      <c r="K693" s="255">
        <v>32881</v>
      </c>
      <c r="L693" s="233" t="s">
        <v>174</v>
      </c>
      <c r="M693" s="256">
        <v>43740</v>
      </c>
      <c r="N693" s="256"/>
      <c r="O693" s="224" t="s">
        <v>4085</v>
      </c>
      <c r="P693" s="222" t="s">
        <v>3770</v>
      </c>
      <c r="Q693" s="222" t="s">
        <v>244</v>
      </c>
      <c r="R693" s="224" t="s">
        <v>177</v>
      </c>
      <c r="S693" s="224" t="s">
        <v>206</v>
      </c>
      <c r="T693" s="235"/>
      <c r="U693" s="257"/>
      <c r="V693" s="258" t="s">
        <v>179</v>
      </c>
      <c r="W693" s="258" t="s">
        <v>179</v>
      </c>
      <c r="X693" s="259">
        <v>4</v>
      </c>
      <c r="Y693" s="251" t="s">
        <v>4225</v>
      </c>
      <c r="Z693" s="258"/>
      <c r="AA693" s="261" t="s">
        <v>181</v>
      </c>
      <c r="AB693" s="258"/>
      <c r="AC693" s="270"/>
      <c r="AD693" s="271"/>
      <c r="AE693" s="270"/>
      <c r="AF693" s="272"/>
      <c r="AG693" s="270"/>
      <c r="AH693" s="260"/>
      <c r="AI693" s="260"/>
      <c r="AJ693" s="258" t="s">
        <v>198</v>
      </c>
      <c r="AK693" s="258" t="s">
        <v>185</v>
      </c>
      <c r="AL693" s="258" t="s">
        <v>185</v>
      </c>
      <c r="AM693" s="244" t="s">
        <v>3854</v>
      </c>
      <c r="AN693" s="20">
        <v>182</v>
      </c>
      <c r="AO693" s="20">
        <v>0</v>
      </c>
      <c r="AP693" s="20">
        <v>20</v>
      </c>
      <c r="AQ693" s="20">
        <v>0</v>
      </c>
      <c r="AR693" s="20">
        <v>0</v>
      </c>
      <c r="AS693" s="20">
        <v>7</v>
      </c>
      <c r="AT693" s="20">
        <v>10</v>
      </c>
      <c r="AU693" s="300">
        <f t="shared" si="111"/>
        <v>219</v>
      </c>
      <c r="AV693" s="20">
        <v>190</v>
      </c>
      <c r="AW693" s="20">
        <v>0</v>
      </c>
      <c r="AX693" s="20">
        <v>20</v>
      </c>
      <c r="AY693" s="20">
        <v>0</v>
      </c>
      <c r="AZ693" s="20">
        <v>0</v>
      </c>
      <c r="BA693" s="20">
        <v>7</v>
      </c>
      <c r="BB693" s="20">
        <v>10</v>
      </c>
      <c r="BC693" s="300">
        <f t="shared" si="112"/>
        <v>227</v>
      </c>
      <c r="BD693" s="42">
        <f t="shared" si="113"/>
        <v>8</v>
      </c>
      <c r="BE693" s="42">
        <f t="shared" si="114"/>
        <v>0</v>
      </c>
      <c r="BF693" s="42">
        <f t="shared" si="115"/>
        <v>0</v>
      </c>
      <c r="BG693" s="42">
        <f t="shared" si="116"/>
        <v>0</v>
      </c>
      <c r="BH693" s="42">
        <f t="shared" si="117"/>
        <v>0</v>
      </c>
      <c r="BI693" s="42">
        <f t="shared" si="118"/>
        <v>0</v>
      </c>
      <c r="BJ693" s="42">
        <f t="shared" si="119"/>
        <v>0</v>
      </c>
      <c r="BK693" s="42">
        <f t="shared" si="120"/>
        <v>8</v>
      </c>
    </row>
    <row r="694" spans="1:63" ht="27" customHeight="1">
      <c r="A694" s="222">
        <f t="shared" si="121"/>
        <v>692</v>
      </c>
      <c r="B694" s="223"/>
      <c r="C694" s="250">
        <v>3179</v>
      </c>
      <c r="D694" s="225" t="s">
        <v>4226</v>
      </c>
      <c r="E694" s="251" t="s">
        <v>4227</v>
      </c>
      <c r="F694" s="252" t="s">
        <v>3763</v>
      </c>
      <c r="G694" s="253" t="s">
        <v>4228</v>
      </c>
      <c r="H694" s="229" t="s">
        <v>4229</v>
      </c>
      <c r="I694" s="230" t="s">
        <v>4230</v>
      </c>
      <c r="J694" s="254" t="s">
        <v>204</v>
      </c>
      <c r="K694" s="255">
        <v>31556</v>
      </c>
      <c r="L694" s="233" t="s">
        <v>174</v>
      </c>
      <c r="M694" s="256">
        <v>43740</v>
      </c>
      <c r="N694" s="256"/>
      <c r="O694" s="224" t="s">
        <v>4231</v>
      </c>
      <c r="P694" s="222" t="s">
        <v>3765</v>
      </c>
      <c r="Q694" s="222" t="s">
        <v>244</v>
      </c>
      <c r="R694" s="224" t="s">
        <v>177</v>
      </c>
      <c r="S694" s="224" t="s">
        <v>223</v>
      </c>
      <c r="T694" s="235"/>
      <c r="U694" s="257"/>
      <c r="V694" s="258" t="s">
        <v>179</v>
      </c>
      <c r="W694" s="258" t="s">
        <v>179</v>
      </c>
      <c r="X694" s="259">
        <v>12</v>
      </c>
      <c r="Y694" s="251" t="s">
        <v>4232</v>
      </c>
      <c r="Z694" s="258"/>
      <c r="AA694" s="261"/>
      <c r="AB694" s="258"/>
      <c r="AC694" s="270"/>
      <c r="AD694" s="271"/>
      <c r="AE694" s="270"/>
      <c r="AF694" s="272"/>
      <c r="AG694" s="270"/>
      <c r="AH694" s="260"/>
      <c r="AI694" s="260"/>
      <c r="AJ694" s="258" t="s">
        <v>185</v>
      </c>
      <c r="AK694" s="258" t="s">
        <v>185</v>
      </c>
      <c r="AL694" s="258" t="s">
        <v>185</v>
      </c>
      <c r="AM694" s="244" t="s">
        <v>3962</v>
      </c>
      <c r="AN694" s="20">
        <v>182</v>
      </c>
      <c r="AO694" s="20">
        <v>0</v>
      </c>
      <c r="AP694" s="20">
        <v>20</v>
      </c>
      <c r="AQ694" s="20">
        <v>0</v>
      </c>
      <c r="AR694" s="20">
        <v>0</v>
      </c>
      <c r="AS694" s="20">
        <v>7</v>
      </c>
      <c r="AT694" s="20">
        <v>10</v>
      </c>
      <c r="AU694" s="300">
        <f t="shared" si="111"/>
        <v>219</v>
      </c>
      <c r="AV694" s="20">
        <v>190</v>
      </c>
      <c r="AW694" s="20">
        <v>0</v>
      </c>
      <c r="AX694" s="20">
        <v>20</v>
      </c>
      <c r="AY694" s="20">
        <v>0</v>
      </c>
      <c r="AZ694" s="20">
        <v>0</v>
      </c>
      <c r="BA694" s="20">
        <v>7</v>
      </c>
      <c r="BB694" s="20">
        <v>10</v>
      </c>
      <c r="BC694" s="300">
        <f t="shared" si="112"/>
        <v>227</v>
      </c>
      <c r="BD694" s="42">
        <f t="shared" si="113"/>
        <v>8</v>
      </c>
      <c r="BE694" s="42">
        <f t="shared" si="114"/>
        <v>0</v>
      </c>
      <c r="BF694" s="42">
        <f t="shared" si="115"/>
        <v>0</v>
      </c>
      <c r="BG694" s="42">
        <f t="shared" si="116"/>
        <v>0</v>
      </c>
      <c r="BH694" s="42">
        <f t="shared" si="117"/>
        <v>0</v>
      </c>
      <c r="BI694" s="42">
        <f t="shared" si="118"/>
        <v>0</v>
      </c>
      <c r="BJ694" s="42">
        <f t="shared" si="119"/>
        <v>0</v>
      </c>
      <c r="BK694" s="42">
        <f t="shared" si="120"/>
        <v>8</v>
      </c>
    </row>
    <row r="695" spans="1:63" ht="27" customHeight="1">
      <c r="A695" s="222">
        <f t="shared" si="121"/>
        <v>693</v>
      </c>
      <c r="B695" s="223"/>
      <c r="C695" s="250">
        <v>3150</v>
      </c>
      <c r="D695" s="225" t="s">
        <v>4233</v>
      </c>
      <c r="E695" s="251" t="s">
        <v>4234</v>
      </c>
      <c r="F695" s="252" t="s">
        <v>467</v>
      </c>
      <c r="G695" s="253" t="s">
        <v>1705</v>
      </c>
      <c r="H695" s="229" t="s">
        <v>469</v>
      </c>
      <c r="I695" s="230" t="s">
        <v>1706</v>
      </c>
      <c r="J695" s="254" t="s">
        <v>204</v>
      </c>
      <c r="K695" s="255">
        <v>35490</v>
      </c>
      <c r="L695" s="233" t="s">
        <v>174</v>
      </c>
      <c r="M695" s="256">
        <v>43740</v>
      </c>
      <c r="N695" s="256"/>
      <c r="O695" s="224" t="s">
        <v>4085</v>
      </c>
      <c r="P695" s="222" t="s">
        <v>3770</v>
      </c>
      <c r="Q695" s="222" t="s">
        <v>244</v>
      </c>
      <c r="R695" s="224" t="s">
        <v>177</v>
      </c>
      <c r="S695" s="224" t="s">
        <v>206</v>
      </c>
      <c r="T695" s="235"/>
      <c r="U695" s="257"/>
      <c r="V695" s="258" t="s">
        <v>179</v>
      </c>
      <c r="W695" s="258" t="s">
        <v>179</v>
      </c>
      <c r="X695" s="259">
        <v>4</v>
      </c>
      <c r="Y695" s="251" t="s">
        <v>4235</v>
      </c>
      <c r="Z695" s="258"/>
      <c r="AA695" s="261" t="s">
        <v>181</v>
      </c>
      <c r="AB695" s="258"/>
      <c r="AC695" s="270"/>
      <c r="AD695" s="271"/>
      <c r="AE695" s="270"/>
      <c r="AF695" s="272"/>
      <c r="AG695" s="270"/>
      <c r="AH695" s="260"/>
      <c r="AI695" s="260"/>
      <c r="AJ695" s="258" t="s">
        <v>198</v>
      </c>
      <c r="AK695" s="258" t="s">
        <v>185</v>
      </c>
      <c r="AL695" s="258" t="s">
        <v>185</v>
      </c>
      <c r="AM695" s="244" t="s">
        <v>3854</v>
      </c>
      <c r="AN695" s="20">
        <v>182</v>
      </c>
      <c r="AO695" s="20">
        <v>0</v>
      </c>
      <c r="AP695" s="20">
        <v>0</v>
      </c>
      <c r="AQ695" s="20">
        <v>0</v>
      </c>
      <c r="AR695" s="20">
        <v>0</v>
      </c>
      <c r="AS695" s="20">
        <v>7</v>
      </c>
      <c r="AT695" s="20">
        <v>10</v>
      </c>
      <c r="AU695" s="300">
        <f t="shared" si="111"/>
        <v>199</v>
      </c>
      <c r="AV695" s="20">
        <v>190</v>
      </c>
      <c r="AW695" s="20">
        <v>0</v>
      </c>
      <c r="AX695" s="20">
        <v>0</v>
      </c>
      <c r="AY695" s="20">
        <v>0</v>
      </c>
      <c r="AZ695" s="20">
        <v>0</v>
      </c>
      <c r="BA695" s="20">
        <v>7</v>
      </c>
      <c r="BB695" s="20">
        <v>10</v>
      </c>
      <c r="BC695" s="300">
        <f t="shared" si="112"/>
        <v>207</v>
      </c>
      <c r="BD695" s="42">
        <f t="shared" si="113"/>
        <v>8</v>
      </c>
      <c r="BE695" s="42">
        <f t="shared" si="114"/>
        <v>0</v>
      </c>
      <c r="BF695" s="42">
        <f t="shared" si="115"/>
        <v>0</v>
      </c>
      <c r="BG695" s="42">
        <f t="shared" si="116"/>
        <v>0</v>
      </c>
      <c r="BH695" s="42">
        <f t="shared" si="117"/>
        <v>0</v>
      </c>
      <c r="BI695" s="42">
        <f t="shared" si="118"/>
        <v>0</v>
      </c>
      <c r="BJ695" s="42">
        <f t="shared" si="119"/>
        <v>0</v>
      </c>
      <c r="BK695" s="42">
        <f t="shared" si="120"/>
        <v>8</v>
      </c>
    </row>
    <row r="696" spans="1:63" ht="27" customHeight="1">
      <c r="A696" s="222">
        <f t="shared" si="121"/>
        <v>694</v>
      </c>
      <c r="B696" s="223"/>
      <c r="C696" s="250">
        <v>3593</v>
      </c>
      <c r="D696" s="225" t="s">
        <v>4236</v>
      </c>
      <c r="E696" s="251" t="s">
        <v>4237</v>
      </c>
      <c r="F696" s="252" t="s">
        <v>4238</v>
      </c>
      <c r="G696" s="253" t="s">
        <v>4239</v>
      </c>
      <c r="H696" s="229" t="s">
        <v>4240</v>
      </c>
      <c r="I696" s="230" t="s">
        <v>4241</v>
      </c>
      <c r="J696" s="254" t="s">
        <v>204</v>
      </c>
      <c r="K696" s="255">
        <v>33701</v>
      </c>
      <c r="L696" s="233" t="s">
        <v>174</v>
      </c>
      <c r="M696" s="256">
        <v>43749</v>
      </c>
      <c r="N696" s="256"/>
      <c r="O696" s="224" t="s">
        <v>4019</v>
      </c>
      <c r="P696" s="222" t="s">
        <v>3629</v>
      </c>
      <c r="Q696" s="222" t="s">
        <v>244</v>
      </c>
      <c r="R696" s="224" t="s">
        <v>177</v>
      </c>
      <c r="S696" s="224" t="s">
        <v>223</v>
      </c>
      <c r="T696" s="235"/>
      <c r="U696" s="257"/>
      <c r="V696" s="258" t="s">
        <v>179</v>
      </c>
      <c r="W696" s="258" t="s">
        <v>179</v>
      </c>
      <c r="X696" s="259">
        <v>0</v>
      </c>
      <c r="Y696" s="251" t="s">
        <v>4242</v>
      </c>
      <c r="Z696" s="261"/>
      <c r="AA696" s="261" t="s">
        <v>181</v>
      </c>
      <c r="AB696" s="258"/>
      <c r="AC696" s="270"/>
      <c r="AD696" s="271"/>
      <c r="AE696" s="270"/>
      <c r="AF696" s="272"/>
      <c r="AG696" s="270"/>
      <c r="AH696" s="260"/>
      <c r="AI696" s="260"/>
      <c r="AJ696" s="258" t="s">
        <v>198</v>
      </c>
      <c r="AK696" s="258" t="s">
        <v>185</v>
      </c>
      <c r="AL696" s="258" t="s">
        <v>185</v>
      </c>
      <c r="AM696" s="244" t="s">
        <v>3854</v>
      </c>
      <c r="AN696" s="20">
        <v>182</v>
      </c>
      <c r="AO696" s="20">
        <v>0</v>
      </c>
      <c r="AP696" s="20">
        <v>20</v>
      </c>
      <c r="AQ696" s="20">
        <v>10</v>
      </c>
      <c r="AR696" s="20">
        <v>0</v>
      </c>
      <c r="AS696" s="20">
        <v>7</v>
      </c>
      <c r="AT696" s="20">
        <v>10</v>
      </c>
      <c r="AU696" s="300">
        <f t="shared" si="111"/>
        <v>229</v>
      </c>
      <c r="AV696" s="20">
        <v>190</v>
      </c>
      <c r="AW696" s="20">
        <v>0</v>
      </c>
      <c r="AX696" s="20">
        <v>20</v>
      </c>
      <c r="AY696" s="20">
        <v>10</v>
      </c>
      <c r="AZ696" s="20">
        <v>0</v>
      </c>
      <c r="BA696" s="20">
        <v>7</v>
      </c>
      <c r="BB696" s="20">
        <v>10</v>
      </c>
      <c r="BC696" s="300">
        <f t="shared" si="112"/>
        <v>237</v>
      </c>
      <c r="BD696" s="42">
        <f t="shared" si="113"/>
        <v>8</v>
      </c>
      <c r="BE696" s="42">
        <f t="shared" si="114"/>
        <v>0</v>
      </c>
      <c r="BF696" s="42">
        <f t="shared" si="115"/>
        <v>0</v>
      </c>
      <c r="BG696" s="42">
        <f t="shared" si="116"/>
        <v>0</v>
      </c>
      <c r="BH696" s="42">
        <f t="shared" si="117"/>
        <v>0</v>
      </c>
      <c r="BI696" s="42">
        <f t="shared" si="118"/>
        <v>0</v>
      </c>
      <c r="BJ696" s="42">
        <f t="shared" si="119"/>
        <v>0</v>
      </c>
      <c r="BK696" s="42">
        <f t="shared" si="120"/>
        <v>8</v>
      </c>
    </row>
    <row r="697" spans="1:63" ht="27" customHeight="1">
      <c r="A697" s="222">
        <f t="shared" si="121"/>
        <v>695</v>
      </c>
      <c r="B697" s="223"/>
      <c r="C697" s="250">
        <v>3584</v>
      </c>
      <c r="D697" s="268">
        <v>0</v>
      </c>
      <c r="E697" s="251" t="s">
        <v>4243</v>
      </c>
      <c r="F697" s="252" t="s">
        <v>2146</v>
      </c>
      <c r="G697" s="253" t="s">
        <v>4244</v>
      </c>
      <c r="H697" s="229" t="s">
        <v>4245</v>
      </c>
      <c r="I697" s="230" t="s">
        <v>4101</v>
      </c>
      <c r="J697" s="254" t="s">
        <v>204</v>
      </c>
      <c r="K697" s="255">
        <v>36821</v>
      </c>
      <c r="L697" s="233" t="s">
        <v>174</v>
      </c>
      <c r="M697" s="256">
        <v>43746</v>
      </c>
      <c r="N697" s="256"/>
      <c r="O697" s="224" t="s">
        <v>4019</v>
      </c>
      <c r="P697" s="222" t="s">
        <v>2816</v>
      </c>
      <c r="Q697" s="222" t="s">
        <v>244</v>
      </c>
      <c r="R697" s="224" t="s">
        <v>177</v>
      </c>
      <c r="S697" s="224" t="s">
        <v>223</v>
      </c>
      <c r="T697" s="235"/>
      <c r="U697" s="257"/>
      <c r="V697" s="258" t="s">
        <v>179</v>
      </c>
      <c r="W697" s="258" t="s">
        <v>179</v>
      </c>
      <c r="X697" s="259">
        <v>6</v>
      </c>
      <c r="Y697" s="251" t="s">
        <v>4246</v>
      </c>
      <c r="Z697" s="258"/>
      <c r="AA697" s="261"/>
      <c r="AB697" s="258"/>
      <c r="AC697" s="270"/>
      <c r="AD697" s="271"/>
      <c r="AE697" s="270"/>
      <c r="AF697" s="272"/>
      <c r="AG697" s="270"/>
      <c r="AH697" s="260"/>
      <c r="AI697" s="260"/>
      <c r="AJ697" s="258" t="s">
        <v>185</v>
      </c>
      <c r="AK697" s="258" t="s">
        <v>185</v>
      </c>
      <c r="AL697" s="258" t="s">
        <v>185</v>
      </c>
      <c r="AM697" s="244" t="s">
        <v>3962</v>
      </c>
      <c r="AN697" s="20">
        <v>182</v>
      </c>
      <c r="AO697" s="20">
        <v>0</v>
      </c>
      <c r="AP697" s="20">
        <v>0</v>
      </c>
      <c r="AQ697" s="20">
        <v>0</v>
      </c>
      <c r="AR697" s="20">
        <v>0</v>
      </c>
      <c r="AS697" s="20">
        <v>7</v>
      </c>
      <c r="AT697" s="20">
        <v>10</v>
      </c>
      <c r="AU697" s="300">
        <f t="shared" si="111"/>
        <v>199</v>
      </c>
      <c r="AV697" s="20">
        <v>190</v>
      </c>
      <c r="AW697" s="20">
        <v>0</v>
      </c>
      <c r="AX697" s="20">
        <v>0</v>
      </c>
      <c r="AY697" s="20">
        <v>0</v>
      </c>
      <c r="AZ697" s="20">
        <v>0</v>
      </c>
      <c r="BA697" s="20">
        <v>7</v>
      </c>
      <c r="BB697" s="20">
        <v>10</v>
      </c>
      <c r="BC697" s="300">
        <f t="shared" si="112"/>
        <v>207</v>
      </c>
      <c r="BD697" s="42">
        <f t="shared" si="113"/>
        <v>8</v>
      </c>
      <c r="BE697" s="42">
        <f t="shared" si="114"/>
        <v>0</v>
      </c>
      <c r="BF697" s="42">
        <f t="shared" si="115"/>
        <v>0</v>
      </c>
      <c r="BG697" s="42">
        <f t="shared" si="116"/>
        <v>0</v>
      </c>
      <c r="BH697" s="42">
        <f t="shared" si="117"/>
        <v>0</v>
      </c>
      <c r="BI697" s="42">
        <f t="shared" si="118"/>
        <v>0</v>
      </c>
      <c r="BJ697" s="42">
        <f t="shared" si="119"/>
        <v>0</v>
      </c>
      <c r="BK697" s="42">
        <f t="shared" si="120"/>
        <v>8</v>
      </c>
    </row>
    <row r="698" spans="1:63" ht="27" customHeight="1">
      <c r="A698" s="222">
        <f t="shared" si="121"/>
        <v>696</v>
      </c>
      <c r="B698" s="223"/>
      <c r="C698" s="250">
        <v>3561</v>
      </c>
      <c r="D698" s="225" t="s">
        <v>4247</v>
      </c>
      <c r="E698" s="251" t="s">
        <v>4248</v>
      </c>
      <c r="F698" s="252" t="s">
        <v>4249</v>
      </c>
      <c r="G698" s="253" t="s">
        <v>693</v>
      </c>
      <c r="H698" s="229" t="s">
        <v>4250</v>
      </c>
      <c r="I698" s="230" t="s">
        <v>4251</v>
      </c>
      <c r="J698" s="254" t="s">
        <v>173</v>
      </c>
      <c r="K698" s="255">
        <v>35067</v>
      </c>
      <c r="L698" s="233" t="s">
        <v>174</v>
      </c>
      <c r="M698" s="256">
        <v>43748</v>
      </c>
      <c r="N698" s="256"/>
      <c r="O698" s="224" t="s">
        <v>3994</v>
      </c>
      <c r="P698" s="222" t="s">
        <v>3629</v>
      </c>
      <c r="Q698" s="222" t="s">
        <v>244</v>
      </c>
      <c r="R698" s="224" t="s">
        <v>177</v>
      </c>
      <c r="S698" s="224" t="s">
        <v>178</v>
      </c>
      <c r="T698" s="235"/>
      <c r="U698" s="257"/>
      <c r="V698" s="258" t="s">
        <v>179</v>
      </c>
      <c r="W698" s="258" t="s">
        <v>179</v>
      </c>
      <c r="X698" s="259">
        <v>6</v>
      </c>
      <c r="Y698" s="251" t="s">
        <v>4252</v>
      </c>
      <c r="Z698" s="261"/>
      <c r="AA698" s="261" t="s">
        <v>181</v>
      </c>
      <c r="AB698" s="258"/>
      <c r="AC698" s="270"/>
      <c r="AD698" s="271"/>
      <c r="AE698" s="270"/>
      <c r="AF698" s="272"/>
      <c r="AG698" s="270"/>
      <c r="AH698" s="260"/>
      <c r="AI698" s="260"/>
      <c r="AJ698" s="258" t="s">
        <v>198</v>
      </c>
      <c r="AK698" s="258" t="s">
        <v>185</v>
      </c>
      <c r="AL698" s="258" t="s">
        <v>185</v>
      </c>
      <c r="AM698" s="244" t="s">
        <v>3854</v>
      </c>
      <c r="AN698" s="20">
        <v>182</v>
      </c>
      <c r="AO698" s="20">
        <v>0</v>
      </c>
      <c r="AP698" s="20">
        <v>20</v>
      </c>
      <c r="AQ698" s="20">
        <v>0</v>
      </c>
      <c r="AR698" s="20">
        <v>0</v>
      </c>
      <c r="AS698" s="20">
        <v>7</v>
      </c>
      <c r="AT698" s="20">
        <v>10</v>
      </c>
      <c r="AU698" s="300">
        <f t="shared" si="111"/>
        <v>219</v>
      </c>
      <c r="AV698" s="20">
        <v>190</v>
      </c>
      <c r="AW698" s="20">
        <v>0</v>
      </c>
      <c r="AX698" s="20">
        <v>20</v>
      </c>
      <c r="AY698" s="20">
        <v>0</v>
      </c>
      <c r="AZ698" s="20">
        <v>0</v>
      </c>
      <c r="BA698" s="20">
        <v>7</v>
      </c>
      <c r="BB698" s="20">
        <v>10</v>
      </c>
      <c r="BC698" s="300">
        <f t="shared" si="112"/>
        <v>227</v>
      </c>
      <c r="BD698" s="42">
        <f t="shared" si="113"/>
        <v>8</v>
      </c>
      <c r="BE698" s="42">
        <f t="shared" si="114"/>
        <v>0</v>
      </c>
      <c r="BF698" s="42">
        <f t="shared" si="115"/>
        <v>0</v>
      </c>
      <c r="BG698" s="42">
        <f t="shared" si="116"/>
        <v>0</v>
      </c>
      <c r="BH698" s="42">
        <f t="shared" si="117"/>
        <v>0</v>
      </c>
      <c r="BI698" s="42">
        <f t="shared" si="118"/>
        <v>0</v>
      </c>
      <c r="BJ698" s="42">
        <f t="shared" si="119"/>
        <v>0</v>
      </c>
      <c r="BK698" s="42">
        <f t="shared" si="120"/>
        <v>8</v>
      </c>
    </row>
    <row r="699" spans="1:63" ht="27" customHeight="1">
      <c r="A699" s="222">
        <f t="shared" si="121"/>
        <v>697</v>
      </c>
      <c r="B699" s="223"/>
      <c r="C699" s="250">
        <v>3525</v>
      </c>
      <c r="D699" s="225" t="s">
        <v>4253</v>
      </c>
      <c r="E699" s="251" t="s">
        <v>4254</v>
      </c>
      <c r="F699" s="252" t="s">
        <v>2586</v>
      </c>
      <c r="G699" s="253" t="s">
        <v>4255</v>
      </c>
      <c r="H699" s="229" t="s">
        <v>4256</v>
      </c>
      <c r="I699" s="230" t="s">
        <v>4257</v>
      </c>
      <c r="J699" s="254" t="s">
        <v>173</v>
      </c>
      <c r="K699" s="255">
        <v>36845</v>
      </c>
      <c r="L699" s="233" t="s">
        <v>174</v>
      </c>
      <c r="M699" s="256">
        <v>43746</v>
      </c>
      <c r="N699" s="256"/>
      <c r="O699" s="224" t="s">
        <v>3994</v>
      </c>
      <c r="P699" s="222" t="s">
        <v>3629</v>
      </c>
      <c r="Q699" s="222" t="s">
        <v>244</v>
      </c>
      <c r="R699" s="224" t="s">
        <v>177</v>
      </c>
      <c r="S699" s="224" t="s">
        <v>206</v>
      </c>
      <c r="T699" s="235"/>
      <c r="U699" s="257"/>
      <c r="V699" s="258" t="s">
        <v>179</v>
      </c>
      <c r="W699" s="258" t="s">
        <v>179</v>
      </c>
      <c r="X699" s="259">
        <v>9</v>
      </c>
      <c r="Y699" s="251" t="s">
        <v>4258</v>
      </c>
      <c r="Z699" s="258"/>
      <c r="AA699" s="261"/>
      <c r="AB699" s="258"/>
      <c r="AC699" s="270"/>
      <c r="AD699" s="271"/>
      <c r="AE699" s="270"/>
      <c r="AF699" s="272"/>
      <c r="AG699" s="270"/>
      <c r="AH699" s="260"/>
      <c r="AI699" s="260"/>
      <c r="AJ699" s="258" t="s">
        <v>185</v>
      </c>
      <c r="AK699" s="258" t="s">
        <v>185</v>
      </c>
      <c r="AL699" s="258" t="s">
        <v>198</v>
      </c>
      <c r="AM699" s="244" t="s">
        <v>3962</v>
      </c>
      <c r="AN699" s="20">
        <v>182</v>
      </c>
      <c r="AO699" s="20">
        <v>0</v>
      </c>
      <c r="AP699" s="20">
        <v>20</v>
      </c>
      <c r="AQ699" s="20">
        <v>0</v>
      </c>
      <c r="AR699" s="20">
        <v>0</v>
      </c>
      <c r="AS699" s="20">
        <v>7</v>
      </c>
      <c r="AT699" s="20">
        <v>10</v>
      </c>
      <c r="AU699" s="300">
        <f t="shared" si="111"/>
        <v>219</v>
      </c>
      <c r="AV699" s="20">
        <v>190</v>
      </c>
      <c r="AW699" s="20">
        <v>0</v>
      </c>
      <c r="AX699" s="20">
        <v>20</v>
      </c>
      <c r="AY699" s="20">
        <v>0</v>
      </c>
      <c r="AZ699" s="20">
        <v>0</v>
      </c>
      <c r="BA699" s="20">
        <v>7</v>
      </c>
      <c r="BB699" s="20">
        <v>10</v>
      </c>
      <c r="BC699" s="300">
        <f t="shared" si="112"/>
        <v>227</v>
      </c>
      <c r="BD699" s="42">
        <f t="shared" si="113"/>
        <v>8</v>
      </c>
      <c r="BE699" s="42">
        <f t="shared" si="114"/>
        <v>0</v>
      </c>
      <c r="BF699" s="42">
        <f t="shared" si="115"/>
        <v>0</v>
      </c>
      <c r="BG699" s="42">
        <f t="shared" si="116"/>
        <v>0</v>
      </c>
      <c r="BH699" s="42">
        <f t="shared" si="117"/>
        <v>0</v>
      </c>
      <c r="BI699" s="42">
        <f t="shared" si="118"/>
        <v>0</v>
      </c>
      <c r="BJ699" s="42">
        <f t="shared" si="119"/>
        <v>0</v>
      </c>
      <c r="BK699" s="42">
        <f t="shared" si="120"/>
        <v>8</v>
      </c>
    </row>
    <row r="700" spans="1:63" ht="27" customHeight="1">
      <c r="A700" s="222">
        <f t="shared" si="121"/>
        <v>698</v>
      </c>
      <c r="B700" s="223"/>
      <c r="C700" s="250">
        <v>3302</v>
      </c>
      <c r="D700" s="264" t="s">
        <v>4259</v>
      </c>
      <c r="E700" s="251" t="s">
        <v>4260</v>
      </c>
      <c r="F700" s="252" t="s">
        <v>4261</v>
      </c>
      <c r="G700" s="253" t="s">
        <v>4262</v>
      </c>
      <c r="H700" s="229" t="s">
        <v>1192</v>
      </c>
      <c r="I700" s="230" t="s">
        <v>4263</v>
      </c>
      <c r="J700" s="254" t="s">
        <v>173</v>
      </c>
      <c r="K700" s="255">
        <v>35586</v>
      </c>
      <c r="L700" s="233" t="s">
        <v>174</v>
      </c>
      <c r="M700" s="256">
        <v>43746</v>
      </c>
      <c r="N700" s="256"/>
      <c r="O700" s="224" t="s">
        <v>4071</v>
      </c>
      <c r="P700" s="222" t="s">
        <v>1380</v>
      </c>
      <c r="Q700" s="222" t="s">
        <v>244</v>
      </c>
      <c r="R700" s="224" t="s">
        <v>177</v>
      </c>
      <c r="S700" s="224" t="s">
        <v>223</v>
      </c>
      <c r="T700" s="235"/>
      <c r="U700" s="257"/>
      <c r="V700" s="258" t="s">
        <v>179</v>
      </c>
      <c r="W700" s="258" t="s">
        <v>179</v>
      </c>
      <c r="X700" s="259">
        <v>4</v>
      </c>
      <c r="Y700" s="251" t="s">
        <v>4264</v>
      </c>
      <c r="Z700" s="258"/>
      <c r="AA700" s="261"/>
      <c r="AB700" s="258"/>
      <c r="AC700" s="270"/>
      <c r="AD700" s="271"/>
      <c r="AE700" s="271"/>
      <c r="AF700" s="271"/>
      <c r="AG700" s="270"/>
      <c r="AH700" s="260"/>
      <c r="AI700" s="260"/>
      <c r="AJ700" s="258" t="s">
        <v>185</v>
      </c>
      <c r="AK700" s="258" t="s">
        <v>185</v>
      </c>
      <c r="AL700" s="258" t="s">
        <v>185</v>
      </c>
      <c r="AM700" s="244" t="s">
        <v>3854</v>
      </c>
      <c r="AN700" s="20">
        <v>182</v>
      </c>
      <c r="AO700" s="20">
        <v>0</v>
      </c>
      <c r="AP700" s="20">
        <v>20</v>
      </c>
      <c r="AQ700" s="20">
        <v>0</v>
      </c>
      <c r="AR700" s="20">
        <v>0</v>
      </c>
      <c r="AS700" s="20">
        <v>7</v>
      </c>
      <c r="AT700" s="20">
        <v>10</v>
      </c>
      <c r="AU700" s="300">
        <f t="shared" si="111"/>
        <v>219</v>
      </c>
      <c r="AV700" s="20">
        <v>190</v>
      </c>
      <c r="AW700" s="20">
        <v>0</v>
      </c>
      <c r="AX700" s="20">
        <v>20</v>
      </c>
      <c r="AY700" s="20">
        <v>0</v>
      </c>
      <c r="AZ700" s="20">
        <v>0</v>
      </c>
      <c r="BA700" s="20">
        <v>7</v>
      </c>
      <c r="BB700" s="20">
        <v>10</v>
      </c>
      <c r="BC700" s="300">
        <f t="shared" si="112"/>
        <v>227</v>
      </c>
      <c r="BD700" s="42">
        <f t="shared" si="113"/>
        <v>8</v>
      </c>
      <c r="BE700" s="42">
        <f t="shared" si="114"/>
        <v>0</v>
      </c>
      <c r="BF700" s="42">
        <f t="shared" si="115"/>
        <v>0</v>
      </c>
      <c r="BG700" s="42">
        <f t="shared" si="116"/>
        <v>0</v>
      </c>
      <c r="BH700" s="42">
        <f t="shared" si="117"/>
        <v>0</v>
      </c>
      <c r="BI700" s="42">
        <f t="shared" si="118"/>
        <v>0</v>
      </c>
      <c r="BJ700" s="42">
        <f t="shared" si="119"/>
        <v>0</v>
      </c>
      <c r="BK700" s="42">
        <f t="shared" si="120"/>
        <v>8</v>
      </c>
    </row>
    <row r="701" spans="1:63" ht="27" customHeight="1">
      <c r="A701" s="222">
        <f t="shared" si="121"/>
        <v>699</v>
      </c>
      <c r="B701" s="223"/>
      <c r="C701" s="250">
        <v>3200</v>
      </c>
      <c r="D701" s="225" t="s">
        <v>4265</v>
      </c>
      <c r="E701" s="251" t="s">
        <v>4266</v>
      </c>
      <c r="F701" s="252" t="s">
        <v>4267</v>
      </c>
      <c r="G701" s="253" t="s">
        <v>727</v>
      </c>
      <c r="H701" s="229" t="s">
        <v>4268</v>
      </c>
      <c r="I701" s="230" t="s">
        <v>738</v>
      </c>
      <c r="J701" s="254" t="s">
        <v>173</v>
      </c>
      <c r="K701" s="255">
        <v>30864</v>
      </c>
      <c r="L701" s="233" t="s">
        <v>174</v>
      </c>
      <c r="M701" s="256">
        <v>43741</v>
      </c>
      <c r="N701" s="256"/>
      <c r="O701" s="224" t="s">
        <v>4081</v>
      </c>
      <c r="P701" s="224"/>
      <c r="Q701" s="222" t="s">
        <v>244</v>
      </c>
      <c r="R701" s="224" t="s">
        <v>177</v>
      </c>
      <c r="S701" s="224" t="s">
        <v>223</v>
      </c>
      <c r="T701" s="235"/>
      <c r="U701" s="257"/>
      <c r="V701" s="258" t="s">
        <v>179</v>
      </c>
      <c r="W701" s="258" t="s">
        <v>179</v>
      </c>
      <c r="X701" s="259">
        <v>5</v>
      </c>
      <c r="Y701" s="251" t="s">
        <v>4269</v>
      </c>
      <c r="Z701" s="258"/>
      <c r="AA701" s="261" t="s">
        <v>181</v>
      </c>
      <c r="AB701" s="258"/>
      <c r="AC701" s="270"/>
      <c r="AD701" s="271"/>
      <c r="AE701" s="270"/>
      <c r="AF701" s="272"/>
      <c r="AG701" s="270"/>
      <c r="AH701" s="260"/>
      <c r="AI701" s="260"/>
      <c r="AJ701" s="258" t="s">
        <v>198</v>
      </c>
      <c r="AK701" s="258" t="s">
        <v>185</v>
      </c>
      <c r="AL701" s="258" t="s">
        <v>185</v>
      </c>
      <c r="AM701" s="244" t="s">
        <v>3911</v>
      </c>
      <c r="AN701" s="20">
        <v>182</v>
      </c>
      <c r="AO701" s="20">
        <v>0</v>
      </c>
      <c r="AP701" s="20">
        <v>20</v>
      </c>
      <c r="AQ701" s="20">
        <v>0</v>
      </c>
      <c r="AR701" s="20">
        <v>0</v>
      </c>
      <c r="AS701" s="20">
        <v>7</v>
      </c>
      <c r="AT701" s="20">
        <v>10</v>
      </c>
      <c r="AU701" s="300">
        <f t="shared" si="111"/>
        <v>219</v>
      </c>
      <c r="AV701" s="20">
        <v>190</v>
      </c>
      <c r="AW701" s="20">
        <v>0</v>
      </c>
      <c r="AX701" s="20">
        <v>20</v>
      </c>
      <c r="AY701" s="20">
        <v>0</v>
      </c>
      <c r="AZ701" s="20">
        <v>0</v>
      </c>
      <c r="BA701" s="20">
        <v>7</v>
      </c>
      <c r="BB701" s="20">
        <v>10</v>
      </c>
      <c r="BC701" s="300">
        <f t="shared" si="112"/>
        <v>227</v>
      </c>
      <c r="BD701" s="42">
        <f t="shared" si="113"/>
        <v>8</v>
      </c>
      <c r="BE701" s="42">
        <f t="shared" si="114"/>
        <v>0</v>
      </c>
      <c r="BF701" s="42">
        <f t="shared" si="115"/>
        <v>0</v>
      </c>
      <c r="BG701" s="42">
        <f t="shared" si="116"/>
        <v>0</v>
      </c>
      <c r="BH701" s="42">
        <f t="shared" si="117"/>
        <v>0</v>
      </c>
      <c r="BI701" s="42">
        <f t="shared" si="118"/>
        <v>0</v>
      </c>
      <c r="BJ701" s="42">
        <f t="shared" si="119"/>
        <v>0</v>
      </c>
      <c r="BK701" s="42">
        <f t="shared" si="120"/>
        <v>8</v>
      </c>
    </row>
    <row r="702" spans="1:63" ht="27" customHeight="1">
      <c r="A702" s="222">
        <f t="shared" si="121"/>
        <v>700</v>
      </c>
      <c r="B702" s="223"/>
      <c r="C702" s="250">
        <v>3220</v>
      </c>
      <c r="D702" s="225">
        <v>0</v>
      </c>
      <c r="E702" s="251" t="s">
        <v>4270</v>
      </c>
      <c r="F702" s="252" t="s">
        <v>4271</v>
      </c>
      <c r="G702" s="253" t="s">
        <v>3487</v>
      </c>
      <c r="H702" s="229" t="s">
        <v>4272</v>
      </c>
      <c r="I702" s="230" t="s">
        <v>4273</v>
      </c>
      <c r="J702" s="254" t="s">
        <v>204</v>
      </c>
      <c r="K702" s="255">
        <v>31811</v>
      </c>
      <c r="L702" s="233" t="s">
        <v>174</v>
      </c>
      <c r="M702" s="256">
        <v>43742</v>
      </c>
      <c r="N702" s="256"/>
      <c r="O702" s="224" t="s">
        <v>3978</v>
      </c>
      <c r="P702" s="222" t="s">
        <v>2816</v>
      </c>
      <c r="Q702" s="222" t="s">
        <v>244</v>
      </c>
      <c r="R702" s="224" t="s">
        <v>177</v>
      </c>
      <c r="S702" s="224" t="s">
        <v>428</v>
      </c>
      <c r="T702" s="235"/>
      <c r="U702" s="257"/>
      <c r="V702" s="258" t="s">
        <v>179</v>
      </c>
      <c r="W702" s="258" t="s">
        <v>179</v>
      </c>
      <c r="X702" s="259">
        <v>7</v>
      </c>
      <c r="Y702" s="251" t="s">
        <v>4274</v>
      </c>
      <c r="Z702" s="258"/>
      <c r="AA702" s="261"/>
      <c r="AB702" s="258"/>
      <c r="AC702" s="270"/>
      <c r="AD702" s="271"/>
      <c r="AE702" s="270"/>
      <c r="AF702" s="272"/>
      <c r="AG702" s="270"/>
      <c r="AH702" s="260"/>
      <c r="AI702" s="260"/>
      <c r="AJ702" s="258" t="s">
        <v>198</v>
      </c>
      <c r="AK702" s="258" t="s">
        <v>185</v>
      </c>
      <c r="AL702" s="258" t="s">
        <v>185</v>
      </c>
      <c r="AM702" s="244" t="s">
        <v>3854</v>
      </c>
      <c r="AN702" s="20">
        <v>182</v>
      </c>
      <c r="AO702" s="20">
        <v>0</v>
      </c>
      <c r="AP702" s="20">
        <v>20</v>
      </c>
      <c r="AQ702" s="20">
        <v>0</v>
      </c>
      <c r="AR702" s="20">
        <v>0</v>
      </c>
      <c r="AS702" s="20">
        <v>7</v>
      </c>
      <c r="AT702" s="20">
        <v>10</v>
      </c>
      <c r="AU702" s="300">
        <f t="shared" si="111"/>
        <v>219</v>
      </c>
      <c r="AV702" s="20">
        <v>190</v>
      </c>
      <c r="AW702" s="20">
        <v>0</v>
      </c>
      <c r="AX702" s="20">
        <v>20</v>
      </c>
      <c r="AY702" s="20">
        <v>0</v>
      </c>
      <c r="AZ702" s="20">
        <v>0</v>
      </c>
      <c r="BA702" s="20">
        <v>7</v>
      </c>
      <c r="BB702" s="20">
        <v>10</v>
      </c>
      <c r="BC702" s="300">
        <f t="shared" si="112"/>
        <v>227</v>
      </c>
      <c r="BD702" s="42">
        <f t="shared" si="113"/>
        <v>8</v>
      </c>
      <c r="BE702" s="42">
        <f t="shared" si="114"/>
        <v>0</v>
      </c>
      <c r="BF702" s="42">
        <f t="shared" si="115"/>
        <v>0</v>
      </c>
      <c r="BG702" s="42">
        <f t="shared" si="116"/>
        <v>0</v>
      </c>
      <c r="BH702" s="42">
        <f t="shared" si="117"/>
        <v>0</v>
      </c>
      <c r="BI702" s="42">
        <f t="shared" si="118"/>
        <v>0</v>
      </c>
      <c r="BJ702" s="42">
        <f t="shared" si="119"/>
        <v>0</v>
      </c>
      <c r="BK702" s="42">
        <f t="shared" si="120"/>
        <v>8</v>
      </c>
    </row>
    <row r="703" spans="1:63" ht="27" customHeight="1">
      <c r="A703" s="222">
        <f t="shared" si="121"/>
        <v>701</v>
      </c>
      <c r="B703" s="223"/>
      <c r="C703" s="250">
        <v>3241</v>
      </c>
      <c r="D703" s="225" t="s">
        <v>4275</v>
      </c>
      <c r="E703" s="251" t="s">
        <v>4276</v>
      </c>
      <c r="F703" s="252" t="s">
        <v>727</v>
      </c>
      <c r="G703" s="253" t="s">
        <v>4277</v>
      </c>
      <c r="H703" s="229" t="s">
        <v>1845</v>
      </c>
      <c r="I703" s="230" t="s">
        <v>4278</v>
      </c>
      <c r="J703" s="254" t="s">
        <v>204</v>
      </c>
      <c r="K703" s="255">
        <v>35619</v>
      </c>
      <c r="L703" s="233" t="s">
        <v>174</v>
      </c>
      <c r="M703" s="256">
        <v>43742</v>
      </c>
      <c r="N703" s="256"/>
      <c r="O703" s="224" t="s">
        <v>4032</v>
      </c>
      <c r="P703" s="222" t="s">
        <v>3765</v>
      </c>
      <c r="Q703" s="222" t="s">
        <v>244</v>
      </c>
      <c r="R703" s="224" t="s">
        <v>177</v>
      </c>
      <c r="S703" s="224" t="s">
        <v>305</v>
      </c>
      <c r="T703" s="235"/>
      <c r="U703" s="257"/>
      <c r="V703" s="258" t="s">
        <v>179</v>
      </c>
      <c r="W703" s="258" t="s">
        <v>179</v>
      </c>
      <c r="X703" s="259">
        <v>7</v>
      </c>
      <c r="Y703" s="251" t="s">
        <v>4279</v>
      </c>
      <c r="Z703" s="258"/>
      <c r="AA703" s="261" t="s">
        <v>181</v>
      </c>
      <c r="AB703" s="258"/>
      <c r="AC703" s="270"/>
      <c r="AD703" s="271"/>
      <c r="AE703" s="270"/>
      <c r="AF703" s="272"/>
      <c r="AG703" s="270"/>
      <c r="AH703" s="260"/>
      <c r="AI703" s="260"/>
      <c r="AJ703" s="258" t="s">
        <v>185</v>
      </c>
      <c r="AK703" s="258" t="s">
        <v>185</v>
      </c>
      <c r="AL703" s="258" t="s">
        <v>185</v>
      </c>
      <c r="AM703" s="244" t="s">
        <v>3962</v>
      </c>
      <c r="AN703" s="20">
        <v>182</v>
      </c>
      <c r="AO703" s="20">
        <v>0</v>
      </c>
      <c r="AP703" s="20">
        <v>0</v>
      </c>
      <c r="AQ703" s="20">
        <v>0</v>
      </c>
      <c r="AR703" s="20">
        <v>0</v>
      </c>
      <c r="AS703" s="20">
        <v>7</v>
      </c>
      <c r="AT703" s="20">
        <v>10</v>
      </c>
      <c r="AU703" s="300">
        <f t="shared" si="111"/>
        <v>199</v>
      </c>
      <c r="AV703" s="20">
        <v>190</v>
      </c>
      <c r="AW703" s="20">
        <v>0</v>
      </c>
      <c r="AX703" s="20">
        <v>0</v>
      </c>
      <c r="AY703" s="20">
        <v>0</v>
      </c>
      <c r="AZ703" s="20">
        <v>0</v>
      </c>
      <c r="BA703" s="20">
        <v>7</v>
      </c>
      <c r="BB703" s="20">
        <v>10</v>
      </c>
      <c r="BC703" s="300">
        <f t="shared" si="112"/>
        <v>207</v>
      </c>
      <c r="BD703" s="42">
        <f t="shared" si="113"/>
        <v>8</v>
      </c>
      <c r="BE703" s="42">
        <f t="shared" si="114"/>
        <v>0</v>
      </c>
      <c r="BF703" s="42">
        <f t="shared" si="115"/>
        <v>0</v>
      </c>
      <c r="BG703" s="42">
        <f t="shared" si="116"/>
        <v>0</v>
      </c>
      <c r="BH703" s="42">
        <f t="shared" si="117"/>
        <v>0</v>
      </c>
      <c r="BI703" s="42">
        <f t="shared" si="118"/>
        <v>0</v>
      </c>
      <c r="BJ703" s="42">
        <f t="shared" si="119"/>
        <v>0</v>
      </c>
      <c r="BK703" s="42">
        <f t="shared" si="120"/>
        <v>8</v>
      </c>
    </row>
    <row r="704" spans="1:63" ht="27" customHeight="1">
      <c r="A704" s="222">
        <f t="shared" si="121"/>
        <v>702</v>
      </c>
      <c r="B704" s="223"/>
      <c r="C704" s="250">
        <v>3239</v>
      </c>
      <c r="D704" s="225" t="s">
        <v>4280</v>
      </c>
      <c r="E704" s="251" t="s">
        <v>4281</v>
      </c>
      <c r="F704" s="252" t="s">
        <v>4282</v>
      </c>
      <c r="G704" s="253" t="s">
        <v>4283</v>
      </c>
      <c r="H704" s="229" t="s">
        <v>4284</v>
      </c>
      <c r="I704" s="230" t="s">
        <v>4285</v>
      </c>
      <c r="J704" s="254" t="s">
        <v>173</v>
      </c>
      <c r="K704" s="255">
        <v>32661</v>
      </c>
      <c r="L704" s="233" t="s">
        <v>174</v>
      </c>
      <c r="M704" s="256">
        <v>43746</v>
      </c>
      <c r="N704" s="256"/>
      <c r="O704" s="224"/>
      <c r="P704" s="222" t="s">
        <v>1380</v>
      </c>
      <c r="Q704" s="222" t="s">
        <v>244</v>
      </c>
      <c r="R704" s="224" t="s">
        <v>177</v>
      </c>
      <c r="S704" s="224" t="s">
        <v>1113</v>
      </c>
      <c r="T704" s="235"/>
      <c r="U704" s="257"/>
      <c r="V704" s="258" t="s">
        <v>179</v>
      </c>
      <c r="W704" s="258" t="s">
        <v>179</v>
      </c>
      <c r="X704" s="259">
        <v>6</v>
      </c>
      <c r="Y704" s="251" t="s">
        <v>4286</v>
      </c>
      <c r="Z704" s="261"/>
      <c r="AA704" s="261" t="s">
        <v>181</v>
      </c>
      <c r="AB704" s="258"/>
      <c r="AC704" s="270"/>
      <c r="AD704" s="271"/>
      <c r="AE704" s="270"/>
      <c r="AF704" s="272"/>
      <c r="AG704" s="270"/>
      <c r="AH704" s="260"/>
      <c r="AI704" s="260"/>
      <c r="AJ704" s="258" t="s">
        <v>185</v>
      </c>
      <c r="AK704" s="258" t="s">
        <v>185</v>
      </c>
      <c r="AL704" s="258" t="s">
        <v>198</v>
      </c>
      <c r="AM704" s="244" t="s">
        <v>3962</v>
      </c>
      <c r="AN704" s="20">
        <v>182</v>
      </c>
      <c r="AO704" s="20">
        <v>0</v>
      </c>
      <c r="AP704" s="20">
        <v>20</v>
      </c>
      <c r="AQ704" s="20">
        <v>0</v>
      </c>
      <c r="AR704" s="20">
        <v>0</v>
      </c>
      <c r="AS704" s="20">
        <v>7</v>
      </c>
      <c r="AT704" s="20">
        <v>10</v>
      </c>
      <c r="AU704" s="300">
        <f t="shared" si="111"/>
        <v>219</v>
      </c>
      <c r="AV704" s="20">
        <v>190</v>
      </c>
      <c r="AW704" s="20">
        <v>0</v>
      </c>
      <c r="AX704" s="20">
        <v>20</v>
      </c>
      <c r="AY704" s="20">
        <v>0</v>
      </c>
      <c r="AZ704" s="20">
        <v>0</v>
      </c>
      <c r="BA704" s="20">
        <v>7</v>
      </c>
      <c r="BB704" s="20">
        <v>10</v>
      </c>
      <c r="BC704" s="300">
        <f t="shared" si="112"/>
        <v>227</v>
      </c>
      <c r="BD704" s="42">
        <f t="shared" si="113"/>
        <v>8</v>
      </c>
      <c r="BE704" s="42">
        <f t="shared" si="114"/>
        <v>0</v>
      </c>
      <c r="BF704" s="42">
        <f t="shared" si="115"/>
        <v>0</v>
      </c>
      <c r="BG704" s="42">
        <f t="shared" si="116"/>
        <v>0</v>
      </c>
      <c r="BH704" s="42">
        <f t="shared" si="117"/>
        <v>0</v>
      </c>
      <c r="BI704" s="42">
        <f t="shared" si="118"/>
        <v>0</v>
      </c>
      <c r="BJ704" s="42">
        <f t="shared" si="119"/>
        <v>0</v>
      </c>
      <c r="BK704" s="42">
        <f t="shared" si="120"/>
        <v>8</v>
      </c>
    </row>
    <row r="705" spans="1:63" ht="27" customHeight="1">
      <c r="A705" s="222">
        <f t="shared" si="121"/>
        <v>703</v>
      </c>
      <c r="B705" s="223"/>
      <c r="C705" s="250">
        <v>3272</v>
      </c>
      <c r="D705" s="225" t="s">
        <v>4287</v>
      </c>
      <c r="E705" s="251" t="s">
        <v>4288</v>
      </c>
      <c r="F705" s="252" t="s">
        <v>4282</v>
      </c>
      <c r="G705" s="253" t="s">
        <v>4289</v>
      </c>
      <c r="H705" s="229" t="s">
        <v>4284</v>
      </c>
      <c r="I705" s="230" t="s">
        <v>4290</v>
      </c>
      <c r="J705" s="254" t="s">
        <v>173</v>
      </c>
      <c r="K705" s="255">
        <v>33886</v>
      </c>
      <c r="L705" s="233" t="s">
        <v>174</v>
      </c>
      <c r="M705" s="256">
        <v>43746</v>
      </c>
      <c r="N705" s="256"/>
      <c r="O705" s="224" t="s">
        <v>3999</v>
      </c>
      <c r="P705" s="222" t="s">
        <v>3828</v>
      </c>
      <c r="Q705" s="222" t="s">
        <v>244</v>
      </c>
      <c r="R705" s="224" t="s">
        <v>177</v>
      </c>
      <c r="S705" s="224" t="s">
        <v>178</v>
      </c>
      <c r="T705" s="235"/>
      <c r="U705" s="257"/>
      <c r="V705" s="258" t="s">
        <v>179</v>
      </c>
      <c r="W705" s="258" t="s">
        <v>179</v>
      </c>
      <c r="X705" s="259">
        <v>6</v>
      </c>
      <c r="Y705" s="251" t="s">
        <v>4291</v>
      </c>
      <c r="Z705" s="258"/>
      <c r="AA705" s="261" t="s">
        <v>181</v>
      </c>
      <c r="AB705" s="258"/>
      <c r="AC705" s="270"/>
      <c r="AD705" s="271"/>
      <c r="AE705" s="271"/>
      <c r="AF705" s="271"/>
      <c r="AG705" s="270"/>
      <c r="AH705" s="260"/>
      <c r="AI705" s="260"/>
      <c r="AJ705" s="258" t="s">
        <v>198</v>
      </c>
      <c r="AK705" s="258" t="s">
        <v>185</v>
      </c>
      <c r="AL705" s="258" t="s">
        <v>185</v>
      </c>
      <c r="AM705" s="244" t="s">
        <v>3854</v>
      </c>
      <c r="AN705" s="20">
        <v>182</v>
      </c>
      <c r="AO705" s="20">
        <v>0</v>
      </c>
      <c r="AP705" s="20">
        <v>20</v>
      </c>
      <c r="AQ705" s="20">
        <v>0</v>
      </c>
      <c r="AR705" s="20">
        <v>0</v>
      </c>
      <c r="AS705" s="20">
        <v>7</v>
      </c>
      <c r="AT705" s="20">
        <v>10</v>
      </c>
      <c r="AU705" s="300">
        <f t="shared" si="111"/>
        <v>219</v>
      </c>
      <c r="AV705" s="20">
        <v>190</v>
      </c>
      <c r="AW705" s="20">
        <v>0</v>
      </c>
      <c r="AX705" s="20">
        <v>20</v>
      </c>
      <c r="AY705" s="20">
        <v>0</v>
      </c>
      <c r="AZ705" s="20">
        <v>0</v>
      </c>
      <c r="BA705" s="20">
        <v>7</v>
      </c>
      <c r="BB705" s="20">
        <v>10</v>
      </c>
      <c r="BC705" s="300">
        <f t="shared" si="112"/>
        <v>227</v>
      </c>
      <c r="BD705" s="42">
        <f t="shared" si="113"/>
        <v>8</v>
      </c>
      <c r="BE705" s="42">
        <f t="shared" si="114"/>
        <v>0</v>
      </c>
      <c r="BF705" s="42">
        <f t="shared" si="115"/>
        <v>0</v>
      </c>
      <c r="BG705" s="42">
        <f t="shared" si="116"/>
        <v>0</v>
      </c>
      <c r="BH705" s="42">
        <f t="shared" si="117"/>
        <v>0</v>
      </c>
      <c r="BI705" s="42">
        <f t="shared" si="118"/>
        <v>0</v>
      </c>
      <c r="BJ705" s="42">
        <f t="shared" si="119"/>
        <v>0</v>
      </c>
      <c r="BK705" s="42">
        <f t="shared" si="120"/>
        <v>8</v>
      </c>
    </row>
    <row r="706" spans="1:63" ht="27" customHeight="1">
      <c r="A706" s="222">
        <f t="shared" si="121"/>
        <v>704</v>
      </c>
      <c r="B706" s="223"/>
      <c r="C706" s="250">
        <v>3290</v>
      </c>
      <c r="D706" s="225" t="s">
        <v>4292</v>
      </c>
      <c r="E706" s="251" t="s">
        <v>4293</v>
      </c>
      <c r="F706" s="252" t="s">
        <v>1173</v>
      </c>
      <c r="G706" s="253" t="s">
        <v>4294</v>
      </c>
      <c r="H706" s="229" t="s">
        <v>4295</v>
      </c>
      <c r="I706" s="230" t="s">
        <v>4296</v>
      </c>
      <c r="J706" s="254" t="s">
        <v>204</v>
      </c>
      <c r="K706" s="255">
        <v>34214</v>
      </c>
      <c r="L706" s="233" t="s">
        <v>174</v>
      </c>
      <c r="M706" s="256">
        <v>43746</v>
      </c>
      <c r="N706" s="256"/>
      <c r="O706" s="224" t="s">
        <v>4019</v>
      </c>
      <c r="P706" s="222" t="s">
        <v>3828</v>
      </c>
      <c r="Q706" s="222" t="s">
        <v>244</v>
      </c>
      <c r="R706" s="224" t="s">
        <v>177</v>
      </c>
      <c r="S706" s="224" t="s">
        <v>214</v>
      </c>
      <c r="T706" s="235"/>
      <c r="U706" s="257"/>
      <c r="V706" s="258" t="s">
        <v>179</v>
      </c>
      <c r="W706" s="258" t="s">
        <v>179</v>
      </c>
      <c r="X706" s="259">
        <v>7</v>
      </c>
      <c r="Y706" s="251" t="s">
        <v>4297</v>
      </c>
      <c r="Z706" s="261"/>
      <c r="AA706" s="258"/>
      <c r="AB706" s="258"/>
      <c r="AC706" s="270"/>
      <c r="AD706" s="271"/>
      <c r="AE706" s="270"/>
      <c r="AF706" s="272"/>
      <c r="AG706" s="270"/>
      <c r="AH706" s="260"/>
      <c r="AI706" s="260"/>
      <c r="AJ706" s="258" t="s">
        <v>198</v>
      </c>
      <c r="AK706" s="258" t="s">
        <v>185</v>
      </c>
      <c r="AL706" s="258" t="s">
        <v>185</v>
      </c>
      <c r="AM706" s="244" t="s">
        <v>3854</v>
      </c>
      <c r="AN706" s="20">
        <v>182</v>
      </c>
      <c r="AO706" s="20">
        <v>0</v>
      </c>
      <c r="AP706" s="20">
        <v>20</v>
      </c>
      <c r="AQ706" s="20">
        <v>0</v>
      </c>
      <c r="AR706" s="20">
        <v>0</v>
      </c>
      <c r="AS706" s="20">
        <v>7</v>
      </c>
      <c r="AT706" s="20">
        <v>10</v>
      </c>
      <c r="AU706" s="300">
        <f t="shared" si="111"/>
        <v>219</v>
      </c>
      <c r="AV706" s="20">
        <v>190</v>
      </c>
      <c r="AW706" s="20">
        <v>0</v>
      </c>
      <c r="AX706" s="20">
        <v>20</v>
      </c>
      <c r="AY706" s="20">
        <v>0</v>
      </c>
      <c r="AZ706" s="20">
        <v>0</v>
      </c>
      <c r="BA706" s="20">
        <v>7</v>
      </c>
      <c r="BB706" s="20">
        <v>10</v>
      </c>
      <c r="BC706" s="300">
        <f t="shared" si="112"/>
        <v>227</v>
      </c>
      <c r="BD706" s="42">
        <f t="shared" si="113"/>
        <v>8</v>
      </c>
      <c r="BE706" s="42">
        <f t="shared" si="114"/>
        <v>0</v>
      </c>
      <c r="BF706" s="42">
        <f t="shared" si="115"/>
        <v>0</v>
      </c>
      <c r="BG706" s="42">
        <f t="shared" si="116"/>
        <v>0</v>
      </c>
      <c r="BH706" s="42">
        <f t="shared" si="117"/>
        <v>0</v>
      </c>
      <c r="BI706" s="42">
        <f t="shared" si="118"/>
        <v>0</v>
      </c>
      <c r="BJ706" s="42">
        <f t="shared" si="119"/>
        <v>0</v>
      </c>
      <c r="BK706" s="42">
        <f t="shared" si="120"/>
        <v>8</v>
      </c>
    </row>
    <row r="707" spans="1:63" ht="27" customHeight="1">
      <c r="A707" s="222">
        <f t="shared" si="121"/>
        <v>705</v>
      </c>
      <c r="B707" s="223"/>
      <c r="C707" s="250">
        <v>3278</v>
      </c>
      <c r="D707" s="225" t="s">
        <v>4298</v>
      </c>
      <c r="E707" s="251" t="s">
        <v>4299</v>
      </c>
      <c r="F707" s="252" t="s">
        <v>4300</v>
      </c>
      <c r="G707" s="253" t="s">
        <v>1447</v>
      </c>
      <c r="H707" s="229" t="s">
        <v>4301</v>
      </c>
      <c r="I707" s="230" t="s">
        <v>1449</v>
      </c>
      <c r="J707" s="254" t="s">
        <v>173</v>
      </c>
      <c r="K707" s="255">
        <v>36993</v>
      </c>
      <c r="L707" s="233" t="s">
        <v>174</v>
      </c>
      <c r="M707" s="256">
        <v>43746</v>
      </c>
      <c r="N707" s="256"/>
      <c r="O707" s="224" t="s">
        <v>3999</v>
      </c>
      <c r="P707" s="222" t="s">
        <v>3828</v>
      </c>
      <c r="Q707" s="222" t="s">
        <v>244</v>
      </c>
      <c r="R707" s="224" t="s">
        <v>177</v>
      </c>
      <c r="S707" s="224" t="s">
        <v>223</v>
      </c>
      <c r="T707" s="235"/>
      <c r="U707" s="257"/>
      <c r="V707" s="258" t="s">
        <v>179</v>
      </c>
      <c r="W707" s="258" t="s">
        <v>179</v>
      </c>
      <c r="X707" s="259">
        <v>5</v>
      </c>
      <c r="Y707" s="251" t="s">
        <v>4302</v>
      </c>
      <c r="Z707" s="261" t="s">
        <v>181</v>
      </c>
      <c r="AA707" s="261"/>
      <c r="AB707" s="258"/>
      <c r="AC707" s="270"/>
      <c r="AD707" s="271"/>
      <c r="AE707" s="270"/>
      <c r="AF707" s="272"/>
      <c r="AG707" s="270"/>
      <c r="AH707" s="260"/>
      <c r="AI707" s="260"/>
      <c r="AJ707" s="258" t="s">
        <v>198</v>
      </c>
      <c r="AK707" s="258" t="s">
        <v>185</v>
      </c>
      <c r="AL707" s="258" t="s">
        <v>185</v>
      </c>
      <c r="AM707" s="244" t="s">
        <v>3854</v>
      </c>
      <c r="AN707" s="20">
        <v>182</v>
      </c>
      <c r="AO707" s="20">
        <v>0</v>
      </c>
      <c r="AP707" s="20">
        <v>20</v>
      </c>
      <c r="AQ707" s="20">
        <v>0</v>
      </c>
      <c r="AR707" s="20">
        <v>0</v>
      </c>
      <c r="AS707" s="20">
        <v>7</v>
      </c>
      <c r="AT707" s="20">
        <v>10</v>
      </c>
      <c r="AU707" s="300">
        <f t="shared" si="111"/>
        <v>219</v>
      </c>
      <c r="AV707" s="20">
        <v>190</v>
      </c>
      <c r="AW707" s="20">
        <v>0</v>
      </c>
      <c r="AX707" s="20">
        <v>20</v>
      </c>
      <c r="AY707" s="20">
        <v>0</v>
      </c>
      <c r="AZ707" s="20">
        <v>0</v>
      </c>
      <c r="BA707" s="20">
        <v>7</v>
      </c>
      <c r="BB707" s="20">
        <v>10</v>
      </c>
      <c r="BC707" s="300">
        <f t="shared" si="112"/>
        <v>227</v>
      </c>
      <c r="BD707" s="42">
        <f t="shared" si="113"/>
        <v>8</v>
      </c>
      <c r="BE707" s="42">
        <f t="shared" si="114"/>
        <v>0</v>
      </c>
      <c r="BF707" s="42">
        <f t="shared" si="115"/>
        <v>0</v>
      </c>
      <c r="BG707" s="42">
        <f t="shared" si="116"/>
        <v>0</v>
      </c>
      <c r="BH707" s="42">
        <f t="shared" si="117"/>
        <v>0</v>
      </c>
      <c r="BI707" s="42">
        <f t="shared" si="118"/>
        <v>0</v>
      </c>
      <c r="BJ707" s="42">
        <f t="shared" si="119"/>
        <v>0</v>
      </c>
      <c r="BK707" s="42">
        <f t="shared" si="120"/>
        <v>8</v>
      </c>
    </row>
    <row r="708" spans="1:63" ht="27" customHeight="1">
      <c r="A708" s="222">
        <f t="shared" si="121"/>
        <v>706</v>
      </c>
      <c r="B708" s="223"/>
      <c r="C708" s="250">
        <v>3541</v>
      </c>
      <c r="D708" s="225" t="s">
        <v>4303</v>
      </c>
      <c r="E708" s="251" t="s">
        <v>4304</v>
      </c>
      <c r="F708" s="252" t="s">
        <v>4305</v>
      </c>
      <c r="G708" s="253" t="s">
        <v>4306</v>
      </c>
      <c r="H708" s="229" t="s">
        <v>4307</v>
      </c>
      <c r="I708" s="230" t="s">
        <v>4308</v>
      </c>
      <c r="J708" s="254" t="s">
        <v>204</v>
      </c>
      <c r="K708" s="255">
        <v>35653</v>
      </c>
      <c r="L708" s="233" t="s">
        <v>174</v>
      </c>
      <c r="M708" s="256">
        <v>43747</v>
      </c>
      <c r="N708" s="256"/>
      <c r="O708" s="224" t="s">
        <v>3994</v>
      </c>
      <c r="P708" s="222" t="s">
        <v>3770</v>
      </c>
      <c r="Q708" s="222" t="s">
        <v>244</v>
      </c>
      <c r="R708" s="224" t="s">
        <v>177</v>
      </c>
      <c r="S708" s="224" t="s">
        <v>1201</v>
      </c>
      <c r="T708" s="235"/>
      <c r="U708" s="257"/>
      <c r="V708" s="258" t="s">
        <v>179</v>
      </c>
      <c r="W708" s="258" t="s">
        <v>179</v>
      </c>
      <c r="X708" s="259">
        <v>5</v>
      </c>
      <c r="Y708" s="251" t="s">
        <v>4309</v>
      </c>
      <c r="Z708" s="261" t="s">
        <v>181</v>
      </c>
      <c r="AA708" s="258"/>
      <c r="AB708" s="258"/>
      <c r="AC708" s="270"/>
      <c r="AD708" s="271"/>
      <c r="AE708" s="270"/>
      <c r="AF708" s="272"/>
      <c r="AG708" s="270"/>
      <c r="AH708" s="260"/>
      <c r="AI708" s="260"/>
      <c r="AJ708" s="258" t="s">
        <v>185</v>
      </c>
      <c r="AK708" s="258" t="s">
        <v>185</v>
      </c>
      <c r="AL708" s="258" t="s">
        <v>185</v>
      </c>
      <c r="AM708" s="244" t="s">
        <v>3962</v>
      </c>
      <c r="AN708" s="20">
        <v>182</v>
      </c>
      <c r="AO708" s="20">
        <v>0</v>
      </c>
      <c r="AP708" s="20">
        <v>20</v>
      </c>
      <c r="AQ708" s="20">
        <v>0</v>
      </c>
      <c r="AR708" s="20">
        <v>0</v>
      </c>
      <c r="AS708" s="20">
        <v>7</v>
      </c>
      <c r="AT708" s="20">
        <v>10</v>
      </c>
      <c r="AU708" s="300">
        <f t="shared" ref="AU708:AU771" si="122">SUM(AN708:AT708)</f>
        <v>219</v>
      </c>
      <c r="AV708" s="20">
        <v>190</v>
      </c>
      <c r="AW708" s="20">
        <v>0</v>
      </c>
      <c r="AX708" s="20">
        <v>20</v>
      </c>
      <c r="AY708" s="20">
        <v>0</v>
      </c>
      <c r="AZ708" s="20">
        <v>0</v>
      </c>
      <c r="BA708" s="20">
        <v>7</v>
      </c>
      <c r="BB708" s="20">
        <v>10</v>
      </c>
      <c r="BC708" s="300">
        <f t="shared" ref="BC708:BC771" si="123">SUM(AV708:BB708)</f>
        <v>227</v>
      </c>
      <c r="BD708" s="42">
        <f t="shared" ref="BD708:BD771" si="124">AV708-AN708</f>
        <v>8</v>
      </c>
      <c r="BE708" s="42">
        <f t="shared" ref="BE708:BE771" si="125">AW708-AO708</f>
        <v>0</v>
      </c>
      <c r="BF708" s="42">
        <f t="shared" ref="BF708:BF771" si="126">AX708-AP708</f>
        <v>0</v>
      </c>
      <c r="BG708" s="42">
        <f t="shared" ref="BG708:BG771" si="127">AY708-AQ708</f>
        <v>0</v>
      </c>
      <c r="BH708" s="42">
        <f t="shared" ref="BH708:BH771" si="128">AZ708-AR708</f>
        <v>0</v>
      </c>
      <c r="BI708" s="42">
        <f t="shared" ref="BI708:BI771" si="129">BA708-AS708</f>
        <v>0</v>
      </c>
      <c r="BJ708" s="42">
        <f t="shared" ref="BJ708:BJ771" si="130">BB708-AT708</f>
        <v>0</v>
      </c>
      <c r="BK708" s="42">
        <f t="shared" ref="BK708:BK771" si="131">BC708-AU708</f>
        <v>8</v>
      </c>
    </row>
    <row r="709" spans="1:63" ht="27" customHeight="1">
      <c r="A709" s="222">
        <f t="shared" ref="A709:A772" si="132">1+A708</f>
        <v>707</v>
      </c>
      <c r="B709" s="223"/>
      <c r="C709" s="250">
        <v>3295</v>
      </c>
      <c r="D709" s="225" t="s">
        <v>4310</v>
      </c>
      <c r="E709" s="251" t="s">
        <v>4311</v>
      </c>
      <c r="F709" s="252" t="s">
        <v>3016</v>
      </c>
      <c r="G709" s="253" t="s">
        <v>4312</v>
      </c>
      <c r="H709" s="229" t="s">
        <v>3915</v>
      </c>
      <c r="I709" s="230" t="s">
        <v>4313</v>
      </c>
      <c r="J709" s="254" t="s">
        <v>204</v>
      </c>
      <c r="K709" s="255">
        <v>34429</v>
      </c>
      <c r="L709" s="233" t="s">
        <v>174</v>
      </c>
      <c r="M709" s="256">
        <v>43746</v>
      </c>
      <c r="N709" s="256"/>
      <c r="O709" s="224" t="s">
        <v>3994</v>
      </c>
      <c r="P709" s="222" t="s">
        <v>3644</v>
      </c>
      <c r="Q709" s="222" t="s">
        <v>244</v>
      </c>
      <c r="R709" s="224" t="s">
        <v>177</v>
      </c>
      <c r="S709" s="224" t="s">
        <v>223</v>
      </c>
      <c r="T709" s="235"/>
      <c r="U709" s="257"/>
      <c r="V709" s="258" t="s">
        <v>179</v>
      </c>
      <c r="W709" s="258" t="s">
        <v>179</v>
      </c>
      <c r="X709" s="259">
        <v>9</v>
      </c>
      <c r="Y709" s="251" t="s">
        <v>4314</v>
      </c>
      <c r="Z709" s="258"/>
      <c r="AA709" s="261"/>
      <c r="AB709" s="258"/>
      <c r="AC709" s="270"/>
      <c r="AD709" s="271"/>
      <c r="AE709" s="270"/>
      <c r="AF709" s="272"/>
      <c r="AG709" s="270"/>
      <c r="AH709" s="260"/>
      <c r="AI709" s="260"/>
      <c r="AJ709" s="258" t="s">
        <v>198</v>
      </c>
      <c r="AK709" s="258" t="s">
        <v>185</v>
      </c>
      <c r="AL709" s="258" t="s">
        <v>185</v>
      </c>
      <c r="AM709" s="244" t="s">
        <v>3854</v>
      </c>
      <c r="AN709" s="20">
        <v>182</v>
      </c>
      <c r="AO709" s="20">
        <v>0</v>
      </c>
      <c r="AP709" s="20">
        <v>0</v>
      </c>
      <c r="AQ709" s="20">
        <v>0</v>
      </c>
      <c r="AR709" s="20">
        <v>0</v>
      </c>
      <c r="AS709" s="20">
        <v>7</v>
      </c>
      <c r="AT709" s="20">
        <v>10</v>
      </c>
      <c r="AU709" s="300">
        <f t="shared" si="122"/>
        <v>199</v>
      </c>
      <c r="AV709" s="20">
        <v>190</v>
      </c>
      <c r="AW709" s="20">
        <v>0</v>
      </c>
      <c r="AX709" s="20">
        <v>0</v>
      </c>
      <c r="AY709" s="20">
        <v>0</v>
      </c>
      <c r="AZ709" s="20">
        <v>0</v>
      </c>
      <c r="BA709" s="20">
        <v>7</v>
      </c>
      <c r="BB709" s="20">
        <v>10</v>
      </c>
      <c r="BC709" s="300">
        <f t="shared" si="123"/>
        <v>207</v>
      </c>
      <c r="BD709" s="42">
        <f t="shared" si="124"/>
        <v>8</v>
      </c>
      <c r="BE709" s="42">
        <f t="shared" si="125"/>
        <v>0</v>
      </c>
      <c r="BF709" s="42">
        <f t="shared" si="126"/>
        <v>0</v>
      </c>
      <c r="BG709" s="42">
        <f t="shared" si="127"/>
        <v>0</v>
      </c>
      <c r="BH709" s="42">
        <f t="shared" si="128"/>
        <v>0</v>
      </c>
      <c r="BI709" s="42">
        <f t="shared" si="129"/>
        <v>0</v>
      </c>
      <c r="BJ709" s="42">
        <f t="shared" si="130"/>
        <v>0</v>
      </c>
      <c r="BK709" s="42">
        <f t="shared" si="131"/>
        <v>8</v>
      </c>
    </row>
    <row r="710" spans="1:63" ht="27" customHeight="1">
      <c r="A710" s="222">
        <f t="shared" si="132"/>
        <v>708</v>
      </c>
      <c r="B710" s="223"/>
      <c r="C710" s="250">
        <v>3633</v>
      </c>
      <c r="D710" s="225" t="s">
        <v>4315</v>
      </c>
      <c r="E710" s="251" t="s">
        <v>4316</v>
      </c>
      <c r="F710" s="252" t="s">
        <v>1391</v>
      </c>
      <c r="G710" s="253" t="s">
        <v>4317</v>
      </c>
      <c r="H710" s="229" t="s">
        <v>1538</v>
      </c>
      <c r="I710" s="230" t="s">
        <v>585</v>
      </c>
      <c r="J710" s="254" t="s">
        <v>173</v>
      </c>
      <c r="K710" s="255">
        <v>34160</v>
      </c>
      <c r="L710" s="233" t="s">
        <v>174</v>
      </c>
      <c r="M710" s="256">
        <v>43753</v>
      </c>
      <c r="N710" s="256"/>
      <c r="O710" s="224" t="s">
        <v>4049</v>
      </c>
      <c r="P710" s="222" t="s">
        <v>101</v>
      </c>
      <c r="Q710" s="222" t="s">
        <v>244</v>
      </c>
      <c r="R710" s="224" t="s">
        <v>177</v>
      </c>
      <c r="S710" s="224" t="s">
        <v>3509</v>
      </c>
      <c r="T710" s="235"/>
      <c r="U710" s="257"/>
      <c r="V710" s="258" t="s">
        <v>179</v>
      </c>
      <c r="W710" s="258" t="s">
        <v>179</v>
      </c>
      <c r="X710" s="259">
        <v>6</v>
      </c>
      <c r="Y710" s="251" t="s">
        <v>4318</v>
      </c>
      <c r="Z710" s="261" t="s">
        <v>181</v>
      </c>
      <c r="AA710" s="258"/>
      <c r="AB710" s="258"/>
      <c r="AC710" s="270"/>
      <c r="AD710" s="271"/>
      <c r="AE710" s="270"/>
      <c r="AF710" s="272"/>
      <c r="AG710" s="270"/>
      <c r="AH710" s="260"/>
      <c r="AI710" s="260"/>
      <c r="AJ710" s="258" t="s">
        <v>185</v>
      </c>
      <c r="AK710" s="258" t="s">
        <v>185</v>
      </c>
      <c r="AL710" s="258" t="s">
        <v>185</v>
      </c>
      <c r="AM710" s="244" t="s">
        <v>3854</v>
      </c>
      <c r="AN710" s="20">
        <v>182</v>
      </c>
      <c r="AO710" s="20">
        <v>0</v>
      </c>
      <c r="AP710" s="20">
        <v>36</v>
      </c>
      <c r="AQ710" s="20">
        <v>0</v>
      </c>
      <c r="AR710" s="20">
        <v>150</v>
      </c>
      <c r="AS710" s="20">
        <v>7</v>
      </c>
      <c r="AT710" s="20">
        <v>10</v>
      </c>
      <c r="AU710" s="300">
        <f t="shared" si="122"/>
        <v>385</v>
      </c>
      <c r="AV710" s="20">
        <v>190</v>
      </c>
      <c r="AW710" s="20">
        <v>0</v>
      </c>
      <c r="AX710" s="20">
        <v>36</v>
      </c>
      <c r="AY710" s="20">
        <v>0</v>
      </c>
      <c r="AZ710" s="20">
        <v>150</v>
      </c>
      <c r="BA710" s="20">
        <v>7</v>
      </c>
      <c r="BB710" s="20">
        <v>10</v>
      </c>
      <c r="BC710" s="300">
        <f t="shared" si="123"/>
        <v>393</v>
      </c>
      <c r="BD710" s="42">
        <f t="shared" si="124"/>
        <v>8</v>
      </c>
      <c r="BE710" s="42">
        <f t="shared" si="125"/>
        <v>0</v>
      </c>
      <c r="BF710" s="42">
        <f t="shared" si="126"/>
        <v>0</v>
      </c>
      <c r="BG710" s="42">
        <f t="shared" si="127"/>
        <v>0</v>
      </c>
      <c r="BH710" s="42">
        <f t="shared" si="128"/>
        <v>0</v>
      </c>
      <c r="BI710" s="42">
        <f t="shared" si="129"/>
        <v>0</v>
      </c>
      <c r="BJ710" s="42">
        <f t="shared" si="130"/>
        <v>0</v>
      </c>
      <c r="BK710" s="42">
        <f t="shared" si="131"/>
        <v>8</v>
      </c>
    </row>
    <row r="711" spans="1:63" ht="27" customHeight="1">
      <c r="A711" s="222">
        <f t="shared" si="132"/>
        <v>709</v>
      </c>
      <c r="B711" s="223"/>
      <c r="C711" s="250">
        <v>3228</v>
      </c>
      <c r="D711" s="268" t="s">
        <v>4319</v>
      </c>
      <c r="E711" s="251" t="s">
        <v>4320</v>
      </c>
      <c r="F711" s="252" t="s">
        <v>4321</v>
      </c>
      <c r="G711" s="253" t="s">
        <v>1249</v>
      </c>
      <c r="H711" s="229" t="s">
        <v>4322</v>
      </c>
      <c r="I711" s="230" t="s">
        <v>1251</v>
      </c>
      <c r="J711" s="254" t="s">
        <v>173</v>
      </c>
      <c r="K711" s="255">
        <v>30744</v>
      </c>
      <c r="L711" s="233" t="s">
        <v>174</v>
      </c>
      <c r="M711" s="256">
        <v>43742</v>
      </c>
      <c r="N711" s="256"/>
      <c r="O711" s="224" t="s">
        <v>3973</v>
      </c>
      <c r="P711" s="222" t="s">
        <v>3780</v>
      </c>
      <c r="Q711" s="222" t="s">
        <v>244</v>
      </c>
      <c r="R711" s="224" t="s">
        <v>177</v>
      </c>
      <c r="S711" s="224" t="s">
        <v>326</v>
      </c>
      <c r="T711" s="235"/>
      <c r="U711" s="257"/>
      <c r="V711" s="258" t="s">
        <v>179</v>
      </c>
      <c r="W711" s="258" t="s">
        <v>179</v>
      </c>
      <c r="X711" s="259">
        <v>0</v>
      </c>
      <c r="Y711" s="251" t="s">
        <v>4323</v>
      </c>
      <c r="Z711" s="258"/>
      <c r="AA711" s="261"/>
      <c r="AB711" s="261" t="s">
        <v>181</v>
      </c>
      <c r="AC711" s="270"/>
      <c r="AD711" s="271"/>
      <c r="AE711" s="270"/>
      <c r="AF711" s="272"/>
      <c r="AG711" s="270"/>
      <c r="AH711" s="260"/>
      <c r="AI711" s="260"/>
      <c r="AJ711" s="258" t="s">
        <v>198</v>
      </c>
      <c r="AK711" s="258" t="s">
        <v>185</v>
      </c>
      <c r="AL711" s="258" t="s">
        <v>185</v>
      </c>
      <c r="AM711" s="244" t="s">
        <v>3854</v>
      </c>
      <c r="AN711" s="20">
        <v>182</v>
      </c>
      <c r="AO711" s="20">
        <v>0</v>
      </c>
      <c r="AP711" s="20">
        <v>20</v>
      </c>
      <c r="AQ711" s="20">
        <v>20</v>
      </c>
      <c r="AR711" s="20">
        <v>0</v>
      </c>
      <c r="AS711" s="20">
        <v>7</v>
      </c>
      <c r="AT711" s="20">
        <v>10</v>
      </c>
      <c r="AU711" s="300">
        <f t="shared" si="122"/>
        <v>239</v>
      </c>
      <c r="AV711" s="20">
        <v>190</v>
      </c>
      <c r="AW711" s="20">
        <v>0</v>
      </c>
      <c r="AX711" s="20">
        <v>20</v>
      </c>
      <c r="AY711" s="20">
        <v>20</v>
      </c>
      <c r="AZ711" s="20">
        <v>0</v>
      </c>
      <c r="BA711" s="20">
        <v>7</v>
      </c>
      <c r="BB711" s="20">
        <v>10</v>
      </c>
      <c r="BC711" s="300">
        <f t="shared" si="123"/>
        <v>247</v>
      </c>
      <c r="BD711" s="42">
        <f t="shared" si="124"/>
        <v>8</v>
      </c>
      <c r="BE711" s="42">
        <f t="shared" si="125"/>
        <v>0</v>
      </c>
      <c r="BF711" s="42">
        <f t="shared" si="126"/>
        <v>0</v>
      </c>
      <c r="BG711" s="42">
        <f t="shared" si="127"/>
        <v>0</v>
      </c>
      <c r="BH711" s="42">
        <f t="shared" si="128"/>
        <v>0</v>
      </c>
      <c r="BI711" s="42">
        <f t="shared" si="129"/>
        <v>0</v>
      </c>
      <c r="BJ711" s="42">
        <f t="shared" si="130"/>
        <v>0</v>
      </c>
      <c r="BK711" s="42">
        <f t="shared" si="131"/>
        <v>8</v>
      </c>
    </row>
    <row r="712" spans="1:63" ht="27" customHeight="1">
      <c r="A712" s="222">
        <f t="shared" si="132"/>
        <v>710</v>
      </c>
      <c r="B712" s="223"/>
      <c r="C712" s="250">
        <v>3227</v>
      </c>
      <c r="D712" s="225" t="s">
        <v>4324</v>
      </c>
      <c r="E712" s="251" t="s">
        <v>4325</v>
      </c>
      <c r="F712" s="252" t="s">
        <v>4326</v>
      </c>
      <c r="G712" s="253" t="s">
        <v>4327</v>
      </c>
      <c r="H712" s="229" t="s">
        <v>738</v>
      </c>
      <c r="I712" s="230" t="s">
        <v>4328</v>
      </c>
      <c r="J712" s="254" t="s">
        <v>204</v>
      </c>
      <c r="K712" s="255">
        <v>34552</v>
      </c>
      <c r="L712" s="233" t="s">
        <v>174</v>
      </c>
      <c r="M712" s="256">
        <v>43742</v>
      </c>
      <c r="N712" s="256"/>
      <c r="O712" s="224" t="s">
        <v>4085</v>
      </c>
      <c r="P712" s="222" t="s">
        <v>3770</v>
      </c>
      <c r="Q712" s="222" t="s">
        <v>244</v>
      </c>
      <c r="R712" s="224" t="s">
        <v>177</v>
      </c>
      <c r="S712" s="224" t="s">
        <v>4329</v>
      </c>
      <c r="T712" s="235"/>
      <c r="U712" s="257"/>
      <c r="V712" s="258" t="s">
        <v>179</v>
      </c>
      <c r="W712" s="258" t="s">
        <v>179</v>
      </c>
      <c r="X712" s="259">
        <v>9</v>
      </c>
      <c r="Y712" s="251" t="s">
        <v>4330</v>
      </c>
      <c r="Z712" s="261" t="s">
        <v>181</v>
      </c>
      <c r="AA712" s="261"/>
      <c r="AB712" s="258"/>
      <c r="AC712" s="270"/>
      <c r="AD712" s="271"/>
      <c r="AE712" s="271"/>
      <c r="AF712" s="272"/>
      <c r="AG712" s="270"/>
      <c r="AH712" s="260"/>
      <c r="AI712" s="260"/>
      <c r="AJ712" s="258" t="s">
        <v>198</v>
      </c>
      <c r="AK712" s="258" t="s">
        <v>185</v>
      </c>
      <c r="AL712" s="258" t="s">
        <v>185</v>
      </c>
      <c r="AM712" s="244" t="s">
        <v>4331</v>
      </c>
      <c r="AN712" s="20">
        <v>182</v>
      </c>
      <c r="AO712" s="20">
        <v>0</v>
      </c>
      <c r="AP712" s="20">
        <v>20</v>
      </c>
      <c r="AQ712" s="20">
        <v>20</v>
      </c>
      <c r="AR712" s="20">
        <v>0</v>
      </c>
      <c r="AS712" s="20">
        <v>7</v>
      </c>
      <c r="AT712" s="20">
        <v>10</v>
      </c>
      <c r="AU712" s="300">
        <f t="shared" si="122"/>
        <v>239</v>
      </c>
      <c r="AV712" s="20">
        <v>190</v>
      </c>
      <c r="AW712" s="20">
        <v>0</v>
      </c>
      <c r="AX712" s="20">
        <v>20</v>
      </c>
      <c r="AY712" s="20">
        <v>20</v>
      </c>
      <c r="AZ712" s="20">
        <v>0</v>
      </c>
      <c r="BA712" s="20">
        <v>7</v>
      </c>
      <c r="BB712" s="20">
        <v>10</v>
      </c>
      <c r="BC712" s="300">
        <f t="shared" si="123"/>
        <v>247</v>
      </c>
      <c r="BD712" s="42">
        <f t="shared" si="124"/>
        <v>8</v>
      </c>
      <c r="BE712" s="42">
        <f t="shared" si="125"/>
        <v>0</v>
      </c>
      <c r="BF712" s="42">
        <f t="shared" si="126"/>
        <v>0</v>
      </c>
      <c r="BG712" s="42">
        <f t="shared" si="127"/>
        <v>0</v>
      </c>
      <c r="BH712" s="42">
        <f t="shared" si="128"/>
        <v>0</v>
      </c>
      <c r="BI712" s="42">
        <f t="shared" si="129"/>
        <v>0</v>
      </c>
      <c r="BJ712" s="42">
        <f t="shared" si="130"/>
        <v>0</v>
      </c>
      <c r="BK712" s="42">
        <f t="shared" si="131"/>
        <v>8</v>
      </c>
    </row>
    <row r="713" spans="1:63" ht="27" customHeight="1">
      <c r="A713" s="222">
        <f t="shared" si="132"/>
        <v>711</v>
      </c>
      <c r="B713" s="223"/>
      <c r="C713" s="250">
        <v>3156</v>
      </c>
      <c r="D713" s="225" t="s">
        <v>4332</v>
      </c>
      <c r="E713" s="251" t="s">
        <v>4333</v>
      </c>
      <c r="F713" s="252" t="s">
        <v>4334</v>
      </c>
      <c r="G713" s="253" t="s">
        <v>4335</v>
      </c>
      <c r="H713" s="229" t="s">
        <v>4336</v>
      </c>
      <c r="I713" s="230" t="s">
        <v>4337</v>
      </c>
      <c r="J713" s="254" t="s">
        <v>204</v>
      </c>
      <c r="K713" s="255">
        <v>31998</v>
      </c>
      <c r="L713" s="233" t="s">
        <v>174</v>
      </c>
      <c r="M713" s="256">
        <v>43740</v>
      </c>
      <c r="N713" s="256"/>
      <c r="O713" s="224" t="s">
        <v>3999</v>
      </c>
      <c r="P713" s="222" t="s">
        <v>3828</v>
      </c>
      <c r="Q713" s="222" t="s">
        <v>244</v>
      </c>
      <c r="R713" s="224" t="s">
        <v>177</v>
      </c>
      <c r="S713" s="224" t="s">
        <v>251</v>
      </c>
      <c r="T713" s="235"/>
      <c r="U713" s="257"/>
      <c r="V713" s="258" t="s">
        <v>179</v>
      </c>
      <c r="W713" s="258" t="s">
        <v>179</v>
      </c>
      <c r="X713" s="259">
        <v>7</v>
      </c>
      <c r="Y713" s="251" t="s">
        <v>4338</v>
      </c>
      <c r="Z713" s="261" t="s">
        <v>181</v>
      </c>
      <c r="AA713" s="258"/>
      <c r="AB713" s="258"/>
      <c r="AC713" s="270"/>
      <c r="AD713" s="271"/>
      <c r="AE713" s="270"/>
      <c r="AF713" s="272"/>
      <c r="AG713" s="270"/>
      <c r="AH713" s="260"/>
      <c r="AI713" s="260"/>
      <c r="AJ713" s="258" t="s">
        <v>198</v>
      </c>
      <c r="AK713" s="258" t="s">
        <v>185</v>
      </c>
      <c r="AL713" s="258" t="s">
        <v>185</v>
      </c>
      <c r="AM713" s="244" t="s">
        <v>3854</v>
      </c>
      <c r="AN713" s="20">
        <v>182</v>
      </c>
      <c r="AO713" s="20">
        <v>0</v>
      </c>
      <c r="AP713" s="20">
        <v>20</v>
      </c>
      <c r="AQ713" s="20">
        <v>0</v>
      </c>
      <c r="AR713" s="20">
        <v>0</v>
      </c>
      <c r="AS713" s="20">
        <v>7</v>
      </c>
      <c r="AT713" s="20">
        <v>10</v>
      </c>
      <c r="AU713" s="300">
        <f t="shared" si="122"/>
        <v>219</v>
      </c>
      <c r="AV713" s="20">
        <v>190</v>
      </c>
      <c r="AW713" s="20">
        <v>0</v>
      </c>
      <c r="AX713" s="20">
        <v>20</v>
      </c>
      <c r="AY713" s="20">
        <v>0</v>
      </c>
      <c r="AZ713" s="20">
        <v>0</v>
      </c>
      <c r="BA713" s="20">
        <v>7</v>
      </c>
      <c r="BB713" s="20">
        <v>10</v>
      </c>
      <c r="BC713" s="300">
        <f t="shared" si="123"/>
        <v>227</v>
      </c>
      <c r="BD713" s="42">
        <f t="shared" si="124"/>
        <v>8</v>
      </c>
      <c r="BE713" s="42">
        <f t="shared" si="125"/>
        <v>0</v>
      </c>
      <c r="BF713" s="42">
        <f t="shared" si="126"/>
        <v>0</v>
      </c>
      <c r="BG713" s="42">
        <f t="shared" si="127"/>
        <v>0</v>
      </c>
      <c r="BH713" s="42">
        <f t="shared" si="128"/>
        <v>0</v>
      </c>
      <c r="BI713" s="42">
        <f t="shared" si="129"/>
        <v>0</v>
      </c>
      <c r="BJ713" s="42">
        <f t="shared" si="130"/>
        <v>0</v>
      </c>
      <c r="BK713" s="42">
        <f t="shared" si="131"/>
        <v>8</v>
      </c>
    </row>
    <row r="714" spans="1:63" ht="27" customHeight="1">
      <c r="A714" s="222">
        <f t="shared" si="132"/>
        <v>712</v>
      </c>
      <c r="B714" s="223"/>
      <c r="C714" s="250">
        <v>3233</v>
      </c>
      <c r="D714" s="225" t="s">
        <v>4339</v>
      </c>
      <c r="E714" s="251" t="s">
        <v>4340</v>
      </c>
      <c r="F714" s="252" t="s">
        <v>495</v>
      </c>
      <c r="G714" s="253" t="s">
        <v>869</v>
      </c>
      <c r="H714" s="229" t="s">
        <v>672</v>
      </c>
      <c r="I714" s="230" t="s">
        <v>720</v>
      </c>
      <c r="J714" s="254" t="s">
        <v>173</v>
      </c>
      <c r="K714" s="255">
        <v>30075</v>
      </c>
      <c r="L714" s="233" t="s">
        <v>174</v>
      </c>
      <c r="M714" s="256">
        <v>43745</v>
      </c>
      <c r="N714" s="256"/>
      <c r="O714" s="224" t="s">
        <v>3973</v>
      </c>
      <c r="P714" s="222" t="s">
        <v>3749</v>
      </c>
      <c r="Q714" s="222" t="s">
        <v>244</v>
      </c>
      <c r="R714" s="224" t="s">
        <v>177</v>
      </c>
      <c r="S714" s="224" t="s">
        <v>223</v>
      </c>
      <c r="T714" s="235"/>
      <c r="U714" s="257"/>
      <c r="V714" s="258" t="s">
        <v>179</v>
      </c>
      <c r="W714" s="258" t="s">
        <v>179</v>
      </c>
      <c r="X714" s="259">
        <v>7</v>
      </c>
      <c r="Y714" s="251" t="s">
        <v>4341</v>
      </c>
      <c r="Z714" s="258"/>
      <c r="AA714" s="261" t="s">
        <v>181</v>
      </c>
      <c r="AB714" s="258"/>
      <c r="AC714" s="270"/>
      <c r="AD714" s="271"/>
      <c r="AE714" s="270"/>
      <c r="AF714" s="272"/>
      <c r="AG714" s="270"/>
      <c r="AH714" s="260"/>
      <c r="AI714" s="260"/>
      <c r="AJ714" s="258" t="s">
        <v>185</v>
      </c>
      <c r="AK714" s="258" t="s">
        <v>185</v>
      </c>
      <c r="AL714" s="258" t="s">
        <v>185</v>
      </c>
      <c r="AM714" s="244" t="s">
        <v>236</v>
      </c>
      <c r="AN714" s="20">
        <v>182</v>
      </c>
      <c r="AO714" s="20">
        <v>0</v>
      </c>
      <c r="AP714" s="20">
        <v>20</v>
      </c>
      <c r="AQ714" s="20">
        <v>60</v>
      </c>
      <c r="AR714" s="20">
        <v>150</v>
      </c>
      <c r="AS714" s="20">
        <v>7</v>
      </c>
      <c r="AT714" s="20">
        <v>10</v>
      </c>
      <c r="AU714" s="300">
        <f t="shared" si="122"/>
        <v>429</v>
      </c>
      <c r="AV714" s="20">
        <v>190</v>
      </c>
      <c r="AW714" s="20">
        <v>0</v>
      </c>
      <c r="AX714" s="20">
        <v>20</v>
      </c>
      <c r="AY714" s="20">
        <v>60</v>
      </c>
      <c r="AZ714" s="20">
        <v>150</v>
      </c>
      <c r="BA714" s="20">
        <v>7</v>
      </c>
      <c r="BB714" s="20">
        <v>10</v>
      </c>
      <c r="BC714" s="300">
        <f t="shared" si="123"/>
        <v>437</v>
      </c>
      <c r="BD714" s="42">
        <f t="shared" si="124"/>
        <v>8</v>
      </c>
      <c r="BE714" s="42">
        <f t="shared" si="125"/>
        <v>0</v>
      </c>
      <c r="BF714" s="42">
        <f t="shared" si="126"/>
        <v>0</v>
      </c>
      <c r="BG714" s="42">
        <f t="shared" si="127"/>
        <v>0</v>
      </c>
      <c r="BH714" s="42">
        <f t="shared" si="128"/>
        <v>0</v>
      </c>
      <c r="BI714" s="42">
        <f t="shared" si="129"/>
        <v>0</v>
      </c>
      <c r="BJ714" s="42">
        <f t="shared" si="130"/>
        <v>0</v>
      </c>
      <c r="BK714" s="42">
        <f t="shared" si="131"/>
        <v>8</v>
      </c>
    </row>
    <row r="715" spans="1:63" ht="27" customHeight="1">
      <c r="A715" s="222">
        <f t="shared" si="132"/>
        <v>713</v>
      </c>
      <c r="B715" s="223"/>
      <c r="C715" s="250">
        <v>3243</v>
      </c>
      <c r="D715" s="268">
        <v>0</v>
      </c>
      <c r="E715" s="251" t="s">
        <v>4342</v>
      </c>
      <c r="F715" s="252" t="s">
        <v>1061</v>
      </c>
      <c r="G715" s="253" t="s">
        <v>2788</v>
      </c>
      <c r="H715" s="229" t="s">
        <v>1063</v>
      </c>
      <c r="I715" s="230" t="s">
        <v>4343</v>
      </c>
      <c r="J715" s="254" t="s">
        <v>204</v>
      </c>
      <c r="K715" s="255">
        <v>35367</v>
      </c>
      <c r="L715" s="233" t="s">
        <v>174</v>
      </c>
      <c r="M715" s="256">
        <v>43742</v>
      </c>
      <c r="N715" s="256"/>
      <c r="O715" s="224" t="s">
        <v>4019</v>
      </c>
      <c r="P715" s="222" t="s">
        <v>3765</v>
      </c>
      <c r="Q715" s="222" t="s">
        <v>244</v>
      </c>
      <c r="R715" s="224" t="s">
        <v>177</v>
      </c>
      <c r="S715" s="224" t="s">
        <v>305</v>
      </c>
      <c r="T715" s="235"/>
      <c r="U715" s="257"/>
      <c r="V715" s="258" t="s">
        <v>179</v>
      </c>
      <c r="W715" s="258" t="s">
        <v>179</v>
      </c>
      <c r="X715" s="259">
        <v>8</v>
      </c>
      <c r="Y715" s="251" t="s">
        <v>4344</v>
      </c>
      <c r="Z715" s="258"/>
      <c r="AA715" s="261" t="s">
        <v>181</v>
      </c>
      <c r="AB715" s="258"/>
      <c r="AC715" s="270"/>
      <c r="AD715" s="271"/>
      <c r="AE715" s="270"/>
      <c r="AF715" s="272"/>
      <c r="AG715" s="270"/>
      <c r="AH715" s="260"/>
      <c r="AI715" s="260"/>
      <c r="AJ715" s="258" t="s">
        <v>185</v>
      </c>
      <c r="AK715" s="258" t="s">
        <v>185</v>
      </c>
      <c r="AL715" s="258" t="s">
        <v>185</v>
      </c>
      <c r="AM715" s="244" t="s">
        <v>3962</v>
      </c>
      <c r="AN715" s="20">
        <v>182</v>
      </c>
      <c r="AO715" s="20">
        <v>0</v>
      </c>
      <c r="AP715" s="20">
        <v>0</v>
      </c>
      <c r="AQ715" s="20">
        <v>0</v>
      </c>
      <c r="AR715" s="20">
        <v>0</v>
      </c>
      <c r="AS715" s="20">
        <v>7</v>
      </c>
      <c r="AT715" s="20">
        <v>10</v>
      </c>
      <c r="AU715" s="300">
        <f t="shared" si="122"/>
        <v>199</v>
      </c>
      <c r="AV715" s="20">
        <v>190</v>
      </c>
      <c r="AW715" s="20">
        <v>0</v>
      </c>
      <c r="AX715" s="20">
        <v>0</v>
      </c>
      <c r="AY715" s="20">
        <v>0</v>
      </c>
      <c r="AZ715" s="20">
        <v>0</v>
      </c>
      <c r="BA715" s="20">
        <v>7</v>
      </c>
      <c r="BB715" s="20">
        <v>10</v>
      </c>
      <c r="BC715" s="300">
        <f t="shared" si="123"/>
        <v>207</v>
      </c>
      <c r="BD715" s="42">
        <f t="shared" si="124"/>
        <v>8</v>
      </c>
      <c r="BE715" s="42">
        <f t="shared" si="125"/>
        <v>0</v>
      </c>
      <c r="BF715" s="42">
        <f t="shared" si="126"/>
        <v>0</v>
      </c>
      <c r="BG715" s="42">
        <f t="shared" si="127"/>
        <v>0</v>
      </c>
      <c r="BH715" s="42">
        <f t="shared" si="128"/>
        <v>0</v>
      </c>
      <c r="BI715" s="42">
        <f t="shared" si="129"/>
        <v>0</v>
      </c>
      <c r="BJ715" s="42">
        <f t="shared" si="130"/>
        <v>0</v>
      </c>
      <c r="BK715" s="42">
        <f t="shared" si="131"/>
        <v>8</v>
      </c>
    </row>
    <row r="716" spans="1:63" ht="27" customHeight="1">
      <c r="A716" s="222">
        <f t="shared" si="132"/>
        <v>714</v>
      </c>
      <c r="B716" s="223"/>
      <c r="C716" s="250">
        <v>3205</v>
      </c>
      <c r="D716" s="225" t="s">
        <v>4345</v>
      </c>
      <c r="E716" s="251" t="s">
        <v>4346</v>
      </c>
      <c r="F716" s="252" t="s">
        <v>1865</v>
      </c>
      <c r="G716" s="253" t="s">
        <v>1885</v>
      </c>
      <c r="H716" s="229" t="s">
        <v>1867</v>
      </c>
      <c r="I716" s="230" t="s">
        <v>1887</v>
      </c>
      <c r="J716" s="254" t="s">
        <v>204</v>
      </c>
      <c r="K716" s="255">
        <v>33340</v>
      </c>
      <c r="L716" s="233" t="s">
        <v>174</v>
      </c>
      <c r="M716" s="256">
        <v>43740</v>
      </c>
      <c r="N716" s="256"/>
      <c r="O716" s="224" t="s">
        <v>4032</v>
      </c>
      <c r="P716" s="222" t="s">
        <v>3765</v>
      </c>
      <c r="Q716" s="222" t="s">
        <v>244</v>
      </c>
      <c r="R716" s="224" t="s">
        <v>177</v>
      </c>
      <c r="S716" s="224" t="s">
        <v>223</v>
      </c>
      <c r="T716" s="235"/>
      <c r="U716" s="257"/>
      <c r="V716" s="258" t="s">
        <v>179</v>
      </c>
      <c r="W716" s="258" t="s">
        <v>179</v>
      </c>
      <c r="X716" s="259">
        <v>8</v>
      </c>
      <c r="Y716" s="251" t="s">
        <v>4347</v>
      </c>
      <c r="Z716" s="261"/>
      <c r="AA716" s="261" t="s">
        <v>181</v>
      </c>
      <c r="AB716" s="258"/>
      <c r="AC716" s="270"/>
      <c r="AD716" s="271"/>
      <c r="AE716" s="270"/>
      <c r="AF716" s="272"/>
      <c r="AG716" s="270"/>
      <c r="AH716" s="260"/>
      <c r="AI716" s="260"/>
      <c r="AJ716" s="258" t="s">
        <v>185</v>
      </c>
      <c r="AK716" s="258" t="s">
        <v>185</v>
      </c>
      <c r="AL716" s="258" t="s">
        <v>185</v>
      </c>
      <c r="AM716" s="244" t="s">
        <v>3854</v>
      </c>
      <c r="AN716" s="20">
        <v>182</v>
      </c>
      <c r="AO716" s="20">
        <v>0</v>
      </c>
      <c r="AP716" s="20">
        <v>20</v>
      </c>
      <c r="AQ716" s="20">
        <v>0</v>
      </c>
      <c r="AR716" s="20">
        <v>0</v>
      </c>
      <c r="AS716" s="20">
        <v>7</v>
      </c>
      <c r="AT716" s="20">
        <v>10</v>
      </c>
      <c r="AU716" s="300">
        <f t="shared" si="122"/>
        <v>219</v>
      </c>
      <c r="AV716" s="20">
        <v>190</v>
      </c>
      <c r="AW716" s="20">
        <v>0</v>
      </c>
      <c r="AX716" s="20">
        <v>20</v>
      </c>
      <c r="AY716" s="20">
        <v>0</v>
      </c>
      <c r="AZ716" s="20">
        <v>0</v>
      </c>
      <c r="BA716" s="20">
        <v>7</v>
      </c>
      <c r="BB716" s="20">
        <v>10</v>
      </c>
      <c r="BC716" s="300">
        <f t="shared" si="123"/>
        <v>227</v>
      </c>
      <c r="BD716" s="42">
        <f t="shared" si="124"/>
        <v>8</v>
      </c>
      <c r="BE716" s="42">
        <f t="shared" si="125"/>
        <v>0</v>
      </c>
      <c r="BF716" s="42">
        <f t="shared" si="126"/>
        <v>0</v>
      </c>
      <c r="BG716" s="42">
        <f t="shared" si="127"/>
        <v>0</v>
      </c>
      <c r="BH716" s="42">
        <f t="shared" si="128"/>
        <v>0</v>
      </c>
      <c r="BI716" s="42">
        <f t="shared" si="129"/>
        <v>0</v>
      </c>
      <c r="BJ716" s="42">
        <f t="shared" si="130"/>
        <v>0</v>
      </c>
      <c r="BK716" s="42">
        <f t="shared" si="131"/>
        <v>8</v>
      </c>
    </row>
    <row r="717" spans="1:63" ht="27" customHeight="1">
      <c r="A717" s="222">
        <f t="shared" si="132"/>
        <v>715</v>
      </c>
      <c r="B717" s="223"/>
      <c r="C717" s="250">
        <v>3245</v>
      </c>
      <c r="D717" s="225" t="s">
        <v>4348</v>
      </c>
      <c r="E717" s="251" t="s">
        <v>4349</v>
      </c>
      <c r="F717" s="252" t="s">
        <v>1912</v>
      </c>
      <c r="G717" s="253" t="s">
        <v>4350</v>
      </c>
      <c r="H717" s="229" t="s">
        <v>4351</v>
      </c>
      <c r="I717" s="230" t="s">
        <v>4352</v>
      </c>
      <c r="J717" s="254" t="s">
        <v>204</v>
      </c>
      <c r="K717" s="255">
        <v>35861</v>
      </c>
      <c r="L717" s="233" t="s">
        <v>174</v>
      </c>
      <c r="M717" s="256">
        <v>43741</v>
      </c>
      <c r="N717" s="256"/>
      <c r="O717" s="224" t="s">
        <v>3960</v>
      </c>
      <c r="P717" s="222" t="s">
        <v>3780</v>
      </c>
      <c r="Q717" s="222" t="s">
        <v>244</v>
      </c>
      <c r="R717" s="224" t="s">
        <v>177</v>
      </c>
      <c r="S717" s="224" t="s">
        <v>251</v>
      </c>
      <c r="T717" s="235"/>
      <c r="U717" s="257"/>
      <c r="V717" s="258" t="s">
        <v>179</v>
      </c>
      <c r="W717" s="258" t="s">
        <v>179</v>
      </c>
      <c r="X717" s="259">
        <v>8</v>
      </c>
      <c r="Y717" s="251" t="s">
        <v>4353</v>
      </c>
      <c r="Z717" s="261" t="s">
        <v>181</v>
      </c>
      <c r="AA717" s="261"/>
      <c r="AB717" s="258"/>
      <c r="AC717" s="270"/>
      <c r="AD717" s="271"/>
      <c r="AE717" s="271"/>
      <c r="AF717" s="272"/>
      <c r="AG717" s="270"/>
      <c r="AH717" s="260"/>
      <c r="AI717" s="260"/>
      <c r="AJ717" s="258" t="s">
        <v>198</v>
      </c>
      <c r="AK717" s="258" t="s">
        <v>185</v>
      </c>
      <c r="AL717" s="258" t="s">
        <v>185</v>
      </c>
      <c r="AM717" s="244" t="s">
        <v>236</v>
      </c>
      <c r="AN717" s="20">
        <v>182</v>
      </c>
      <c r="AO717" s="20">
        <v>0</v>
      </c>
      <c r="AP717" s="20">
        <v>20</v>
      </c>
      <c r="AQ717" s="20">
        <v>0</v>
      </c>
      <c r="AR717" s="20">
        <v>0</v>
      </c>
      <c r="AS717" s="20">
        <v>7</v>
      </c>
      <c r="AT717" s="20">
        <v>10</v>
      </c>
      <c r="AU717" s="300">
        <f t="shared" si="122"/>
        <v>219</v>
      </c>
      <c r="AV717" s="20">
        <v>190</v>
      </c>
      <c r="AW717" s="20">
        <v>0</v>
      </c>
      <c r="AX717" s="20">
        <v>20</v>
      </c>
      <c r="AY717" s="20">
        <v>0</v>
      </c>
      <c r="AZ717" s="20">
        <v>0</v>
      </c>
      <c r="BA717" s="20">
        <v>7</v>
      </c>
      <c r="BB717" s="20">
        <v>10</v>
      </c>
      <c r="BC717" s="300">
        <f t="shared" si="123"/>
        <v>227</v>
      </c>
      <c r="BD717" s="42">
        <f t="shared" si="124"/>
        <v>8</v>
      </c>
      <c r="BE717" s="42">
        <f t="shared" si="125"/>
        <v>0</v>
      </c>
      <c r="BF717" s="42">
        <f t="shared" si="126"/>
        <v>0</v>
      </c>
      <c r="BG717" s="42">
        <f t="shared" si="127"/>
        <v>0</v>
      </c>
      <c r="BH717" s="42">
        <f t="shared" si="128"/>
        <v>0</v>
      </c>
      <c r="BI717" s="42">
        <f t="shared" si="129"/>
        <v>0</v>
      </c>
      <c r="BJ717" s="42">
        <f t="shared" si="130"/>
        <v>0</v>
      </c>
      <c r="BK717" s="42">
        <f t="shared" si="131"/>
        <v>8</v>
      </c>
    </row>
    <row r="718" spans="1:63" ht="27" customHeight="1">
      <c r="A718" s="222">
        <f t="shared" si="132"/>
        <v>716</v>
      </c>
      <c r="B718" s="223"/>
      <c r="C718" s="250">
        <v>3598</v>
      </c>
      <c r="D718" s="225" t="s">
        <v>4354</v>
      </c>
      <c r="E718" s="251" t="s">
        <v>4355</v>
      </c>
      <c r="F718" s="252" t="s">
        <v>2545</v>
      </c>
      <c r="G718" s="253" t="s">
        <v>2334</v>
      </c>
      <c r="H718" s="229" t="s">
        <v>1642</v>
      </c>
      <c r="I718" s="230" t="s">
        <v>4356</v>
      </c>
      <c r="J718" s="254" t="s">
        <v>173</v>
      </c>
      <c r="K718" s="255">
        <v>33058</v>
      </c>
      <c r="L718" s="233" t="s">
        <v>174</v>
      </c>
      <c r="M718" s="256">
        <v>43748</v>
      </c>
      <c r="N718" s="256"/>
      <c r="O718" s="224"/>
      <c r="P718" s="222" t="s">
        <v>3749</v>
      </c>
      <c r="Q718" s="222" t="s">
        <v>244</v>
      </c>
      <c r="R718" s="224" t="s">
        <v>177</v>
      </c>
      <c r="S718" s="224" t="s">
        <v>223</v>
      </c>
      <c r="T718" s="235"/>
      <c r="U718" s="257"/>
      <c r="V718" s="258" t="s">
        <v>179</v>
      </c>
      <c r="W718" s="258" t="s">
        <v>179</v>
      </c>
      <c r="X718" s="259">
        <v>6</v>
      </c>
      <c r="Y718" s="251" t="s">
        <v>4357</v>
      </c>
      <c r="Z718" s="258"/>
      <c r="AA718" s="261"/>
      <c r="AB718" s="258"/>
      <c r="AC718" s="270"/>
      <c r="AD718" s="271"/>
      <c r="AE718" s="270"/>
      <c r="AF718" s="272"/>
      <c r="AG718" s="270"/>
      <c r="AH718" s="260"/>
      <c r="AI718" s="260"/>
      <c r="AJ718" s="258" t="s">
        <v>185</v>
      </c>
      <c r="AK718" s="258" t="s">
        <v>185</v>
      </c>
      <c r="AL718" s="258" t="s">
        <v>185</v>
      </c>
      <c r="AM718" s="244" t="s">
        <v>3962</v>
      </c>
      <c r="AN718" s="20">
        <v>182</v>
      </c>
      <c r="AO718" s="20">
        <v>0</v>
      </c>
      <c r="AP718" s="20">
        <v>20</v>
      </c>
      <c r="AQ718" s="20">
        <v>0</v>
      </c>
      <c r="AR718" s="20">
        <v>0</v>
      </c>
      <c r="AS718" s="20">
        <v>7</v>
      </c>
      <c r="AT718" s="20">
        <v>10</v>
      </c>
      <c r="AU718" s="300">
        <f t="shared" si="122"/>
        <v>219</v>
      </c>
      <c r="AV718" s="20">
        <v>190</v>
      </c>
      <c r="AW718" s="20">
        <v>0</v>
      </c>
      <c r="AX718" s="20">
        <v>20</v>
      </c>
      <c r="AY718" s="20">
        <v>0</v>
      </c>
      <c r="AZ718" s="20">
        <v>0</v>
      </c>
      <c r="BA718" s="20">
        <v>7</v>
      </c>
      <c r="BB718" s="20">
        <v>10</v>
      </c>
      <c r="BC718" s="300">
        <f t="shared" si="123"/>
        <v>227</v>
      </c>
      <c r="BD718" s="42">
        <f t="shared" si="124"/>
        <v>8</v>
      </c>
      <c r="BE718" s="42">
        <f t="shared" si="125"/>
        <v>0</v>
      </c>
      <c r="BF718" s="42">
        <f t="shared" si="126"/>
        <v>0</v>
      </c>
      <c r="BG718" s="42">
        <f t="shared" si="127"/>
        <v>0</v>
      </c>
      <c r="BH718" s="42">
        <f t="shared" si="128"/>
        <v>0</v>
      </c>
      <c r="BI718" s="42">
        <f t="shared" si="129"/>
        <v>0</v>
      </c>
      <c r="BJ718" s="42">
        <f t="shared" si="130"/>
        <v>0</v>
      </c>
      <c r="BK718" s="42">
        <f t="shared" si="131"/>
        <v>8</v>
      </c>
    </row>
    <row r="719" spans="1:63" ht="27" customHeight="1">
      <c r="A719" s="222">
        <f t="shared" si="132"/>
        <v>717</v>
      </c>
      <c r="B719" s="223"/>
      <c r="C719" s="250">
        <v>3258</v>
      </c>
      <c r="D719" s="225" t="s">
        <v>4358</v>
      </c>
      <c r="E719" s="251" t="s">
        <v>4359</v>
      </c>
      <c r="F719" s="252" t="s">
        <v>4360</v>
      </c>
      <c r="G719" s="253" t="s">
        <v>3244</v>
      </c>
      <c r="H719" s="229" t="s">
        <v>4361</v>
      </c>
      <c r="I719" s="230" t="s">
        <v>4362</v>
      </c>
      <c r="J719" s="254" t="s">
        <v>173</v>
      </c>
      <c r="K719" s="255">
        <v>29452</v>
      </c>
      <c r="L719" s="233" t="s">
        <v>174</v>
      </c>
      <c r="M719" s="256">
        <v>43746</v>
      </c>
      <c r="N719" s="256"/>
      <c r="O719" s="224" t="s">
        <v>3994</v>
      </c>
      <c r="P719" s="222" t="s">
        <v>3644</v>
      </c>
      <c r="Q719" s="222" t="s">
        <v>244</v>
      </c>
      <c r="R719" s="224" t="s">
        <v>177</v>
      </c>
      <c r="S719" s="224" t="s">
        <v>214</v>
      </c>
      <c r="T719" s="235"/>
      <c r="U719" s="257"/>
      <c r="V719" s="258" t="s">
        <v>179</v>
      </c>
      <c r="W719" s="258" t="s">
        <v>179</v>
      </c>
      <c r="X719" s="259">
        <v>2</v>
      </c>
      <c r="Y719" s="251" t="s">
        <v>4363</v>
      </c>
      <c r="Z719" s="258"/>
      <c r="AA719" s="261" t="s">
        <v>181</v>
      </c>
      <c r="AB719" s="258"/>
      <c r="AC719" s="270"/>
      <c r="AD719" s="271"/>
      <c r="AE719" s="270"/>
      <c r="AF719" s="272"/>
      <c r="AG719" s="270"/>
      <c r="AH719" s="260"/>
      <c r="AI719" s="260"/>
      <c r="AJ719" s="258" t="s">
        <v>185</v>
      </c>
      <c r="AK719" s="258" t="s">
        <v>185</v>
      </c>
      <c r="AL719" s="258" t="s">
        <v>185</v>
      </c>
      <c r="AM719" s="244" t="s">
        <v>3962</v>
      </c>
      <c r="AN719" s="20">
        <v>182</v>
      </c>
      <c r="AO719" s="20">
        <v>0</v>
      </c>
      <c r="AP719" s="20">
        <v>20</v>
      </c>
      <c r="AQ719" s="20">
        <v>0</v>
      </c>
      <c r="AR719" s="20">
        <v>0</v>
      </c>
      <c r="AS719" s="20">
        <v>7</v>
      </c>
      <c r="AT719" s="20">
        <v>10</v>
      </c>
      <c r="AU719" s="300">
        <f t="shared" si="122"/>
        <v>219</v>
      </c>
      <c r="AV719" s="20">
        <v>190</v>
      </c>
      <c r="AW719" s="20">
        <v>0</v>
      </c>
      <c r="AX719" s="20">
        <v>20</v>
      </c>
      <c r="AY719" s="20">
        <v>0</v>
      </c>
      <c r="AZ719" s="20">
        <v>0</v>
      </c>
      <c r="BA719" s="20">
        <v>7</v>
      </c>
      <c r="BB719" s="20">
        <v>10</v>
      </c>
      <c r="BC719" s="300">
        <f t="shared" si="123"/>
        <v>227</v>
      </c>
      <c r="BD719" s="42">
        <f t="shared" si="124"/>
        <v>8</v>
      </c>
      <c r="BE719" s="42">
        <f t="shared" si="125"/>
        <v>0</v>
      </c>
      <c r="BF719" s="42">
        <f t="shared" si="126"/>
        <v>0</v>
      </c>
      <c r="BG719" s="42">
        <f t="shared" si="127"/>
        <v>0</v>
      </c>
      <c r="BH719" s="42">
        <f t="shared" si="128"/>
        <v>0</v>
      </c>
      <c r="BI719" s="42">
        <f t="shared" si="129"/>
        <v>0</v>
      </c>
      <c r="BJ719" s="42">
        <f t="shared" si="130"/>
        <v>0</v>
      </c>
      <c r="BK719" s="42">
        <f t="shared" si="131"/>
        <v>8</v>
      </c>
    </row>
    <row r="720" spans="1:63" ht="27" customHeight="1">
      <c r="A720" s="222">
        <f t="shared" si="132"/>
        <v>718</v>
      </c>
      <c r="B720" s="223"/>
      <c r="C720" s="250">
        <v>3515</v>
      </c>
      <c r="D720" s="225" t="s">
        <v>4364</v>
      </c>
      <c r="E720" s="251" t="s">
        <v>4365</v>
      </c>
      <c r="F720" s="252" t="s">
        <v>1791</v>
      </c>
      <c r="G720" s="253" t="s">
        <v>1385</v>
      </c>
      <c r="H720" s="229" t="s">
        <v>1793</v>
      </c>
      <c r="I720" s="230" t="s">
        <v>1387</v>
      </c>
      <c r="J720" s="254" t="s">
        <v>173</v>
      </c>
      <c r="K720" s="255">
        <v>32523</v>
      </c>
      <c r="L720" s="233" t="s">
        <v>174</v>
      </c>
      <c r="M720" s="256">
        <v>43746</v>
      </c>
      <c r="N720" s="256"/>
      <c r="O720" s="224" t="s">
        <v>3973</v>
      </c>
      <c r="P720" s="222" t="s">
        <v>3749</v>
      </c>
      <c r="Q720" s="222" t="s">
        <v>244</v>
      </c>
      <c r="R720" s="224" t="s">
        <v>177</v>
      </c>
      <c r="S720" s="224" t="s">
        <v>722</v>
      </c>
      <c r="T720" s="235"/>
      <c r="U720" s="257"/>
      <c r="V720" s="258" t="s">
        <v>179</v>
      </c>
      <c r="W720" s="258" t="s">
        <v>179</v>
      </c>
      <c r="X720" s="259">
        <v>5</v>
      </c>
      <c r="Y720" s="251" t="s">
        <v>4366</v>
      </c>
      <c r="Z720" s="258"/>
      <c r="AA720" s="261"/>
      <c r="AB720" s="258"/>
      <c r="AC720" s="270"/>
      <c r="AD720" s="271"/>
      <c r="AE720" s="270"/>
      <c r="AF720" s="272"/>
      <c r="AG720" s="270"/>
      <c r="AH720" s="260"/>
      <c r="AI720" s="260"/>
      <c r="AJ720" s="258" t="s">
        <v>198</v>
      </c>
      <c r="AK720" s="258" t="s">
        <v>185</v>
      </c>
      <c r="AL720" s="258" t="s">
        <v>185</v>
      </c>
      <c r="AM720" s="244" t="s">
        <v>3854</v>
      </c>
      <c r="AN720" s="20">
        <v>182</v>
      </c>
      <c r="AO720" s="20">
        <v>0</v>
      </c>
      <c r="AP720" s="20">
        <v>20</v>
      </c>
      <c r="AQ720" s="20">
        <v>0</v>
      </c>
      <c r="AR720" s="20">
        <v>0</v>
      </c>
      <c r="AS720" s="20">
        <v>7</v>
      </c>
      <c r="AT720" s="20">
        <v>10</v>
      </c>
      <c r="AU720" s="300">
        <f t="shared" si="122"/>
        <v>219</v>
      </c>
      <c r="AV720" s="20">
        <v>190</v>
      </c>
      <c r="AW720" s="20">
        <v>0</v>
      </c>
      <c r="AX720" s="20">
        <v>20</v>
      </c>
      <c r="AY720" s="20">
        <v>0</v>
      </c>
      <c r="AZ720" s="20">
        <v>0</v>
      </c>
      <c r="BA720" s="20">
        <v>7</v>
      </c>
      <c r="BB720" s="20">
        <v>10</v>
      </c>
      <c r="BC720" s="300">
        <f t="shared" si="123"/>
        <v>227</v>
      </c>
      <c r="BD720" s="42">
        <f t="shared" si="124"/>
        <v>8</v>
      </c>
      <c r="BE720" s="42">
        <f t="shared" si="125"/>
        <v>0</v>
      </c>
      <c r="BF720" s="42">
        <f t="shared" si="126"/>
        <v>0</v>
      </c>
      <c r="BG720" s="42">
        <f t="shared" si="127"/>
        <v>0</v>
      </c>
      <c r="BH720" s="42">
        <f t="shared" si="128"/>
        <v>0</v>
      </c>
      <c r="BI720" s="42">
        <f t="shared" si="129"/>
        <v>0</v>
      </c>
      <c r="BJ720" s="42">
        <f t="shared" si="130"/>
        <v>0</v>
      </c>
      <c r="BK720" s="42">
        <f t="shared" si="131"/>
        <v>8</v>
      </c>
    </row>
    <row r="721" spans="1:63" ht="27" customHeight="1">
      <c r="A721" s="222">
        <f t="shared" si="132"/>
        <v>719</v>
      </c>
      <c r="B721" s="223"/>
      <c r="C721" s="250">
        <v>3225</v>
      </c>
      <c r="D721" s="225" t="s">
        <v>4367</v>
      </c>
      <c r="E721" s="251" t="s">
        <v>4368</v>
      </c>
      <c r="F721" s="252" t="s">
        <v>4369</v>
      </c>
      <c r="G721" s="253" t="s">
        <v>1433</v>
      </c>
      <c r="H721" s="229" t="s">
        <v>4370</v>
      </c>
      <c r="I721" s="230" t="s">
        <v>1435</v>
      </c>
      <c r="J721" s="254" t="s">
        <v>173</v>
      </c>
      <c r="K721" s="255">
        <v>32970</v>
      </c>
      <c r="L721" s="233" t="s">
        <v>174</v>
      </c>
      <c r="M721" s="256">
        <v>43742</v>
      </c>
      <c r="N721" s="256"/>
      <c r="O721" s="224" t="s">
        <v>3960</v>
      </c>
      <c r="P721" s="222" t="s">
        <v>3780</v>
      </c>
      <c r="Q721" s="222" t="s">
        <v>244</v>
      </c>
      <c r="R721" s="224" t="s">
        <v>177</v>
      </c>
      <c r="S721" s="224" t="s">
        <v>1201</v>
      </c>
      <c r="T721" s="235"/>
      <c r="U721" s="257"/>
      <c r="V721" s="258" t="s">
        <v>179</v>
      </c>
      <c r="W721" s="258" t="s">
        <v>179</v>
      </c>
      <c r="X721" s="259">
        <v>8</v>
      </c>
      <c r="Y721" s="251" t="s">
        <v>4371</v>
      </c>
      <c r="Z721" s="258"/>
      <c r="AA721" s="261"/>
      <c r="AB721" s="258"/>
      <c r="AC721" s="270"/>
      <c r="AD721" s="271"/>
      <c r="AE721" s="270"/>
      <c r="AF721" s="272"/>
      <c r="AG721" s="270"/>
      <c r="AH721" s="260"/>
      <c r="AI721" s="260"/>
      <c r="AJ721" s="258" t="s">
        <v>198</v>
      </c>
      <c r="AK721" s="258" t="s">
        <v>185</v>
      </c>
      <c r="AL721" s="258" t="s">
        <v>185</v>
      </c>
      <c r="AM721" s="244" t="s">
        <v>3911</v>
      </c>
      <c r="AN721" s="20">
        <v>182</v>
      </c>
      <c r="AO721" s="20">
        <v>0</v>
      </c>
      <c r="AP721" s="20">
        <v>20</v>
      </c>
      <c r="AQ721" s="20">
        <v>0</v>
      </c>
      <c r="AR721" s="20">
        <v>0</v>
      </c>
      <c r="AS721" s="20">
        <v>7</v>
      </c>
      <c r="AT721" s="20">
        <v>10</v>
      </c>
      <c r="AU721" s="300">
        <f t="shared" si="122"/>
        <v>219</v>
      </c>
      <c r="AV721" s="20">
        <v>190</v>
      </c>
      <c r="AW721" s="20">
        <v>0</v>
      </c>
      <c r="AX721" s="20">
        <v>20</v>
      </c>
      <c r="AY721" s="20">
        <v>0</v>
      </c>
      <c r="AZ721" s="20">
        <v>0</v>
      </c>
      <c r="BA721" s="20">
        <v>7</v>
      </c>
      <c r="BB721" s="20">
        <v>10</v>
      </c>
      <c r="BC721" s="300">
        <f t="shared" si="123"/>
        <v>227</v>
      </c>
      <c r="BD721" s="42">
        <f t="shared" si="124"/>
        <v>8</v>
      </c>
      <c r="BE721" s="42">
        <f t="shared" si="125"/>
        <v>0</v>
      </c>
      <c r="BF721" s="42">
        <f t="shared" si="126"/>
        <v>0</v>
      </c>
      <c r="BG721" s="42">
        <f t="shared" si="127"/>
        <v>0</v>
      </c>
      <c r="BH721" s="42">
        <f t="shared" si="128"/>
        <v>0</v>
      </c>
      <c r="BI721" s="42">
        <f t="shared" si="129"/>
        <v>0</v>
      </c>
      <c r="BJ721" s="42">
        <f t="shared" si="130"/>
        <v>0</v>
      </c>
      <c r="BK721" s="42">
        <f t="shared" si="131"/>
        <v>8</v>
      </c>
    </row>
    <row r="722" spans="1:63" ht="27" customHeight="1">
      <c r="A722" s="222">
        <f t="shared" si="132"/>
        <v>720</v>
      </c>
      <c r="B722" s="223"/>
      <c r="C722" s="250">
        <v>3595</v>
      </c>
      <c r="D722" s="225" t="s">
        <v>4372</v>
      </c>
      <c r="E722" s="251" t="s">
        <v>4373</v>
      </c>
      <c r="F722" s="252" t="s">
        <v>2545</v>
      </c>
      <c r="G722" s="253" t="s">
        <v>869</v>
      </c>
      <c r="H722" s="229" t="s">
        <v>1642</v>
      </c>
      <c r="I722" s="230" t="s">
        <v>4374</v>
      </c>
      <c r="J722" s="254" t="s">
        <v>173</v>
      </c>
      <c r="K722" s="255">
        <v>33824</v>
      </c>
      <c r="L722" s="233" t="s">
        <v>174</v>
      </c>
      <c r="M722" s="256">
        <v>43748</v>
      </c>
      <c r="N722" s="256"/>
      <c r="O722" s="224"/>
      <c r="P722" s="222" t="s">
        <v>3945</v>
      </c>
      <c r="Q722" s="222" t="s">
        <v>244</v>
      </c>
      <c r="R722" s="224" t="s">
        <v>177</v>
      </c>
      <c r="S722" s="224" t="s">
        <v>223</v>
      </c>
      <c r="T722" s="235"/>
      <c r="U722" s="257"/>
      <c r="V722" s="258" t="s">
        <v>179</v>
      </c>
      <c r="W722" s="258" t="s">
        <v>179</v>
      </c>
      <c r="X722" s="259">
        <v>5</v>
      </c>
      <c r="Y722" s="251" t="s">
        <v>291</v>
      </c>
      <c r="Z722" s="258"/>
      <c r="AA722" s="261"/>
      <c r="AB722" s="258"/>
      <c r="AC722" s="270"/>
      <c r="AD722" s="271"/>
      <c r="AE722" s="270"/>
      <c r="AF722" s="272"/>
      <c r="AG722" s="270"/>
      <c r="AH722" s="260"/>
      <c r="AI722" s="260"/>
      <c r="AJ722" s="258" t="s">
        <v>185</v>
      </c>
      <c r="AK722" s="258" t="s">
        <v>185</v>
      </c>
      <c r="AL722" s="258" t="s">
        <v>185</v>
      </c>
      <c r="AM722" s="244" t="s">
        <v>3962</v>
      </c>
      <c r="AN722" s="20">
        <v>182</v>
      </c>
      <c r="AO722" s="20">
        <v>0</v>
      </c>
      <c r="AP722" s="20">
        <v>20</v>
      </c>
      <c r="AQ722" s="20">
        <v>0</v>
      </c>
      <c r="AR722" s="20">
        <v>0</v>
      </c>
      <c r="AS722" s="20">
        <v>7</v>
      </c>
      <c r="AT722" s="20">
        <v>10</v>
      </c>
      <c r="AU722" s="300">
        <f t="shared" si="122"/>
        <v>219</v>
      </c>
      <c r="AV722" s="20">
        <v>190</v>
      </c>
      <c r="AW722" s="20">
        <v>0</v>
      </c>
      <c r="AX722" s="20">
        <v>20</v>
      </c>
      <c r="AY722" s="20">
        <v>0</v>
      </c>
      <c r="AZ722" s="20">
        <v>0</v>
      </c>
      <c r="BA722" s="20">
        <v>7</v>
      </c>
      <c r="BB722" s="20">
        <v>10</v>
      </c>
      <c r="BC722" s="300">
        <f t="shared" si="123"/>
        <v>227</v>
      </c>
      <c r="BD722" s="42">
        <f t="shared" si="124"/>
        <v>8</v>
      </c>
      <c r="BE722" s="42">
        <f t="shared" si="125"/>
        <v>0</v>
      </c>
      <c r="BF722" s="42">
        <f t="shared" si="126"/>
        <v>0</v>
      </c>
      <c r="BG722" s="42">
        <f t="shared" si="127"/>
        <v>0</v>
      </c>
      <c r="BH722" s="42">
        <f t="shared" si="128"/>
        <v>0</v>
      </c>
      <c r="BI722" s="42">
        <f t="shared" si="129"/>
        <v>0</v>
      </c>
      <c r="BJ722" s="42">
        <f t="shared" si="130"/>
        <v>0</v>
      </c>
      <c r="BK722" s="42">
        <f t="shared" si="131"/>
        <v>8</v>
      </c>
    </row>
    <row r="723" spans="1:63" ht="27" customHeight="1">
      <c r="A723" s="222">
        <f t="shared" si="132"/>
        <v>721</v>
      </c>
      <c r="B723" s="223"/>
      <c r="C723" s="250">
        <v>3299</v>
      </c>
      <c r="D723" s="225" t="s">
        <v>4375</v>
      </c>
      <c r="E723" s="251" t="s">
        <v>4376</v>
      </c>
      <c r="F723" s="252" t="s">
        <v>4377</v>
      </c>
      <c r="G723" s="253" t="s">
        <v>4378</v>
      </c>
      <c r="H723" s="229" t="s">
        <v>4379</v>
      </c>
      <c r="I723" s="230" t="s">
        <v>4380</v>
      </c>
      <c r="J723" s="254" t="s">
        <v>173</v>
      </c>
      <c r="K723" s="255">
        <v>33978</v>
      </c>
      <c r="L723" s="233" t="s">
        <v>174</v>
      </c>
      <c r="M723" s="256">
        <v>43746</v>
      </c>
      <c r="N723" s="256"/>
      <c r="O723" s="224" t="s">
        <v>3994</v>
      </c>
      <c r="P723" s="222" t="s">
        <v>3644</v>
      </c>
      <c r="Q723" s="222" t="s">
        <v>244</v>
      </c>
      <c r="R723" s="224" t="s">
        <v>177</v>
      </c>
      <c r="S723" s="224" t="s">
        <v>498</v>
      </c>
      <c r="T723" s="235"/>
      <c r="U723" s="257"/>
      <c r="V723" s="258" t="s">
        <v>179</v>
      </c>
      <c r="W723" s="258" t="s">
        <v>179</v>
      </c>
      <c r="X723" s="259">
        <v>11</v>
      </c>
      <c r="Y723" s="251" t="s">
        <v>4381</v>
      </c>
      <c r="Z723" s="258"/>
      <c r="AA723" s="261"/>
      <c r="AB723" s="258"/>
      <c r="AC723" s="270"/>
      <c r="AD723" s="271"/>
      <c r="AE723" s="270"/>
      <c r="AF723" s="272"/>
      <c r="AG723" s="270"/>
      <c r="AH723" s="260"/>
      <c r="AI723" s="260"/>
      <c r="AJ723" s="258" t="s">
        <v>198</v>
      </c>
      <c r="AK723" s="258" t="s">
        <v>185</v>
      </c>
      <c r="AL723" s="258" t="s">
        <v>185</v>
      </c>
      <c r="AM723" s="244" t="s">
        <v>3854</v>
      </c>
      <c r="AN723" s="20">
        <v>182</v>
      </c>
      <c r="AO723" s="20">
        <v>0</v>
      </c>
      <c r="AP723" s="20">
        <v>20</v>
      </c>
      <c r="AQ723" s="20">
        <v>0</v>
      </c>
      <c r="AR723" s="20">
        <v>0</v>
      </c>
      <c r="AS723" s="20">
        <v>7</v>
      </c>
      <c r="AT723" s="20">
        <v>10</v>
      </c>
      <c r="AU723" s="300">
        <f t="shared" si="122"/>
        <v>219</v>
      </c>
      <c r="AV723" s="20">
        <v>190</v>
      </c>
      <c r="AW723" s="20">
        <v>0</v>
      </c>
      <c r="AX723" s="20">
        <v>20</v>
      </c>
      <c r="AY723" s="20">
        <v>0</v>
      </c>
      <c r="AZ723" s="20">
        <v>0</v>
      </c>
      <c r="BA723" s="20">
        <v>7</v>
      </c>
      <c r="BB723" s="20">
        <v>10</v>
      </c>
      <c r="BC723" s="300">
        <f t="shared" si="123"/>
        <v>227</v>
      </c>
      <c r="BD723" s="42">
        <f t="shared" si="124"/>
        <v>8</v>
      </c>
      <c r="BE723" s="42">
        <f t="shared" si="125"/>
        <v>0</v>
      </c>
      <c r="BF723" s="42">
        <f t="shared" si="126"/>
        <v>0</v>
      </c>
      <c r="BG723" s="42">
        <f t="shared" si="127"/>
        <v>0</v>
      </c>
      <c r="BH723" s="42">
        <f t="shared" si="128"/>
        <v>0</v>
      </c>
      <c r="BI723" s="42">
        <f t="shared" si="129"/>
        <v>0</v>
      </c>
      <c r="BJ723" s="42">
        <f t="shared" si="130"/>
        <v>0</v>
      </c>
      <c r="BK723" s="42">
        <f t="shared" si="131"/>
        <v>8</v>
      </c>
    </row>
    <row r="724" spans="1:63" ht="27" customHeight="1">
      <c r="A724" s="222">
        <f t="shared" si="132"/>
        <v>722</v>
      </c>
      <c r="B724" s="223"/>
      <c r="C724" s="250">
        <v>3215</v>
      </c>
      <c r="D724" s="225" t="s">
        <v>4382</v>
      </c>
      <c r="E724" s="251" t="s">
        <v>4383</v>
      </c>
      <c r="F724" s="252" t="s">
        <v>377</v>
      </c>
      <c r="G724" s="253" t="s">
        <v>4384</v>
      </c>
      <c r="H724" s="229" t="s">
        <v>4385</v>
      </c>
      <c r="I724" s="230" t="s">
        <v>4386</v>
      </c>
      <c r="J724" s="254" t="s">
        <v>204</v>
      </c>
      <c r="K724" s="255">
        <v>33106</v>
      </c>
      <c r="L724" s="233" t="s">
        <v>174</v>
      </c>
      <c r="M724" s="256">
        <v>43742</v>
      </c>
      <c r="N724" s="256"/>
      <c r="O724" s="224" t="s">
        <v>3973</v>
      </c>
      <c r="P724" s="224"/>
      <c r="Q724" s="222" t="s">
        <v>244</v>
      </c>
      <c r="R724" s="224" t="s">
        <v>177</v>
      </c>
      <c r="S724" s="224" t="s">
        <v>223</v>
      </c>
      <c r="T724" s="235"/>
      <c r="U724" s="257"/>
      <c r="V724" s="258" t="s">
        <v>179</v>
      </c>
      <c r="W724" s="258" t="s">
        <v>179</v>
      </c>
      <c r="X724" s="259">
        <v>7</v>
      </c>
      <c r="Y724" s="251" t="s">
        <v>4387</v>
      </c>
      <c r="Z724" s="261"/>
      <c r="AA724" s="261" t="s">
        <v>181</v>
      </c>
      <c r="AB724" s="258"/>
      <c r="AC724" s="270"/>
      <c r="AD724" s="271"/>
      <c r="AE724" s="270"/>
      <c r="AF724" s="272"/>
      <c r="AG724" s="270"/>
      <c r="AH724" s="260"/>
      <c r="AI724" s="260"/>
      <c r="AJ724" s="258" t="s">
        <v>198</v>
      </c>
      <c r="AK724" s="258" t="s">
        <v>185</v>
      </c>
      <c r="AL724" s="258" t="s">
        <v>185</v>
      </c>
      <c r="AM724" s="244" t="s">
        <v>3854</v>
      </c>
      <c r="AN724" s="20">
        <v>182</v>
      </c>
      <c r="AO724" s="20">
        <v>0</v>
      </c>
      <c r="AP724" s="20">
        <v>0</v>
      </c>
      <c r="AQ724" s="20">
        <v>0</v>
      </c>
      <c r="AR724" s="20">
        <v>0</v>
      </c>
      <c r="AS724" s="20">
        <v>7</v>
      </c>
      <c r="AT724" s="20">
        <v>10</v>
      </c>
      <c r="AU724" s="300">
        <f t="shared" si="122"/>
        <v>199</v>
      </c>
      <c r="AV724" s="20">
        <v>190</v>
      </c>
      <c r="AW724" s="20">
        <v>0</v>
      </c>
      <c r="AX724" s="20">
        <v>0</v>
      </c>
      <c r="AY724" s="20">
        <v>0</v>
      </c>
      <c r="AZ724" s="20">
        <v>0</v>
      </c>
      <c r="BA724" s="20">
        <v>7</v>
      </c>
      <c r="BB724" s="20">
        <v>10</v>
      </c>
      <c r="BC724" s="300">
        <f t="shared" si="123"/>
        <v>207</v>
      </c>
      <c r="BD724" s="42">
        <f t="shared" si="124"/>
        <v>8</v>
      </c>
      <c r="BE724" s="42">
        <f t="shared" si="125"/>
        <v>0</v>
      </c>
      <c r="BF724" s="42">
        <f t="shared" si="126"/>
        <v>0</v>
      </c>
      <c r="BG724" s="42">
        <f t="shared" si="127"/>
        <v>0</v>
      </c>
      <c r="BH724" s="42">
        <f t="shared" si="128"/>
        <v>0</v>
      </c>
      <c r="BI724" s="42">
        <f t="shared" si="129"/>
        <v>0</v>
      </c>
      <c r="BJ724" s="42">
        <f t="shared" si="130"/>
        <v>0</v>
      </c>
      <c r="BK724" s="42">
        <f t="shared" si="131"/>
        <v>8</v>
      </c>
    </row>
    <row r="725" spans="1:63" ht="27" customHeight="1">
      <c r="A725" s="222">
        <f t="shared" si="132"/>
        <v>723</v>
      </c>
      <c r="B725" s="223"/>
      <c r="C725" s="250">
        <v>3542</v>
      </c>
      <c r="D725" s="225" t="s">
        <v>4388</v>
      </c>
      <c r="E725" s="251" t="s">
        <v>4389</v>
      </c>
      <c r="F725" s="252" t="s">
        <v>1598</v>
      </c>
      <c r="G725" s="253" t="s">
        <v>4063</v>
      </c>
      <c r="H725" s="229" t="s">
        <v>1600</v>
      </c>
      <c r="I725" s="230" t="s">
        <v>4065</v>
      </c>
      <c r="J725" s="254" t="s">
        <v>204</v>
      </c>
      <c r="K725" s="255">
        <v>34175</v>
      </c>
      <c r="L725" s="233" t="s">
        <v>174</v>
      </c>
      <c r="M725" s="256">
        <v>43747</v>
      </c>
      <c r="N725" s="256"/>
      <c r="O725" s="224" t="s">
        <v>3973</v>
      </c>
      <c r="P725" s="222" t="s">
        <v>3954</v>
      </c>
      <c r="Q725" s="222" t="s">
        <v>244</v>
      </c>
      <c r="R725" s="224" t="s">
        <v>177</v>
      </c>
      <c r="S725" s="224" t="s">
        <v>223</v>
      </c>
      <c r="T725" s="235"/>
      <c r="U725" s="257"/>
      <c r="V725" s="258" t="s">
        <v>179</v>
      </c>
      <c r="W725" s="258" t="s">
        <v>179</v>
      </c>
      <c r="X725" s="259">
        <v>12</v>
      </c>
      <c r="Y725" s="251" t="s">
        <v>4390</v>
      </c>
      <c r="Z725" s="261"/>
      <c r="AA725" s="261" t="s">
        <v>181</v>
      </c>
      <c r="AB725" s="258"/>
      <c r="AC725" s="270"/>
      <c r="AD725" s="271"/>
      <c r="AE725" s="270"/>
      <c r="AF725" s="272"/>
      <c r="AG725" s="270"/>
      <c r="AH725" s="260"/>
      <c r="AI725" s="260"/>
      <c r="AJ725" s="258" t="s">
        <v>198</v>
      </c>
      <c r="AK725" s="258" t="s">
        <v>185</v>
      </c>
      <c r="AL725" s="258" t="s">
        <v>185</v>
      </c>
      <c r="AM725" s="244" t="s">
        <v>3854</v>
      </c>
      <c r="AN725" s="20">
        <v>182</v>
      </c>
      <c r="AO725" s="20">
        <v>0</v>
      </c>
      <c r="AP725" s="20">
        <v>20</v>
      </c>
      <c r="AQ725" s="20">
        <v>0</v>
      </c>
      <c r="AR725" s="20">
        <v>0</v>
      </c>
      <c r="AS725" s="20">
        <v>7</v>
      </c>
      <c r="AT725" s="20">
        <v>10</v>
      </c>
      <c r="AU725" s="300">
        <f t="shared" si="122"/>
        <v>219</v>
      </c>
      <c r="AV725" s="20">
        <v>190</v>
      </c>
      <c r="AW725" s="20">
        <v>0</v>
      </c>
      <c r="AX725" s="20">
        <v>20</v>
      </c>
      <c r="AY725" s="20">
        <v>0</v>
      </c>
      <c r="AZ725" s="20">
        <v>0</v>
      </c>
      <c r="BA725" s="20">
        <v>7</v>
      </c>
      <c r="BB725" s="20">
        <v>10</v>
      </c>
      <c r="BC725" s="300">
        <f t="shared" si="123"/>
        <v>227</v>
      </c>
      <c r="BD725" s="42">
        <f t="shared" si="124"/>
        <v>8</v>
      </c>
      <c r="BE725" s="42">
        <f t="shared" si="125"/>
        <v>0</v>
      </c>
      <c r="BF725" s="42">
        <f t="shared" si="126"/>
        <v>0</v>
      </c>
      <c r="BG725" s="42">
        <f t="shared" si="127"/>
        <v>0</v>
      </c>
      <c r="BH725" s="42">
        <f t="shared" si="128"/>
        <v>0</v>
      </c>
      <c r="BI725" s="42">
        <f t="shared" si="129"/>
        <v>0</v>
      </c>
      <c r="BJ725" s="42">
        <f t="shared" si="130"/>
        <v>0</v>
      </c>
      <c r="BK725" s="42">
        <f t="shared" si="131"/>
        <v>8</v>
      </c>
    </row>
    <row r="726" spans="1:63" ht="27" customHeight="1">
      <c r="A726" s="222">
        <f t="shared" si="132"/>
        <v>724</v>
      </c>
      <c r="B726" s="223"/>
      <c r="C726" s="250">
        <v>3563</v>
      </c>
      <c r="D726" s="268">
        <v>0</v>
      </c>
      <c r="E726" s="276" t="s">
        <v>291</v>
      </c>
      <c r="F726" s="252" t="s">
        <v>4391</v>
      </c>
      <c r="G726" s="253" t="s">
        <v>1032</v>
      </c>
      <c r="H726" s="277">
        <v>0</v>
      </c>
      <c r="I726" s="278">
        <v>0</v>
      </c>
      <c r="J726" s="254" t="s">
        <v>173</v>
      </c>
      <c r="K726" s="255">
        <v>29867</v>
      </c>
      <c r="L726" s="233" t="s">
        <v>174</v>
      </c>
      <c r="M726" s="256">
        <v>43748</v>
      </c>
      <c r="N726" s="256"/>
      <c r="O726" s="224" t="s">
        <v>3994</v>
      </c>
      <c r="P726" s="222" t="s">
        <v>3644</v>
      </c>
      <c r="Q726" s="222" t="s">
        <v>244</v>
      </c>
      <c r="R726" s="224" t="s">
        <v>177</v>
      </c>
      <c r="S726" s="224" t="s">
        <v>223</v>
      </c>
      <c r="T726" s="235"/>
      <c r="U726" s="257"/>
      <c r="V726" s="258" t="s">
        <v>179</v>
      </c>
      <c r="W726" s="258" t="s">
        <v>179</v>
      </c>
      <c r="X726" s="259">
        <v>3</v>
      </c>
      <c r="Y726" s="251" t="s">
        <v>4392</v>
      </c>
      <c r="Z726" s="258"/>
      <c r="AA726" s="261" t="s">
        <v>181</v>
      </c>
      <c r="AB726" s="258"/>
      <c r="AC726" s="279"/>
      <c r="AD726" s="271"/>
      <c r="AE726" s="270"/>
      <c r="AF726" s="272"/>
      <c r="AG726" s="270"/>
      <c r="AH726" s="260"/>
      <c r="AI726" s="260"/>
      <c r="AJ726" s="258" t="s">
        <v>198</v>
      </c>
      <c r="AK726" s="258" t="s">
        <v>185</v>
      </c>
      <c r="AL726" s="258" t="s">
        <v>185</v>
      </c>
      <c r="AM726" s="244" t="s">
        <v>3854</v>
      </c>
      <c r="AN726" s="20">
        <v>182</v>
      </c>
      <c r="AO726" s="20">
        <v>0</v>
      </c>
      <c r="AP726" s="20">
        <v>20</v>
      </c>
      <c r="AQ726" s="20">
        <v>0</v>
      </c>
      <c r="AR726" s="20">
        <v>0</v>
      </c>
      <c r="AS726" s="20">
        <v>7</v>
      </c>
      <c r="AT726" s="20">
        <v>10</v>
      </c>
      <c r="AU726" s="300">
        <f t="shared" si="122"/>
        <v>219</v>
      </c>
      <c r="AV726" s="20">
        <v>190</v>
      </c>
      <c r="AW726" s="20">
        <v>0</v>
      </c>
      <c r="AX726" s="20">
        <v>20</v>
      </c>
      <c r="AY726" s="20">
        <v>0</v>
      </c>
      <c r="AZ726" s="20">
        <v>0</v>
      </c>
      <c r="BA726" s="20">
        <v>7</v>
      </c>
      <c r="BB726" s="20">
        <v>10</v>
      </c>
      <c r="BC726" s="300">
        <f t="shared" si="123"/>
        <v>227</v>
      </c>
      <c r="BD726" s="42">
        <f t="shared" si="124"/>
        <v>8</v>
      </c>
      <c r="BE726" s="42">
        <f t="shared" si="125"/>
        <v>0</v>
      </c>
      <c r="BF726" s="42">
        <f t="shared" si="126"/>
        <v>0</v>
      </c>
      <c r="BG726" s="42">
        <f t="shared" si="127"/>
        <v>0</v>
      </c>
      <c r="BH726" s="42">
        <f t="shared" si="128"/>
        <v>0</v>
      </c>
      <c r="BI726" s="42">
        <f t="shared" si="129"/>
        <v>0</v>
      </c>
      <c r="BJ726" s="42">
        <f t="shared" si="130"/>
        <v>0</v>
      </c>
      <c r="BK726" s="42">
        <f t="shared" si="131"/>
        <v>8</v>
      </c>
    </row>
    <row r="727" spans="1:63" ht="27" customHeight="1">
      <c r="A727" s="222">
        <f t="shared" si="132"/>
        <v>725</v>
      </c>
      <c r="B727" s="223"/>
      <c r="C727" s="250">
        <v>3649</v>
      </c>
      <c r="D727" s="268">
        <v>0</v>
      </c>
      <c r="E727" s="251" t="s">
        <v>4393</v>
      </c>
      <c r="F727" s="252" t="s">
        <v>1784</v>
      </c>
      <c r="G727" s="253" t="s">
        <v>2570</v>
      </c>
      <c r="H727" s="277">
        <v>0</v>
      </c>
      <c r="I727" s="278">
        <v>0</v>
      </c>
      <c r="J727" s="254" t="s">
        <v>173</v>
      </c>
      <c r="K727" s="255">
        <v>36746</v>
      </c>
      <c r="L727" s="233" t="s">
        <v>174</v>
      </c>
      <c r="M727" s="256">
        <v>43754</v>
      </c>
      <c r="N727" s="256"/>
      <c r="O727" s="224"/>
      <c r="P727" s="222" t="s">
        <v>3780</v>
      </c>
      <c r="Q727" s="222" t="s">
        <v>244</v>
      </c>
      <c r="R727" s="224" t="s">
        <v>177</v>
      </c>
      <c r="S727" s="224" t="s">
        <v>223</v>
      </c>
      <c r="T727" s="235"/>
      <c r="U727" s="257"/>
      <c r="V727" s="258" t="s">
        <v>179</v>
      </c>
      <c r="W727" s="258" t="s">
        <v>179</v>
      </c>
      <c r="X727" s="259">
        <v>9</v>
      </c>
      <c r="Y727" s="251" t="s">
        <v>3910</v>
      </c>
      <c r="Z727" s="258"/>
      <c r="AA727" s="261"/>
      <c r="AB727" s="258"/>
      <c r="AC727" s="280"/>
      <c r="AD727" s="271"/>
      <c r="AE727" s="280"/>
      <c r="AF727" s="272"/>
      <c r="AG727" s="270"/>
      <c r="AH727" s="260"/>
      <c r="AI727" s="260"/>
      <c r="AJ727" s="258" t="s">
        <v>198</v>
      </c>
      <c r="AK727" s="258" t="s">
        <v>185</v>
      </c>
      <c r="AL727" s="258" t="s">
        <v>198</v>
      </c>
      <c r="AM727" s="244" t="s">
        <v>3911</v>
      </c>
      <c r="AN727" s="20">
        <v>177</v>
      </c>
      <c r="AO727" s="20">
        <v>0</v>
      </c>
      <c r="AP727" s="20">
        <v>20</v>
      </c>
      <c r="AQ727" s="20">
        <v>0</v>
      </c>
      <c r="AR727" s="20">
        <v>0</v>
      </c>
      <c r="AS727" s="20">
        <v>7</v>
      </c>
      <c r="AT727" s="20">
        <v>10</v>
      </c>
      <c r="AU727" s="300">
        <f t="shared" si="122"/>
        <v>214</v>
      </c>
      <c r="AV727" s="20">
        <v>185</v>
      </c>
      <c r="AW727" s="20">
        <v>0</v>
      </c>
      <c r="AX727" s="20">
        <v>20</v>
      </c>
      <c r="AY727" s="20">
        <v>0</v>
      </c>
      <c r="AZ727" s="20">
        <v>0</v>
      </c>
      <c r="BA727" s="20">
        <v>7</v>
      </c>
      <c r="BB727" s="20">
        <v>10</v>
      </c>
      <c r="BC727" s="300">
        <f t="shared" si="123"/>
        <v>222</v>
      </c>
      <c r="BD727" s="42">
        <f t="shared" si="124"/>
        <v>8</v>
      </c>
      <c r="BE727" s="42">
        <f t="shared" si="125"/>
        <v>0</v>
      </c>
      <c r="BF727" s="42">
        <f t="shared" si="126"/>
        <v>0</v>
      </c>
      <c r="BG727" s="42">
        <f t="shared" si="127"/>
        <v>0</v>
      </c>
      <c r="BH727" s="42">
        <f t="shared" si="128"/>
        <v>0</v>
      </c>
      <c r="BI727" s="42">
        <f t="shared" si="129"/>
        <v>0</v>
      </c>
      <c r="BJ727" s="42">
        <f t="shared" si="130"/>
        <v>0</v>
      </c>
      <c r="BK727" s="42">
        <f t="shared" si="131"/>
        <v>8</v>
      </c>
    </row>
    <row r="728" spans="1:63" ht="27" customHeight="1">
      <c r="A728" s="222">
        <f t="shared" si="132"/>
        <v>726</v>
      </c>
      <c r="B728" s="223"/>
      <c r="C728" s="250">
        <v>3690</v>
      </c>
      <c r="D728" s="225" t="s">
        <v>4394</v>
      </c>
      <c r="E728" s="251" t="s">
        <v>4395</v>
      </c>
      <c r="F728" s="252" t="s">
        <v>4396</v>
      </c>
      <c r="G728" s="253" t="s">
        <v>1249</v>
      </c>
      <c r="H728" s="229" t="s">
        <v>4397</v>
      </c>
      <c r="I728" s="230" t="s">
        <v>1251</v>
      </c>
      <c r="J728" s="254" t="s">
        <v>173</v>
      </c>
      <c r="K728" s="255">
        <v>29598</v>
      </c>
      <c r="L728" s="233" t="s">
        <v>174</v>
      </c>
      <c r="M728" s="256">
        <v>43754</v>
      </c>
      <c r="N728" s="256"/>
      <c r="O728" s="224"/>
      <c r="P728" s="222" t="s">
        <v>3749</v>
      </c>
      <c r="Q728" s="222" t="s">
        <v>244</v>
      </c>
      <c r="R728" s="224" t="s">
        <v>177</v>
      </c>
      <c r="S728" s="224" t="s">
        <v>206</v>
      </c>
      <c r="T728" s="235"/>
      <c r="U728" s="257"/>
      <c r="V728" s="258" t="s">
        <v>179</v>
      </c>
      <c r="W728" s="258" t="s">
        <v>179</v>
      </c>
      <c r="X728" s="259">
        <v>5</v>
      </c>
      <c r="Y728" s="251" t="s">
        <v>4398</v>
      </c>
      <c r="Z728" s="258"/>
      <c r="AA728" s="261"/>
      <c r="AB728" s="258"/>
      <c r="AC728" s="280"/>
      <c r="AD728" s="271"/>
      <c r="AE728" s="270"/>
      <c r="AF728" s="272"/>
      <c r="AG728" s="270"/>
      <c r="AH728" s="260"/>
      <c r="AI728" s="260"/>
      <c r="AJ728" s="258" t="s">
        <v>198</v>
      </c>
      <c r="AK728" s="258" t="s">
        <v>185</v>
      </c>
      <c r="AL728" s="258" t="s">
        <v>185</v>
      </c>
      <c r="AM728" s="244" t="s">
        <v>236</v>
      </c>
      <c r="AN728" s="20">
        <v>182</v>
      </c>
      <c r="AO728" s="20">
        <v>0</v>
      </c>
      <c r="AP728" s="20">
        <v>20</v>
      </c>
      <c r="AQ728" s="20">
        <v>0</v>
      </c>
      <c r="AR728" s="20">
        <v>0</v>
      </c>
      <c r="AS728" s="20">
        <v>7</v>
      </c>
      <c r="AT728" s="20">
        <v>10</v>
      </c>
      <c r="AU728" s="300">
        <f t="shared" si="122"/>
        <v>219</v>
      </c>
      <c r="AV728" s="20">
        <v>190</v>
      </c>
      <c r="AW728" s="20">
        <v>0</v>
      </c>
      <c r="AX728" s="20">
        <v>20</v>
      </c>
      <c r="AY728" s="20">
        <v>0</v>
      </c>
      <c r="AZ728" s="20">
        <v>0</v>
      </c>
      <c r="BA728" s="20">
        <v>7</v>
      </c>
      <c r="BB728" s="20">
        <v>10</v>
      </c>
      <c r="BC728" s="300">
        <f t="shared" si="123"/>
        <v>227</v>
      </c>
      <c r="BD728" s="42">
        <f t="shared" si="124"/>
        <v>8</v>
      </c>
      <c r="BE728" s="42">
        <f t="shared" si="125"/>
        <v>0</v>
      </c>
      <c r="BF728" s="42">
        <f t="shared" si="126"/>
        <v>0</v>
      </c>
      <c r="BG728" s="42">
        <f t="shared" si="127"/>
        <v>0</v>
      </c>
      <c r="BH728" s="42">
        <f t="shared" si="128"/>
        <v>0</v>
      </c>
      <c r="BI728" s="42">
        <f t="shared" si="129"/>
        <v>0</v>
      </c>
      <c r="BJ728" s="42">
        <f t="shared" si="130"/>
        <v>0</v>
      </c>
      <c r="BK728" s="42">
        <f t="shared" si="131"/>
        <v>8</v>
      </c>
    </row>
    <row r="729" spans="1:63" ht="27" customHeight="1">
      <c r="A729" s="222">
        <f t="shared" si="132"/>
        <v>727</v>
      </c>
      <c r="B729" s="223"/>
      <c r="C729" s="250">
        <v>3539</v>
      </c>
      <c r="D729" s="250" t="s">
        <v>4399</v>
      </c>
      <c r="E729" s="251" t="s">
        <v>4400</v>
      </c>
      <c r="F729" s="252" t="s">
        <v>4401</v>
      </c>
      <c r="G729" s="253" t="s">
        <v>4321</v>
      </c>
      <c r="H729" s="229" t="s">
        <v>4402</v>
      </c>
      <c r="I729" s="230" t="s">
        <v>4322</v>
      </c>
      <c r="J729" s="254" t="s">
        <v>173</v>
      </c>
      <c r="K729" s="255">
        <v>33383</v>
      </c>
      <c r="L729" s="233" t="s">
        <v>174</v>
      </c>
      <c r="M729" s="256">
        <v>43747</v>
      </c>
      <c r="N729" s="256"/>
      <c r="O729" s="224" t="s">
        <v>3973</v>
      </c>
      <c r="P729" s="222" t="s">
        <v>3749</v>
      </c>
      <c r="Q729" s="222" t="s">
        <v>244</v>
      </c>
      <c r="R729" s="224" t="s">
        <v>177</v>
      </c>
      <c r="S729" s="224" t="s">
        <v>223</v>
      </c>
      <c r="T729" s="235"/>
      <c r="U729" s="257"/>
      <c r="V729" s="258" t="s">
        <v>179</v>
      </c>
      <c r="W729" s="258" t="s">
        <v>179</v>
      </c>
      <c r="X729" s="259">
        <v>5</v>
      </c>
      <c r="Y729" s="251" t="s">
        <v>4403</v>
      </c>
      <c r="Z729" s="258"/>
      <c r="AA729" s="261"/>
      <c r="AB729" s="258"/>
      <c r="AC729" s="280"/>
      <c r="AD729" s="271"/>
      <c r="AE729" s="270"/>
      <c r="AF729" s="272"/>
      <c r="AG729" s="270"/>
      <c r="AH729" s="260"/>
      <c r="AI729" s="260"/>
      <c r="AJ729" s="258" t="s">
        <v>198</v>
      </c>
      <c r="AK729" s="258" t="s">
        <v>185</v>
      </c>
      <c r="AL729" s="258" t="s">
        <v>185</v>
      </c>
      <c r="AM729" s="244" t="s">
        <v>3854</v>
      </c>
      <c r="AN729" s="20">
        <v>182</v>
      </c>
      <c r="AO729" s="20">
        <v>0</v>
      </c>
      <c r="AP729" s="20">
        <v>20</v>
      </c>
      <c r="AQ729" s="20">
        <v>0</v>
      </c>
      <c r="AR729" s="20">
        <v>0</v>
      </c>
      <c r="AS729" s="20">
        <v>7</v>
      </c>
      <c r="AT729" s="20">
        <v>10</v>
      </c>
      <c r="AU729" s="300">
        <f t="shared" si="122"/>
        <v>219</v>
      </c>
      <c r="AV729" s="20">
        <v>190</v>
      </c>
      <c r="AW729" s="20">
        <v>0</v>
      </c>
      <c r="AX729" s="20">
        <v>20</v>
      </c>
      <c r="AY729" s="20">
        <v>0</v>
      </c>
      <c r="AZ729" s="20">
        <v>0</v>
      </c>
      <c r="BA729" s="20">
        <v>7</v>
      </c>
      <c r="BB729" s="20">
        <v>10</v>
      </c>
      <c r="BC729" s="300">
        <f t="shared" si="123"/>
        <v>227</v>
      </c>
      <c r="BD729" s="42">
        <f t="shared" si="124"/>
        <v>8</v>
      </c>
      <c r="BE729" s="42">
        <f t="shared" si="125"/>
        <v>0</v>
      </c>
      <c r="BF729" s="42">
        <f t="shared" si="126"/>
        <v>0</v>
      </c>
      <c r="BG729" s="42">
        <f t="shared" si="127"/>
        <v>0</v>
      </c>
      <c r="BH729" s="42">
        <f t="shared" si="128"/>
        <v>0</v>
      </c>
      <c r="BI729" s="42">
        <f t="shared" si="129"/>
        <v>0</v>
      </c>
      <c r="BJ729" s="42">
        <f t="shared" si="130"/>
        <v>0</v>
      </c>
      <c r="BK729" s="42">
        <f t="shared" si="131"/>
        <v>8</v>
      </c>
    </row>
    <row r="730" spans="1:63" ht="27" customHeight="1">
      <c r="A730" s="222">
        <f t="shared" si="132"/>
        <v>728</v>
      </c>
      <c r="B730" s="223"/>
      <c r="C730" s="250">
        <v>3521</v>
      </c>
      <c r="D730" s="225" t="s">
        <v>4404</v>
      </c>
      <c r="E730" s="251" t="s">
        <v>4405</v>
      </c>
      <c r="F730" s="252" t="s">
        <v>958</v>
      </c>
      <c r="G730" s="253" t="s">
        <v>4406</v>
      </c>
      <c r="H730" s="229" t="s">
        <v>959</v>
      </c>
      <c r="I730" s="230" t="s">
        <v>4407</v>
      </c>
      <c r="J730" s="254" t="s">
        <v>204</v>
      </c>
      <c r="K730" s="255">
        <v>36194</v>
      </c>
      <c r="L730" s="233" t="s">
        <v>174</v>
      </c>
      <c r="M730" s="256">
        <v>43747</v>
      </c>
      <c r="N730" s="256"/>
      <c r="O730" s="224" t="s">
        <v>3973</v>
      </c>
      <c r="P730" s="222" t="s">
        <v>2816</v>
      </c>
      <c r="Q730" s="222" t="s">
        <v>244</v>
      </c>
      <c r="R730" s="224" t="s">
        <v>177</v>
      </c>
      <c r="S730" s="224" t="s">
        <v>251</v>
      </c>
      <c r="T730" s="235"/>
      <c r="U730" s="257"/>
      <c r="V730" s="258" t="s">
        <v>179</v>
      </c>
      <c r="W730" s="258" t="s">
        <v>179</v>
      </c>
      <c r="X730" s="259">
        <v>9</v>
      </c>
      <c r="Y730" s="251" t="s">
        <v>4408</v>
      </c>
      <c r="Z730" s="261" t="s">
        <v>181</v>
      </c>
      <c r="AA730" s="261"/>
      <c r="AB730" s="258"/>
      <c r="AC730" s="280"/>
      <c r="AD730" s="271"/>
      <c r="AE730" s="270"/>
      <c r="AF730" s="272"/>
      <c r="AG730" s="270"/>
      <c r="AH730" s="260"/>
      <c r="AI730" s="260"/>
      <c r="AJ730" s="258" t="s">
        <v>198</v>
      </c>
      <c r="AK730" s="258" t="s">
        <v>185</v>
      </c>
      <c r="AL730" s="258" t="s">
        <v>185</v>
      </c>
      <c r="AM730" s="244" t="s">
        <v>4409</v>
      </c>
      <c r="AN730" s="20">
        <v>182</v>
      </c>
      <c r="AO730" s="20">
        <v>0</v>
      </c>
      <c r="AP730" s="20">
        <v>0</v>
      </c>
      <c r="AQ730" s="20">
        <v>0</v>
      </c>
      <c r="AR730" s="20">
        <v>0</v>
      </c>
      <c r="AS730" s="20">
        <v>7</v>
      </c>
      <c r="AT730" s="20">
        <v>10</v>
      </c>
      <c r="AU730" s="300">
        <f t="shared" si="122"/>
        <v>199</v>
      </c>
      <c r="AV730" s="20">
        <v>190</v>
      </c>
      <c r="AW730" s="20">
        <v>0</v>
      </c>
      <c r="AX730" s="20">
        <v>0</v>
      </c>
      <c r="AY730" s="20">
        <v>0</v>
      </c>
      <c r="AZ730" s="20">
        <v>0</v>
      </c>
      <c r="BA730" s="20">
        <v>7</v>
      </c>
      <c r="BB730" s="20">
        <v>10</v>
      </c>
      <c r="BC730" s="300">
        <f t="shared" si="123"/>
        <v>207</v>
      </c>
      <c r="BD730" s="42">
        <f t="shared" si="124"/>
        <v>8</v>
      </c>
      <c r="BE730" s="42">
        <f t="shared" si="125"/>
        <v>0</v>
      </c>
      <c r="BF730" s="42">
        <f t="shared" si="126"/>
        <v>0</v>
      </c>
      <c r="BG730" s="42">
        <f t="shared" si="127"/>
        <v>0</v>
      </c>
      <c r="BH730" s="42">
        <f t="shared" si="128"/>
        <v>0</v>
      </c>
      <c r="BI730" s="42">
        <f t="shared" si="129"/>
        <v>0</v>
      </c>
      <c r="BJ730" s="42">
        <f t="shared" si="130"/>
        <v>0</v>
      </c>
      <c r="BK730" s="42">
        <f t="shared" si="131"/>
        <v>8</v>
      </c>
    </row>
    <row r="731" spans="1:63" ht="27" customHeight="1">
      <c r="A731" s="222">
        <f t="shared" si="132"/>
        <v>729</v>
      </c>
      <c r="B731" s="223"/>
      <c r="C731" s="250">
        <v>3675</v>
      </c>
      <c r="D731" s="225" t="s">
        <v>4410</v>
      </c>
      <c r="E731" s="251" t="s">
        <v>4411</v>
      </c>
      <c r="F731" s="252" t="s">
        <v>4412</v>
      </c>
      <c r="G731" s="253" t="s">
        <v>4413</v>
      </c>
      <c r="H731" s="229" t="s">
        <v>4414</v>
      </c>
      <c r="I731" s="230" t="s">
        <v>4415</v>
      </c>
      <c r="J731" s="254" t="s">
        <v>173</v>
      </c>
      <c r="K731" s="255">
        <v>36684</v>
      </c>
      <c r="L731" s="233" t="s">
        <v>174</v>
      </c>
      <c r="M731" s="256">
        <v>43755</v>
      </c>
      <c r="N731" s="256"/>
      <c r="O731" s="224"/>
      <c r="P731" s="224"/>
      <c r="Q731" s="222" t="s">
        <v>244</v>
      </c>
      <c r="R731" s="224" t="s">
        <v>177</v>
      </c>
      <c r="S731" s="224" t="s">
        <v>223</v>
      </c>
      <c r="T731" s="235"/>
      <c r="U731" s="257"/>
      <c r="V731" s="258" t="s">
        <v>179</v>
      </c>
      <c r="W731" s="258" t="s">
        <v>179</v>
      </c>
      <c r="X731" s="259">
        <v>8</v>
      </c>
      <c r="Y731" s="251" t="s">
        <v>4416</v>
      </c>
      <c r="Z731" s="258"/>
      <c r="AA731" s="261"/>
      <c r="AB731" s="258"/>
      <c r="AC731" s="280"/>
      <c r="AD731" s="271"/>
      <c r="AE731" s="271"/>
      <c r="AF731" s="272"/>
      <c r="AG731" s="270"/>
      <c r="AH731" s="260"/>
      <c r="AI731" s="260"/>
      <c r="AJ731" s="258" t="s">
        <v>198</v>
      </c>
      <c r="AK731" s="258" t="s">
        <v>185</v>
      </c>
      <c r="AL731" s="258" t="s">
        <v>185</v>
      </c>
      <c r="AM731" s="244" t="s">
        <v>4417</v>
      </c>
      <c r="AN731" s="20">
        <v>182</v>
      </c>
      <c r="AO731" s="20">
        <v>0</v>
      </c>
      <c r="AP731" s="20">
        <v>20</v>
      </c>
      <c r="AQ731" s="20">
        <v>0</v>
      </c>
      <c r="AR731" s="20">
        <v>0</v>
      </c>
      <c r="AS731" s="20">
        <v>7</v>
      </c>
      <c r="AT731" s="20">
        <v>10</v>
      </c>
      <c r="AU731" s="300">
        <f t="shared" si="122"/>
        <v>219</v>
      </c>
      <c r="AV731" s="20">
        <v>190</v>
      </c>
      <c r="AW731" s="20">
        <v>0</v>
      </c>
      <c r="AX731" s="20">
        <v>20</v>
      </c>
      <c r="AY731" s="20">
        <v>0</v>
      </c>
      <c r="AZ731" s="20">
        <v>0</v>
      </c>
      <c r="BA731" s="20">
        <v>7</v>
      </c>
      <c r="BB731" s="20">
        <v>10</v>
      </c>
      <c r="BC731" s="300">
        <f t="shared" si="123"/>
        <v>227</v>
      </c>
      <c r="BD731" s="42">
        <f t="shared" si="124"/>
        <v>8</v>
      </c>
      <c r="BE731" s="42">
        <f t="shared" si="125"/>
        <v>0</v>
      </c>
      <c r="BF731" s="42">
        <f t="shared" si="126"/>
        <v>0</v>
      </c>
      <c r="BG731" s="42">
        <f t="shared" si="127"/>
        <v>0</v>
      </c>
      <c r="BH731" s="42">
        <f t="shared" si="128"/>
        <v>0</v>
      </c>
      <c r="BI731" s="42">
        <f t="shared" si="129"/>
        <v>0</v>
      </c>
      <c r="BJ731" s="42">
        <f t="shared" si="130"/>
        <v>0</v>
      </c>
      <c r="BK731" s="42">
        <f t="shared" si="131"/>
        <v>8</v>
      </c>
    </row>
    <row r="732" spans="1:63" ht="27" customHeight="1">
      <c r="A732" s="222">
        <f t="shared" si="132"/>
        <v>730</v>
      </c>
      <c r="B732" s="223"/>
      <c r="C732" s="250">
        <v>3641</v>
      </c>
      <c r="D732" s="264" t="s">
        <v>4418</v>
      </c>
      <c r="E732" s="251" t="s">
        <v>4419</v>
      </c>
      <c r="F732" s="252" t="s">
        <v>568</v>
      </c>
      <c r="G732" s="253" t="s">
        <v>4420</v>
      </c>
      <c r="H732" s="229" t="s">
        <v>537</v>
      </c>
      <c r="I732" s="230" t="s">
        <v>4421</v>
      </c>
      <c r="J732" s="254" t="s">
        <v>173</v>
      </c>
      <c r="K732" s="255">
        <v>28887</v>
      </c>
      <c r="L732" s="233" t="s">
        <v>174</v>
      </c>
      <c r="M732" s="256">
        <v>43755</v>
      </c>
      <c r="N732" s="256"/>
      <c r="O732" s="224"/>
      <c r="P732" s="222" t="s">
        <v>313</v>
      </c>
      <c r="Q732" s="222" t="s">
        <v>244</v>
      </c>
      <c r="R732" s="224" t="s">
        <v>177</v>
      </c>
      <c r="S732" s="224" t="s">
        <v>178</v>
      </c>
      <c r="T732" s="235"/>
      <c r="U732" s="257"/>
      <c r="V732" s="258" t="s">
        <v>179</v>
      </c>
      <c r="W732" s="258" t="s">
        <v>179</v>
      </c>
      <c r="X732" s="259">
        <v>6</v>
      </c>
      <c r="Y732" s="251" t="s">
        <v>4422</v>
      </c>
      <c r="Z732" s="261"/>
      <c r="AA732" s="261" t="s">
        <v>181</v>
      </c>
      <c r="AB732" s="258"/>
      <c r="AC732" s="280"/>
      <c r="AD732" s="271"/>
      <c r="AE732" s="271"/>
      <c r="AF732" s="272"/>
      <c r="AG732" s="270"/>
      <c r="AH732" s="260"/>
      <c r="AI732" s="260"/>
      <c r="AJ732" s="258" t="s">
        <v>198</v>
      </c>
      <c r="AK732" s="258" t="s">
        <v>185</v>
      </c>
      <c r="AL732" s="258" t="s">
        <v>185</v>
      </c>
      <c r="AM732" s="244" t="s">
        <v>4423</v>
      </c>
      <c r="AN732" s="20">
        <v>182</v>
      </c>
      <c r="AO732" s="20">
        <v>0</v>
      </c>
      <c r="AP732" s="20">
        <v>20</v>
      </c>
      <c r="AQ732" s="20">
        <v>0</v>
      </c>
      <c r="AR732" s="20">
        <v>0</v>
      </c>
      <c r="AS732" s="20">
        <v>7</v>
      </c>
      <c r="AT732" s="20">
        <v>10</v>
      </c>
      <c r="AU732" s="300">
        <f t="shared" si="122"/>
        <v>219</v>
      </c>
      <c r="AV732" s="20">
        <v>190</v>
      </c>
      <c r="AW732" s="20">
        <v>0</v>
      </c>
      <c r="AX732" s="20">
        <v>20</v>
      </c>
      <c r="AY732" s="20">
        <v>0</v>
      </c>
      <c r="AZ732" s="20">
        <v>0</v>
      </c>
      <c r="BA732" s="20">
        <v>7</v>
      </c>
      <c r="BB732" s="20">
        <v>10</v>
      </c>
      <c r="BC732" s="300">
        <f t="shared" si="123"/>
        <v>227</v>
      </c>
      <c r="BD732" s="42">
        <f t="shared" si="124"/>
        <v>8</v>
      </c>
      <c r="BE732" s="42">
        <f t="shared" si="125"/>
        <v>0</v>
      </c>
      <c r="BF732" s="42">
        <f t="shared" si="126"/>
        <v>0</v>
      </c>
      <c r="BG732" s="42">
        <f t="shared" si="127"/>
        <v>0</v>
      </c>
      <c r="BH732" s="42">
        <f t="shared" si="128"/>
        <v>0</v>
      </c>
      <c r="BI732" s="42">
        <f t="shared" si="129"/>
        <v>0</v>
      </c>
      <c r="BJ732" s="42">
        <f t="shared" si="130"/>
        <v>0</v>
      </c>
      <c r="BK732" s="42">
        <f t="shared" si="131"/>
        <v>8</v>
      </c>
    </row>
    <row r="733" spans="1:63" ht="27" customHeight="1">
      <c r="A733" s="222">
        <f t="shared" si="132"/>
        <v>731</v>
      </c>
      <c r="B733" s="223"/>
      <c r="C733" s="250">
        <v>3640</v>
      </c>
      <c r="D733" s="225" t="s">
        <v>4424</v>
      </c>
      <c r="E733" s="251" t="s">
        <v>4425</v>
      </c>
      <c r="F733" s="252" t="s">
        <v>2560</v>
      </c>
      <c r="G733" s="253" t="s">
        <v>1257</v>
      </c>
      <c r="H733" s="229" t="s">
        <v>4426</v>
      </c>
      <c r="I733" s="230" t="s">
        <v>1259</v>
      </c>
      <c r="J733" s="254" t="s">
        <v>204</v>
      </c>
      <c r="K733" s="255">
        <v>33700</v>
      </c>
      <c r="L733" s="233" t="s">
        <v>174</v>
      </c>
      <c r="M733" s="256">
        <v>43753</v>
      </c>
      <c r="N733" s="256"/>
      <c r="O733" s="224"/>
      <c r="P733" s="222" t="s">
        <v>3780</v>
      </c>
      <c r="Q733" s="222" t="s">
        <v>244</v>
      </c>
      <c r="R733" s="224" t="s">
        <v>177</v>
      </c>
      <c r="S733" s="224" t="s">
        <v>223</v>
      </c>
      <c r="T733" s="235"/>
      <c r="U733" s="257"/>
      <c r="V733" s="258" t="s">
        <v>179</v>
      </c>
      <c r="W733" s="258" t="s">
        <v>179</v>
      </c>
      <c r="X733" s="259">
        <v>7</v>
      </c>
      <c r="Y733" s="251" t="s">
        <v>3910</v>
      </c>
      <c r="Z733" s="261"/>
      <c r="AA733" s="261"/>
      <c r="AB733" s="258"/>
      <c r="AC733" s="280"/>
      <c r="AD733" s="271"/>
      <c r="AE733" s="271"/>
      <c r="AF733" s="272"/>
      <c r="AG733" s="270"/>
      <c r="AH733" s="260"/>
      <c r="AI733" s="260"/>
      <c r="AJ733" s="258" t="s">
        <v>198</v>
      </c>
      <c r="AK733" s="258" t="s">
        <v>185</v>
      </c>
      <c r="AL733" s="258" t="s">
        <v>185</v>
      </c>
      <c r="AM733" s="244" t="s">
        <v>4417</v>
      </c>
      <c r="AN733" s="20">
        <v>182</v>
      </c>
      <c r="AO733" s="20">
        <v>0</v>
      </c>
      <c r="AP733" s="20">
        <v>20</v>
      </c>
      <c r="AQ733" s="20">
        <v>0</v>
      </c>
      <c r="AR733" s="20">
        <v>0</v>
      </c>
      <c r="AS733" s="20">
        <v>7</v>
      </c>
      <c r="AT733" s="20">
        <v>10</v>
      </c>
      <c r="AU733" s="300">
        <f t="shared" si="122"/>
        <v>219</v>
      </c>
      <c r="AV733" s="20">
        <v>190</v>
      </c>
      <c r="AW733" s="20">
        <v>0</v>
      </c>
      <c r="AX733" s="20">
        <v>20</v>
      </c>
      <c r="AY733" s="20">
        <v>0</v>
      </c>
      <c r="AZ733" s="20">
        <v>0</v>
      </c>
      <c r="BA733" s="20">
        <v>7</v>
      </c>
      <c r="BB733" s="20">
        <v>10</v>
      </c>
      <c r="BC733" s="300">
        <f t="shared" si="123"/>
        <v>227</v>
      </c>
      <c r="BD733" s="42">
        <f t="shared" si="124"/>
        <v>8</v>
      </c>
      <c r="BE733" s="42">
        <f t="shared" si="125"/>
        <v>0</v>
      </c>
      <c r="BF733" s="42">
        <f t="shared" si="126"/>
        <v>0</v>
      </c>
      <c r="BG733" s="42">
        <f t="shared" si="127"/>
        <v>0</v>
      </c>
      <c r="BH733" s="42">
        <f t="shared" si="128"/>
        <v>0</v>
      </c>
      <c r="BI733" s="42">
        <f t="shared" si="129"/>
        <v>0</v>
      </c>
      <c r="BJ733" s="42">
        <f t="shared" si="130"/>
        <v>0</v>
      </c>
      <c r="BK733" s="42">
        <f t="shared" si="131"/>
        <v>8</v>
      </c>
    </row>
    <row r="734" spans="1:63" ht="27" customHeight="1">
      <c r="A734" s="222">
        <f t="shared" si="132"/>
        <v>732</v>
      </c>
      <c r="B734" s="223"/>
      <c r="C734" s="250">
        <v>3174</v>
      </c>
      <c r="D734" s="225" t="s">
        <v>4427</v>
      </c>
      <c r="E734" s="251" t="s">
        <v>4428</v>
      </c>
      <c r="F734" s="252" t="s">
        <v>4429</v>
      </c>
      <c r="G734" s="253" t="s">
        <v>3112</v>
      </c>
      <c r="H734" s="229" t="s">
        <v>4430</v>
      </c>
      <c r="I734" s="230" t="s">
        <v>4431</v>
      </c>
      <c r="J734" s="254" t="s">
        <v>173</v>
      </c>
      <c r="K734" s="255">
        <v>34220</v>
      </c>
      <c r="L734" s="233" t="s">
        <v>174</v>
      </c>
      <c r="M734" s="256">
        <v>43742</v>
      </c>
      <c r="N734" s="256"/>
      <c r="O734" s="224" t="s">
        <v>4176</v>
      </c>
      <c r="P734" s="222" t="s">
        <v>277</v>
      </c>
      <c r="Q734" s="222" t="s">
        <v>244</v>
      </c>
      <c r="R734" s="224" t="s">
        <v>177</v>
      </c>
      <c r="S734" s="224" t="s">
        <v>223</v>
      </c>
      <c r="T734" s="235"/>
      <c r="U734" s="257"/>
      <c r="V734" s="258" t="s">
        <v>179</v>
      </c>
      <c r="W734" s="258" t="s">
        <v>179</v>
      </c>
      <c r="X734" s="259">
        <v>5</v>
      </c>
      <c r="Y734" s="251" t="s">
        <v>4432</v>
      </c>
      <c r="Z734" s="261"/>
      <c r="AA734" s="261" t="s">
        <v>181</v>
      </c>
      <c r="AB734" s="258"/>
      <c r="AC734" s="280"/>
      <c r="AD734" s="271"/>
      <c r="AE734" s="271"/>
      <c r="AF734" s="272"/>
      <c r="AG734" s="270"/>
      <c r="AH734" s="260"/>
      <c r="AI734" s="260"/>
      <c r="AJ734" s="258" t="s">
        <v>198</v>
      </c>
      <c r="AK734" s="258" t="s">
        <v>185</v>
      </c>
      <c r="AL734" s="258" t="s">
        <v>185</v>
      </c>
      <c r="AM734" s="244" t="s">
        <v>3854</v>
      </c>
      <c r="AN734" s="20">
        <v>182</v>
      </c>
      <c r="AO734" s="20">
        <v>0</v>
      </c>
      <c r="AP734" s="20">
        <v>20</v>
      </c>
      <c r="AQ734" s="20">
        <v>0</v>
      </c>
      <c r="AR734" s="20">
        <v>0</v>
      </c>
      <c r="AS734" s="20">
        <v>7</v>
      </c>
      <c r="AT734" s="20">
        <v>10</v>
      </c>
      <c r="AU734" s="300">
        <f t="shared" si="122"/>
        <v>219</v>
      </c>
      <c r="AV734" s="20">
        <v>190</v>
      </c>
      <c r="AW734" s="20">
        <v>0</v>
      </c>
      <c r="AX734" s="20">
        <v>20</v>
      </c>
      <c r="AY734" s="20">
        <v>0</v>
      </c>
      <c r="AZ734" s="20">
        <v>0</v>
      </c>
      <c r="BA734" s="20">
        <v>7</v>
      </c>
      <c r="BB734" s="20">
        <v>10</v>
      </c>
      <c r="BC734" s="300">
        <f t="shared" si="123"/>
        <v>227</v>
      </c>
      <c r="BD734" s="42">
        <f t="shared" si="124"/>
        <v>8</v>
      </c>
      <c r="BE734" s="42">
        <f t="shared" si="125"/>
        <v>0</v>
      </c>
      <c r="BF734" s="42">
        <f t="shared" si="126"/>
        <v>0</v>
      </c>
      <c r="BG734" s="42">
        <f t="shared" si="127"/>
        <v>0</v>
      </c>
      <c r="BH734" s="42">
        <f t="shared" si="128"/>
        <v>0</v>
      </c>
      <c r="BI734" s="42">
        <f t="shared" si="129"/>
        <v>0</v>
      </c>
      <c r="BJ734" s="42">
        <f t="shared" si="130"/>
        <v>0</v>
      </c>
      <c r="BK734" s="42">
        <f t="shared" si="131"/>
        <v>8</v>
      </c>
    </row>
    <row r="735" spans="1:63" ht="27" customHeight="1">
      <c r="A735" s="222">
        <f t="shared" si="132"/>
        <v>733</v>
      </c>
      <c r="B735" s="223"/>
      <c r="C735" s="250">
        <v>3175</v>
      </c>
      <c r="D735" s="225" t="s">
        <v>4433</v>
      </c>
      <c r="E735" s="251" t="s">
        <v>4434</v>
      </c>
      <c r="F735" s="252" t="s">
        <v>4435</v>
      </c>
      <c r="G735" s="253" t="s">
        <v>1572</v>
      </c>
      <c r="H735" s="229" t="s">
        <v>4436</v>
      </c>
      <c r="I735" s="230" t="s">
        <v>1574</v>
      </c>
      <c r="J735" s="254" t="s">
        <v>173</v>
      </c>
      <c r="K735" s="255">
        <v>33646</v>
      </c>
      <c r="L735" s="233" t="s">
        <v>174</v>
      </c>
      <c r="M735" s="256">
        <v>43742</v>
      </c>
      <c r="N735" s="256"/>
      <c r="O735" s="224" t="s">
        <v>4176</v>
      </c>
      <c r="P735" s="222" t="s">
        <v>277</v>
      </c>
      <c r="Q735" s="222" t="s">
        <v>244</v>
      </c>
      <c r="R735" s="224" t="s">
        <v>177</v>
      </c>
      <c r="S735" s="224" t="s">
        <v>4329</v>
      </c>
      <c r="T735" s="235"/>
      <c r="U735" s="257"/>
      <c r="V735" s="258" t="s">
        <v>179</v>
      </c>
      <c r="W735" s="258" t="s">
        <v>179</v>
      </c>
      <c r="X735" s="259">
        <v>7</v>
      </c>
      <c r="Y735" s="251" t="s">
        <v>4437</v>
      </c>
      <c r="Z735" s="261"/>
      <c r="AA735" s="261" t="s">
        <v>181</v>
      </c>
      <c r="AB735" s="258"/>
      <c r="AC735" s="280"/>
      <c r="AD735" s="271"/>
      <c r="AE735" s="271"/>
      <c r="AF735" s="272"/>
      <c r="AG735" s="270"/>
      <c r="AH735" s="260"/>
      <c r="AI735" s="260"/>
      <c r="AJ735" s="258" t="s">
        <v>198</v>
      </c>
      <c r="AK735" s="258" t="s">
        <v>185</v>
      </c>
      <c r="AL735" s="258" t="s">
        <v>185</v>
      </c>
      <c r="AM735" s="244" t="s">
        <v>4423</v>
      </c>
      <c r="AN735" s="20">
        <v>182</v>
      </c>
      <c r="AO735" s="20">
        <v>0</v>
      </c>
      <c r="AP735" s="20">
        <v>20</v>
      </c>
      <c r="AQ735" s="20">
        <v>0</v>
      </c>
      <c r="AR735" s="20">
        <v>0</v>
      </c>
      <c r="AS735" s="20">
        <v>7</v>
      </c>
      <c r="AT735" s="20">
        <v>10</v>
      </c>
      <c r="AU735" s="300">
        <f t="shared" si="122"/>
        <v>219</v>
      </c>
      <c r="AV735" s="20">
        <v>190</v>
      </c>
      <c r="AW735" s="20">
        <v>0</v>
      </c>
      <c r="AX735" s="20">
        <v>20</v>
      </c>
      <c r="AY735" s="20">
        <v>0</v>
      </c>
      <c r="AZ735" s="20">
        <v>0</v>
      </c>
      <c r="BA735" s="20">
        <v>7</v>
      </c>
      <c r="BB735" s="20">
        <v>10</v>
      </c>
      <c r="BC735" s="300">
        <f t="shared" si="123"/>
        <v>227</v>
      </c>
      <c r="BD735" s="42">
        <f t="shared" si="124"/>
        <v>8</v>
      </c>
      <c r="BE735" s="42">
        <f t="shared" si="125"/>
        <v>0</v>
      </c>
      <c r="BF735" s="42">
        <f t="shared" si="126"/>
        <v>0</v>
      </c>
      <c r="BG735" s="42">
        <f t="shared" si="127"/>
        <v>0</v>
      </c>
      <c r="BH735" s="42">
        <f t="shared" si="128"/>
        <v>0</v>
      </c>
      <c r="BI735" s="42">
        <f t="shared" si="129"/>
        <v>0</v>
      </c>
      <c r="BJ735" s="42">
        <f t="shared" si="130"/>
        <v>0</v>
      </c>
      <c r="BK735" s="42">
        <f t="shared" si="131"/>
        <v>8</v>
      </c>
    </row>
    <row r="736" spans="1:63" ht="27" customHeight="1">
      <c r="A736" s="222">
        <f t="shared" si="132"/>
        <v>734</v>
      </c>
      <c r="B736" s="223"/>
      <c r="C736" s="250">
        <v>3208</v>
      </c>
      <c r="D736" s="225" t="s">
        <v>4438</v>
      </c>
      <c r="E736" s="251" t="s">
        <v>4439</v>
      </c>
      <c r="F736" s="252" t="s">
        <v>438</v>
      </c>
      <c r="G736" s="253" t="s">
        <v>4440</v>
      </c>
      <c r="H736" s="229" t="s">
        <v>959</v>
      </c>
      <c r="I736" s="230" t="s">
        <v>4441</v>
      </c>
      <c r="J736" s="254" t="s">
        <v>173</v>
      </c>
      <c r="K736" s="255">
        <v>33604</v>
      </c>
      <c r="L736" s="233" t="s">
        <v>174</v>
      </c>
      <c r="M736" s="256">
        <v>43741</v>
      </c>
      <c r="N736" s="256"/>
      <c r="O736" s="224" t="s">
        <v>4176</v>
      </c>
      <c r="P736" s="222" t="s">
        <v>277</v>
      </c>
      <c r="Q736" s="222" t="s">
        <v>244</v>
      </c>
      <c r="R736" s="224" t="s">
        <v>177</v>
      </c>
      <c r="S736" s="224" t="s">
        <v>2500</v>
      </c>
      <c r="T736" s="235"/>
      <c r="U736" s="257"/>
      <c r="V736" s="258" t="s">
        <v>179</v>
      </c>
      <c r="W736" s="258" t="s">
        <v>179</v>
      </c>
      <c r="X736" s="259">
        <v>3</v>
      </c>
      <c r="Y736" s="251" t="s">
        <v>4442</v>
      </c>
      <c r="Z736" s="261"/>
      <c r="AA736" s="261" t="s">
        <v>181</v>
      </c>
      <c r="AB736" s="258"/>
      <c r="AC736" s="280"/>
      <c r="AD736" s="271"/>
      <c r="AE736" s="271"/>
      <c r="AF736" s="272"/>
      <c r="AG736" s="270"/>
      <c r="AH736" s="260"/>
      <c r="AI736" s="260"/>
      <c r="AJ736" s="258" t="s">
        <v>198</v>
      </c>
      <c r="AK736" s="258" t="s">
        <v>185</v>
      </c>
      <c r="AL736" s="258" t="s">
        <v>185</v>
      </c>
      <c r="AM736" s="244" t="s">
        <v>3854</v>
      </c>
      <c r="AN736" s="20">
        <v>182</v>
      </c>
      <c r="AO736" s="20">
        <v>0</v>
      </c>
      <c r="AP736" s="20">
        <v>20</v>
      </c>
      <c r="AQ736" s="20">
        <v>0</v>
      </c>
      <c r="AR736" s="20">
        <v>0</v>
      </c>
      <c r="AS736" s="20">
        <v>7</v>
      </c>
      <c r="AT736" s="20">
        <v>10</v>
      </c>
      <c r="AU736" s="300">
        <f t="shared" si="122"/>
        <v>219</v>
      </c>
      <c r="AV736" s="20">
        <v>190</v>
      </c>
      <c r="AW736" s="20">
        <v>0</v>
      </c>
      <c r="AX736" s="20">
        <v>20</v>
      </c>
      <c r="AY736" s="20">
        <v>0</v>
      </c>
      <c r="AZ736" s="20">
        <v>0</v>
      </c>
      <c r="BA736" s="20">
        <v>7</v>
      </c>
      <c r="BB736" s="20">
        <v>10</v>
      </c>
      <c r="BC736" s="300">
        <f t="shared" si="123"/>
        <v>227</v>
      </c>
      <c r="BD736" s="42">
        <f t="shared" si="124"/>
        <v>8</v>
      </c>
      <c r="BE736" s="42">
        <f t="shared" si="125"/>
        <v>0</v>
      </c>
      <c r="BF736" s="42">
        <f t="shared" si="126"/>
        <v>0</v>
      </c>
      <c r="BG736" s="42">
        <f t="shared" si="127"/>
        <v>0</v>
      </c>
      <c r="BH736" s="42">
        <f t="shared" si="128"/>
        <v>0</v>
      </c>
      <c r="BI736" s="42">
        <f t="shared" si="129"/>
        <v>0</v>
      </c>
      <c r="BJ736" s="42">
        <f t="shared" si="130"/>
        <v>0</v>
      </c>
      <c r="BK736" s="42">
        <f t="shared" si="131"/>
        <v>8</v>
      </c>
    </row>
    <row r="737" spans="1:63" ht="27" customHeight="1">
      <c r="A737" s="222">
        <f t="shared" si="132"/>
        <v>735</v>
      </c>
      <c r="B737" s="223"/>
      <c r="C737" s="250">
        <v>3160</v>
      </c>
      <c r="D737" s="225" t="s">
        <v>4443</v>
      </c>
      <c r="E737" s="251" t="s">
        <v>291</v>
      </c>
      <c r="F737" s="252" t="s">
        <v>4444</v>
      </c>
      <c r="G737" s="253" t="s">
        <v>1719</v>
      </c>
      <c r="H737" s="229" t="s">
        <v>4445</v>
      </c>
      <c r="I737" s="230" t="s">
        <v>1721</v>
      </c>
      <c r="J737" s="254" t="s">
        <v>173</v>
      </c>
      <c r="K737" s="255">
        <v>31788</v>
      </c>
      <c r="L737" s="233" t="s">
        <v>174</v>
      </c>
      <c r="M737" s="256">
        <v>43740</v>
      </c>
      <c r="N737" s="256"/>
      <c r="O737" s="224" t="s">
        <v>4176</v>
      </c>
      <c r="P737" s="222" t="s">
        <v>277</v>
      </c>
      <c r="Q737" s="222" t="s">
        <v>244</v>
      </c>
      <c r="R737" s="224" t="s">
        <v>177</v>
      </c>
      <c r="S737" s="224" t="s">
        <v>722</v>
      </c>
      <c r="T737" s="235"/>
      <c r="U737" s="257"/>
      <c r="V737" s="258" t="s">
        <v>179</v>
      </c>
      <c r="W737" s="258" t="s">
        <v>179</v>
      </c>
      <c r="X737" s="259">
        <v>6</v>
      </c>
      <c r="Y737" s="251" t="s">
        <v>4446</v>
      </c>
      <c r="Z737" s="261"/>
      <c r="AA737" s="261" t="s">
        <v>181</v>
      </c>
      <c r="AB737" s="258"/>
      <c r="AC737" s="280"/>
      <c r="AD737" s="271"/>
      <c r="AE737" s="271"/>
      <c r="AF737" s="272"/>
      <c r="AG737" s="270"/>
      <c r="AH737" s="260"/>
      <c r="AI737" s="260"/>
      <c r="AJ737" s="258" t="s">
        <v>198</v>
      </c>
      <c r="AK737" s="258" t="s">
        <v>185</v>
      </c>
      <c r="AL737" s="258" t="s">
        <v>185</v>
      </c>
      <c r="AM737" s="244" t="s">
        <v>3911</v>
      </c>
      <c r="AN737" s="20">
        <v>182</v>
      </c>
      <c r="AO737" s="20">
        <v>0</v>
      </c>
      <c r="AP737" s="20">
        <v>20</v>
      </c>
      <c r="AQ737" s="20">
        <v>0</v>
      </c>
      <c r="AR737" s="20">
        <v>0</v>
      </c>
      <c r="AS737" s="20">
        <v>7</v>
      </c>
      <c r="AT737" s="20">
        <v>10</v>
      </c>
      <c r="AU737" s="300">
        <f t="shared" si="122"/>
        <v>219</v>
      </c>
      <c r="AV737" s="20">
        <v>190</v>
      </c>
      <c r="AW737" s="20">
        <v>0</v>
      </c>
      <c r="AX737" s="20">
        <v>20</v>
      </c>
      <c r="AY737" s="20">
        <v>0</v>
      </c>
      <c r="AZ737" s="20">
        <v>0</v>
      </c>
      <c r="BA737" s="20">
        <v>7</v>
      </c>
      <c r="BB737" s="20">
        <v>10</v>
      </c>
      <c r="BC737" s="300">
        <f t="shared" si="123"/>
        <v>227</v>
      </c>
      <c r="BD737" s="42">
        <f t="shared" si="124"/>
        <v>8</v>
      </c>
      <c r="BE737" s="42">
        <f t="shared" si="125"/>
        <v>0</v>
      </c>
      <c r="BF737" s="42">
        <f t="shared" si="126"/>
        <v>0</v>
      </c>
      <c r="BG737" s="42">
        <f t="shared" si="127"/>
        <v>0</v>
      </c>
      <c r="BH737" s="42">
        <f t="shared" si="128"/>
        <v>0</v>
      </c>
      <c r="BI737" s="42">
        <f t="shared" si="129"/>
        <v>0</v>
      </c>
      <c r="BJ737" s="42">
        <f t="shared" si="130"/>
        <v>0</v>
      </c>
      <c r="BK737" s="42">
        <f t="shared" si="131"/>
        <v>8</v>
      </c>
    </row>
    <row r="738" spans="1:63" ht="27" customHeight="1">
      <c r="A738" s="222">
        <f t="shared" si="132"/>
        <v>736</v>
      </c>
      <c r="B738" s="223"/>
      <c r="C738" s="250">
        <v>3296</v>
      </c>
      <c r="D738" s="225" t="s">
        <v>4447</v>
      </c>
      <c r="E738" s="251" t="s">
        <v>4448</v>
      </c>
      <c r="F738" s="252" t="s">
        <v>4449</v>
      </c>
      <c r="G738" s="253" t="s">
        <v>4450</v>
      </c>
      <c r="H738" s="229" t="s">
        <v>4451</v>
      </c>
      <c r="I738" s="230" t="s">
        <v>4452</v>
      </c>
      <c r="J738" s="254" t="s">
        <v>173</v>
      </c>
      <c r="K738" s="255">
        <v>33072</v>
      </c>
      <c r="L738" s="233" t="s">
        <v>174</v>
      </c>
      <c r="M738" s="256">
        <v>43746</v>
      </c>
      <c r="N738" s="256"/>
      <c r="O738" s="224" t="s">
        <v>4076</v>
      </c>
      <c r="P738" s="222" t="s">
        <v>313</v>
      </c>
      <c r="Q738" s="222" t="s">
        <v>244</v>
      </c>
      <c r="R738" s="224" t="s">
        <v>177</v>
      </c>
      <c r="S738" s="224" t="s">
        <v>178</v>
      </c>
      <c r="T738" s="235"/>
      <c r="U738" s="257"/>
      <c r="V738" s="258" t="s">
        <v>179</v>
      </c>
      <c r="W738" s="258" t="s">
        <v>179</v>
      </c>
      <c r="X738" s="259">
        <v>7</v>
      </c>
      <c r="Y738" s="251" t="s">
        <v>4453</v>
      </c>
      <c r="Z738" s="261"/>
      <c r="AA738" s="261" t="s">
        <v>181</v>
      </c>
      <c r="AB738" s="261"/>
      <c r="AC738" s="280"/>
      <c r="AD738" s="271"/>
      <c r="AE738" s="271"/>
      <c r="AF738" s="272"/>
      <c r="AG738" s="270"/>
      <c r="AH738" s="260"/>
      <c r="AI738" s="260"/>
      <c r="AJ738" s="258" t="s">
        <v>198</v>
      </c>
      <c r="AK738" s="258" t="s">
        <v>185</v>
      </c>
      <c r="AL738" s="258" t="s">
        <v>185</v>
      </c>
      <c r="AM738" s="244" t="s">
        <v>236</v>
      </c>
      <c r="AN738" s="20">
        <v>182</v>
      </c>
      <c r="AO738" s="20">
        <v>0</v>
      </c>
      <c r="AP738" s="20">
        <v>20</v>
      </c>
      <c r="AQ738" s="20">
        <v>0</v>
      </c>
      <c r="AR738" s="20">
        <v>0</v>
      </c>
      <c r="AS738" s="20">
        <v>7</v>
      </c>
      <c r="AT738" s="20">
        <v>10</v>
      </c>
      <c r="AU738" s="300">
        <f t="shared" si="122"/>
        <v>219</v>
      </c>
      <c r="AV738" s="20">
        <v>190</v>
      </c>
      <c r="AW738" s="20">
        <v>0</v>
      </c>
      <c r="AX738" s="20">
        <v>20</v>
      </c>
      <c r="AY738" s="20">
        <v>0</v>
      </c>
      <c r="AZ738" s="20">
        <v>0</v>
      </c>
      <c r="BA738" s="20">
        <v>7</v>
      </c>
      <c r="BB738" s="20">
        <v>10</v>
      </c>
      <c r="BC738" s="300">
        <f t="shared" si="123"/>
        <v>227</v>
      </c>
      <c r="BD738" s="42">
        <f t="shared" si="124"/>
        <v>8</v>
      </c>
      <c r="BE738" s="42">
        <f t="shared" si="125"/>
        <v>0</v>
      </c>
      <c r="BF738" s="42">
        <f t="shared" si="126"/>
        <v>0</v>
      </c>
      <c r="BG738" s="42">
        <f t="shared" si="127"/>
        <v>0</v>
      </c>
      <c r="BH738" s="42">
        <f t="shared" si="128"/>
        <v>0</v>
      </c>
      <c r="BI738" s="42">
        <f t="shared" si="129"/>
        <v>0</v>
      </c>
      <c r="BJ738" s="42">
        <f t="shared" si="130"/>
        <v>0</v>
      </c>
      <c r="BK738" s="42">
        <f t="shared" si="131"/>
        <v>8</v>
      </c>
    </row>
    <row r="739" spans="1:63" ht="27" customHeight="1">
      <c r="A739" s="222">
        <f t="shared" si="132"/>
        <v>737</v>
      </c>
      <c r="B739" s="223"/>
      <c r="C739" s="250">
        <v>3510</v>
      </c>
      <c r="D739" s="225" t="s">
        <v>4454</v>
      </c>
      <c r="E739" s="251" t="s">
        <v>4455</v>
      </c>
      <c r="F739" s="252" t="s">
        <v>402</v>
      </c>
      <c r="G739" s="253" t="s">
        <v>1719</v>
      </c>
      <c r="H739" s="229" t="s">
        <v>604</v>
      </c>
      <c r="I739" s="230" t="s">
        <v>1721</v>
      </c>
      <c r="J739" s="254" t="s">
        <v>173</v>
      </c>
      <c r="K739" s="255">
        <v>35432</v>
      </c>
      <c r="L739" s="233" t="s">
        <v>174</v>
      </c>
      <c r="M739" s="256">
        <v>43746</v>
      </c>
      <c r="N739" s="256"/>
      <c r="O739" s="224" t="s">
        <v>3973</v>
      </c>
      <c r="P739" s="222" t="s">
        <v>3749</v>
      </c>
      <c r="Q739" s="222" t="s">
        <v>244</v>
      </c>
      <c r="R739" s="224" t="s">
        <v>177</v>
      </c>
      <c r="S739" s="224" t="s">
        <v>223</v>
      </c>
      <c r="T739" s="235"/>
      <c r="U739" s="257"/>
      <c r="V739" s="258" t="s">
        <v>179</v>
      </c>
      <c r="W739" s="258" t="s">
        <v>179</v>
      </c>
      <c r="X739" s="259">
        <v>3</v>
      </c>
      <c r="Y739" s="251" t="s">
        <v>4456</v>
      </c>
      <c r="Z739" s="261"/>
      <c r="AA739" s="261"/>
      <c r="AB739" s="258"/>
      <c r="AC739" s="280"/>
      <c r="AD739" s="271"/>
      <c r="AE739" s="271"/>
      <c r="AF739" s="272"/>
      <c r="AG739" s="270"/>
      <c r="AH739" s="260"/>
      <c r="AI739" s="260"/>
      <c r="AJ739" s="258" t="s">
        <v>198</v>
      </c>
      <c r="AK739" s="258" t="s">
        <v>185</v>
      </c>
      <c r="AL739" s="258" t="s">
        <v>185</v>
      </c>
      <c r="AM739" s="244" t="s">
        <v>3854</v>
      </c>
      <c r="AN739" s="20">
        <v>182</v>
      </c>
      <c r="AO739" s="20">
        <v>0</v>
      </c>
      <c r="AP739" s="20">
        <v>20</v>
      </c>
      <c r="AQ739" s="20">
        <v>0</v>
      </c>
      <c r="AR739" s="20">
        <v>0</v>
      </c>
      <c r="AS739" s="20">
        <v>7</v>
      </c>
      <c r="AT739" s="20">
        <v>10</v>
      </c>
      <c r="AU739" s="300">
        <f t="shared" si="122"/>
        <v>219</v>
      </c>
      <c r="AV739" s="20">
        <v>190</v>
      </c>
      <c r="AW739" s="20">
        <v>0</v>
      </c>
      <c r="AX739" s="20">
        <v>20</v>
      </c>
      <c r="AY739" s="20">
        <v>0</v>
      </c>
      <c r="AZ739" s="20">
        <v>0</v>
      </c>
      <c r="BA739" s="20">
        <v>7</v>
      </c>
      <c r="BB739" s="20">
        <v>10</v>
      </c>
      <c r="BC739" s="300">
        <f t="shared" si="123"/>
        <v>227</v>
      </c>
      <c r="BD739" s="42">
        <f t="shared" si="124"/>
        <v>8</v>
      </c>
      <c r="BE739" s="42">
        <f t="shared" si="125"/>
        <v>0</v>
      </c>
      <c r="BF739" s="42">
        <f t="shared" si="126"/>
        <v>0</v>
      </c>
      <c r="BG739" s="42">
        <f t="shared" si="127"/>
        <v>0</v>
      </c>
      <c r="BH739" s="42">
        <f t="shared" si="128"/>
        <v>0</v>
      </c>
      <c r="BI739" s="42">
        <f t="shared" si="129"/>
        <v>0</v>
      </c>
      <c r="BJ739" s="42">
        <f t="shared" si="130"/>
        <v>0</v>
      </c>
      <c r="BK739" s="42">
        <f t="shared" si="131"/>
        <v>8</v>
      </c>
    </row>
    <row r="740" spans="1:63" ht="27" customHeight="1">
      <c r="A740" s="222">
        <f t="shared" si="132"/>
        <v>738</v>
      </c>
      <c r="B740" s="223"/>
      <c r="C740" s="250">
        <v>3236</v>
      </c>
      <c r="D740" s="225" t="s">
        <v>4457</v>
      </c>
      <c r="E740" s="251" t="s">
        <v>4458</v>
      </c>
      <c r="F740" s="252" t="s">
        <v>4459</v>
      </c>
      <c r="G740" s="253" t="s">
        <v>4180</v>
      </c>
      <c r="H740" s="229" t="s">
        <v>4460</v>
      </c>
      <c r="I740" s="230" t="s">
        <v>4181</v>
      </c>
      <c r="J740" s="254" t="s">
        <v>173</v>
      </c>
      <c r="K740" s="255">
        <v>27397</v>
      </c>
      <c r="L740" s="233" t="s">
        <v>174</v>
      </c>
      <c r="M740" s="256">
        <v>43746</v>
      </c>
      <c r="N740" s="256"/>
      <c r="O740" s="224"/>
      <c r="P740" s="222" t="s">
        <v>3749</v>
      </c>
      <c r="Q740" s="222" t="s">
        <v>244</v>
      </c>
      <c r="R740" s="224" t="s">
        <v>177</v>
      </c>
      <c r="S740" s="224" t="s">
        <v>214</v>
      </c>
      <c r="T740" s="235"/>
      <c r="U740" s="257"/>
      <c r="V740" s="258" t="s">
        <v>179</v>
      </c>
      <c r="W740" s="258" t="s">
        <v>179</v>
      </c>
      <c r="X740" s="259">
        <v>7</v>
      </c>
      <c r="Y740" s="251" t="s">
        <v>4461</v>
      </c>
      <c r="Z740" s="261"/>
      <c r="AA740" s="261" t="s">
        <v>181</v>
      </c>
      <c r="AB740" s="258"/>
      <c r="AC740" s="280"/>
      <c r="AD740" s="271"/>
      <c r="AE740" s="271"/>
      <c r="AF740" s="272"/>
      <c r="AG740" s="270"/>
      <c r="AH740" s="260"/>
      <c r="AI740" s="260"/>
      <c r="AJ740" s="258" t="s">
        <v>185</v>
      </c>
      <c r="AK740" s="258" t="s">
        <v>185</v>
      </c>
      <c r="AL740" s="258" t="s">
        <v>185</v>
      </c>
      <c r="AM740" s="244" t="s">
        <v>236</v>
      </c>
      <c r="AN740" s="20">
        <v>182</v>
      </c>
      <c r="AO740" s="20">
        <v>0</v>
      </c>
      <c r="AP740" s="20">
        <v>20</v>
      </c>
      <c r="AQ740" s="20">
        <v>0</v>
      </c>
      <c r="AR740" s="20">
        <v>0</v>
      </c>
      <c r="AS740" s="20">
        <v>7</v>
      </c>
      <c r="AT740" s="20">
        <v>10</v>
      </c>
      <c r="AU740" s="300">
        <f t="shared" si="122"/>
        <v>219</v>
      </c>
      <c r="AV740" s="20">
        <v>190</v>
      </c>
      <c r="AW740" s="20">
        <v>0</v>
      </c>
      <c r="AX740" s="20">
        <v>20</v>
      </c>
      <c r="AY740" s="20">
        <v>0</v>
      </c>
      <c r="AZ740" s="20">
        <v>0</v>
      </c>
      <c r="BA740" s="20">
        <v>7</v>
      </c>
      <c r="BB740" s="20">
        <v>10</v>
      </c>
      <c r="BC740" s="300">
        <f t="shared" si="123"/>
        <v>227</v>
      </c>
      <c r="BD740" s="42">
        <f t="shared" si="124"/>
        <v>8</v>
      </c>
      <c r="BE740" s="42">
        <f t="shared" si="125"/>
        <v>0</v>
      </c>
      <c r="BF740" s="42">
        <f t="shared" si="126"/>
        <v>0</v>
      </c>
      <c r="BG740" s="42">
        <f t="shared" si="127"/>
        <v>0</v>
      </c>
      <c r="BH740" s="42">
        <f t="shared" si="128"/>
        <v>0</v>
      </c>
      <c r="BI740" s="42">
        <f t="shared" si="129"/>
        <v>0</v>
      </c>
      <c r="BJ740" s="42">
        <f t="shared" si="130"/>
        <v>0</v>
      </c>
      <c r="BK740" s="42">
        <f t="shared" si="131"/>
        <v>8</v>
      </c>
    </row>
    <row r="741" spans="1:63" ht="27" customHeight="1">
      <c r="A741" s="222">
        <f t="shared" si="132"/>
        <v>739</v>
      </c>
      <c r="B741" s="223"/>
      <c r="C741" s="250">
        <v>3556</v>
      </c>
      <c r="D741" s="225" t="s">
        <v>4462</v>
      </c>
      <c r="E741" s="251" t="s">
        <v>4463</v>
      </c>
      <c r="F741" s="252" t="s">
        <v>4464</v>
      </c>
      <c r="G741" s="253" t="s">
        <v>4465</v>
      </c>
      <c r="H741" s="229" t="s">
        <v>4466</v>
      </c>
      <c r="I741" s="230" t="s">
        <v>4467</v>
      </c>
      <c r="J741" s="254" t="s">
        <v>173</v>
      </c>
      <c r="K741" s="255">
        <v>32970</v>
      </c>
      <c r="L741" s="233" t="s">
        <v>174</v>
      </c>
      <c r="M741" s="256">
        <v>43748</v>
      </c>
      <c r="N741" s="256"/>
      <c r="O741" s="224" t="s">
        <v>3973</v>
      </c>
      <c r="P741" s="222" t="s">
        <v>3749</v>
      </c>
      <c r="Q741" s="222" t="s">
        <v>244</v>
      </c>
      <c r="R741" s="224" t="s">
        <v>177</v>
      </c>
      <c r="S741" s="224" t="s">
        <v>178</v>
      </c>
      <c r="T741" s="235"/>
      <c r="U741" s="257"/>
      <c r="V741" s="258" t="s">
        <v>179</v>
      </c>
      <c r="W741" s="258" t="s">
        <v>179</v>
      </c>
      <c r="X741" s="259">
        <v>2</v>
      </c>
      <c r="Y741" s="251" t="s">
        <v>4468</v>
      </c>
      <c r="Z741" s="261"/>
      <c r="AA741" s="261"/>
      <c r="AB741" s="258"/>
      <c r="AC741" s="280"/>
      <c r="AD741" s="271"/>
      <c r="AE741" s="271"/>
      <c r="AF741" s="272"/>
      <c r="AG741" s="270"/>
      <c r="AH741" s="260"/>
      <c r="AI741" s="260"/>
      <c r="AJ741" s="258" t="s">
        <v>198</v>
      </c>
      <c r="AK741" s="258" t="s">
        <v>185</v>
      </c>
      <c r="AL741" s="258" t="s">
        <v>185</v>
      </c>
      <c r="AM741" s="244" t="s">
        <v>4469</v>
      </c>
      <c r="AN741" s="20">
        <v>182</v>
      </c>
      <c r="AO741" s="20">
        <v>0</v>
      </c>
      <c r="AP741" s="20">
        <v>0</v>
      </c>
      <c r="AQ741" s="20">
        <v>0</v>
      </c>
      <c r="AR741" s="20">
        <v>0</v>
      </c>
      <c r="AS741" s="20">
        <v>7</v>
      </c>
      <c r="AT741" s="20">
        <v>10</v>
      </c>
      <c r="AU741" s="300">
        <f t="shared" si="122"/>
        <v>199</v>
      </c>
      <c r="AV741" s="20">
        <v>190</v>
      </c>
      <c r="AW741" s="20">
        <v>0</v>
      </c>
      <c r="AX741" s="20">
        <v>0</v>
      </c>
      <c r="AY741" s="20">
        <v>0</v>
      </c>
      <c r="AZ741" s="20">
        <v>0</v>
      </c>
      <c r="BA741" s="20">
        <v>7</v>
      </c>
      <c r="BB741" s="20">
        <v>10</v>
      </c>
      <c r="BC741" s="300">
        <f t="shared" si="123"/>
        <v>207</v>
      </c>
      <c r="BD741" s="42">
        <f t="shared" si="124"/>
        <v>8</v>
      </c>
      <c r="BE741" s="42">
        <f t="shared" si="125"/>
        <v>0</v>
      </c>
      <c r="BF741" s="42">
        <f t="shared" si="126"/>
        <v>0</v>
      </c>
      <c r="BG741" s="42">
        <f t="shared" si="127"/>
        <v>0</v>
      </c>
      <c r="BH741" s="42">
        <f t="shared" si="128"/>
        <v>0</v>
      </c>
      <c r="BI741" s="42">
        <f t="shared" si="129"/>
        <v>0</v>
      </c>
      <c r="BJ741" s="42">
        <f t="shared" si="130"/>
        <v>0</v>
      </c>
      <c r="BK741" s="42">
        <f t="shared" si="131"/>
        <v>8</v>
      </c>
    </row>
    <row r="742" spans="1:63" ht="27" customHeight="1">
      <c r="A742" s="222">
        <f t="shared" si="132"/>
        <v>740</v>
      </c>
      <c r="B742" s="223"/>
      <c r="C742" s="250">
        <v>3611</v>
      </c>
      <c r="D742" s="225" t="s">
        <v>4470</v>
      </c>
      <c r="E742" s="251" t="s">
        <v>4471</v>
      </c>
      <c r="F742" s="252" t="s">
        <v>4472</v>
      </c>
      <c r="G742" s="253" t="s">
        <v>1308</v>
      </c>
      <c r="H742" s="229" t="s">
        <v>4473</v>
      </c>
      <c r="I742" s="230" t="s">
        <v>1310</v>
      </c>
      <c r="J742" s="254" t="s">
        <v>173</v>
      </c>
      <c r="K742" s="255">
        <v>31978</v>
      </c>
      <c r="L742" s="233" t="s">
        <v>174</v>
      </c>
      <c r="M742" s="256">
        <v>43750</v>
      </c>
      <c r="N742" s="256"/>
      <c r="O742" s="224" t="s">
        <v>4076</v>
      </c>
      <c r="P742" s="222" t="s">
        <v>313</v>
      </c>
      <c r="Q742" s="222" t="s">
        <v>244</v>
      </c>
      <c r="R742" s="224" t="s">
        <v>177</v>
      </c>
      <c r="S742" s="224" t="s">
        <v>223</v>
      </c>
      <c r="T742" s="235"/>
      <c r="U742" s="257"/>
      <c r="V742" s="258" t="s">
        <v>179</v>
      </c>
      <c r="W742" s="258">
        <v>301</v>
      </c>
      <c r="X742" s="259">
        <v>5</v>
      </c>
      <c r="Y742" s="251" t="s">
        <v>4474</v>
      </c>
      <c r="Z742" s="261"/>
      <c r="AA742" s="261"/>
      <c r="AB742" s="258"/>
      <c r="AC742" s="280"/>
      <c r="AD742" s="271"/>
      <c r="AE742" s="271"/>
      <c r="AF742" s="272"/>
      <c r="AG742" s="270"/>
      <c r="AH742" s="260"/>
      <c r="AI742" s="260"/>
      <c r="AJ742" s="258" t="s">
        <v>185</v>
      </c>
      <c r="AK742" s="258" t="s">
        <v>185</v>
      </c>
      <c r="AL742" s="258" t="s">
        <v>185</v>
      </c>
      <c r="AM742" s="273" t="s">
        <v>3962</v>
      </c>
      <c r="AN742" s="20">
        <v>182</v>
      </c>
      <c r="AO742" s="20">
        <v>0</v>
      </c>
      <c r="AP742" s="20">
        <v>20</v>
      </c>
      <c r="AQ742" s="20">
        <v>0</v>
      </c>
      <c r="AR742" s="20">
        <v>0</v>
      </c>
      <c r="AS742" s="20">
        <v>7</v>
      </c>
      <c r="AT742" s="20">
        <v>10</v>
      </c>
      <c r="AU742" s="300">
        <f t="shared" si="122"/>
        <v>219</v>
      </c>
      <c r="AV742" s="20">
        <v>190</v>
      </c>
      <c r="AW742" s="20">
        <v>0</v>
      </c>
      <c r="AX742" s="20">
        <v>20</v>
      </c>
      <c r="AY742" s="20">
        <v>0</v>
      </c>
      <c r="AZ742" s="20">
        <v>0</v>
      </c>
      <c r="BA742" s="20">
        <v>7</v>
      </c>
      <c r="BB742" s="20">
        <v>10</v>
      </c>
      <c r="BC742" s="300">
        <f t="shared" si="123"/>
        <v>227</v>
      </c>
      <c r="BD742" s="42">
        <f t="shared" si="124"/>
        <v>8</v>
      </c>
      <c r="BE742" s="42">
        <f t="shared" si="125"/>
        <v>0</v>
      </c>
      <c r="BF742" s="42">
        <f t="shared" si="126"/>
        <v>0</v>
      </c>
      <c r="BG742" s="42">
        <f t="shared" si="127"/>
        <v>0</v>
      </c>
      <c r="BH742" s="42">
        <f t="shared" si="128"/>
        <v>0</v>
      </c>
      <c r="BI742" s="42">
        <f t="shared" si="129"/>
        <v>0</v>
      </c>
      <c r="BJ742" s="42">
        <f t="shared" si="130"/>
        <v>0</v>
      </c>
      <c r="BK742" s="42">
        <f t="shared" si="131"/>
        <v>8</v>
      </c>
    </row>
    <row r="743" spans="1:63" ht="27" customHeight="1">
      <c r="A743" s="222">
        <f t="shared" si="132"/>
        <v>741</v>
      </c>
      <c r="B743" s="223"/>
      <c r="C743" s="250">
        <v>3149</v>
      </c>
      <c r="D743" s="225" t="s">
        <v>4475</v>
      </c>
      <c r="E743" s="251" t="s">
        <v>4476</v>
      </c>
      <c r="F743" s="252" t="s">
        <v>4477</v>
      </c>
      <c r="G743" s="253" t="s">
        <v>4478</v>
      </c>
      <c r="H743" s="229" t="s">
        <v>4479</v>
      </c>
      <c r="I743" s="230" t="s">
        <v>4480</v>
      </c>
      <c r="J743" s="254" t="s">
        <v>204</v>
      </c>
      <c r="K743" s="255">
        <v>33456</v>
      </c>
      <c r="L743" s="233" t="s">
        <v>174</v>
      </c>
      <c r="M743" s="256">
        <v>43740</v>
      </c>
      <c r="N743" s="256"/>
      <c r="O743" s="224" t="s">
        <v>4076</v>
      </c>
      <c r="P743" s="222" t="s">
        <v>313</v>
      </c>
      <c r="Q743" s="222" t="s">
        <v>244</v>
      </c>
      <c r="R743" s="224" t="s">
        <v>177</v>
      </c>
      <c r="S743" s="224" t="s">
        <v>2500</v>
      </c>
      <c r="T743" s="235"/>
      <c r="U743" s="257"/>
      <c r="V743" s="258" t="s">
        <v>179</v>
      </c>
      <c r="W743" s="258" t="s">
        <v>179</v>
      </c>
      <c r="X743" s="259">
        <v>6</v>
      </c>
      <c r="Y743" s="251" t="s">
        <v>4481</v>
      </c>
      <c r="Z743" s="261"/>
      <c r="AA743" s="261" t="s">
        <v>181</v>
      </c>
      <c r="AB743" s="258"/>
      <c r="AC743" s="280"/>
      <c r="AD743" s="271"/>
      <c r="AE743" s="271"/>
      <c r="AF743" s="271"/>
      <c r="AG743" s="271"/>
      <c r="AH743" s="260"/>
      <c r="AI743" s="260"/>
      <c r="AJ743" s="258" t="s">
        <v>198</v>
      </c>
      <c r="AK743" s="258" t="s">
        <v>185</v>
      </c>
      <c r="AL743" s="258" t="s">
        <v>185</v>
      </c>
      <c r="AM743" s="244" t="s">
        <v>3854</v>
      </c>
      <c r="AN743" s="20">
        <v>182</v>
      </c>
      <c r="AO743" s="20">
        <v>0</v>
      </c>
      <c r="AP743" s="20">
        <v>20</v>
      </c>
      <c r="AQ743" s="20">
        <v>0</v>
      </c>
      <c r="AR743" s="20">
        <v>0</v>
      </c>
      <c r="AS743" s="20">
        <v>7</v>
      </c>
      <c r="AT743" s="20">
        <v>10</v>
      </c>
      <c r="AU743" s="300">
        <f t="shared" si="122"/>
        <v>219</v>
      </c>
      <c r="AV743" s="20">
        <v>190</v>
      </c>
      <c r="AW743" s="20">
        <v>0</v>
      </c>
      <c r="AX743" s="20">
        <v>20</v>
      </c>
      <c r="AY743" s="20">
        <v>0</v>
      </c>
      <c r="AZ743" s="20">
        <v>0</v>
      </c>
      <c r="BA743" s="20">
        <v>7</v>
      </c>
      <c r="BB743" s="20">
        <v>10</v>
      </c>
      <c r="BC743" s="300">
        <f t="shared" si="123"/>
        <v>227</v>
      </c>
      <c r="BD743" s="42">
        <f t="shared" si="124"/>
        <v>8</v>
      </c>
      <c r="BE743" s="42">
        <f t="shared" si="125"/>
        <v>0</v>
      </c>
      <c r="BF743" s="42">
        <f t="shared" si="126"/>
        <v>0</v>
      </c>
      <c r="BG743" s="42">
        <f t="shared" si="127"/>
        <v>0</v>
      </c>
      <c r="BH743" s="42">
        <f t="shared" si="128"/>
        <v>0</v>
      </c>
      <c r="BI743" s="42">
        <f t="shared" si="129"/>
        <v>0</v>
      </c>
      <c r="BJ743" s="42">
        <f t="shared" si="130"/>
        <v>0</v>
      </c>
      <c r="BK743" s="42">
        <f t="shared" si="131"/>
        <v>8</v>
      </c>
    </row>
    <row r="744" spans="1:63" ht="27" customHeight="1">
      <c r="A744" s="222">
        <f t="shared" si="132"/>
        <v>742</v>
      </c>
      <c r="B744" s="223"/>
      <c r="C744" s="250">
        <v>3223</v>
      </c>
      <c r="D744" s="268">
        <v>0</v>
      </c>
      <c r="E744" s="251" t="s">
        <v>4482</v>
      </c>
      <c r="F744" s="252" t="s">
        <v>4483</v>
      </c>
      <c r="G744" s="253" t="s">
        <v>1687</v>
      </c>
      <c r="H744" s="229" t="s">
        <v>4484</v>
      </c>
      <c r="I744" s="230" t="s">
        <v>98</v>
      </c>
      <c r="J744" s="254" t="s">
        <v>173</v>
      </c>
      <c r="K744" s="255">
        <v>31888</v>
      </c>
      <c r="L744" s="233" t="s">
        <v>174</v>
      </c>
      <c r="M744" s="256">
        <v>43742</v>
      </c>
      <c r="N744" s="256"/>
      <c r="O744" s="224" t="s">
        <v>4076</v>
      </c>
      <c r="P744" s="222" t="s">
        <v>313</v>
      </c>
      <c r="Q744" s="222" t="s">
        <v>244</v>
      </c>
      <c r="R744" s="224" t="s">
        <v>177</v>
      </c>
      <c r="S744" s="224" t="s">
        <v>1201</v>
      </c>
      <c r="T744" s="235"/>
      <c r="U744" s="257"/>
      <c r="V744" s="258" t="s">
        <v>179</v>
      </c>
      <c r="W744" s="258" t="s">
        <v>179</v>
      </c>
      <c r="X744" s="259">
        <v>4</v>
      </c>
      <c r="Y744" s="251" t="s">
        <v>4274</v>
      </c>
      <c r="Z744" s="261"/>
      <c r="AA744" s="261"/>
      <c r="AB744" s="258"/>
      <c r="AC744" s="280"/>
      <c r="AD744" s="271"/>
      <c r="AE744" s="271"/>
      <c r="AF744" s="272"/>
      <c r="AG744" s="270"/>
      <c r="AH744" s="260"/>
      <c r="AI744" s="260"/>
      <c r="AJ744" s="258" t="s">
        <v>198</v>
      </c>
      <c r="AK744" s="258" t="s">
        <v>185</v>
      </c>
      <c r="AL744" s="258" t="s">
        <v>185</v>
      </c>
      <c r="AM744" s="244" t="s">
        <v>3854</v>
      </c>
      <c r="AN744" s="20">
        <v>182</v>
      </c>
      <c r="AO744" s="20">
        <v>0</v>
      </c>
      <c r="AP744" s="20">
        <v>20</v>
      </c>
      <c r="AQ744" s="20">
        <v>0</v>
      </c>
      <c r="AR744" s="20">
        <v>0</v>
      </c>
      <c r="AS744" s="20">
        <v>7</v>
      </c>
      <c r="AT744" s="20">
        <v>10</v>
      </c>
      <c r="AU744" s="300">
        <f t="shared" si="122"/>
        <v>219</v>
      </c>
      <c r="AV744" s="20">
        <v>190</v>
      </c>
      <c r="AW744" s="20">
        <v>0</v>
      </c>
      <c r="AX744" s="20">
        <v>20</v>
      </c>
      <c r="AY744" s="20">
        <v>0</v>
      </c>
      <c r="AZ744" s="20">
        <v>0</v>
      </c>
      <c r="BA744" s="20">
        <v>7</v>
      </c>
      <c r="BB744" s="20">
        <v>10</v>
      </c>
      <c r="BC744" s="300">
        <f t="shared" si="123"/>
        <v>227</v>
      </c>
      <c r="BD744" s="42">
        <f t="shared" si="124"/>
        <v>8</v>
      </c>
      <c r="BE744" s="42">
        <f t="shared" si="125"/>
        <v>0</v>
      </c>
      <c r="BF744" s="42">
        <f t="shared" si="126"/>
        <v>0</v>
      </c>
      <c r="BG744" s="42">
        <f t="shared" si="127"/>
        <v>0</v>
      </c>
      <c r="BH744" s="42">
        <f t="shared" si="128"/>
        <v>0</v>
      </c>
      <c r="BI744" s="42">
        <f t="shared" si="129"/>
        <v>0</v>
      </c>
      <c r="BJ744" s="42">
        <f t="shared" si="130"/>
        <v>0</v>
      </c>
      <c r="BK744" s="42">
        <f t="shared" si="131"/>
        <v>8</v>
      </c>
    </row>
    <row r="745" spans="1:63" ht="27" customHeight="1">
      <c r="A745" s="222">
        <f t="shared" si="132"/>
        <v>743</v>
      </c>
      <c r="B745" s="223"/>
      <c r="C745" s="250">
        <v>3306</v>
      </c>
      <c r="D745" s="225" t="s">
        <v>4485</v>
      </c>
      <c r="E745" s="251" t="s">
        <v>4486</v>
      </c>
      <c r="F745" s="252" t="s">
        <v>4449</v>
      </c>
      <c r="G745" s="253" t="s">
        <v>575</v>
      </c>
      <c r="H745" s="229" t="s">
        <v>4487</v>
      </c>
      <c r="I745" s="230" t="s">
        <v>577</v>
      </c>
      <c r="J745" s="254" t="s">
        <v>173</v>
      </c>
      <c r="K745" s="255">
        <v>34982</v>
      </c>
      <c r="L745" s="233" t="s">
        <v>174</v>
      </c>
      <c r="M745" s="256">
        <v>43746</v>
      </c>
      <c r="N745" s="256"/>
      <c r="O745" s="224" t="s">
        <v>4076</v>
      </c>
      <c r="P745" s="222" t="s">
        <v>313</v>
      </c>
      <c r="Q745" s="222" t="s">
        <v>244</v>
      </c>
      <c r="R745" s="224" t="s">
        <v>177</v>
      </c>
      <c r="S745" s="224" t="s">
        <v>178</v>
      </c>
      <c r="T745" s="235"/>
      <c r="U745" s="257"/>
      <c r="V745" s="258" t="s">
        <v>179</v>
      </c>
      <c r="W745" s="258" t="s">
        <v>179</v>
      </c>
      <c r="X745" s="259">
        <v>7</v>
      </c>
      <c r="Y745" s="251" t="s">
        <v>4488</v>
      </c>
      <c r="Z745" s="261" t="s">
        <v>181</v>
      </c>
      <c r="AA745" s="261"/>
      <c r="AB745" s="258"/>
      <c r="AC745" s="280"/>
      <c r="AD745" s="271"/>
      <c r="AE745" s="271"/>
      <c r="AF745" s="272"/>
      <c r="AG745" s="270"/>
      <c r="AH745" s="260"/>
      <c r="AI745" s="260"/>
      <c r="AJ745" s="258" t="s">
        <v>198</v>
      </c>
      <c r="AK745" s="258" t="s">
        <v>185</v>
      </c>
      <c r="AL745" s="258" t="s">
        <v>185</v>
      </c>
      <c r="AM745" s="244" t="s">
        <v>236</v>
      </c>
      <c r="AN745" s="20">
        <v>182</v>
      </c>
      <c r="AO745" s="20">
        <v>0</v>
      </c>
      <c r="AP745" s="20">
        <v>20</v>
      </c>
      <c r="AQ745" s="20">
        <v>0</v>
      </c>
      <c r="AR745" s="20">
        <v>0</v>
      </c>
      <c r="AS745" s="20">
        <v>7</v>
      </c>
      <c r="AT745" s="20">
        <v>10</v>
      </c>
      <c r="AU745" s="300">
        <f t="shared" si="122"/>
        <v>219</v>
      </c>
      <c r="AV745" s="20">
        <v>190</v>
      </c>
      <c r="AW745" s="20">
        <v>0</v>
      </c>
      <c r="AX745" s="20">
        <v>20</v>
      </c>
      <c r="AY745" s="20">
        <v>0</v>
      </c>
      <c r="AZ745" s="20">
        <v>0</v>
      </c>
      <c r="BA745" s="20">
        <v>7</v>
      </c>
      <c r="BB745" s="20">
        <v>10</v>
      </c>
      <c r="BC745" s="300">
        <f t="shared" si="123"/>
        <v>227</v>
      </c>
      <c r="BD745" s="42">
        <f t="shared" si="124"/>
        <v>8</v>
      </c>
      <c r="BE745" s="42">
        <f t="shared" si="125"/>
        <v>0</v>
      </c>
      <c r="BF745" s="42">
        <f t="shared" si="126"/>
        <v>0</v>
      </c>
      <c r="BG745" s="42">
        <f t="shared" si="127"/>
        <v>0</v>
      </c>
      <c r="BH745" s="42">
        <f t="shared" si="128"/>
        <v>0</v>
      </c>
      <c r="BI745" s="42">
        <f t="shared" si="129"/>
        <v>0</v>
      </c>
      <c r="BJ745" s="42">
        <f t="shared" si="130"/>
        <v>0</v>
      </c>
      <c r="BK745" s="42">
        <f t="shared" si="131"/>
        <v>8</v>
      </c>
    </row>
    <row r="746" spans="1:63" ht="27" customHeight="1">
      <c r="A746" s="222">
        <f t="shared" si="132"/>
        <v>744</v>
      </c>
      <c r="B746" s="223"/>
      <c r="C746" s="250">
        <v>3168</v>
      </c>
      <c r="D746" s="225" t="s">
        <v>4489</v>
      </c>
      <c r="E746" s="251" t="s">
        <v>4490</v>
      </c>
      <c r="F746" s="252" t="s">
        <v>4491</v>
      </c>
      <c r="G746" s="253" t="s">
        <v>4492</v>
      </c>
      <c r="H746" s="229" t="s">
        <v>720</v>
      </c>
      <c r="I746" s="230" t="s">
        <v>4493</v>
      </c>
      <c r="J746" s="254" t="s">
        <v>173</v>
      </c>
      <c r="K746" s="255">
        <v>34976</v>
      </c>
      <c r="L746" s="233" t="s">
        <v>174</v>
      </c>
      <c r="M746" s="256">
        <v>43740</v>
      </c>
      <c r="N746" s="256"/>
      <c r="O746" s="224" t="s">
        <v>4076</v>
      </c>
      <c r="P746" s="222" t="s">
        <v>313</v>
      </c>
      <c r="Q746" s="222" t="s">
        <v>244</v>
      </c>
      <c r="R746" s="224" t="s">
        <v>177</v>
      </c>
      <c r="S746" s="224" t="s">
        <v>214</v>
      </c>
      <c r="T746" s="235"/>
      <c r="U746" s="257"/>
      <c r="V746" s="258" t="s">
        <v>179</v>
      </c>
      <c r="W746" s="258" t="s">
        <v>179</v>
      </c>
      <c r="X746" s="259">
        <v>5</v>
      </c>
      <c r="Y746" s="251" t="s">
        <v>4494</v>
      </c>
      <c r="Z746" s="261" t="s">
        <v>181</v>
      </c>
      <c r="AA746" s="261"/>
      <c r="AB746" s="258"/>
      <c r="AC746" s="280"/>
      <c r="AD746" s="271"/>
      <c r="AE746" s="271"/>
      <c r="AF746" s="272"/>
      <c r="AG746" s="270"/>
      <c r="AH746" s="260"/>
      <c r="AI746" s="260"/>
      <c r="AJ746" s="258" t="s">
        <v>198</v>
      </c>
      <c r="AK746" s="258" t="s">
        <v>185</v>
      </c>
      <c r="AL746" s="258" t="s">
        <v>185</v>
      </c>
      <c r="AM746" s="244" t="s">
        <v>3854</v>
      </c>
      <c r="AN746" s="20">
        <v>182</v>
      </c>
      <c r="AO746" s="20">
        <v>0</v>
      </c>
      <c r="AP746" s="20">
        <v>20</v>
      </c>
      <c r="AQ746" s="20">
        <v>0</v>
      </c>
      <c r="AR746" s="20">
        <v>0</v>
      </c>
      <c r="AS746" s="20">
        <v>7</v>
      </c>
      <c r="AT746" s="20">
        <v>10</v>
      </c>
      <c r="AU746" s="300">
        <f t="shared" si="122"/>
        <v>219</v>
      </c>
      <c r="AV746" s="20">
        <v>190</v>
      </c>
      <c r="AW746" s="20">
        <v>0</v>
      </c>
      <c r="AX746" s="20">
        <v>20</v>
      </c>
      <c r="AY746" s="20">
        <v>0</v>
      </c>
      <c r="AZ746" s="20">
        <v>0</v>
      </c>
      <c r="BA746" s="20">
        <v>7</v>
      </c>
      <c r="BB746" s="20">
        <v>10</v>
      </c>
      <c r="BC746" s="300">
        <f t="shared" si="123"/>
        <v>227</v>
      </c>
      <c r="BD746" s="42">
        <f t="shared" si="124"/>
        <v>8</v>
      </c>
      <c r="BE746" s="42">
        <f t="shared" si="125"/>
        <v>0</v>
      </c>
      <c r="BF746" s="42">
        <f t="shared" si="126"/>
        <v>0</v>
      </c>
      <c r="BG746" s="42">
        <f t="shared" si="127"/>
        <v>0</v>
      </c>
      <c r="BH746" s="42">
        <f t="shared" si="128"/>
        <v>0</v>
      </c>
      <c r="BI746" s="42">
        <f t="shared" si="129"/>
        <v>0</v>
      </c>
      <c r="BJ746" s="42">
        <f t="shared" si="130"/>
        <v>0</v>
      </c>
      <c r="BK746" s="42">
        <f t="shared" si="131"/>
        <v>8</v>
      </c>
    </row>
    <row r="747" spans="1:63" ht="27" customHeight="1">
      <c r="A747" s="222">
        <f t="shared" si="132"/>
        <v>745</v>
      </c>
      <c r="B747" s="223"/>
      <c r="C747" s="250">
        <v>3137</v>
      </c>
      <c r="D747" s="225" t="s">
        <v>4495</v>
      </c>
      <c r="E747" s="251" t="s">
        <v>4496</v>
      </c>
      <c r="F747" s="252" t="s">
        <v>1232</v>
      </c>
      <c r="G747" s="253" t="s">
        <v>4497</v>
      </c>
      <c r="H747" s="229" t="s">
        <v>1234</v>
      </c>
      <c r="I747" s="230" t="s">
        <v>4498</v>
      </c>
      <c r="J747" s="254" t="s">
        <v>173</v>
      </c>
      <c r="K747" s="255">
        <v>35831</v>
      </c>
      <c r="L747" s="233" t="s">
        <v>174</v>
      </c>
      <c r="M747" s="256">
        <v>43740</v>
      </c>
      <c r="N747" s="256"/>
      <c r="O747" s="224" t="s">
        <v>4076</v>
      </c>
      <c r="P747" s="222" t="s">
        <v>313</v>
      </c>
      <c r="Q747" s="222" t="s">
        <v>244</v>
      </c>
      <c r="R747" s="224" t="s">
        <v>177</v>
      </c>
      <c r="S747" s="224" t="s">
        <v>223</v>
      </c>
      <c r="T747" s="235"/>
      <c r="U747" s="257"/>
      <c r="V747" s="258" t="s">
        <v>179</v>
      </c>
      <c r="W747" s="258" t="s">
        <v>179</v>
      </c>
      <c r="X747" s="259">
        <v>6</v>
      </c>
      <c r="Y747" s="251" t="s">
        <v>4499</v>
      </c>
      <c r="Z747" s="261"/>
      <c r="AA747" s="261" t="s">
        <v>181</v>
      </c>
      <c r="AB747" s="258"/>
      <c r="AC747" s="280"/>
      <c r="AD747" s="271"/>
      <c r="AE747" s="271"/>
      <c r="AF747" s="272"/>
      <c r="AG747" s="270"/>
      <c r="AH747" s="260"/>
      <c r="AI747" s="260"/>
      <c r="AJ747" s="258" t="s">
        <v>198</v>
      </c>
      <c r="AK747" s="258" t="s">
        <v>185</v>
      </c>
      <c r="AL747" s="258" t="s">
        <v>185</v>
      </c>
      <c r="AM747" s="244" t="s">
        <v>3854</v>
      </c>
      <c r="AN747" s="20">
        <v>182</v>
      </c>
      <c r="AO747" s="20">
        <v>0</v>
      </c>
      <c r="AP747" s="20">
        <v>20</v>
      </c>
      <c r="AQ747" s="20">
        <v>0</v>
      </c>
      <c r="AR747" s="20">
        <v>0</v>
      </c>
      <c r="AS747" s="20">
        <v>7</v>
      </c>
      <c r="AT747" s="20">
        <v>10</v>
      </c>
      <c r="AU747" s="300">
        <f t="shared" si="122"/>
        <v>219</v>
      </c>
      <c r="AV747" s="20">
        <v>190</v>
      </c>
      <c r="AW747" s="20">
        <v>0</v>
      </c>
      <c r="AX747" s="20">
        <v>20</v>
      </c>
      <c r="AY747" s="20">
        <v>0</v>
      </c>
      <c r="AZ747" s="20">
        <v>0</v>
      </c>
      <c r="BA747" s="20">
        <v>7</v>
      </c>
      <c r="BB747" s="20">
        <v>10</v>
      </c>
      <c r="BC747" s="300">
        <f t="shared" si="123"/>
        <v>227</v>
      </c>
      <c r="BD747" s="42">
        <f t="shared" si="124"/>
        <v>8</v>
      </c>
      <c r="BE747" s="42">
        <f t="shared" si="125"/>
        <v>0</v>
      </c>
      <c r="BF747" s="42">
        <f t="shared" si="126"/>
        <v>0</v>
      </c>
      <c r="BG747" s="42">
        <f t="shared" si="127"/>
        <v>0</v>
      </c>
      <c r="BH747" s="42">
        <f t="shared" si="128"/>
        <v>0</v>
      </c>
      <c r="BI747" s="42">
        <f t="shared" si="129"/>
        <v>0</v>
      </c>
      <c r="BJ747" s="42">
        <f t="shared" si="130"/>
        <v>0</v>
      </c>
      <c r="BK747" s="42">
        <f t="shared" si="131"/>
        <v>8</v>
      </c>
    </row>
    <row r="748" spans="1:63" ht="27" customHeight="1">
      <c r="A748" s="222">
        <f t="shared" si="132"/>
        <v>746</v>
      </c>
      <c r="B748" s="223"/>
      <c r="C748" s="250">
        <v>3538</v>
      </c>
      <c r="D748" s="225" t="s">
        <v>4500</v>
      </c>
      <c r="E748" s="251" t="s">
        <v>4501</v>
      </c>
      <c r="F748" s="252" t="s">
        <v>590</v>
      </c>
      <c r="G748" s="253" t="s">
        <v>4502</v>
      </c>
      <c r="H748" s="229" t="s">
        <v>4503</v>
      </c>
      <c r="I748" s="230" t="s">
        <v>4504</v>
      </c>
      <c r="J748" s="254" t="s">
        <v>173</v>
      </c>
      <c r="K748" s="255">
        <v>30446</v>
      </c>
      <c r="L748" s="233" t="s">
        <v>174</v>
      </c>
      <c r="M748" s="256">
        <v>43745</v>
      </c>
      <c r="N748" s="256"/>
      <c r="O748" s="224" t="s">
        <v>4076</v>
      </c>
      <c r="P748" s="222" t="s">
        <v>313</v>
      </c>
      <c r="Q748" s="222" t="s">
        <v>244</v>
      </c>
      <c r="R748" s="224" t="s">
        <v>177</v>
      </c>
      <c r="S748" s="224" t="s">
        <v>206</v>
      </c>
      <c r="T748" s="235"/>
      <c r="U748" s="257"/>
      <c r="V748" s="258" t="s">
        <v>179</v>
      </c>
      <c r="W748" s="258" t="s">
        <v>179</v>
      </c>
      <c r="X748" s="259"/>
      <c r="Y748" s="251" t="s">
        <v>4505</v>
      </c>
      <c r="Z748" s="261"/>
      <c r="AA748" s="261"/>
      <c r="AB748" s="258"/>
      <c r="AC748" s="280"/>
      <c r="AD748" s="271"/>
      <c r="AE748" s="271"/>
      <c r="AF748" s="272"/>
      <c r="AG748" s="270"/>
      <c r="AH748" s="260"/>
      <c r="AI748" s="260"/>
      <c r="AJ748" s="258" t="s">
        <v>198</v>
      </c>
      <c r="AK748" s="258" t="s">
        <v>185</v>
      </c>
      <c r="AL748" s="258" t="s">
        <v>185</v>
      </c>
      <c r="AM748" s="244" t="s">
        <v>3911</v>
      </c>
      <c r="AN748" s="20">
        <v>182</v>
      </c>
      <c r="AO748" s="20">
        <v>0</v>
      </c>
      <c r="AP748" s="20">
        <v>20</v>
      </c>
      <c r="AQ748" s="20">
        <v>0</v>
      </c>
      <c r="AR748" s="20">
        <v>0</v>
      </c>
      <c r="AS748" s="20">
        <v>7</v>
      </c>
      <c r="AT748" s="20">
        <v>10</v>
      </c>
      <c r="AU748" s="300">
        <f t="shared" si="122"/>
        <v>219</v>
      </c>
      <c r="AV748" s="20">
        <v>190</v>
      </c>
      <c r="AW748" s="20">
        <v>0</v>
      </c>
      <c r="AX748" s="20">
        <v>20</v>
      </c>
      <c r="AY748" s="20">
        <v>0</v>
      </c>
      <c r="AZ748" s="20">
        <v>0</v>
      </c>
      <c r="BA748" s="20">
        <v>7</v>
      </c>
      <c r="BB748" s="20">
        <v>10</v>
      </c>
      <c r="BC748" s="300">
        <f t="shared" si="123"/>
        <v>227</v>
      </c>
      <c r="BD748" s="42">
        <f t="shared" si="124"/>
        <v>8</v>
      </c>
      <c r="BE748" s="42">
        <f t="shared" si="125"/>
        <v>0</v>
      </c>
      <c r="BF748" s="42">
        <f t="shared" si="126"/>
        <v>0</v>
      </c>
      <c r="BG748" s="42">
        <f t="shared" si="127"/>
        <v>0</v>
      </c>
      <c r="BH748" s="42">
        <f t="shared" si="128"/>
        <v>0</v>
      </c>
      <c r="BI748" s="42">
        <f t="shared" si="129"/>
        <v>0</v>
      </c>
      <c r="BJ748" s="42">
        <f t="shared" si="130"/>
        <v>0</v>
      </c>
      <c r="BK748" s="42">
        <f t="shared" si="131"/>
        <v>8</v>
      </c>
    </row>
    <row r="749" spans="1:63" ht="27" customHeight="1">
      <c r="A749" s="222">
        <f t="shared" si="132"/>
        <v>747</v>
      </c>
      <c r="B749" s="223"/>
      <c r="C749" s="250">
        <v>3634</v>
      </c>
      <c r="D749" s="225" t="s">
        <v>4506</v>
      </c>
      <c r="E749" s="251" t="s">
        <v>4507</v>
      </c>
      <c r="F749" s="252" t="s">
        <v>4508</v>
      </c>
      <c r="G749" s="253" t="s">
        <v>826</v>
      </c>
      <c r="H749" s="229" t="s">
        <v>4509</v>
      </c>
      <c r="I749" s="230" t="s">
        <v>2231</v>
      </c>
      <c r="J749" s="254" t="s">
        <v>173</v>
      </c>
      <c r="K749" s="255">
        <v>32509</v>
      </c>
      <c r="L749" s="233" t="s">
        <v>174</v>
      </c>
      <c r="M749" s="256">
        <v>43754</v>
      </c>
      <c r="N749" s="256"/>
      <c r="O749" s="224"/>
      <c r="P749" s="222" t="s">
        <v>3749</v>
      </c>
      <c r="Q749" s="222" t="s">
        <v>244</v>
      </c>
      <c r="R749" s="224" t="s">
        <v>177</v>
      </c>
      <c r="S749" s="224" t="s">
        <v>223</v>
      </c>
      <c r="T749" s="235"/>
      <c r="U749" s="257"/>
      <c r="V749" s="258" t="s">
        <v>195</v>
      </c>
      <c r="W749" s="258" t="s">
        <v>179</v>
      </c>
      <c r="X749" s="259">
        <v>3</v>
      </c>
      <c r="Y749" s="251" t="s">
        <v>4510</v>
      </c>
      <c r="Z749" s="261"/>
      <c r="AA749" s="261"/>
      <c r="AB749" s="258"/>
      <c r="AC749" s="280"/>
      <c r="AD749" s="271"/>
      <c r="AE749" s="271"/>
      <c r="AF749" s="272"/>
      <c r="AG749" s="270"/>
      <c r="AH749" s="260"/>
      <c r="AI749" s="260"/>
      <c r="AJ749" s="258" t="s">
        <v>185</v>
      </c>
      <c r="AK749" s="258" t="s">
        <v>185</v>
      </c>
      <c r="AL749" s="258" t="s">
        <v>198</v>
      </c>
      <c r="AM749" s="273" t="s">
        <v>3654</v>
      </c>
      <c r="AN749" s="20">
        <v>182</v>
      </c>
      <c r="AO749" s="20">
        <v>0</v>
      </c>
      <c r="AP749" s="20">
        <v>20</v>
      </c>
      <c r="AQ749" s="20">
        <v>0</v>
      </c>
      <c r="AR749" s="20">
        <v>0</v>
      </c>
      <c r="AS749" s="20">
        <v>7</v>
      </c>
      <c r="AT749" s="20">
        <v>10</v>
      </c>
      <c r="AU749" s="300">
        <f t="shared" si="122"/>
        <v>219</v>
      </c>
      <c r="AV749" s="20">
        <v>190</v>
      </c>
      <c r="AW749" s="20">
        <v>0</v>
      </c>
      <c r="AX749" s="20">
        <v>20</v>
      </c>
      <c r="AY749" s="20">
        <v>0</v>
      </c>
      <c r="AZ749" s="20">
        <v>0</v>
      </c>
      <c r="BA749" s="20">
        <v>7</v>
      </c>
      <c r="BB749" s="20">
        <v>10</v>
      </c>
      <c r="BC749" s="300">
        <f t="shared" si="123"/>
        <v>227</v>
      </c>
      <c r="BD749" s="42">
        <f t="shared" si="124"/>
        <v>8</v>
      </c>
      <c r="BE749" s="42">
        <f t="shared" si="125"/>
        <v>0</v>
      </c>
      <c r="BF749" s="42">
        <f t="shared" si="126"/>
        <v>0</v>
      </c>
      <c r="BG749" s="42">
        <f t="shared" si="127"/>
        <v>0</v>
      </c>
      <c r="BH749" s="42">
        <f t="shared" si="128"/>
        <v>0</v>
      </c>
      <c r="BI749" s="42">
        <f t="shared" si="129"/>
        <v>0</v>
      </c>
      <c r="BJ749" s="42">
        <f t="shared" si="130"/>
        <v>0</v>
      </c>
      <c r="BK749" s="42">
        <f t="shared" si="131"/>
        <v>8</v>
      </c>
    </row>
    <row r="750" spans="1:63" ht="27" customHeight="1">
      <c r="A750" s="222">
        <f t="shared" si="132"/>
        <v>748</v>
      </c>
      <c r="B750" s="223"/>
      <c r="C750" s="250">
        <v>3164</v>
      </c>
      <c r="D750" s="225" t="s">
        <v>4511</v>
      </c>
      <c r="E750" s="251" t="s">
        <v>4512</v>
      </c>
      <c r="F750" s="252" t="s">
        <v>2422</v>
      </c>
      <c r="G750" s="253" t="s">
        <v>2196</v>
      </c>
      <c r="H750" s="229" t="s">
        <v>4513</v>
      </c>
      <c r="I750" s="230" t="s">
        <v>4514</v>
      </c>
      <c r="J750" s="254" t="s">
        <v>173</v>
      </c>
      <c r="K750" s="255">
        <v>34807</v>
      </c>
      <c r="L750" s="233" t="s">
        <v>174</v>
      </c>
      <c r="M750" s="256">
        <v>43740</v>
      </c>
      <c r="N750" s="256"/>
      <c r="O750" s="224" t="s">
        <v>4085</v>
      </c>
      <c r="P750" s="222" t="s">
        <v>3770</v>
      </c>
      <c r="Q750" s="222" t="s">
        <v>244</v>
      </c>
      <c r="R750" s="224" t="s">
        <v>177</v>
      </c>
      <c r="S750" s="224" t="s">
        <v>214</v>
      </c>
      <c r="T750" s="235"/>
      <c r="U750" s="257"/>
      <c r="V750" s="258" t="s">
        <v>179</v>
      </c>
      <c r="W750" s="258" t="s">
        <v>179</v>
      </c>
      <c r="X750" s="259">
        <v>7</v>
      </c>
      <c r="Y750" s="251" t="s">
        <v>4515</v>
      </c>
      <c r="Z750" s="261"/>
      <c r="AA750" s="261"/>
      <c r="AB750" s="258"/>
      <c r="AC750" s="280"/>
      <c r="AD750" s="271"/>
      <c r="AE750" s="271"/>
      <c r="AF750" s="272"/>
      <c r="AG750" s="270"/>
      <c r="AH750" s="260"/>
      <c r="AI750" s="260"/>
      <c r="AJ750" s="258" t="s">
        <v>198</v>
      </c>
      <c r="AK750" s="258" t="s">
        <v>185</v>
      </c>
      <c r="AL750" s="258" t="s">
        <v>185</v>
      </c>
      <c r="AM750" s="244" t="s">
        <v>3854</v>
      </c>
      <c r="AN750" s="20">
        <v>182</v>
      </c>
      <c r="AO750" s="20">
        <v>0</v>
      </c>
      <c r="AP750" s="20">
        <v>20</v>
      </c>
      <c r="AQ750" s="20">
        <v>0</v>
      </c>
      <c r="AR750" s="20">
        <v>0</v>
      </c>
      <c r="AS750" s="20">
        <v>7</v>
      </c>
      <c r="AT750" s="20">
        <v>10</v>
      </c>
      <c r="AU750" s="300">
        <f t="shared" si="122"/>
        <v>219</v>
      </c>
      <c r="AV750" s="20">
        <v>190</v>
      </c>
      <c r="AW750" s="20">
        <v>0</v>
      </c>
      <c r="AX750" s="20">
        <v>20</v>
      </c>
      <c r="AY750" s="20">
        <v>0</v>
      </c>
      <c r="AZ750" s="20">
        <v>0</v>
      </c>
      <c r="BA750" s="20">
        <v>7</v>
      </c>
      <c r="BB750" s="20">
        <v>10</v>
      </c>
      <c r="BC750" s="300">
        <f t="shared" si="123"/>
        <v>227</v>
      </c>
      <c r="BD750" s="42">
        <f t="shared" si="124"/>
        <v>8</v>
      </c>
      <c r="BE750" s="42">
        <f t="shared" si="125"/>
        <v>0</v>
      </c>
      <c r="BF750" s="42">
        <f t="shared" si="126"/>
        <v>0</v>
      </c>
      <c r="BG750" s="42">
        <f t="shared" si="127"/>
        <v>0</v>
      </c>
      <c r="BH750" s="42">
        <f t="shared" si="128"/>
        <v>0</v>
      </c>
      <c r="BI750" s="42">
        <f t="shared" si="129"/>
        <v>0</v>
      </c>
      <c r="BJ750" s="42">
        <f t="shared" si="130"/>
        <v>0</v>
      </c>
      <c r="BK750" s="42">
        <f t="shared" si="131"/>
        <v>8</v>
      </c>
    </row>
    <row r="751" spans="1:63" ht="27" customHeight="1">
      <c r="A751" s="222">
        <f t="shared" si="132"/>
        <v>749</v>
      </c>
      <c r="B751" s="223"/>
      <c r="C751" s="250">
        <v>3533</v>
      </c>
      <c r="D751" s="225" t="s">
        <v>4516</v>
      </c>
      <c r="E751" s="251" t="s">
        <v>4517</v>
      </c>
      <c r="F751" s="252" t="s">
        <v>4518</v>
      </c>
      <c r="G751" s="253" t="s">
        <v>4519</v>
      </c>
      <c r="H751" s="229" t="s">
        <v>4520</v>
      </c>
      <c r="I751" s="230" t="s">
        <v>4521</v>
      </c>
      <c r="J751" s="254" t="s">
        <v>173</v>
      </c>
      <c r="K751" s="255">
        <v>30847</v>
      </c>
      <c r="L751" s="233" t="s">
        <v>174</v>
      </c>
      <c r="M751" s="256">
        <v>43757</v>
      </c>
      <c r="N751" s="256"/>
      <c r="O751" s="224" t="s">
        <v>4085</v>
      </c>
      <c r="P751" s="222" t="s">
        <v>3770</v>
      </c>
      <c r="Q751" s="222" t="s">
        <v>244</v>
      </c>
      <c r="R751" s="224" t="s">
        <v>177</v>
      </c>
      <c r="S751" s="224" t="s">
        <v>178</v>
      </c>
      <c r="T751" s="235"/>
      <c r="U751" s="257"/>
      <c r="V751" s="258" t="s">
        <v>179</v>
      </c>
      <c r="W751" s="258" t="s">
        <v>179</v>
      </c>
      <c r="X751" s="266">
        <v>5</v>
      </c>
      <c r="Y751" s="251" t="s">
        <v>4522</v>
      </c>
      <c r="Z751" s="261"/>
      <c r="AA751" s="261"/>
      <c r="AB751" s="261" t="s">
        <v>181</v>
      </c>
      <c r="AC751" s="280"/>
      <c r="AD751" s="271"/>
      <c r="AE751" s="271"/>
      <c r="AF751" s="272"/>
      <c r="AG751" s="270"/>
      <c r="AH751" s="260"/>
      <c r="AI751" s="260"/>
      <c r="AJ751" s="258" t="s">
        <v>198</v>
      </c>
      <c r="AK751" s="258" t="s">
        <v>185</v>
      </c>
      <c r="AL751" s="258" t="s">
        <v>185</v>
      </c>
      <c r="AM751" s="244" t="s">
        <v>3911</v>
      </c>
      <c r="AN751" s="20">
        <v>182</v>
      </c>
      <c r="AO751" s="20">
        <v>0</v>
      </c>
      <c r="AP751" s="20">
        <v>20</v>
      </c>
      <c r="AQ751" s="20">
        <v>0</v>
      </c>
      <c r="AR751" s="20">
        <v>0</v>
      </c>
      <c r="AS751" s="20">
        <v>7</v>
      </c>
      <c r="AT751" s="20">
        <v>10</v>
      </c>
      <c r="AU751" s="300">
        <f t="shared" si="122"/>
        <v>219</v>
      </c>
      <c r="AV751" s="20">
        <v>190</v>
      </c>
      <c r="AW751" s="20">
        <v>0</v>
      </c>
      <c r="AX751" s="20">
        <v>20</v>
      </c>
      <c r="AY751" s="20">
        <v>0</v>
      </c>
      <c r="AZ751" s="20">
        <v>0</v>
      </c>
      <c r="BA751" s="20">
        <v>7</v>
      </c>
      <c r="BB751" s="20">
        <v>10</v>
      </c>
      <c r="BC751" s="300">
        <f t="shared" si="123"/>
        <v>227</v>
      </c>
      <c r="BD751" s="42">
        <f t="shared" si="124"/>
        <v>8</v>
      </c>
      <c r="BE751" s="42">
        <f t="shared" si="125"/>
        <v>0</v>
      </c>
      <c r="BF751" s="42">
        <f t="shared" si="126"/>
        <v>0</v>
      </c>
      <c r="BG751" s="42">
        <f t="shared" si="127"/>
        <v>0</v>
      </c>
      <c r="BH751" s="42">
        <f t="shared" si="128"/>
        <v>0</v>
      </c>
      <c r="BI751" s="42">
        <f t="shared" si="129"/>
        <v>0</v>
      </c>
      <c r="BJ751" s="42">
        <f t="shared" si="130"/>
        <v>0</v>
      </c>
      <c r="BK751" s="42">
        <f t="shared" si="131"/>
        <v>8</v>
      </c>
    </row>
    <row r="752" spans="1:63" ht="27" customHeight="1">
      <c r="A752" s="222">
        <f t="shared" si="132"/>
        <v>750</v>
      </c>
      <c r="B752" s="223"/>
      <c r="C752" s="250">
        <v>3523</v>
      </c>
      <c r="D752" s="225" t="s">
        <v>4523</v>
      </c>
      <c r="E752" s="251" t="s">
        <v>4524</v>
      </c>
      <c r="F752" s="252" t="s">
        <v>339</v>
      </c>
      <c r="G752" s="253" t="s">
        <v>4525</v>
      </c>
      <c r="H752" s="229" t="s">
        <v>341</v>
      </c>
      <c r="I752" s="230" t="s">
        <v>4526</v>
      </c>
      <c r="J752" s="254" t="s">
        <v>173</v>
      </c>
      <c r="K752" s="255">
        <v>32882</v>
      </c>
      <c r="L752" s="233" t="s">
        <v>174</v>
      </c>
      <c r="M752" s="256">
        <v>43746</v>
      </c>
      <c r="N752" s="256"/>
      <c r="O752" s="224" t="s">
        <v>3960</v>
      </c>
      <c r="P752" s="222" t="s">
        <v>3780</v>
      </c>
      <c r="Q752" s="222" t="s">
        <v>244</v>
      </c>
      <c r="R752" s="224" t="s">
        <v>177</v>
      </c>
      <c r="S752" s="224" t="s">
        <v>223</v>
      </c>
      <c r="T752" s="235"/>
      <c r="U752" s="257"/>
      <c r="V752" s="258" t="s">
        <v>179</v>
      </c>
      <c r="W752" s="258" t="s">
        <v>179</v>
      </c>
      <c r="X752" s="259">
        <v>3</v>
      </c>
      <c r="Y752" s="251"/>
      <c r="Z752" s="261"/>
      <c r="AA752" s="261"/>
      <c r="AB752" s="258"/>
      <c r="AC752" s="280"/>
      <c r="AD752" s="271"/>
      <c r="AE752" s="271"/>
      <c r="AF752" s="272"/>
      <c r="AG752" s="270"/>
      <c r="AH752" s="260"/>
      <c r="AI752" s="260"/>
      <c r="AJ752" s="258" t="s">
        <v>198</v>
      </c>
      <c r="AK752" s="258" t="s">
        <v>185</v>
      </c>
      <c r="AL752" s="258" t="s">
        <v>185</v>
      </c>
      <c r="AM752" s="244" t="s">
        <v>3911</v>
      </c>
      <c r="AN752" s="20">
        <v>182</v>
      </c>
      <c r="AO752" s="20">
        <v>0</v>
      </c>
      <c r="AP752" s="20">
        <v>20</v>
      </c>
      <c r="AQ752" s="20">
        <v>0</v>
      </c>
      <c r="AR752" s="20">
        <v>0</v>
      </c>
      <c r="AS752" s="20">
        <v>7</v>
      </c>
      <c r="AT752" s="20">
        <v>10</v>
      </c>
      <c r="AU752" s="300">
        <f t="shared" si="122"/>
        <v>219</v>
      </c>
      <c r="AV752" s="20">
        <v>190</v>
      </c>
      <c r="AW752" s="20">
        <v>0</v>
      </c>
      <c r="AX752" s="20">
        <v>20</v>
      </c>
      <c r="AY752" s="20">
        <v>0</v>
      </c>
      <c r="AZ752" s="20">
        <v>0</v>
      </c>
      <c r="BA752" s="20">
        <v>7</v>
      </c>
      <c r="BB752" s="20">
        <v>10</v>
      </c>
      <c r="BC752" s="300">
        <f t="shared" si="123"/>
        <v>227</v>
      </c>
      <c r="BD752" s="42">
        <f t="shared" si="124"/>
        <v>8</v>
      </c>
      <c r="BE752" s="42">
        <f t="shared" si="125"/>
        <v>0</v>
      </c>
      <c r="BF752" s="42">
        <f t="shared" si="126"/>
        <v>0</v>
      </c>
      <c r="BG752" s="42">
        <f t="shared" si="127"/>
        <v>0</v>
      </c>
      <c r="BH752" s="42">
        <f t="shared" si="128"/>
        <v>0</v>
      </c>
      <c r="BI752" s="42">
        <f t="shared" si="129"/>
        <v>0</v>
      </c>
      <c r="BJ752" s="42">
        <f t="shared" si="130"/>
        <v>0</v>
      </c>
      <c r="BK752" s="42">
        <f t="shared" si="131"/>
        <v>8</v>
      </c>
    </row>
    <row r="753" spans="1:63" ht="27" customHeight="1">
      <c r="A753" s="222">
        <f t="shared" si="132"/>
        <v>751</v>
      </c>
      <c r="B753" s="223"/>
      <c r="C753" s="250">
        <v>3139</v>
      </c>
      <c r="D753" s="225" t="s">
        <v>4527</v>
      </c>
      <c r="E753" s="251" t="s">
        <v>4528</v>
      </c>
      <c r="F753" s="252" t="s">
        <v>4529</v>
      </c>
      <c r="G753" s="253" t="s">
        <v>4530</v>
      </c>
      <c r="H753" s="229" t="s">
        <v>4531</v>
      </c>
      <c r="I753" s="230" t="s">
        <v>4532</v>
      </c>
      <c r="J753" s="254" t="s">
        <v>173</v>
      </c>
      <c r="K753" s="255">
        <v>28523</v>
      </c>
      <c r="L753" s="233" t="s">
        <v>174</v>
      </c>
      <c r="M753" s="256">
        <v>43740</v>
      </c>
      <c r="N753" s="256"/>
      <c r="O753" s="224" t="s">
        <v>4085</v>
      </c>
      <c r="P753" s="222" t="s">
        <v>3770</v>
      </c>
      <c r="Q753" s="222" t="s">
        <v>244</v>
      </c>
      <c r="R753" s="224" t="s">
        <v>177</v>
      </c>
      <c r="S753" s="224" t="s">
        <v>206</v>
      </c>
      <c r="T753" s="235"/>
      <c r="U753" s="257"/>
      <c r="V753" s="258" t="s">
        <v>179</v>
      </c>
      <c r="W753" s="258" t="s">
        <v>179</v>
      </c>
      <c r="X753" s="259">
        <v>0</v>
      </c>
      <c r="Y753" s="251" t="s">
        <v>4533</v>
      </c>
      <c r="Z753" s="261"/>
      <c r="AA753" s="261" t="s">
        <v>181</v>
      </c>
      <c r="AB753" s="258"/>
      <c r="AC753" s="280"/>
      <c r="AD753" s="271"/>
      <c r="AE753" s="271"/>
      <c r="AF753" s="272"/>
      <c r="AG753" s="270"/>
      <c r="AH753" s="260"/>
      <c r="AI753" s="260"/>
      <c r="AJ753" s="258" t="s">
        <v>198</v>
      </c>
      <c r="AK753" s="258" t="s">
        <v>185</v>
      </c>
      <c r="AL753" s="258" t="s">
        <v>185</v>
      </c>
      <c r="AM753" s="244" t="s">
        <v>3854</v>
      </c>
      <c r="AN753" s="20">
        <v>182</v>
      </c>
      <c r="AO753" s="20">
        <v>0</v>
      </c>
      <c r="AP753" s="20">
        <v>20</v>
      </c>
      <c r="AQ753" s="20">
        <v>0</v>
      </c>
      <c r="AR753" s="20">
        <v>0</v>
      </c>
      <c r="AS753" s="20">
        <v>7</v>
      </c>
      <c r="AT753" s="20">
        <v>10</v>
      </c>
      <c r="AU753" s="300">
        <f t="shared" si="122"/>
        <v>219</v>
      </c>
      <c r="AV753" s="20">
        <v>190</v>
      </c>
      <c r="AW753" s="20">
        <v>0</v>
      </c>
      <c r="AX753" s="20">
        <v>20</v>
      </c>
      <c r="AY753" s="20">
        <v>0</v>
      </c>
      <c r="AZ753" s="20">
        <v>0</v>
      </c>
      <c r="BA753" s="20">
        <v>7</v>
      </c>
      <c r="BB753" s="20">
        <v>10</v>
      </c>
      <c r="BC753" s="300">
        <f t="shared" si="123"/>
        <v>227</v>
      </c>
      <c r="BD753" s="42">
        <f t="shared" si="124"/>
        <v>8</v>
      </c>
      <c r="BE753" s="42">
        <f t="shared" si="125"/>
        <v>0</v>
      </c>
      <c r="BF753" s="42">
        <f t="shared" si="126"/>
        <v>0</v>
      </c>
      <c r="BG753" s="42">
        <f t="shared" si="127"/>
        <v>0</v>
      </c>
      <c r="BH753" s="42">
        <f t="shared" si="128"/>
        <v>0</v>
      </c>
      <c r="BI753" s="42">
        <f t="shared" si="129"/>
        <v>0</v>
      </c>
      <c r="BJ753" s="42">
        <f t="shared" si="130"/>
        <v>0</v>
      </c>
      <c r="BK753" s="42">
        <f t="shared" si="131"/>
        <v>8</v>
      </c>
    </row>
    <row r="754" spans="1:63" ht="27" customHeight="1">
      <c r="A754" s="222">
        <f t="shared" si="132"/>
        <v>752</v>
      </c>
      <c r="B754" s="223"/>
      <c r="C754" s="250">
        <v>3195</v>
      </c>
      <c r="D754" s="225" t="s">
        <v>4534</v>
      </c>
      <c r="E754" s="251" t="s">
        <v>4535</v>
      </c>
      <c r="F754" s="252" t="s">
        <v>2334</v>
      </c>
      <c r="G754" s="253" t="s">
        <v>514</v>
      </c>
      <c r="H754" s="229" t="s">
        <v>1824</v>
      </c>
      <c r="I754" s="230" t="s">
        <v>4536</v>
      </c>
      <c r="J754" s="254" t="s">
        <v>173</v>
      </c>
      <c r="K754" s="255">
        <v>34821</v>
      </c>
      <c r="L754" s="233" t="s">
        <v>174</v>
      </c>
      <c r="M754" s="256">
        <v>43741</v>
      </c>
      <c r="N754" s="256"/>
      <c r="O754" s="224" t="s">
        <v>4081</v>
      </c>
      <c r="P754" s="224"/>
      <c r="Q754" s="222" t="s">
        <v>244</v>
      </c>
      <c r="R754" s="224" t="s">
        <v>177</v>
      </c>
      <c r="S754" s="224" t="s">
        <v>223</v>
      </c>
      <c r="T754" s="235"/>
      <c r="U754" s="257"/>
      <c r="V754" s="258" t="s">
        <v>179</v>
      </c>
      <c r="W754" s="258" t="s">
        <v>179</v>
      </c>
      <c r="X754" s="259">
        <v>8</v>
      </c>
      <c r="Y754" s="251" t="s">
        <v>4537</v>
      </c>
      <c r="Z754" s="261"/>
      <c r="AA754" s="261" t="s">
        <v>181</v>
      </c>
      <c r="AB754" s="258"/>
      <c r="AC754" s="280"/>
      <c r="AD754" s="271"/>
      <c r="AE754" s="271"/>
      <c r="AF754" s="272"/>
      <c r="AG754" s="270"/>
      <c r="AH754" s="260"/>
      <c r="AI754" s="260"/>
      <c r="AJ754" s="258" t="s">
        <v>198</v>
      </c>
      <c r="AK754" s="258" t="s">
        <v>185</v>
      </c>
      <c r="AL754" s="258" t="s">
        <v>185</v>
      </c>
      <c r="AM754" s="244" t="s">
        <v>236</v>
      </c>
      <c r="AN754" s="20">
        <v>182</v>
      </c>
      <c r="AO754" s="20">
        <v>0</v>
      </c>
      <c r="AP754" s="20">
        <v>20</v>
      </c>
      <c r="AQ754" s="20">
        <v>0</v>
      </c>
      <c r="AR754" s="20">
        <v>0</v>
      </c>
      <c r="AS754" s="20">
        <v>7</v>
      </c>
      <c r="AT754" s="20">
        <v>10</v>
      </c>
      <c r="AU754" s="300">
        <f t="shared" si="122"/>
        <v>219</v>
      </c>
      <c r="AV754" s="20">
        <v>190</v>
      </c>
      <c r="AW754" s="20">
        <v>0</v>
      </c>
      <c r="AX754" s="20">
        <v>20</v>
      </c>
      <c r="AY754" s="20">
        <v>0</v>
      </c>
      <c r="AZ754" s="20">
        <v>0</v>
      </c>
      <c r="BA754" s="20">
        <v>7</v>
      </c>
      <c r="BB754" s="20">
        <v>10</v>
      </c>
      <c r="BC754" s="300">
        <f t="shared" si="123"/>
        <v>227</v>
      </c>
      <c r="BD754" s="42">
        <f t="shared" si="124"/>
        <v>8</v>
      </c>
      <c r="BE754" s="42">
        <f t="shared" si="125"/>
        <v>0</v>
      </c>
      <c r="BF754" s="42">
        <f t="shared" si="126"/>
        <v>0</v>
      </c>
      <c r="BG754" s="42">
        <f t="shared" si="127"/>
        <v>0</v>
      </c>
      <c r="BH754" s="42">
        <f t="shared" si="128"/>
        <v>0</v>
      </c>
      <c r="BI754" s="42">
        <f t="shared" si="129"/>
        <v>0</v>
      </c>
      <c r="BJ754" s="42">
        <f t="shared" si="130"/>
        <v>0</v>
      </c>
      <c r="BK754" s="42">
        <f t="shared" si="131"/>
        <v>8</v>
      </c>
    </row>
    <row r="755" spans="1:63" ht="27" customHeight="1">
      <c r="A755" s="222">
        <f t="shared" si="132"/>
        <v>753</v>
      </c>
      <c r="B755" s="223"/>
      <c r="C755" s="250">
        <v>3645</v>
      </c>
      <c r="D755" s="225" t="s">
        <v>4538</v>
      </c>
      <c r="E755" s="251" t="s">
        <v>4539</v>
      </c>
      <c r="F755" s="252" t="s">
        <v>4540</v>
      </c>
      <c r="G755" s="253" t="s">
        <v>4541</v>
      </c>
      <c r="H755" s="229" t="s">
        <v>4542</v>
      </c>
      <c r="I755" s="230" t="s">
        <v>4543</v>
      </c>
      <c r="J755" s="254" t="s">
        <v>173</v>
      </c>
      <c r="K755" s="255">
        <v>35858</v>
      </c>
      <c r="L755" s="233" t="s">
        <v>174</v>
      </c>
      <c r="M755" s="256">
        <v>43754</v>
      </c>
      <c r="N755" s="256"/>
      <c r="O755" s="224"/>
      <c r="P755" s="222" t="s">
        <v>3770</v>
      </c>
      <c r="Q755" s="222" t="s">
        <v>244</v>
      </c>
      <c r="R755" s="224" t="s">
        <v>177</v>
      </c>
      <c r="S755" s="224" t="s">
        <v>251</v>
      </c>
      <c r="T755" s="235"/>
      <c r="U755" s="257"/>
      <c r="V755" s="258" t="s">
        <v>179</v>
      </c>
      <c r="W755" s="258" t="s">
        <v>179</v>
      </c>
      <c r="X755" s="259">
        <v>8</v>
      </c>
      <c r="Y755" s="251" t="s">
        <v>4544</v>
      </c>
      <c r="Z755" s="261"/>
      <c r="AA755" s="261"/>
      <c r="AB755" s="258"/>
      <c r="AC755" s="280"/>
      <c r="AD755" s="271"/>
      <c r="AE755" s="271"/>
      <c r="AF755" s="272"/>
      <c r="AG755" s="270"/>
      <c r="AH755" s="260"/>
      <c r="AI755" s="260"/>
      <c r="AJ755" s="258" t="s">
        <v>198</v>
      </c>
      <c r="AK755" s="258" t="s">
        <v>185</v>
      </c>
      <c r="AL755" s="258" t="s">
        <v>185</v>
      </c>
      <c r="AM755" s="244" t="s">
        <v>3854</v>
      </c>
      <c r="AN755" s="20">
        <v>182</v>
      </c>
      <c r="AO755" s="20">
        <v>0</v>
      </c>
      <c r="AP755" s="20">
        <v>0</v>
      </c>
      <c r="AQ755" s="20">
        <v>0</v>
      </c>
      <c r="AR755" s="20">
        <v>0</v>
      </c>
      <c r="AS755" s="20">
        <v>7</v>
      </c>
      <c r="AT755" s="20">
        <v>10</v>
      </c>
      <c r="AU755" s="300">
        <f t="shared" si="122"/>
        <v>199</v>
      </c>
      <c r="AV755" s="20">
        <v>190</v>
      </c>
      <c r="AW755" s="20">
        <v>0</v>
      </c>
      <c r="AX755" s="20">
        <v>0</v>
      </c>
      <c r="AY755" s="20">
        <v>0</v>
      </c>
      <c r="AZ755" s="20">
        <v>0</v>
      </c>
      <c r="BA755" s="20">
        <v>7</v>
      </c>
      <c r="BB755" s="20">
        <v>10</v>
      </c>
      <c r="BC755" s="300">
        <f t="shared" si="123"/>
        <v>207</v>
      </c>
      <c r="BD755" s="42">
        <f t="shared" si="124"/>
        <v>8</v>
      </c>
      <c r="BE755" s="42">
        <f t="shared" si="125"/>
        <v>0</v>
      </c>
      <c r="BF755" s="42">
        <f t="shared" si="126"/>
        <v>0</v>
      </c>
      <c r="BG755" s="42">
        <f t="shared" si="127"/>
        <v>0</v>
      </c>
      <c r="BH755" s="42">
        <f t="shared" si="128"/>
        <v>0</v>
      </c>
      <c r="BI755" s="42">
        <f t="shared" si="129"/>
        <v>0</v>
      </c>
      <c r="BJ755" s="42">
        <f t="shared" si="130"/>
        <v>0</v>
      </c>
      <c r="BK755" s="42">
        <f t="shared" si="131"/>
        <v>8</v>
      </c>
    </row>
    <row r="756" spans="1:63" ht="27" customHeight="1">
      <c r="A756" s="222">
        <f t="shared" si="132"/>
        <v>754</v>
      </c>
      <c r="B756" s="223"/>
      <c r="C756" s="250">
        <v>3143</v>
      </c>
      <c r="D756" s="225" t="s">
        <v>4545</v>
      </c>
      <c r="E756" s="251" t="s">
        <v>4546</v>
      </c>
      <c r="F756" s="252" t="s">
        <v>1134</v>
      </c>
      <c r="G756" s="253" t="s">
        <v>3619</v>
      </c>
      <c r="H756" s="229" t="s">
        <v>4547</v>
      </c>
      <c r="I756" s="230" t="s">
        <v>3620</v>
      </c>
      <c r="J756" s="254" t="s">
        <v>173</v>
      </c>
      <c r="K756" s="255">
        <v>28499</v>
      </c>
      <c r="L756" s="233" t="s">
        <v>174</v>
      </c>
      <c r="M756" s="256">
        <v>43740</v>
      </c>
      <c r="N756" s="256"/>
      <c r="O756" s="224" t="s">
        <v>4085</v>
      </c>
      <c r="P756" s="222" t="s">
        <v>3770</v>
      </c>
      <c r="Q756" s="222" t="s">
        <v>244</v>
      </c>
      <c r="R756" s="224" t="s">
        <v>177</v>
      </c>
      <c r="S756" s="224" t="s">
        <v>206</v>
      </c>
      <c r="T756" s="235"/>
      <c r="U756" s="257"/>
      <c r="V756" s="258" t="s">
        <v>179</v>
      </c>
      <c r="W756" s="258" t="s">
        <v>179</v>
      </c>
      <c r="X756" s="259">
        <v>4</v>
      </c>
      <c r="Y756" s="251" t="s">
        <v>4055</v>
      </c>
      <c r="Z756" s="261"/>
      <c r="AA756" s="261" t="s">
        <v>181</v>
      </c>
      <c r="AB756" s="258"/>
      <c r="AC756" s="280"/>
      <c r="AD756" s="271"/>
      <c r="AE756" s="271"/>
      <c r="AF756" s="272"/>
      <c r="AG756" s="270"/>
      <c r="AH756" s="260"/>
      <c r="AI756" s="260"/>
      <c r="AJ756" s="258" t="s">
        <v>198</v>
      </c>
      <c r="AK756" s="258" t="s">
        <v>185</v>
      </c>
      <c r="AL756" s="258" t="s">
        <v>185</v>
      </c>
      <c r="AM756" s="244" t="s">
        <v>3854</v>
      </c>
      <c r="AN756" s="20">
        <v>182</v>
      </c>
      <c r="AO756" s="20">
        <v>0</v>
      </c>
      <c r="AP756" s="20">
        <v>20</v>
      </c>
      <c r="AQ756" s="20">
        <v>0</v>
      </c>
      <c r="AR756" s="20">
        <v>0</v>
      </c>
      <c r="AS756" s="20">
        <v>7</v>
      </c>
      <c r="AT756" s="20">
        <v>10</v>
      </c>
      <c r="AU756" s="300">
        <f t="shared" si="122"/>
        <v>219</v>
      </c>
      <c r="AV756" s="20">
        <v>190</v>
      </c>
      <c r="AW756" s="20">
        <v>0</v>
      </c>
      <c r="AX756" s="20">
        <v>20</v>
      </c>
      <c r="AY756" s="20">
        <v>0</v>
      </c>
      <c r="AZ756" s="20">
        <v>0</v>
      </c>
      <c r="BA756" s="20">
        <v>7</v>
      </c>
      <c r="BB756" s="20">
        <v>10</v>
      </c>
      <c r="BC756" s="300">
        <f t="shared" si="123"/>
        <v>227</v>
      </c>
      <c r="BD756" s="42">
        <f t="shared" si="124"/>
        <v>8</v>
      </c>
      <c r="BE756" s="42">
        <f t="shared" si="125"/>
        <v>0</v>
      </c>
      <c r="BF756" s="42">
        <f t="shared" si="126"/>
        <v>0</v>
      </c>
      <c r="BG756" s="42">
        <f t="shared" si="127"/>
        <v>0</v>
      </c>
      <c r="BH756" s="42">
        <f t="shared" si="128"/>
        <v>0</v>
      </c>
      <c r="BI756" s="42">
        <f t="shared" si="129"/>
        <v>0</v>
      </c>
      <c r="BJ756" s="42">
        <f t="shared" si="130"/>
        <v>0</v>
      </c>
      <c r="BK756" s="42">
        <f t="shared" si="131"/>
        <v>8</v>
      </c>
    </row>
    <row r="757" spans="1:63" ht="27" customHeight="1">
      <c r="A757" s="222">
        <f t="shared" si="132"/>
        <v>755</v>
      </c>
      <c r="B757" s="223"/>
      <c r="C757" s="250">
        <v>3176</v>
      </c>
      <c r="D757" s="225" t="s">
        <v>4548</v>
      </c>
      <c r="E757" s="251" t="s">
        <v>4549</v>
      </c>
      <c r="F757" s="252" t="s">
        <v>4550</v>
      </c>
      <c r="G757" s="253" t="s">
        <v>4551</v>
      </c>
      <c r="H757" s="229" t="s">
        <v>4552</v>
      </c>
      <c r="I757" s="230" t="s">
        <v>4553</v>
      </c>
      <c r="J757" s="254" t="s">
        <v>173</v>
      </c>
      <c r="K757" s="255">
        <v>31210</v>
      </c>
      <c r="L757" s="233" t="s">
        <v>174</v>
      </c>
      <c r="M757" s="256">
        <v>43740</v>
      </c>
      <c r="N757" s="256"/>
      <c r="O757" s="224" t="s">
        <v>4085</v>
      </c>
      <c r="P757" s="222" t="s">
        <v>3770</v>
      </c>
      <c r="Q757" s="222" t="s">
        <v>244</v>
      </c>
      <c r="R757" s="224" t="s">
        <v>177</v>
      </c>
      <c r="S757" s="224" t="s">
        <v>428</v>
      </c>
      <c r="T757" s="235"/>
      <c r="U757" s="257"/>
      <c r="V757" s="258" t="s">
        <v>179</v>
      </c>
      <c r="W757" s="258" t="s">
        <v>179</v>
      </c>
      <c r="X757" s="266">
        <v>6</v>
      </c>
      <c r="Y757" s="251" t="s">
        <v>4554</v>
      </c>
      <c r="Z757" s="261"/>
      <c r="AA757" s="261"/>
      <c r="AB757" s="258"/>
      <c r="AC757" s="280"/>
      <c r="AD757" s="271"/>
      <c r="AE757" s="271"/>
      <c r="AF757" s="272"/>
      <c r="AG757" s="270"/>
      <c r="AH757" s="260"/>
      <c r="AI757" s="260"/>
      <c r="AJ757" s="258" t="s">
        <v>198</v>
      </c>
      <c r="AK757" s="258" t="s">
        <v>185</v>
      </c>
      <c r="AL757" s="258" t="s">
        <v>185</v>
      </c>
      <c r="AM757" s="244" t="s">
        <v>3854</v>
      </c>
      <c r="AN757" s="20">
        <v>182</v>
      </c>
      <c r="AO757" s="20">
        <v>0</v>
      </c>
      <c r="AP757" s="20">
        <v>20</v>
      </c>
      <c r="AQ757" s="20">
        <v>0</v>
      </c>
      <c r="AR757" s="20">
        <v>0</v>
      </c>
      <c r="AS757" s="20">
        <v>7</v>
      </c>
      <c r="AT757" s="20">
        <v>10</v>
      </c>
      <c r="AU757" s="300">
        <f t="shared" si="122"/>
        <v>219</v>
      </c>
      <c r="AV757" s="20">
        <v>190</v>
      </c>
      <c r="AW757" s="20">
        <v>0</v>
      </c>
      <c r="AX757" s="20">
        <v>20</v>
      </c>
      <c r="AY757" s="20">
        <v>0</v>
      </c>
      <c r="AZ757" s="20">
        <v>0</v>
      </c>
      <c r="BA757" s="20">
        <v>7</v>
      </c>
      <c r="BB757" s="20">
        <v>10</v>
      </c>
      <c r="BC757" s="300">
        <f t="shared" si="123"/>
        <v>227</v>
      </c>
      <c r="BD757" s="42">
        <f t="shared" si="124"/>
        <v>8</v>
      </c>
      <c r="BE757" s="42">
        <f t="shared" si="125"/>
        <v>0</v>
      </c>
      <c r="BF757" s="42">
        <f t="shared" si="126"/>
        <v>0</v>
      </c>
      <c r="BG757" s="42">
        <f t="shared" si="127"/>
        <v>0</v>
      </c>
      <c r="BH757" s="42">
        <f t="shared" si="128"/>
        <v>0</v>
      </c>
      <c r="BI757" s="42">
        <f t="shared" si="129"/>
        <v>0</v>
      </c>
      <c r="BJ757" s="42">
        <f t="shared" si="130"/>
        <v>0</v>
      </c>
      <c r="BK757" s="42">
        <f t="shared" si="131"/>
        <v>8</v>
      </c>
    </row>
    <row r="758" spans="1:63" ht="27" customHeight="1">
      <c r="A758" s="222">
        <f t="shared" si="132"/>
        <v>756</v>
      </c>
      <c r="B758" s="223"/>
      <c r="C758" s="250">
        <v>3572</v>
      </c>
      <c r="D758" s="268">
        <v>0</v>
      </c>
      <c r="E758" s="251" t="s">
        <v>4555</v>
      </c>
      <c r="F758" s="252" t="s">
        <v>4556</v>
      </c>
      <c r="G758" s="253" t="s">
        <v>416</v>
      </c>
      <c r="H758" s="229" t="s">
        <v>3892</v>
      </c>
      <c r="I758" s="230" t="s">
        <v>4557</v>
      </c>
      <c r="J758" s="254" t="s">
        <v>173</v>
      </c>
      <c r="K758" s="255">
        <v>31879</v>
      </c>
      <c r="L758" s="233" t="s">
        <v>174</v>
      </c>
      <c r="M758" s="256">
        <v>43748</v>
      </c>
      <c r="N758" s="256"/>
      <c r="O758" s="224" t="s">
        <v>3973</v>
      </c>
      <c r="P758" s="222" t="s">
        <v>3633</v>
      </c>
      <c r="Q758" s="222" t="s">
        <v>244</v>
      </c>
      <c r="R758" s="224" t="s">
        <v>177</v>
      </c>
      <c r="S758" s="224" t="s">
        <v>206</v>
      </c>
      <c r="T758" s="235"/>
      <c r="U758" s="257"/>
      <c r="V758" s="258" t="s">
        <v>179</v>
      </c>
      <c r="W758" s="258">
        <v>5479</v>
      </c>
      <c r="X758" s="259">
        <v>7</v>
      </c>
      <c r="Y758" s="251" t="s">
        <v>4558</v>
      </c>
      <c r="Z758" s="261"/>
      <c r="AA758" s="261" t="s">
        <v>181</v>
      </c>
      <c r="AB758" s="258"/>
      <c r="AC758" s="280" t="s">
        <v>182</v>
      </c>
      <c r="AD758" s="271"/>
      <c r="AE758" s="271"/>
      <c r="AF758" s="272"/>
      <c r="AG758" s="270"/>
      <c r="AH758" s="260"/>
      <c r="AI758" s="260"/>
      <c r="AJ758" s="258" t="s">
        <v>198</v>
      </c>
      <c r="AK758" s="258" t="s">
        <v>185</v>
      </c>
      <c r="AL758" s="258" t="s">
        <v>185</v>
      </c>
      <c r="AM758" s="244" t="s">
        <v>3854</v>
      </c>
      <c r="AN758" s="20">
        <v>182</v>
      </c>
      <c r="AO758" s="20">
        <v>0</v>
      </c>
      <c r="AP758" s="20">
        <v>20</v>
      </c>
      <c r="AQ758" s="20">
        <v>20</v>
      </c>
      <c r="AR758" s="20">
        <v>0</v>
      </c>
      <c r="AS758" s="20">
        <v>7</v>
      </c>
      <c r="AT758" s="20">
        <v>10</v>
      </c>
      <c r="AU758" s="300">
        <f t="shared" si="122"/>
        <v>239</v>
      </c>
      <c r="AV758" s="20">
        <v>190</v>
      </c>
      <c r="AW758" s="20">
        <v>0</v>
      </c>
      <c r="AX758" s="20">
        <v>20</v>
      </c>
      <c r="AY758" s="20">
        <v>20</v>
      </c>
      <c r="AZ758" s="20">
        <v>0</v>
      </c>
      <c r="BA758" s="20">
        <v>7</v>
      </c>
      <c r="BB758" s="20">
        <v>10</v>
      </c>
      <c r="BC758" s="300">
        <f t="shared" si="123"/>
        <v>247</v>
      </c>
      <c r="BD758" s="42">
        <f t="shared" si="124"/>
        <v>8</v>
      </c>
      <c r="BE758" s="42">
        <f t="shared" si="125"/>
        <v>0</v>
      </c>
      <c r="BF758" s="42">
        <f t="shared" si="126"/>
        <v>0</v>
      </c>
      <c r="BG758" s="42">
        <f t="shared" si="127"/>
        <v>0</v>
      </c>
      <c r="BH758" s="42">
        <f t="shared" si="128"/>
        <v>0</v>
      </c>
      <c r="BI758" s="42">
        <f t="shared" si="129"/>
        <v>0</v>
      </c>
      <c r="BJ758" s="42">
        <f t="shared" si="130"/>
        <v>0</v>
      </c>
      <c r="BK758" s="42">
        <f t="shared" si="131"/>
        <v>8</v>
      </c>
    </row>
    <row r="759" spans="1:63" ht="27" customHeight="1">
      <c r="A759" s="222">
        <f t="shared" si="132"/>
        <v>757</v>
      </c>
      <c r="B759" s="223"/>
      <c r="C759" s="250">
        <v>3165</v>
      </c>
      <c r="D759" s="268">
        <v>0</v>
      </c>
      <c r="E759" s="251" t="s">
        <v>291</v>
      </c>
      <c r="F759" s="252" t="s">
        <v>876</v>
      </c>
      <c r="G759" s="253" t="s">
        <v>737</v>
      </c>
      <c r="H759" s="229" t="s">
        <v>877</v>
      </c>
      <c r="I759" s="230" t="s">
        <v>22</v>
      </c>
      <c r="J759" s="254" t="s">
        <v>173</v>
      </c>
      <c r="K759" s="255">
        <v>30176</v>
      </c>
      <c r="L759" s="233" t="s">
        <v>174</v>
      </c>
      <c r="M759" s="256">
        <v>43740</v>
      </c>
      <c r="N759" s="256"/>
      <c r="O759" s="224" t="s">
        <v>4085</v>
      </c>
      <c r="P759" s="222" t="s">
        <v>3770</v>
      </c>
      <c r="Q759" s="222" t="s">
        <v>244</v>
      </c>
      <c r="R759" s="224" t="s">
        <v>177</v>
      </c>
      <c r="S759" s="224" t="s">
        <v>722</v>
      </c>
      <c r="T759" s="235"/>
      <c r="U759" s="257"/>
      <c r="V759" s="258" t="s">
        <v>179</v>
      </c>
      <c r="W759" s="258" t="s">
        <v>179</v>
      </c>
      <c r="X759" s="259">
        <v>4</v>
      </c>
      <c r="Y759" s="251" t="s">
        <v>4559</v>
      </c>
      <c r="Z759" s="261"/>
      <c r="AA759" s="261" t="s">
        <v>181</v>
      </c>
      <c r="AB759" s="258"/>
      <c r="AC759" s="280"/>
      <c r="AD759" s="271"/>
      <c r="AE759" s="271"/>
      <c r="AF759" s="272"/>
      <c r="AG759" s="270"/>
      <c r="AH759" s="260"/>
      <c r="AI759" s="260"/>
      <c r="AJ759" s="258" t="s">
        <v>198</v>
      </c>
      <c r="AK759" s="258" t="s">
        <v>185</v>
      </c>
      <c r="AL759" s="258" t="s">
        <v>185</v>
      </c>
      <c r="AM759" s="244" t="s">
        <v>3854</v>
      </c>
      <c r="AN759" s="20">
        <v>182</v>
      </c>
      <c r="AO759" s="20">
        <v>0</v>
      </c>
      <c r="AP759" s="20">
        <v>20</v>
      </c>
      <c r="AQ759" s="20">
        <v>0</v>
      </c>
      <c r="AR759" s="20">
        <v>0</v>
      </c>
      <c r="AS759" s="20">
        <v>7</v>
      </c>
      <c r="AT759" s="20">
        <v>10</v>
      </c>
      <c r="AU759" s="300">
        <f t="shared" si="122"/>
        <v>219</v>
      </c>
      <c r="AV759" s="20">
        <v>190</v>
      </c>
      <c r="AW759" s="20">
        <v>0</v>
      </c>
      <c r="AX759" s="20">
        <v>20</v>
      </c>
      <c r="AY759" s="20">
        <v>0</v>
      </c>
      <c r="AZ759" s="20">
        <v>0</v>
      </c>
      <c r="BA759" s="20">
        <v>7</v>
      </c>
      <c r="BB759" s="20">
        <v>10</v>
      </c>
      <c r="BC759" s="300">
        <f t="shared" si="123"/>
        <v>227</v>
      </c>
      <c r="BD759" s="42">
        <f t="shared" si="124"/>
        <v>8</v>
      </c>
      <c r="BE759" s="42">
        <f t="shared" si="125"/>
        <v>0</v>
      </c>
      <c r="BF759" s="42">
        <f t="shared" si="126"/>
        <v>0</v>
      </c>
      <c r="BG759" s="42">
        <f t="shared" si="127"/>
        <v>0</v>
      </c>
      <c r="BH759" s="42">
        <f t="shared" si="128"/>
        <v>0</v>
      </c>
      <c r="BI759" s="42">
        <f t="shared" si="129"/>
        <v>0</v>
      </c>
      <c r="BJ759" s="42">
        <f t="shared" si="130"/>
        <v>0</v>
      </c>
      <c r="BK759" s="42">
        <f t="shared" si="131"/>
        <v>8</v>
      </c>
    </row>
    <row r="760" spans="1:63" ht="27" customHeight="1">
      <c r="A760" s="222">
        <f t="shared" si="132"/>
        <v>758</v>
      </c>
      <c r="B760" s="223"/>
      <c r="C760" s="250">
        <v>3643</v>
      </c>
      <c r="D760" s="264" t="s">
        <v>4560</v>
      </c>
      <c r="E760" s="251" t="s">
        <v>291</v>
      </c>
      <c r="F760" s="252" t="s">
        <v>927</v>
      </c>
      <c r="G760" s="253" t="s">
        <v>4561</v>
      </c>
      <c r="H760" s="229" t="s">
        <v>929</v>
      </c>
      <c r="I760" s="230" t="s">
        <v>4562</v>
      </c>
      <c r="J760" s="254" t="s">
        <v>204</v>
      </c>
      <c r="K760" s="255">
        <v>36078</v>
      </c>
      <c r="L760" s="233" t="s">
        <v>174</v>
      </c>
      <c r="M760" s="256">
        <v>43754</v>
      </c>
      <c r="N760" s="256"/>
      <c r="O760" s="224"/>
      <c r="P760" s="222" t="s">
        <v>3770</v>
      </c>
      <c r="Q760" s="222" t="s">
        <v>244</v>
      </c>
      <c r="R760" s="224" t="s">
        <v>177</v>
      </c>
      <c r="S760" s="224" t="s">
        <v>206</v>
      </c>
      <c r="T760" s="235"/>
      <c r="U760" s="257"/>
      <c r="V760" s="258" t="s">
        <v>179</v>
      </c>
      <c r="W760" s="258">
        <v>1318</v>
      </c>
      <c r="X760" s="259">
        <v>6</v>
      </c>
      <c r="Y760" s="251" t="s">
        <v>4563</v>
      </c>
      <c r="Z760" s="261" t="s">
        <v>181</v>
      </c>
      <c r="AA760" s="261"/>
      <c r="AB760" s="258"/>
      <c r="AC760" s="280"/>
      <c r="AD760" s="271"/>
      <c r="AE760" s="271"/>
      <c r="AF760" s="272"/>
      <c r="AG760" s="270"/>
      <c r="AH760" s="260"/>
      <c r="AI760" s="260"/>
      <c r="AJ760" s="258" t="s">
        <v>185</v>
      </c>
      <c r="AK760" s="258" t="s">
        <v>185</v>
      </c>
      <c r="AL760" s="258" t="s">
        <v>198</v>
      </c>
      <c r="AM760" s="273" t="s">
        <v>3871</v>
      </c>
      <c r="AN760" s="20">
        <v>182</v>
      </c>
      <c r="AO760" s="20">
        <v>0</v>
      </c>
      <c r="AP760" s="20">
        <v>20</v>
      </c>
      <c r="AQ760" s="20">
        <v>0</v>
      </c>
      <c r="AR760" s="20">
        <v>0</v>
      </c>
      <c r="AS760" s="20">
        <v>7</v>
      </c>
      <c r="AT760" s="20">
        <v>10</v>
      </c>
      <c r="AU760" s="300">
        <f t="shared" si="122"/>
        <v>219</v>
      </c>
      <c r="AV760" s="20">
        <v>190</v>
      </c>
      <c r="AW760" s="20">
        <v>0</v>
      </c>
      <c r="AX760" s="20">
        <v>20</v>
      </c>
      <c r="AY760" s="20">
        <v>0</v>
      </c>
      <c r="AZ760" s="20">
        <v>0</v>
      </c>
      <c r="BA760" s="20">
        <v>7</v>
      </c>
      <c r="BB760" s="20">
        <v>10</v>
      </c>
      <c r="BC760" s="300">
        <f t="shared" si="123"/>
        <v>227</v>
      </c>
      <c r="BD760" s="42">
        <f t="shared" si="124"/>
        <v>8</v>
      </c>
      <c r="BE760" s="42">
        <f t="shared" si="125"/>
        <v>0</v>
      </c>
      <c r="BF760" s="42">
        <f t="shared" si="126"/>
        <v>0</v>
      </c>
      <c r="BG760" s="42">
        <f t="shared" si="127"/>
        <v>0</v>
      </c>
      <c r="BH760" s="42">
        <f t="shared" si="128"/>
        <v>0</v>
      </c>
      <c r="BI760" s="42">
        <f t="shared" si="129"/>
        <v>0</v>
      </c>
      <c r="BJ760" s="42">
        <f t="shared" si="130"/>
        <v>0</v>
      </c>
      <c r="BK760" s="42">
        <f t="shared" si="131"/>
        <v>8</v>
      </c>
    </row>
    <row r="761" spans="1:63" ht="27" customHeight="1">
      <c r="A761" s="222">
        <f t="shared" si="132"/>
        <v>759</v>
      </c>
      <c r="B761" s="223"/>
      <c r="C761" s="250">
        <v>3214</v>
      </c>
      <c r="D761" s="225" t="s">
        <v>4564</v>
      </c>
      <c r="E761" s="251" t="s">
        <v>4565</v>
      </c>
      <c r="F761" s="252" t="s">
        <v>552</v>
      </c>
      <c r="G761" s="253" t="s">
        <v>4566</v>
      </c>
      <c r="H761" s="229" t="s">
        <v>554</v>
      </c>
      <c r="I761" s="230" t="s">
        <v>4567</v>
      </c>
      <c r="J761" s="254" t="s">
        <v>173</v>
      </c>
      <c r="K761" s="255">
        <v>34472</v>
      </c>
      <c r="L761" s="233" t="s">
        <v>174</v>
      </c>
      <c r="M761" s="256">
        <v>43741</v>
      </c>
      <c r="N761" s="256"/>
      <c r="O761" s="224" t="s">
        <v>4085</v>
      </c>
      <c r="P761" s="222" t="s">
        <v>3770</v>
      </c>
      <c r="Q761" s="222" t="s">
        <v>244</v>
      </c>
      <c r="R761" s="224" t="s">
        <v>177</v>
      </c>
      <c r="S761" s="224" t="s">
        <v>178</v>
      </c>
      <c r="T761" s="235"/>
      <c r="U761" s="257"/>
      <c r="V761" s="258" t="s">
        <v>179</v>
      </c>
      <c r="W761" s="258" t="s">
        <v>179</v>
      </c>
      <c r="X761" s="259">
        <v>7</v>
      </c>
      <c r="Y761" s="251" t="s">
        <v>4387</v>
      </c>
      <c r="Z761" s="261"/>
      <c r="AA761" s="261" t="s">
        <v>181</v>
      </c>
      <c r="AB761" s="258"/>
      <c r="AC761" s="280"/>
      <c r="AD761" s="271"/>
      <c r="AE761" s="271"/>
      <c r="AF761" s="272"/>
      <c r="AG761" s="270"/>
      <c r="AH761" s="260"/>
      <c r="AI761" s="260"/>
      <c r="AJ761" s="258" t="s">
        <v>198</v>
      </c>
      <c r="AK761" s="258" t="s">
        <v>185</v>
      </c>
      <c r="AL761" s="258" t="s">
        <v>185</v>
      </c>
      <c r="AM761" s="244" t="s">
        <v>3911</v>
      </c>
      <c r="AN761" s="20">
        <v>182</v>
      </c>
      <c r="AO761" s="20">
        <v>0</v>
      </c>
      <c r="AP761" s="20">
        <v>20</v>
      </c>
      <c r="AQ761" s="20">
        <v>0</v>
      </c>
      <c r="AR761" s="20">
        <v>0</v>
      </c>
      <c r="AS761" s="20">
        <v>7</v>
      </c>
      <c r="AT761" s="20">
        <v>10</v>
      </c>
      <c r="AU761" s="300">
        <f t="shared" si="122"/>
        <v>219</v>
      </c>
      <c r="AV761" s="20">
        <v>190</v>
      </c>
      <c r="AW761" s="20">
        <v>0</v>
      </c>
      <c r="AX761" s="20">
        <v>20</v>
      </c>
      <c r="AY761" s="20">
        <v>0</v>
      </c>
      <c r="AZ761" s="20">
        <v>0</v>
      </c>
      <c r="BA761" s="20">
        <v>7</v>
      </c>
      <c r="BB761" s="20">
        <v>10</v>
      </c>
      <c r="BC761" s="300">
        <f t="shared" si="123"/>
        <v>227</v>
      </c>
      <c r="BD761" s="42">
        <f t="shared" si="124"/>
        <v>8</v>
      </c>
      <c r="BE761" s="42">
        <f t="shared" si="125"/>
        <v>0</v>
      </c>
      <c r="BF761" s="42">
        <f t="shared" si="126"/>
        <v>0</v>
      </c>
      <c r="BG761" s="42">
        <f t="shared" si="127"/>
        <v>0</v>
      </c>
      <c r="BH761" s="42">
        <f t="shared" si="128"/>
        <v>0</v>
      </c>
      <c r="BI761" s="42">
        <f t="shared" si="129"/>
        <v>0</v>
      </c>
      <c r="BJ761" s="42">
        <f t="shared" si="130"/>
        <v>0</v>
      </c>
      <c r="BK761" s="42">
        <f t="shared" si="131"/>
        <v>8</v>
      </c>
    </row>
    <row r="762" spans="1:63" ht="27" customHeight="1">
      <c r="A762" s="222">
        <f t="shared" si="132"/>
        <v>760</v>
      </c>
      <c r="B762" s="223"/>
      <c r="C762" s="250">
        <v>3583</v>
      </c>
      <c r="D762" s="225" t="s">
        <v>4568</v>
      </c>
      <c r="E762" s="251" t="s">
        <v>4569</v>
      </c>
      <c r="F762" s="252" t="s">
        <v>476</v>
      </c>
      <c r="G762" s="253" t="s">
        <v>2236</v>
      </c>
      <c r="H762" s="229" t="s">
        <v>1056</v>
      </c>
      <c r="I762" s="230" t="s">
        <v>4570</v>
      </c>
      <c r="J762" s="254" t="s">
        <v>173</v>
      </c>
      <c r="K762" s="255">
        <v>35014</v>
      </c>
      <c r="L762" s="233" t="s">
        <v>174</v>
      </c>
      <c r="M762" s="256">
        <v>43749</v>
      </c>
      <c r="N762" s="256"/>
      <c r="O762" s="224"/>
      <c r="P762" s="222" t="s">
        <v>3644</v>
      </c>
      <c r="Q762" s="222" t="s">
        <v>244</v>
      </c>
      <c r="R762" s="224" t="s">
        <v>177</v>
      </c>
      <c r="S762" s="224" t="s">
        <v>251</v>
      </c>
      <c r="T762" s="235"/>
      <c r="U762" s="257"/>
      <c r="V762" s="258" t="s">
        <v>179</v>
      </c>
      <c r="W762" s="258" t="s">
        <v>179</v>
      </c>
      <c r="X762" s="259"/>
      <c r="Y762" s="251" t="s">
        <v>4571</v>
      </c>
      <c r="Z762" s="261"/>
      <c r="AA762" s="261" t="s">
        <v>181</v>
      </c>
      <c r="AB762" s="258"/>
      <c r="AC762" s="280"/>
      <c r="AD762" s="271"/>
      <c r="AE762" s="271"/>
      <c r="AF762" s="272"/>
      <c r="AG762" s="270"/>
      <c r="AH762" s="260"/>
      <c r="AI762" s="260"/>
      <c r="AJ762" s="258" t="s">
        <v>185</v>
      </c>
      <c r="AK762" s="258" t="s">
        <v>185</v>
      </c>
      <c r="AL762" s="258" t="s">
        <v>185</v>
      </c>
      <c r="AM762" s="244" t="s">
        <v>3911</v>
      </c>
      <c r="AN762" s="20">
        <v>182</v>
      </c>
      <c r="AO762" s="20">
        <v>0</v>
      </c>
      <c r="AP762" s="20">
        <v>20</v>
      </c>
      <c r="AQ762" s="20">
        <v>0</v>
      </c>
      <c r="AR762" s="20">
        <v>0</v>
      </c>
      <c r="AS762" s="20">
        <v>7</v>
      </c>
      <c r="AT762" s="20">
        <v>10</v>
      </c>
      <c r="AU762" s="300">
        <f t="shared" si="122"/>
        <v>219</v>
      </c>
      <c r="AV762" s="20">
        <v>190</v>
      </c>
      <c r="AW762" s="20">
        <v>0</v>
      </c>
      <c r="AX762" s="20">
        <v>20</v>
      </c>
      <c r="AY762" s="20">
        <v>0</v>
      </c>
      <c r="AZ762" s="20">
        <v>0</v>
      </c>
      <c r="BA762" s="20">
        <v>7</v>
      </c>
      <c r="BB762" s="20">
        <v>10</v>
      </c>
      <c r="BC762" s="300">
        <f t="shared" si="123"/>
        <v>227</v>
      </c>
      <c r="BD762" s="42">
        <f t="shared" si="124"/>
        <v>8</v>
      </c>
      <c r="BE762" s="42">
        <f t="shared" si="125"/>
        <v>0</v>
      </c>
      <c r="BF762" s="42">
        <f t="shared" si="126"/>
        <v>0</v>
      </c>
      <c r="BG762" s="42">
        <f t="shared" si="127"/>
        <v>0</v>
      </c>
      <c r="BH762" s="42">
        <f t="shared" si="128"/>
        <v>0</v>
      </c>
      <c r="BI762" s="42">
        <f t="shared" si="129"/>
        <v>0</v>
      </c>
      <c r="BJ762" s="42">
        <f t="shared" si="130"/>
        <v>0</v>
      </c>
      <c r="BK762" s="42">
        <f t="shared" si="131"/>
        <v>8</v>
      </c>
    </row>
    <row r="763" spans="1:63" ht="27" customHeight="1">
      <c r="A763" s="222">
        <f t="shared" si="132"/>
        <v>761</v>
      </c>
      <c r="B763" s="223"/>
      <c r="C763" s="250">
        <v>3183</v>
      </c>
      <c r="D763" s="225" t="s">
        <v>4572</v>
      </c>
      <c r="E763" s="251" t="s">
        <v>4573</v>
      </c>
      <c r="F763" s="252" t="s">
        <v>190</v>
      </c>
      <c r="G763" s="253" t="s">
        <v>1023</v>
      </c>
      <c r="H763" s="229" t="s">
        <v>694</v>
      </c>
      <c r="I763" s="230" t="s">
        <v>4574</v>
      </c>
      <c r="J763" s="254" t="s">
        <v>173</v>
      </c>
      <c r="K763" s="255">
        <v>33360</v>
      </c>
      <c r="L763" s="233" t="s">
        <v>174</v>
      </c>
      <c r="M763" s="256">
        <v>43741</v>
      </c>
      <c r="N763" s="256"/>
      <c r="O763" s="224"/>
      <c r="P763" s="222" t="s">
        <v>3770</v>
      </c>
      <c r="Q763" s="222" t="s">
        <v>244</v>
      </c>
      <c r="R763" s="224" t="s">
        <v>177</v>
      </c>
      <c r="S763" s="224" t="s">
        <v>251</v>
      </c>
      <c r="T763" s="235"/>
      <c r="U763" s="257"/>
      <c r="V763" s="258" t="s">
        <v>179</v>
      </c>
      <c r="W763" s="258" t="s">
        <v>179</v>
      </c>
      <c r="X763" s="259">
        <v>5</v>
      </c>
      <c r="Y763" s="251" t="s">
        <v>4575</v>
      </c>
      <c r="Z763" s="261"/>
      <c r="AA763" s="261" t="s">
        <v>181</v>
      </c>
      <c r="AB763" s="258"/>
      <c r="AC763" s="280"/>
      <c r="AD763" s="271"/>
      <c r="AE763" s="271"/>
      <c r="AF763" s="272"/>
      <c r="AG763" s="270"/>
      <c r="AH763" s="260"/>
      <c r="AI763" s="260"/>
      <c r="AJ763" s="258" t="s">
        <v>198</v>
      </c>
      <c r="AK763" s="258" t="s">
        <v>185</v>
      </c>
      <c r="AL763" s="258" t="s">
        <v>185</v>
      </c>
      <c r="AM763" s="244" t="s">
        <v>327</v>
      </c>
      <c r="AN763" s="20">
        <v>182</v>
      </c>
      <c r="AO763" s="20">
        <v>0</v>
      </c>
      <c r="AP763" s="20">
        <v>20</v>
      </c>
      <c r="AQ763" s="20">
        <v>0</v>
      </c>
      <c r="AR763" s="20">
        <v>0</v>
      </c>
      <c r="AS763" s="20">
        <v>7</v>
      </c>
      <c r="AT763" s="20">
        <v>10</v>
      </c>
      <c r="AU763" s="300">
        <f t="shared" si="122"/>
        <v>219</v>
      </c>
      <c r="AV763" s="20">
        <v>190</v>
      </c>
      <c r="AW763" s="20">
        <v>0</v>
      </c>
      <c r="AX763" s="20">
        <v>20</v>
      </c>
      <c r="AY763" s="20">
        <v>0</v>
      </c>
      <c r="AZ763" s="20">
        <v>0</v>
      </c>
      <c r="BA763" s="20">
        <v>7</v>
      </c>
      <c r="BB763" s="20">
        <v>10</v>
      </c>
      <c r="BC763" s="300">
        <f t="shared" si="123"/>
        <v>227</v>
      </c>
      <c r="BD763" s="42">
        <f t="shared" si="124"/>
        <v>8</v>
      </c>
      <c r="BE763" s="42">
        <f t="shared" si="125"/>
        <v>0</v>
      </c>
      <c r="BF763" s="42">
        <f t="shared" si="126"/>
        <v>0</v>
      </c>
      <c r="BG763" s="42">
        <f t="shared" si="127"/>
        <v>0</v>
      </c>
      <c r="BH763" s="42">
        <f t="shared" si="128"/>
        <v>0</v>
      </c>
      <c r="BI763" s="42">
        <f t="shared" si="129"/>
        <v>0</v>
      </c>
      <c r="BJ763" s="42">
        <f t="shared" si="130"/>
        <v>0</v>
      </c>
      <c r="BK763" s="42">
        <f t="shared" si="131"/>
        <v>8</v>
      </c>
    </row>
    <row r="764" spans="1:63" ht="27" customHeight="1">
      <c r="A764" s="222">
        <f t="shared" si="132"/>
        <v>762</v>
      </c>
      <c r="B764" s="223"/>
      <c r="C764" s="250">
        <v>3163</v>
      </c>
      <c r="D764" s="225" t="s">
        <v>4576</v>
      </c>
      <c r="E764" s="251" t="s">
        <v>291</v>
      </c>
      <c r="F764" s="252" t="s">
        <v>213</v>
      </c>
      <c r="G764" s="253" t="s">
        <v>1705</v>
      </c>
      <c r="H764" s="229" t="s">
        <v>1984</v>
      </c>
      <c r="I764" s="230" t="s">
        <v>1706</v>
      </c>
      <c r="J764" s="254" t="s">
        <v>173</v>
      </c>
      <c r="K764" s="255">
        <v>36165</v>
      </c>
      <c r="L764" s="233" t="s">
        <v>174</v>
      </c>
      <c r="M764" s="256">
        <v>43741</v>
      </c>
      <c r="N764" s="256"/>
      <c r="O764" s="224" t="s">
        <v>3960</v>
      </c>
      <c r="P764" s="222" t="s">
        <v>3780</v>
      </c>
      <c r="Q764" s="222" t="s">
        <v>244</v>
      </c>
      <c r="R764" s="224" t="s">
        <v>177</v>
      </c>
      <c r="S764" s="224" t="s">
        <v>251</v>
      </c>
      <c r="T764" s="235"/>
      <c r="U764" s="257"/>
      <c r="V764" s="258" t="s">
        <v>179</v>
      </c>
      <c r="W764" s="258" t="s">
        <v>179</v>
      </c>
      <c r="X764" s="259">
        <v>4</v>
      </c>
      <c r="Y764" s="251" t="s">
        <v>4577</v>
      </c>
      <c r="Z764" s="261"/>
      <c r="AA764" s="261" t="s">
        <v>181</v>
      </c>
      <c r="AB764" s="258"/>
      <c r="AC764" s="280"/>
      <c r="AD764" s="271"/>
      <c r="AE764" s="271"/>
      <c r="AF764" s="272"/>
      <c r="AG764" s="270"/>
      <c r="AH764" s="260"/>
      <c r="AI764" s="260"/>
      <c r="AJ764" s="258" t="s">
        <v>198</v>
      </c>
      <c r="AK764" s="258" t="s">
        <v>185</v>
      </c>
      <c r="AL764" s="258" t="s">
        <v>185</v>
      </c>
      <c r="AM764" s="244" t="s">
        <v>3854</v>
      </c>
      <c r="AN764" s="20">
        <v>182</v>
      </c>
      <c r="AO764" s="20">
        <v>0</v>
      </c>
      <c r="AP764" s="20">
        <v>0</v>
      </c>
      <c r="AQ764" s="20">
        <v>0</v>
      </c>
      <c r="AR764" s="20">
        <v>0</v>
      </c>
      <c r="AS764" s="20">
        <v>7</v>
      </c>
      <c r="AT764" s="20">
        <v>10</v>
      </c>
      <c r="AU764" s="300">
        <f t="shared" si="122"/>
        <v>199</v>
      </c>
      <c r="AV764" s="20">
        <v>190</v>
      </c>
      <c r="AW764" s="20">
        <v>0</v>
      </c>
      <c r="AX764" s="20">
        <v>0</v>
      </c>
      <c r="AY764" s="20">
        <v>0</v>
      </c>
      <c r="AZ764" s="20">
        <v>0</v>
      </c>
      <c r="BA764" s="20">
        <v>7</v>
      </c>
      <c r="BB764" s="20">
        <v>10</v>
      </c>
      <c r="BC764" s="300">
        <f t="shared" si="123"/>
        <v>207</v>
      </c>
      <c r="BD764" s="42">
        <f t="shared" si="124"/>
        <v>8</v>
      </c>
      <c r="BE764" s="42">
        <f t="shared" si="125"/>
        <v>0</v>
      </c>
      <c r="BF764" s="42">
        <f t="shared" si="126"/>
        <v>0</v>
      </c>
      <c r="BG764" s="42">
        <f t="shared" si="127"/>
        <v>0</v>
      </c>
      <c r="BH764" s="42">
        <f t="shared" si="128"/>
        <v>0</v>
      </c>
      <c r="BI764" s="42">
        <f t="shared" si="129"/>
        <v>0</v>
      </c>
      <c r="BJ764" s="42">
        <f t="shared" si="130"/>
        <v>0</v>
      </c>
      <c r="BK764" s="42">
        <f t="shared" si="131"/>
        <v>8</v>
      </c>
    </row>
    <row r="765" spans="1:63" ht="27" customHeight="1">
      <c r="A765" s="222">
        <f t="shared" si="132"/>
        <v>763</v>
      </c>
      <c r="B765" s="223"/>
      <c r="C765" s="250">
        <v>3310</v>
      </c>
      <c r="D765" s="225" t="s">
        <v>4578</v>
      </c>
      <c r="E765" s="251" t="s">
        <v>4579</v>
      </c>
      <c r="F765" s="252" t="s">
        <v>4580</v>
      </c>
      <c r="G765" s="253" t="s">
        <v>787</v>
      </c>
      <c r="H765" s="229" t="s">
        <v>4581</v>
      </c>
      <c r="I765" s="230" t="s">
        <v>4582</v>
      </c>
      <c r="J765" s="254" t="s">
        <v>173</v>
      </c>
      <c r="K765" s="255">
        <v>36048</v>
      </c>
      <c r="L765" s="233" t="s">
        <v>174</v>
      </c>
      <c r="M765" s="256">
        <v>43742</v>
      </c>
      <c r="N765" s="256"/>
      <c r="O765" s="224" t="s">
        <v>3999</v>
      </c>
      <c r="P765" s="222" t="s">
        <v>3828</v>
      </c>
      <c r="Q765" s="222" t="s">
        <v>244</v>
      </c>
      <c r="R765" s="224" t="s">
        <v>177</v>
      </c>
      <c r="S765" s="224" t="s">
        <v>214</v>
      </c>
      <c r="T765" s="235"/>
      <c r="U765" s="257"/>
      <c r="V765" s="258" t="s">
        <v>179</v>
      </c>
      <c r="W765" s="258" t="s">
        <v>179</v>
      </c>
      <c r="X765" s="259">
        <v>5</v>
      </c>
      <c r="Y765" s="251" t="s">
        <v>4583</v>
      </c>
      <c r="Z765" s="261"/>
      <c r="AA765" s="261" t="s">
        <v>181</v>
      </c>
      <c r="AB765" s="258"/>
      <c r="AC765" s="280"/>
      <c r="AD765" s="271"/>
      <c r="AE765" s="271"/>
      <c r="AF765" s="272"/>
      <c r="AG765" s="270"/>
      <c r="AH765" s="260"/>
      <c r="AI765" s="260"/>
      <c r="AJ765" s="258" t="s">
        <v>198</v>
      </c>
      <c r="AK765" s="258" t="s">
        <v>185</v>
      </c>
      <c r="AL765" s="258" t="s">
        <v>185</v>
      </c>
      <c r="AM765" s="244" t="s">
        <v>236</v>
      </c>
      <c r="AN765" s="20">
        <v>182</v>
      </c>
      <c r="AO765" s="20">
        <v>0</v>
      </c>
      <c r="AP765" s="20">
        <v>20</v>
      </c>
      <c r="AQ765" s="20">
        <v>0</v>
      </c>
      <c r="AR765" s="20">
        <v>0</v>
      </c>
      <c r="AS765" s="20">
        <v>7</v>
      </c>
      <c r="AT765" s="20">
        <v>10</v>
      </c>
      <c r="AU765" s="300">
        <f t="shared" si="122"/>
        <v>219</v>
      </c>
      <c r="AV765" s="20">
        <v>190</v>
      </c>
      <c r="AW765" s="20">
        <v>0</v>
      </c>
      <c r="AX765" s="20">
        <v>20</v>
      </c>
      <c r="AY765" s="20">
        <v>0</v>
      </c>
      <c r="AZ765" s="20">
        <v>0</v>
      </c>
      <c r="BA765" s="20">
        <v>7</v>
      </c>
      <c r="BB765" s="20">
        <v>10</v>
      </c>
      <c r="BC765" s="300">
        <f t="shared" si="123"/>
        <v>227</v>
      </c>
      <c r="BD765" s="42">
        <f t="shared" si="124"/>
        <v>8</v>
      </c>
      <c r="BE765" s="42">
        <f t="shared" si="125"/>
        <v>0</v>
      </c>
      <c r="BF765" s="42">
        <f t="shared" si="126"/>
        <v>0</v>
      </c>
      <c r="BG765" s="42">
        <f t="shared" si="127"/>
        <v>0</v>
      </c>
      <c r="BH765" s="42">
        <f t="shared" si="128"/>
        <v>0</v>
      </c>
      <c r="BI765" s="42">
        <f t="shared" si="129"/>
        <v>0</v>
      </c>
      <c r="BJ765" s="42">
        <f t="shared" si="130"/>
        <v>0</v>
      </c>
      <c r="BK765" s="42">
        <f t="shared" si="131"/>
        <v>8</v>
      </c>
    </row>
    <row r="766" spans="1:63" ht="27" customHeight="1">
      <c r="A766" s="222">
        <f t="shared" si="132"/>
        <v>764</v>
      </c>
      <c r="B766" s="223"/>
      <c r="C766" s="250">
        <v>3642</v>
      </c>
      <c r="D766" s="225" t="s">
        <v>4584</v>
      </c>
      <c r="E766" s="251" t="s">
        <v>4585</v>
      </c>
      <c r="F766" s="252" t="s">
        <v>393</v>
      </c>
      <c r="G766" s="253" t="s">
        <v>4586</v>
      </c>
      <c r="H766" s="229" t="s">
        <v>4587</v>
      </c>
      <c r="I766" s="230" t="s">
        <v>4588</v>
      </c>
      <c r="J766" s="254" t="s">
        <v>204</v>
      </c>
      <c r="K766" s="255">
        <v>33770</v>
      </c>
      <c r="L766" s="233" t="s">
        <v>174</v>
      </c>
      <c r="M766" s="256">
        <v>43748</v>
      </c>
      <c r="N766" s="256"/>
      <c r="O766" s="224" t="s">
        <v>4589</v>
      </c>
      <c r="P766" s="222" t="s">
        <v>2405</v>
      </c>
      <c r="Q766" s="222" t="s">
        <v>244</v>
      </c>
      <c r="R766" s="224" t="s">
        <v>177</v>
      </c>
      <c r="S766" s="224" t="s">
        <v>206</v>
      </c>
      <c r="T766" s="235"/>
      <c r="U766" s="257"/>
      <c r="V766" s="258" t="s">
        <v>179</v>
      </c>
      <c r="W766" s="258" t="s">
        <v>179</v>
      </c>
      <c r="X766" s="259"/>
      <c r="Y766" s="251"/>
      <c r="Z766" s="261"/>
      <c r="AA766" s="261"/>
      <c r="AB766" s="258"/>
      <c r="AC766" s="280"/>
      <c r="AD766" s="271"/>
      <c r="AE766" s="271"/>
      <c r="AF766" s="271"/>
      <c r="AG766" s="270"/>
      <c r="AH766" s="260"/>
      <c r="AI766" s="260"/>
      <c r="AJ766" s="258" t="s">
        <v>185</v>
      </c>
      <c r="AK766" s="258" t="s">
        <v>185</v>
      </c>
      <c r="AL766" s="258" t="s">
        <v>198</v>
      </c>
      <c r="AM766" s="244" t="s">
        <v>3854</v>
      </c>
      <c r="AN766" s="20">
        <v>182</v>
      </c>
      <c r="AO766" s="20">
        <v>0</v>
      </c>
      <c r="AP766" s="20">
        <v>20</v>
      </c>
      <c r="AQ766" s="20">
        <v>168</v>
      </c>
      <c r="AR766" s="20">
        <v>0</v>
      </c>
      <c r="AS766" s="20">
        <v>7</v>
      </c>
      <c r="AT766" s="20">
        <v>10</v>
      </c>
      <c r="AU766" s="300">
        <f t="shared" si="122"/>
        <v>387</v>
      </c>
      <c r="AV766" s="20">
        <v>190</v>
      </c>
      <c r="AW766" s="20">
        <v>0</v>
      </c>
      <c r="AX766" s="20">
        <v>20</v>
      </c>
      <c r="AY766" s="20">
        <v>168</v>
      </c>
      <c r="AZ766" s="20">
        <v>0</v>
      </c>
      <c r="BA766" s="20">
        <v>7</v>
      </c>
      <c r="BB766" s="20">
        <v>10</v>
      </c>
      <c r="BC766" s="300">
        <f t="shared" si="123"/>
        <v>395</v>
      </c>
      <c r="BD766" s="42">
        <f t="shared" si="124"/>
        <v>8</v>
      </c>
      <c r="BE766" s="42">
        <f t="shared" si="125"/>
        <v>0</v>
      </c>
      <c r="BF766" s="42">
        <f t="shared" si="126"/>
        <v>0</v>
      </c>
      <c r="BG766" s="42">
        <f t="shared" si="127"/>
        <v>0</v>
      </c>
      <c r="BH766" s="42">
        <f t="shared" si="128"/>
        <v>0</v>
      </c>
      <c r="BI766" s="42">
        <f t="shared" si="129"/>
        <v>0</v>
      </c>
      <c r="BJ766" s="42">
        <f t="shared" si="130"/>
        <v>0</v>
      </c>
      <c r="BK766" s="42">
        <f t="shared" si="131"/>
        <v>8</v>
      </c>
    </row>
    <row r="767" spans="1:63" ht="27" customHeight="1">
      <c r="A767" s="222">
        <f t="shared" si="132"/>
        <v>765</v>
      </c>
      <c r="B767" s="223"/>
      <c r="C767" s="250">
        <v>3271</v>
      </c>
      <c r="D767" s="225" t="s">
        <v>4590</v>
      </c>
      <c r="E767" s="251" t="s">
        <v>4591</v>
      </c>
      <c r="F767" s="252" t="s">
        <v>1758</v>
      </c>
      <c r="G767" s="253" t="s">
        <v>4592</v>
      </c>
      <c r="H767" s="229" t="s">
        <v>1759</v>
      </c>
      <c r="I767" s="230" t="s">
        <v>4593</v>
      </c>
      <c r="J767" s="254" t="s">
        <v>204</v>
      </c>
      <c r="K767" s="255">
        <v>34596</v>
      </c>
      <c r="L767" s="233" t="s">
        <v>174</v>
      </c>
      <c r="M767" s="256">
        <v>43745</v>
      </c>
      <c r="N767" s="256"/>
      <c r="O767" s="224" t="s">
        <v>3973</v>
      </c>
      <c r="P767" s="222" t="s">
        <v>2405</v>
      </c>
      <c r="Q767" s="222" t="s">
        <v>244</v>
      </c>
      <c r="R767" s="224" t="s">
        <v>177</v>
      </c>
      <c r="S767" s="224" t="s">
        <v>214</v>
      </c>
      <c r="T767" s="235"/>
      <c r="U767" s="257"/>
      <c r="V767" s="258" t="s">
        <v>179</v>
      </c>
      <c r="W767" s="258" t="s">
        <v>179</v>
      </c>
      <c r="X767" s="259"/>
      <c r="Y767" s="251"/>
      <c r="Z767" s="261"/>
      <c r="AA767" s="261"/>
      <c r="AB767" s="258"/>
      <c r="AC767" s="280"/>
      <c r="AD767" s="271"/>
      <c r="AE767" s="271"/>
      <c r="AF767" s="272"/>
      <c r="AG767" s="270"/>
      <c r="AH767" s="260"/>
      <c r="AI767" s="260"/>
      <c r="AJ767" s="258" t="s">
        <v>198</v>
      </c>
      <c r="AK767" s="258" t="s">
        <v>185</v>
      </c>
      <c r="AL767" s="258" t="s">
        <v>185</v>
      </c>
      <c r="AM767" s="273" t="s">
        <v>4594</v>
      </c>
      <c r="AN767" s="20">
        <v>182</v>
      </c>
      <c r="AO767" s="20">
        <v>0</v>
      </c>
      <c r="AP767" s="20">
        <v>20</v>
      </c>
      <c r="AQ767" s="20">
        <v>148</v>
      </c>
      <c r="AR767" s="20">
        <v>0</v>
      </c>
      <c r="AS767" s="20">
        <v>7</v>
      </c>
      <c r="AT767" s="20">
        <v>10</v>
      </c>
      <c r="AU767" s="300">
        <f t="shared" si="122"/>
        <v>367</v>
      </c>
      <c r="AV767" s="20">
        <v>190</v>
      </c>
      <c r="AW767" s="20">
        <v>0</v>
      </c>
      <c r="AX767" s="20">
        <v>20</v>
      </c>
      <c r="AY767" s="20">
        <v>148</v>
      </c>
      <c r="AZ767" s="20">
        <v>0</v>
      </c>
      <c r="BA767" s="20">
        <v>7</v>
      </c>
      <c r="BB767" s="20">
        <v>10</v>
      </c>
      <c r="BC767" s="300">
        <f t="shared" si="123"/>
        <v>375</v>
      </c>
      <c r="BD767" s="42">
        <f t="shared" si="124"/>
        <v>8</v>
      </c>
      <c r="BE767" s="42">
        <f t="shared" si="125"/>
        <v>0</v>
      </c>
      <c r="BF767" s="42">
        <f t="shared" si="126"/>
        <v>0</v>
      </c>
      <c r="BG767" s="42">
        <f t="shared" si="127"/>
        <v>0</v>
      </c>
      <c r="BH767" s="42">
        <f t="shared" si="128"/>
        <v>0</v>
      </c>
      <c r="BI767" s="42">
        <f t="shared" si="129"/>
        <v>0</v>
      </c>
      <c r="BJ767" s="42">
        <f t="shared" si="130"/>
        <v>0</v>
      </c>
      <c r="BK767" s="42">
        <f t="shared" si="131"/>
        <v>8</v>
      </c>
    </row>
    <row r="768" spans="1:63" ht="27" customHeight="1">
      <c r="A768" s="222">
        <f t="shared" si="132"/>
        <v>766</v>
      </c>
      <c r="B768" s="223"/>
      <c r="C768" s="250">
        <v>3166</v>
      </c>
      <c r="D768" s="225" t="s">
        <v>4595</v>
      </c>
      <c r="E768" s="251" t="s">
        <v>4596</v>
      </c>
      <c r="F768" s="252" t="s">
        <v>737</v>
      </c>
      <c r="G768" s="253" t="s">
        <v>4597</v>
      </c>
      <c r="H768" s="229" t="s">
        <v>22</v>
      </c>
      <c r="I768" s="230" t="s">
        <v>470</v>
      </c>
      <c r="J768" s="254" t="s">
        <v>173</v>
      </c>
      <c r="K768" s="255">
        <v>21427</v>
      </c>
      <c r="L768" s="233" t="s">
        <v>174</v>
      </c>
      <c r="M768" s="256">
        <v>43740</v>
      </c>
      <c r="N768" s="256"/>
      <c r="O768" s="224" t="s">
        <v>4598</v>
      </c>
      <c r="P768" s="222" t="s">
        <v>194</v>
      </c>
      <c r="Q768" s="222" t="s">
        <v>244</v>
      </c>
      <c r="R768" s="224" t="s">
        <v>177</v>
      </c>
      <c r="S768" s="224" t="s">
        <v>4599</v>
      </c>
      <c r="T768" s="235"/>
      <c r="U768" s="257"/>
      <c r="V768" s="258" t="s">
        <v>179</v>
      </c>
      <c r="W768" s="258" t="s">
        <v>179</v>
      </c>
      <c r="X768" s="259">
        <v>4</v>
      </c>
      <c r="Y768" s="251" t="s">
        <v>4600</v>
      </c>
      <c r="Z768" s="261"/>
      <c r="AA768" s="261" t="s">
        <v>181</v>
      </c>
      <c r="AB768" s="261"/>
      <c r="AC768" s="280"/>
      <c r="AD768" s="271"/>
      <c r="AE768" s="271"/>
      <c r="AF768" s="272"/>
      <c r="AG768" s="270"/>
      <c r="AH768" s="260"/>
      <c r="AI768" s="260"/>
      <c r="AJ768" s="258" t="s">
        <v>198</v>
      </c>
      <c r="AK768" s="258" t="s">
        <v>185</v>
      </c>
      <c r="AL768" s="258" t="s">
        <v>185</v>
      </c>
      <c r="AM768" s="244" t="s">
        <v>3854</v>
      </c>
      <c r="AN768" s="20">
        <v>182</v>
      </c>
      <c r="AO768" s="20">
        <v>0</v>
      </c>
      <c r="AP768" s="20">
        <v>20</v>
      </c>
      <c r="AQ768" s="20">
        <v>0</v>
      </c>
      <c r="AR768" s="20">
        <v>0</v>
      </c>
      <c r="AS768" s="20">
        <v>7</v>
      </c>
      <c r="AT768" s="20">
        <v>10</v>
      </c>
      <c r="AU768" s="300">
        <f t="shared" si="122"/>
        <v>219</v>
      </c>
      <c r="AV768" s="20">
        <v>190</v>
      </c>
      <c r="AW768" s="20">
        <v>0</v>
      </c>
      <c r="AX768" s="20">
        <v>20</v>
      </c>
      <c r="AY768" s="20">
        <v>0</v>
      </c>
      <c r="AZ768" s="20">
        <v>0</v>
      </c>
      <c r="BA768" s="20">
        <v>7</v>
      </c>
      <c r="BB768" s="20">
        <v>10</v>
      </c>
      <c r="BC768" s="300">
        <f t="shared" si="123"/>
        <v>227</v>
      </c>
      <c r="BD768" s="42">
        <f t="shared" si="124"/>
        <v>8</v>
      </c>
      <c r="BE768" s="42">
        <f t="shared" si="125"/>
        <v>0</v>
      </c>
      <c r="BF768" s="42">
        <f t="shared" si="126"/>
        <v>0</v>
      </c>
      <c r="BG768" s="42">
        <f t="shared" si="127"/>
        <v>0</v>
      </c>
      <c r="BH768" s="42">
        <f t="shared" si="128"/>
        <v>0</v>
      </c>
      <c r="BI768" s="42">
        <f t="shared" si="129"/>
        <v>0</v>
      </c>
      <c r="BJ768" s="42">
        <f t="shared" si="130"/>
        <v>0</v>
      </c>
      <c r="BK768" s="42">
        <f t="shared" si="131"/>
        <v>8</v>
      </c>
    </row>
    <row r="769" spans="1:63" ht="27" customHeight="1">
      <c r="A769" s="222">
        <f t="shared" si="132"/>
        <v>767</v>
      </c>
      <c r="B769" s="223"/>
      <c r="C769" s="250">
        <v>3212</v>
      </c>
      <c r="D769" s="225" t="s">
        <v>4601</v>
      </c>
      <c r="E769" s="251" t="s">
        <v>4602</v>
      </c>
      <c r="F769" s="252" t="s">
        <v>3108</v>
      </c>
      <c r="G769" s="253" t="s">
        <v>3038</v>
      </c>
      <c r="H769" s="229" t="s">
        <v>1159</v>
      </c>
      <c r="I769" s="230" t="s">
        <v>4111</v>
      </c>
      <c r="J769" s="254" t="s">
        <v>173</v>
      </c>
      <c r="K769" s="255">
        <v>35226</v>
      </c>
      <c r="L769" s="233" t="s">
        <v>174</v>
      </c>
      <c r="M769" s="256">
        <v>43742</v>
      </c>
      <c r="N769" s="256"/>
      <c r="O769" s="224" t="s">
        <v>3960</v>
      </c>
      <c r="P769" s="222" t="s">
        <v>3780</v>
      </c>
      <c r="Q769" s="222" t="s">
        <v>244</v>
      </c>
      <c r="R769" s="224" t="s">
        <v>177</v>
      </c>
      <c r="S769" s="224" t="s">
        <v>214</v>
      </c>
      <c r="T769" s="235"/>
      <c r="U769" s="257"/>
      <c r="V769" s="258" t="s">
        <v>179</v>
      </c>
      <c r="W769" s="258" t="s">
        <v>179</v>
      </c>
      <c r="X769" s="259">
        <v>6</v>
      </c>
      <c r="Y769" s="251" t="s">
        <v>4603</v>
      </c>
      <c r="Z769" s="261"/>
      <c r="AA769" s="261" t="s">
        <v>181</v>
      </c>
      <c r="AB769" s="258"/>
      <c r="AC769" s="280"/>
      <c r="AD769" s="271"/>
      <c r="AE769" s="271"/>
      <c r="AF769" s="272"/>
      <c r="AG769" s="270"/>
      <c r="AH769" s="260"/>
      <c r="AI769" s="260"/>
      <c r="AJ769" s="258" t="s">
        <v>198</v>
      </c>
      <c r="AK769" s="258" t="s">
        <v>185</v>
      </c>
      <c r="AL769" s="258" t="s">
        <v>185</v>
      </c>
      <c r="AM769" s="244" t="s">
        <v>3854</v>
      </c>
      <c r="AN769" s="20">
        <v>182</v>
      </c>
      <c r="AO769" s="20">
        <v>0</v>
      </c>
      <c r="AP769" s="20">
        <v>20</v>
      </c>
      <c r="AQ769" s="20">
        <v>0</v>
      </c>
      <c r="AR769" s="20">
        <v>0</v>
      </c>
      <c r="AS769" s="20">
        <v>7</v>
      </c>
      <c r="AT769" s="20">
        <v>10</v>
      </c>
      <c r="AU769" s="300">
        <f t="shared" si="122"/>
        <v>219</v>
      </c>
      <c r="AV769" s="20">
        <v>190</v>
      </c>
      <c r="AW769" s="20">
        <v>0</v>
      </c>
      <c r="AX769" s="20">
        <v>20</v>
      </c>
      <c r="AY769" s="20">
        <v>0</v>
      </c>
      <c r="AZ769" s="20">
        <v>0</v>
      </c>
      <c r="BA769" s="20">
        <v>7</v>
      </c>
      <c r="BB769" s="20">
        <v>10</v>
      </c>
      <c r="BC769" s="300">
        <f t="shared" si="123"/>
        <v>227</v>
      </c>
      <c r="BD769" s="42">
        <f t="shared" si="124"/>
        <v>8</v>
      </c>
      <c r="BE769" s="42">
        <f t="shared" si="125"/>
        <v>0</v>
      </c>
      <c r="BF769" s="42">
        <f t="shared" si="126"/>
        <v>0</v>
      </c>
      <c r="BG769" s="42">
        <f t="shared" si="127"/>
        <v>0</v>
      </c>
      <c r="BH769" s="42">
        <f t="shared" si="128"/>
        <v>0</v>
      </c>
      <c r="BI769" s="42">
        <f t="shared" si="129"/>
        <v>0</v>
      </c>
      <c r="BJ769" s="42">
        <f t="shared" si="130"/>
        <v>0</v>
      </c>
      <c r="BK769" s="42">
        <f t="shared" si="131"/>
        <v>8</v>
      </c>
    </row>
    <row r="770" spans="1:63" ht="27" customHeight="1">
      <c r="A770" s="222">
        <f t="shared" si="132"/>
        <v>768</v>
      </c>
      <c r="B770" s="223"/>
      <c r="C770" s="250">
        <v>3162</v>
      </c>
      <c r="D770" s="225" t="s">
        <v>4604</v>
      </c>
      <c r="E770" s="251" t="s">
        <v>4605</v>
      </c>
      <c r="F770" s="252" t="s">
        <v>3648</v>
      </c>
      <c r="G770" s="253" t="s">
        <v>4606</v>
      </c>
      <c r="H770" s="229" t="s">
        <v>4607</v>
      </c>
      <c r="I770" s="230" t="s">
        <v>4608</v>
      </c>
      <c r="J770" s="254" t="s">
        <v>173</v>
      </c>
      <c r="K770" s="255">
        <v>26368</v>
      </c>
      <c r="L770" s="233" t="s">
        <v>174</v>
      </c>
      <c r="M770" s="256">
        <v>43741</v>
      </c>
      <c r="N770" s="256"/>
      <c r="O770" s="224" t="s">
        <v>4076</v>
      </c>
      <c r="P770" s="222" t="s">
        <v>3633</v>
      </c>
      <c r="Q770" s="222" t="s">
        <v>244</v>
      </c>
      <c r="R770" s="224" t="s">
        <v>177</v>
      </c>
      <c r="S770" s="224" t="s">
        <v>214</v>
      </c>
      <c r="T770" s="235"/>
      <c r="U770" s="257"/>
      <c r="V770" s="258" t="s">
        <v>179</v>
      </c>
      <c r="W770" s="258" t="s">
        <v>179</v>
      </c>
      <c r="X770" s="259">
        <v>9</v>
      </c>
      <c r="Y770" s="251" t="s">
        <v>4609</v>
      </c>
      <c r="Z770" s="261"/>
      <c r="AA770" s="261" t="s">
        <v>181</v>
      </c>
      <c r="AB770" s="258"/>
      <c r="AC770" s="280"/>
      <c r="AD770" s="271"/>
      <c r="AE770" s="271"/>
      <c r="AF770" s="272"/>
      <c r="AG770" s="270"/>
      <c r="AH770" s="260"/>
      <c r="AI770" s="260"/>
      <c r="AJ770" s="258" t="s">
        <v>198</v>
      </c>
      <c r="AK770" s="258" t="s">
        <v>185</v>
      </c>
      <c r="AL770" s="258" t="s">
        <v>185</v>
      </c>
      <c r="AM770" s="244" t="s">
        <v>3854</v>
      </c>
      <c r="AN770" s="20">
        <v>182</v>
      </c>
      <c r="AO770" s="20">
        <v>0</v>
      </c>
      <c r="AP770" s="20">
        <v>20</v>
      </c>
      <c r="AQ770" s="20">
        <v>0</v>
      </c>
      <c r="AR770" s="20">
        <v>0</v>
      </c>
      <c r="AS770" s="20">
        <v>7</v>
      </c>
      <c r="AT770" s="20">
        <v>10</v>
      </c>
      <c r="AU770" s="300">
        <f t="shared" si="122"/>
        <v>219</v>
      </c>
      <c r="AV770" s="20">
        <v>190</v>
      </c>
      <c r="AW770" s="20">
        <v>0</v>
      </c>
      <c r="AX770" s="20">
        <v>20</v>
      </c>
      <c r="AY770" s="20">
        <v>0</v>
      </c>
      <c r="AZ770" s="20">
        <v>0</v>
      </c>
      <c r="BA770" s="20">
        <v>7</v>
      </c>
      <c r="BB770" s="20">
        <v>10</v>
      </c>
      <c r="BC770" s="300">
        <f t="shared" si="123"/>
        <v>227</v>
      </c>
      <c r="BD770" s="42">
        <f t="shared" si="124"/>
        <v>8</v>
      </c>
      <c r="BE770" s="42">
        <f t="shared" si="125"/>
        <v>0</v>
      </c>
      <c r="BF770" s="42">
        <f t="shared" si="126"/>
        <v>0</v>
      </c>
      <c r="BG770" s="42">
        <f t="shared" si="127"/>
        <v>0</v>
      </c>
      <c r="BH770" s="42">
        <f t="shared" si="128"/>
        <v>0</v>
      </c>
      <c r="BI770" s="42">
        <f t="shared" si="129"/>
        <v>0</v>
      </c>
      <c r="BJ770" s="42">
        <f t="shared" si="130"/>
        <v>0</v>
      </c>
      <c r="BK770" s="42">
        <f t="shared" si="131"/>
        <v>8</v>
      </c>
    </row>
    <row r="771" spans="1:63" ht="27" customHeight="1">
      <c r="A771" s="222">
        <f t="shared" si="132"/>
        <v>769</v>
      </c>
      <c r="B771" s="223"/>
      <c r="C771" s="250">
        <v>3291</v>
      </c>
      <c r="D771" s="225" t="s">
        <v>4610</v>
      </c>
      <c r="E771" s="251" t="s">
        <v>3641</v>
      </c>
      <c r="F771" s="252" t="s">
        <v>1809</v>
      </c>
      <c r="G771" s="253" t="s">
        <v>3642</v>
      </c>
      <c r="H771" s="229" t="s">
        <v>1811</v>
      </c>
      <c r="I771" s="230" t="s">
        <v>3643</v>
      </c>
      <c r="J771" s="254" t="s">
        <v>173</v>
      </c>
      <c r="K771" s="255">
        <v>35868</v>
      </c>
      <c r="L771" s="233" t="s">
        <v>174</v>
      </c>
      <c r="M771" s="256">
        <v>43746</v>
      </c>
      <c r="N771" s="256"/>
      <c r="O771" s="224" t="s">
        <v>3999</v>
      </c>
      <c r="P771" s="222" t="s">
        <v>3828</v>
      </c>
      <c r="Q771" s="222" t="s">
        <v>244</v>
      </c>
      <c r="R771" s="224" t="s">
        <v>177</v>
      </c>
      <c r="S771" s="224" t="s">
        <v>4197</v>
      </c>
      <c r="T771" s="235"/>
      <c r="U771" s="257"/>
      <c r="V771" s="258" t="s">
        <v>179</v>
      </c>
      <c r="W771" s="258" t="s">
        <v>179</v>
      </c>
      <c r="X771" s="259">
        <v>7</v>
      </c>
      <c r="Y771" s="251" t="s">
        <v>3646</v>
      </c>
      <c r="Z771" s="261"/>
      <c r="AA771" s="261" t="s">
        <v>181</v>
      </c>
      <c r="AB771" s="258"/>
      <c r="AC771" s="280"/>
      <c r="AD771" s="271"/>
      <c r="AE771" s="271"/>
      <c r="AF771" s="272"/>
      <c r="AG771" s="270"/>
      <c r="AH771" s="260"/>
      <c r="AI771" s="260"/>
      <c r="AJ771" s="258" t="s">
        <v>198</v>
      </c>
      <c r="AK771" s="258" t="s">
        <v>185</v>
      </c>
      <c r="AL771" s="258" t="s">
        <v>185</v>
      </c>
      <c r="AM771" s="244" t="s">
        <v>3854</v>
      </c>
      <c r="AN771" s="20">
        <v>182</v>
      </c>
      <c r="AO771" s="20">
        <v>0</v>
      </c>
      <c r="AP771" s="20">
        <v>20</v>
      </c>
      <c r="AQ771" s="20">
        <v>0</v>
      </c>
      <c r="AR771" s="20">
        <v>0</v>
      </c>
      <c r="AS771" s="20">
        <v>7</v>
      </c>
      <c r="AT771" s="20">
        <v>10</v>
      </c>
      <c r="AU771" s="300">
        <f t="shared" si="122"/>
        <v>219</v>
      </c>
      <c r="AV771" s="20">
        <v>190</v>
      </c>
      <c r="AW771" s="20">
        <v>0</v>
      </c>
      <c r="AX771" s="20">
        <v>20</v>
      </c>
      <c r="AY771" s="20">
        <v>0</v>
      </c>
      <c r="AZ771" s="20">
        <v>0</v>
      </c>
      <c r="BA771" s="20">
        <v>7</v>
      </c>
      <c r="BB771" s="20">
        <v>10</v>
      </c>
      <c r="BC771" s="300">
        <f t="shared" si="123"/>
        <v>227</v>
      </c>
      <c r="BD771" s="42">
        <f t="shared" si="124"/>
        <v>8</v>
      </c>
      <c r="BE771" s="42">
        <f t="shared" si="125"/>
        <v>0</v>
      </c>
      <c r="BF771" s="42">
        <f t="shared" si="126"/>
        <v>0</v>
      </c>
      <c r="BG771" s="42">
        <f t="shared" si="127"/>
        <v>0</v>
      </c>
      <c r="BH771" s="42">
        <f t="shared" si="128"/>
        <v>0</v>
      </c>
      <c r="BI771" s="42">
        <f t="shared" si="129"/>
        <v>0</v>
      </c>
      <c r="BJ771" s="42">
        <f t="shared" si="130"/>
        <v>0</v>
      </c>
      <c r="BK771" s="42">
        <f t="shared" si="131"/>
        <v>8</v>
      </c>
    </row>
    <row r="772" spans="1:63" ht="27" customHeight="1">
      <c r="A772" s="222">
        <f t="shared" si="132"/>
        <v>770</v>
      </c>
      <c r="B772" s="223"/>
      <c r="C772" s="250">
        <v>3169</v>
      </c>
      <c r="D772" s="225" t="s">
        <v>4611</v>
      </c>
      <c r="E772" s="251" t="s">
        <v>291</v>
      </c>
      <c r="F772" s="252" t="s">
        <v>2753</v>
      </c>
      <c r="G772" s="253" t="s">
        <v>1293</v>
      </c>
      <c r="H772" s="229" t="s">
        <v>4356</v>
      </c>
      <c r="I772" s="230" t="s">
        <v>1295</v>
      </c>
      <c r="J772" s="254" t="s">
        <v>173</v>
      </c>
      <c r="K772" s="255">
        <v>30109</v>
      </c>
      <c r="L772" s="233" t="s">
        <v>174</v>
      </c>
      <c r="M772" s="256">
        <v>43741</v>
      </c>
      <c r="N772" s="256"/>
      <c r="O772" s="224" t="s">
        <v>4076</v>
      </c>
      <c r="P772" s="222" t="s">
        <v>313</v>
      </c>
      <c r="Q772" s="222" t="s">
        <v>244</v>
      </c>
      <c r="R772" s="224" t="s">
        <v>177</v>
      </c>
      <c r="S772" s="224" t="s">
        <v>223</v>
      </c>
      <c r="T772" s="235"/>
      <c r="U772" s="257"/>
      <c r="V772" s="258" t="s">
        <v>179</v>
      </c>
      <c r="W772" s="258" t="s">
        <v>179</v>
      </c>
      <c r="X772" s="259">
        <v>6</v>
      </c>
      <c r="Y772" s="251" t="s">
        <v>4612</v>
      </c>
      <c r="Z772" s="261"/>
      <c r="AA772" s="261" t="s">
        <v>181</v>
      </c>
      <c r="AB772" s="258"/>
      <c r="AC772" s="280"/>
      <c r="AD772" s="271" t="s">
        <v>183</v>
      </c>
      <c r="AE772" s="271" t="s">
        <v>183</v>
      </c>
      <c r="AF772" s="272" t="s">
        <v>184</v>
      </c>
      <c r="AG772" s="270"/>
      <c r="AH772" s="260"/>
      <c r="AI772" s="260"/>
      <c r="AJ772" s="258" t="s">
        <v>198</v>
      </c>
      <c r="AK772" s="258" t="s">
        <v>185</v>
      </c>
      <c r="AL772" s="258" t="s">
        <v>185</v>
      </c>
      <c r="AM772" s="244" t="s">
        <v>3854</v>
      </c>
      <c r="AN772" s="20">
        <v>182</v>
      </c>
      <c r="AO772" s="20">
        <v>0</v>
      </c>
      <c r="AP772" s="20">
        <v>20</v>
      </c>
      <c r="AQ772" s="20">
        <v>0</v>
      </c>
      <c r="AR772" s="20">
        <v>0</v>
      </c>
      <c r="AS772" s="20">
        <v>7</v>
      </c>
      <c r="AT772" s="20">
        <v>10</v>
      </c>
      <c r="AU772" s="300">
        <f t="shared" ref="AU772:AU835" si="133">SUM(AN772:AT772)</f>
        <v>219</v>
      </c>
      <c r="AV772" s="20">
        <v>190</v>
      </c>
      <c r="AW772" s="20">
        <v>0</v>
      </c>
      <c r="AX772" s="20">
        <v>20</v>
      </c>
      <c r="AY772" s="20">
        <v>0</v>
      </c>
      <c r="AZ772" s="20">
        <v>0</v>
      </c>
      <c r="BA772" s="20">
        <v>7</v>
      </c>
      <c r="BB772" s="20">
        <v>10</v>
      </c>
      <c r="BC772" s="300">
        <f t="shared" ref="BC772:BC835" si="134">SUM(AV772:BB772)</f>
        <v>227</v>
      </c>
      <c r="BD772" s="42">
        <f t="shared" ref="BD772:BD835" si="135">AV772-AN772</f>
        <v>8</v>
      </c>
      <c r="BE772" s="42">
        <f t="shared" ref="BE772:BE835" si="136">AW772-AO772</f>
        <v>0</v>
      </c>
      <c r="BF772" s="42">
        <f t="shared" ref="BF772:BF835" si="137">AX772-AP772</f>
        <v>0</v>
      </c>
      <c r="BG772" s="42">
        <f t="shared" ref="BG772:BG835" si="138">AY772-AQ772</f>
        <v>0</v>
      </c>
      <c r="BH772" s="42">
        <f t="shared" ref="BH772:BH835" si="139">AZ772-AR772</f>
        <v>0</v>
      </c>
      <c r="BI772" s="42">
        <f t="shared" ref="BI772:BI835" si="140">BA772-AS772</f>
        <v>0</v>
      </c>
      <c r="BJ772" s="42">
        <f t="shared" ref="BJ772:BJ835" si="141">BB772-AT772</f>
        <v>0</v>
      </c>
      <c r="BK772" s="42">
        <f t="shared" ref="BK772:BK835" si="142">BC772-AU772</f>
        <v>8</v>
      </c>
    </row>
    <row r="773" spans="1:63" ht="27" customHeight="1">
      <c r="A773" s="222">
        <f t="shared" ref="A773:A836" si="143">1+A772</f>
        <v>771</v>
      </c>
      <c r="B773" s="223"/>
      <c r="C773" s="250">
        <v>3312</v>
      </c>
      <c r="D773" s="225" t="s">
        <v>4613</v>
      </c>
      <c r="E773" s="251" t="s">
        <v>4614</v>
      </c>
      <c r="F773" s="252" t="s">
        <v>3156</v>
      </c>
      <c r="G773" s="253" t="s">
        <v>4615</v>
      </c>
      <c r="H773" s="229" t="s">
        <v>4616</v>
      </c>
      <c r="I773" s="230" t="s">
        <v>4617</v>
      </c>
      <c r="J773" s="254" t="s">
        <v>173</v>
      </c>
      <c r="K773" s="255">
        <v>26818</v>
      </c>
      <c r="L773" s="233" t="s">
        <v>174</v>
      </c>
      <c r="M773" s="256">
        <v>43746</v>
      </c>
      <c r="N773" s="256"/>
      <c r="O773" s="224" t="s">
        <v>3960</v>
      </c>
      <c r="P773" s="222" t="s">
        <v>3780</v>
      </c>
      <c r="Q773" s="222" t="s">
        <v>244</v>
      </c>
      <c r="R773" s="224" t="s">
        <v>177</v>
      </c>
      <c r="S773" s="224" t="s">
        <v>326</v>
      </c>
      <c r="T773" s="235"/>
      <c r="U773" s="257"/>
      <c r="V773" s="258" t="s">
        <v>179</v>
      </c>
      <c r="W773" s="258" t="s">
        <v>179</v>
      </c>
      <c r="X773" s="259">
        <v>7</v>
      </c>
      <c r="Y773" s="251" t="s">
        <v>4618</v>
      </c>
      <c r="Z773" s="261"/>
      <c r="AA773" s="261" t="s">
        <v>181</v>
      </c>
      <c r="AB773" s="258"/>
      <c r="AC773" s="280"/>
      <c r="AD773" s="271"/>
      <c r="AE773" s="271"/>
      <c r="AF773" s="272"/>
      <c r="AG773" s="270"/>
      <c r="AH773" s="260"/>
      <c r="AI773" s="260"/>
      <c r="AJ773" s="258" t="s">
        <v>198</v>
      </c>
      <c r="AK773" s="258" t="s">
        <v>185</v>
      </c>
      <c r="AL773" s="258" t="s">
        <v>185</v>
      </c>
      <c r="AM773" s="273" t="s">
        <v>4619</v>
      </c>
      <c r="AN773" s="20">
        <v>182</v>
      </c>
      <c r="AO773" s="20">
        <v>0</v>
      </c>
      <c r="AP773" s="20">
        <v>20</v>
      </c>
      <c r="AQ773" s="20">
        <v>0</v>
      </c>
      <c r="AR773" s="20">
        <v>0</v>
      </c>
      <c r="AS773" s="20">
        <v>7</v>
      </c>
      <c r="AT773" s="20">
        <v>10</v>
      </c>
      <c r="AU773" s="300">
        <f t="shared" si="133"/>
        <v>219</v>
      </c>
      <c r="AV773" s="20">
        <v>190</v>
      </c>
      <c r="AW773" s="20">
        <v>0</v>
      </c>
      <c r="AX773" s="20">
        <v>20</v>
      </c>
      <c r="AY773" s="20">
        <v>0</v>
      </c>
      <c r="AZ773" s="20">
        <v>0</v>
      </c>
      <c r="BA773" s="20">
        <v>7</v>
      </c>
      <c r="BB773" s="20">
        <v>10</v>
      </c>
      <c r="BC773" s="300">
        <f t="shared" si="134"/>
        <v>227</v>
      </c>
      <c r="BD773" s="42">
        <f t="shared" si="135"/>
        <v>8</v>
      </c>
      <c r="BE773" s="42">
        <f t="shared" si="136"/>
        <v>0</v>
      </c>
      <c r="BF773" s="42">
        <f t="shared" si="137"/>
        <v>0</v>
      </c>
      <c r="BG773" s="42">
        <f t="shared" si="138"/>
        <v>0</v>
      </c>
      <c r="BH773" s="42">
        <f t="shared" si="139"/>
        <v>0</v>
      </c>
      <c r="BI773" s="42">
        <f t="shared" si="140"/>
        <v>0</v>
      </c>
      <c r="BJ773" s="42">
        <f t="shared" si="141"/>
        <v>0</v>
      </c>
      <c r="BK773" s="42">
        <f t="shared" si="142"/>
        <v>8</v>
      </c>
    </row>
    <row r="774" spans="1:63" ht="27" customHeight="1">
      <c r="A774" s="222">
        <f t="shared" si="143"/>
        <v>772</v>
      </c>
      <c r="B774" s="223"/>
      <c r="C774" s="250">
        <v>3148</v>
      </c>
      <c r="D774" s="225" t="s">
        <v>4620</v>
      </c>
      <c r="E774" s="251" t="s">
        <v>4621</v>
      </c>
      <c r="F774" s="252" t="s">
        <v>899</v>
      </c>
      <c r="G774" s="253" t="s">
        <v>4440</v>
      </c>
      <c r="H774" s="229" t="s">
        <v>901</v>
      </c>
      <c r="I774" s="230" t="s">
        <v>4622</v>
      </c>
      <c r="J774" s="254" t="s">
        <v>173</v>
      </c>
      <c r="K774" s="255">
        <v>30836</v>
      </c>
      <c r="L774" s="233" t="s">
        <v>174</v>
      </c>
      <c r="M774" s="256">
        <v>43740</v>
      </c>
      <c r="N774" s="256"/>
      <c r="O774" s="224" t="s">
        <v>4176</v>
      </c>
      <c r="P774" s="222" t="s">
        <v>277</v>
      </c>
      <c r="Q774" s="222" t="s">
        <v>244</v>
      </c>
      <c r="R774" s="224" t="s">
        <v>177</v>
      </c>
      <c r="S774" s="224" t="s">
        <v>206</v>
      </c>
      <c r="T774" s="235"/>
      <c r="U774" s="257"/>
      <c r="V774" s="258" t="s">
        <v>179</v>
      </c>
      <c r="W774" s="258" t="s">
        <v>179</v>
      </c>
      <c r="X774" s="266">
        <v>0</v>
      </c>
      <c r="Y774" s="251"/>
      <c r="Z774" s="261"/>
      <c r="AA774" s="261" t="s">
        <v>181</v>
      </c>
      <c r="AB774" s="258"/>
      <c r="AC774" s="280"/>
      <c r="AD774" s="271"/>
      <c r="AE774" s="271"/>
      <c r="AF774" s="272"/>
      <c r="AG774" s="270"/>
      <c r="AH774" s="260"/>
      <c r="AI774" s="260"/>
      <c r="AJ774" s="258" t="s">
        <v>198</v>
      </c>
      <c r="AK774" s="258" t="s">
        <v>185</v>
      </c>
      <c r="AL774" s="258" t="s">
        <v>185</v>
      </c>
      <c r="AM774" s="244" t="s">
        <v>3854</v>
      </c>
      <c r="AN774" s="20">
        <v>182</v>
      </c>
      <c r="AO774" s="20">
        <v>0</v>
      </c>
      <c r="AP774" s="20">
        <v>20</v>
      </c>
      <c r="AQ774" s="20">
        <v>0</v>
      </c>
      <c r="AR774" s="20">
        <v>0</v>
      </c>
      <c r="AS774" s="20">
        <v>7</v>
      </c>
      <c r="AT774" s="20">
        <v>10</v>
      </c>
      <c r="AU774" s="300">
        <f t="shared" si="133"/>
        <v>219</v>
      </c>
      <c r="AV774" s="20">
        <v>190</v>
      </c>
      <c r="AW774" s="20">
        <v>0</v>
      </c>
      <c r="AX774" s="20">
        <v>20</v>
      </c>
      <c r="AY774" s="20">
        <v>0</v>
      </c>
      <c r="AZ774" s="20">
        <v>0</v>
      </c>
      <c r="BA774" s="20">
        <v>7</v>
      </c>
      <c r="BB774" s="20">
        <v>10</v>
      </c>
      <c r="BC774" s="300">
        <f t="shared" si="134"/>
        <v>227</v>
      </c>
      <c r="BD774" s="42">
        <f t="shared" si="135"/>
        <v>8</v>
      </c>
      <c r="BE774" s="42">
        <f t="shared" si="136"/>
        <v>0</v>
      </c>
      <c r="BF774" s="42">
        <f t="shared" si="137"/>
        <v>0</v>
      </c>
      <c r="BG774" s="42">
        <f t="shared" si="138"/>
        <v>0</v>
      </c>
      <c r="BH774" s="42">
        <f t="shared" si="139"/>
        <v>0</v>
      </c>
      <c r="BI774" s="42">
        <f t="shared" si="140"/>
        <v>0</v>
      </c>
      <c r="BJ774" s="42">
        <f t="shared" si="141"/>
        <v>0</v>
      </c>
      <c r="BK774" s="42">
        <f t="shared" si="142"/>
        <v>8</v>
      </c>
    </row>
    <row r="775" spans="1:63" ht="27" customHeight="1">
      <c r="A775" s="222">
        <f t="shared" si="143"/>
        <v>773</v>
      </c>
      <c r="B775" s="223"/>
      <c r="C775" s="250">
        <v>3145</v>
      </c>
      <c r="D775" s="225" t="s">
        <v>4623</v>
      </c>
      <c r="E775" s="251" t="s">
        <v>4624</v>
      </c>
      <c r="F775" s="252" t="s">
        <v>736</v>
      </c>
      <c r="G775" s="253" t="s">
        <v>1844</v>
      </c>
      <c r="H775" s="229" t="s">
        <v>4625</v>
      </c>
      <c r="I775" s="230" t="s">
        <v>1846</v>
      </c>
      <c r="J775" s="254" t="s">
        <v>173</v>
      </c>
      <c r="K775" s="256">
        <v>36819</v>
      </c>
      <c r="L775" s="233" t="s">
        <v>174</v>
      </c>
      <c r="M775" s="256">
        <v>43740</v>
      </c>
      <c r="N775" s="256"/>
      <c r="O775" s="224" t="s">
        <v>4071</v>
      </c>
      <c r="P775" s="222" t="s">
        <v>1380</v>
      </c>
      <c r="Q775" s="222" t="s">
        <v>244</v>
      </c>
      <c r="R775" s="224" t="s">
        <v>177</v>
      </c>
      <c r="S775" s="224" t="s">
        <v>206</v>
      </c>
      <c r="T775" s="235"/>
      <c r="U775" s="257"/>
      <c r="V775" s="258" t="s">
        <v>179</v>
      </c>
      <c r="W775" s="258" t="s">
        <v>179</v>
      </c>
      <c r="X775" s="259">
        <v>12</v>
      </c>
      <c r="Y775" s="281" t="s">
        <v>4626</v>
      </c>
      <c r="Z775" s="261" t="s">
        <v>181</v>
      </c>
      <c r="AA775" s="261"/>
      <c r="AB775" s="258"/>
      <c r="AC775" s="280"/>
      <c r="AD775" s="271"/>
      <c r="AE775" s="271"/>
      <c r="AF775" s="270"/>
      <c r="AG775" s="270"/>
      <c r="AH775" s="282"/>
      <c r="AI775" s="282"/>
      <c r="AJ775" s="258" t="s">
        <v>198</v>
      </c>
      <c r="AK775" s="258" t="s">
        <v>185</v>
      </c>
      <c r="AL775" s="258" t="s">
        <v>185</v>
      </c>
      <c r="AM775" s="244" t="s">
        <v>3854</v>
      </c>
      <c r="AN775" s="20">
        <v>182</v>
      </c>
      <c r="AO775" s="20">
        <v>0</v>
      </c>
      <c r="AP775" s="20">
        <v>20</v>
      </c>
      <c r="AQ775" s="20">
        <v>0</v>
      </c>
      <c r="AR775" s="20">
        <v>0</v>
      </c>
      <c r="AS775" s="20">
        <v>7</v>
      </c>
      <c r="AT775" s="20">
        <v>10</v>
      </c>
      <c r="AU775" s="300">
        <f t="shared" si="133"/>
        <v>219</v>
      </c>
      <c r="AV775" s="20">
        <v>190</v>
      </c>
      <c r="AW775" s="20">
        <v>0</v>
      </c>
      <c r="AX775" s="20">
        <v>20</v>
      </c>
      <c r="AY775" s="20">
        <v>0</v>
      </c>
      <c r="AZ775" s="20">
        <v>0</v>
      </c>
      <c r="BA775" s="20">
        <v>7</v>
      </c>
      <c r="BB775" s="20">
        <v>10</v>
      </c>
      <c r="BC775" s="300">
        <f t="shared" si="134"/>
        <v>227</v>
      </c>
      <c r="BD775" s="42">
        <f t="shared" si="135"/>
        <v>8</v>
      </c>
      <c r="BE775" s="42">
        <f t="shared" si="136"/>
        <v>0</v>
      </c>
      <c r="BF775" s="42">
        <f t="shared" si="137"/>
        <v>0</v>
      </c>
      <c r="BG775" s="42">
        <f t="shared" si="138"/>
        <v>0</v>
      </c>
      <c r="BH775" s="42">
        <f t="shared" si="139"/>
        <v>0</v>
      </c>
      <c r="BI775" s="42">
        <f t="shared" si="140"/>
        <v>0</v>
      </c>
      <c r="BJ775" s="42">
        <f t="shared" si="141"/>
        <v>0</v>
      </c>
      <c r="BK775" s="42">
        <f t="shared" si="142"/>
        <v>8</v>
      </c>
    </row>
    <row r="776" spans="1:63" ht="27" customHeight="1">
      <c r="A776" s="222">
        <f t="shared" si="143"/>
        <v>774</v>
      </c>
      <c r="B776" s="223"/>
      <c r="C776" s="250">
        <v>3194</v>
      </c>
      <c r="D776" s="225" t="s">
        <v>4627</v>
      </c>
      <c r="E776" s="251" t="s">
        <v>4628</v>
      </c>
      <c r="F776" s="252" t="s">
        <v>522</v>
      </c>
      <c r="G776" s="253" t="s">
        <v>4629</v>
      </c>
      <c r="H776" s="229" t="s">
        <v>524</v>
      </c>
      <c r="I776" s="230" t="s">
        <v>4630</v>
      </c>
      <c r="J776" s="254" t="s">
        <v>173</v>
      </c>
      <c r="K776" s="255">
        <v>34584</v>
      </c>
      <c r="L776" s="233" t="s">
        <v>174</v>
      </c>
      <c r="M776" s="256">
        <v>43742</v>
      </c>
      <c r="N776" s="256"/>
      <c r="O776" s="224" t="s">
        <v>4071</v>
      </c>
      <c r="P776" s="222" t="s">
        <v>1380</v>
      </c>
      <c r="Q776" s="222" t="s">
        <v>244</v>
      </c>
      <c r="R776" s="224" t="s">
        <v>177</v>
      </c>
      <c r="S776" s="224" t="s">
        <v>251</v>
      </c>
      <c r="T776" s="235"/>
      <c r="U776" s="257"/>
      <c r="V776" s="258" t="s">
        <v>179</v>
      </c>
      <c r="W776" s="258" t="s">
        <v>179</v>
      </c>
      <c r="X776" s="259">
        <v>5</v>
      </c>
      <c r="Y776" s="251" t="s">
        <v>4631</v>
      </c>
      <c r="Z776" s="261" t="s">
        <v>181</v>
      </c>
      <c r="AA776" s="261"/>
      <c r="AB776" s="258"/>
      <c r="AC776" s="280"/>
      <c r="AD776" s="271"/>
      <c r="AE776" s="271"/>
      <c r="AF776" s="272"/>
      <c r="AG776" s="270"/>
      <c r="AH776" s="260"/>
      <c r="AI776" s="260"/>
      <c r="AJ776" s="258" t="s">
        <v>198</v>
      </c>
      <c r="AK776" s="258" t="s">
        <v>185</v>
      </c>
      <c r="AL776" s="258" t="s">
        <v>185</v>
      </c>
      <c r="AM776" s="244" t="s">
        <v>3854</v>
      </c>
      <c r="AN776" s="20">
        <v>182</v>
      </c>
      <c r="AO776" s="20">
        <v>0</v>
      </c>
      <c r="AP776" s="20">
        <v>0</v>
      </c>
      <c r="AQ776" s="20">
        <v>0</v>
      </c>
      <c r="AR776" s="20">
        <v>0</v>
      </c>
      <c r="AS776" s="20">
        <v>7</v>
      </c>
      <c r="AT776" s="20">
        <v>10</v>
      </c>
      <c r="AU776" s="300">
        <f t="shared" si="133"/>
        <v>199</v>
      </c>
      <c r="AV776" s="20">
        <v>190</v>
      </c>
      <c r="AW776" s="20">
        <v>0</v>
      </c>
      <c r="AX776" s="20">
        <v>0</v>
      </c>
      <c r="AY776" s="20">
        <v>0</v>
      </c>
      <c r="AZ776" s="20">
        <v>0</v>
      </c>
      <c r="BA776" s="20">
        <v>7</v>
      </c>
      <c r="BB776" s="20">
        <v>10</v>
      </c>
      <c r="BC776" s="300">
        <f t="shared" si="134"/>
        <v>207</v>
      </c>
      <c r="BD776" s="42">
        <f t="shared" si="135"/>
        <v>8</v>
      </c>
      <c r="BE776" s="42">
        <f t="shared" si="136"/>
        <v>0</v>
      </c>
      <c r="BF776" s="42">
        <f t="shared" si="137"/>
        <v>0</v>
      </c>
      <c r="BG776" s="42">
        <f t="shared" si="138"/>
        <v>0</v>
      </c>
      <c r="BH776" s="42">
        <f t="shared" si="139"/>
        <v>0</v>
      </c>
      <c r="BI776" s="42">
        <f t="shared" si="140"/>
        <v>0</v>
      </c>
      <c r="BJ776" s="42">
        <f t="shared" si="141"/>
        <v>0</v>
      </c>
      <c r="BK776" s="42">
        <f t="shared" si="142"/>
        <v>8</v>
      </c>
    </row>
    <row r="777" spans="1:63" ht="27" customHeight="1">
      <c r="A777" s="222">
        <f t="shared" si="143"/>
        <v>775</v>
      </c>
      <c r="B777" s="223"/>
      <c r="C777" s="250">
        <v>3207</v>
      </c>
      <c r="D777" s="225" t="s">
        <v>4632</v>
      </c>
      <c r="E777" s="251" t="s">
        <v>4633</v>
      </c>
      <c r="F777" s="252" t="s">
        <v>4634</v>
      </c>
      <c r="G777" s="253" t="s">
        <v>1572</v>
      </c>
      <c r="H777" s="229" t="s">
        <v>4635</v>
      </c>
      <c r="I777" s="230" t="s">
        <v>1574</v>
      </c>
      <c r="J777" s="254" t="s">
        <v>173</v>
      </c>
      <c r="K777" s="255">
        <v>31945</v>
      </c>
      <c r="L777" s="233" t="s">
        <v>174</v>
      </c>
      <c r="M777" s="256">
        <v>43741</v>
      </c>
      <c r="N777" s="256"/>
      <c r="O777" s="224" t="s">
        <v>4076</v>
      </c>
      <c r="P777" s="222" t="s">
        <v>313</v>
      </c>
      <c r="Q777" s="222" t="s">
        <v>244</v>
      </c>
      <c r="R777" s="224" t="s">
        <v>177</v>
      </c>
      <c r="S777" s="224" t="s">
        <v>206</v>
      </c>
      <c r="T777" s="235"/>
      <c r="U777" s="257"/>
      <c r="V777" s="258" t="s">
        <v>179</v>
      </c>
      <c r="W777" s="258" t="s">
        <v>179</v>
      </c>
      <c r="X777" s="259">
        <v>5</v>
      </c>
      <c r="Y777" s="251" t="s">
        <v>4636</v>
      </c>
      <c r="Z777" s="261"/>
      <c r="AA777" s="261" t="s">
        <v>181</v>
      </c>
      <c r="AB777" s="261"/>
      <c r="AC777" s="280"/>
      <c r="AD777" s="271"/>
      <c r="AE777" s="271"/>
      <c r="AF777" s="272"/>
      <c r="AG777" s="270"/>
      <c r="AH777" s="260"/>
      <c r="AI777" s="260"/>
      <c r="AJ777" s="258" t="s">
        <v>198</v>
      </c>
      <c r="AK777" s="258" t="s">
        <v>185</v>
      </c>
      <c r="AL777" s="258" t="s">
        <v>185</v>
      </c>
      <c r="AM777" s="244" t="s">
        <v>3854</v>
      </c>
      <c r="AN777" s="20">
        <v>182</v>
      </c>
      <c r="AO777" s="20">
        <v>0</v>
      </c>
      <c r="AP777" s="20">
        <v>20</v>
      </c>
      <c r="AQ777" s="20">
        <v>0</v>
      </c>
      <c r="AR777" s="20">
        <v>0</v>
      </c>
      <c r="AS777" s="20">
        <v>7</v>
      </c>
      <c r="AT777" s="20">
        <v>10</v>
      </c>
      <c r="AU777" s="300">
        <f t="shared" si="133"/>
        <v>219</v>
      </c>
      <c r="AV777" s="20">
        <v>190</v>
      </c>
      <c r="AW777" s="20">
        <v>0</v>
      </c>
      <c r="AX777" s="20">
        <v>20</v>
      </c>
      <c r="AY777" s="20">
        <v>0</v>
      </c>
      <c r="AZ777" s="20">
        <v>0</v>
      </c>
      <c r="BA777" s="20">
        <v>7</v>
      </c>
      <c r="BB777" s="20">
        <v>10</v>
      </c>
      <c r="BC777" s="300">
        <f t="shared" si="134"/>
        <v>227</v>
      </c>
      <c r="BD777" s="42">
        <f t="shared" si="135"/>
        <v>8</v>
      </c>
      <c r="BE777" s="42">
        <f t="shared" si="136"/>
        <v>0</v>
      </c>
      <c r="BF777" s="42">
        <f t="shared" si="137"/>
        <v>0</v>
      </c>
      <c r="BG777" s="42">
        <f t="shared" si="138"/>
        <v>0</v>
      </c>
      <c r="BH777" s="42">
        <f t="shared" si="139"/>
        <v>0</v>
      </c>
      <c r="BI777" s="42">
        <f t="shared" si="140"/>
        <v>0</v>
      </c>
      <c r="BJ777" s="42">
        <f t="shared" si="141"/>
        <v>0</v>
      </c>
      <c r="BK777" s="42">
        <f t="shared" si="142"/>
        <v>8</v>
      </c>
    </row>
    <row r="778" spans="1:63" ht="27" customHeight="1">
      <c r="A778" s="222">
        <f t="shared" si="143"/>
        <v>776</v>
      </c>
      <c r="B778" s="223"/>
      <c r="C778" s="250">
        <v>3524</v>
      </c>
      <c r="D778" s="225" t="s">
        <v>4637</v>
      </c>
      <c r="E778" s="251" t="s">
        <v>4638</v>
      </c>
      <c r="F778" s="252" t="s">
        <v>4639</v>
      </c>
      <c r="G778" s="253" t="s">
        <v>4640</v>
      </c>
      <c r="H778" s="229" t="s">
        <v>4641</v>
      </c>
      <c r="I778" s="230" t="s">
        <v>4642</v>
      </c>
      <c r="J778" s="254" t="s">
        <v>173</v>
      </c>
      <c r="K778" s="255">
        <v>31101</v>
      </c>
      <c r="L778" s="233" t="s">
        <v>174</v>
      </c>
      <c r="M778" s="256">
        <v>43746</v>
      </c>
      <c r="N778" s="256"/>
      <c r="O778" s="224"/>
      <c r="P778" s="222" t="s">
        <v>1380</v>
      </c>
      <c r="Q778" s="222" t="s">
        <v>244</v>
      </c>
      <c r="R778" s="224" t="s">
        <v>177</v>
      </c>
      <c r="S778" s="224" t="s">
        <v>206</v>
      </c>
      <c r="T778" s="235"/>
      <c r="U778" s="257"/>
      <c r="V778" s="258" t="s">
        <v>179</v>
      </c>
      <c r="W778" s="258" t="s">
        <v>179</v>
      </c>
      <c r="X778" s="259">
        <v>4</v>
      </c>
      <c r="Y778" s="251" t="s">
        <v>4643</v>
      </c>
      <c r="Z778" s="261"/>
      <c r="AA778" s="261"/>
      <c r="AB778" s="261"/>
      <c r="AC778" s="280"/>
      <c r="AD778" s="271"/>
      <c r="AE778" s="271"/>
      <c r="AF778" s="272"/>
      <c r="AG778" s="270"/>
      <c r="AH778" s="260"/>
      <c r="AI778" s="260"/>
      <c r="AJ778" s="258" t="s">
        <v>185</v>
      </c>
      <c r="AK778" s="258" t="s">
        <v>185</v>
      </c>
      <c r="AL778" s="258" t="s">
        <v>185</v>
      </c>
      <c r="AM778" s="273" t="s">
        <v>3962</v>
      </c>
      <c r="AN778" s="20">
        <v>182</v>
      </c>
      <c r="AO778" s="20">
        <v>0</v>
      </c>
      <c r="AP778" s="20">
        <v>20</v>
      </c>
      <c r="AQ778" s="20">
        <v>0</v>
      </c>
      <c r="AR778" s="20">
        <v>0</v>
      </c>
      <c r="AS778" s="20">
        <v>7</v>
      </c>
      <c r="AT778" s="20">
        <v>10</v>
      </c>
      <c r="AU778" s="300">
        <f t="shared" si="133"/>
        <v>219</v>
      </c>
      <c r="AV778" s="20">
        <v>190</v>
      </c>
      <c r="AW778" s="20">
        <v>0</v>
      </c>
      <c r="AX778" s="20">
        <v>20</v>
      </c>
      <c r="AY778" s="20">
        <v>0</v>
      </c>
      <c r="AZ778" s="20">
        <v>0</v>
      </c>
      <c r="BA778" s="20">
        <v>7</v>
      </c>
      <c r="BB778" s="20">
        <v>10</v>
      </c>
      <c r="BC778" s="300">
        <f t="shared" si="134"/>
        <v>227</v>
      </c>
      <c r="BD778" s="42">
        <f t="shared" si="135"/>
        <v>8</v>
      </c>
      <c r="BE778" s="42">
        <f t="shared" si="136"/>
        <v>0</v>
      </c>
      <c r="BF778" s="42">
        <f t="shared" si="137"/>
        <v>0</v>
      </c>
      <c r="BG778" s="42">
        <f t="shared" si="138"/>
        <v>0</v>
      </c>
      <c r="BH778" s="42">
        <f t="shared" si="139"/>
        <v>0</v>
      </c>
      <c r="BI778" s="42">
        <f t="shared" si="140"/>
        <v>0</v>
      </c>
      <c r="BJ778" s="42">
        <f t="shared" si="141"/>
        <v>0</v>
      </c>
      <c r="BK778" s="42">
        <f t="shared" si="142"/>
        <v>8</v>
      </c>
    </row>
    <row r="779" spans="1:63" ht="27" customHeight="1">
      <c r="A779" s="222">
        <f t="shared" si="143"/>
        <v>777</v>
      </c>
      <c r="B779" s="223"/>
      <c r="C779" s="250">
        <v>3570</v>
      </c>
      <c r="D779" s="268">
        <v>0</v>
      </c>
      <c r="E779" s="251" t="s">
        <v>291</v>
      </c>
      <c r="F779" s="252" t="s">
        <v>4169</v>
      </c>
      <c r="G779" s="253" t="s">
        <v>1149</v>
      </c>
      <c r="H779" s="229">
        <v>0</v>
      </c>
      <c r="I779" s="230">
        <v>0</v>
      </c>
      <c r="J779" s="254" t="s">
        <v>173</v>
      </c>
      <c r="K779" s="255">
        <v>32887</v>
      </c>
      <c r="L779" s="233" t="s">
        <v>174</v>
      </c>
      <c r="M779" s="256">
        <v>43748</v>
      </c>
      <c r="N779" s="256"/>
      <c r="O779" s="224" t="s">
        <v>4019</v>
      </c>
      <c r="P779" s="222" t="s">
        <v>3629</v>
      </c>
      <c r="Q779" s="222" t="s">
        <v>244</v>
      </c>
      <c r="R779" s="224" t="s">
        <v>177</v>
      </c>
      <c r="S779" s="224" t="s">
        <v>223</v>
      </c>
      <c r="T779" s="235"/>
      <c r="U779" s="257"/>
      <c r="V779" s="258" t="s">
        <v>179</v>
      </c>
      <c r="W779" s="258">
        <v>357</v>
      </c>
      <c r="X779" s="259"/>
      <c r="Y779" s="251" t="s">
        <v>4644</v>
      </c>
      <c r="Z779" s="261"/>
      <c r="AA779" s="261" t="s">
        <v>181</v>
      </c>
      <c r="AB779" s="261"/>
      <c r="AC779" s="280" t="s">
        <v>1186</v>
      </c>
      <c r="AD779" s="271"/>
      <c r="AE779" s="271"/>
      <c r="AF779" s="272"/>
      <c r="AG779" s="270"/>
      <c r="AH779" s="260"/>
      <c r="AI779" s="260"/>
      <c r="AJ779" s="258" t="s">
        <v>198</v>
      </c>
      <c r="AK779" s="258" t="s">
        <v>185</v>
      </c>
      <c r="AL779" s="258" t="s">
        <v>185</v>
      </c>
      <c r="AM779" s="244" t="s">
        <v>236</v>
      </c>
      <c r="AN779" s="20">
        <v>182</v>
      </c>
      <c r="AO779" s="20">
        <v>0</v>
      </c>
      <c r="AP779" s="20">
        <v>0</v>
      </c>
      <c r="AQ779" s="20">
        <v>0</v>
      </c>
      <c r="AR779" s="20">
        <v>0</v>
      </c>
      <c r="AS779" s="20">
        <v>7</v>
      </c>
      <c r="AT779" s="20">
        <v>10</v>
      </c>
      <c r="AU779" s="300">
        <f t="shared" si="133"/>
        <v>199</v>
      </c>
      <c r="AV779" s="20">
        <v>190</v>
      </c>
      <c r="AW779" s="20">
        <v>0</v>
      </c>
      <c r="AX779" s="20">
        <v>0</v>
      </c>
      <c r="AY779" s="20">
        <v>0</v>
      </c>
      <c r="AZ779" s="20">
        <v>0</v>
      </c>
      <c r="BA779" s="20">
        <v>7</v>
      </c>
      <c r="BB779" s="20">
        <v>10</v>
      </c>
      <c r="BC779" s="300">
        <f t="shared" si="134"/>
        <v>207</v>
      </c>
      <c r="BD779" s="42">
        <f t="shared" si="135"/>
        <v>8</v>
      </c>
      <c r="BE779" s="42">
        <f t="shared" si="136"/>
        <v>0</v>
      </c>
      <c r="BF779" s="42">
        <f t="shared" si="137"/>
        <v>0</v>
      </c>
      <c r="BG779" s="42">
        <f t="shared" si="138"/>
        <v>0</v>
      </c>
      <c r="BH779" s="42">
        <f t="shared" si="139"/>
        <v>0</v>
      </c>
      <c r="BI779" s="42">
        <f t="shared" si="140"/>
        <v>0</v>
      </c>
      <c r="BJ779" s="42">
        <f t="shared" si="141"/>
        <v>0</v>
      </c>
      <c r="BK779" s="42">
        <f t="shared" si="142"/>
        <v>8</v>
      </c>
    </row>
    <row r="780" spans="1:63" ht="27" customHeight="1">
      <c r="A780" s="222">
        <f t="shared" si="143"/>
        <v>778</v>
      </c>
      <c r="B780" s="223"/>
      <c r="C780" s="250">
        <v>3146</v>
      </c>
      <c r="D780" s="225" t="s">
        <v>4645</v>
      </c>
      <c r="E780" s="251" t="s">
        <v>4646</v>
      </c>
      <c r="F780" s="252" t="s">
        <v>958</v>
      </c>
      <c r="G780" s="253" t="s">
        <v>4647</v>
      </c>
      <c r="H780" s="229" t="s">
        <v>959</v>
      </c>
      <c r="I780" s="230" t="s">
        <v>365</v>
      </c>
      <c r="J780" s="254" t="s">
        <v>173</v>
      </c>
      <c r="K780" s="255">
        <v>28676</v>
      </c>
      <c r="L780" s="233" t="s">
        <v>174</v>
      </c>
      <c r="M780" s="256">
        <v>43740</v>
      </c>
      <c r="N780" s="256"/>
      <c r="O780" s="224" t="s">
        <v>4019</v>
      </c>
      <c r="P780" s="222" t="s">
        <v>3749</v>
      </c>
      <c r="Q780" s="222" t="s">
        <v>244</v>
      </c>
      <c r="R780" s="224" t="s">
        <v>177</v>
      </c>
      <c r="S780" s="283" t="s">
        <v>206</v>
      </c>
      <c r="T780" s="235"/>
      <c r="U780" s="257"/>
      <c r="V780" s="258" t="s">
        <v>179</v>
      </c>
      <c r="W780" s="258" t="s">
        <v>179</v>
      </c>
      <c r="X780" s="259">
        <v>5</v>
      </c>
      <c r="Y780" s="251" t="s">
        <v>4648</v>
      </c>
      <c r="Z780" s="261"/>
      <c r="AA780" s="261" t="s">
        <v>181</v>
      </c>
      <c r="AB780" s="258"/>
      <c r="AC780" s="280"/>
      <c r="AD780" s="271"/>
      <c r="AE780" s="271"/>
      <c r="AF780" s="272"/>
      <c r="AG780" s="270"/>
      <c r="AH780" s="260"/>
      <c r="AI780" s="260"/>
      <c r="AJ780" s="258" t="s">
        <v>198</v>
      </c>
      <c r="AK780" s="258" t="s">
        <v>185</v>
      </c>
      <c r="AL780" s="258" t="s">
        <v>185</v>
      </c>
      <c r="AM780" s="244" t="s">
        <v>3854</v>
      </c>
      <c r="AN780" s="20">
        <v>182</v>
      </c>
      <c r="AO780" s="20">
        <v>0</v>
      </c>
      <c r="AP780" s="20">
        <v>20</v>
      </c>
      <c r="AQ780" s="20">
        <v>0</v>
      </c>
      <c r="AR780" s="20">
        <v>0</v>
      </c>
      <c r="AS780" s="20">
        <v>7</v>
      </c>
      <c r="AT780" s="20">
        <v>10</v>
      </c>
      <c r="AU780" s="300">
        <f t="shared" si="133"/>
        <v>219</v>
      </c>
      <c r="AV780" s="20">
        <v>190</v>
      </c>
      <c r="AW780" s="20">
        <v>0</v>
      </c>
      <c r="AX780" s="20">
        <v>20</v>
      </c>
      <c r="AY780" s="20">
        <v>0</v>
      </c>
      <c r="AZ780" s="20">
        <v>0</v>
      </c>
      <c r="BA780" s="20">
        <v>7</v>
      </c>
      <c r="BB780" s="20">
        <v>10</v>
      </c>
      <c r="BC780" s="300">
        <f t="shared" si="134"/>
        <v>227</v>
      </c>
      <c r="BD780" s="42">
        <f t="shared" si="135"/>
        <v>8</v>
      </c>
      <c r="BE780" s="42">
        <f t="shared" si="136"/>
        <v>0</v>
      </c>
      <c r="BF780" s="42">
        <f t="shared" si="137"/>
        <v>0</v>
      </c>
      <c r="BG780" s="42">
        <f t="shared" si="138"/>
        <v>0</v>
      </c>
      <c r="BH780" s="42">
        <f t="shared" si="139"/>
        <v>0</v>
      </c>
      <c r="BI780" s="42">
        <f t="shared" si="140"/>
        <v>0</v>
      </c>
      <c r="BJ780" s="42">
        <f t="shared" si="141"/>
        <v>0</v>
      </c>
      <c r="BK780" s="42">
        <f t="shared" si="142"/>
        <v>8</v>
      </c>
    </row>
    <row r="781" spans="1:63" ht="27" customHeight="1">
      <c r="A781" s="222">
        <f t="shared" si="143"/>
        <v>779</v>
      </c>
      <c r="B781" s="223"/>
      <c r="C781" s="250">
        <v>3157</v>
      </c>
      <c r="D781" s="268">
        <v>0</v>
      </c>
      <c r="E781" s="251" t="s">
        <v>4649</v>
      </c>
      <c r="F781" s="252" t="s">
        <v>2054</v>
      </c>
      <c r="G781" s="253" t="s">
        <v>4650</v>
      </c>
      <c r="H781" s="229" t="s">
        <v>4651</v>
      </c>
      <c r="I781" s="230" t="s">
        <v>4652</v>
      </c>
      <c r="J781" s="254" t="s">
        <v>173</v>
      </c>
      <c r="K781" s="255">
        <v>26024</v>
      </c>
      <c r="L781" s="233" t="s">
        <v>174</v>
      </c>
      <c r="M781" s="256">
        <v>43740</v>
      </c>
      <c r="N781" s="256"/>
      <c r="O781" s="224" t="s">
        <v>4019</v>
      </c>
      <c r="P781" s="222" t="s">
        <v>3935</v>
      </c>
      <c r="Q781" s="222" t="s">
        <v>244</v>
      </c>
      <c r="R781" s="224" t="s">
        <v>177</v>
      </c>
      <c r="S781" s="224" t="s">
        <v>178</v>
      </c>
      <c r="T781" s="235"/>
      <c r="U781" s="257"/>
      <c r="V781" s="258" t="s">
        <v>179</v>
      </c>
      <c r="W781" s="258" t="s">
        <v>179</v>
      </c>
      <c r="X781" s="259">
        <v>5</v>
      </c>
      <c r="Y781" s="251" t="s">
        <v>4653</v>
      </c>
      <c r="Z781" s="261"/>
      <c r="AA781" s="261"/>
      <c r="AB781" s="261" t="s">
        <v>181</v>
      </c>
      <c r="AC781" s="280"/>
      <c r="AD781" s="271" t="s">
        <v>1105</v>
      </c>
      <c r="AE781" s="271" t="s">
        <v>133</v>
      </c>
      <c r="AF781" s="272" t="s">
        <v>4654</v>
      </c>
      <c r="AG781" s="270"/>
      <c r="AH781" s="260"/>
      <c r="AI781" s="260"/>
      <c r="AJ781" s="258" t="s">
        <v>198</v>
      </c>
      <c r="AK781" s="258" t="s">
        <v>185</v>
      </c>
      <c r="AL781" s="258" t="s">
        <v>185</v>
      </c>
      <c r="AM781" s="244" t="s">
        <v>3854</v>
      </c>
      <c r="AN781" s="20">
        <v>182</v>
      </c>
      <c r="AO781" s="20">
        <v>0</v>
      </c>
      <c r="AP781" s="20">
        <v>20</v>
      </c>
      <c r="AQ781" s="20">
        <v>0</v>
      </c>
      <c r="AR781" s="20">
        <v>0</v>
      </c>
      <c r="AS781" s="20">
        <v>7</v>
      </c>
      <c r="AT781" s="20">
        <v>10</v>
      </c>
      <c r="AU781" s="300">
        <f t="shared" si="133"/>
        <v>219</v>
      </c>
      <c r="AV781" s="20">
        <v>190</v>
      </c>
      <c r="AW781" s="20">
        <v>0</v>
      </c>
      <c r="AX781" s="20">
        <v>20</v>
      </c>
      <c r="AY781" s="20">
        <v>0</v>
      </c>
      <c r="AZ781" s="20">
        <v>0</v>
      </c>
      <c r="BA781" s="20">
        <v>7</v>
      </c>
      <c r="BB781" s="20">
        <v>10</v>
      </c>
      <c r="BC781" s="300">
        <f t="shared" si="134"/>
        <v>227</v>
      </c>
      <c r="BD781" s="42">
        <f t="shared" si="135"/>
        <v>8</v>
      </c>
      <c r="BE781" s="42">
        <f t="shared" si="136"/>
        <v>0</v>
      </c>
      <c r="BF781" s="42">
        <f t="shared" si="137"/>
        <v>0</v>
      </c>
      <c r="BG781" s="42">
        <f t="shared" si="138"/>
        <v>0</v>
      </c>
      <c r="BH781" s="42">
        <f t="shared" si="139"/>
        <v>0</v>
      </c>
      <c r="BI781" s="42">
        <f t="shared" si="140"/>
        <v>0</v>
      </c>
      <c r="BJ781" s="42">
        <f t="shared" si="141"/>
        <v>0</v>
      </c>
      <c r="BK781" s="42">
        <f t="shared" si="142"/>
        <v>8</v>
      </c>
    </row>
    <row r="782" spans="1:63" ht="27" customHeight="1">
      <c r="A782" s="222">
        <f t="shared" si="143"/>
        <v>780</v>
      </c>
      <c r="B782" s="223"/>
      <c r="C782" s="250">
        <v>3142</v>
      </c>
      <c r="D782" s="225" t="s">
        <v>4655</v>
      </c>
      <c r="E782" s="251" t="s">
        <v>4656</v>
      </c>
      <c r="F782" s="252" t="s">
        <v>1446</v>
      </c>
      <c r="G782" s="253" t="s">
        <v>439</v>
      </c>
      <c r="H782" s="229" t="s">
        <v>1867</v>
      </c>
      <c r="I782" s="230" t="s">
        <v>4657</v>
      </c>
      <c r="J782" s="254" t="s">
        <v>173</v>
      </c>
      <c r="K782" s="255">
        <v>28984</v>
      </c>
      <c r="L782" s="233" t="s">
        <v>174</v>
      </c>
      <c r="M782" s="256">
        <v>43740</v>
      </c>
      <c r="N782" s="256"/>
      <c r="O782" s="224" t="s">
        <v>4019</v>
      </c>
      <c r="P782" s="222" t="s">
        <v>3935</v>
      </c>
      <c r="Q782" s="222" t="s">
        <v>244</v>
      </c>
      <c r="R782" s="224" t="s">
        <v>177</v>
      </c>
      <c r="S782" s="224" t="s">
        <v>206</v>
      </c>
      <c r="T782" s="235"/>
      <c r="U782" s="257"/>
      <c r="V782" s="258" t="s">
        <v>179</v>
      </c>
      <c r="W782" s="258" t="s">
        <v>179</v>
      </c>
      <c r="X782" s="259">
        <v>0</v>
      </c>
      <c r="Y782" s="251" t="s">
        <v>4626</v>
      </c>
      <c r="Z782" s="261"/>
      <c r="AA782" s="261" t="s">
        <v>181</v>
      </c>
      <c r="AB782" s="258"/>
      <c r="AC782" s="280"/>
      <c r="AD782" s="271"/>
      <c r="AE782" s="271"/>
      <c r="AF782" s="272"/>
      <c r="AG782" s="270"/>
      <c r="AH782" s="260"/>
      <c r="AI782" s="260"/>
      <c r="AJ782" s="258" t="s">
        <v>198</v>
      </c>
      <c r="AK782" s="258" t="s">
        <v>185</v>
      </c>
      <c r="AL782" s="258" t="s">
        <v>185</v>
      </c>
      <c r="AM782" s="244" t="s">
        <v>3854</v>
      </c>
      <c r="AN782" s="20">
        <v>182</v>
      </c>
      <c r="AO782" s="20">
        <v>0</v>
      </c>
      <c r="AP782" s="20">
        <v>20</v>
      </c>
      <c r="AQ782" s="20">
        <v>0</v>
      </c>
      <c r="AR782" s="20">
        <v>0</v>
      </c>
      <c r="AS782" s="20">
        <v>7</v>
      </c>
      <c r="AT782" s="20">
        <v>10</v>
      </c>
      <c r="AU782" s="300">
        <f t="shared" si="133"/>
        <v>219</v>
      </c>
      <c r="AV782" s="20">
        <v>190</v>
      </c>
      <c r="AW782" s="20">
        <v>0</v>
      </c>
      <c r="AX782" s="20">
        <v>20</v>
      </c>
      <c r="AY782" s="20">
        <v>0</v>
      </c>
      <c r="AZ782" s="20">
        <v>0</v>
      </c>
      <c r="BA782" s="20">
        <v>7</v>
      </c>
      <c r="BB782" s="20">
        <v>10</v>
      </c>
      <c r="BC782" s="300">
        <f t="shared" si="134"/>
        <v>227</v>
      </c>
      <c r="BD782" s="42">
        <f t="shared" si="135"/>
        <v>8</v>
      </c>
      <c r="BE782" s="42">
        <f t="shared" si="136"/>
        <v>0</v>
      </c>
      <c r="BF782" s="42">
        <f t="shared" si="137"/>
        <v>0</v>
      </c>
      <c r="BG782" s="42">
        <f t="shared" si="138"/>
        <v>0</v>
      </c>
      <c r="BH782" s="42">
        <f t="shared" si="139"/>
        <v>0</v>
      </c>
      <c r="BI782" s="42">
        <f t="shared" si="140"/>
        <v>0</v>
      </c>
      <c r="BJ782" s="42">
        <f t="shared" si="141"/>
        <v>0</v>
      </c>
      <c r="BK782" s="42">
        <f t="shared" si="142"/>
        <v>8</v>
      </c>
    </row>
    <row r="783" spans="1:63" ht="27" customHeight="1">
      <c r="A783" s="222">
        <f t="shared" si="143"/>
        <v>781</v>
      </c>
      <c r="B783" s="223"/>
      <c r="C783" s="250">
        <v>3511</v>
      </c>
      <c r="D783" s="225" t="s">
        <v>4658</v>
      </c>
      <c r="E783" s="251" t="s">
        <v>4659</v>
      </c>
      <c r="F783" s="252" t="s">
        <v>2032</v>
      </c>
      <c r="G783" s="253" t="s">
        <v>1248</v>
      </c>
      <c r="H783" s="229" t="s">
        <v>2034</v>
      </c>
      <c r="I783" s="230" t="s">
        <v>1250</v>
      </c>
      <c r="J783" s="254" t="s">
        <v>173</v>
      </c>
      <c r="K783" s="255">
        <v>36167</v>
      </c>
      <c r="L783" s="233" t="s">
        <v>174</v>
      </c>
      <c r="M783" s="256">
        <v>43746</v>
      </c>
      <c r="N783" s="256"/>
      <c r="O783" s="224" t="s">
        <v>4660</v>
      </c>
      <c r="P783" s="222" t="s">
        <v>3629</v>
      </c>
      <c r="Q783" s="222" t="s">
        <v>244</v>
      </c>
      <c r="R783" s="224" t="s">
        <v>177</v>
      </c>
      <c r="S783" s="224" t="s">
        <v>178</v>
      </c>
      <c r="T783" s="235"/>
      <c r="U783" s="257"/>
      <c r="V783" s="258" t="s">
        <v>179</v>
      </c>
      <c r="W783" s="258" t="s">
        <v>179</v>
      </c>
      <c r="X783" s="259"/>
      <c r="Y783" s="251" t="s">
        <v>4661</v>
      </c>
      <c r="Z783" s="261"/>
      <c r="AA783" s="261"/>
      <c r="AB783" s="258"/>
      <c r="AC783" s="280"/>
      <c r="AD783" s="271"/>
      <c r="AE783" s="271"/>
      <c r="AF783" s="272"/>
      <c r="AG783" s="270"/>
      <c r="AH783" s="260"/>
      <c r="AI783" s="260"/>
      <c r="AJ783" s="258" t="s">
        <v>198</v>
      </c>
      <c r="AK783" s="258" t="s">
        <v>185</v>
      </c>
      <c r="AL783" s="258" t="s">
        <v>185</v>
      </c>
      <c r="AM783" s="244" t="s">
        <v>3854</v>
      </c>
      <c r="AN783" s="20">
        <v>182</v>
      </c>
      <c r="AO783" s="20">
        <v>0</v>
      </c>
      <c r="AP783" s="20">
        <v>20</v>
      </c>
      <c r="AQ783" s="20">
        <v>0</v>
      </c>
      <c r="AR783" s="20">
        <v>0</v>
      </c>
      <c r="AS783" s="20">
        <v>7</v>
      </c>
      <c r="AT783" s="20">
        <v>10</v>
      </c>
      <c r="AU783" s="300">
        <f t="shared" si="133"/>
        <v>219</v>
      </c>
      <c r="AV783" s="20">
        <v>190</v>
      </c>
      <c r="AW783" s="20">
        <v>0</v>
      </c>
      <c r="AX783" s="20">
        <v>20</v>
      </c>
      <c r="AY783" s="20">
        <v>0</v>
      </c>
      <c r="AZ783" s="20">
        <v>0</v>
      </c>
      <c r="BA783" s="20">
        <v>7</v>
      </c>
      <c r="BB783" s="20">
        <v>10</v>
      </c>
      <c r="BC783" s="300">
        <f t="shared" si="134"/>
        <v>227</v>
      </c>
      <c r="BD783" s="42">
        <f t="shared" si="135"/>
        <v>8</v>
      </c>
      <c r="BE783" s="42">
        <f t="shared" si="136"/>
        <v>0</v>
      </c>
      <c r="BF783" s="42">
        <f t="shared" si="137"/>
        <v>0</v>
      </c>
      <c r="BG783" s="42">
        <f t="shared" si="138"/>
        <v>0</v>
      </c>
      <c r="BH783" s="42">
        <f t="shared" si="139"/>
        <v>0</v>
      </c>
      <c r="BI783" s="42">
        <f t="shared" si="140"/>
        <v>0</v>
      </c>
      <c r="BJ783" s="42">
        <f t="shared" si="141"/>
        <v>0</v>
      </c>
      <c r="BK783" s="42">
        <f t="shared" si="142"/>
        <v>8</v>
      </c>
    </row>
    <row r="784" spans="1:63" ht="27" customHeight="1">
      <c r="A784" s="222">
        <f t="shared" si="143"/>
        <v>782</v>
      </c>
      <c r="B784" s="223"/>
      <c r="C784" s="250">
        <v>3300</v>
      </c>
      <c r="D784" s="225" t="s">
        <v>4662</v>
      </c>
      <c r="E784" s="251" t="s">
        <v>4663</v>
      </c>
      <c r="F784" s="252" t="s">
        <v>4664</v>
      </c>
      <c r="G784" s="253" t="s">
        <v>4665</v>
      </c>
      <c r="H784" s="229" t="s">
        <v>4666</v>
      </c>
      <c r="I784" s="230" t="s">
        <v>4667</v>
      </c>
      <c r="J784" s="254" t="s">
        <v>173</v>
      </c>
      <c r="K784" s="255">
        <v>29839</v>
      </c>
      <c r="L784" s="233" t="s">
        <v>174</v>
      </c>
      <c r="M784" s="256">
        <v>43746</v>
      </c>
      <c r="N784" s="256"/>
      <c r="O784" s="224" t="s">
        <v>3994</v>
      </c>
      <c r="P784" s="222" t="s">
        <v>3644</v>
      </c>
      <c r="Q784" s="222" t="s">
        <v>244</v>
      </c>
      <c r="R784" s="224" t="s">
        <v>177</v>
      </c>
      <c r="S784" s="224" t="s">
        <v>498</v>
      </c>
      <c r="T784" s="235"/>
      <c r="U784" s="257"/>
      <c r="V784" s="258" t="s">
        <v>179</v>
      </c>
      <c r="W784" s="258" t="s">
        <v>179</v>
      </c>
      <c r="X784" s="259"/>
      <c r="Y784" s="251" t="s">
        <v>4668</v>
      </c>
      <c r="Z784" s="261"/>
      <c r="AA784" s="261"/>
      <c r="AB784" s="258"/>
      <c r="AC784" s="280"/>
      <c r="AD784" s="271"/>
      <c r="AE784" s="271"/>
      <c r="AF784" s="272"/>
      <c r="AG784" s="270"/>
      <c r="AH784" s="260"/>
      <c r="AI784" s="260"/>
      <c r="AJ784" s="258" t="s">
        <v>198</v>
      </c>
      <c r="AK784" s="258" t="s">
        <v>185</v>
      </c>
      <c r="AL784" s="258" t="s">
        <v>185</v>
      </c>
      <c r="AM784" s="244" t="s">
        <v>3854</v>
      </c>
      <c r="AN784" s="20">
        <v>182</v>
      </c>
      <c r="AO784" s="20">
        <v>0</v>
      </c>
      <c r="AP784" s="20">
        <v>20</v>
      </c>
      <c r="AQ784" s="20">
        <v>0</v>
      </c>
      <c r="AR784" s="20">
        <v>0</v>
      </c>
      <c r="AS784" s="20">
        <v>7</v>
      </c>
      <c r="AT784" s="20">
        <v>10</v>
      </c>
      <c r="AU784" s="300">
        <f t="shared" si="133"/>
        <v>219</v>
      </c>
      <c r="AV784" s="20">
        <v>190</v>
      </c>
      <c r="AW784" s="20">
        <v>0</v>
      </c>
      <c r="AX784" s="20">
        <v>20</v>
      </c>
      <c r="AY784" s="20">
        <v>0</v>
      </c>
      <c r="AZ784" s="20">
        <v>0</v>
      </c>
      <c r="BA784" s="20">
        <v>7</v>
      </c>
      <c r="BB784" s="20">
        <v>10</v>
      </c>
      <c r="BC784" s="300">
        <f t="shared" si="134"/>
        <v>227</v>
      </c>
      <c r="BD784" s="42">
        <f t="shared" si="135"/>
        <v>8</v>
      </c>
      <c r="BE784" s="42">
        <f t="shared" si="136"/>
        <v>0</v>
      </c>
      <c r="BF784" s="42">
        <f t="shared" si="137"/>
        <v>0</v>
      </c>
      <c r="BG784" s="42">
        <f t="shared" si="138"/>
        <v>0</v>
      </c>
      <c r="BH784" s="42">
        <f t="shared" si="139"/>
        <v>0</v>
      </c>
      <c r="BI784" s="42">
        <f t="shared" si="140"/>
        <v>0</v>
      </c>
      <c r="BJ784" s="42">
        <f t="shared" si="141"/>
        <v>0</v>
      </c>
      <c r="BK784" s="42">
        <f t="shared" si="142"/>
        <v>8</v>
      </c>
    </row>
    <row r="785" spans="1:63" ht="27" customHeight="1">
      <c r="A785" s="222">
        <f t="shared" si="143"/>
        <v>783</v>
      </c>
      <c r="B785" s="223"/>
      <c r="C785" s="250">
        <v>3311</v>
      </c>
      <c r="D785" s="225" t="s">
        <v>4669</v>
      </c>
      <c r="E785" s="251" t="s">
        <v>4670</v>
      </c>
      <c r="F785" s="284" t="s">
        <v>339</v>
      </c>
      <c r="G785" s="253" t="s">
        <v>2434</v>
      </c>
      <c r="H785" s="229" t="s">
        <v>341</v>
      </c>
      <c r="I785" s="230" t="s">
        <v>4671</v>
      </c>
      <c r="J785" s="254" t="s">
        <v>173</v>
      </c>
      <c r="K785" s="255">
        <v>30418</v>
      </c>
      <c r="L785" s="233" t="s">
        <v>174</v>
      </c>
      <c r="M785" s="256">
        <v>43746</v>
      </c>
      <c r="N785" s="256"/>
      <c r="O785" s="224" t="s">
        <v>3960</v>
      </c>
      <c r="P785" s="222" t="s">
        <v>3780</v>
      </c>
      <c r="Q785" s="222" t="s">
        <v>244</v>
      </c>
      <c r="R785" s="224" t="s">
        <v>177</v>
      </c>
      <c r="S785" s="224" t="s">
        <v>223</v>
      </c>
      <c r="T785" s="235"/>
      <c r="U785" s="257"/>
      <c r="V785" s="258" t="s">
        <v>179</v>
      </c>
      <c r="W785" s="258" t="s">
        <v>179</v>
      </c>
      <c r="X785" s="259">
        <v>2</v>
      </c>
      <c r="Y785" s="251" t="s">
        <v>4672</v>
      </c>
      <c r="Z785" s="261"/>
      <c r="AA785" s="261"/>
      <c r="AB785" s="258"/>
      <c r="AC785" s="280"/>
      <c r="AD785" s="271"/>
      <c r="AE785" s="271"/>
      <c r="AF785" s="272"/>
      <c r="AG785" s="270"/>
      <c r="AH785" s="260"/>
      <c r="AI785" s="260"/>
      <c r="AJ785" s="258" t="s">
        <v>198</v>
      </c>
      <c r="AK785" s="258" t="s">
        <v>185</v>
      </c>
      <c r="AL785" s="258" t="s">
        <v>185</v>
      </c>
      <c r="AM785" s="244" t="s">
        <v>3911</v>
      </c>
      <c r="AN785" s="20">
        <v>182</v>
      </c>
      <c r="AO785" s="20">
        <v>0</v>
      </c>
      <c r="AP785" s="20">
        <v>0</v>
      </c>
      <c r="AQ785" s="20">
        <v>0</v>
      </c>
      <c r="AR785" s="20">
        <v>0</v>
      </c>
      <c r="AS785" s="20">
        <v>7</v>
      </c>
      <c r="AT785" s="20">
        <v>10</v>
      </c>
      <c r="AU785" s="300">
        <f t="shared" si="133"/>
        <v>199</v>
      </c>
      <c r="AV785" s="20">
        <v>190</v>
      </c>
      <c r="AW785" s="20">
        <v>0</v>
      </c>
      <c r="AX785" s="20">
        <v>0</v>
      </c>
      <c r="AY785" s="20">
        <v>0</v>
      </c>
      <c r="AZ785" s="20">
        <v>0</v>
      </c>
      <c r="BA785" s="20">
        <v>7</v>
      </c>
      <c r="BB785" s="20">
        <v>10</v>
      </c>
      <c r="BC785" s="300">
        <f t="shared" si="134"/>
        <v>207</v>
      </c>
      <c r="BD785" s="42">
        <f t="shared" si="135"/>
        <v>8</v>
      </c>
      <c r="BE785" s="42">
        <f t="shared" si="136"/>
        <v>0</v>
      </c>
      <c r="BF785" s="42">
        <f t="shared" si="137"/>
        <v>0</v>
      </c>
      <c r="BG785" s="42">
        <f t="shared" si="138"/>
        <v>0</v>
      </c>
      <c r="BH785" s="42">
        <f t="shared" si="139"/>
        <v>0</v>
      </c>
      <c r="BI785" s="42">
        <f t="shared" si="140"/>
        <v>0</v>
      </c>
      <c r="BJ785" s="42">
        <f t="shared" si="141"/>
        <v>0</v>
      </c>
      <c r="BK785" s="42">
        <f t="shared" si="142"/>
        <v>8</v>
      </c>
    </row>
    <row r="786" spans="1:63" ht="27" customHeight="1">
      <c r="A786" s="222">
        <f t="shared" si="143"/>
        <v>784</v>
      </c>
      <c r="B786" s="223"/>
      <c r="C786" s="250">
        <v>3187</v>
      </c>
      <c r="D786" s="225" t="s">
        <v>4673</v>
      </c>
      <c r="E786" s="251" t="s">
        <v>4674</v>
      </c>
      <c r="F786" s="252" t="s">
        <v>1061</v>
      </c>
      <c r="G786" s="253" t="s">
        <v>4675</v>
      </c>
      <c r="H786" s="229" t="s">
        <v>1063</v>
      </c>
      <c r="I786" s="230" t="s">
        <v>4676</v>
      </c>
      <c r="J786" s="254" t="s">
        <v>173</v>
      </c>
      <c r="K786" s="255">
        <v>30346</v>
      </c>
      <c r="L786" s="233" t="s">
        <v>174</v>
      </c>
      <c r="M786" s="256">
        <v>43741</v>
      </c>
      <c r="N786" s="256"/>
      <c r="O786" s="224"/>
      <c r="P786" s="222" t="s">
        <v>3633</v>
      </c>
      <c r="Q786" s="222" t="s">
        <v>244</v>
      </c>
      <c r="R786" s="224" t="s">
        <v>177</v>
      </c>
      <c r="S786" s="224" t="s">
        <v>214</v>
      </c>
      <c r="T786" s="235"/>
      <c r="U786" s="257"/>
      <c r="V786" s="258" t="s">
        <v>179</v>
      </c>
      <c r="W786" s="258" t="s">
        <v>179</v>
      </c>
      <c r="X786" s="259">
        <v>7</v>
      </c>
      <c r="Y786" s="251" t="s">
        <v>4677</v>
      </c>
      <c r="Z786" s="261"/>
      <c r="AA786" s="261" t="s">
        <v>181</v>
      </c>
      <c r="AB786" s="258"/>
      <c r="AC786" s="280"/>
      <c r="AD786" s="271"/>
      <c r="AE786" s="271"/>
      <c r="AF786" s="272"/>
      <c r="AG786" s="270"/>
      <c r="AH786" s="260"/>
      <c r="AI786" s="260"/>
      <c r="AJ786" s="258" t="s">
        <v>198</v>
      </c>
      <c r="AK786" s="258" t="s">
        <v>185</v>
      </c>
      <c r="AL786" s="258" t="s">
        <v>185</v>
      </c>
      <c r="AM786" s="244" t="s">
        <v>3854</v>
      </c>
      <c r="AN786" s="20">
        <v>182</v>
      </c>
      <c r="AO786" s="20">
        <v>0</v>
      </c>
      <c r="AP786" s="20">
        <v>20</v>
      </c>
      <c r="AQ786" s="20">
        <v>0</v>
      </c>
      <c r="AR786" s="20">
        <v>0</v>
      </c>
      <c r="AS786" s="20">
        <v>7</v>
      </c>
      <c r="AT786" s="20">
        <v>10</v>
      </c>
      <c r="AU786" s="300">
        <f t="shared" si="133"/>
        <v>219</v>
      </c>
      <c r="AV786" s="20">
        <v>190</v>
      </c>
      <c r="AW786" s="20">
        <v>0</v>
      </c>
      <c r="AX786" s="20">
        <v>20</v>
      </c>
      <c r="AY786" s="20">
        <v>0</v>
      </c>
      <c r="AZ786" s="20">
        <v>0</v>
      </c>
      <c r="BA786" s="20">
        <v>7</v>
      </c>
      <c r="BB786" s="20">
        <v>10</v>
      </c>
      <c r="BC786" s="300">
        <f t="shared" si="134"/>
        <v>227</v>
      </c>
      <c r="BD786" s="42">
        <f t="shared" si="135"/>
        <v>8</v>
      </c>
      <c r="BE786" s="42">
        <f t="shared" si="136"/>
        <v>0</v>
      </c>
      <c r="BF786" s="42">
        <f t="shared" si="137"/>
        <v>0</v>
      </c>
      <c r="BG786" s="42">
        <f t="shared" si="138"/>
        <v>0</v>
      </c>
      <c r="BH786" s="42">
        <f t="shared" si="139"/>
        <v>0</v>
      </c>
      <c r="BI786" s="42">
        <f t="shared" si="140"/>
        <v>0</v>
      </c>
      <c r="BJ786" s="42">
        <f t="shared" si="141"/>
        <v>0</v>
      </c>
      <c r="BK786" s="42">
        <f t="shared" si="142"/>
        <v>8</v>
      </c>
    </row>
    <row r="787" spans="1:63" ht="27" customHeight="1">
      <c r="A787" s="222">
        <f t="shared" si="143"/>
        <v>785</v>
      </c>
      <c r="B787" s="223"/>
      <c r="C787" s="250">
        <v>3188</v>
      </c>
      <c r="D787" s="225" t="s">
        <v>4678</v>
      </c>
      <c r="E787" s="251" t="s">
        <v>4679</v>
      </c>
      <c r="F787" s="252" t="s">
        <v>4680</v>
      </c>
      <c r="G787" s="253" t="s">
        <v>4681</v>
      </c>
      <c r="H787" s="229" t="s">
        <v>4682</v>
      </c>
      <c r="I787" s="230" t="s">
        <v>4683</v>
      </c>
      <c r="J787" s="254" t="s">
        <v>173</v>
      </c>
      <c r="K787" s="255">
        <v>23166</v>
      </c>
      <c r="L787" s="233" t="s">
        <v>174</v>
      </c>
      <c r="M787" s="256">
        <v>43740</v>
      </c>
      <c r="N787" s="256"/>
      <c r="O787" s="224"/>
      <c r="P787" s="222" t="s">
        <v>194</v>
      </c>
      <c r="Q787" s="222" t="s">
        <v>244</v>
      </c>
      <c r="R787" s="224" t="s">
        <v>177</v>
      </c>
      <c r="S787" s="224" t="s">
        <v>428</v>
      </c>
      <c r="T787" s="235"/>
      <c r="U787" s="257"/>
      <c r="V787" s="258" t="s">
        <v>179</v>
      </c>
      <c r="W787" s="258" t="s">
        <v>179</v>
      </c>
      <c r="X787" s="259">
        <v>1</v>
      </c>
      <c r="Y787" s="251"/>
      <c r="Z787" s="261"/>
      <c r="AA787" s="261" t="s">
        <v>181</v>
      </c>
      <c r="AB787" s="258"/>
      <c r="AC787" s="280"/>
      <c r="AD787" s="271"/>
      <c r="AE787" s="271"/>
      <c r="AF787" s="271"/>
      <c r="AG787" s="271"/>
      <c r="AH787" s="260"/>
      <c r="AI787" s="260"/>
      <c r="AJ787" s="258" t="s">
        <v>198</v>
      </c>
      <c r="AK787" s="258" t="s">
        <v>185</v>
      </c>
      <c r="AL787" s="258" t="s">
        <v>185</v>
      </c>
      <c r="AM787" s="244" t="s">
        <v>3854</v>
      </c>
      <c r="AN787" s="20">
        <v>182</v>
      </c>
      <c r="AO787" s="20">
        <v>0</v>
      </c>
      <c r="AP787" s="20">
        <v>20</v>
      </c>
      <c r="AQ787" s="20">
        <v>0</v>
      </c>
      <c r="AR787" s="20">
        <v>0</v>
      </c>
      <c r="AS787" s="20">
        <v>7</v>
      </c>
      <c r="AT787" s="20">
        <v>10</v>
      </c>
      <c r="AU787" s="300">
        <f t="shared" si="133"/>
        <v>219</v>
      </c>
      <c r="AV787" s="20">
        <v>190</v>
      </c>
      <c r="AW787" s="20">
        <v>0</v>
      </c>
      <c r="AX787" s="20">
        <v>20</v>
      </c>
      <c r="AY787" s="20">
        <v>0</v>
      </c>
      <c r="AZ787" s="20">
        <v>0</v>
      </c>
      <c r="BA787" s="20">
        <v>7</v>
      </c>
      <c r="BB787" s="20">
        <v>10</v>
      </c>
      <c r="BC787" s="300">
        <f t="shared" si="134"/>
        <v>227</v>
      </c>
      <c r="BD787" s="42">
        <f t="shared" si="135"/>
        <v>8</v>
      </c>
      <c r="BE787" s="42">
        <f t="shared" si="136"/>
        <v>0</v>
      </c>
      <c r="BF787" s="42">
        <f t="shared" si="137"/>
        <v>0</v>
      </c>
      <c r="BG787" s="42">
        <f t="shared" si="138"/>
        <v>0</v>
      </c>
      <c r="BH787" s="42">
        <f t="shared" si="139"/>
        <v>0</v>
      </c>
      <c r="BI787" s="42">
        <f t="shared" si="140"/>
        <v>0</v>
      </c>
      <c r="BJ787" s="42">
        <f t="shared" si="141"/>
        <v>0</v>
      </c>
      <c r="BK787" s="42">
        <f t="shared" si="142"/>
        <v>8</v>
      </c>
    </row>
    <row r="788" spans="1:63" ht="27" customHeight="1">
      <c r="A788" s="222">
        <f t="shared" si="143"/>
        <v>786</v>
      </c>
      <c r="B788" s="223"/>
      <c r="C788" s="250">
        <v>3257</v>
      </c>
      <c r="D788" s="225" t="s">
        <v>4684</v>
      </c>
      <c r="E788" s="251" t="s">
        <v>4685</v>
      </c>
      <c r="F788" s="252" t="s">
        <v>1085</v>
      </c>
      <c r="G788" s="253" t="s">
        <v>4686</v>
      </c>
      <c r="H788" s="229" t="s">
        <v>1087</v>
      </c>
      <c r="I788" s="230" t="s">
        <v>4687</v>
      </c>
      <c r="J788" s="254" t="s">
        <v>173</v>
      </c>
      <c r="K788" s="255">
        <v>29253</v>
      </c>
      <c r="L788" s="233" t="s">
        <v>174</v>
      </c>
      <c r="M788" s="256">
        <v>43746</v>
      </c>
      <c r="N788" s="256"/>
      <c r="O788" s="224" t="s">
        <v>3999</v>
      </c>
      <c r="P788" s="222" t="s">
        <v>3828</v>
      </c>
      <c r="Q788" s="222" t="s">
        <v>244</v>
      </c>
      <c r="R788" s="224" t="s">
        <v>177</v>
      </c>
      <c r="S788" s="224" t="s">
        <v>223</v>
      </c>
      <c r="T788" s="235"/>
      <c r="U788" s="257"/>
      <c r="V788" s="258" t="s">
        <v>179</v>
      </c>
      <c r="W788" s="258" t="s">
        <v>179</v>
      </c>
      <c r="X788" s="259">
        <v>5</v>
      </c>
      <c r="Y788" s="251" t="s">
        <v>4688</v>
      </c>
      <c r="Z788" s="261"/>
      <c r="AA788" s="261" t="s">
        <v>181</v>
      </c>
      <c r="AB788" s="258"/>
      <c r="AC788" s="280"/>
      <c r="AD788" s="271"/>
      <c r="AE788" s="271"/>
      <c r="AF788" s="272"/>
      <c r="AG788" s="270"/>
      <c r="AH788" s="260"/>
      <c r="AI788" s="260"/>
      <c r="AJ788" s="258" t="s">
        <v>185</v>
      </c>
      <c r="AK788" s="258" t="s">
        <v>185</v>
      </c>
      <c r="AL788" s="258" t="s">
        <v>185</v>
      </c>
      <c r="AM788" s="273" t="s">
        <v>3962</v>
      </c>
      <c r="AN788" s="20">
        <v>182</v>
      </c>
      <c r="AO788" s="20">
        <v>0</v>
      </c>
      <c r="AP788" s="20">
        <v>20</v>
      </c>
      <c r="AQ788" s="20">
        <v>0</v>
      </c>
      <c r="AR788" s="20">
        <v>0</v>
      </c>
      <c r="AS788" s="20">
        <v>7</v>
      </c>
      <c r="AT788" s="20">
        <v>10</v>
      </c>
      <c r="AU788" s="300">
        <f t="shared" si="133"/>
        <v>219</v>
      </c>
      <c r="AV788" s="20">
        <v>190</v>
      </c>
      <c r="AW788" s="20">
        <v>0</v>
      </c>
      <c r="AX788" s="20">
        <v>20</v>
      </c>
      <c r="AY788" s="20">
        <v>0</v>
      </c>
      <c r="AZ788" s="20">
        <v>0</v>
      </c>
      <c r="BA788" s="20">
        <v>7</v>
      </c>
      <c r="BB788" s="20">
        <v>10</v>
      </c>
      <c r="BC788" s="300">
        <f t="shared" si="134"/>
        <v>227</v>
      </c>
      <c r="BD788" s="42">
        <f t="shared" si="135"/>
        <v>8</v>
      </c>
      <c r="BE788" s="42">
        <f t="shared" si="136"/>
        <v>0</v>
      </c>
      <c r="BF788" s="42">
        <f t="shared" si="137"/>
        <v>0</v>
      </c>
      <c r="BG788" s="42">
        <f t="shared" si="138"/>
        <v>0</v>
      </c>
      <c r="BH788" s="42">
        <f t="shared" si="139"/>
        <v>0</v>
      </c>
      <c r="BI788" s="42">
        <f t="shared" si="140"/>
        <v>0</v>
      </c>
      <c r="BJ788" s="42">
        <f t="shared" si="141"/>
        <v>0</v>
      </c>
      <c r="BK788" s="42">
        <f t="shared" si="142"/>
        <v>8</v>
      </c>
    </row>
    <row r="789" spans="1:63" ht="27" customHeight="1">
      <c r="A789" s="222">
        <f t="shared" si="143"/>
        <v>787</v>
      </c>
      <c r="B789" s="223"/>
      <c r="C789" s="250">
        <v>3219</v>
      </c>
      <c r="D789" s="225" t="s">
        <v>4689</v>
      </c>
      <c r="E789" s="251" t="s">
        <v>4690</v>
      </c>
      <c r="F789" s="252" t="s">
        <v>971</v>
      </c>
      <c r="G789" s="253" t="s">
        <v>4691</v>
      </c>
      <c r="H789" s="229" t="s">
        <v>4692</v>
      </c>
      <c r="I789" s="230" t="s">
        <v>4693</v>
      </c>
      <c r="J789" s="254" t="s">
        <v>173</v>
      </c>
      <c r="K789" s="255">
        <v>36918</v>
      </c>
      <c r="L789" s="233" t="s">
        <v>174</v>
      </c>
      <c r="M789" s="256">
        <v>43741</v>
      </c>
      <c r="N789" s="256"/>
      <c r="O789" s="224" t="s">
        <v>4071</v>
      </c>
      <c r="P789" s="222" t="s">
        <v>1380</v>
      </c>
      <c r="Q789" s="222" t="s">
        <v>244</v>
      </c>
      <c r="R789" s="224" t="s">
        <v>177</v>
      </c>
      <c r="S789" s="224" t="s">
        <v>498</v>
      </c>
      <c r="T789" s="235"/>
      <c r="U789" s="257"/>
      <c r="V789" s="258" t="s">
        <v>179</v>
      </c>
      <c r="W789" s="258" t="s">
        <v>179</v>
      </c>
      <c r="X789" s="259">
        <v>7</v>
      </c>
      <c r="Y789" s="251" t="s">
        <v>4694</v>
      </c>
      <c r="Z789" s="261"/>
      <c r="AA789" s="261" t="s">
        <v>181</v>
      </c>
      <c r="AB789" s="258"/>
      <c r="AC789" s="280" t="s">
        <v>351</v>
      </c>
      <c r="AD789" s="271"/>
      <c r="AE789" s="271"/>
      <c r="AF789" s="272"/>
      <c r="AG789" s="270"/>
      <c r="AH789" s="260"/>
      <c r="AI789" s="260"/>
      <c r="AJ789" s="258" t="s">
        <v>198</v>
      </c>
      <c r="AK789" s="258" t="s">
        <v>185</v>
      </c>
      <c r="AL789" s="258" t="s">
        <v>185</v>
      </c>
      <c r="AM789" s="244" t="s">
        <v>3854</v>
      </c>
      <c r="AN789" s="20">
        <v>182</v>
      </c>
      <c r="AO789" s="20">
        <v>0</v>
      </c>
      <c r="AP789" s="20">
        <v>20</v>
      </c>
      <c r="AQ789" s="20">
        <v>0</v>
      </c>
      <c r="AR789" s="20">
        <v>0</v>
      </c>
      <c r="AS789" s="20">
        <v>7</v>
      </c>
      <c r="AT789" s="20">
        <v>10</v>
      </c>
      <c r="AU789" s="300">
        <f t="shared" si="133"/>
        <v>219</v>
      </c>
      <c r="AV789" s="20">
        <v>190</v>
      </c>
      <c r="AW789" s="20">
        <v>0</v>
      </c>
      <c r="AX789" s="20">
        <v>20</v>
      </c>
      <c r="AY789" s="20">
        <v>0</v>
      </c>
      <c r="AZ789" s="20">
        <v>0</v>
      </c>
      <c r="BA789" s="20">
        <v>7</v>
      </c>
      <c r="BB789" s="20">
        <v>10</v>
      </c>
      <c r="BC789" s="300">
        <f t="shared" si="134"/>
        <v>227</v>
      </c>
      <c r="BD789" s="42">
        <f t="shared" si="135"/>
        <v>8</v>
      </c>
      <c r="BE789" s="42">
        <f t="shared" si="136"/>
        <v>0</v>
      </c>
      <c r="BF789" s="42">
        <f t="shared" si="137"/>
        <v>0</v>
      </c>
      <c r="BG789" s="42">
        <f t="shared" si="138"/>
        <v>0</v>
      </c>
      <c r="BH789" s="42">
        <f t="shared" si="139"/>
        <v>0</v>
      </c>
      <c r="BI789" s="42">
        <f t="shared" si="140"/>
        <v>0</v>
      </c>
      <c r="BJ789" s="42">
        <f t="shared" si="141"/>
        <v>0</v>
      </c>
      <c r="BK789" s="42">
        <f t="shared" si="142"/>
        <v>8</v>
      </c>
    </row>
    <row r="790" spans="1:63" ht="27" customHeight="1">
      <c r="A790" s="222">
        <f t="shared" si="143"/>
        <v>788</v>
      </c>
      <c r="B790" s="223"/>
      <c r="C790" s="250">
        <v>3202</v>
      </c>
      <c r="D790" s="225" t="s">
        <v>4695</v>
      </c>
      <c r="E790" s="251" t="s">
        <v>4696</v>
      </c>
      <c r="F790" s="252" t="s">
        <v>4697</v>
      </c>
      <c r="G790" s="253" t="s">
        <v>1412</v>
      </c>
      <c r="H790" s="229" t="s">
        <v>295</v>
      </c>
      <c r="I790" s="230" t="s">
        <v>1414</v>
      </c>
      <c r="J790" s="254" t="s">
        <v>173</v>
      </c>
      <c r="K790" s="255">
        <v>31670</v>
      </c>
      <c r="L790" s="233" t="s">
        <v>174</v>
      </c>
      <c r="M790" s="256">
        <v>43742</v>
      </c>
      <c r="N790" s="256"/>
      <c r="O790" s="224" t="s">
        <v>3978</v>
      </c>
      <c r="P790" s="222" t="s">
        <v>2816</v>
      </c>
      <c r="Q790" s="222" t="s">
        <v>244</v>
      </c>
      <c r="R790" s="224" t="s">
        <v>177</v>
      </c>
      <c r="S790" s="224" t="s">
        <v>223</v>
      </c>
      <c r="T790" s="235"/>
      <c r="U790" s="257"/>
      <c r="V790" s="258" t="s">
        <v>179</v>
      </c>
      <c r="W790" s="258" t="s">
        <v>179</v>
      </c>
      <c r="X790" s="259">
        <v>7</v>
      </c>
      <c r="Y790" s="251" t="s">
        <v>4698</v>
      </c>
      <c r="Z790" s="261"/>
      <c r="AA790" s="261" t="s">
        <v>181</v>
      </c>
      <c r="AB790" s="258"/>
      <c r="AC790" s="280"/>
      <c r="AD790" s="271"/>
      <c r="AE790" s="271"/>
      <c r="AF790" s="272"/>
      <c r="AG790" s="270"/>
      <c r="AH790" s="260"/>
      <c r="AI790" s="260"/>
      <c r="AJ790" s="258" t="s">
        <v>198</v>
      </c>
      <c r="AK790" s="258" t="s">
        <v>185</v>
      </c>
      <c r="AL790" s="258" t="s">
        <v>185</v>
      </c>
      <c r="AM790" s="273" t="s">
        <v>4699</v>
      </c>
      <c r="AN790" s="20">
        <v>182</v>
      </c>
      <c r="AO790" s="20">
        <v>0</v>
      </c>
      <c r="AP790" s="20">
        <v>20</v>
      </c>
      <c r="AQ790" s="20">
        <v>0</v>
      </c>
      <c r="AR790" s="20">
        <v>0</v>
      </c>
      <c r="AS790" s="20">
        <v>7</v>
      </c>
      <c r="AT790" s="20">
        <v>10</v>
      </c>
      <c r="AU790" s="300">
        <f t="shared" si="133"/>
        <v>219</v>
      </c>
      <c r="AV790" s="20">
        <v>190</v>
      </c>
      <c r="AW790" s="20">
        <v>0</v>
      </c>
      <c r="AX790" s="20">
        <v>20</v>
      </c>
      <c r="AY790" s="20">
        <v>0</v>
      </c>
      <c r="AZ790" s="20">
        <v>0</v>
      </c>
      <c r="BA790" s="20">
        <v>7</v>
      </c>
      <c r="BB790" s="20">
        <v>10</v>
      </c>
      <c r="BC790" s="300">
        <f t="shared" si="134"/>
        <v>227</v>
      </c>
      <c r="BD790" s="42">
        <f t="shared" si="135"/>
        <v>8</v>
      </c>
      <c r="BE790" s="42">
        <f t="shared" si="136"/>
        <v>0</v>
      </c>
      <c r="BF790" s="42">
        <f t="shared" si="137"/>
        <v>0</v>
      </c>
      <c r="BG790" s="42">
        <f t="shared" si="138"/>
        <v>0</v>
      </c>
      <c r="BH790" s="42">
        <f t="shared" si="139"/>
        <v>0</v>
      </c>
      <c r="BI790" s="42">
        <f t="shared" si="140"/>
        <v>0</v>
      </c>
      <c r="BJ790" s="42">
        <f t="shared" si="141"/>
        <v>0</v>
      </c>
      <c r="BK790" s="42">
        <f t="shared" si="142"/>
        <v>8</v>
      </c>
    </row>
    <row r="791" spans="1:63" ht="27" customHeight="1">
      <c r="A791" s="222">
        <f t="shared" si="143"/>
        <v>789</v>
      </c>
      <c r="B791" s="223"/>
      <c r="C791" s="250">
        <v>3240</v>
      </c>
      <c r="D791" s="225" t="s">
        <v>4700</v>
      </c>
      <c r="E791" s="251" t="s">
        <v>4701</v>
      </c>
      <c r="F791" s="252" t="s">
        <v>4702</v>
      </c>
      <c r="G791" s="253" t="s">
        <v>2840</v>
      </c>
      <c r="H791" s="229" t="s">
        <v>4135</v>
      </c>
      <c r="I791" s="230" t="s">
        <v>4703</v>
      </c>
      <c r="J791" s="254" t="s">
        <v>204</v>
      </c>
      <c r="K791" s="255">
        <v>36808</v>
      </c>
      <c r="L791" s="233" t="s">
        <v>174</v>
      </c>
      <c r="M791" s="256">
        <v>43746</v>
      </c>
      <c r="N791" s="256"/>
      <c r="O791" s="224" t="s">
        <v>3999</v>
      </c>
      <c r="P791" s="222" t="s">
        <v>3828</v>
      </c>
      <c r="Q791" s="222" t="s">
        <v>244</v>
      </c>
      <c r="R791" s="224" t="s">
        <v>177</v>
      </c>
      <c r="S791" s="224" t="s">
        <v>178</v>
      </c>
      <c r="T791" s="235"/>
      <c r="U791" s="257"/>
      <c r="V791" s="258" t="s">
        <v>179</v>
      </c>
      <c r="W791" s="258" t="s">
        <v>179</v>
      </c>
      <c r="X791" s="259">
        <v>7</v>
      </c>
      <c r="Y791" s="251" t="s">
        <v>4704</v>
      </c>
      <c r="Z791" s="261" t="s">
        <v>181</v>
      </c>
      <c r="AA791" s="261"/>
      <c r="AB791" s="258"/>
      <c r="AC791" s="280"/>
      <c r="AD791" s="271"/>
      <c r="AE791" s="271"/>
      <c r="AF791" s="272"/>
      <c r="AG791" s="270"/>
      <c r="AH791" s="260"/>
      <c r="AI791" s="260"/>
      <c r="AJ791" s="258" t="s">
        <v>185</v>
      </c>
      <c r="AK791" s="258" t="s">
        <v>185</v>
      </c>
      <c r="AL791" s="258" t="s">
        <v>185</v>
      </c>
      <c r="AM791" s="273" t="s">
        <v>3962</v>
      </c>
      <c r="AN791" s="20">
        <v>182</v>
      </c>
      <c r="AO791" s="20">
        <v>0</v>
      </c>
      <c r="AP791" s="20">
        <v>0</v>
      </c>
      <c r="AQ791" s="20">
        <v>0</v>
      </c>
      <c r="AR791" s="20">
        <v>0</v>
      </c>
      <c r="AS791" s="20">
        <v>7</v>
      </c>
      <c r="AT791" s="20">
        <v>10</v>
      </c>
      <c r="AU791" s="300">
        <f t="shared" si="133"/>
        <v>199</v>
      </c>
      <c r="AV791" s="20">
        <v>190</v>
      </c>
      <c r="AW791" s="20">
        <v>0</v>
      </c>
      <c r="AX791" s="20">
        <v>0</v>
      </c>
      <c r="AY791" s="20">
        <v>0</v>
      </c>
      <c r="AZ791" s="20">
        <v>0</v>
      </c>
      <c r="BA791" s="20">
        <v>7</v>
      </c>
      <c r="BB791" s="20">
        <v>10</v>
      </c>
      <c r="BC791" s="300">
        <f t="shared" si="134"/>
        <v>207</v>
      </c>
      <c r="BD791" s="42">
        <f t="shared" si="135"/>
        <v>8</v>
      </c>
      <c r="BE791" s="42">
        <f t="shared" si="136"/>
        <v>0</v>
      </c>
      <c r="BF791" s="42">
        <f t="shared" si="137"/>
        <v>0</v>
      </c>
      <c r="BG791" s="42">
        <f t="shared" si="138"/>
        <v>0</v>
      </c>
      <c r="BH791" s="42">
        <f t="shared" si="139"/>
        <v>0</v>
      </c>
      <c r="BI791" s="42">
        <f t="shared" si="140"/>
        <v>0</v>
      </c>
      <c r="BJ791" s="42">
        <f t="shared" si="141"/>
        <v>0</v>
      </c>
      <c r="BK791" s="42">
        <f t="shared" si="142"/>
        <v>8</v>
      </c>
    </row>
    <row r="792" spans="1:63" ht="27" customHeight="1">
      <c r="A792" s="222">
        <f t="shared" si="143"/>
        <v>790</v>
      </c>
      <c r="B792" s="223"/>
      <c r="C792" s="250">
        <v>3244</v>
      </c>
      <c r="D792" s="225" t="s">
        <v>4705</v>
      </c>
      <c r="E792" s="251" t="s">
        <v>4706</v>
      </c>
      <c r="F792" s="252" t="s">
        <v>4697</v>
      </c>
      <c r="G792" s="253" t="s">
        <v>4707</v>
      </c>
      <c r="H792" s="229" t="s">
        <v>4181</v>
      </c>
      <c r="I792" s="230" t="s">
        <v>4708</v>
      </c>
      <c r="J792" s="254" t="s">
        <v>204</v>
      </c>
      <c r="K792" s="255">
        <v>34155</v>
      </c>
      <c r="L792" s="233" t="s">
        <v>174</v>
      </c>
      <c r="M792" s="256">
        <v>43745</v>
      </c>
      <c r="N792" s="256"/>
      <c r="O792" s="224" t="s">
        <v>3999</v>
      </c>
      <c r="P792" s="222" t="s">
        <v>3828</v>
      </c>
      <c r="Q792" s="222" t="s">
        <v>244</v>
      </c>
      <c r="R792" s="224" t="s">
        <v>177</v>
      </c>
      <c r="S792" s="224" t="s">
        <v>223</v>
      </c>
      <c r="T792" s="235"/>
      <c r="U792" s="257"/>
      <c r="V792" s="258" t="s">
        <v>179</v>
      </c>
      <c r="W792" s="258" t="s">
        <v>179</v>
      </c>
      <c r="X792" s="259">
        <v>4</v>
      </c>
      <c r="Y792" s="251" t="s">
        <v>4709</v>
      </c>
      <c r="Z792" s="261" t="s">
        <v>181</v>
      </c>
      <c r="AA792" s="261"/>
      <c r="AB792" s="258"/>
      <c r="AC792" s="280"/>
      <c r="AD792" s="271"/>
      <c r="AE792" s="271"/>
      <c r="AF792" s="272"/>
      <c r="AG792" s="270"/>
      <c r="AH792" s="260"/>
      <c r="AI792" s="260"/>
      <c r="AJ792" s="258" t="s">
        <v>198</v>
      </c>
      <c r="AK792" s="258" t="s">
        <v>185</v>
      </c>
      <c r="AL792" s="258" t="s">
        <v>185</v>
      </c>
      <c r="AM792" s="244" t="s">
        <v>236</v>
      </c>
      <c r="AN792" s="20">
        <v>182</v>
      </c>
      <c r="AO792" s="20">
        <v>0</v>
      </c>
      <c r="AP792" s="20">
        <v>20</v>
      </c>
      <c r="AQ792" s="20">
        <v>0</v>
      </c>
      <c r="AR792" s="20">
        <v>0</v>
      </c>
      <c r="AS792" s="20">
        <v>7</v>
      </c>
      <c r="AT792" s="20">
        <v>10</v>
      </c>
      <c r="AU792" s="300">
        <f t="shared" si="133"/>
        <v>219</v>
      </c>
      <c r="AV792" s="20">
        <v>190</v>
      </c>
      <c r="AW792" s="20">
        <v>0</v>
      </c>
      <c r="AX792" s="20">
        <v>20</v>
      </c>
      <c r="AY792" s="20">
        <v>0</v>
      </c>
      <c r="AZ792" s="20">
        <v>0</v>
      </c>
      <c r="BA792" s="20">
        <v>7</v>
      </c>
      <c r="BB792" s="20">
        <v>10</v>
      </c>
      <c r="BC792" s="300">
        <f t="shared" si="134"/>
        <v>227</v>
      </c>
      <c r="BD792" s="42">
        <f t="shared" si="135"/>
        <v>8</v>
      </c>
      <c r="BE792" s="42">
        <f t="shared" si="136"/>
        <v>0</v>
      </c>
      <c r="BF792" s="42">
        <f t="shared" si="137"/>
        <v>0</v>
      </c>
      <c r="BG792" s="42">
        <f t="shared" si="138"/>
        <v>0</v>
      </c>
      <c r="BH792" s="42">
        <f t="shared" si="139"/>
        <v>0</v>
      </c>
      <c r="BI792" s="42">
        <f t="shared" si="140"/>
        <v>0</v>
      </c>
      <c r="BJ792" s="42">
        <f t="shared" si="141"/>
        <v>0</v>
      </c>
      <c r="BK792" s="42">
        <f t="shared" si="142"/>
        <v>8</v>
      </c>
    </row>
    <row r="793" spans="1:63" ht="27" customHeight="1">
      <c r="A793" s="222">
        <f t="shared" si="143"/>
        <v>791</v>
      </c>
      <c r="B793" s="223"/>
      <c r="C793" s="250">
        <v>3514</v>
      </c>
      <c r="D793" s="225" t="s">
        <v>4710</v>
      </c>
      <c r="E793" s="251" t="s">
        <v>4711</v>
      </c>
      <c r="F793" s="252" t="s">
        <v>727</v>
      </c>
      <c r="G793" s="253" t="s">
        <v>1009</v>
      </c>
      <c r="H793" s="229" t="s">
        <v>1845</v>
      </c>
      <c r="I793" s="230" t="s">
        <v>4712</v>
      </c>
      <c r="J793" s="254" t="s">
        <v>204</v>
      </c>
      <c r="K793" s="255">
        <v>37075</v>
      </c>
      <c r="L793" s="233" t="s">
        <v>174</v>
      </c>
      <c r="M793" s="256">
        <v>43741</v>
      </c>
      <c r="N793" s="256"/>
      <c r="O793" s="224" t="s">
        <v>3960</v>
      </c>
      <c r="P793" s="222" t="s">
        <v>3749</v>
      </c>
      <c r="Q793" s="222" t="s">
        <v>244</v>
      </c>
      <c r="R793" s="224" t="s">
        <v>177</v>
      </c>
      <c r="S793" s="224" t="s">
        <v>305</v>
      </c>
      <c r="T793" s="235"/>
      <c r="U793" s="257"/>
      <c r="V793" s="258" t="s">
        <v>179</v>
      </c>
      <c r="W793" s="258" t="s">
        <v>179</v>
      </c>
      <c r="X793" s="259">
        <v>9</v>
      </c>
      <c r="Y793" s="251" t="s">
        <v>4713</v>
      </c>
      <c r="Z793" s="261" t="s">
        <v>181</v>
      </c>
      <c r="AA793" s="261"/>
      <c r="AB793" s="258"/>
      <c r="AC793" s="280"/>
      <c r="AD793" s="271"/>
      <c r="AE793" s="271"/>
      <c r="AF793" s="272"/>
      <c r="AG793" s="270"/>
      <c r="AH793" s="260"/>
      <c r="AI793" s="260"/>
      <c r="AJ793" s="258" t="s">
        <v>185</v>
      </c>
      <c r="AK793" s="258" t="s">
        <v>185</v>
      </c>
      <c r="AL793" s="258" t="s">
        <v>185</v>
      </c>
      <c r="AM793" s="273" t="s">
        <v>3962</v>
      </c>
      <c r="AN793" s="20">
        <v>182</v>
      </c>
      <c r="AO793" s="20">
        <v>0</v>
      </c>
      <c r="AP793" s="20">
        <v>0</v>
      </c>
      <c r="AQ793" s="20">
        <v>0</v>
      </c>
      <c r="AR793" s="20">
        <v>0</v>
      </c>
      <c r="AS793" s="20">
        <v>7</v>
      </c>
      <c r="AT793" s="20">
        <v>10</v>
      </c>
      <c r="AU793" s="300">
        <f t="shared" si="133"/>
        <v>199</v>
      </c>
      <c r="AV793" s="20">
        <v>190</v>
      </c>
      <c r="AW793" s="20">
        <v>0</v>
      </c>
      <c r="AX793" s="20">
        <v>0</v>
      </c>
      <c r="AY793" s="20">
        <v>0</v>
      </c>
      <c r="AZ793" s="20">
        <v>0</v>
      </c>
      <c r="BA793" s="20">
        <v>7</v>
      </c>
      <c r="BB793" s="20">
        <v>10</v>
      </c>
      <c r="BC793" s="300">
        <f t="shared" si="134"/>
        <v>207</v>
      </c>
      <c r="BD793" s="42">
        <f t="shared" si="135"/>
        <v>8</v>
      </c>
      <c r="BE793" s="42">
        <f t="shared" si="136"/>
        <v>0</v>
      </c>
      <c r="BF793" s="42">
        <f t="shared" si="137"/>
        <v>0</v>
      </c>
      <c r="BG793" s="42">
        <f t="shared" si="138"/>
        <v>0</v>
      </c>
      <c r="BH793" s="42">
        <f t="shared" si="139"/>
        <v>0</v>
      </c>
      <c r="BI793" s="42">
        <f t="shared" si="140"/>
        <v>0</v>
      </c>
      <c r="BJ793" s="42">
        <f t="shared" si="141"/>
        <v>0</v>
      </c>
      <c r="BK793" s="42">
        <f t="shared" si="142"/>
        <v>8</v>
      </c>
    </row>
    <row r="794" spans="1:63" ht="27" customHeight="1">
      <c r="A794" s="222">
        <f t="shared" si="143"/>
        <v>792</v>
      </c>
      <c r="B794" s="223"/>
      <c r="C794" s="250">
        <v>3586</v>
      </c>
      <c r="D794" s="268">
        <v>0</v>
      </c>
      <c r="E794" s="251" t="s">
        <v>4714</v>
      </c>
      <c r="F794" s="252" t="s">
        <v>2032</v>
      </c>
      <c r="G794" s="253" t="s">
        <v>4715</v>
      </c>
      <c r="H794" s="229" t="s">
        <v>2034</v>
      </c>
      <c r="I794" s="230" t="s">
        <v>4716</v>
      </c>
      <c r="J794" s="254" t="s">
        <v>204</v>
      </c>
      <c r="K794" s="255">
        <v>36605</v>
      </c>
      <c r="L794" s="233" t="s">
        <v>174</v>
      </c>
      <c r="M794" s="256">
        <v>43746</v>
      </c>
      <c r="N794" s="256"/>
      <c r="O794" s="224" t="s">
        <v>4196</v>
      </c>
      <c r="P794" s="222" t="s">
        <v>3629</v>
      </c>
      <c r="Q794" s="222" t="s">
        <v>244</v>
      </c>
      <c r="R794" s="224" t="s">
        <v>3955</v>
      </c>
      <c r="S794" s="224" t="s">
        <v>223</v>
      </c>
      <c r="T794" s="235" t="s">
        <v>4148</v>
      </c>
      <c r="U794" s="257">
        <v>43789</v>
      </c>
      <c r="V794" s="258" t="s">
        <v>179</v>
      </c>
      <c r="W794" s="258" t="s">
        <v>179</v>
      </c>
      <c r="X794" s="259">
        <v>7</v>
      </c>
      <c r="Y794" s="251" t="s">
        <v>4717</v>
      </c>
      <c r="Z794" s="261"/>
      <c r="AA794" s="261"/>
      <c r="AB794" s="258"/>
      <c r="AC794" s="280"/>
      <c r="AD794" s="271"/>
      <c r="AE794" s="271"/>
      <c r="AF794" s="272"/>
      <c r="AG794" s="270"/>
      <c r="AH794" s="260"/>
      <c r="AI794" s="260"/>
      <c r="AJ794" s="258" t="s">
        <v>185</v>
      </c>
      <c r="AK794" s="258" t="s">
        <v>185</v>
      </c>
      <c r="AL794" s="258" t="s">
        <v>185</v>
      </c>
      <c r="AM794" s="273" t="s">
        <v>3962</v>
      </c>
      <c r="AN794" s="20">
        <v>182</v>
      </c>
      <c r="AO794" s="20">
        <v>0</v>
      </c>
      <c r="AP794" s="20">
        <v>0</v>
      </c>
      <c r="AQ794" s="20">
        <v>0</v>
      </c>
      <c r="AR794" s="20">
        <v>0</v>
      </c>
      <c r="AS794" s="20">
        <v>7</v>
      </c>
      <c r="AT794" s="20">
        <v>10</v>
      </c>
      <c r="AU794" s="300">
        <f t="shared" si="133"/>
        <v>199</v>
      </c>
      <c r="AV794" s="20">
        <v>190</v>
      </c>
      <c r="AW794" s="20">
        <v>0</v>
      </c>
      <c r="AX794" s="20">
        <v>0</v>
      </c>
      <c r="AY794" s="20">
        <v>0</v>
      </c>
      <c r="AZ794" s="20">
        <v>0</v>
      </c>
      <c r="BA794" s="20">
        <v>7</v>
      </c>
      <c r="BB794" s="20">
        <v>10</v>
      </c>
      <c r="BC794" s="300">
        <f t="shared" si="134"/>
        <v>207</v>
      </c>
      <c r="BD794" s="42">
        <f t="shared" si="135"/>
        <v>8</v>
      </c>
      <c r="BE794" s="42">
        <f t="shared" si="136"/>
        <v>0</v>
      </c>
      <c r="BF794" s="42">
        <f t="shared" si="137"/>
        <v>0</v>
      </c>
      <c r="BG794" s="42">
        <f t="shared" si="138"/>
        <v>0</v>
      </c>
      <c r="BH794" s="42">
        <f t="shared" si="139"/>
        <v>0</v>
      </c>
      <c r="BI794" s="42">
        <f t="shared" si="140"/>
        <v>0</v>
      </c>
      <c r="BJ794" s="42">
        <f t="shared" si="141"/>
        <v>0</v>
      </c>
      <c r="BK794" s="42">
        <f t="shared" si="142"/>
        <v>8</v>
      </c>
    </row>
    <row r="795" spans="1:63" ht="27" customHeight="1">
      <c r="A795" s="222">
        <f t="shared" si="143"/>
        <v>793</v>
      </c>
      <c r="B795" s="223"/>
      <c r="C795" s="250">
        <v>3592</v>
      </c>
      <c r="D795" s="225" t="s">
        <v>4718</v>
      </c>
      <c r="E795" s="251" t="s">
        <v>4719</v>
      </c>
      <c r="F795" s="252" t="s">
        <v>4720</v>
      </c>
      <c r="G795" s="253" t="s">
        <v>3112</v>
      </c>
      <c r="H795" s="229" t="s">
        <v>4721</v>
      </c>
      <c r="I795" s="230" t="s">
        <v>3977</v>
      </c>
      <c r="J795" s="254" t="s">
        <v>204</v>
      </c>
      <c r="K795" s="255">
        <v>36493</v>
      </c>
      <c r="L795" s="233" t="s">
        <v>174</v>
      </c>
      <c r="M795" s="256">
        <v>43749</v>
      </c>
      <c r="N795" s="256"/>
      <c r="O795" s="224"/>
      <c r="P795" s="222" t="s">
        <v>3945</v>
      </c>
      <c r="Q795" s="222" t="s">
        <v>244</v>
      </c>
      <c r="R795" s="224" t="s">
        <v>177</v>
      </c>
      <c r="S795" s="224" t="s">
        <v>4014</v>
      </c>
      <c r="T795" s="235"/>
      <c r="U795" s="257"/>
      <c r="V795" s="258" t="s">
        <v>179</v>
      </c>
      <c r="W795" s="258" t="s">
        <v>179</v>
      </c>
      <c r="X795" s="259">
        <v>5</v>
      </c>
      <c r="Y795" s="251"/>
      <c r="Z795" s="261"/>
      <c r="AA795" s="261" t="s">
        <v>181</v>
      </c>
      <c r="AB795" s="258"/>
      <c r="AC795" s="280"/>
      <c r="AD795" s="271"/>
      <c r="AE795" s="271"/>
      <c r="AF795" s="272"/>
      <c r="AG795" s="270"/>
      <c r="AH795" s="260"/>
      <c r="AI795" s="260"/>
      <c r="AJ795" s="258" t="s">
        <v>198</v>
      </c>
      <c r="AK795" s="258" t="s">
        <v>185</v>
      </c>
      <c r="AL795" s="258" t="s">
        <v>185</v>
      </c>
      <c r="AM795" s="244" t="s">
        <v>3854</v>
      </c>
      <c r="AN795" s="20">
        <v>182</v>
      </c>
      <c r="AO795" s="20">
        <v>0</v>
      </c>
      <c r="AP795" s="20">
        <v>20</v>
      </c>
      <c r="AQ795" s="20">
        <v>0</v>
      </c>
      <c r="AR795" s="20">
        <v>0</v>
      </c>
      <c r="AS795" s="20">
        <v>7</v>
      </c>
      <c r="AT795" s="20">
        <v>10</v>
      </c>
      <c r="AU795" s="300">
        <f t="shared" si="133"/>
        <v>219</v>
      </c>
      <c r="AV795" s="20">
        <v>190</v>
      </c>
      <c r="AW795" s="20">
        <v>0</v>
      </c>
      <c r="AX795" s="20">
        <v>20</v>
      </c>
      <c r="AY795" s="20">
        <v>0</v>
      </c>
      <c r="AZ795" s="20">
        <v>0</v>
      </c>
      <c r="BA795" s="20">
        <v>7</v>
      </c>
      <c r="BB795" s="20">
        <v>10</v>
      </c>
      <c r="BC795" s="300">
        <f t="shared" si="134"/>
        <v>227</v>
      </c>
      <c r="BD795" s="42">
        <f t="shared" si="135"/>
        <v>8</v>
      </c>
      <c r="BE795" s="42">
        <f t="shared" si="136"/>
        <v>0</v>
      </c>
      <c r="BF795" s="42">
        <f t="shared" si="137"/>
        <v>0</v>
      </c>
      <c r="BG795" s="42">
        <f t="shared" si="138"/>
        <v>0</v>
      </c>
      <c r="BH795" s="42">
        <f t="shared" si="139"/>
        <v>0</v>
      </c>
      <c r="BI795" s="42">
        <f t="shared" si="140"/>
        <v>0</v>
      </c>
      <c r="BJ795" s="42">
        <f t="shared" si="141"/>
        <v>0</v>
      </c>
      <c r="BK795" s="42">
        <f t="shared" si="142"/>
        <v>8</v>
      </c>
    </row>
    <row r="796" spans="1:63" ht="27" customHeight="1">
      <c r="A796" s="222">
        <f t="shared" si="143"/>
        <v>794</v>
      </c>
      <c r="B796" s="223"/>
      <c r="C796" s="250">
        <v>3558</v>
      </c>
      <c r="D796" s="225" t="s">
        <v>4722</v>
      </c>
      <c r="E796" s="251" t="s">
        <v>4723</v>
      </c>
      <c r="F796" s="252" t="s">
        <v>4724</v>
      </c>
      <c r="G796" s="253" t="s">
        <v>869</v>
      </c>
      <c r="H796" s="229" t="s">
        <v>4725</v>
      </c>
      <c r="I796" s="230" t="s">
        <v>4374</v>
      </c>
      <c r="J796" s="254" t="s">
        <v>204</v>
      </c>
      <c r="K796" s="255">
        <v>35112</v>
      </c>
      <c r="L796" s="233" t="s">
        <v>174</v>
      </c>
      <c r="M796" s="256">
        <v>43748</v>
      </c>
      <c r="N796" s="256"/>
      <c r="O796" s="224" t="s">
        <v>3973</v>
      </c>
      <c r="P796" s="222" t="s">
        <v>3780</v>
      </c>
      <c r="Q796" s="222" t="s">
        <v>244</v>
      </c>
      <c r="R796" s="224" t="s">
        <v>177</v>
      </c>
      <c r="S796" s="224" t="s">
        <v>206</v>
      </c>
      <c r="T796" s="235"/>
      <c r="U796" s="257"/>
      <c r="V796" s="258" t="s">
        <v>179</v>
      </c>
      <c r="W796" s="258" t="s">
        <v>179</v>
      </c>
      <c r="X796" s="259">
        <v>9</v>
      </c>
      <c r="Y796" s="251" t="s">
        <v>4726</v>
      </c>
      <c r="Z796" s="261" t="s">
        <v>181</v>
      </c>
      <c r="AA796" s="261"/>
      <c r="AB796" s="258"/>
      <c r="AC796" s="280"/>
      <c r="AD796" s="271"/>
      <c r="AE796" s="271"/>
      <c r="AF796" s="272"/>
      <c r="AG796" s="270"/>
      <c r="AH796" s="260"/>
      <c r="AI796" s="260"/>
      <c r="AJ796" s="258" t="s">
        <v>198</v>
      </c>
      <c r="AK796" s="258" t="s">
        <v>185</v>
      </c>
      <c r="AL796" s="258" t="s">
        <v>185</v>
      </c>
      <c r="AM796" s="244" t="s">
        <v>3854</v>
      </c>
      <c r="AN796" s="20">
        <v>182</v>
      </c>
      <c r="AO796" s="20">
        <v>0</v>
      </c>
      <c r="AP796" s="20">
        <v>20</v>
      </c>
      <c r="AQ796" s="20">
        <v>0</v>
      </c>
      <c r="AR796" s="20">
        <v>0</v>
      </c>
      <c r="AS796" s="20">
        <v>7</v>
      </c>
      <c r="AT796" s="20">
        <v>10</v>
      </c>
      <c r="AU796" s="300">
        <f t="shared" si="133"/>
        <v>219</v>
      </c>
      <c r="AV796" s="20">
        <v>190</v>
      </c>
      <c r="AW796" s="20">
        <v>0</v>
      </c>
      <c r="AX796" s="20">
        <v>20</v>
      </c>
      <c r="AY796" s="20">
        <v>0</v>
      </c>
      <c r="AZ796" s="20">
        <v>0</v>
      </c>
      <c r="BA796" s="20">
        <v>7</v>
      </c>
      <c r="BB796" s="20">
        <v>10</v>
      </c>
      <c r="BC796" s="300">
        <f t="shared" si="134"/>
        <v>227</v>
      </c>
      <c r="BD796" s="42">
        <f t="shared" si="135"/>
        <v>8</v>
      </c>
      <c r="BE796" s="42">
        <f t="shared" si="136"/>
        <v>0</v>
      </c>
      <c r="BF796" s="42">
        <f t="shared" si="137"/>
        <v>0</v>
      </c>
      <c r="BG796" s="42">
        <f t="shared" si="138"/>
        <v>0</v>
      </c>
      <c r="BH796" s="42">
        <f t="shared" si="139"/>
        <v>0</v>
      </c>
      <c r="BI796" s="42">
        <f t="shared" si="140"/>
        <v>0</v>
      </c>
      <c r="BJ796" s="42">
        <f t="shared" si="141"/>
        <v>0</v>
      </c>
      <c r="BK796" s="42">
        <f t="shared" si="142"/>
        <v>8</v>
      </c>
    </row>
    <row r="797" spans="1:63" ht="27" customHeight="1">
      <c r="A797" s="222">
        <f t="shared" si="143"/>
        <v>795</v>
      </c>
      <c r="B797" s="223"/>
      <c r="C797" s="250">
        <v>3154</v>
      </c>
      <c r="D797" s="264" t="s">
        <v>4727</v>
      </c>
      <c r="E797" s="251" t="s">
        <v>4728</v>
      </c>
      <c r="F797" s="252" t="s">
        <v>552</v>
      </c>
      <c r="G797" s="253" t="s">
        <v>4729</v>
      </c>
      <c r="H797" s="229" t="s">
        <v>554</v>
      </c>
      <c r="I797" s="230" t="s">
        <v>4730</v>
      </c>
      <c r="J797" s="254" t="s">
        <v>204</v>
      </c>
      <c r="K797" s="255">
        <v>34523</v>
      </c>
      <c r="L797" s="233" t="s">
        <v>174</v>
      </c>
      <c r="M797" s="256">
        <v>43740</v>
      </c>
      <c r="N797" s="256"/>
      <c r="O797" s="224" t="s">
        <v>4085</v>
      </c>
      <c r="P797" s="222" t="s">
        <v>3770</v>
      </c>
      <c r="Q797" s="222" t="s">
        <v>244</v>
      </c>
      <c r="R797" s="224" t="s">
        <v>177</v>
      </c>
      <c r="S797" s="224" t="s">
        <v>206</v>
      </c>
      <c r="T797" s="235"/>
      <c r="U797" s="257"/>
      <c r="V797" s="258" t="s">
        <v>179</v>
      </c>
      <c r="W797" s="258" t="s">
        <v>179</v>
      </c>
      <c r="X797" s="259">
        <v>5</v>
      </c>
      <c r="Y797" s="251" t="s">
        <v>4731</v>
      </c>
      <c r="Z797" s="261" t="s">
        <v>181</v>
      </c>
      <c r="AA797" s="261"/>
      <c r="AB797" s="258"/>
      <c r="AC797" s="280"/>
      <c r="AD797" s="271"/>
      <c r="AE797" s="271"/>
      <c r="AF797" s="272"/>
      <c r="AG797" s="270"/>
      <c r="AH797" s="260"/>
      <c r="AI797" s="260"/>
      <c r="AJ797" s="258" t="s">
        <v>198</v>
      </c>
      <c r="AK797" s="258" t="s">
        <v>185</v>
      </c>
      <c r="AL797" s="258" t="s">
        <v>185</v>
      </c>
      <c r="AM797" s="244" t="s">
        <v>3854</v>
      </c>
      <c r="AN797" s="20">
        <v>182</v>
      </c>
      <c r="AO797" s="20">
        <v>0</v>
      </c>
      <c r="AP797" s="20">
        <v>0</v>
      </c>
      <c r="AQ797" s="20">
        <v>0</v>
      </c>
      <c r="AR797" s="20">
        <v>0</v>
      </c>
      <c r="AS797" s="20">
        <v>7</v>
      </c>
      <c r="AT797" s="20">
        <v>10</v>
      </c>
      <c r="AU797" s="300">
        <f t="shared" si="133"/>
        <v>199</v>
      </c>
      <c r="AV797" s="20">
        <v>190</v>
      </c>
      <c r="AW797" s="20">
        <v>0</v>
      </c>
      <c r="AX797" s="20">
        <v>0</v>
      </c>
      <c r="AY797" s="20">
        <v>0</v>
      </c>
      <c r="AZ797" s="20">
        <v>0</v>
      </c>
      <c r="BA797" s="20">
        <v>7</v>
      </c>
      <c r="BB797" s="20">
        <v>10</v>
      </c>
      <c r="BC797" s="300">
        <f t="shared" si="134"/>
        <v>207</v>
      </c>
      <c r="BD797" s="42">
        <f t="shared" si="135"/>
        <v>8</v>
      </c>
      <c r="BE797" s="42">
        <f t="shared" si="136"/>
        <v>0</v>
      </c>
      <c r="BF797" s="42">
        <f t="shared" si="137"/>
        <v>0</v>
      </c>
      <c r="BG797" s="42">
        <f t="shared" si="138"/>
        <v>0</v>
      </c>
      <c r="BH797" s="42">
        <f t="shared" si="139"/>
        <v>0</v>
      </c>
      <c r="BI797" s="42">
        <f t="shared" si="140"/>
        <v>0</v>
      </c>
      <c r="BJ797" s="42">
        <f t="shared" si="141"/>
        <v>0</v>
      </c>
      <c r="BK797" s="42">
        <f t="shared" si="142"/>
        <v>8</v>
      </c>
    </row>
    <row r="798" spans="1:63" ht="27" customHeight="1">
      <c r="A798" s="222">
        <f t="shared" si="143"/>
        <v>796</v>
      </c>
      <c r="B798" s="223"/>
      <c r="C798" s="250">
        <v>3500</v>
      </c>
      <c r="D798" s="268">
        <v>0</v>
      </c>
      <c r="E798" s="251" t="s">
        <v>291</v>
      </c>
      <c r="F798" s="252" t="s">
        <v>431</v>
      </c>
      <c r="G798" s="253" t="s">
        <v>4732</v>
      </c>
      <c r="H798" s="229">
        <v>0</v>
      </c>
      <c r="I798" s="230">
        <v>0</v>
      </c>
      <c r="J798" s="254" t="s">
        <v>204</v>
      </c>
      <c r="K798" s="255">
        <v>36808</v>
      </c>
      <c r="L798" s="233" t="s">
        <v>174</v>
      </c>
      <c r="M798" s="256">
        <v>43747</v>
      </c>
      <c r="N798" s="256"/>
      <c r="O798" s="224" t="s">
        <v>4019</v>
      </c>
      <c r="P798" s="222" t="s">
        <v>3954</v>
      </c>
      <c r="Q798" s="222" t="s">
        <v>244</v>
      </c>
      <c r="R798" s="224" t="s">
        <v>177</v>
      </c>
      <c r="S798" s="224" t="s">
        <v>251</v>
      </c>
      <c r="T798" s="235"/>
      <c r="U798" s="257"/>
      <c r="V798" s="258" t="s">
        <v>179</v>
      </c>
      <c r="W798" s="258">
        <v>680</v>
      </c>
      <c r="X798" s="259"/>
      <c r="Y798" s="251" t="s">
        <v>4171</v>
      </c>
      <c r="Z798" s="261"/>
      <c r="AA798" s="261"/>
      <c r="AB798" s="258"/>
      <c r="AC798" s="280"/>
      <c r="AD798" s="271"/>
      <c r="AE798" s="271"/>
      <c r="AF798" s="272"/>
      <c r="AG798" s="270"/>
      <c r="AH798" s="260"/>
      <c r="AI798" s="260"/>
      <c r="AJ798" s="258" t="s">
        <v>185</v>
      </c>
      <c r="AK798" s="258" t="s">
        <v>185</v>
      </c>
      <c r="AL798" s="258" t="s">
        <v>185</v>
      </c>
      <c r="AM798" s="244" t="s">
        <v>3911</v>
      </c>
      <c r="AN798" s="20">
        <v>182</v>
      </c>
      <c r="AO798" s="20">
        <v>0</v>
      </c>
      <c r="AP798" s="20">
        <v>20</v>
      </c>
      <c r="AQ798" s="20">
        <v>0</v>
      </c>
      <c r="AR798" s="20">
        <v>0</v>
      </c>
      <c r="AS798" s="20">
        <v>7</v>
      </c>
      <c r="AT798" s="20">
        <v>10</v>
      </c>
      <c r="AU798" s="300">
        <f t="shared" si="133"/>
        <v>219</v>
      </c>
      <c r="AV798" s="20">
        <v>190</v>
      </c>
      <c r="AW798" s="20">
        <v>0</v>
      </c>
      <c r="AX798" s="20">
        <v>20</v>
      </c>
      <c r="AY798" s="20">
        <v>0</v>
      </c>
      <c r="AZ798" s="20">
        <v>0</v>
      </c>
      <c r="BA798" s="20">
        <v>7</v>
      </c>
      <c r="BB798" s="20">
        <v>10</v>
      </c>
      <c r="BC798" s="300">
        <f t="shared" si="134"/>
        <v>227</v>
      </c>
      <c r="BD798" s="42">
        <f t="shared" si="135"/>
        <v>8</v>
      </c>
      <c r="BE798" s="42">
        <f t="shared" si="136"/>
        <v>0</v>
      </c>
      <c r="BF798" s="42">
        <f t="shared" si="137"/>
        <v>0</v>
      </c>
      <c r="BG798" s="42">
        <f t="shared" si="138"/>
        <v>0</v>
      </c>
      <c r="BH798" s="42">
        <f t="shared" si="139"/>
        <v>0</v>
      </c>
      <c r="BI798" s="42">
        <f t="shared" si="140"/>
        <v>0</v>
      </c>
      <c r="BJ798" s="42">
        <f t="shared" si="141"/>
        <v>0</v>
      </c>
      <c r="BK798" s="42">
        <f t="shared" si="142"/>
        <v>8</v>
      </c>
    </row>
    <row r="799" spans="1:63" ht="27" customHeight="1">
      <c r="A799" s="222">
        <f t="shared" si="143"/>
        <v>797</v>
      </c>
      <c r="B799" s="223"/>
      <c r="C799" s="250">
        <v>3181</v>
      </c>
      <c r="D799" s="225" t="s">
        <v>4733</v>
      </c>
      <c r="E799" s="251" t="s">
        <v>4734</v>
      </c>
      <c r="F799" s="252" t="s">
        <v>4735</v>
      </c>
      <c r="G799" s="253" t="s">
        <v>1385</v>
      </c>
      <c r="H799" s="229" t="s">
        <v>1002</v>
      </c>
      <c r="I799" s="230" t="s">
        <v>1387</v>
      </c>
      <c r="J799" s="254" t="s">
        <v>204</v>
      </c>
      <c r="K799" s="255">
        <v>35523</v>
      </c>
      <c r="L799" s="233" t="s">
        <v>174</v>
      </c>
      <c r="M799" s="256">
        <v>43740</v>
      </c>
      <c r="N799" s="256"/>
      <c r="O799" s="224"/>
      <c r="P799" s="222" t="s">
        <v>3770</v>
      </c>
      <c r="Q799" s="222" t="s">
        <v>244</v>
      </c>
      <c r="R799" s="224" t="s">
        <v>177</v>
      </c>
      <c r="S799" s="224" t="s">
        <v>251</v>
      </c>
      <c r="T799" s="235"/>
      <c r="U799" s="257"/>
      <c r="V799" s="258" t="s">
        <v>179</v>
      </c>
      <c r="W799" s="258" t="s">
        <v>179</v>
      </c>
      <c r="X799" s="259">
        <v>5</v>
      </c>
      <c r="Y799" s="251" t="s">
        <v>4220</v>
      </c>
      <c r="Z799" s="261" t="s">
        <v>181</v>
      </c>
      <c r="AA799" s="261"/>
      <c r="AB799" s="258"/>
      <c r="AC799" s="280"/>
      <c r="AD799" s="271"/>
      <c r="AE799" s="271"/>
      <c r="AF799" s="272"/>
      <c r="AG799" s="270"/>
      <c r="AH799" s="260"/>
      <c r="AI799" s="260"/>
      <c r="AJ799" s="258" t="s">
        <v>185</v>
      </c>
      <c r="AK799" s="258" t="s">
        <v>185</v>
      </c>
      <c r="AL799" s="258" t="s">
        <v>185</v>
      </c>
      <c r="AM799" s="273" t="s">
        <v>3962</v>
      </c>
      <c r="AN799" s="20">
        <v>182</v>
      </c>
      <c r="AO799" s="20">
        <v>0</v>
      </c>
      <c r="AP799" s="20">
        <v>20</v>
      </c>
      <c r="AQ799" s="20">
        <v>0</v>
      </c>
      <c r="AR799" s="20">
        <v>0</v>
      </c>
      <c r="AS799" s="20">
        <v>7</v>
      </c>
      <c r="AT799" s="20">
        <v>10</v>
      </c>
      <c r="AU799" s="300">
        <f t="shared" si="133"/>
        <v>219</v>
      </c>
      <c r="AV799" s="20">
        <v>190</v>
      </c>
      <c r="AW799" s="20">
        <v>0</v>
      </c>
      <c r="AX799" s="20">
        <v>20</v>
      </c>
      <c r="AY799" s="20">
        <v>0</v>
      </c>
      <c r="AZ799" s="20">
        <v>0</v>
      </c>
      <c r="BA799" s="20">
        <v>7</v>
      </c>
      <c r="BB799" s="20">
        <v>10</v>
      </c>
      <c r="BC799" s="300">
        <f t="shared" si="134"/>
        <v>227</v>
      </c>
      <c r="BD799" s="42">
        <f t="shared" si="135"/>
        <v>8</v>
      </c>
      <c r="BE799" s="42">
        <f t="shared" si="136"/>
        <v>0</v>
      </c>
      <c r="BF799" s="42">
        <f t="shared" si="137"/>
        <v>0</v>
      </c>
      <c r="BG799" s="42">
        <f t="shared" si="138"/>
        <v>0</v>
      </c>
      <c r="BH799" s="42">
        <f t="shared" si="139"/>
        <v>0</v>
      </c>
      <c r="BI799" s="42">
        <f t="shared" si="140"/>
        <v>0</v>
      </c>
      <c r="BJ799" s="42">
        <f t="shared" si="141"/>
        <v>0</v>
      </c>
      <c r="BK799" s="42">
        <f t="shared" si="142"/>
        <v>8</v>
      </c>
    </row>
    <row r="800" spans="1:63" ht="27" customHeight="1">
      <c r="A800" s="222">
        <f t="shared" si="143"/>
        <v>798</v>
      </c>
      <c r="B800" s="223"/>
      <c r="C800" s="250">
        <v>3270</v>
      </c>
      <c r="D800" s="225" t="s">
        <v>4736</v>
      </c>
      <c r="E800" s="251" t="s">
        <v>4737</v>
      </c>
      <c r="F800" s="252" t="s">
        <v>438</v>
      </c>
      <c r="G800" s="253" t="s">
        <v>4738</v>
      </c>
      <c r="H800" s="229" t="s">
        <v>959</v>
      </c>
      <c r="I800" s="230" t="s">
        <v>4739</v>
      </c>
      <c r="J800" s="254" t="s">
        <v>204</v>
      </c>
      <c r="K800" s="255">
        <v>32404</v>
      </c>
      <c r="L800" s="233" t="s">
        <v>174</v>
      </c>
      <c r="M800" s="256">
        <v>43746</v>
      </c>
      <c r="N800" s="256"/>
      <c r="O800" s="224" t="s">
        <v>3999</v>
      </c>
      <c r="P800" s="222" t="s">
        <v>3828</v>
      </c>
      <c r="Q800" s="222" t="s">
        <v>244</v>
      </c>
      <c r="R800" s="224" t="s">
        <v>177</v>
      </c>
      <c r="S800" s="224" t="s">
        <v>4014</v>
      </c>
      <c r="T800" s="235"/>
      <c r="U800" s="257"/>
      <c r="V800" s="258" t="s">
        <v>179</v>
      </c>
      <c r="W800" s="258" t="s">
        <v>179</v>
      </c>
      <c r="X800" s="259">
        <v>8</v>
      </c>
      <c r="Y800" s="251" t="s">
        <v>4740</v>
      </c>
      <c r="Z800" s="261" t="s">
        <v>181</v>
      </c>
      <c r="AA800" s="261"/>
      <c r="AB800" s="258"/>
      <c r="AC800" s="280"/>
      <c r="AD800" s="271"/>
      <c r="AE800" s="271"/>
      <c r="AF800" s="272"/>
      <c r="AG800" s="270"/>
      <c r="AH800" s="260"/>
      <c r="AI800" s="260"/>
      <c r="AJ800" s="258" t="s">
        <v>185</v>
      </c>
      <c r="AK800" s="258" t="s">
        <v>185</v>
      </c>
      <c r="AL800" s="258" t="s">
        <v>185</v>
      </c>
      <c r="AM800" s="273" t="s">
        <v>3962</v>
      </c>
      <c r="AN800" s="20">
        <v>182</v>
      </c>
      <c r="AO800" s="20">
        <v>0</v>
      </c>
      <c r="AP800" s="20">
        <v>20</v>
      </c>
      <c r="AQ800" s="20">
        <v>0</v>
      </c>
      <c r="AR800" s="20">
        <v>0</v>
      </c>
      <c r="AS800" s="20">
        <v>7</v>
      </c>
      <c r="AT800" s="20">
        <v>10</v>
      </c>
      <c r="AU800" s="300">
        <f t="shared" si="133"/>
        <v>219</v>
      </c>
      <c r="AV800" s="20">
        <v>190</v>
      </c>
      <c r="AW800" s="20">
        <v>0</v>
      </c>
      <c r="AX800" s="20">
        <v>20</v>
      </c>
      <c r="AY800" s="20">
        <v>0</v>
      </c>
      <c r="AZ800" s="20">
        <v>0</v>
      </c>
      <c r="BA800" s="20">
        <v>7</v>
      </c>
      <c r="BB800" s="20">
        <v>10</v>
      </c>
      <c r="BC800" s="300">
        <f t="shared" si="134"/>
        <v>227</v>
      </c>
      <c r="BD800" s="42">
        <f t="shared" si="135"/>
        <v>8</v>
      </c>
      <c r="BE800" s="42">
        <f t="shared" si="136"/>
        <v>0</v>
      </c>
      <c r="BF800" s="42">
        <f t="shared" si="137"/>
        <v>0</v>
      </c>
      <c r="BG800" s="42">
        <f t="shared" si="138"/>
        <v>0</v>
      </c>
      <c r="BH800" s="42">
        <f t="shared" si="139"/>
        <v>0</v>
      </c>
      <c r="BI800" s="42">
        <f t="shared" si="140"/>
        <v>0</v>
      </c>
      <c r="BJ800" s="42">
        <f t="shared" si="141"/>
        <v>0</v>
      </c>
      <c r="BK800" s="42">
        <f t="shared" si="142"/>
        <v>8</v>
      </c>
    </row>
    <row r="801" spans="1:63" ht="27" customHeight="1">
      <c r="A801" s="222">
        <f t="shared" si="143"/>
        <v>799</v>
      </c>
      <c r="B801" s="223"/>
      <c r="C801" s="250">
        <v>3151</v>
      </c>
      <c r="D801" s="225" t="s">
        <v>4741</v>
      </c>
      <c r="E801" s="251" t="s">
        <v>4742</v>
      </c>
      <c r="F801" s="252" t="s">
        <v>273</v>
      </c>
      <c r="G801" s="253" t="s">
        <v>1335</v>
      </c>
      <c r="H801" s="229" t="s">
        <v>819</v>
      </c>
      <c r="I801" s="230" t="s">
        <v>1337</v>
      </c>
      <c r="J801" s="254" t="s">
        <v>204</v>
      </c>
      <c r="K801" s="255">
        <v>31870</v>
      </c>
      <c r="L801" s="233" t="s">
        <v>174</v>
      </c>
      <c r="M801" s="256">
        <v>43740</v>
      </c>
      <c r="N801" s="256"/>
      <c r="O801" s="224" t="s">
        <v>4085</v>
      </c>
      <c r="P801" s="222" t="s">
        <v>3770</v>
      </c>
      <c r="Q801" s="222" t="s">
        <v>244</v>
      </c>
      <c r="R801" s="224" t="s">
        <v>177</v>
      </c>
      <c r="S801" s="224" t="s">
        <v>206</v>
      </c>
      <c r="T801" s="235"/>
      <c r="U801" s="257"/>
      <c r="V801" s="258" t="s">
        <v>179</v>
      </c>
      <c r="W801" s="258" t="s">
        <v>179</v>
      </c>
      <c r="X801" s="259">
        <v>2</v>
      </c>
      <c r="Y801" s="251" t="s">
        <v>4731</v>
      </c>
      <c r="Z801" s="261"/>
      <c r="AA801" s="261" t="s">
        <v>181</v>
      </c>
      <c r="AB801" s="258"/>
      <c r="AC801" s="280"/>
      <c r="AD801" s="271"/>
      <c r="AE801" s="271"/>
      <c r="AF801" s="272"/>
      <c r="AG801" s="270"/>
      <c r="AH801" s="260"/>
      <c r="AI801" s="260"/>
      <c r="AJ801" s="258" t="s">
        <v>198</v>
      </c>
      <c r="AK801" s="258" t="s">
        <v>185</v>
      </c>
      <c r="AL801" s="258" t="s">
        <v>185</v>
      </c>
      <c r="AM801" s="244" t="s">
        <v>3854</v>
      </c>
      <c r="AN801" s="20">
        <v>182</v>
      </c>
      <c r="AO801" s="20">
        <v>0</v>
      </c>
      <c r="AP801" s="20">
        <v>20</v>
      </c>
      <c r="AQ801" s="20">
        <v>0</v>
      </c>
      <c r="AR801" s="20">
        <v>0</v>
      </c>
      <c r="AS801" s="20">
        <v>7</v>
      </c>
      <c r="AT801" s="20">
        <v>10</v>
      </c>
      <c r="AU801" s="300">
        <f t="shared" si="133"/>
        <v>219</v>
      </c>
      <c r="AV801" s="20">
        <v>190</v>
      </c>
      <c r="AW801" s="20">
        <v>0</v>
      </c>
      <c r="AX801" s="20">
        <v>20</v>
      </c>
      <c r="AY801" s="20">
        <v>0</v>
      </c>
      <c r="AZ801" s="20">
        <v>0</v>
      </c>
      <c r="BA801" s="20">
        <v>7</v>
      </c>
      <c r="BB801" s="20">
        <v>10</v>
      </c>
      <c r="BC801" s="300">
        <f t="shared" si="134"/>
        <v>227</v>
      </c>
      <c r="BD801" s="42">
        <f t="shared" si="135"/>
        <v>8</v>
      </c>
      <c r="BE801" s="42">
        <f t="shared" si="136"/>
        <v>0</v>
      </c>
      <c r="BF801" s="42">
        <f t="shared" si="137"/>
        <v>0</v>
      </c>
      <c r="BG801" s="42">
        <f t="shared" si="138"/>
        <v>0</v>
      </c>
      <c r="BH801" s="42">
        <f t="shared" si="139"/>
        <v>0</v>
      </c>
      <c r="BI801" s="42">
        <f t="shared" si="140"/>
        <v>0</v>
      </c>
      <c r="BJ801" s="42">
        <f t="shared" si="141"/>
        <v>0</v>
      </c>
      <c r="BK801" s="42">
        <f t="shared" si="142"/>
        <v>8</v>
      </c>
    </row>
    <row r="802" spans="1:63" ht="27" customHeight="1">
      <c r="A802" s="222">
        <f t="shared" si="143"/>
        <v>800</v>
      </c>
      <c r="B802" s="223"/>
      <c r="C802" s="250">
        <v>3206</v>
      </c>
      <c r="D802" s="225" t="s">
        <v>4743</v>
      </c>
      <c r="E802" s="251" t="s">
        <v>4744</v>
      </c>
      <c r="F802" s="252" t="s">
        <v>4745</v>
      </c>
      <c r="G802" s="253" t="s">
        <v>4746</v>
      </c>
      <c r="H802" s="229" t="s">
        <v>3982</v>
      </c>
      <c r="I802" s="230" t="s">
        <v>4747</v>
      </c>
      <c r="J802" s="254" t="s">
        <v>204</v>
      </c>
      <c r="K802" s="255">
        <v>35339</v>
      </c>
      <c r="L802" s="285" t="s">
        <v>174</v>
      </c>
      <c r="M802" s="256">
        <v>43741</v>
      </c>
      <c r="N802" s="256"/>
      <c r="O802" s="224" t="s">
        <v>3960</v>
      </c>
      <c r="P802" s="222" t="s">
        <v>3780</v>
      </c>
      <c r="Q802" s="222" t="s">
        <v>244</v>
      </c>
      <c r="R802" s="224" t="s">
        <v>177</v>
      </c>
      <c r="S802" s="224" t="s">
        <v>223</v>
      </c>
      <c r="T802" s="235"/>
      <c r="U802" s="257"/>
      <c r="V802" s="258" t="s">
        <v>179</v>
      </c>
      <c r="W802" s="258" t="s">
        <v>179</v>
      </c>
      <c r="X802" s="259">
        <v>5</v>
      </c>
      <c r="Y802" s="251" t="s">
        <v>4091</v>
      </c>
      <c r="Z802" s="261" t="s">
        <v>181</v>
      </c>
      <c r="AA802" s="261"/>
      <c r="AB802" s="258"/>
      <c r="AC802" s="280"/>
      <c r="AD802" s="271"/>
      <c r="AE802" s="271"/>
      <c r="AF802" s="272"/>
      <c r="AG802" s="270"/>
      <c r="AH802" s="260"/>
      <c r="AI802" s="260"/>
      <c r="AJ802" s="258" t="s">
        <v>198</v>
      </c>
      <c r="AK802" s="258" t="s">
        <v>185</v>
      </c>
      <c r="AL802" s="258" t="s">
        <v>185</v>
      </c>
      <c r="AM802" s="244" t="s">
        <v>3854</v>
      </c>
      <c r="AN802" s="20">
        <v>182</v>
      </c>
      <c r="AO802" s="20">
        <v>0</v>
      </c>
      <c r="AP802" s="20">
        <v>20</v>
      </c>
      <c r="AQ802" s="20">
        <v>0</v>
      </c>
      <c r="AR802" s="20">
        <v>0</v>
      </c>
      <c r="AS802" s="20">
        <v>7</v>
      </c>
      <c r="AT802" s="20">
        <v>10</v>
      </c>
      <c r="AU802" s="300">
        <f t="shared" si="133"/>
        <v>219</v>
      </c>
      <c r="AV802" s="20">
        <v>190</v>
      </c>
      <c r="AW802" s="20">
        <v>0</v>
      </c>
      <c r="AX802" s="20">
        <v>20</v>
      </c>
      <c r="AY802" s="20">
        <v>0</v>
      </c>
      <c r="AZ802" s="20">
        <v>0</v>
      </c>
      <c r="BA802" s="20">
        <v>7</v>
      </c>
      <c r="BB802" s="20">
        <v>10</v>
      </c>
      <c r="BC802" s="300">
        <f t="shared" si="134"/>
        <v>227</v>
      </c>
      <c r="BD802" s="42">
        <f t="shared" si="135"/>
        <v>8</v>
      </c>
      <c r="BE802" s="42">
        <f t="shared" si="136"/>
        <v>0</v>
      </c>
      <c r="BF802" s="42">
        <f t="shared" si="137"/>
        <v>0</v>
      </c>
      <c r="BG802" s="42">
        <f t="shared" si="138"/>
        <v>0</v>
      </c>
      <c r="BH802" s="42">
        <f t="shared" si="139"/>
        <v>0</v>
      </c>
      <c r="BI802" s="42">
        <f t="shared" si="140"/>
        <v>0</v>
      </c>
      <c r="BJ802" s="42">
        <f t="shared" si="141"/>
        <v>0</v>
      </c>
      <c r="BK802" s="42">
        <f t="shared" si="142"/>
        <v>8</v>
      </c>
    </row>
    <row r="803" spans="1:63" ht="27" customHeight="1">
      <c r="A803" s="222">
        <f t="shared" si="143"/>
        <v>801</v>
      </c>
      <c r="B803" s="223"/>
      <c r="C803" s="250">
        <v>3562</v>
      </c>
      <c r="D803" s="264" t="s">
        <v>4748</v>
      </c>
      <c r="E803" s="251" t="s">
        <v>4749</v>
      </c>
      <c r="F803" s="252" t="s">
        <v>4750</v>
      </c>
      <c r="G803" s="253" t="s">
        <v>2926</v>
      </c>
      <c r="H803" s="229" t="s">
        <v>4751</v>
      </c>
      <c r="I803" s="230" t="s">
        <v>3967</v>
      </c>
      <c r="J803" s="254" t="s">
        <v>204</v>
      </c>
      <c r="K803" s="255">
        <v>36530</v>
      </c>
      <c r="L803" s="233" t="s">
        <v>174</v>
      </c>
      <c r="M803" s="256">
        <v>43746</v>
      </c>
      <c r="N803" s="256"/>
      <c r="O803" s="224" t="s">
        <v>3973</v>
      </c>
      <c r="P803" s="222" t="s">
        <v>2816</v>
      </c>
      <c r="Q803" s="222" t="s">
        <v>244</v>
      </c>
      <c r="R803" s="224" t="s">
        <v>177</v>
      </c>
      <c r="S803" s="224" t="s">
        <v>251</v>
      </c>
      <c r="T803" s="235"/>
      <c r="U803" s="257"/>
      <c r="V803" s="258" t="s">
        <v>179</v>
      </c>
      <c r="W803" s="258" t="s">
        <v>179</v>
      </c>
      <c r="X803" s="259">
        <v>6</v>
      </c>
      <c r="Y803" s="251" t="s">
        <v>4203</v>
      </c>
      <c r="Z803" s="261" t="s">
        <v>181</v>
      </c>
      <c r="AA803" s="261"/>
      <c r="AB803" s="261"/>
      <c r="AC803" s="280"/>
      <c r="AD803" s="271"/>
      <c r="AE803" s="271"/>
      <c r="AF803" s="272"/>
      <c r="AG803" s="270"/>
      <c r="AH803" s="260"/>
      <c r="AI803" s="260"/>
      <c r="AJ803" s="258" t="s">
        <v>198</v>
      </c>
      <c r="AK803" s="258" t="s">
        <v>185</v>
      </c>
      <c r="AL803" s="258" t="s">
        <v>185</v>
      </c>
      <c r="AM803" s="244" t="s">
        <v>3854</v>
      </c>
      <c r="AN803" s="20">
        <v>182</v>
      </c>
      <c r="AO803" s="20">
        <v>0</v>
      </c>
      <c r="AP803" s="20">
        <v>20</v>
      </c>
      <c r="AQ803" s="20">
        <v>0</v>
      </c>
      <c r="AR803" s="20">
        <v>0</v>
      </c>
      <c r="AS803" s="20">
        <v>7</v>
      </c>
      <c r="AT803" s="20">
        <v>10</v>
      </c>
      <c r="AU803" s="300">
        <f t="shared" si="133"/>
        <v>219</v>
      </c>
      <c r="AV803" s="20">
        <v>190</v>
      </c>
      <c r="AW803" s="20">
        <v>0</v>
      </c>
      <c r="AX803" s="20">
        <v>20</v>
      </c>
      <c r="AY803" s="20">
        <v>0</v>
      </c>
      <c r="AZ803" s="20">
        <v>0</v>
      </c>
      <c r="BA803" s="20">
        <v>7</v>
      </c>
      <c r="BB803" s="20">
        <v>10</v>
      </c>
      <c r="BC803" s="300">
        <f t="shared" si="134"/>
        <v>227</v>
      </c>
      <c r="BD803" s="42">
        <f t="shared" si="135"/>
        <v>8</v>
      </c>
      <c r="BE803" s="42">
        <f t="shared" si="136"/>
        <v>0</v>
      </c>
      <c r="BF803" s="42">
        <f t="shared" si="137"/>
        <v>0</v>
      </c>
      <c r="BG803" s="42">
        <f t="shared" si="138"/>
        <v>0</v>
      </c>
      <c r="BH803" s="42">
        <f t="shared" si="139"/>
        <v>0</v>
      </c>
      <c r="BI803" s="42">
        <f t="shared" si="140"/>
        <v>0</v>
      </c>
      <c r="BJ803" s="42">
        <f t="shared" si="141"/>
        <v>0</v>
      </c>
      <c r="BK803" s="42">
        <f t="shared" si="142"/>
        <v>8</v>
      </c>
    </row>
    <row r="804" spans="1:63" ht="27" customHeight="1">
      <c r="A804" s="222">
        <f t="shared" si="143"/>
        <v>802</v>
      </c>
      <c r="B804" s="223"/>
      <c r="C804" s="250">
        <v>3274</v>
      </c>
      <c r="D804" s="225" t="s">
        <v>4752</v>
      </c>
      <c r="E804" s="251" t="s">
        <v>4753</v>
      </c>
      <c r="F804" s="252" t="s">
        <v>912</v>
      </c>
      <c r="G804" s="253" t="s">
        <v>232</v>
      </c>
      <c r="H804" s="229" t="s">
        <v>914</v>
      </c>
      <c r="I804" s="230" t="s">
        <v>3902</v>
      </c>
      <c r="J804" s="254" t="s">
        <v>173</v>
      </c>
      <c r="K804" s="255">
        <v>35462</v>
      </c>
      <c r="L804" s="233" t="s">
        <v>174</v>
      </c>
      <c r="M804" s="256">
        <v>43745</v>
      </c>
      <c r="N804" s="256"/>
      <c r="O804" s="224" t="s">
        <v>3960</v>
      </c>
      <c r="P804" s="222" t="s">
        <v>3780</v>
      </c>
      <c r="Q804" s="222" t="s">
        <v>244</v>
      </c>
      <c r="R804" s="224" t="s">
        <v>177</v>
      </c>
      <c r="S804" s="224" t="s">
        <v>178</v>
      </c>
      <c r="T804" s="235"/>
      <c r="U804" s="257"/>
      <c r="V804" s="258" t="s">
        <v>179</v>
      </c>
      <c r="W804" s="258" t="s">
        <v>179</v>
      </c>
      <c r="X804" s="259">
        <v>8</v>
      </c>
      <c r="Y804" s="251" t="s">
        <v>4754</v>
      </c>
      <c r="Z804" s="261"/>
      <c r="AA804" s="261" t="s">
        <v>181</v>
      </c>
      <c r="AB804" s="258"/>
      <c r="AC804" s="280"/>
      <c r="AD804" s="271"/>
      <c r="AE804" s="271"/>
      <c r="AF804" s="272"/>
      <c r="AG804" s="270"/>
      <c r="AH804" s="260"/>
      <c r="AI804" s="260"/>
      <c r="AJ804" s="258" t="s">
        <v>198</v>
      </c>
      <c r="AK804" s="258" t="s">
        <v>185</v>
      </c>
      <c r="AL804" s="258" t="s">
        <v>185</v>
      </c>
      <c r="AM804" s="244" t="s">
        <v>3854</v>
      </c>
      <c r="AN804" s="20">
        <v>182</v>
      </c>
      <c r="AO804" s="20">
        <v>0</v>
      </c>
      <c r="AP804" s="20">
        <v>0</v>
      </c>
      <c r="AQ804" s="20">
        <v>0</v>
      </c>
      <c r="AR804" s="20">
        <v>0</v>
      </c>
      <c r="AS804" s="20">
        <v>7</v>
      </c>
      <c r="AT804" s="20">
        <v>10</v>
      </c>
      <c r="AU804" s="300">
        <f t="shared" si="133"/>
        <v>199</v>
      </c>
      <c r="AV804" s="20">
        <v>190</v>
      </c>
      <c r="AW804" s="20">
        <v>0</v>
      </c>
      <c r="AX804" s="20">
        <v>0</v>
      </c>
      <c r="AY804" s="20">
        <v>0</v>
      </c>
      <c r="AZ804" s="20">
        <v>0</v>
      </c>
      <c r="BA804" s="20">
        <v>7</v>
      </c>
      <c r="BB804" s="20">
        <v>10</v>
      </c>
      <c r="BC804" s="300">
        <f t="shared" si="134"/>
        <v>207</v>
      </c>
      <c r="BD804" s="42">
        <f t="shared" si="135"/>
        <v>8</v>
      </c>
      <c r="BE804" s="42">
        <f t="shared" si="136"/>
        <v>0</v>
      </c>
      <c r="BF804" s="42">
        <f t="shared" si="137"/>
        <v>0</v>
      </c>
      <c r="BG804" s="42">
        <f t="shared" si="138"/>
        <v>0</v>
      </c>
      <c r="BH804" s="42">
        <f t="shared" si="139"/>
        <v>0</v>
      </c>
      <c r="BI804" s="42">
        <f t="shared" si="140"/>
        <v>0</v>
      </c>
      <c r="BJ804" s="42">
        <f t="shared" si="141"/>
        <v>0</v>
      </c>
      <c r="BK804" s="42">
        <f t="shared" si="142"/>
        <v>8</v>
      </c>
    </row>
    <row r="805" spans="1:63" ht="27" customHeight="1">
      <c r="A805" s="222">
        <f t="shared" si="143"/>
        <v>803</v>
      </c>
      <c r="B805" s="223"/>
      <c r="C805" s="250">
        <v>3559</v>
      </c>
      <c r="D805" s="264" t="s">
        <v>4755</v>
      </c>
      <c r="E805" s="251" t="s">
        <v>4756</v>
      </c>
      <c r="F805" s="252" t="s">
        <v>240</v>
      </c>
      <c r="G805" s="253" t="s">
        <v>1321</v>
      </c>
      <c r="H805" s="229" t="s">
        <v>324</v>
      </c>
      <c r="I805" s="230" t="s">
        <v>4757</v>
      </c>
      <c r="J805" s="254" t="s">
        <v>173</v>
      </c>
      <c r="K805" s="255">
        <v>35830</v>
      </c>
      <c r="L805" s="233" t="s">
        <v>174</v>
      </c>
      <c r="M805" s="256">
        <v>43748</v>
      </c>
      <c r="N805" s="256"/>
      <c r="O805" s="224" t="s">
        <v>3994</v>
      </c>
      <c r="P805" s="222" t="s">
        <v>3644</v>
      </c>
      <c r="Q805" s="222" t="s">
        <v>244</v>
      </c>
      <c r="R805" s="224" t="s">
        <v>177</v>
      </c>
      <c r="S805" s="224" t="s">
        <v>251</v>
      </c>
      <c r="T805" s="235"/>
      <c r="U805" s="257"/>
      <c r="V805" s="258" t="s">
        <v>179</v>
      </c>
      <c r="W805" s="258" t="s">
        <v>179</v>
      </c>
      <c r="X805" s="259">
        <v>2</v>
      </c>
      <c r="Y805" s="251" t="s">
        <v>4758</v>
      </c>
      <c r="Z805" s="261"/>
      <c r="AA805" s="261"/>
      <c r="AB805" s="258"/>
      <c r="AC805" s="280"/>
      <c r="AD805" s="271"/>
      <c r="AE805" s="271"/>
      <c r="AF805" s="272"/>
      <c r="AG805" s="270"/>
      <c r="AH805" s="260"/>
      <c r="AI805" s="260"/>
      <c r="AJ805" s="258" t="s">
        <v>198</v>
      </c>
      <c r="AK805" s="258" t="s">
        <v>185</v>
      </c>
      <c r="AL805" s="258" t="s">
        <v>185</v>
      </c>
      <c r="AM805" s="244" t="s">
        <v>4759</v>
      </c>
      <c r="AN805" s="20">
        <v>182</v>
      </c>
      <c r="AO805" s="20">
        <v>0</v>
      </c>
      <c r="AP805" s="20">
        <v>20</v>
      </c>
      <c r="AQ805" s="20">
        <v>0</v>
      </c>
      <c r="AR805" s="20">
        <v>0</v>
      </c>
      <c r="AS805" s="20">
        <v>7</v>
      </c>
      <c r="AT805" s="20">
        <v>10</v>
      </c>
      <c r="AU805" s="300">
        <f t="shared" si="133"/>
        <v>219</v>
      </c>
      <c r="AV805" s="20">
        <v>190</v>
      </c>
      <c r="AW805" s="20">
        <v>0</v>
      </c>
      <c r="AX805" s="20">
        <v>20</v>
      </c>
      <c r="AY805" s="20">
        <v>0</v>
      </c>
      <c r="AZ805" s="20">
        <v>0</v>
      </c>
      <c r="BA805" s="20">
        <v>7</v>
      </c>
      <c r="BB805" s="20">
        <v>10</v>
      </c>
      <c r="BC805" s="300">
        <f t="shared" si="134"/>
        <v>227</v>
      </c>
      <c r="BD805" s="42">
        <f t="shared" si="135"/>
        <v>8</v>
      </c>
      <c r="BE805" s="42">
        <f t="shared" si="136"/>
        <v>0</v>
      </c>
      <c r="BF805" s="42">
        <f t="shared" si="137"/>
        <v>0</v>
      </c>
      <c r="BG805" s="42">
        <f t="shared" si="138"/>
        <v>0</v>
      </c>
      <c r="BH805" s="42">
        <f t="shared" si="139"/>
        <v>0</v>
      </c>
      <c r="BI805" s="42">
        <f t="shared" si="140"/>
        <v>0</v>
      </c>
      <c r="BJ805" s="42">
        <f t="shared" si="141"/>
        <v>0</v>
      </c>
      <c r="BK805" s="42">
        <f t="shared" si="142"/>
        <v>8</v>
      </c>
    </row>
    <row r="806" spans="1:63" ht="27" customHeight="1">
      <c r="A806" s="222">
        <f t="shared" si="143"/>
        <v>804</v>
      </c>
      <c r="B806" s="223"/>
      <c r="C806" s="250">
        <v>3517</v>
      </c>
      <c r="D806" s="225" t="s">
        <v>4760</v>
      </c>
      <c r="E806" s="251" t="s">
        <v>4761</v>
      </c>
      <c r="F806" s="252" t="s">
        <v>3192</v>
      </c>
      <c r="G806" s="253" t="s">
        <v>4762</v>
      </c>
      <c r="H806" s="229" t="s">
        <v>4763</v>
      </c>
      <c r="I806" s="230" t="s">
        <v>819</v>
      </c>
      <c r="J806" s="254" t="s">
        <v>173</v>
      </c>
      <c r="K806" s="255">
        <v>34035</v>
      </c>
      <c r="L806" s="233" t="s">
        <v>174</v>
      </c>
      <c r="M806" s="256">
        <v>43747</v>
      </c>
      <c r="N806" s="256"/>
      <c r="O806" s="224" t="s">
        <v>4176</v>
      </c>
      <c r="P806" s="222" t="s">
        <v>277</v>
      </c>
      <c r="Q806" s="222" t="s">
        <v>244</v>
      </c>
      <c r="R806" s="224" t="s">
        <v>177</v>
      </c>
      <c r="S806" s="224" t="s">
        <v>223</v>
      </c>
      <c r="T806" s="235"/>
      <c r="U806" s="257"/>
      <c r="V806" s="258" t="s">
        <v>179</v>
      </c>
      <c r="W806" s="258" t="s">
        <v>179</v>
      </c>
      <c r="X806" s="259">
        <v>3</v>
      </c>
      <c r="Y806" s="251" t="s">
        <v>4764</v>
      </c>
      <c r="Z806" s="261" t="s">
        <v>181</v>
      </c>
      <c r="AA806" s="261"/>
      <c r="AB806" s="258"/>
      <c r="AC806" s="280"/>
      <c r="AD806" s="271"/>
      <c r="AE806" s="271"/>
      <c r="AF806" s="272"/>
      <c r="AG806" s="270"/>
      <c r="AH806" s="260"/>
      <c r="AI806" s="260"/>
      <c r="AJ806" s="258" t="s">
        <v>198</v>
      </c>
      <c r="AK806" s="258" t="s">
        <v>185</v>
      </c>
      <c r="AL806" s="258" t="s">
        <v>185</v>
      </c>
      <c r="AM806" s="244" t="s">
        <v>3854</v>
      </c>
      <c r="AN806" s="20">
        <v>182</v>
      </c>
      <c r="AO806" s="20">
        <v>0</v>
      </c>
      <c r="AP806" s="20">
        <v>20</v>
      </c>
      <c r="AQ806" s="20">
        <v>0</v>
      </c>
      <c r="AR806" s="20">
        <v>0</v>
      </c>
      <c r="AS806" s="20">
        <v>7</v>
      </c>
      <c r="AT806" s="20">
        <v>10</v>
      </c>
      <c r="AU806" s="300">
        <f t="shared" si="133"/>
        <v>219</v>
      </c>
      <c r="AV806" s="20">
        <v>190</v>
      </c>
      <c r="AW806" s="20">
        <v>0</v>
      </c>
      <c r="AX806" s="20">
        <v>20</v>
      </c>
      <c r="AY806" s="20">
        <v>0</v>
      </c>
      <c r="AZ806" s="20">
        <v>0</v>
      </c>
      <c r="BA806" s="20">
        <v>7</v>
      </c>
      <c r="BB806" s="20">
        <v>10</v>
      </c>
      <c r="BC806" s="300">
        <f t="shared" si="134"/>
        <v>227</v>
      </c>
      <c r="BD806" s="42">
        <f t="shared" si="135"/>
        <v>8</v>
      </c>
      <c r="BE806" s="42">
        <f t="shared" si="136"/>
        <v>0</v>
      </c>
      <c r="BF806" s="42">
        <f t="shared" si="137"/>
        <v>0</v>
      </c>
      <c r="BG806" s="42">
        <f t="shared" si="138"/>
        <v>0</v>
      </c>
      <c r="BH806" s="42">
        <f t="shared" si="139"/>
        <v>0</v>
      </c>
      <c r="BI806" s="42">
        <f t="shared" si="140"/>
        <v>0</v>
      </c>
      <c r="BJ806" s="42">
        <f t="shared" si="141"/>
        <v>0</v>
      </c>
      <c r="BK806" s="42">
        <f t="shared" si="142"/>
        <v>8</v>
      </c>
    </row>
    <row r="807" spans="1:63" ht="27" customHeight="1">
      <c r="A807" s="222">
        <f t="shared" si="143"/>
        <v>805</v>
      </c>
      <c r="B807" s="223"/>
      <c r="C807" s="250">
        <v>3502</v>
      </c>
      <c r="D807" s="264" t="s">
        <v>4765</v>
      </c>
      <c r="E807" s="251" t="s">
        <v>4766</v>
      </c>
      <c r="F807" s="252" t="s">
        <v>4767</v>
      </c>
      <c r="G807" s="253" t="s">
        <v>4768</v>
      </c>
      <c r="H807" s="229" t="s">
        <v>4769</v>
      </c>
      <c r="I807" s="230" t="s">
        <v>1928</v>
      </c>
      <c r="J807" s="254" t="s">
        <v>173</v>
      </c>
      <c r="K807" s="255">
        <v>33330</v>
      </c>
      <c r="L807" s="233" t="s">
        <v>174</v>
      </c>
      <c r="M807" s="256">
        <v>43746</v>
      </c>
      <c r="N807" s="256"/>
      <c r="O807" s="224" t="s">
        <v>3960</v>
      </c>
      <c r="P807" s="222" t="s">
        <v>3780</v>
      </c>
      <c r="Q807" s="222" t="s">
        <v>244</v>
      </c>
      <c r="R807" s="224" t="s">
        <v>177</v>
      </c>
      <c r="S807" s="224" t="s">
        <v>223</v>
      </c>
      <c r="T807" s="235"/>
      <c r="U807" s="257"/>
      <c r="V807" s="258" t="s">
        <v>179</v>
      </c>
      <c r="W807" s="258" t="s">
        <v>179</v>
      </c>
      <c r="X807" s="259">
        <v>4</v>
      </c>
      <c r="Y807" s="251" t="s">
        <v>4770</v>
      </c>
      <c r="Z807" s="261"/>
      <c r="AA807" s="261" t="s">
        <v>181</v>
      </c>
      <c r="AB807" s="258"/>
      <c r="AC807" s="280"/>
      <c r="AD807" s="271"/>
      <c r="AE807" s="271"/>
      <c r="AF807" s="271"/>
      <c r="AG807" s="270"/>
      <c r="AH807" s="260"/>
      <c r="AI807" s="260"/>
      <c r="AJ807" s="258" t="s">
        <v>198</v>
      </c>
      <c r="AK807" s="258" t="s">
        <v>185</v>
      </c>
      <c r="AL807" s="258" t="s">
        <v>185</v>
      </c>
      <c r="AM807" s="244" t="s">
        <v>236</v>
      </c>
      <c r="AN807" s="20">
        <v>182</v>
      </c>
      <c r="AO807" s="20">
        <v>0</v>
      </c>
      <c r="AP807" s="20">
        <v>0</v>
      </c>
      <c r="AQ807" s="20">
        <v>0</v>
      </c>
      <c r="AR807" s="20">
        <v>0</v>
      </c>
      <c r="AS807" s="20">
        <v>7</v>
      </c>
      <c r="AT807" s="20">
        <v>10</v>
      </c>
      <c r="AU807" s="300">
        <f t="shared" si="133"/>
        <v>199</v>
      </c>
      <c r="AV807" s="20">
        <v>190</v>
      </c>
      <c r="AW807" s="20">
        <v>0</v>
      </c>
      <c r="AX807" s="20">
        <v>0</v>
      </c>
      <c r="AY807" s="20">
        <v>0</v>
      </c>
      <c r="AZ807" s="20">
        <v>0</v>
      </c>
      <c r="BA807" s="20">
        <v>7</v>
      </c>
      <c r="BB807" s="20">
        <v>10</v>
      </c>
      <c r="BC807" s="300">
        <f t="shared" si="134"/>
        <v>207</v>
      </c>
      <c r="BD807" s="42">
        <f t="shared" si="135"/>
        <v>8</v>
      </c>
      <c r="BE807" s="42">
        <f t="shared" si="136"/>
        <v>0</v>
      </c>
      <c r="BF807" s="42">
        <f t="shared" si="137"/>
        <v>0</v>
      </c>
      <c r="BG807" s="42">
        <f t="shared" si="138"/>
        <v>0</v>
      </c>
      <c r="BH807" s="42">
        <f t="shared" si="139"/>
        <v>0</v>
      </c>
      <c r="BI807" s="42">
        <f t="shared" si="140"/>
        <v>0</v>
      </c>
      <c r="BJ807" s="42">
        <f t="shared" si="141"/>
        <v>0</v>
      </c>
      <c r="BK807" s="42">
        <f t="shared" si="142"/>
        <v>8</v>
      </c>
    </row>
    <row r="808" spans="1:63" ht="27" customHeight="1">
      <c r="A808" s="222">
        <f t="shared" si="143"/>
        <v>806</v>
      </c>
      <c r="B808" s="223"/>
      <c r="C808" s="250">
        <v>3307</v>
      </c>
      <c r="D808" s="264" t="s">
        <v>4771</v>
      </c>
      <c r="E808" s="251" t="s">
        <v>4772</v>
      </c>
      <c r="F808" s="252" t="s">
        <v>1858</v>
      </c>
      <c r="G808" s="253" t="s">
        <v>4773</v>
      </c>
      <c r="H808" s="229" t="s">
        <v>4774</v>
      </c>
      <c r="I808" s="230" t="s">
        <v>4775</v>
      </c>
      <c r="J808" s="254" t="s">
        <v>204</v>
      </c>
      <c r="K808" s="255">
        <v>35978</v>
      </c>
      <c r="L808" s="233" t="s">
        <v>174</v>
      </c>
      <c r="M808" s="256">
        <v>43740</v>
      </c>
      <c r="N808" s="256"/>
      <c r="O808" s="224" t="s">
        <v>3978</v>
      </c>
      <c r="P808" s="222" t="s">
        <v>3828</v>
      </c>
      <c r="Q808" s="222" t="s">
        <v>244</v>
      </c>
      <c r="R808" s="224" t="s">
        <v>177</v>
      </c>
      <c r="S808" s="224" t="s">
        <v>326</v>
      </c>
      <c r="T808" s="235"/>
      <c r="U808" s="257"/>
      <c r="V808" s="258" t="s">
        <v>179</v>
      </c>
      <c r="W808" s="258" t="s">
        <v>179</v>
      </c>
      <c r="X808" s="259">
        <v>7</v>
      </c>
      <c r="Y808" s="251" t="s">
        <v>4776</v>
      </c>
      <c r="Z808" s="261" t="s">
        <v>181</v>
      </c>
      <c r="AA808" s="261"/>
      <c r="AB808" s="258"/>
      <c r="AC808" s="280"/>
      <c r="AD808" s="271"/>
      <c r="AE808" s="271"/>
      <c r="AF808" s="272"/>
      <c r="AG808" s="270"/>
      <c r="AH808" s="260"/>
      <c r="AI808" s="260"/>
      <c r="AJ808" s="258" t="s">
        <v>198</v>
      </c>
      <c r="AK808" s="258" t="s">
        <v>185</v>
      </c>
      <c r="AL808" s="258" t="s">
        <v>185</v>
      </c>
      <c r="AM808" s="244" t="s">
        <v>3854</v>
      </c>
      <c r="AN808" s="20">
        <v>182</v>
      </c>
      <c r="AO808" s="20">
        <v>0</v>
      </c>
      <c r="AP808" s="20">
        <v>20</v>
      </c>
      <c r="AQ808" s="20">
        <v>0</v>
      </c>
      <c r="AR808" s="20">
        <v>0</v>
      </c>
      <c r="AS808" s="20">
        <v>7</v>
      </c>
      <c r="AT808" s="20">
        <v>10</v>
      </c>
      <c r="AU808" s="300">
        <f t="shared" si="133"/>
        <v>219</v>
      </c>
      <c r="AV808" s="20">
        <v>190</v>
      </c>
      <c r="AW808" s="20">
        <v>0</v>
      </c>
      <c r="AX808" s="20">
        <v>20</v>
      </c>
      <c r="AY808" s="20">
        <v>0</v>
      </c>
      <c r="AZ808" s="20">
        <v>0</v>
      </c>
      <c r="BA808" s="20">
        <v>7</v>
      </c>
      <c r="BB808" s="20">
        <v>10</v>
      </c>
      <c r="BC808" s="300">
        <f t="shared" si="134"/>
        <v>227</v>
      </c>
      <c r="BD808" s="42">
        <f t="shared" si="135"/>
        <v>8</v>
      </c>
      <c r="BE808" s="42">
        <f t="shared" si="136"/>
        <v>0</v>
      </c>
      <c r="BF808" s="42">
        <f t="shared" si="137"/>
        <v>0</v>
      </c>
      <c r="BG808" s="42">
        <f t="shared" si="138"/>
        <v>0</v>
      </c>
      <c r="BH808" s="42">
        <f t="shared" si="139"/>
        <v>0</v>
      </c>
      <c r="BI808" s="42">
        <f t="shared" si="140"/>
        <v>0</v>
      </c>
      <c r="BJ808" s="42">
        <f t="shared" si="141"/>
        <v>0</v>
      </c>
      <c r="BK808" s="42">
        <f t="shared" si="142"/>
        <v>8</v>
      </c>
    </row>
    <row r="809" spans="1:63" ht="27" customHeight="1">
      <c r="A809" s="222">
        <f t="shared" si="143"/>
        <v>807</v>
      </c>
      <c r="B809" s="223"/>
      <c r="C809" s="250">
        <v>3287</v>
      </c>
      <c r="D809" s="225" t="s">
        <v>4777</v>
      </c>
      <c r="E809" s="251" t="s">
        <v>4778</v>
      </c>
      <c r="F809" s="252" t="s">
        <v>1912</v>
      </c>
      <c r="G809" s="253" t="s">
        <v>4779</v>
      </c>
      <c r="H809" s="229" t="s">
        <v>1913</v>
      </c>
      <c r="I809" s="230" t="s">
        <v>4780</v>
      </c>
      <c r="J809" s="254" t="s">
        <v>173</v>
      </c>
      <c r="K809" s="255">
        <v>30807</v>
      </c>
      <c r="L809" s="233" t="s">
        <v>174</v>
      </c>
      <c r="M809" s="256">
        <v>43746</v>
      </c>
      <c r="N809" s="256"/>
      <c r="O809" s="224" t="s">
        <v>3999</v>
      </c>
      <c r="P809" s="222" t="s">
        <v>3828</v>
      </c>
      <c r="Q809" s="222" t="s">
        <v>244</v>
      </c>
      <c r="R809" s="224" t="s">
        <v>177</v>
      </c>
      <c r="S809" s="224" t="s">
        <v>223</v>
      </c>
      <c r="T809" s="235"/>
      <c r="U809" s="257"/>
      <c r="V809" s="258" t="s">
        <v>179</v>
      </c>
      <c r="W809" s="258" t="s">
        <v>179</v>
      </c>
      <c r="X809" s="259">
        <v>6</v>
      </c>
      <c r="Y809" s="251" t="s">
        <v>4781</v>
      </c>
      <c r="Z809" s="261"/>
      <c r="AA809" s="261" t="s">
        <v>181</v>
      </c>
      <c r="AB809" s="258"/>
      <c r="AC809" s="280"/>
      <c r="AD809" s="271"/>
      <c r="AE809" s="271"/>
      <c r="AF809" s="272"/>
      <c r="AG809" s="270"/>
      <c r="AH809" s="260"/>
      <c r="AI809" s="260"/>
      <c r="AJ809" s="258" t="s">
        <v>198</v>
      </c>
      <c r="AK809" s="258" t="s">
        <v>185</v>
      </c>
      <c r="AL809" s="258" t="s">
        <v>185</v>
      </c>
      <c r="AM809" s="244" t="s">
        <v>3854</v>
      </c>
      <c r="AN809" s="20">
        <v>182</v>
      </c>
      <c r="AO809" s="20">
        <v>0</v>
      </c>
      <c r="AP809" s="20">
        <v>20</v>
      </c>
      <c r="AQ809" s="20">
        <v>0</v>
      </c>
      <c r="AR809" s="20">
        <v>0</v>
      </c>
      <c r="AS809" s="20">
        <v>7</v>
      </c>
      <c r="AT809" s="20">
        <v>10</v>
      </c>
      <c r="AU809" s="300">
        <f t="shared" si="133"/>
        <v>219</v>
      </c>
      <c r="AV809" s="20">
        <v>190</v>
      </c>
      <c r="AW809" s="20">
        <v>0</v>
      </c>
      <c r="AX809" s="20">
        <v>20</v>
      </c>
      <c r="AY809" s="20">
        <v>0</v>
      </c>
      <c r="AZ809" s="20">
        <v>0</v>
      </c>
      <c r="BA809" s="20">
        <v>7</v>
      </c>
      <c r="BB809" s="20">
        <v>10</v>
      </c>
      <c r="BC809" s="300">
        <f t="shared" si="134"/>
        <v>227</v>
      </c>
      <c r="BD809" s="42">
        <f t="shared" si="135"/>
        <v>8</v>
      </c>
      <c r="BE809" s="42">
        <f t="shared" si="136"/>
        <v>0</v>
      </c>
      <c r="BF809" s="42">
        <f t="shared" si="137"/>
        <v>0</v>
      </c>
      <c r="BG809" s="42">
        <f t="shared" si="138"/>
        <v>0</v>
      </c>
      <c r="BH809" s="42">
        <f t="shared" si="139"/>
        <v>0</v>
      </c>
      <c r="BI809" s="42">
        <f t="shared" si="140"/>
        <v>0</v>
      </c>
      <c r="BJ809" s="42">
        <f t="shared" si="141"/>
        <v>0</v>
      </c>
      <c r="BK809" s="42">
        <f t="shared" si="142"/>
        <v>8</v>
      </c>
    </row>
    <row r="810" spans="1:63" ht="27" customHeight="1">
      <c r="A810" s="222">
        <f t="shared" si="143"/>
        <v>808</v>
      </c>
      <c r="B810" s="223"/>
      <c r="C810" s="250">
        <v>3304</v>
      </c>
      <c r="D810" s="264" t="s">
        <v>4782</v>
      </c>
      <c r="E810" s="251" t="s">
        <v>4783</v>
      </c>
      <c r="F810" s="252" t="s">
        <v>2444</v>
      </c>
      <c r="G810" s="253" t="s">
        <v>4784</v>
      </c>
      <c r="H810" s="229" t="s">
        <v>4785</v>
      </c>
      <c r="I810" s="230" t="s">
        <v>4786</v>
      </c>
      <c r="J810" s="254" t="s">
        <v>173</v>
      </c>
      <c r="K810" s="255">
        <v>34443</v>
      </c>
      <c r="L810" s="233" t="s">
        <v>174</v>
      </c>
      <c r="M810" s="256">
        <v>43746</v>
      </c>
      <c r="N810" s="256"/>
      <c r="O810" s="224" t="s">
        <v>4019</v>
      </c>
      <c r="P810" s="222" t="s">
        <v>3828</v>
      </c>
      <c r="Q810" s="222" t="s">
        <v>244</v>
      </c>
      <c r="R810" s="224" t="s">
        <v>177</v>
      </c>
      <c r="S810" s="224" t="s">
        <v>251</v>
      </c>
      <c r="T810" s="235"/>
      <c r="U810" s="257"/>
      <c r="V810" s="258" t="s">
        <v>179</v>
      </c>
      <c r="W810" s="258" t="s">
        <v>179</v>
      </c>
      <c r="X810" s="259">
        <v>11</v>
      </c>
      <c r="Y810" s="251" t="s">
        <v>4787</v>
      </c>
      <c r="Z810" s="261"/>
      <c r="AA810" s="261"/>
      <c r="AB810" s="258"/>
      <c r="AC810" s="280"/>
      <c r="AD810" s="271"/>
      <c r="AE810" s="271"/>
      <c r="AF810" s="272"/>
      <c r="AG810" s="270"/>
      <c r="AH810" s="260"/>
      <c r="AI810" s="260"/>
      <c r="AJ810" s="258" t="s">
        <v>198</v>
      </c>
      <c r="AK810" s="258" t="s">
        <v>185</v>
      </c>
      <c r="AL810" s="258" t="s">
        <v>185</v>
      </c>
      <c r="AM810" s="244" t="s">
        <v>3854</v>
      </c>
      <c r="AN810" s="20">
        <v>182</v>
      </c>
      <c r="AO810" s="20">
        <v>0</v>
      </c>
      <c r="AP810" s="20">
        <v>0</v>
      </c>
      <c r="AQ810" s="20">
        <v>0</v>
      </c>
      <c r="AR810" s="20">
        <v>0</v>
      </c>
      <c r="AS810" s="20">
        <v>7</v>
      </c>
      <c r="AT810" s="20">
        <v>10</v>
      </c>
      <c r="AU810" s="300">
        <f t="shared" si="133"/>
        <v>199</v>
      </c>
      <c r="AV810" s="20">
        <v>190</v>
      </c>
      <c r="AW810" s="20">
        <v>0</v>
      </c>
      <c r="AX810" s="20">
        <v>0</v>
      </c>
      <c r="AY810" s="20">
        <v>0</v>
      </c>
      <c r="AZ810" s="20">
        <v>0</v>
      </c>
      <c r="BA810" s="20">
        <v>7</v>
      </c>
      <c r="BB810" s="20">
        <v>10</v>
      </c>
      <c r="BC810" s="300">
        <f t="shared" si="134"/>
        <v>207</v>
      </c>
      <c r="BD810" s="42">
        <f t="shared" si="135"/>
        <v>8</v>
      </c>
      <c r="BE810" s="42">
        <f t="shared" si="136"/>
        <v>0</v>
      </c>
      <c r="BF810" s="42">
        <f t="shared" si="137"/>
        <v>0</v>
      </c>
      <c r="BG810" s="42">
        <f t="shared" si="138"/>
        <v>0</v>
      </c>
      <c r="BH810" s="42">
        <f t="shared" si="139"/>
        <v>0</v>
      </c>
      <c r="BI810" s="42">
        <f t="shared" si="140"/>
        <v>0</v>
      </c>
      <c r="BJ810" s="42">
        <f t="shared" si="141"/>
        <v>0</v>
      </c>
      <c r="BK810" s="42">
        <f t="shared" si="142"/>
        <v>8</v>
      </c>
    </row>
    <row r="811" spans="1:63" ht="27" customHeight="1">
      <c r="A811" s="222">
        <f t="shared" si="143"/>
        <v>809</v>
      </c>
      <c r="B811" s="223"/>
      <c r="C811" s="250">
        <v>3297</v>
      </c>
      <c r="D811" s="268">
        <v>0</v>
      </c>
      <c r="E811" s="251" t="s">
        <v>4788</v>
      </c>
      <c r="F811" s="252" t="s">
        <v>2191</v>
      </c>
      <c r="G811" s="253" t="s">
        <v>4789</v>
      </c>
      <c r="H811" s="229" t="s">
        <v>3528</v>
      </c>
      <c r="I811" s="230" t="s">
        <v>4790</v>
      </c>
      <c r="J811" s="254" t="s">
        <v>173</v>
      </c>
      <c r="K811" s="255">
        <v>32510</v>
      </c>
      <c r="L811" s="233" t="s">
        <v>174</v>
      </c>
      <c r="M811" s="256">
        <v>43746</v>
      </c>
      <c r="N811" s="256"/>
      <c r="O811" s="224" t="s">
        <v>3960</v>
      </c>
      <c r="P811" s="222" t="s">
        <v>3780</v>
      </c>
      <c r="Q811" s="222" t="s">
        <v>244</v>
      </c>
      <c r="R811" s="224" t="s">
        <v>177</v>
      </c>
      <c r="S811" s="224" t="s">
        <v>528</v>
      </c>
      <c r="T811" s="235"/>
      <c r="U811" s="257"/>
      <c r="V811" s="258" t="s">
        <v>179</v>
      </c>
      <c r="W811" s="258" t="s">
        <v>179</v>
      </c>
      <c r="X811" s="266">
        <v>9</v>
      </c>
      <c r="Y811" s="251" t="s">
        <v>4791</v>
      </c>
      <c r="Z811" s="261"/>
      <c r="AA811" s="261"/>
      <c r="AB811" s="258"/>
      <c r="AC811" s="280"/>
      <c r="AD811" s="271"/>
      <c r="AE811" s="271"/>
      <c r="AF811" s="272"/>
      <c r="AG811" s="270"/>
      <c r="AH811" s="260"/>
      <c r="AI811" s="260"/>
      <c r="AJ811" s="258" t="s">
        <v>198</v>
      </c>
      <c r="AK811" s="258" t="s">
        <v>185</v>
      </c>
      <c r="AL811" s="258" t="s">
        <v>185</v>
      </c>
      <c r="AM811" s="244" t="s">
        <v>4792</v>
      </c>
      <c r="AN811" s="20">
        <v>182</v>
      </c>
      <c r="AO811" s="20">
        <v>0</v>
      </c>
      <c r="AP811" s="20">
        <v>20</v>
      </c>
      <c r="AQ811" s="20">
        <v>0</v>
      </c>
      <c r="AR811" s="20">
        <v>0</v>
      </c>
      <c r="AS811" s="20">
        <v>7</v>
      </c>
      <c r="AT811" s="20">
        <v>10</v>
      </c>
      <c r="AU811" s="300">
        <f t="shared" si="133"/>
        <v>219</v>
      </c>
      <c r="AV811" s="20">
        <v>190</v>
      </c>
      <c r="AW811" s="20">
        <v>0</v>
      </c>
      <c r="AX811" s="20">
        <v>20</v>
      </c>
      <c r="AY811" s="20">
        <v>0</v>
      </c>
      <c r="AZ811" s="20">
        <v>0</v>
      </c>
      <c r="BA811" s="20">
        <v>7</v>
      </c>
      <c r="BB811" s="20">
        <v>10</v>
      </c>
      <c r="BC811" s="300">
        <f t="shared" si="134"/>
        <v>227</v>
      </c>
      <c r="BD811" s="42">
        <f t="shared" si="135"/>
        <v>8</v>
      </c>
      <c r="BE811" s="42">
        <f t="shared" si="136"/>
        <v>0</v>
      </c>
      <c r="BF811" s="42">
        <f t="shared" si="137"/>
        <v>0</v>
      </c>
      <c r="BG811" s="42">
        <f t="shared" si="138"/>
        <v>0</v>
      </c>
      <c r="BH811" s="42">
        <f t="shared" si="139"/>
        <v>0</v>
      </c>
      <c r="BI811" s="42">
        <f t="shared" si="140"/>
        <v>0</v>
      </c>
      <c r="BJ811" s="42">
        <f t="shared" si="141"/>
        <v>0</v>
      </c>
      <c r="BK811" s="42">
        <f t="shared" si="142"/>
        <v>8</v>
      </c>
    </row>
    <row r="812" spans="1:63" ht="27" customHeight="1">
      <c r="A812" s="222">
        <f t="shared" si="143"/>
        <v>810</v>
      </c>
      <c r="B812" s="223"/>
      <c r="C812" s="250">
        <v>3557</v>
      </c>
      <c r="D812" s="225" t="s">
        <v>4793</v>
      </c>
      <c r="E812" s="251" t="s">
        <v>4794</v>
      </c>
      <c r="F812" s="252" t="s">
        <v>2648</v>
      </c>
      <c r="G812" s="253" t="s">
        <v>2965</v>
      </c>
      <c r="H812" s="229" t="s">
        <v>4795</v>
      </c>
      <c r="I812" s="230" t="s">
        <v>4796</v>
      </c>
      <c r="J812" s="254" t="s">
        <v>173</v>
      </c>
      <c r="K812" s="255">
        <v>35864</v>
      </c>
      <c r="L812" s="233" t="s">
        <v>174</v>
      </c>
      <c r="M812" s="256">
        <v>43748</v>
      </c>
      <c r="N812" s="256"/>
      <c r="O812" s="224" t="s">
        <v>4071</v>
      </c>
      <c r="P812" s="222" t="s">
        <v>1380</v>
      </c>
      <c r="Q812" s="222" t="s">
        <v>244</v>
      </c>
      <c r="R812" s="224" t="s">
        <v>177</v>
      </c>
      <c r="S812" s="224" t="s">
        <v>251</v>
      </c>
      <c r="T812" s="235"/>
      <c r="U812" s="257"/>
      <c r="V812" s="258" t="s">
        <v>179</v>
      </c>
      <c r="W812" s="258" t="s">
        <v>179</v>
      </c>
      <c r="X812" s="259">
        <v>5</v>
      </c>
      <c r="Y812" s="251" t="s">
        <v>4797</v>
      </c>
      <c r="Z812" s="261"/>
      <c r="AA812" s="261" t="s">
        <v>181</v>
      </c>
      <c r="AB812" s="258"/>
      <c r="AC812" s="280"/>
      <c r="AD812" s="271"/>
      <c r="AE812" s="271"/>
      <c r="AF812" s="272"/>
      <c r="AG812" s="270"/>
      <c r="AH812" s="260"/>
      <c r="AI812" s="260"/>
      <c r="AJ812" s="258" t="s">
        <v>185</v>
      </c>
      <c r="AK812" s="258" t="s">
        <v>185</v>
      </c>
      <c r="AL812" s="258" t="s">
        <v>185</v>
      </c>
      <c r="AM812" s="273" t="s">
        <v>3962</v>
      </c>
      <c r="AN812" s="20">
        <v>182</v>
      </c>
      <c r="AO812" s="20">
        <v>0</v>
      </c>
      <c r="AP812" s="20">
        <v>0</v>
      </c>
      <c r="AQ812" s="20">
        <v>0</v>
      </c>
      <c r="AR812" s="20">
        <v>0</v>
      </c>
      <c r="AS812" s="20">
        <v>7</v>
      </c>
      <c r="AT812" s="20">
        <v>10</v>
      </c>
      <c r="AU812" s="300">
        <f t="shared" si="133"/>
        <v>199</v>
      </c>
      <c r="AV812" s="20">
        <v>190</v>
      </c>
      <c r="AW812" s="20">
        <v>0</v>
      </c>
      <c r="AX812" s="20">
        <v>0</v>
      </c>
      <c r="AY812" s="20">
        <v>0</v>
      </c>
      <c r="AZ812" s="20">
        <v>0</v>
      </c>
      <c r="BA812" s="20">
        <v>7</v>
      </c>
      <c r="BB812" s="20">
        <v>10</v>
      </c>
      <c r="BC812" s="300">
        <f t="shared" si="134"/>
        <v>207</v>
      </c>
      <c r="BD812" s="42">
        <f t="shared" si="135"/>
        <v>8</v>
      </c>
      <c r="BE812" s="42">
        <f t="shared" si="136"/>
        <v>0</v>
      </c>
      <c r="BF812" s="42">
        <f t="shared" si="137"/>
        <v>0</v>
      </c>
      <c r="BG812" s="42">
        <f t="shared" si="138"/>
        <v>0</v>
      </c>
      <c r="BH812" s="42">
        <f t="shared" si="139"/>
        <v>0</v>
      </c>
      <c r="BI812" s="42">
        <f t="shared" si="140"/>
        <v>0</v>
      </c>
      <c r="BJ812" s="42">
        <f t="shared" si="141"/>
        <v>0</v>
      </c>
      <c r="BK812" s="42">
        <f t="shared" si="142"/>
        <v>8</v>
      </c>
    </row>
    <row r="813" spans="1:63" ht="27" customHeight="1">
      <c r="A813" s="222">
        <f t="shared" si="143"/>
        <v>811</v>
      </c>
      <c r="B813" s="223"/>
      <c r="C813" s="250">
        <v>3224</v>
      </c>
      <c r="D813" s="225" t="s">
        <v>4798</v>
      </c>
      <c r="E813" s="251" t="s">
        <v>4799</v>
      </c>
      <c r="F813" s="252" t="s">
        <v>568</v>
      </c>
      <c r="G813" s="253" t="s">
        <v>1719</v>
      </c>
      <c r="H813" s="229" t="s">
        <v>537</v>
      </c>
      <c r="I813" s="230" t="s">
        <v>4075</v>
      </c>
      <c r="J813" s="254" t="s">
        <v>173</v>
      </c>
      <c r="K813" s="255">
        <v>32874</v>
      </c>
      <c r="L813" s="233" t="s">
        <v>174</v>
      </c>
      <c r="M813" s="256">
        <v>43742</v>
      </c>
      <c r="N813" s="256"/>
      <c r="O813" s="224" t="s">
        <v>3960</v>
      </c>
      <c r="P813" s="222" t="s">
        <v>3780</v>
      </c>
      <c r="Q813" s="222" t="s">
        <v>244</v>
      </c>
      <c r="R813" s="224" t="s">
        <v>177</v>
      </c>
      <c r="S813" s="224" t="s">
        <v>214</v>
      </c>
      <c r="T813" s="235"/>
      <c r="U813" s="257"/>
      <c r="V813" s="258" t="s">
        <v>179</v>
      </c>
      <c r="W813" s="258" t="s">
        <v>179</v>
      </c>
      <c r="X813" s="266">
        <v>5</v>
      </c>
      <c r="Y813" s="251" t="s">
        <v>4800</v>
      </c>
      <c r="Z813" s="261"/>
      <c r="AA813" s="261" t="s">
        <v>181</v>
      </c>
      <c r="AB813" s="258"/>
      <c r="AC813" s="280"/>
      <c r="AD813" s="271"/>
      <c r="AE813" s="271"/>
      <c r="AF813" s="272"/>
      <c r="AG813" s="270"/>
      <c r="AH813" s="260"/>
      <c r="AI813" s="260"/>
      <c r="AJ813" s="258" t="s">
        <v>198</v>
      </c>
      <c r="AK813" s="258" t="s">
        <v>185</v>
      </c>
      <c r="AL813" s="258" t="s">
        <v>185</v>
      </c>
      <c r="AM813" s="244" t="s">
        <v>3854</v>
      </c>
      <c r="AN813" s="20">
        <v>182</v>
      </c>
      <c r="AO813" s="20">
        <v>0</v>
      </c>
      <c r="AP813" s="20">
        <v>20</v>
      </c>
      <c r="AQ813" s="20">
        <v>0</v>
      </c>
      <c r="AR813" s="20">
        <v>0</v>
      </c>
      <c r="AS813" s="20">
        <v>7</v>
      </c>
      <c r="AT813" s="20">
        <v>10</v>
      </c>
      <c r="AU813" s="300">
        <f t="shared" si="133"/>
        <v>219</v>
      </c>
      <c r="AV813" s="20">
        <v>190</v>
      </c>
      <c r="AW813" s="20">
        <v>0</v>
      </c>
      <c r="AX813" s="20">
        <v>20</v>
      </c>
      <c r="AY813" s="20">
        <v>0</v>
      </c>
      <c r="AZ813" s="20">
        <v>0</v>
      </c>
      <c r="BA813" s="20">
        <v>7</v>
      </c>
      <c r="BB813" s="20">
        <v>10</v>
      </c>
      <c r="BC813" s="300">
        <f t="shared" si="134"/>
        <v>227</v>
      </c>
      <c r="BD813" s="42">
        <f t="shared" si="135"/>
        <v>8</v>
      </c>
      <c r="BE813" s="42">
        <f t="shared" si="136"/>
        <v>0</v>
      </c>
      <c r="BF813" s="42">
        <f t="shared" si="137"/>
        <v>0</v>
      </c>
      <c r="BG813" s="42">
        <f t="shared" si="138"/>
        <v>0</v>
      </c>
      <c r="BH813" s="42">
        <f t="shared" si="139"/>
        <v>0</v>
      </c>
      <c r="BI813" s="42">
        <f t="shared" si="140"/>
        <v>0</v>
      </c>
      <c r="BJ813" s="42">
        <f t="shared" si="141"/>
        <v>0</v>
      </c>
      <c r="BK813" s="42">
        <f t="shared" si="142"/>
        <v>8</v>
      </c>
    </row>
    <row r="814" spans="1:63" ht="27" customHeight="1">
      <c r="A814" s="222">
        <f t="shared" si="143"/>
        <v>812</v>
      </c>
      <c r="B814" s="223"/>
      <c r="C814" s="250">
        <v>3213</v>
      </c>
      <c r="D814" s="225" t="s">
        <v>4801</v>
      </c>
      <c r="E814" s="251" t="s">
        <v>4802</v>
      </c>
      <c r="F814" s="252" t="s">
        <v>4803</v>
      </c>
      <c r="G814" s="253" t="s">
        <v>848</v>
      </c>
      <c r="H814" s="229" t="s">
        <v>4804</v>
      </c>
      <c r="I814" s="230" t="s">
        <v>4805</v>
      </c>
      <c r="J814" s="254" t="s">
        <v>173</v>
      </c>
      <c r="K814" s="255">
        <v>29317</v>
      </c>
      <c r="L814" s="233" t="s">
        <v>174</v>
      </c>
      <c r="M814" s="256">
        <v>43742</v>
      </c>
      <c r="N814" s="256"/>
      <c r="O814" s="224" t="s">
        <v>3960</v>
      </c>
      <c r="P814" s="222" t="s">
        <v>3780</v>
      </c>
      <c r="Q814" s="222" t="s">
        <v>244</v>
      </c>
      <c r="R814" s="224" t="s">
        <v>177</v>
      </c>
      <c r="S814" s="224" t="s">
        <v>214</v>
      </c>
      <c r="T814" s="235"/>
      <c r="U814" s="257"/>
      <c r="V814" s="258" t="s">
        <v>179</v>
      </c>
      <c r="W814" s="258" t="s">
        <v>179</v>
      </c>
      <c r="X814" s="266">
        <v>5</v>
      </c>
      <c r="Y814" s="251" t="s">
        <v>4806</v>
      </c>
      <c r="Z814" s="261"/>
      <c r="AA814" s="261" t="s">
        <v>181</v>
      </c>
      <c r="AB814" s="258"/>
      <c r="AC814" s="280"/>
      <c r="AD814" s="271"/>
      <c r="AE814" s="271"/>
      <c r="AF814" s="272"/>
      <c r="AG814" s="270"/>
      <c r="AH814" s="260"/>
      <c r="AI814" s="260"/>
      <c r="AJ814" s="258" t="s">
        <v>198</v>
      </c>
      <c r="AK814" s="258" t="s">
        <v>185</v>
      </c>
      <c r="AL814" s="258" t="s">
        <v>185</v>
      </c>
      <c r="AM814" s="244" t="s">
        <v>3854</v>
      </c>
      <c r="AN814" s="20">
        <v>182</v>
      </c>
      <c r="AO814" s="20">
        <v>0</v>
      </c>
      <c r="AP814" s="20">
        <v>20</v>
      </c>
      <c r="AQ814" s="20">
        <v>0</v>
      </c>
      <c r="AR814" s="20">
        <v>0</v>
      </c>
      <c r="AS814" s="20">
        <v>7</v>
      </c>
      <c r="AT814" s="20">
        <v>10</v>
      </c>
      <c r="AU814" s="300">
        <f t="shared" si="133"/>
        <v>219</v>
      </c>
      <c r="AV814" s="20">
        <v>190</v>
      </c>
      <c r="AW814" s="20">
        <v>0</v>
      </c>
      <c r="AX814" s="20">
        <v>20</v>
      </c>
      <c r="AY814" s="20">
        <v>0</v>
      </c>
      <c r="AZ814" s="20">
        <v>0</v>
      </c>
      <c r="BA814" s="20">
        <v>7</v>
      </c>
      <c r="BB814" s="20">
        <v>10</v>
      </c>
      <c r="BC814" s="300">
        <f t="shared" si="134"/>
        <v>227</v>
      </c>
      <c r="BD814" s="42">
        <f t="shared" si="135"/>
        <v>8</v>
      </c>
      <c r="BE814" s="42">
        <f t="shared" si="136"/>
        <v>0</v>
      </c>
      <c r="BF814" s="42">
        <f t="shared" si="137"/>
        <v>0</v>
      </c>
      <c r="BG814" s="42">
        <f t="shared" si="138"/>
        <v>0</v>
      </c>
      <c r="BH814" s="42">
        <f t="shared" si="139"/>
        <v>0</v>
      </c>
      <c r="BI814" s="42">
        <f t="shared" si="140"/>
        <v>0</v>
      </c>
      <c r="BJ814" s="42">
        <f t="shared" si="141"/>
        <v>0</v>
      </c>
      <c r="BK814" s="42">
        <f t="shared" si="142"/>
        <v>8</v>
      </c>
    </row>
    <row r="815" spans="1:63" ht="27" customHeight="1">
      <c r="A815" s="222">
        <f t="shared" si="143"/>
        <v>813</v>
      </c>
      <c r="B815" s="223"/>
      <c r="C815" s="250">
        <v>3518</v>
      </c>
      <c r="D815" s="268">
        <v>0</v>
      </c>
      <c r="E815" s="251" t="s">
        <v>4807</v>
      </c>
      <c r="F815" s="252" t="s">
        <v>2985</v>
      </c>
      <c r="G815" s="253" t="s">
        <v>4808</v>
      </c>
      <c r="H815" s="229" t="s">
        <v>4809</v>
      </c>
      <c r="I815" s="230" t="s">
        <v>4810</v>
      </c>
      <c r="J815" s="254" t="s">
        <v>173</v>
      </c>
      <c r="K815" s="255">
        <v>35499</v>
      </c>
      <c r="L815" s="233" t="s">
        <v>174</v>
      </c>
      <c r="M815" s="256">
        <v>43746</v>
      </c>
      <c r="N815" s="256"/>
      <c r="O815" s="224" t="s">
        <v>3973</v>
      </c>
      <c r="P815" s="222" t="s">
        <v>3749</v>
      </c>
      <c r="Q815" s="222" t="s">
        <v>244</v>
      </c>
      <c r="R815" s="224" t="s">
        <v>177</v>
      </c>
      <c r="S815" s="224" t="s">
        <v>223</v>
      </c>
      <c r="T815" s="235"/>
      <c r="U815" s="257"/>
      <c r="V815" s="258" t="s">
        <v>179</v>
      </c>
      <c r="W815" s="258" t="s">
        <v>179</v>
      </c>
      <c r="X815" s="259">
        <v>0</v>
      </c>
      <c r="Y815" s="251" t="s">
        <v>4811</v>
      </c>
      <c r="Z815" s="261" t="s">
        <v>181</v>
      </c>
      <c r="AA815" s="261"/>
      <c r="AB815" s="258"/>
      <c r="AC815" s="280"/>
      <c r="AD815" s="271"/>
      <c r="AE815" s="271"/>
      <c r="AF815" s="272"/>
      <c r="AG815" s="270"/>
      <c r="AH815" s="260"/>
      <c r="AI815" s="260"/>
      <c r="AJ815" s="258" t="s">
        <v>198</v>
      </c>
      <c r="AK815" s="258" t="s">
        <v>185</v>
      </c>
      <c r="AL815" s="258" t="s">
        <v>185</v>
      </c>
      <c r="AM815" s="244" t="s">
        <v>3854</v>
      </c>
      <c r="AN815" s="20">
        <v>182</v>
      </c>
      <c r="AO815" s="20">
        <v>0</v>
      </c>
      <c r="AP815" s="20">
        <v>20</v>
      </c>
      <c r="AQ815" s="20">
        <v>0</v>
      </c>
      <c r="AR815" s="20">
        <v>0</v>
      </c>
      <c r="AS815" s="20">
        <v>7</v>
      </c>
      <c r="AT815" s="20">
        <v>10</v>
      </c>
      <c r="AU815" s="300">
        <f t="shared" si="133"/>
        <v>219</v>
      </c>
      <c r="AV815" s="20">
        <v>190</v>
      </c>
      <c r="AW815" s="20">
        <v>0</v>
      </c>
      <c r="AX815" s="20">
        <v>20</v>
      </c>
      <c r="AY815" s="20">
        <v>0</v>
      </c>
      <c r="AZ815" s="20">
        <v>0</v>
      </c>
      <c r="BA815" s="20">
        <v>7</v>
      </c>
      <c r="BB815" s="20">
        <v>10</v>
      </c>
      <c r="BC815" s="300">
        <f t="shared" si="134"/>
        <v>227</v>
      </c>
      <c r="BD815" s="42">
        <f t="shared" si="135"/>
        <v>8</v>
      </c>
      <c r="BE815" s="42">
        <f t="shared" si="136"/>
        <v>0</v>
      </c>
      <c r="BF815" s="42">
        <f t="shared" si="137"/>
        <v>0</v>
      </c>
      <c r="BG815" s="42">
        <f t="shared" si="138"/>
        <v>0</v>
      </c>
      <c r="BH815" s="42">
        <f t="shared" si="139"/>
        <v>0</v>
      </c>
      <c r="BI815" s="42">
        <f t="shared" si="140"/>
        <v>0</v>
      </c>
      <c r="BJ815" s="42">
        <f t="shared" si="141"/>
        <v>0</v>
      </c>
      <c r="BK815" s="42">
        <f t="shared" si="142"/>
        <v>8</v>
      </c>
    </row>
    <row r="816" spans="1:63" ht="27" customHeight="1">
      <c r="A816" s="222">
        <f t="shared" si="143"/>
        <v>814</v>
      </c>
      <c r="B816" s="223"/>
      <c r="C816" s="250">
        <v>3226</v>
      </c>
      <c r="D816" s="264" t="s">
        <v>4812</v>
      </c>
      <c r="E816" s="251" t="s">
        <v>291</v>
      </c>
      <c r="F816" s="252" t="s">
        <v>4813</v>
      </c>
      <c r="G816" s="253" t="s">
        <v>1248</v>
      </c>
      <c r="H816" s="229" t="s">
        <v>4814</v>
      </c>
      <c r="I816" s="230" t="s">
        <v>1250</v>
      </c>
      <c r="J816" s="254" t="s">
        <v>173</v>
      </c>
      <c r="K816" s="255">
        <v>30083</v>
      </c>
      <c r="L816" s="233" t="s">
        <v>174</v>
      </c>
      <c r="M816" s="256">
        <v>43740</v>
      </c>
      <c r="N816" s="256"/>
      <c r="O816" s="224" t="s">
        <v>4019</v>
      </c>
      <c r="P816" s="222" t="s">
        <v>3770</v>
      </c>
      <c r="Q816" s="222" t="s">
        <v>244</v>
      </c>
      <c r="R816" s="224" t="s">
        <v>177</v>
      </c>
      <c r="S816" s="224" t="s">
        <v>214</v>
      </c>
      <c r="T816" s="235"/>
      <c r="U816" s="257"/>
      <c r="V816" s="258" t="s">
        <v>179</v>
      </c>
      <c r="W816" s="258" t="s">
        <v>179</v>
      </c>
      <c r="X816" s="259">
        <v>6</v>
      </c>
      <c r="Y816" s="251" t="s">
        <v>4815</v>
      </c>
      <c r="Z816" s="261"/>
      <c r="AA816" s="261" t="s">
        <v>181</v>
      </c>
      <c r="AB816" s="258"/>
      <c r="AC816" s="280"/>
      <c r="AD816" s="271"/>
      <c r="AE816" s="271"/>
      <c r="AF816" s="272"/>
      <c r="AG816" s="270"/>
      <c r="AH816" s="260"/>
      <c r="AI816" s="260"/>
      <c r="AJ816" s="258" t="s">
        <v>198</v>
      </c>
      <c r="AK816" s="258" t="s">
        <v>185</v>
      </c>
      <c r="AL816" s="258" t="s">
        <v>185</v>
      </c>
      <c r="AM816" s="244" t="s">
        <v>3854</v>
      </c>
      <c r="AN816" s="20">
        <v>182</v>
      </c>
      <c r="AO816" s="20">
        <v>0</v>
      </c>
      <c r="AP816" s="20">
        <v>20</v>
      </c>
      <c r="AQ816" s="20">
        <v>0</v>
      </c>
      <c r="AR816" s="20">
        <v>0</v>
      </c>
      <c r="AS816" s="20">
        <v>7</v>
      </c>
      <c r="AT816" s="20">
        <v>10</v>
      </c>
      <c r="AU816" s="300">
        <f t="shared" si="133"/>
        <v>219</v>
      </c>
      <c r="AV816" s="20">
        <v>190</v>
      </c>
      <c r="AW816" s="20">
        <v>0</v>
      </c>
      <c r="AX816" s="20">
        <v>20</v>
      </c>
      <c r="AY816" s="20">
        <v>0</v>
      </c>
      <c r="AZ816" s="20">
        <v>0</v>
      </c>
      <c r="BA816" s="20">
        <v>7</v>
      </c>
      <c r="BB816" s="20">
        <v>10</v>
      </c>
      <c r="BC816" s="300">
        <f t="shared" si="134"/>
        <v>227</v>
      </c>
      <c r="BD816" s="42">
        <f t="shared" si="135"/>
        <v>8</v>
      </c>
      <c r="BE816" s="42">
        <f t="shared" si="136"/>
        <v>0</v>
      </c>
      <c r="BF816" s="42">
        <f t="shared" si="137"/>
        <v>0</v>
      </c>
      <c r="BG816" s="42">
        <f t="shared" si="138"/>
        <v>0</v>
      </c>
      <c r="BH816" s="42">
        <f t="shared" si="139"/>
        <v>0</v>
      </c>
      <c r="BI816" s="42">
        <f t="shared" si="140"/>
        <v>0</v>
      </c>
      <c r="BJ816" s="42">
        <f t="shared" si="141"/>
        <v>0</v>
      </c>
      <c r="BK816" s="42">
        <f t="shared" si="142"/>
        <v>8</v>
      </c>
    </row>
    <row r="817" spans="1:63" ht="27" customHeight="1">
      <c r="A817" s="222">
        <f t="shared" si="143"/>
        <v>815</v>
      </c>
      <c r="B817" s="223"/>
      <c r="C817" s="250">
        <v>3273</v>
      </c>
      <c r="D817" s="225" t="s">
        <v>4816</v>
      </c>
      <c r="E817" s="251" t="s">
        <v>4817</v>
      </c>
      <c r="F817" s="252" t="s">
        <v>644</v>
      </c>
      <c r="G817" s="253" t="s">
        <v>3285</v>
      </c>
      <c r="H817" s="229" t="s">
        <v>1531</v>
      </c>
      <c r="I817" s="230" t="s">
        <v>4818</v>
      </c>
      <c r="J817" s="254" t="s">
        <v>173</v>
      </c>
      <c r="K817" s="255">
        <v>35499</v>
      </c>
      <c r="L817" s="233" t="s">
        <v>174</v>
      </c>
      <c r="M817" s="256">
        <v>43743</v>
      </c>
      <c r="N817" s="256"/>
      <c r="O817" s="224" t="s">
        <v>4085</v>
      </c>
      <c r="P817" s="222" t="s">
        <v>3770</v>
      </c>
      <c r="Q817" s="222" t="s">
        <v>244</v>
      </c>
      <c r="R817" s="224" t="s">
        <v>177</v>
      </c>
      <c r="S817" s="224" t="s">
        <v>1113</v>
      </c>
      <c r="T817" s="235"/>
      <c r="U817" s="257"/>
      <c r="V817" s="258" t="s">
        <v>179</v>
      </c>
      <c r="W817" s="258" t="s">
        <v>179</v>
      </c>
      <c r="X817" s="259">
        <v>9</v>
      </c>
      <c r="Y817" s="251" t="s">
        <v>4819</v>
      </c>
      <c r="Z817" s="261" t="s">
        <v>181</v>
      </c>
      <c r="AA817" s="261"/>
      <c r="AB817" s="258"/>
      <c r="AC817" s="280"/>
      <c r="AD817" s="271"/>
      <c r="AE817" s="271"/>
      <c r="AF817" s="272"/>
      <c r="AG817" s="270"/>
      <c r="AH817" s="260"/>
      <c r="AI817" s="260"/>
      <c r="AJ817" s="258" t="s">
        <v>185</v>
      </c>
      <c r="AK817" s="258" t="s">
        <v>185</v>
      </c>
      <c r="AL817" s="258" t="s">
        <v>185</v>
      </c>
      <c r="AM817" s="273" t="s">
        <v>3962</v>
      </c>
      <c r="AN817" s="20">
        <v>182</v>
      </c>
      <c r="AO817" s="20">
        <v>0</v>
      </c>
      <c r="AP817" s="20">
        <v>20</v>
      </c>
      <c r="AQ817" s="20">
        <v>0</v>
      </c>
      <c r="AR817" s="20">
        <v>0</v>
      </c>
      <c r="AS817" s="20">
        <v>7</v>
      </c>
      <c r="AT817" s="20">
        <v>10</v>
      </c>
      <c r="AU817" s="300">
        <f t="shared" si="133"/>
        <v>219</v>
      </c>
      <c r="AV817" s="20">
        <v>190</v>
      </c>
      <c r="AW817" s="20">
        <v>0</v>
      </c>
      <c r="AX817" s="20">
        <v>20</v>
      </c>
      <c r="AY817" s="20">
        <v>0</v>
      </c>
      <c r="AZ817" s="20">
        <v>0</v>
      </c>
      <c r="BA817" s="20">
        <v>7</v>
      </c>
      <c r="BB817" s="20">
        <v>10</v>
      </c>
      <c r="BC817" s="300">
        <f t="shared" si="134"/>
        <v>227</v>
      </c>
      <c r="BD817" s="42">
        <f t="shared" si="135"/>
        <v>8</v>
      </c>
      <c r="BE817" s="42">
        <f t="shared" si="136"/>
        <v>0</v>
      </c>
      <c r="BF817" s="42">
        <f t="shared" si="137"/>
        <v>0</v>
      </c>
      <c r="BG817" s="42">
        <f t="shared" si="138"/>
        <v>0</v>
      </c>
      <c r="BH817" s="42">
        <f t="shared" si="139"/>
        <v>0</v>
      </c>
      <c r="BI817" s="42">
        <f t="shared" si="140"/>
        <v>0</v>
      </c>
      <c r="BJ817" s="42">
        <f t="shared" si="141"/>
        <v>0</v>
      </c>
      <c r="BK817" s="42">
        <f t="shared" si="142"/>
        <v>8</v>
      </c>
    </row>
    <row r="818" spans="1:63" ht="27" customHeight="1">
      <c r="A818" s="222">
        <f t="shared" si="143"/>
        <v>816</v>
      </c>
      <c r="B818" s="223"/>
      <c r="C818" s="250">
        <v>3505</v>
      </c>
      <c r="D818" s="225" t="s">
        <v>4820</v>
      </c>
      <c r="E818" s="251" t="s">
        <v>4821</v>
      </c>
      <c r="F818" s="252" t="s">
        <v>3668</v>
      </c>
      <c r="G818" s="253" t="s">
        <v>4822</v>
      </c>
      <c r="H818" s="229" t="s">
        <v>3992</v>
      </c>
      <c r="I818" s="230" t="s">
        <v>4823</v>
      </c>
      <c r="J818" s="254" t="s">
        <v>173</v>
      </c>
      <c r="K818" s="255">
        <v>35857</v>
      </c>
      <c r="L818" s="233" t="s">
        <v>174</v>
      </c>
      <c r="M818" s="256">
        <v>43747</v>
      </c>
      <c r="N818" s="256"/>
      <c r="O818" s="224" t="s">
        <v>3973</v>
      </c>
      <c r="P818" s="222" t="s">
        <v>3749</v>
      </c>
      <c r="Q818" s="222" t="s">
        <v>244</v>
      </c>
      <c r="R818" s="224" t="s">
        <v>177</v>
      </c>
      <c r="S818" s="224" t="s">
        <v>178</v>
      </c>
      <c r="T818" s="235"/>
      <c r="U818" s="257"/>
      <c r="V818" s="258" t="s">
        <v>179</v>
      </c>
      <c r="W818" s="258" t="s">
        <v>179</v>
      </c>
      <c r="X818" s="259">
        <v>10</v>
      </c>
      <c r="Y818" s="251" t="s">
        <v>4824</v>
      </c>
      <c r="Z818" s="261"/>
      <c r="AA818" s="261" t="s">
        <v>181</v>
      </c>
      <c r="AB818" s="258"/>
      <c r="AC818" s="280"/>
      <c r="AD818" s="272"/>
      <c r="AE818" s="271"/>
      <c r="AF818" s="271"/>
      <c r="AG818" s="270"/>
      <c r="AH818" s="260"/>
      <c r="AI818" s="260"/>
      <c r="AJ818" s="258" t="s">
        <v>198</v>
      </c>
      <c r="AK818" s="258" t="s">
        <v>185</v>
      </c>
      <c r="AL818" s="258" t="s">
        <v>185</v>
      </c>
      <c r="AM818" s="244" t="s">
        <v>4825</v>
      </c>
      <c r="AN818" s="20">
        <v>182</v>
      </c>
      <c r="AO818" s="20">
        <v>0</v>
      </c>
      <c r="AP818" s="20">
        <v>20</v>
      </c>
      <c r="AQ818" s="20">
        <v>0</v>
      </c>
      <c r="AR818" s="20">
        <v>0</v>
      </c>
      <c r="AS818" s="20">
        <v>7</v>
      </c>
      <c r="AT818" s="20">
        <v>10</v>
      </c>
      <c r="AU818" s="300">
        <f t="shared" si="133"/>
        <v>219</v>
      </c>
      <c r="AV818" s="20">
        <v>190</v>
      </c>
      <c r="AW818" s="20">
        <v>0</v>
      </c>
      <c r="AX818" s="20">
        <v>20</v>
      </c>
      <c r="AY818" s="20">
        <v>0</v>
      </c>
      <c r="AZ818" s="20">
        <v>0</v>
      </c>
      <c r="BA818" s="20">
        <v>7</v>
      </c>
      <c r="BB818" s="20">
        <v>10</v>
      </c>
      <c r="BC818" s="300">
        <f t="shared" si="134"/>
        <v>227</v>
      </c>
      <c r="BD818" s="42">
        <f t="shared" si="135"/>
        <v>8</v>
      </c>
      <c r="BE818" s="42">
        <f t="shared" si="136"/>
        <v>0</v>
      </c>
      <c r="BF818" s="42">
        <f t="shared" si="137"/>
        <v>0</v>
      </c>
      <c r="BG818" s="42">
        <f t="shared" si="138"/>
        <v>0</v>
      </c>
      <c r="BH818" s="42">
        <f t="shared" si="139"/>
        <v>0</v>
      </c>
      <c r="BI818" s="42">
        <f t="shared" si="140"/>
        <v>0</v>
      </c>
      <c r="BJ818" s="42">
        <f t="shared" si="141"/>
        <v>0</v>
      </c>
      <c r="BK818" s="42">
        <f t="shared" si="142"/>
        <v>8</v>
      </c>
    </row>
    <row r="819" spans="1:63" ht="27" customHeight="1">
      <c r="A819" s="222">
        <f t="shared" si="143"/>
        <v>817</v>
      </c>
      <c r="B819" s="223"/>
      <c r="C819" s="250">
        <v>3235</v>
      </c>
      <c r="D819" s="225" t="s">
        <v>4826</v>
      </c>
      <c r="E819" s="251" t="s">
        <v>4827</v>
      </c>
      <c r="F819" s="252" t="s">
        <v>3323</v>
      </c>
      <c r="G819" s="253" t="s">
        <v>4828</v>
      </c>
      <c r="H819" s="229" t="s">
        <v>4829</v>
      </c>
      <c r="I819" s="230" t="s">
        <v>4830</v>
      </c>
      <c r="J819" s="254" t="s">
        <v>204</v>
      </c>
      <c r="K819" s="255">
        <v>36755</v>
      </c>
      <c r="L819" s="233" t="s">
        <v>174</v>
      </c>
      <c r="M819" s="256">
        <v>43741</v>
      </c>
      <c r="N819" s="256"/>
      <c r="O819" s="224" t="s">
        <v>4032</v>
      </c>
      <c r="P819" s="222" t="s">
        <v>3765</v>
      </c>
      <c r="Q819" s="222" t="s">
        <v>244</v>
      </c>
      <c r="R819" s="224" t="s">
        <v>177</v>
      </c>
      <c r="S819" s="224" t="s">
        <v>214</v>
      </c>
      <c r="T819" s="235"/>
      <c r="U819" s="257"/>
      <c r="V819" s="258" t="s">
        <v>179</v>
      </c>
      <c r="W819" s="258" t="s">
        <v>179</v>
      </c>
      <c r="X819" s="259">
        <v>7</v>
      </c>
      <c r="Y819" s="251" t="s">
        <v>4167</v>
      </c>
      <c r="Z819" s="261" t="s">
        <v>181</v>
      </c>
      <c r="AA819" s="261"/>
      <c r="AB819" s="258"/>
      <c r="AC819" s="280"/>
      <c r="AD819" s="271"/>
      <c r="AE819" s="271"/>
      <c r="AF819" s="272"/>
      <c r="AG819" s="270"/>
      <c r="AH819" s="260"/>
      <c r="AI819" s="260"/>
      <c r="AJ819" s="258" t="s">
        <v>185</v>
      </c>
      <c r="AK819" s="258" t="s">
        <v>185</v>
      </c>
      <c r="AL819" s="258" t="s">
        <v>185</v>
      </c>
      <c r="AM819" s="273" t="s">
        <v>3962</v>
      </c>
      <c r="AN819" s="20">
        <v>182</v>
      </c>
      <c r="AO819" s="20">
        <v>0</v>
      </c>
      <c r="AP819" s="20">
        <v>20</v>
      </c>
      <c r="AQ819" s="20">
        <v>0</v>
      </c>
      <c r="AR819" s="20">
        <v>0</v>
      </c>
      <c r="AS819" s="20">
        <v>7</v>
      </c>
      <c r="AT819" s="20">
        <v>10</v>
      </c>
      <c r="AU819" s="300">
        <f t="shared" si="133"/>
        <v>219</v>
      </c>
      <c r="AV819" s="20">
        <v>190</v>
      </c>
      <c r="AW819" s="20">
        <v>0</v>
      </c>
      <c r="AX819" s="20">
        <v>20</v>
      </c>
      <c r="AY819" s="20">
        <v>0</v>
      </c>
      <c r="AZ819" s="20">
        <v>0</v>
      </c>
      <c r="BA819" s="20">
        <v>7</v>
      </c>
      <c r="BB819" s="20">
        <v>10</v>
      </c>
      <c r="BC819" s="300">
        <f t="shared" si="134"/>
        <v>227</v>
      </c>
      <c r="BD819" s="42">
        <f t="shared" si="135"/>
        <v>8</v>
      </c>
      <c r="BE819" s="42">
        <f t="shared" si="136"/>
        <v>0</v>
      </c>
      <c r="BF819" s="42">
        <f t="shared" si="137"/>
        <v>0</v>
      </c>
      <c r="BG819" s="42">
        <f t="shared" si="138"/>
        <v>0</v>
      </c>
      <c r="BH819" s="42">
        <f t="shared" si="139"/>
        <v>0</v>
      </c>
      <c r="BI819" s="42">
        <f t="shared" si="140"/>
        <v>0</v>
      </c>
      <c r="BJ819" s="42">
        <f t="shared" si="141"/>
        <v>0</v>
      </c>
      <c r="BK819" s="42">
        <f t="shared" si="142"/>
        <v>8</v>
      </c>
    </row>
    <row r="820" spans="1:63" ht="27" customHeight="1">
      <c r="A820" s="222">
        <f t="shared" si="143"/>
        <v>818</v>
      </c>
      <c r="B820" s="223"/>
      <c r="C820" s="250">
        <v>3221</v>
      </c>
      <c r="D820" s="268">
        <v>0</v>
      </c>
      <c r="E820" s="251" t="s">
        <v>4831</v>
      </c>
      <c r="F820" s="252" t="s">
        <v>4832</v>
      </c>
      <c r="G820" s="253" t="s">
        <v>4828</v>
      </c>
      <c r="H820" s="229" t="s">
        <v>639</v>
      </c>
      <c r="I820" s="230" t="s">
        <v>4830</v>
      </c>
      <c r="J820" s="254" t="s">
        <v>204</v>
      </c>
      <c r="K820" s="255">
        <v>36758</v>
      </c>
      <c r="L820" s="233" t="s">
        <v>174</v>
      </c>
      <c r="M820" s="256">
        <v>43742</v>
      </c>
      <c r="N820" s="256"/>
      <c r="O820" s="224" t="s">
        <v>3978</v>
      </c>
      <c r="P820" s="222" t="s">
        <v>2816</v>
      </c>
      <c r="Q820" s="222" t="s">
        <v>244</v>
      </c>
      <c r="R820" s="224" t="s">
        <v>177</v>
      </c>
      <c r="S820" s="224" t="s">
        <v>251</v>
      </c>
      <c r="T820" s="235"/>
      <c r="U820" s="257"/>
      <c r="V820" s="258" t="s">
        <v>179</v>
      </c>
      <c r="W820" s="258" t="s">
        <v>179</v>
      </c>
      <c r="X820" s="259">
        <v>7</v>
      </c>
      <c r="Y820" s="251" t="s">
        <v>4833</v>
      </c>
      <c r="Z820" s="261" t="s">
        <v>181</v>
      </c>
      <c r="AA820" s="261"/>
      <c r="AB820" s="258"/>
      <c r="AC820" s="280"/>
      <c r="AD820" s="271"/>
      <c r="AE820" s="271"/>
      <c r="AF820" s="272"/>
      <c r="AG820" s="270"/>
      <c r="AH820" s="260"/>
      <c r="AI820" s="260"/>
      <c r="AJ820" s="258" t="s">
        <v>198</v>
      </c>
      <c r="AK820" s="258" t="s">
        <v>185</v>
      </c>
      <c r="AL820" s="258" t="s">
        <v>185</v>
      </c>
      <c r="AM820" s="244" t="s">
        <v>3911</v>
      </c>
      <c r="AN820" s="20">
        <v>182</v>
      </c>
      <c r="AO820" s="20">
        <v>0</v>
      </c>
      <c r="AP820" s="20">
        <v>20</v>
      </c>
      <c r="AQ820" s="20">
        <v>0</v>
      </c>
      <c r="AR820" s="20">
        <v>0</v>
      </c>
      <c r="AS820" s="20">
        <v>7</v>
      </c>
      <c r="AT820" s="20">
        <v>10</v>
      </c>
      <c r="AU820" s="300">
        <f t="shared" si="133"/>
        <v>219</v>
      </c>
      <c r="AV820" s="20">
        <v>190</v>
      </c>
      <c r="AW820" s="20">
        <v>0</v>
      </c>
      <c r="AX820" s="20">
        <v>20</v>
      </c>
      <c r="AY820" s="20">
        <v>0</v>
      </c>
      <c r="AZ820" s="20">
        <v>0</v>
      </c>
      <c r="BA820" s="20">
        <v>7</v>
      </c>
      <c r="BB820" s="20">
        <v>10</v>
      </c>
      <c r="BC820" s="300">
        <f t="shared" si="134"/>
        <v>227</v>
      </c>
      <c r="BD820" s="42">
        <f t="shared" si="135"/>
        <v>8</v>
      </c>
      <c r="BE820" s="42">
        <f t="shared" si="136"/>
        <v>0</v>
      </c>
      <c r="BF820" s="42">
        <f t="shared" si="137"/>
        <v>0</v>
      </c>
      <c r="BG820" s="42">
        <f t="shared" si="138"/>
        <v>0</v>
      </c>
      <c r="BH820" s="42">
        <f t="shared" si="139"/>
        <v>0</v>
      </c>
      <c r="BI820" s="42">
        <f t="shared" si="140"/>
        <v>0</v>
      </c>
      <c r="BJ820" s="42">
        <f t="shared" si="141"/>
        <v>0</v>
      </c>
      <c r="BK820" s="42">
        <f t="shared" si="142"/>
        <v>8</v>
      </c>
    </row>
    <row r="821" spans="1:63" ht="27" customHeight="1">
      <c r="A821" s="222">
        <f t="shared" si="143"/>
        <v>819</v>
      </c>
      <c r="B821" s="223"/>
      <c r="C821" s="250">
        <v>3222</v>
      </c>
      <c r="D821" s="264" t="s">
        <v>4834</v>
      </c>
      <c r="E821" s="251" t="s">
        <v>4835</v>
      </c>
      <c r="F821" s="252" t="s">
        <v>2985</v>
      </c>
      <c r="G821" s="253" t="s">
        <v>3691</v>
      </c>
      <c r="H821" s="229" t="s">
        <v>4809</v>
      </c>
      <c r="I821" s="230" t="s">
        <v>4836</v>
      </c>
      <c r="J821" s="254" t="s">
        <v>204</v>
      </c>
      <c r="K821" s="255">
        <v>36220</v>
      </c>
      <c r="L821" s="233" t="s">
        <v>174</v>
      </c>
      <c r="M821" s="256">
        <v>43742</v>
      </c>
      <c r="N821" s="256"/>
      <c r="O821" s="224" t="s">
        <v>3978</v>
      </c>
      <c r="P821" s="222" t="s">
        <v>2816</v>
      </c>
      <c r="Q821" s="222" t="s">
        <v>244</v>
      </c>
      <c r="R821" s="224" t="s">
        <v>177</v>
      </c>
      <c r="S821" s="224" t="s">
        <v>223</v>
      </c>
      <c r="T821" s="235"/>
      <c r="U821" s="257"/>
      <c r="V821" s="258" t="s">
        <v>179</v>
      </c>
      <c r="W821" s="258" t="s">
        <v>179</v>
      </c>
      <c r="X821" s="259">
        <v>9</v>
      </c>
      <c r="Y821" s="251" t="s">
        <v>4837</v>
      </c>
      <c r="Z821" s="261"/>
      <c r="AA821" s="261" t="s">
        <v>181</v>
      </c>
      <c r="AB821" s="258"/>
      <c r="AC821" s="280"/>
      <c r="AD821" s="271"/>
      <c r="AE821" s="271"/>
      <c r="AF821" s="272"/>
      <c r="AG821" s="270"/>
      <c r="AH821" s="260"/>
      <c r="AI821" s="260"/>
      <c r="AJ821" s="258" t="s">
        <v>198</v>
      </c>
      <c r="AK821" s="258" t="s">
        <v>185</v>
      </c>
      <c r="AL821" s="258" t="s">
        <v>185</v>
      </c>
      <c r="AM821" s="244" t="s">
        <v>3854</v>
      </c>
      <c r="AN821" s="20">
        <v>182</v>
      </c>
      <c r="AO821" s="20">
        <v>0</v>
      </c>
      <c r="AP821" s="20">
        <v>20</v>
      </c>
      <c r="AQ821" s="20">
        <v>0</v>
      </c>
      <c r="AR821" s="20">
        <v>0</v>
      </c>
      <c r="AS821" s="20">
        <v>7</v>
      </c>
      <c r="AT821" s="20">
        <v>10</v>
      </c>
      <c r="AU821" s="300">
        <f t="shared" si="133"/>
        <v>219</v>
      </c>
      <c r="AV821" s="20">
        <v>190</v>
      </c>
      <c r="AW821" s="20">
        <v>0</v>
      </c>
      <c r="AX821" s="20">
        <v>20</v>
      </c>
      <c r="AY821" s="20">
        <v>0</v>
      </c>
      <c r="AZ821" s="20">
        <v>0</v>
      </c>
      <c r="BA821" s="20">
        <v>7</v>
      </c>
      <c r="BB821" s="20">
        <v>10</v>
      </c>
      <c r="BC821" s="300">
        <f t="shared" si="134"/>
        <v>227</v>
      </c>
      <c r="BD821" s="42">
        <f t="shared" si="135"/>
        <v>8</v>
      </c>
      <c r="BE821" s="42">
        <f t="shared" si="136"/>
        <v>0</v>
      </c>
      <c r="BF821" s="42">
        <f t="shared" si="137"/>
        <v>0</v>
      </c>
      <c r="BG821" s="42">
        <f t="shared" si="138"/>
        <v>0</v>
      </c>
      <c r="BH821" s="42">
        <f t="shared" si="139"/>
        <v>0</v>
      </c>
      <c r="BI821" s="42">
        <f t="shared" si="140"/>
        <v>0</v>
      </c>
      <c r="BJ821" s="42">
        <f t="shared" si="141"/>
        <v>0</v>
      </c>
      <c r="BK821" s="42">
        <f t="shared" si="142"/>
        <v>8</v>
      </c>
    </row>
    <row r="822" spans="1:63" ht="27" customHeight="1">
      <c r="A822" s="222">
        <f t="shared" si="143"/>
        <v>820</v>
      </c>
      <c r="B822" s="223"/>
      <c r="C822" s="250">
        <v>3218</v>
      </c>
      <c r="D822" s="225" t="s">
        <v>4838</v>
      </c>
      <c r="E822" s="251" t="s">
        <v>4839</v>
      </c>
      <c r="F822" s="252" t="s">
        <v>891</v>
      </c>
      <c r="G822" s="253" t="s">
        <v>4840</v>
      </c>
      <c r="H822" s="229" t="s">
        <v>893</v>
      </c>
      <c r="I822" s="230" t="s">
        <v>863</v>
      </c>
      <c r="J822" s="254" t="s">
        <v>204</v>
      </c>
      <c r="K822" s="255">
        <v>34616</v>
      </c>
      <c r="L822" s="233" t="s">
        <v>174</v>
      </c>
      <c r="M822" s="256">
        <v>43741</v>
      </c>
      <c r="N822" s="256"/>
      <c r="O822" s="224" t="s">
        <v>4019</v>
      </c>
      <c r="P822" s="222" t="s">
        <v>2816</v>
      </c>
      <c r="Q822" s="222" t="s">
        <v>244</v>
      </c>
      <c r="R822" s="224" t="s">
        <v>177</v>
      </c>
      <c r="S822" s="224" t="s">
        <v>206</v>
      </c>
      <c r="T822" s="235"/>
      <c r="U822" s="257"/>
      <c r="V822" s="258" t="s">
        <v>179</v>
      </c>
      <c r="W822" s="258" t="s">
        <v>179</v>
      </c>
      <c r="X822" s="259">
        <v>5</v>
      </c>
      <c r="Y822" s="251" t="s">
        <v>4841</v>
      </c>
      <c r="Z822" s="261"/>
      <c r="AA822" s="261" t="s">
        <v>181</v>
      </c>
      <c r="AB822" s="258"/>
      <c r="AC822" s="280"/>
      <c r="AD822" s="271"/>
      <c r="AE822" s="271"/>
      <c r="AF822" s="272"/>
      <c r="AG822" s="270"/>
      <c r="AH822" s="260"/>
      <c r="AI822" s="260"/>
      <c r="AJ822" s="258" t="s">
        <v>198</v>
      </c>
      <c r="AK822" s="258" t="s">
        <v>185</v>
      </c>
      <c r="AL822" s="258" t="s">
        <v>185</v>
      </c>
      <c r="AM822" s="244" t="s">
        <v>3854</v>
      </c>
      <c r="AN822" s="20">
        <v>182</v>
      </c>
      <c r="AO822" s="20">
        <v>0</v>
      </c>
      <c r="AP822" s="20">
        <v>20</v>
      </c>
      <c r="AQ822" s="20">
        <v>0</v>
      </c>
      <c r="AR822" s="20">
        <v>0</v>
      </c>
      <c r="AS822" s="20">
        <v>7</v>
      </c>
      <c r="AT822" s="20">
        <v>10</v>
      </c>
      <c r="AU822" s="300">
        <f t="shared" si="133"/>
        <v>219</v>
      </c>
      <c r="AV822" s="20">
        <v>190</v>
      </c>
      <c r="AW822" s="20">
        <v>0</v>
      </c>
      <c r="AX822" s="20">
        <v>20</v>
      </c>
      <c r="AY822" s="20">
        <v>0</v>
      </c>
      <c r="AZ822" s="20">
        <v>0</v>
      </c>
      <c r="BA822" s="20">
        <v>7</v>
      </c>
      <c r="BB822" s="20">
        <v>10</v>
      </c>
      <c r="BC822" s="300">
        <f t="shared" si="134"/>
        <v>227</v>
      </c>
      <c r="BD822" s="42">
        <f t="shared" si="135"/>
        <v>8</v>
      </c>
      <c r="BE822" s="42">
        <f t="shared" si="136"/>
        <v>0</v>
      </c>
      <c r="BF822" s="42">
        <f t="shared" si="137"/>
        <v>0</v>
      </c>
      <c r="BG822" s="42">
        <f t="shared" si="138"/>
        <v>0</v>
      </c>
      <c r="BH822" s="42">
        <f t="shared" si="139"/>
        <v>0</v>
      </c>
      <c r="BI822" s="42">
        <f t="shared" si="140"/>
        <v>0</v>
      </c>
      <c r="BJ822" s="42">
        <f t="shared" si="141"/>
        <v>0</v>
      </c>
      <c r="BK822" s="42">
        <f t="shared" si="142"/>
        <v>8</v>
      </c>
    </row>
    <row r="823" spans="1:63" ht="27" customHeight="1">
      <c r="A823" s="222">
        <f t="shared" si="143"/>
        <v>821</v>
      </c>
      <c r="B823" s="223"/>
      <c r="C823" s="250">
        <v>3591</v>
      </c>
      <c r="D823" s="225" t="s">
        <v>4842</v>
      </c>
      <c r="E823" s="251" t="s">
        <v>4843</v>
      </c>
      <c r="F823" s="252" t="s">
        <v>4844</v>
      </c>
      <c r="G823" s="253" t="s">
        <v>1857</v>
      </c>
      <c r="H823" s="229" t="s">
        <v>4721</v>
      </c>
      <c r="I823" s="230" t="s">
        <v>1859</v>
      </c>
      <c r="J823" s="254" t="s">
        <v>173</v>
      </c>
      <c r="K823" s="255">
        <v>37140</v>
      </c>
      <c r="L823" s="233" t="s">
        <v>174</v>
      </c>
      <c r="M823" s="256">
        <v>43749</v>
      </c>
      <c r="N823" s="256"/>
      <c r="O823" s="224"/>
      <c r="P823" s="222" t="s">
        <v>3629</v>
      </c>
      <c r="Q823" s="222" t="s">
        <v>244</v>
      </c>
      <c r="R823" s="224" t="s">
        <v>177</v>
      </c>
      <c r="S823" s="224" t="s">
        <v>4197</v>
      </c>
      <c r="T823" s="235"/>
      <c r="U823" s="257"/>
      <c r="V823" s="258" t="s">
        <v>179</v>
      </c>
      <c r="W823" s="258" t="s">
        <v>179</v>
      </c>
      <c r="X823" s="259">
        <v>5</v>
      </c>
      <c r="Y823" s="251" t="s">
        <v>4845</v>
      </c>
      <c r="Z823" s="261" t="s">
        <v>181</v>
      </c>
      <c r="AA823" s="261"/>
      <c r="AB823" s="258"/>
      <c r="AC823" s="280"/>
      <c r="AD823" s="271"/>
      <c r="AE823" s="271"/>
      <c r="AF823" s="272"/>
      <c r="AG823" s="270"/>
      <c r="AH823" s="260"/>
      <c r="AI823" s="260"/>
      <c r="AJ823" s="258" t="s">
        <v>198</v>
      </c>
      <c r="AK823" s="258" t="s">
        <v>185</v>
      </c>
      <c r="AL823" s="258" t="s">
        <v>185</v>
      </c>
      <c r="AM823" s="244" t="s">
        <v>3854</v>
      </c>
      <c r="AN823" s="20">
        <v>182</v>
      </c>
      <c r="AO823" s="20">
        <v>0</v>
      </c>
      <c r="AP823" s="20">
        <v>20</v>
      </c>
      <c r="AQ823" s="20">
        <v>0</v>
      </c>
      <c r="AR823" s="20">
        <v>0</v>
      </c>
      <c r="AS823" s="20">
        <v>7</v>
      </c>
      <c r="AT823" s="20">
        <v>10</v>
      </c>
      <c r="AU823" s="300">
        <f t="shared" si="133"/>
        <v>219</v>
      </c>
      <c r="AV823" s="20">
        <v>190</v>
      </c>
      <c r="AW823" s="20">
        <v>0</v>
      </c>
      <c r="AX823" s="20">
        <v>20</v>
      </c>
      <c r="AY823" s="20">
        <v>0</v>
      </c>
      <c r="AZ823" s="20">
        <v>0</v>
      </c>
      <c r="BA823" s="20">
        <v>7</v>
      </c>
      <c r="BB823" s="20">
        <v>10</v>
      </c>
      <c r="BC823" s="300">
        <f t="shared" si="134"/>
        <v>227</v>
      </c>
      <c r="BD823" s="42">
        <f t="shared" si="135"/>
        <v>8</v>
      </c>
      <c r="BE823" s="42">
        <f t="shared" si="136"/>
        <v>0</v>
      </c>
      <c r="BF823" s="42">
        <f t="shared" si="137"/>
        <v>0</v>
      </c>
      <c r="BG823" s="42">
        <f t="shared" si="138"/>
        <v>0</v>
      </c>
      <c r="BH823" s="42">
        <f t="shared" si="139"/>
        <v>0</v>
      </c>
      <c r="BI823" s="42">
        <f t="shared" si="140"/>
        <v>0</v>
      </c>
      <c r="BJ823" s="42">
        <f t="shared" si="141"/>
        <v>0</v>
      </c>
      <c r="BK823" s="42">
        <f t="shared" si="142"/>
        <v>8</v>
      </c>
    </row>
    <row r="824" spans="1:63" ht="27" customHeight="1">
      <c r="A824" s="222">
        <f t="shared" si="143"/>
        <v>822</v>
      </c>
      <c r="B824" s="223"/>
      <c r="C824" s="250">
        <v>3527</v>
      </c>
      <c r="D824" s="225" t="s">
        <v>4846</v>
      </c>
      <c r="E824" s="251" t="s">
        <v>291</v>
      </c>
      <c r="F824" s="252" t="s">
        <v>1791</v>
      </c>
      <c r="G824" s="253" t="s">
        <v>4847</v>
      </c>
      <c r="H824" s="229" t="s">
        <v>1793</v>
      </c>
      <c r="I824" s="230" t="s">
        <v>4848</v>
      </c>
      <c r="J824" s="254" t="s">
        <v>204</v>
      </c>
      <c r="K824" s="255">
        <v>37173</v>
      </c>
      <c r="L824" s="233" t="s">
        <v>174</v>
      </c>
      <c r="M824" s="256">
        <v>43745</v>
      </c>
      <c r="N824" s="256"/>
      <c r="O824" s="224" t="s">
        <v>3953</v>
      </c>
      <c r="P824" s="222" t="s">
        <v>3954</v>
      </c>
      <c r="Q824" s="222" t="s">
        <v>244</v>
      </c>
      <c r="R824" s="224" t="s">
        <v>3955</v>
      </c>
      <c r="S824" s="224" t="s">
        <v>251</v>
      </c>
      <c r="T824" s="235" t="s">
        <v>4849</v>
      </c>
      <c r="U824" s="257">
        <v>43789</v>
      </c>
      <c r="V824" s="258" t="s">
        <v>179</v>
      </c>
      <c r="W824" s="258" t="s">
        <v>179</v>
      </c>
      <c r="X824" s="259">
        <v>9</v>
      </c>
      <c r="Y824" s="251" t="s">
        <v>4850</v>
      </c>
      <c r="Z824" s="261" t="s">
        <v>181</v>
      </c>
      <c r="AA824" s="261"/>
      <c r="AB824" s="258"/>
      <c r="AC824" s="280"/>
      <c r="AD824" s="271"/>
      <c r="AE824" s="271"/>
      <c r="AF824" s="272"/>
      <c r="AG824" s="270"/>
      <c r="AH824" s="260"/>
      <c r="AI824" s="260"/>
      <c r="AJ824" s="258" t="s">
        <v>198</v>
      </c>
      <c r="AK824" s="258" t="s">
        <v>185</v>
      </c>
      <c r="AL824" s="258" t="s">
        <v>185</v>
      </c>
      <c r="AM824" s="244" t="s">
        <v>3854</v>
      </c>
      <c r="AN824" s="20">
        <v>182</v>
      </c>
      <c r="AO824" s="20">
        <v>0</v>
      </c>
      <c r="AP824" s="20">
        <v>0</v>
      </c>
      <c r="AQ824" s="20">
        <v>0</v>
      </c>
      <c r="AR824" s="20">
        <v>0</v>
      </c>
      <c r="AS824" s="20">
        <v>7</v>
      </c>
      <c r="AT824" s="20">
        <v>10</v>
      </c>
      <c r="AU824" s="300">
        <f t="shared" si="133"/>
        <v>199</v>
      </c>
      <c r="AV824" s="20">
        <v>190</v>
      </c>
      <c r="AW824" s="20">
        <v>0</v>
      </c>
      <c r="AX824" s="20">
        <v>0</v>
      </c>
      <c r="AY824" s="20">
        <v>0</v>
      </c>
      <c r="AZ824" s="20">
        <v>0</v>
      </c>
      <c r="BA824" s="20">
        <v>7</v>
      </c>
      <c r="BB824" s="20">
        <v>10</v>
      </c>
      <c r="BC824" s="300">
        <f t="shared" si="134"/>
        <v>207</v>
      </c>
      <c r="BD824" s="42">
        <f t="shared" si="135"/>
        <v>8</v>
      </c>
      <c r="BE824" s="42">
        <f t="shared" si="136"/>
        <v>0</v>
      </c>
      <c r="BF824" s="42">
        <f t="shared" si="137"/>
        <v>0</v>
      </c>
      <c r="BG824" s="42">
        <f t="shared" si="138"/>
        <v>0</v>
      </c>
      <c r="BH824" s="42">
        <f t="shared" si="139"/>
        <v>0</v>
      </c>
      <c r="BI824" s="42">
        <f t="shared" si="140"/>
        <v>0</v>
      </c>
      <c r="BJ824" s="42">
        <f t="shared" si="141"/>
        <v>0</v>
      </c>
      <c r="BK824" s="42">
        <f t="shared" si="142"/>
        <v>8</v>
      </c>
    </row>
    <row r="825" spans="1:63" ht="27" customHeight="1">
      <c r="A825" s="222">
        <f t="shared" si="143"/>
        <v>823</v>
      </c>
      <c r="B825" s="223"/>
      <c r="C825" s="250">
        <v>3528</v>
      </c>
      <c r="D825" s="225" t="s">
        <v>4851</v>
      </c>
      <c r="E825" s="251" t="s">
        <v>4852</v>
      </c>
      <c r="F825" s="252" t="s">
        <v>4853</v>
      </c>
      <c r="G825" s="253" t="s">
        <v>4854</v>
      </c>
      <c r="H825" s="229" t="s">
        <v>4855</v>
      </c>
      <c r="I825" s="230" t="s">
        <v>4856</v>
      </c>
      <c r="J825" s="254" t="s">
        <v>204</v>
      </c>
      <c r="K825" s="255">
        <v>36555</v>
      </c>
      <c r="L825" s="233" t="s">
        <v>174</v>
      </c>
      <c r="M825" s="256">
        <v>43745</v>
      </c>
      <c r="N825" s="256"/>
      <c r="O825" s="224" t="s">
        <v>4019</v>
      </c>
      <c r="P825" s="222" t="s">
        <v>3770</v>
      </c>
      <c r="Q825" s="222" t="s">
        <v>244</v>
      </c>
      <c r="R825" s="224" t="s">
        <v>177</v>
      </c>
      <c r="S825" s="224" t="s">
        <v>223</v>
      </c>
      <c r="T825" s="235"/>
      <c r="U825" s="257"/>
      <c r="V825" s="258" t="s">
        <v>179</v>
      </c>
      <c r="W825" s="258" t="s">
        <v>179</v>
      </c>
      <c r="X825" s="259">
        <v>9</v>
      </c>
      <c r="Y825" s="251" t="s">
        <v>4850</v>
      </c>
      <c r="Z825" s="261" t="s">
        <v>181</v>
      </c>
      <c r="AA825" s="261"/>
      <c r="AB825" s="258"/>
      <c r="AC825" s="280"/>
      <c r="AD825" s="271"/>
      <c r="AE825" s="271"/>
      <c r="AF825" s="272"/>
      <c r="AG825" s="270"/>
      <c r="AH825" s="260"/>
      <c r="AI825" s="260"/>
      <c r="AJ825" s="258" t="s">
        <v>198</v>
      </c>
      <c r="AK825" s="258" t="s">
        <v>185</v>
      </c>
      <c r="AL825" s="258" t="s">
        <v>185</v>
      </c>
      <c r="AM825" s="244" t="s">
        <v>3854</v>
      </c>
      <c r="AN825" s="20">
        <v>182</v>
      </c>
      <c r="AO825" s="20">
        <v>0</v>
      </c>
      <c r="AP825" s="20">
        <v>0</v>
      </c>
      <c r="AQ825" s="20">
        <v>0</v>
      </c>
      <c r="AR825" s="20">
        <v>0</v>
      </c>
      <c r="AS825" s="20">
        <v>7</v>
      </c>
      <c r="AT825" s="20">
        <v>10</v>
      </c>
      <c r="AU825" s="300">
        <f t="shared" si="133"/>
        <v>199</v>
      </c>
      <c r="AV825" s="20">
        <v>190</v>
      </c>
      <c r="AW825" s="20">
        <v>0</v>
      </c>
      <c r="AX825" s="20">
        <v>0</v>
      </c>
      <c r="AY825" s="20">
        <v>0</v>
      </c>
      <c r="AZ825" s="20">
        <v>0</v>
      </c>
      <c r="BA825" s="20">
        <v>7</v>
      </c>
      <c r="BB825" s="20">
        <v>10</v>
      </c>
      <c r="BC825" s="300">
        <f t="shared" si="134"/>
        <v>207</v>
      </c>
      <c r="BD825" s="42">
        <f t="shared" si="135"/>
        <v>8</v>
      </c>
      <c r="BE825" s="42">
        <f t="shared" si="136"/>
        <v>0</v>
      </c>
      <c r="BF825" s="42">
        <f t="shared" si="137"/>
        <v>0</v>
      </c>
      <c r="BG825" s="42">
        <f t="shared" si="138"/>
        <v>0</v>
      </c>
      <c r="BH825" s="42">
        <f t="shared" si="139"/>
        <v>0</v>
      </c>
      <c r="BI825" s="42">
        <f t="shared" si="140"/>
        <v>0</v>
      </c>
      <c r="BJ825" s="42">
        <f t="shared" si="141"/>
        <v>0</v>
      </c>
      <c r="BK825" s="42">
        <f t="shared" si="142"/>
        <v>8</v>
      </c>
    </row>
    <row r="826" spans="1:63" ht="27" customHeight="1">
      <c r="A826" s="222">
        <f t="shared" si="143"/>
        <v>824</v>
      </c>
      <c r="B826" s="223"/>
      <c r="C826" s="250">
        <v>3313</v>
      </c>
      <c r="D826" s="264" t="s">
        <v>4857</v>
      </c>
      <c r="E826" s="251" t="s">
        <v>4858</v>
      </c>
      <c r="F826" s="252" t="s">
        <v>1823</v>
      </c>
      <c r="G826" s="253" t="s">
        <v>3112</v>
      </c>
      <c r="H826" s="229" t="s">
        <v>1824</v>
      </c>
      <c r="I826" s="230" t="s">
        <v>3977</v>
      </c>
      <c r="J826" s="254" t="s">
        <v>173</v>
      </c>
      <c r="K826" s="255">
        <v>29313</v>
      </c>
      <c r="L826" s="233" t="s">
        <v>174</v>
      </c>
      <c r="M826" s="256">
        <v>43746</v>
      </c>
      <c r="N826" s="256"/>
      <c r="O826" s="224" t="s">
        <v>3973</v>
      </c>
      <c r="P826" s="222" t="s">
        <v>277</v>
      </c>
      <c r="Q826" s="222" t="s">
        <v>244</v>
      </c>
      <c r="R826" s="224" t="s">
        <v>177</v>
      </c>
      <c r="S826" s="224" t="s">
        <v>214</v>
      </c>
      <c r="T826" s="235"/>
      <c r="U826" s="257"/>
      <c r="V826" s="258" t="s">
        <v>179</v>
      </c>
      <c r="W826" s="258" t="s">
        <v>179</v>
      </c>
      <c r="X826" s="259">
        <v>1</v>
      </c>
      <c r="Y826" s="251" t="s">
        <v>4859</v>
      </c>
      <c r="Z826" s="261"/>
      <c r="AA826" s="261" t="s">
        <v>181</v>
      </c>
      <c r="AB826" s="261"/>
      <c r="AC826" s="280"/>
      <c r="AD826" s="271"/>
      <c r="AE826" s="271"/>
      <c r="AF826" s="272"/>
      <c r="AG826" s="270"/>
      <c r="AH826" s="260"/>
      <c r="AI826" s="260"/>
      <c r="AJ826" s="258" t="s">
        <v>185</v>
      </c>
      <c r="AK826" s="258" t="s">
        <v>185</v>
      </c>
      <c r="AL826" s="258" t="s">
        <v>185</v>
      </c>
      <c r="AM826" s="273" t="s">
        <v>3962</v>
      </c>
      <c r="AN826" s="20">
        <v>182</v>
      </c>
      <c r="AO826" s="20">
        <v>0</v>
      </c>
      <c r="AP826" s="20">
        <v>20</v>
      </c>
      <c r="AQ826" s="20">
        <v>0</v>
      </c>
      <c r="AR826" s="20">
        <v>0</v>
      </c>
      <c r="AS826" s="20">
        <v>7</v>
      </c>
      <c r="AT826" s="20">
        <v>10</v>
      </c>
      <c r="AU826" s="300">
        <f t="shared" si="133"/>
        <v>219</v>
      </c>
      <c r="AV826" s="20">
        <v>190</v>
      </c>
      <c r="AW826" s="20">
        <v>0</v>
      </c>
      <c r="AX826" s="20">
        <v>20</v>
      </c>
      <c r="AY826" s="20">
        <v>0</v>
      </c>
      <c r="AZ826" s="20">
        <v>0</v>
      </c>
      <c r="BA826" s="20">
        <v>7</v>
      </c>
      <c r="BB826" s="20">
        <v>10</v>
      </c>
      <c r="BC826" s="300">
        <f t="shared" si="134"/>
        <v>227</v>
      </c>
      <c r="BD826" s="42">
        <f t="shared" si="135"/>
        <v>8</v>
      </c>
      <c r="BE826" s="42">
        <f t="shared" si="136"/>
        <v>0</v>
      </c>
      <c r="BF826" s="42">
        <f t="shared" si="137"/>
        <v>0</v>
      </c>
      <c r="BG826" s="42">
        <f t="shared" si="138"/>
        <v>0</v>
      </c>
      <c r="BH826" s="42">
        <f t="shared" si="139"/>
        <v>0</v>
      </c>
      <c r="BI826" s="42">
        <f t="shared" si="140"/>
        <v>0</v>
      </c>
      <c r="BJ826" s="42">
        <f t="shared" si="141"/>
        <v>0</v>
      </c>
      <c r="BK826" s="42">
        <f t="shared" si="142"/>
        <v>8</v>
      </c>
    </row>
    <row r="827" spans="1:63" ht="27" customHeight="1">
      <c r="A827" s="222">
        <f t="shared" si="143"/>
        <v>825</v>
      </c>
      <c r="B827" s="223"/>
      <c r="C827" s="250">
        <v>3501</v>
      </c>
      <c r="D827" s="264" t="s">
        <v>4860</v>
      </c>
      <c r="E827" s="251" t="s">
        <v>4861</v>
      </c>
      <c r="F827" s="252" t="s">
        <v>4729</v>
      </c>
      <c r="G827" s="253" t="s">
        <v>4862</v>
      </c>
      <c r="H827" s="229" t="s">
        <v>4730</v>
      </c>
      <c r="I827" s="230" t="s">
        <v>4863</v>
      </c>
      <c r="J827" s="254" t="s">
        <v>204</v>
      </c>
      <c r="K827" s="255">
        <v>36824</v>
      </c>
      <c r="L827" s="233" t="s">
        <v>174</v>
      </c>
      <c r="M827" s="256">
        <v>43747</v>
      </c>
      <c r="N827" s="256"/>
      <c r="O827" s="224" t="s">
        <v>3973</v>
      </c>
      <c r="P827" s="222" t="s">
        <v>3629</v>
      </c>
      <c r="Q827" s="222" t="s">
        <v>244</v>
      </c>
      <c r="R827" s="224" t="s">
        <v>177</v>
      </c>
      <c r="S827" s="224" t="s">
        <v>251</v>
      </c>
      <c r="T827" s="235"/>
      <c r="U827" s="257"/>
      <c r="V827" s="258" t="s">
        <v>179</v>
      </c>
      <c r="W827" s="258" t="s">
        <v>179</v>
      </c>
      <c r="X827" s="259">
        <v>7</v>
      </c>
      <c r="Y827" s="251" t="s">
        <v>4864</v>
      </c>
      <c r="Z827" s="261" t="s">
        <v>181</v>
      </c>
      <c r="AA827" s="261"/>
      <c r="AB827" s="258"/>
      <c r="AC827" s="280"/>
      <c r="AD827" s="271"/>
      <c r="AE827" s="271"/>
      <c r="AF827" s="272"/>
      <c r="AG827" s="270"/>
      <c r="AH827" s="260"/>
      <c r="AI827" s="260"/>
      <c r="AJ827" s="258" t="s">
        <v>198</v>
      </c>
      <c r="AK827" s="258" t="s">
        <v>185</v>
      </c>
      <c r="AL827" s="258" t="s">
        <v>185</v>
      </c>
      <c r="AM827" s="244" t="s">
        <v>3911</v>
      </c>
      <c r="AN827" s="20">
        <v>182</v>
      </c>
      <c r="AO827" s="20">
        <v>0</v>
      </c>
      <c r="AP827" s="20">
        <v>0</v>
      </c>
      <c r="AQ827" s="20">
        <v>0</v>
      </c>
      <c r="AR827" s="20">
        <v>0</v>
      </c>
      <c r="AS827" s="20">
        <v>7</v>
      </c>
      <c r="AT827" s="20">
        <v>10</v>
      </c>
      <c r="AU827" s="300">
        <f t="shared" si="133"/>
        <v>199</v>
      </c>
      <c r="AV827" s="20">
        <v>190</v>
      </c>
      <c r="AW827" s="20">
        <v>0</v>
      </c>
      <c r="AX827" s="20">
        <v>0</v>
      </c>
      <c r="AY827" s="20">
        <v>0</v>
      </c>
      <c r="AZ827" s="20">
        <v>0</v>
      </c>
      <c r="BA827" s="20">
        <v>7</v>
      </c>
      <c r="BB827" s="20">
        <v>10</v>
      </c>
      <c r="BC827" s="300">
        <f t="shared" si="134"/>
        <v>207</v>
      </c>
      <c r="BD827" s="42">
        <f t="shared" si="135"/>
        <v>8</v>
      </c>
      <c r="BE827" s="42">
        <f t="shared" si="136"/>
        <v>0</v>
      </c>
      <c r="BF827" s="42">
        <f t="shared" si="137"/>
        <v>0</v>
      </c>
      <c r="BG827" s="42">
        <f t="shared" si="138"/>
        <v>0</v>
      </c>
      <c r="BH827" s="42">
        <f t="shared" si="139"/>
        <v>0</v>
      </c>
      <c r="BI827" s="42">
        <f t="shared" si="140"/>
        <v>0</v>
      </c>
      <c r="BJ827" s="42">
        <f t="shared" si="141"/>
        <v>0</v>
      </c>
      <c r="BK827" s="42">
        <f t="shared" si="142"/>
        <v>8</v>
      </c>
    </row>
    <row r="828" spans="1:63" ht="27" customHeight="1">
      <c r="A828" s="222">
        <f t="shared" si="143"/>
        <v>826</v>
      </c>
      <c r="B828" s="223"/>
      <c r="C828" s="250">
        <v>3530</v>
      </c>
      <c r="D828" s="225" t="s">
        <v>4865</v>
      </c>
      <c r="E828" s="251" t="s">
        <v>4866</v>
      </c>
      <c r="F828" s="252" t="s">
        <v>1085</v>
      </c>
      <c r="G828" s="253" t="s">
        <v>4867</v>
      </c>
      <c r="H828" s="229" t="s">
        <v>4868</v>
      </c>
      <c r="I828" s="230" t="s">
        <v>4869</v>
      </c>
      <c r="J828" s="254" t="s">
        <v>173</v>
      </c>
      <c r="K828" s="255">
        <v>34070</v>
      </c>
      <c r="L828" s="233" t="s">
        <v>174</v>
      </c>
      <c r="M828" s="256">
        <v>43746</v>
      </c>
      <c r="N828" s="256"/>
      <c r="O828" s="224" t="s">
        <v>3999</v>
      </c>
      <c r="P828" s="222" t="s">
        <v>3828</v>
      </c>
      <c r="Q828" s="222" t="s">
        <v>244</v>
      </c>
      <c r="R828" s="224" t="s">
        <v>177</v>
      </c>
      <c r="S828" s="224" t="s">
        <v>4197</v>
      </c>
      <c r="T828" s="235"/>
      <c r="U828" s="257"/>
      <c r="V828" s="258" t="s">
        <v>179</v>
      </c>
      <c r="W828" s="258" t="s">
        <v>179</v>
      </c>
      <c r="X828" s="259">
        <v>7</v>
      </c>
      <c r="Y828" s="251" t="s">
        <v>4870</v>
      </c>
      <c r="Z828" s="261" t="s">
        <v>181</v>
      </c>
      <c r="AA828" s="261"/>
      <c r="AB828" s="258"/>
      <c r="AC828" s="280"/>
      <c r="AD828" s="271"/>
      <c r="AE828" s="271"/>
      <c r="AF828" s="272"/>
      <c r="AG828" s="270"/>
      <c r="AH828" s="260"/>
      <c r="AI828" s="260"/>
      <c r="AJ828" s="258" t="s">
        <v>198</v>
      </c>
      <c r="AK828" s="258" t="s">
        <v>185</v>
      </c>
      <c r="AL828" s="258" t="s">
        <v>185</v>
      </c>
      <c r="AM828" s="244" t="s">
        <v>3854</v>
      </c>
      <c r="AN828" s="20">
        <v>182</v>
      </c>
      <c r="AO828" s="20">
        <v>0</v>
      </c>
      <c r="AP828" s="20">
        <v>20</v>
      </c>
      <c r="AQ828" s="20">
        <v>0</v>
      </c>
      <c r="AR828" s="20">
        <v>0</v>
      </c>
      <c r="AS828" s="20">
        <v>7</v>
      </c>
      <c r="AT828" s="20">
        <v>10</v>
      </c>
      <c r="AU828" s="300">
        <f t="shared" si="133"/>
        <v>219</v>
      </c>
      <c r="AV828" s="20">
        <v>190</v>
      </c>
      <c r="AW828" s="20">
        <v>0</v>
      </c>
      <c r="AX828" s="20">
        <v>20</v>
      </c>
      <c r="AY828" s="20">
        <v>0</v>
      </c>
      <c r="AZ828" s="20">
        <v>0</v>
      </c>
      <c r="BA828" s="20">
        <v>7</v>
      </c>
      <c r="BB828" s="20">
        <v>10</v>
      </c>
      <c r="BC828" s="300">
        <f t="shared" si="134"/>
        <v>227</v>
      </c>
      <c r="BD828" s="42">
        <f t="shared" si="135"/>
        <v>8</v>
      </c>
      <c r="BE828" s="42">
        <f t="shared" si="136"/>
        <v>0</v>
      </c>
      <c r="BF828" s="42">
        <f t="shared" si="137"/>
        <v>0</v>
      </c>
      <c r="BG828" s="42">
        <f t="shared" si="138"/>
        <v>0</v>
      </c>
      <c r="BH828" s="42">
        <f t="shared" si="139"/>
        <v>0</v>
      </c>
      <c r="BI828" s="42">
        <f t="shared" si="140"/>
        <v>0</v>
      </c>
      <c r="BJ828" s="42">
        <f t="shared" si="141"/>
        <v>0</v>
      </c>
      <c r="BK828" s="42">
        <f t="shared" si="142"/>
        <v>8</v>
      </c>
    </row>
    <row r="829" spans="1:63" ht="27" customHeight="1">
      <c r="A829" s="222">
        <f t="shared" si="143"/>
        <v>827</v>
      </c>
      <c r="B829" s="223"/>
      <c r="C829" s="250">
        <v>3519</v>
      </c>
      <c r="D829" s="225" t="s">
        <v>4871</v>
      </c>
      <c r="E829" s="251" t="s">
        <v>4872</v>
      </c>
      <c r="F829" s="252" t="s">
        <v>802</v>
      </c>
      <c r="G829" s="253" t="s">
        <v>1016</v>
      </c>
      <c r="H829" s="229" t="s">
        <v>4873</v>
      </c>
      <c r="I829" s="230" t="s">
        <v>4874</v>
      </c>
      <c r="J829" s="254" t="s">
        <v>173</v>
      </c>
      <c r="K829" s="255">
        <v>33380</v>
      </c>
      <c r="L829" s="233" t="s">
        <v>174</v>
      </c>
      <c r="M829" s="256">
        <v>43743</v>
      </c>
      <c r="N829" s="256"/>
      <c r="O829" s="224" t="s">
        <v>4019</v>
      </c>
      <c r="P829" s="222" t="s">
        <v>3644</v>
      </c>
      <c r="Q829" s="222" t="s">
        <v>244</v>
      </c>
      <c r="R829" s="224" t="s">
        <v>177</v>
      </c>
      <c r="S829" s="224" t="s">
        <v>722</v>
      </c>
      <c r="T829" s="235"/>
      <c r="U829" s="257"/>
      <c r="V829" s="258" t="s">
        <v>179</v>
      </c>
      <c r="W829" s="258" t="s">
        <v>179</v>
      </c>
      <c r="X829" s="259"/>
      <c r="Y829" s="251" t="s">
        <v>4875</v>
      </c>
      <c r="Z829" s="261"/>
      <c r="AA829" s="261" t="s">
        <v>181</v>
      </c>
      <c r="AB829" s="258"/>
      <c r="AC829" s="280"/>
      <c r="AD829" s="271"/>
      <c r="AE829" s="271"/>
      <c r="AF829" s="272"/>
      <c r="AG829" s="270"/>
      <c r="AH829" s="260"/>
      <c r="AI829" s="260"/>
      <c r="AJ829" s="258" t="s">
        <v>198</v>
      </c>
      <c r="AK829" s="258" t="s">
        <v>185</v>
      </c>
      <c r="AL829" s="258" t="s">
        <v>185</v>
      </c>
      <c r="AM829" s="244" t="s">
        <v>4825</v>
      </c>
      <c r="AN829" s="20">
        <v>182</v>
      </c>
      <c r="AO829" s="20">
        <v>0</v>
      </c>
      <c r="AP829" s="20">
        <v>20</v>
      </c>
      <c r="AQ829" s="20">
        <v>0</v>
      </c>
      <c r="AR829" s="20">
        <v>0</v>
      </c>
      <c r="AS829" s="20">
        <v>7</v>
      </c>
      <c r="AT829" s="20">
        <v>10</v>
      </c>
      <c r="AU829" s="300">
        <f t="shared" si="133"/>
        <v>219</v>
      </c>
      <c r="AV829" s="20">
        <v>190</v>
      </c>
      <c r="AW829" s="20">
        <v>0</v>
      </c>
      <c r="AX829" s="20">
        <v>20</v>
      </c>
      <c r="AY829" s="20">
        <v>0</v>
      </c>
      <c r="AZ829" s="20">
        <v>0</v>
      </c>
      <c r="BA829" s="20">
        <v>7</v>
      </c>
      <c r="BB829" s="20">
        <v>10</v>
      </c>
      <c r="BC829" s="300">
        <f t="shared" si="134"/>
        <v>227</v>
      </c>
      <c r="BD829" s="42">
        <f t="shared" si="135"/>
        <v>8</v>
      </c>
      <c r="BE829" s="42">
        <f t="shared" si="136"/>
        <v>0</v>
      </c>
      <c r="BF829" s="42">
        <f t="shared" si="137"/>
        <v>0</v>
      </c>
      <c r="BG829" s="42">
        <f t="shared" si="138"/>
        <v>0</v>
      </c>
      <c r="BH829" s="42">
        <f t="shared" si="139"/>
        <v>0</v>
      </c>
      <c r="BI829" s="42">
        <f t="shared" si="140"/>
        <v>0</v>
      </c>
      <c r="BJ829" s="42">
        <f t="shared" si="141"/>
        <v>0</v>
      </c>
      <c r="BK829" s="42">
        <f t="shared" si="142"/>
        <v>8</v>
      </c>
    </row>
    <row r="830" spans="1:63" ht="27" customHeight="1">
      <c r="A830" s="222">
        <f t="shared" si="143"/>
        <v>828</v>
      </c>
      <c r="B830" s="223"/>
      <c r="C830" s="250">
        <v>3534</v>
      </c>
      <c r="D830" s="264" t="s">
        <v>4876</v>
      </c>
      <c r="E830" s="251" t="s">
        <v>4877</v>
      </c>
      <c r="F830" s="252" t="s">
        <v>4878</v>
      </c>
      <c r="G830" s="253" t="s">
        <v>4879</v>
      </c>
      <c r="H830" s="229" t="s">
        <v>4880</v>
      </c>
      <c r="I830" s="230" t="s">
        <v>4881</v>
      </c>
      <c r="J830" s="254" t="s">
        <v>173</v>
      </c>
      <c r="K830" s="255">
        <v>36927</v>
      </c>
      <c r="L830" s="233" t="s">
        <v>174</v>
      </c>
      <c r="M830" s="256">
        <v>43745</v>
      </c>
      <c r="N830" s="256"/>
      <c r="O830" s="224" t="s">
        <v>4085</v>
      </c>
      <c r="P830" s="222" t="s">
        <v>3770</v>
      </c>
      <c r="Q830" s="222" t="s">
        <v>244</v>
      </c>
      <c r="R830" s="224" t="s">
        <v>177</v>
      </c>
      <c r="S830" s="224" t="s">
        <v>178</v>
      </c>
      <c r="T830" s="235"/>
      <c r="U830" s="257"/>
      <c r="V830" s="258" t="s">
        <v>179</v>
      </c>
      <c r="W830" s="258" t="s">
        <v>179</v>
      </c>
      <c r="X830" s="259">
        <v>9</v>
      </c>
      <c r="Y830" s="251" t="s">
        <v>4522</v>
      </c>
      <c r="Z830" s="261"/>
      <c r="AA830" s="261"/>
      <c r="AB830" s="258"/>
      <c r="AC830" s="280"/>
      <c r="AD830" s="271"/>
      <c r="AE830" s="271"/>
      <c r="AF830" s="272"/>
      <c r="AG830" s="270"/>
      <c r="AH830" s="260"/>
      <c r="AI830" s="260"/>
      <c r="AJ830" s="258" t="s">
        <v>198</v>
      </c>
      <c r="AK830" s="258" t="s">
        <v>185</v>
      </c>
      <c r="AL830" s="258" t="s">
        <v>185</v>
      </c>
      <c r="AM830" s="244" t="s">
        <v>236</v>
      </c>
      <c r="AN830" s="20">
        <v>182</v>
      </c>
      <c r="AO830" s="20">
        <v>0</v>
      </c>
      <c r="AP830" s="20">
        <v>20</v>
      </c>
      <c r="AQ830" s="20">
        <v>0</v>
      </c>
      <c r="AR830" s="20">
        <v>0</v>
      </c>
      <c r="AS830" s="20">
        <v>7</v>
      </c>
      <c r="AT830" s="20">
        <v>10</v>
      </c>
      <c r="AU830" s="300">
        <f t="shared" si="133"/>
        <v>219</v>
      </c>
      <c r="AV830" s="20">
        <v>190</v>
      </c>
      <c r="AW830" s="20">
        <v>0</v>
      </c>
      <c r="AX830" s="20">
        <v>20</v>
      </c>
      <c r="AY830" s="20">
        <v>0</v>
      </c>
      <c r="AZ830" s="20">
        <v>0</v>
      </c>
      <c r="BA830" s="20">
        <v>7</v>
      </c>
      <c r="BB830" s="20">
        <v>10</v>
      </c>
      <c r="BC830" s="300">
        <f t="shared" si="134"/>
        <v>227</v>
      </c>
      <c r="BD830" s="42">
        <f t="shared" si="135"/>
        <v>8</v>
      </c>
      <c r="BE830" s="42">
        <f t="shared" si="136"/>
        <v>0</v>
      </c>
      <c r="BF830" s="42">
        <f t="shared" si="137"/>
        <v>0</v>
      </c>
      <c r="BG830" s="42">
        <f t="shared" si="138"/>
        <v>0</v>
      </c>
      <c r="BH830" s="42">
        <f t="shared" si="139"/>
        <v>0</v>
      </c>
      <c r="BI830" s="42">
        <f t="shared" si="140"/>
        <v>0</v>
      </c>
      <c r="BJ830" s="42">
        <f t="shared" si="141"/>
        <v>0</v>
      </c>
      <c r="BK830" s="42">
        <f t="shared" si="142"/>
        <v>8</v>
      </c>
    </row>
    <row r="831" spans="1:63" ht="27" customHeight="1">
      <c r="A831" s="222">
        <f t="shared" si="143"/>
        <v>829</v>
      </c>
      <c r="B831" s="223"/>
      <c r="C831" s="250">
        <v>3575</v>
      </c>
      <c r="D831" s="264" t="s">
        <v>4882</v>
      </c>
      <c r="E831" s="251" t="s">
        <v>4883</v>
      </c>
      <c r="F831" s="252" t="s">
        <v>1118</v>
      </c>
      <c r="G831" s="253" t="s">
        <v>204</v>
      </c>
      <c r="H831" s="229" t="s">
        <v>1120</v>
      </c>
      <c r="I831" s="230" t="s">
        <v>4884</v>
      </c>
      <c r="J831" s="254" t="s">
        <v>204</v>
      </c>
      <c r="K831" s="255">
        <v>33158</v>
      </c>
      <c r="L831" s="233" t="s">
        <v>174</v>
      </c>
      <c r="M831" s="256">
        <v>43746</v>
      </c>
      <c r="N831" s="256"/>
      <c r="O831" s="224" t="s">
        <v>3973</v>
      </c>
      <c r="P831" s="222" t="s">
        <v>3629</v>
      </c>
      <c r="Q831" s="222" t="s">
        <v>244</v>
      </c>
      <c r="R831" s="224" t="s">
        <v>177</v>
      </c>
      <c r="S831" s="224" t="s">
        <v>223</v>
      </c>
      <c r="T831" s="235"/>
      <c r="U831" s="257"/>
      <c r="V831" s="258" t="s">
        <v>179</v>
      </c>
      <c r="W831" s="258" t="s">
        <v>179</v>
      </c>
      <c r="X831" s="259">
        <v>9</v>
      </c>
      <c r="Y831" s="251" t="s">
        <v>4885</v>
      </c>
      <c r="Z831" s="261" t="s">
        <v>181</v>
      </c>
      <c r="AA831" s="261"/>
      <c r="AB831" s="258"/>
      <c r="AC831" s="280"/>
      <c r="AD831" s="271"/>
      <c r="AE831" s="271"/>
      <c r="AF831" s="272"/>
      <c r="AG831" s="270"/>
      <c r="AH831" s="260"/>
      <c r="AI831" s="260"/>
      <c r="AJ831" s="258" t="s">
        <v>185</v>
      </c>
      <c r="AK831" s="258" t="s">
        <v>185</v>
      </c>
      <c r="AL831" s="258" t="s">
        <v>185</v>
      </c>
      <c r="AM831" s="273" t="s">
        <v>3962</v>
      </c>
      <c r="AN831" s="20">
        <v>182</v>
      </c>
      <c r="AO831" s="20">
        <v>0</v>
      </c>
      <c r="AP831" s="20">
        <v>20</v>
      </c>
      <c r="AQ831" s="20">
        <v>0</v>
      </c>
      <c r="AR831" s="20">
        <v>0</v>
      </c>
      <c r="AS831" s="20">
        <v>7</v>
      </c>
      <c r="AT831" s="20">
        <v>10</v>
      </c>
      <c r="AU831" s="300">
        <f t="shared" si="133"/>
        <v>219</v>
      </c>
      <c r="AV831" s="20">
        <v>190</v>
      </c>
      <c r="AW831" s="20">
        <v>0</v>
      </c>
      <c r="AX831" s="20">
        <v>20</v>
      </c>
      <c r="AY831" s="20">
        <v>0</v>
      </c>
      <c r="AZ831" s="20">
        <v>0</v>
      </c>
      <c r="BA831" s="20">
        <v>7</v>
      </c>
      <c r="BB831" s="20">
        <v>10</v>
      </c>
      <c r="BC831" s="300">
        <f t="shared" si="134"/>
        <v>227</v>
      </c>
      <c r="BD831" s="42">
        <f t="shared" si="135"/>
        <v>8</v>
      </c>
      <c r="BE831" s="42">
        <f t="shared" si="136"/>
        <v>0</v>
      </c>
      <c r="BF831" s="42">
        <f t="shared" si="137"/>
        <v>0</v>
      </c>
      <c r="BG831" s="42">
        <f t="shared" si="138"/>
        <v>0</v>
      </c>
      <c r="BH831" s="42">
        <f t="shared" si="139"/>
        <v>0</v>
      </c>
      <c r="BI831" s="42">
        <f t="shared" si="140"/>
        <v>0</v>
      </c>
      <c r="BJ831" s="42">
        <f t="shared" si="141"/>
        <v>0</v>
      </c>
      <c r="BK831" s="42">
        <f t="shared" si="142"/>
        <v>8</v>
      </c>
    </row>
    <row r="832" spans="1:63" ht="27" customHeight="1">
      <c r="A832" s="222">
        <f t="shared" si="143"/>
        <v>830</v>
      </c>
      <c r="B832" s="223"/>
      <c r="C832" s="250">
        <v>3531</v>
      </c>
      <c r="D832" s="225" t="s">
        <v>4886</v>
      </c>
      <c r="E832" s="251" t="s">
        <v>4887</v>
      </c>
      <c r="F832" s="252" t="s">
        <v>3192</v>
      </c>
      <c r="G832" s="253" t="s">
        <v>4888</v>
      </c>
      <c r="H832" s="229" t="s">
        <v>4889</v>
      </c>
      <c r="I832" s="230" t="s">
        <v>4890</v>
      </c>
      <c r="J832" s="254" t="s">
        <v>204</v>
      </c>
      <c r="K832" s="255">
        <v>35735</v>
      </c>
      <c r="L832" s="233" t="s">
        <v>174</v>
      </c>
      <c r="M832" s="256">
        <v>43746</v>
      </c>
      <c r="N832" s="256"/>
      <c r="O832" s="224" t="s">
        <v>4019</v>
      </c>
      <c r="P832" s="222" t="s">
        <v>3935</v>
      </c>
      <c r="Q832" s="222" t="s">
        <v>244</v>
      </c>
      <c r="R832" s="224" t="s">
        <v>177</v>
      </c>
      <c r="S832" s="224" t="s">
        <v>4197</v>
      </c>
      <c r="T832" s="235"/>
      <c r="U832" s="257"/>
      <c r="V832" s="258" t="s">
        <v>179</v>
      </c>
      <c r="W832" s="258" t="s">
        <v>179</v>
      </c>
      <c r="X832" s="259">
        <v>4</v>
      </c>
      <c r="Y832" s="251" t="s">
        <v>4891</v>
      </c>
      <c r="Z832" s="261"/>
      <c r="AA832" s="261" t="s">
        <v>181</v>
      </c>
      <c r="AB832" s="258"/>
      <c r="AC832" s="280"/>
      <c r="AD832" s="271"/>
      <c r="AE832" s="271"/>
      <c r="AF832" s="272"/>
      <c r="AG832" s="270"/>
      <c r="AH832" s="260"/>
      <c r="AI832" s="260"/>
      <c r="AJ832" s="258" t="s">
        <v>198</v>
      </c>
      <c r="AK832" s="258" t="s">
        <v>185</v>
      </c>
      <c r="AL832" s="258" t="s">
        <v>185</v>
      </c>
      <c r="AM832" s="244" t="s">
        <v>3854</v>
      </c>
      <c r="AN832" s="20">
        <v>182</v>
      </c>
      <c r="AO832" s="20">
        <v>0</v>
      </c>
      <c r="AP832" s="20">
        <v>20</v>
      </c>
      <c r="AQ832" s="20">
        <v>0</v>
      </c>
      <c r="AR832" s="20">
        <v>0</v>
      </c>
      <c r="AS832" s="20">
        <v>7</v>
      </c>
      <c r="AT832" s="20">
        <v>10</v>
      </c>
      <c r="AU832" s="300">
        <f t="shared" si="133"/>
        <v>219</v>
      </c>
      <c r="AV832" s="20">
        <v>190</v>
      </c>
      <c r="AW832" s="20">
        <v>0</v>
      </c>
      <c r="AX832" s="20">
        <v>20</v>
      </c>
      <c r="AY832" s="20">
        <v>0</v>
      </c>
      <c r="AZ832" s="20">
        <v>0</v>
      </c>
      <c r="BA832" s="20">
        <v>7</v>
      </c>
      <c r="BB832" s="20">
        <v>10</v>
      </c>
      <c r="BC832" s="300">
        <f t="shared" si="134"/>
        <v>227</v>
      </c>
      <c r="BD832" s="42">
        <f t="shared" si="135"/>
        <v>8</v>
      </c>
      <c r="BE832" s="42">
        <f t="shared" si="136"/>
        <v>0</v>
      </c>
      <c r="BF832" s="42">
        <f t="shared" si="137"/>
        <v>0</v>
      </c>
      <c r="BG832" s="42">
        <f t="shared" si="138"/>
        <v>0</v>
      </c>
      <c r="BH832" s="42">
        <f t="shared" si="139"/>
        <v>0</v>
      </c>
      <c r="BI832" s="42">
        <f t="shared" si="140"/>
        <v>0</v>
      </c>
      <c r="BJ832" s="42">
        <f t="shared" si="141"/>
        <v>0</v>
      </c>
      <c r="BK832" s="42">
        <f t="shared" si="142"/>
        <v>8</v>
      </c>
    </row>
    <row r="833" spans="1:63" ht="27" customHeight="1">
      <c r="A833" s="222">
        <f t="shared" si="143"/>
        <v>831</v>
      </c>
      <c r="B833" s="223"/>
      <c r="C833" s="250">
        <v>3504</v>
      </c>
      <c r="D833" s="225" t="s">
        <v>4892</v>
      </c>
      <c r="E833" s="251" t="s">
        <v>4893</v>
      </c>
      <c r="F833" s="252" t="s">
        <v>522</v>
      </c>
      <c r="G833" s="253" t="s">
        <v>4894</v>
      </c>
      <c r="H833" s="229" t="s">
        <v>524</v>
      </c>
      <c r="I833" s="230" t="s">
        <v>4895</v>
      </c>
      <c r="J833" s="254" t="s">
        <v>204</v>
      </c>
      <c r="K833" s="255">
        <v>35271</v>
      </c>
      <c r="L833" s="233" t="s">
        <v>174</v>
      </c>
      <c r="M833" s="256">
        <v>43742</v>
      </c>
      <c r="N833" s="256"/>
      <c r="O833" s="224" t="s">
        <v>3973</v>
      </c>
      <c r="P833" s="222" t="s">
        <v>3945</v>
      </c>
      <c r="Q833" s="222" t="s">
        <v>244</v>
      </c>
      <c r="R833" s="224" t="s">
        <v>177</v>
      </c>
      <c r="S833" s="224" t="s">
        <v>1201</v>
      </c>
      <c r="T833" s="235"/>
      <c r="U833" s="257"/>
      <c r="V833" s="258" t="s">
        <v>179</v>
      </c>
      <c r="W833" s="258" t="s">
        <v>179</v>
      </c>
      <c r="X833" s="259">
        <v>1</v>
      </c>
      <c r="Y833" s="251" t="s">
        <v>4896</v>
      </c>
      <c r="Z833" s="261" t="s">
        <v>181</v>
      </c>
      <c r="AA833" s="261"/>
      <c r="AB833" s="258"/>
      <c r="AC833" s="280"/>
      <c r="AD833" s="271"/>
      <c r="AE833" s="271"/>
      <c r="AF833" s="272"/>
      <c r="AG833" s="270"/>
      <c r="AH833" s="260"/>
      <c r="AI833" s="260"/>
      <c r="AJ833" s="258" t="s">
        <v>198</v>
      </c>
      <c r="AK833" s="258" t="s">
        <v>185</v>
      </c>
      <c r="AL833" s="258" t="s">
        <v>185</v>
      </c>
      <c r="AM833" s="244" t="s">
        <v>3854</v>
      </c>
      <c r="AN833" s="20">
        <v>182</v>
      </c>
      <c r="AO833" s="20">
        <v>0</v>
      </c>
      <c r="AP833" s="20">
        <v>20</v>
      </c>
      <c r="AQ833" s="20">
        <v>0</v>
      </c>
      <c r="AR833" s="20">
        <v>0</v>
      </c>
      <c r="AS833" s="20">
        <v>7</v>
      </c>
      <c r="AT833" s="20">
        <v>10</v>
      </c>
      <c r="AU833" s="300">
        <f t="shared" si="133"/>
        <v>219</v>
      </c>
      <c r="AV833" s="20">
        <v>190</v>
      </c>
      <c r="AW833" s="20">
        <v>0</v>
      </c>
      <c r="AX833" s="20">
        <v>20</v>
      </c>
      <c r="AY833" s="20">
        <v>0</v>
      </c>
      <c r="AZ833" s="20">
        <v>0</v>
      </c>
      <c r="BA833" s="20">
        <v>7</v>
      </c>
      <c r="BB833" s="20">
        <v>10</v>
      </c>
      <c r="BC833" s="300">
        <f t="shared" si="134"/>
        <v>227</v>
      </c>
      <c r="BD833" s="42">
        <f t="shared" si="135"/>
        <v>8</v>
      </c>
      <c r="BE833" s="42">
        <f t="shared" si="136"/>
        <v>0</v>
      </c>
      <c r="BF833" s="42">
        <f t="shared" si="137"/>
        <v>0</v>
      </c>
      <c r="BG833" s="42">
        <f t="shared" si="138"/>
        <v>0</v>
      </c>
      <c r="BH833" s="42">
        <f t="shared" si="139"/>
        <v>0</v>
      </c>
      <c r="BI833" s="42">
        <f t="shared" si="140"/>
        <v>0</v>
      </c>
      <c r="BJ833" s="42">
        <f t="shared" si="141"/>
        <v>0</v>
      </c>
      <c r="BK833" s="42">
        <f t="shared" si="142"/>
        <v>8</v>
      </c>
    </row>
    <row r="834" spans="1:63" ht="27" customHeight="1">
      <c r="A834" s="222">
        <f t="shared" si="143"/>
        <v>832</v>
      </c>
      <c r="B834" s="223"/>
      <c r="C834" s="250">
        <v>3513</v>
      </c>
      <c r="D834" s="225" t="s">
        <v>4897</v>
      </c>
      <c r="E834" s="251" t="s">
        <v>4898</v>
      </c>
      <c r="F834" s="252" t="s">
        <v>1837</v>
      </c>
      <c r="G834" s="253" t="s">
        <v>3799</v>
      </c>
      <c r="H834" s="229" t="s">
        <v>1839</v>
      </c>
      <c r="I834" s="230" t="s">
        <v>4899</v>
      </c>
      <c r="J834" s="254" t="s">
        <v>173</v>
      </c>
      <c r="K834" s="255">
        <v>36055</v>
      </c>
      <c r="L834" s="233" t="s">
        <v>174</v>
      </c>
      <c r="M834" s="256">
        <v>43747</v>
      </c>
      <c r="N834" s="256"/>
      <c r="O834" s="224" t="s">
        <v>4196</v>
      </c>
      <c r="P834" s="222" t="s">
        <v>3629</v>
      </c>
      <c r="Q834" s="222" t="s">
        <v>244</v>
      </c>
      <c r="R834" s="224" t="s">
        <v>3955</v>
      </c>
      <c r="S834" s="224" t="s">
        <v>178</v>
      </c>
      <c r="T834" s="235" t="s">
        <v>158</v>
      </c>
      <c r="U834" s="257">
        <v>43789</v>
      </c>
      <c r="V834" s="258" t="s">
        <v>4900</v>
      </c>
      <c r="W834" s="258" t="s">
        <v>179</v>
      </c>
      <c r="X834" s="259">
        <v>9</v>
      </c>
      <c r="Y834" s="251" t="s">
        <v>4901</v>
      </c>
      <c r="Z834" s="261"/>
      <c r="AA834" s="261"/>
      <c r="AB834" s="258"/>
      <c r="AC834" s="280"/>
      <c r="AD834" s="271"/>
      <c r="AE834" s="271"/>
      <c r="AF834" s="272"/>
      <c r="AG834" s="270"/>
      <c r="AH834" s="260"/>
      <c r="AI834" s="260"/>
      <c r="AJ834" s="258" t="s">
        <v>185</v>
      </c>
      <c r="AK834" s="258" t="s">
        <v>185</v>
      </c>
      <c r="AL834" s="258" t="s">
        <v>185</v>
      </c>
      <c r="AM834" s="273" t="s">
        <v>3962</v>
      </c>
      <c r="AN834" s="20">
        <v>182</v>
      </c>
      <c r="AO834" s="20">
        <v>0</v>
      </c>
      <c r="AP834" s="20">
        <v>0</v>
      </c>
      <c r="AQ834" s="20">
        <v>0</v>
      </c>
      <c r="AR834" s="20">
        <v>0</v>
      </c>
      <c r="AS834" s="20">
        <v>7</v>
      </c>
      <c r="AT834" s="20">
        <v>10</v>
      </c>
      <c r="AU834" s="300">
        <f t="shared" si="133"/>
        <v>199</v>
      </c>
      <c r="AV834" s="20">
        <v>190</v>
      </c>
      <c r="AW834" s="20">
        <v>0</v>
      </c>
      <c r="AX834" s="20">
        <v>0</v>
      </c>
      <c r="AY834" s="20">
        <v>0</v>
      </c>
      <c r="AZ834" s="20">
        <v>0</v>
      </c>
      <c r="BA834" s="20">
        <v>7</v>
      </c>
      <c r="BB834" s="20">
        <v>10</v>
      </c>
      <c r="BC834" s="300">
        <f t="shared" si="134"/>
        <v>207</v>
      </c>
      <c r="BD834" s="42">
        <f t="shared" si="135"/>
        <v>8</v>
      </c>
      <c r="BE834" s="42">
        <f t="shared" si="136"/>
        <v>0</v>
      </c>
      <c r="BF834" s="42">
        <f t="shared" si="137"/>
        <v>0</v>
      </c>
      <c r="BG834" s="42">
        <f t="shared" si="138"/>
        <v>0</v>
      </c>
      <c r="BH834" s="42">
        <f t="shared" si="139"/>
        <v>0</v>
      </c>
      <c r="BI834" s="42">
        <f t="shared" si="140"/>
        <v>0</v>
      </c>
      <c r="BJ834" s="42">
        <f t="shared" si="141"/>
        <v>0</v>
      </c>
      <c r="BK834" s="42">
        <f t="shared" si="142"/>
        <v>8</v>
      </c>
    </row>
    <row r="835" spans="1:63" ht="27" customHeight="1">
      <c r="A835" s="222">
        <f t="shared" si="143"/>
        <v>833</v>
      </c>
      <c r="B835" s="223"/>
      <c r="C835" s="250">
        <v>3284</v>
      </c>
      <c r="D835" s="225" t="s">
        <v>4902</v>
      </c>
      <c r="E835" s="251" t="s">
        <v>4903</v>
      </c>
      <c r="F835" s="252" t="s">
        <v>495</v>
      </c>
      <c r="G835" s="253" t="s">
        <v>4904</v>
      </c>
      <c r="H835" s="229" t="s">
        <v>672</v>
      </c>
      <c r="I835" s="230" t="s">
        <v>4905</v>
      </c>
      <c r="J835" s="254" t="s">
        <v>204</v>
      </c>
      <c r="K835" s="255">
        <v>32123</v>
      </c>
      <c r="L835" s="233" t="s">
        <v>174</v>
      </c>
      <c r="M835" s="256">
        <v>43743</v>
      </c>
      <c r="N835" s="256"/>
      <c r="O835" s="224" t="s">
        <v>3999</v>
      </c>
      <c r="P835" s="222" t="s">
        <v>3828</v>
      </c>
      <c r="Q835" s="222" t="s">
        <v>244</v>
      </c>
      <c r="R835" s="224" t="s">
        <v>177</v>
      </c>
      <c r="S835" s="224" t="s">
        <v>251</v>
      </c>
      <c r="T835" s="235"/>
      <c r="U835" s="257"/>
      <c r="V835" s="258" t="s">
        <v>179</v>
      </c>
      <c r="W835" s="258" t="s">
        <v>179</v>
      </c>
      <c r="X835" s="259">
        <v>8</v>
      </c>
      <c r="Y835" s="251" t="s">
        <v>4906</v>
      </c>
      <c r="Z835" s="261"/>
      <c r="AA835" s="261" t="s">
        <v>181</v>
      </c>
      <c r="AB835" s="258"/>
      <c r="AC835" s="280"/>
      <c r="AD835" s="271"/>
      <c r="AE835" s="271"/>
      <c r="AF835" s="272"/>
      <c r="AG835" s="270"/>
      <c r="AH835" s="260"/>
      <c r="AI835" s="260"/>
      <c r="AJ835" s="258" t="s">
        <v>198</v>
      </c>
      <c r="AK835" s="258" t="s">
        <v>185</v>
      </c>
      <c r="AL835" s="258" t="s">
        <v>185</v>
      </c>
      <c r="AM835" s="244" t="s">
        <v>3854</v>
      </c>
      <c r="AN835" s="20">
        <v>182</v>
      </c>
      <c r="AO835" s="20">
        <v>0</v>
      </c>
      <c r="AP835" s="20">
        <v>20</v>
      </c>
      <c r="AQ835" s="20">
        <v>0</v>
      </c>
      <c r="AR835" s="20">
        <v>0</v>
      </c>
      <c r="AS835" s="20">
        <v>7</v>
      </c>
      <c r="AT835" s="20">
        <v>10</v>
      </c>
      <c r="AU835" s="300">
        <f t="shared" si="133"/>
        <v>219</v>
      </c>
      <c r="AV835" s="20">
        <v>190</v>
      </c>
      <c r="AW835" s="20">
        <v>0</v>
      </c>
      <c r="AX835" s="20">
        <v>20</v>
      </c>
      <c r="AY835" s="20">
        <v>0</v>
      </c>
      <c r="AZ835" s="20">
        <v>0</v>
      </c>
      <c r="BA835" s="20">
        <v>7</v>
      </c>
      <c r="BB835" s="20">
        <v>10</v>
      </c>
      <c r="BC835" s="300">
        <f t="shared" si="134"/>
        <v>227</v>
      </c>
      <c r="BD835" s="42">
        <f t="shared" si="135"/>
        <v>8</v>
      </c>
      <c r="BE835" s="42">
        <f t="shared" si="136"/>
        <v>0</v>
      </c>
      <c r="BF835" s="42">
        <f t="shared" si="137"/>
        <v>0</v>
      </c>
      <c r="BG835" s="42">
        <f t="shared" si="138"/>
        <v>0</v>
      </c>
      <c r="BH835" s="42">
        <f t="shared" si="139"/>
        <v>0</v>
      </c>
      <c r="BI835" s="42">
        <f t="shared" si="140"/>
        <v>0</v>
      </c>
      <c r="BJ835" s="42">
        <f t="shared" si="141"/>
        <v>0</v>
      </c>
      <c r="BK835" s="42">
        <f t="shared" si="142"/>
        <v>8</v>
      </c>
    </row>
    <row r="836" spans="1:63" ht="27" customHeight="1">
      <c r="A836" s="222">
        <f t="shared" si="143"/>
        <v>834</v>
      </c>
      <c r="B836" s="223"/>
      <c r="C836" s="250">
        <v>3622</v>
      </c>
      <c r="D836" s="225" t="s">
        <v>4907</v>
      </c>
      <c r="E836" s="251" t="s">
        <v>4908</v>
      </c>
      <c r="F836" s="252" t="s">
        <v>899</v>
      </c>
      <c r="G836" s="253" t="s">
        <v>4909</v>
      </c>
      <c r="H836" s="229" t="s">
        <v>901</v>
      </c>
      <c r="I836" s="230" t="s">
        <v>4910</v>
      </c>
      <c r="J836" s="254" t="s">
        <v>204</v>
      </c>
      <c r="K836" s="255">
        <v>34201</v>
      </c>
      <c r="L836" s="233" t="s">
        <v>174</v>
      </c>
      <c r="M836" s="256">
        <v>43753</v>
      </c>
      <c r="N836" s="256"/>
      <c r="O836" s="224"/>
      <c r="P836" s="222" t="s">
        <v>277</v>
      </c>
      <c r="Q836" s="222" t="s">
        <v>244</v>
      </c>
      <c r="R836" s="224" t="s">
        <v>177</v>
      </c>
      <c r="S836" s="224" t="s">
        <v>223</v>
      </c>
      <c r="T836" s="235"/>
      <c r="U836" s="257"/>
      <c r="V836" s="258" t="s">
        <v>179</v>
      </c>
      <c r="W836" s="258" t="s">
        <v>179</v>
      </c>
      <c r="X836" s="259">
        <v>9</v>
      </c>
      <c r="Y836" s="251" t="s">
        <v>4911</v>
      </c>
      <c r="Z836" s="261" t="s">
        <v>181</v>
      </c>
      <c r="AA836" s="261"/>
      <c r="AB836" s="258"/>
      <c r="AC836" s="280"/>
      <c r="AD836" s="271"/>
      <c r="AE836" s="271"/>
      <c r="AF836" s="272"/>
      <c r="AG836" s="270"/>
      <c r="AH836" s="260"/>
      <c r="AI836" s="260"/>
      <c r="AJ836" s="258" t="s">
        <v>198</v>
      </c>
      <c r="AK836" s="258" t="s">
        <v>185</v>
      </c>
      <c r="AL836" s="258" t="s">
        <v>185</v>
      </c>
      <c r="AM836" s="244" t="s">
        <v>3854</v>
      </c>
      <c r="AN836" s="20">
        <v>182</v>
      </c>
      <c r="AO836" s="20">
        <v>0</v>
      </c>
      <c r="AP836" s="20">
        <v>20</v>
      </c>
      <c r="AQ836" s="20">
        <v>0</v>
      </c>
      <c r="AR836" s="20">
        <v>0</v>
      </c>
      <c r="AS836" s="20">
        <v>7</v>
      </c>
      <c r="AT836" s="20">
        <v>10</v>
      </c>
      <c r="AU836" s="300">
        <f t="shared" ref="AU836:AU899" si="144">SUM(AN836:AT836)</f>
        <v>219</v>
      </c>
      <c r="AV836" s="20">
        <v>190</v>
      </c>
      <c r="AW836" s="20">
        <v>0</v>
      </c>
      <c r="AX836" s="20">
        <v>20</v>
      </c>
      <c r="AY836" s="20">
        <v>0</v>
      </c>
      <c r="AZ836" s="20">
        <v>0</v>
      </c>
      <c r="BA836" s="20">
        <v>7</v>
      </c>
      <c r="BB836" s="20">
        <v>10</v>
      </c>
      <c r="BC836" s="300">
        <f t="shared" ref="BC836:BC899" si="145">SUM(AV836:BB836)</f>
        <v>227</v>
      </c>
      <c r="BD836" s="42">
        <f t="shared" ref="BD836:BD899" si="146">AV836-AN836</f>
        <v>8</v>
      </c>
      <c r="BE836" s="42">
        <f t="shared" ref="BE836:BE899" si="147">AW836-AO836</f>
        <v>0</v>
      </c>
      <c r="BF836" s="42">
        <f t="shared" ref="BF836:BF899" si="148">AX836-AP836</f>
        <v>0</v>
      </c>
      <c r="BG836" s="42">
        <f t="shared" ref="BG836:BG899" si="149">AY836-AQ836</f>
        <v>0</v>
      </c>
      <c r="BH836" s="42">
        <f t="shared" ref="BH836:BH899" si="150">AZ836-AR836</f>
        <v>0</v>
      </c>
      <c r="BI836" s="42">
        <f t="shared" ref="BI836:BI899" si="151">BA836-AS836</f>
        <v>0</v>
      </c>
      <c r="BJ836" s="42">
        <f t="shared" ref="BJ836:BJ899" si="152">BB836-AT836</f>
        <v>0</v>
      </c>
      <c r="BK836" s="42">
        <f t="shared" ref="BK836:BK899" si="153">BC836-AU836</f>
        <v>8</v>
      </c>
    </row>
    <row r="837" spans="1:63" ht="27" customHeight="1">
      <c r="A837" s="222">
        <f t="shared" ref="A837:A900" si="154">1+A836</f>
        <v>835</v>
      </c>
      <c r="B837" s="223"/>
      <c r="C837" s="250">
        <v>3171</v>
      </c>
      <c r="D837" s="225" t="s">
        <v>4912</v>
      </c>
      <c r="E837" s="251" t="s">
        <v>4913</v>
      </c>
      <c r="F837" s="252" t="s">
        <v>535</v>
      </c>
      <c r="G837" s="253" t="s">
        <v>4914</v>
      </c>
      <c r="H837" s="229" t="s">
        <v>537</v>
      </c>
      <c r="I837" s="230" t="s">
        <v>4915</v>
      </c>
      <c r="J837" s="254" t="s">
        <v>173</v>
      </c>
      <c r="K837" s="255">
        <v>29325</v>
      </c>
      <c r="L837" s="233" t="s">
        <v>174</v>
      </c>
      <c r="M837" s="256">
        <v>43740</v>
      </c>
      <c r="N837" s="256"/>
      <c r="O837" s="224" t="s">
        <v>4076</v>
      </c>
      <c r="P837" s="222" t="s">
        <v>313</v>
      </c>
      <c r="Q837" s="222" t="s">
        <v>244</v>
      </c>
      <c r="R837" s="224" t="s">
        <v>177</v>
      </c>
      <c r="S837" s="224" t="s">
        <v>251</v>
      </c>
      <c r="T837" s="235"/>
      <c r="U837" s="257"/>
      <c r="V837" s="258" t="s">
        <v>195</v>
      </c>
      <c r="W837" s="258" t="s">
        <v>179</v>
      </c>
      <c r="X837" s="259">
        <v>5</v>
      </c>
      <c r="Y837" s="251" t="s">
        <v>4916</v>
      </c>
      <c r="Z837" s="261"/>
      <c r="AA837" s="261" t="s">
        <v>181</v>
      </c>
      <c r="AB837" s="261"/>
      <c r="AC837" s="280"/>
      <c r="AD837" s="271"/>
      <c r="AE837" s="271"/>
      <c r="AF837" s="272"/>
      <c r="AG837" s="270"/>
      <c r="AH837" s="260"/>
      <c r="AI837" s="260"/>
      <c r="AJ837" s="258" t="s">
        <v>198</v>
      </c>
      <c r="AK837" s="258" t="s">
        <v>185</v>
      </c>
      <c r="AL837" s="258" t="s">
        <v>185</v>
      </c>
      <c r="AM837" s="244" t="s">
        <v>3854</v>
      </c>
      <c r="AN837" s="20">
        <v>182</v>
      </c>
      <c r="AO837" s="20">
        <v>0</v>
      </c>
      <c r="AP837" s="20">
        <v>20</v>
      </c>
      <c r="AQ837" s="20">
        <v>0</v>
      </c>
      <c r="AR837" s="20">
        <v>0</v>
      </c>
      <c r="AS837" s="20">
        <v>7</v>
      </c>
      <c r="AT837" s="20">
        <v>10</v>
      </c>
      <c r="AU837" s="300">
        <f t="shared" si="144"/>
        <v>219</v>
      </c>
      <c r="AV837" s="20">
        <v>190</v>
      </c>
      <c r="AW837" s="20">
        <v>0</v>
      </c>
      <c r="AX837" s="20">
        <v>20</v>
      </c>
      <c r="AY837" s="20">
        <v>0</v>
      </c>
      <c r="AZ837" s="20">
        <v>0</v>
      </c>
      <c r="BA837" s="20">
        <v>7</v>
      </c>
      <c r="BB837" s="20">
        <v>10</v>
      </c>
      <c r="BC837" s="300">
        <f t="shared" si="145"/>
        <v>227</v>
      </c>
      <c r="BD837" s="42">
        <f t="shared" si="146"/>
        <v>8</v>
      </c>
      <c r="BE837" s="42">
        <f t="shared" si="147"/>
        <v>0</v>
      </c>
      <c r="BF837" s="42">
        <f t="shared" si="148"/>
        <v>0</v>
      </c>
      <c r="BG837" s="42">
        <f t="shared" si="149"/>
        <v>0</v>
      </c>
      <c r="BH837" s="42">
        <f t="shared" si="150"/>
        <v>0</v>
      </c>
      <c r="BI837" s="42">
        <f t="shared" si="151"/>
        <v>0</v>
      </c>
      <c r="BJ837" s="42">
        <f t="shared" si="152"/>
        <v>0</v>
      </c>
      <c r="BK837" s="42">
        <f t="shared" si="153"/>
        <v>8</v>
      </c>
    </row>
    <row r="838" spans="1:63" ht="27" customHeight="1">
      <c r="A838" s="222">
        <f t="shared" si="154"/>
        <v>836</v>
      </c>
      <c r="B838" s="223"/>
      <c r="C838" s="250">
        <v>3652</v>
      </c>
      <c r="D838" s="225" t="s">
        <v>4917</v>
      </c>
      <c r="E838" s="251" t="s">
        <v>4918</v>
      </c>
      <c r="F838" s="252" t="s">
        <v>4919</v>
      </c>
      <c r="G838" s="253" t="s">
        <v>4920</v>
      </c>
      <c r="H838" s="229" t="s">
        <v>4683</v>
      </c>
      <c r="I838" s="230" t="s">
        <v>1989</v>
      </c>
      <c r="J838" s="254" t="s">
        <v>173</v>
      </c>
      <c r="K838" s="255">
        <v>32174</v>
      </c>
      <c r="L838" s="233" t="s">
        <v>174</v>
      </c>
      <c r="M838" s="256">
        <v>43756</v>
      </c>
      <c r="N838" s="256"/>
      <c r="O838" s="224"/>
      <c r="P838" s="222" t="s">
        <v>277</v>
      </c>
      <c r="Q838" s="222" t="s">
        <v>244</v>
      </c>
      <c r="R838" s="224" t="s">
        <v>177</v>
      </c>
      <c r="S838" s="224" t="s">
        <v>214</v>
      </c>
      <c r="T838" s="235"/>
      <c r="U838" s="257"/>
      <c r="V838" s="258" t="s">
        <v>179</v>
      </c>
      <c r="W838" s="258" t="s">
        <v>179</v>
      </c>
      <c r="X838" s="259">
        <v>5</v>
      </c>
      <c r="Y838" s="251" t="s">
        <v>4921</v>
      </c>
      <c r="Z838" s="261"/>
      <c r="AA838" s="261" t="s">
        <v>181</v>
      </c>
      <c r="AB838" s="261"/>
      <c r="AC838" s="280"/>
      <c r="AD838" s="271"/>
      <c r="AE838" s="271"/>
      <c r="AF838" s="272"/>
      <c r="AG838" s="270"/>
      <c r="AH838" s="260"/>
      <c r="AI838" s="260"/>
      <c r="AJ838" s="258" t="s">
        <v>185</v>
      </c>
      <c r="AK838" s="258" t="s">
        <v>185</v>
      </c>
      <c r="AL838" s="258" t="s">
        <v>185</v>
      </c>
      <c r="AM838" s="273" t="s">
        <v>3962</v>
      </c>
      <c r="AN838" s="20">
        <v>182</v>
      </c>
      <c r="AO838" s="20">
        <v>0</v>
      </c>
      <c r="AP838" s="20">
        <v>20</v>
      </c>
      <c r="AQ838" s="20">
        <v>0</v>
      </c>
      <c r="AR838" s="20">
        <v>0</v>
      </c>
      <c r="AS838" s="20">
        <v>7</v>
      </c>
      <c r="AT838" s="20">
        <v>10</v>
      </c>
      <c r="AU838" s="300">
        <f t="shared" si="144"/>
        <v>219</v>
      </c>
      <c r="AV838" s="20">
        <v>190</v>
      </c>
      <c r="AW838" s="20">
        <v>0</v>
      </c>
      <c r="AX838" s="20">
        <v>20</v>
      </c>
      <c r="AY838" s="20">
        <v>0</v>
      </c>
      <c r="AZ838" s="20">
        <v>0</v>
      </c>
      <c r="BA838" s="20">
        <v>7</v>
      </c>
      <c r="BB838" s="20">
        <v>10</v>
      </c>
      <c r="BC838" s="300">
        <f t="shared" si="145"/>
        <v>227</v>
      </c>
      <c r="BD838" s="42">
        <f t="shared" si="146"/>
        <v>8</v>
      </c>
      <c r="BE838" s="42">
        <f t="shared" si="147"/>
        <v>0</v>
      </c>
      <c r="BF838" s="42">
        <f t="shared" si="148"/>
        <v>0</v>
      </c>
      <c r="BG838" s="42">
        <f t="shared" si="149"/>
        <v>0</v>
      </c>
      <c r="BH838" s="42">
        <f t="shared" si="150"/>
        <v>0</v>
      </c>
      <c r="BI838" s="42">
        <f t="shared" si="151"/>
        <v>0</v>
      </c>
      <c r="BJ838" s="42">
        <f t="shared" si="152"/>
        <v>0</v>
      </c>
      <c r="BK838" s="42">
        <f t="shared" si="153"/>
        <v>8</v>
      </c>
    </row>
    <row r="839" spans="1:63" ht="27" customHeight="1">
      <c r="A839" s="222">
        <f t="shared" si="154"/>
        <v>837</v>
      </c>
      <c r="B839" s="223"/>
      <c r="C839" s="250">
        <v>3180</v>
      </c>
      <c r="D839" s="225" t="s">
        <v>4922</v>
      </c>
      <c r="E839" s="251" t="s">
        <v>4923</v>
      </c>
      <c r="F839" s="252" t="s">
        <v>1118</v>
      </c>
      <c r="G839" s="253" t="s">
        <v>4924</v>
      </c>
      <c r="H839" s="229" t="s">
        <v>1120</v>
      </c>
      <c r="I839" s="230" t="s">
        <v>4925</v>
      </c>
      <c r="J839" s="254" t="s">
        <v>204</v>
      </c>
      <c r="K839" s="255">
        <v>31327</v>
      </c>
      <c r="L839" s="233" t="s">
        <v>174</v>
      </c>
      <c r="M839" s="256">
        <v>43740</v>
      </c>
      <c r="N839" s="256"/>
      <c r="O839" s="224" t="s">
        <v>4231</v>
      </c>
      <c r="P839" s="222" t="s">
        <v>3765</v>
      </c>
      <c r="Q839" s="222" t="s">
        <v>244</v>
      </c>
      <c r="R839" s="224" t="s">
        <v>177</v>
      </c>
      <c r="S839" s="224" t="s">
        <v>178</v>
      </c>
      <c r="T839" s="235"/>
      <c r="U839" s="257"/>
      <c r="V839" s="258" t="s">
        <v>179</v>
      </c>
      <c r="W839" s="258" t="s">
        <v>179</v>
      </c>
      <c r="X839" s="259">
        <v>6</v>
      </c>
      <c r="Y839" s="251" t="s">
        <v>4926</v>
      </c>
      <c r="Z839" s="261"/>
      <c r="AA839" s="261"/>
      <c r="AB839" s="261"/>
      <c r="AC839" s="280"/>
      <c r="AD839" s="271"/>
      <c r="AE839" s="271"/>
      <c r="AF839" s="272"/>
      <c r="AG839" s="270"/>
      <c r="AH839" s="260"/>
      <c r="AI839" s="260"/>
      <c r="AJ839" s="258" t="s">
        <v>185</v>
      </c>
      <c r="AK839" s="258" t="s">
        <v>185</v>
      </c>
      <c r="AL839" s="258" t="s">
        <v>185</v>
      </c>
      <c r="AM839" s="273" t="s">
        <v>3962</v>
      </c>
      <c r="AN839" s="20">
        <v>182</v>
      </c>
      <c r="AO839" s="20">
        <v>0</v>
      </c>
      <c r="AP839" s="20">
        <v>35</v>
      </c>
      <c r="AQ839" s="20">
        <v>0</v>
      </c>
      <c r="AR839" s="20">
        <v>0</v>
      </c>
      <c r="AS839" s="20">
        <v>7</v>
      </c>
      <c r="AT839" s="20">
        <v>10</v>
      </c>
      <c r="AU839" s="300">
        <f t="shared" si="144"/>
        <v>234</v>
      </c>
      <c r="AV839" s="20">
        <v>190</v>
      </c>
      <c r="AW839" s="20">
        <v>0</v>
      </c>
      <c r="AX839" s="20">
        <v>35</v>
      </c>
      <c r="AY839" s="20">
        <v>0</v>
      </c>
      <c r="AZ839" s="20">
        <v>0</v>
      </c>
      <c r="BA839" s="20">
        <v>7</v>
      </c>
      <c r="BB839" s="20">
        <v>10</v>
      </c>
      <c r="BC839" s="300">
        <f t="shared" si="145"/>
        <v>242</v>
      </c>
      <c r="BD839" s="42">
        <f t="shared" si="146"/>
        <v>8</v>
      </c>
      <c r="BE839" s="42">
        <f t="shared" si="147"/>
        <v>0</v>
      </c>
      <c r="BF839" s="42">
        <f t="shared" si="148"/>
        <v>0</v>
      </c>
      <c r="BG839" s="42">
        <f t="shared" si="149"/>
        <v>0</v>
      </c>
      <c r="BH839" s="42">
        <f t="shared" si="150"/>
        <v>0</v>
      </c>
      <c r="BI839" s="42">
        <f t="shared" si="151"/>
        <v>0</v>
      </c>
      <c r="BJ839" s="42">
        <f t="shared" si="152"/>
        <v>0</v>
      </c>
      <c r="BK839" s="42">
        <f t="shared" si="153"/>
        <v>8</v>
      </c>
    </row>
    <row r="840" spans="1:63" ht="27" customHeight="1">
      <c r="A840" s="222">
        <f t="shared" si="154"/>
        <v>838</v>
      </c>
      <c r="B840" s="223"/>
      <c r="C840" s="250">
        <v>3232</v>
      </c>
      <c r="D840" s="225" t="s">
        <v>4927</v>
      </c>
      <c r="E840" s="251" t="s">
        <v>4928</v>
      </c>
      <c r="F840" s="252" t="s">
        <v>4929</v>
      </c>
      <c r="G840" s="253" t="s">
        <v>4930</v>
      </c>
      <c r="H840" s="229" t="s">
        <v>4931</v>
      </c>
      <c r="I840" s="230" t="s">
        <v>4932</v>
      </c>
      <c r="J840" s="254" t="s">
        <v>173</v>
      </c>
      <c r="K840" s="255">
        <v>32397</v>
      </c>
      <c r="L840" s="233" t="s">
        <v>174</v>
      </c>
      <c r="M840" s="256">
        <v>43743</v>
      </c>
      <c r="N840" s="256"/>
      <c r="O840" s="224" t="s">
        <v>3960</v>
      </c>
      <c r="P840" s="222" t="s">
        <v>3780</v>
      </c>
      <c r="Q840" s="222" t="s">
        <v>244</v>
      </c>
      <c r="R840" s="224" t="s">
        <v>177</v>
      </c>
      <c r="S840" s="224" t="s">
        <v>214</v>
      </c>
      <c r="T840" s="235"/>
      <c r="U840" s="257"/>
      <c r="V840" s="258" t="s">
        <v>179</v>
      </c>
      <c r="W840" s="258" t="s">
        <v>179</v>
      </c>
      <c r="X840" s="259">
        <v>5</v>
      </c>
      <c r="Y840" s="251" t="s">
        <v>4933</v>
      </c>
      <c r="Z840" s="261"/>
      <c r="AA840" s="261" t="s">
        <v>181</v>
      </c>
      <c r="AB840" s="258"/>
      <c r="AC840" s="280"/>
      <c r="AD840" s="271"/>
      <c r="AE840" s="271"/>
      <c r="AF840" s="272"/>
      <c r="AG840" s="270"/>
      <c r="AH840" s="260"/>
      <c r="AI840" s="260"/>
      <c r="AJ840" s="258" t="s">
        <v>198</v>
      </c>
      <c r="AK840" s="258" t="s">
        <v>185</v>
      </c>
      <c r="AL840" s="258" t="s">
        <v>185</v>
      </c>
      <c r="AM840" s="244" t="s">
        <v>3854</v>
      </c>
      <c r="AN840" s="20">
        <v>182</v>
      </c>
      <c r="AO840" s="20">
        <v>0</v>
      </c>
      <c r="AP840" s="20">
        <v>20</v>
      </c>
      <c r="AQ840" s="20">
        <v>0</v>
      </c>
      <c r="AR840" s="20">
        <v>0</v>
      </c>
      <c r="AS840" s="20">
        <v>7</v>
      </c>
      <c r="AT840" s="20">
        <v>10</v>
      </c>
      <c r="AU840" s="300">
        <f t="shared" si="144"/>
        <v>219</v>
      </c>
      <c r="AV840" s="20">
        <v>190</v>
      </c>
      <c r="AW840" s="20">
        <v>0</v>
      </c>
      <c r="AX840" s="20">
        <v>20</v>
      </c>
      <c r="AY840" s="20">
        <v>0</v>
      </c>
      <c r="AZ840" s="20">
        <v>0</v>
      </c>
      <c r="BA840" s="20">
        <v>7</v>
      </c>
      <c r="BB840" s="20">
        <v>10</v>
      </c>
      <c r="BC840" s="300">
        <f t="shared" si="145"/>
        <v>227</v>
      </c>
      <c r="BD840" s="42">
        <f t="shared" si="146"/>
        <v>8</v>
      </c>
      <c r="BE840" s="42">
        <f t="shared" si="147"/>
        <v>0</v>
      </c>
      <c r="BF840" s="42">
        <f t="shared" si="148"/>
        <v>0</v>
      </c>
      <c r="BG840" s="42">
        <f t="shared" si="149"/>
        <v>0</v>
      </c>
      <c r="BH840" s="42">
        <f t="shared" si="150"/>
        <v>0</v>
      </c>
      <c r="BI840" s="42">
        <f t="shared" si="151"/>
        <v>0</v>
      </c>
      <c r="BJ840" s="42">
        <f t="shared" si="152"/>
        <v>0</v>
      </c>
      <c r="BK840" s="42">
        <f t="shared" si="153"/>
        <v>8</v>
      </c>
    </row>
    <row r="841" spans="1:63" ht="27" customHeight="1">
      <c r="A841" s="222">
        <f t="shared" si="154"/>
        <v>839</v>
      </c>
      <c r="B841" s="223"/>
      <c r="C841" s="250">
        <v>3294</v>
      </c>
      <c r="D841" s="225" t="s">
        <v>4934</v>
      </c>
      <c r="E841" s="251" t="s">
        <v>291</v>
      </c>
      <c r="F841" s="252" t="s">
        <v>1837</v>
      </c>
      <c r="G841" s="253" t="s">
        <v>503</v>
      </c>
      <c r="H841" s="229" t="s">
        <v>1839</v>
      </c>
      <c r="I841" s="230" t="s">
        <v>4935</v>
      </c>
      <c r="J841" s="254" t="s">
        <v>204</v>
      </c>
      <c r="K841" s="255">
        <v>32666</v>
      </c>
      <c r="L841" s="233" t="s">
        <v>174</v>
      </c>
      <c r="M841" s="256">
        <v>43742</v>
      </c>
      <c r="N841" s="256"/>
      <c r="O841" s="224" t="s">
        <v>3973</v>
      </c>
      <c r="P841" s="222" t="s">
        <v>2816</v>
      </c>
      <c r="Q841" s="222" t="s">
        <v>244</v>
      </c>
      <c r="R841" s="224" t="s">
        <v>177</v>
      </c>
      <c r="S841" s="224" t="s">
        <v>223</v>
      </c>
      <c r="T841" s="235"/>
      <c r="U841" s="257"/>
      <c r="V841" s="258" t="s">
        <v>179</v>
      </c>
      <c r="W841" s="258" t="s">
        <v>179</v>
      </c>
      <c r="X841" s="259">
        <v>8</v>
      </c>
      <c r="Y841" s="251" t="s">
        <v>4936</v>
      </c>
      <c r="Z841" s="261" t="s">
        <v>181</v>
      </c>
      <c r="AA841" s="261"/>
      <c r="AB841" s="261"/>
      <c r="AC841" s="280"/>
      <c r="AD841" s="271"/>
      <c r="AE841" s="271"/>
      <c r="AF841" s="272"/>
      <c r="AG841" s="270"/>
      <c r="AH841" s="260"/>
      <c r="AI841" s="260"/>
      <c r="AJ841" s="258" t="s">
        <v>198</v>
      </c>
      <c r="AK841" s="258" t="s">
        <v>185</v>
      </c>
      <c r="AL841" s="258" t="s">
        <v>185</v>
      </c>
      <c r="AM841" s="244" t="s">
        <v>3854</v>
      </c>
      <c r="AN841" s="20">
        <v>182</v>
      </c>
      <c r="AO841" s="20">
        <v>0</v>
      </c>
      <c r="AP841" s="20">
        <v>0</v>
      </c>
      <c r="AQ841" s="20">
        <v>0</v>
      </c>
      <c r="AR841" s="20">
        <v>0</v>
      </c>
      <c r="AS841" s="20">
        <v>7</v>
      </c>
      <c r="AT841" s="20">
        <v>10</v>
      </c>
      <c r="AU841" s="300">
        <f t="shared" si="144"/>
        <v>199</v>
      </c>
      <c r="AV841" s="20">
        <v>190</v>
      </c>
      <c r="AW841" s="20">
        <v>0</v>
      </c>
      <c r="AX841" s="20">
        <v>0</v>
      </c>
      <c r="AY841" s="20">
        <v>0</v>
      </c>
      <c r="AZ841" s="20">
        <v>0</v>
      </c>
      <c r="BA841" s="20">
        <v>7</v>
      </c>
      <c r="BB841" s="20">
        <v>10</v>
      </c>
      <c r="BC841" s="300">
        <f t="shared" si="145"/>
        <v>207</v>
      </c>
      <c r="BD841" s="42">
        <f t="shared" si="146"/>
        <v>8</v>
      </c>
      <c r="BE841" s="42">
        <f t="shared" si="147"/>
        <v>0</v>
      </c>
      <c r="BF841" s="42">
        <f t="shared" si="148"/>
        <v>0</v>
      </c>
      <c r="BG841" s="42">
        <f t="shared" si="149"/>
        <v>0</v>
      </c>
      <c r="BH841" s="42">
        <f t="shared" si="150"/>
        <v>0</v>
      </c>
      <c r="BI841" s="42">
        <f t="shared" si="151"/>
        <v>0</v>
      </c>
      <c r="BJ841" s="42">
        <f t="shared" si="152"/>
        <v>0</v>
      </c>
      <c r="BK841" s="42">
        <f t="shared" si="153"/>
        <v>8</v>
      </c>
    </row>
    <row r="842" spans="1:63" ht="27" customHeight="1">
      <c r="A842" s="222">
        <f t="shared" si="154"/>
        <v>840</v>
      </c>
      <c r="B842" s="223"/>
      <c r="C842" s="250">
        <v>3569</v>
      </c>
      <c r="D842" s="268">
        <v>0</v>
      </c>
      <c r="E842" s="251" t="s">
        <v>4937</v>
      </c>
      <c r="F842" s="252" t="s">
        <v>2334</v>
      </c>
      <c r="G842" s="253" t="s">
        <v>712</v>
      </c>
      <c r="H842" s="229" t="s">
        <v>1824</v>
      </c>
      <c r="I842" s="230" t="s">
        <v>714</v>
      </c>
      <c r="J842" s="254" t="s">
        <v>173</v>
      </c>
      <c r="K842" s="255">
        <v>32368</v>
      </c>
      <c r="L842" s="233" t="s">
        <v>174</v>
      </c>
      <c r="M842" s="256">
        <v>43745</v>
      </c>
      <c r="N842" s="256"/>
      <c r="O842" s="224" t="s">
        <v>3994</v>
      </c>
      <c r="P842" s="222" t="s">
        <v>3629</v>
      </c>
      <c r="Q842" s="222" t="s">
        <v>244</v>
      </c>
      <c r="R842" s="224" t="s">
        <v>177</v>
      </c>
      <c r="S842" s="224" t="s">
        <v>178</v>
      </c>
      <c r="T842" s="235"/>
      <c r="U842" s="257"/>
      <c r="V842" s="258" t="s">
        <v>179</v>
      </c>
      <c r="W842" s="258" t="s">
        <v>179</v>
      </c>
      <c r="X842" s="259">
        <v>7</v>
      </c>
      <c r="Y842" s="251" t="s">
        <v>4938</v>
      </c>
      <c r="Z842" s="261" t="s">
        <v>181</v>
      </c>
      <c r="AA842" s="261"/>
      <c r="AB842" s="258"/>
      <c r="AC842" s="280"/>
      <c r="AD842" s="271"/>
      <c r="AE842" s="271"/>
      <c r="AF842" s="272"/>
      <c r="AG842" s="270"/>
      <c r="AH842" s="260"/>
      <c r="AI842" s="260"/>
      <c r="AJ842" s="258" t="s">
        <v>198</v>
      </c>
      <c r="AK842" s="258" t="s">
        <v>185</v>
      </c>
      <c r="AL842" s="258" t="s">
        <v>185</v>
      </c>
      <c r="AM842" s="244" t="s">
        <v>4825</v>
      </c>
      <c r="AN842" s="20">
        <v>182</v>
      </c>
      <c r="AO842" s="20">
        <v>0</v>
      </c>
      <c r="AP842" s="20">
        <v>20</v>
      </c>
      <c r="AQ842" s="20">
        <v>0</v>
      </c>
      <c r="AR842" s="20">
        <v>0</v>
      </c>
      <c r="AS842" s="20">
        <v>7</v>
      </c>
      <c r="AT842" s="20">
        <v>10</v>
      </c>
      <c r="AU842" s="300">
        <f t="shared" si="144"/>
        <v>219</v>
      </c>
      <c r="AV842" s="20">
        <v>190</v>
      </c>
      <c r="AW842" s="20">
        <v>0</v>
      </c>
      <c r="AX842" s="20">
        <v>20</v>
      </c>
      <c r="AY842" s="20">
        <v>0</v>
      </c>
      <c r="AZ842" s="20">
        <v>0</v>
      </c>
      <c r="BA842" s="20">
        <v>7</v>
      </c>
      <c r="BB842" s="20">
        <v>10</v>
      </c>
      <c r="BC842" s="300">
        <f t="shared" si="145"/>
        <v>227</v>
      </c>
      <c r="BD842" s="42">
        <f t="shared" si="146"/>
        <v>8</v>
      </c>
      <c r="BE842" s="42">
        <f t="shared" si="147"/>
        <v>0</v>
      </c>
      <c r="BF842" s="42">
        <f t="shared" si="148"/>
        <v>0</v>
      </c>
      <c r="BG842" s="42">
        <f t="shared" si="149"/>
        <v>0</v>
      </c>
      <c r="BH842" s="42">
        <f t="shared" si="150"/>
        <v>0</v>
      </c>
      <c r="BI842" s="42">
        <f t="shared" si="151"/>
        <v>0</v>
      </c>
      <c r="BJ842" s="42">
        <f t="shared" si="152"/>
        <v>0</v>
      </c>
      <c r="BK842" s="42">
        <f t="shared" si="153"/>
        <v>8</v>
      </c>
    </row>
    <row r="843" spans="1:63" ht="27" customHeight="1">
      <c r="A843" s="222">
        <f t="shared" si="154"/>
        <v>841</v>
      </c>
      <c r="B843" s="223"/>
      <c r="C843" s="250">
        <v>3283</v>
      </c>
      <c r="D843" s="225" t="s">
        <v>4939</v>
      </c>
      <c r="E843" s="251" t="s">
        <v>4940</v>
      </c>
      <c r="F843" s="252" t="s">
        <v>2674</v>
      </c>
      <c r="G843" s="253" t="s">
        <v>700</v>
      </c>
      <c r="H843" s="229" t="s">
        <v>4941</v>
      </c>
      <c r="I843" s="230" t="s">
        <v>15</v>
      </c>
      <c r="J843" s="254" t="s">
        <v>173</v>
      </c>
      <c r="K843" s="255">
        <v>34252</v>
      </c>
      <c r="L843" s="233" t="s">
        <v>174</v>
      </c>
      <c r="M843" s="256">
        <v>43746</v>
      </c>
      <c r="N843" s="256"/>
      <c r="O843" s="224" t="s">
        <v>3999</v>
      </c>
      <c r="P843" s="222" t="s">
        <v>3828</v>
      </c>
      <c r="Q843" s="222" t="s">
        <v>244</v>
      </c>
      <c r="R843" s="224" t="s">
        <v>177</v>
      </c>
      <c r="S843" s="224" t="s">
        <v>223</v>
      </c>
      <c r="T843" s="235"/>
      <c r="U843" s="257"/>
      <c r="V843" s="258" t="s">
        <v>179</v>
      </c>
      <c r="W843" s="258" t="s">
        <v>179</v>
      </c>
      <c r="X843" s="259">
        <v>9</v>
      </c>
      <c r="Y843" s="251" t="s">
        <v>4942</v>
      </c>
      <c r="Z843" s="261" t="s">
        <v>181</v>
      </c>
      <c r="AA843" s="261"/>
      <c r="AB843" s="258"/>
      <c r="AC843" s="280"/>
      <c r="AD843" s="271"/>
      <c r="AE843" s="271"/>
      <c r="AF843" s="272"/>
      <c r="AG843" s="270"/>
      <c r="AH843" s="260"/>
      <c r="AI843" s="260"/>
      <c r="AJ843" s="258" t="s">
        <v>198</v>
      </c>
      <c r="AK843" s="258" t="s">
        <v>185</v>
      </c>
      <c r="AL843" s="258" t="s">
        <v>185</v>
      </c>
      <c r="AM843" s="244" t="s">
        <v>199</v>
      </c>
      <c r="AN843" s="20">
        <v>182</v>
      </c>
      <c r="AO843" s="20">
        <v>0</v>
      </c>
      <c r="AP843" s="20">
        <v>20</v>
      </c>
      <c r="AQ843" s="20">
        <v>0</v>
      </c>
      <c r="AR843" s="20">
        <v>0</v>
      </c>
      <c r="AS843" s="20">
        <v>7</v>
      </c>
      <c r="AT843" s="20">
        <v>10</v>
      </c>
      <c r="AU843" s="300">
        <f t="shared" si="144"/>
        <v>219</v>
      </c>
      <c r="AV843" s="20">
        <v>190</v>
      </c>
      <c r="AW843" s="20">
        <v>0</v>
      </c>
      <c r="AX843" s="20">
        <v>20</v>
      </c>
      <c r="AY843" s="20">
        <v>0</v>
      </c>
      <c r="AZ843" s="20">
        <v>0</v>
      </c>
      <c r="BA843" s="20">
        <v>7</v>
      </c>
      <c r="BB843" s="20">
        <v>10</v>
      </c>
      <c r="BC843" s="300">
        <f t="shared" si="145"/>
        <v>227</v>
      </c>
      <c r="BD843" s="42">
        <f t="shared" si="146"/>
        <v>8</v>
      </c>
      <c r="BE843" s="42">
        <f t="shared" si="147"/>
        <v>0</v>
      </c>
      <c r="BF843" s="42">
        <f t="shared" si="148"/>
        <v>0</v>
      </c>
      <c r="BG843" s="42">
        <f t="shared" si="149"/>
        <v>0</v>
      </c>
      <c r="BH843" s="42">
        <f t="shared" si="150"/>
        <v>0</v>
      </c>
      <c r="BI843" s="42">
        <f t="shared" si="151"/>
        <v>0</v>
      </c>
      <c r="BJ843" s="42">
        <f t="shared" si="152"/>
        <v>0</v>
      </c>
      <c r="BK843" s="42">
        <f t="shared" si="153"/>
        <v>8</v>
      </c>
    </row>
    <row r="844" spans="1:63" ht="27" customHeight="1">
      <c r="A844" s="222">
        <f t="shared" si="154"/>
        <v>842</v>
      </c>
      <c r="B844" s="223"/>
      <c r="C844" s="250">
        <v>3497</v>
      </c>
      <c r="D844" s="225" t="s">
        <v>4943</v>
      </c>
      <c r="E844" s="251" t="s">
        <v>4944</v>
      </c>
      <c r="F844" s="252" t="s">
        <v>1232</v>
      </c>
      <c r="G844" s="253" t="s">
        <v>4945</v>
      </c>
      <c r="H844" s="229" t="s">
        <v>1234</v>
      </c>
      <c r="I844" s="230" t="s">
        <v>4946</v>
      </c>
      <c r="J844" s="254" t="s">
        <v>173</v>
      </c>
      <c r="K844" s="255">
        <v>33862</v>
      </c>
      <c r="L844" s="233" t="s">
        <v>174</v>
      </c>
      <c r="M844" s="256">
        <v>43746</v>
      </c>
      <c r="N844" s="256"/>
      <c r="O844" s="224" t="s">
        <v>3973</v>
      </c>
      <c r="P844" s="222" t="s">
        <v>3780</v>
      </c>
      <c r="Q844" s="222" t="s">
        <v>244</v>
      </c>
      <c r="R844" s="224" t="s">
        <v>177</v>
      </c>
      <c r="S844" s="224" t="s">
        <v>223</v>
      </c>
      <c r="T844" s="235"/>
      <c r="U844" s="257"/>
      <c r="V844" s="258" t="s">
        <v>179</v>
      </c>
      <c r="W844" s="258" t="s">
        <v>179</v>
      </c>
      <c r="X844" s="259">
        <v>9</v>
      </c>
      <c r="Y844" s="251" t="s">
        <v>4947</v>
      </c>
      <c r="Z844" s="261"/>
      <c r="AA844" s="261"/>
      <c r="AB844" s="258"/>
      <c r="AC844" s="280"/>
      <c r="AD844" s="271"/>
      <c r="AE844" s="271"/>
      <c r="AF844" s="272"/>
      <c r="AG844" s="270"/>
      <c r="AH844" s="260"/>
      <c r="AI844" s="260"/>
      <c r="AJ844" s="258" t="s">
        <v>198</v>
      </c>
      <c r="AK844" s="258" t="s">
        <v>185</v>
      </c>
      <c r="AL844" s="258" t="s">
        <v>185</v>
      </c>
      <c r="AM844" s="244" t="s">
        <v>3854</v>
      </c>
      <c r="AN844" s="20">
        <v>182</v>
      </c>
      <c r="AO844" s="20">
        <v>0</v>
      </c>
      <c r="AP844" s="20">
        <v>20</v>
      </c>
      <c r="AQ844" s="20">
        <v>0</v>
      </c>
      <c r="AR844" s="20">
        <v>0</v>
      </c>
      <c r="AS844" s="20">
        <v>7</v>
      </c>
      <c r="AT844" s="20">
        <v>10</v>
      </c>
      <c r="AU844" s="300">
        <f t="shared" si="144"/>
        <v>219</v>
      </c>
      <c r="AV844" s="20">
        <v>190</v>
      </c>
      <c r="AW844" s="20">
        <v>0</v>
      </c>
      <c r="AX844" s="20">
        <v>20</v>
      </c>
      <c r="AY844" s="20">
        <v>0</v>
      </c>
      <c r="AZ844" s="20">
        <v>0</v>
      </c>
      <c r="BA844" s="20">
        <v>7</v>
      </c>
      <c r="BB844" s="20">
        <v>10</v>
      </c>
      <c r="BC844" s="300">
        <f t="shared" si="145"/>
        <v>227</v>
      </c>
      <c r="BD844" s="42">
        <f t="shared" si="146"/>
        <v>8</v>
      </c>
      <c r="BE844" s="42">
        <f t="shared" si="147"/>
        <v>0</v>
      </c>
      <c r="BF844" s="42">
        <f t="shared" si="148"/>
        <v>0</v>
      </c>
      <c r="BG844" s="42">
        <f t="shared" si="149"/>
        <v>0</v>
      </c>
      <c r="BH844" s="42">
        <f t="shared" si="150"/>
        <v>0</v>
      </c>
      <c r="BI844" s="42">
        <f t="shared" si="151"/>
        <v>0</v>
      </c>
      <c r="BJ844" s="42">
        <f t="shared" si="152"/>
        <v>0</v>
      </c>
      <c r="BK844" s="42">
        <f t="shared" si="153"/>
        <v>8</v>
      </c>
    </row>
    <row r="845" spans="1:63" ht="27" customHeight="1">
      <c r="A845" s="222">
        <f t="shared" si="154"/>
        <v>843</v>
      </c>
      <c r="B845" s="223"/>
      <c r="C845" s="250">
        <v>3496</v>
      </c>
      <c r="D845" s="225" t="s">
        <v>4948</v>
      </c>
      <c r="E845" s="251" t="s">
        <v>4949</v>
      </c>
      <c r="F845" s="252" t="s">
        <v>2746</v>
      </c>
      <c r="G845" s="253" t="s">
        <v>2298</v>
      </c>
      <c r="H845" s="229" t="s">
        <v>990</v>
      </c>
      <c r="I845" s="230" t="s">
        <v>4950</v>
      </c>
      <c r="J845" s="254" t="s">
        <v>204</v>
      </c>
      <c r="K845" s="255">
        <v>36222</v>
      </c>
      <c r="L845" s="233" t="s">
        <v>174</v>
      </c>
      <c r="M845" s="256">
        <v>43746</v>
      </c>
      <c r="N845" s="256"/>
      <c r="O845" s="224" t="s">
        <v>4019</v>
      </c>
      <c r="P845" s="222" t="s">
        <v>3770</v>
      </c>
      <c r="Q845" s="222" t="s">
        <v>244</v>
      </c>
      <c r="R845" s="224" t="s">
        <v>177</v>
      </c>
      <c r="S845" s="224" t="s">
        <v>206</v>
      </c>
      <c r="T845" s="235"/>
      <c r="U845" s="257"/>
      <c r="V845" s="258" t="s">
        <v>179</v>
      </c>
      <c r="W845" s="258" t="s">
        <v>179</v>
      </c>
      <c r="X845" s="259">
        <v>9</v>
      </c>
      <c r="Y845" s="251" t="s">
        <v>4951</v>
      </c>
      <c r="Z845" s="261" t="s">
        <v>181</v>
      </c>
      <c r="AA845" s="261"/>
      <c r="AB845" s="258"/>
      <c r="AC845" s="280"/>
      <c r="AD845" s="271"/>
      <c r="AE845" s="271"/>
      <c r="AF845" s="272"/>
      <c r="AG845" s="270"/>
      <c r="AH845" s="260"/>
      <c r="AI845" s="260"/>
      <c r="AJ845" s="258" t="s">
        <v>198</v>
      </c>
      <c r="AK845" s="258" t="s">
        <v>185</v>
      </c>
      <c r="AL845" s="258" t="s">
        <v>185</v>
      </c>
      <c r="AM845" s="244" t="s">
        <v>3854</v>
      </c>
      <c r="AN845" s="20">
        <v>182</v>
      </c>
      <c r="AO845" s="20">
        <v>0</v>
      </c>
      <c r="AP845" s="20">
        <v>20</v>
      </c>
      <c r="AQ845" s="20">
        <v>0</v>
      </c>
      <c r="AR845" s="20">
        <v>0</v>
      </c>
      <c r="AS845" s="20">
        <v>7</v>
      </c>
      <c r="AT845" s="20">
        <v>10</v>
      </c>
      <c r="AU845" s="300">
        <f t="shared" si="144"/>
        <v>219</v>
      </c>
      <c r="AV845" s="20">
        <v>190</v>
      </c>
      <c r="AW845" s="20">
        <v>0</v>
      </c>
      <c r="AX845" s="20">
        <v>20</v>
      </c>
      <c r="AY845" s="20">
        <v>0</v>
      </c>
      <c r="AZ845" s="20">
        <v>0</v>
      </c>
      <c r="BA845" s="20">
        <v>7</v>
      </c>
      <c r="BB845" s="20">
        <v>10</v>
      </c>
      <c r="BC845" s="300">
        <f t="shared" si="145"/>
        <v>227</v>
      </c>
      <c r="BD845" s="42">
        <f t="shared" si="146"/>
        <v>8</v>
      </c>
      <c r="BE845" s="42">
        <f t="shared" si="147"/>
        <v>0</v>
      </c>
      <c r="BF845" s="42">
        <f t="shared" si="148"/>
        <v>0</v>
      </c>
      <c r="BG845" s="42">
        <f t="shared" si="149"/>
        <v>0</v>
      </c>
      <c r="BH845" s="42">
        <f t="shared" si="150"/>
        <v>0</v>
      </c>
      <c r="BI845" s="42">
        <f t="shared" si="151"/>
        <v>0</v>
      </c>
      <c r="BJ845" s="42">
        <f t="shared" si="152"/>
        <v>0</v>
      </c>
      <c r="BK845" s="42">
        <f t="shared" si="153"/>
        <v>8</v>
      </c>
    </row>
    <row r="846" spans="1:63" ht="27" customHeight="1">
      <c r="A846" s="222">
        <f t="shared" si="154"/>
        <v>844</v>
      </c>
      <c r="B846" s="223"/>
      <c r="C846" s="250">
        <v>3498</v>
      </c>
      <c r="D846" s="225" t="s">
        <v>4952</v>
      </c>
      <c r="E846" s="251" t="s">
        <v>4953</v>
      </c>
      <c r="F846" s="252" t="s">
        <v>431</v>
      </c>
      <c r="G846" s="253" t="s">
        <v>4954</v>
      </c>
      <c r="H846" s="229" t="s">
        <v>1183</v>
      </c>
      <c r="I846" s="230" t="s">
        <v>4955</v>
      </c>
      <c r="J846" s="254" t="s">
        <v>204</v>
      </c>
      <c r="K846" s="255">
        <v>35340</v>
      </c>
      <c r="L846" s="233" t="s">
        <v>174</v>
      </c>
      <c r="M846" s="256">
        <v>43745</v>
      </c>
      <c r="N846" s="256"/>
      <c r="O846" s="224" t="s">
        <v>3973</v>
      </c>
      <c r="P846" s="222" t="s">
        <v>3945</v>
      </c>
      <c r="Q846" s="222" t="s">
        <v>244</v>
      </c>
      <c r="R846" s="224" t="s">
        <v>177</v>
      </c>
      <c r="S846" s="224" t="s">
        <v>178</v>
      </c>
      <c r="T846" s="235"/>
      <c r="U846" s="257"/>
      <c r="V846" s="258" t="s">
        <v>179</v>
      </c>
      <c r="W846" s="258" t="s">
        <v>179</v>
      </c>
      <c r="X846" s="259">
        <v>7</v>
      </c>
      <c r="Y846" s="251" t="s">
        <v>4171</v>
      </c>
      <c r="Z846" s="261"/>
      <c r="AA846" s="261"/>
      <c r="AB846" s="258"/>
      <c r="AC846" s="280"/>
      <c r="AD846" s="271"/>
      <c r="AE846" s="271"/>
      <c r="AF846" s="272"/>
      <c r="AG846" s="270"/>
      <c r="AH846" s="260"/>
      <c r="AI846" s="260"/>
      <c r="AJ846" s="258" t="s">
        <v>198</v>
      </c>
      <c r="AK846" s="258" t="s">
        <v>185</v>
      </c>
      <c r="AL846" s="258" t="s">
        <v>185</v>
      </c>
      <c r="AM846" s="244" t="s">
        <v>3911</v>
      </c>
      <c r="AN846" s="20">
        <v>182</v>
      </c>
      <c r="AO846" s="20">
        <v>0</v>
      </c>
      <c r="AP846" s="20">
        <v>0</v>
      </c>
      <c r="AQ846" s="20">
        <v>0</v>
      </c>
      <c r="AR846" s="20">
        <v>0</v>
      </c>
      <c r="AS846" s="20">
        <v>7</v>
      </c>
      <c r="AT846" s="20">
        <v>10</v>
      </c>
      <c r="AU846" s="300">
        <f t="shared" si="144"/>
        <v>199</v>
      </c>
      <c r="AV846" s="20">
        <v>190</v>
      </c>
      <c r="AW846" s="20">
        <v>0</v>
      </c>
      <c r="AX846" s="20">
        <v>0</v>
      </c>
      <c r="AY846" s="20">
        <v>0</v>
      </c>
      <c r="AZ846" s="20">
        <v>0</v>
      </c>
      <c r="BA846" s="20">
        <v>7</v>
      </c>
      <c r="BB846" s="20">
        <v>10</v>
      </c>
      <c r="BC846" s="300">
        <f t="shared" si="145"/>
        <v>207</v>
      </c>
      <c r="BD846" s="42">
        <f t="shared" si="146"/>
        <v>8</v>
      </c>
      <c r="BE846" s="42">
        <f t="shared" si="147"/>
        <v>0</v>
      </c>
      <c r="BF846" s="42">
        <f t="shared" si="148"/>
        <v>0</v>
      </c>
      <c r="BG846" s="42">
        <f t="shared" si="149"/>
        <v>0</v>
      </c>
      <c r="BH846" s="42">
        <f t="shared" si="150"/>
        <v>0</v>
      </c>
      <c r="BI846" s="42">
        <f t="shared" si="151"/>
        <v>0</v>
      </c>
      <c r="BJ846" s="42">
        <f t="shared" si="152"/>
        <v>0</v>
      </c>
      <c r="BK846" s="42">
        <f t="shared" si="153"/>
        <v>8</v>
      </c>
    </row>
    <row r="847" spans="1:63" ht="27" customHeight="1">
      <c r="A847" s="222">
        <f t="shared" si="154"/>
        <v>845</v>
      </c>
      <c r="B847" s="223"/>
      <c r="C847" s="250">
        <v>3734</v>
      </c>
      <c r="D847" s="225" t="s">
        <v>4956</v>
      </c>
      <c r="E847" s="286" t="s">
        <v>4957</v>
      </c>
      <c r="F847" s="252" t="s">
        <v>4958</v>
      </c>
      <c r="G847" s="253" t="s">
        <v>4959</v>
      </c>
      <c r="H847" s="229" t="s">
        <v>4960</v>
      </c>
      <c r="I847" s="230" t="s">
        <v>4961</v>
      </c>
      <c r="J847" s="254" t="s">
        <v>173</v>
      </c>
      <c r="K847" s="255">
        <v>35139</v>
      </c>
      <c r="L847" s="233" t="s">
        <v>174</v>
      </c>
      <c r="M847" s="256">
        <v>43760</v>
      </c>
      <c r="N847" s="256"/>
      <c r="O847" s="224"/>
      <c r="P847" s="222" t="s">
        <v>313</v>
      </c>
      <c r="Q847" s="222" t="s">
        <v>244</v>
      </c>
      <c r="R847" s="224" t="s">
        <v>177</v>
      </c>
      <c r="S847" s="224" t="s">
        <v>206</v>
      </c>
      <c r="T847" s="235"/>
      <c r="U847" s="257"/>
      <c r="V847" s="258" t="s">
        <v>179</v>
      </c>
      <c r="W847" s="258" t="s">
        <v>179</v>
      </c>
      <c r="X847" s="287">
        <v>8</v>
      </c>
      <c r="Y847" s="251" t="s">
        <v>4962</v>
      </c>
      <c r="Z847" s="261"/>
      <c r="AA847" s="261" t="s">
        <v>181</v>
      </c>
      <c r="AB847" s="258"/>
      <c r="AC847" s="280" t="s">
        <v>420</v>
      </c>
      <c r="AD847" s="271"/>
      <c r="AE847" s="271"/>
      <c r="AF847" s="272"/>
      <c r="AG847" s="270"/>
      <c r="AH847" s="260"/>
      <c r="AI847" s="260"/>
      <c r="AJ847" s="258" t="s">
        <v>198</v>
      </c>
      <c r="AK847" s="258" t="s">
        <v>185</v>
      </c>
      <c r="AL847" s="258" t="s">
        <v>185</v>
      </c>
      <c r="AM847" s="244" t="s">
        <v>3911</v>
      </c>
      <c r="AN847" s="20">
        <v>182</v>
      </c>
      <c r="AO847" s="20">
        <v>0</v>
      </c>
      <c r="AP847" s="20">
        <v>20</v>
      </c>
      <c r="AQ847" s="20">
        <v>0</v>
      </c>
      <c r="AR847" s="20">
        <v>0</v>
      </c>
      <c r="AS847" s="20">
        <v>7</v>
      </c>
      <c r="AT847" s="20">
        <v>10</v>
      </c>
      <c r="AU847" s="300">
        <f t="shared" si="144"/>
        <v>219</v>
      </c>
      <c r="AV847" s="20">
        <v>190</v>
      </c>
      <c r="AW847" s="20">
        <v>0</v>
      </c>
      <c r="AX847" s="20">
        <v>20</v>
      </c>
      <c r="AY847" s="20">
        <v>0</v>
      </c>
      <c r="AZ847" s="20">
        <v>0</v>
      </c>
      <c r="BA847" s="20">
        <v>7</v>
      </c>
      <c r="BB847" s="20">
        <v>10</v>
      </c>
      <c r="BC847" s="300">
        <f t="shared" si="145"/>
        <v>227</v>
      </c>
      <c r="BD847" s="42">
        <f t="shared" si="146"/>
        <v>8</v>
      </c>
      <c r="BE847" s="42">
        <f t="shared" si="147"/>
        <v>0</v>
      </c>
      <c r="BF847" s="42">
        <f t="shared" si="148"/>
        <v>0</v>
      </c>
      <c r="BG847" s="42">
        <f t="shared" si="149"/>
        <v>0</v>
      </c>
      <c r="BH847" s="42">
        <f t="shared" si="150"/>
        <v>0</v>
      </c>
      <c r="BI847" s="42">
        <f t="shared" si="151"/>
        <v>0</v>
      </c>
      <c r="BJ847" s="42">
        <f t="shared" si="152"/>
        <v>0</v>
      </c>
      <c r="BK847" s="42">
        <f t="shared" si="153"/>
        <v>8</v>
      </c>
    </row>
    <row r="848" spans="1:63" ht="27" customHeight="1">
      <c r="A848" s="222">
        <f t="shared" si="154"/>
        <v>846</v>
      </c>
      <c r="B848" s="223"/>
      <c r="C848" s="250">
        <v>3740</v>
      </c>
      <c r="D848" s="225" t="s">
        <v>4963</v>
      </c>
      <c r="E848" s="251" t="s">
        <v>4964</v>
      </c>
      <c r="F848" s="252" t="s">
        <v>4919</v>
      </c>
      <c r="G848" s="253" t="s">
        <v>4773</v>
      </c>
      <c r="H848" s="229" t="s">
        <v>4683</v>
      </c>
      <c r="I848" s="230" t="s">
        <v>4965</v>
      </c>
      <c r="J848" s="254" t="s">
        <v>173</v>
      </c>
      <c r="K848" s="255">
        <v>32490</v>
      </c>
      <c r="L848" s="233" t="s">
        <v>174</v>
      </c>
      <c r="M848" s="256">
        <v>43762</v>
      </c>
      <c r="N848" s="256"/>
      <c r="O848" s="224"/>
      <c r="P848" s="224"/>
      <c r="Q848" s="222" t="s">
        <v>244</v>
      </c>
      <c r="R848" s="224" t="s">
        <v>177</v>
      </c>
      <c r="S848" s="224" t="s">
        <v>223</v>
      </c>
      <c r="T848" s="235"/>
      <c r="U848" s="257"/>
      <c r="V848" s="258" t="s">
        <v>179</v>
      </c>
      <c r="W848" s="258" t="s">
        <v>179</v>
      </c>
      <c r="X848" s="259">
        <v>4</v>
      </c>
      <c r="Y848" s="251" t="s">
        <v>4966</v>
      </c>
      <c r="Z848" s="261"/>
      <c r="AA848" s="261" t="s">
        <v>181</v>
      </c>
      <c r="AB848" s="258"/>
      <c r="AC848" s="280"/>
      <c r="AD848" s="271"/>
      <c r="AE848" s="271"/>
      <c r="AF848" s="272"/>
      <c r="AG848" s="270"/>
      <c r="AH848" s="260"/>
      <c r="AI848" s="260"/>
      <c r="AJ848" s="258" t="s">
        <v>198</v>
      </c>
      <c r="AK848" s="258" t="s">
        <v>185</v>
      </c>
      <c r="AL848" s="258" t="s">
        <v>185</v>
      </c>
      <c r="AM848" s="244" t="s">
        <v>236</v>
      </c>
      <c r="AN848" s="20">
        <v>182</v>
      </c>
      <c r="AO848" s="20">
        <v>0</v>
      </c>
      <c r="AP848" s="20">
        <v>20</v>
      </c>
      <c r="AQ848" s="20">
        <v>0</v>
      </c>
      <c r="AR848" s="20">
        <v>0</v>
      </c>
      <c r="AS848" s="20">
        <v>7</v>
      </c>
      <c r="AT848" s="20">
        <v>10</v>
      </c>
      <c r="AU848" s="300">
        <f t="shared" si="144"/>
        <v>219</v>
      </c>
      <c r="AV848" s="20">
        <v>190</v>
      </c>
      <c r="AW848" s="20">
        <v>0</v>
      </c>
      <c r="AX848" s="20">
        <v>20</v>
      </c>
      <c r="AY848" s="20">
        <v>0</v>
      </c>
      <c r="AZ848" s="20">
        <v>0</v>
      </c>
      <c r="BA848" s="20">
        <v>7</v>
      </c>
      <c r="BB848" s="20">
        <v>10</v>
      </c>
      <c r="BC848" s="300">
        <f t="shared" si="145"/>
        <v>227</v>
      </c>
      <c r="BD848" s="42">
        <f t="shared" si="146"/>
        <v>8</v>
      </c>
      <c r="BE848" s="42">
        <f t="shared" si="147"/>
        <v>0</v>
      </c>
      <c r="BF848" s="42">
        <f t="shared" si="148"/>
        <v>0</v>
      </c>
      <c r="BG848" s="42">
        <f t="shared" si="149"/>
        <v>0</v>
      </c>
      <c r="BH848" s="42">
        <f t="shared" si="150"/>
        <v>0</v>
      </c>
      <c r="BI848" s="42">
        <f t="shared" si="151"/>
        <v>0</v>
      </c>
      <c r="BJ848" s="42">
        <f t="shared" si="152"/>
        <v>0</v>
      </c>
      <c r="BK848" s="42">
        <f t="shared" si="153"/>
        <v>8</v>
      </c>
    </row>
    <row r="849" spans="1:63" ht="27" customHeight="1">
      <c r="A849" s="222">
        <f t="shared" si="154"/>
        <v>847</v>
      </c>
      <c r="B849" s="223"/>
      <c r="C849" s="250">
        <v>3738</v>
      </c>
      <c r="D849" s="225" t="s">
        <v>4967</v>
      </c>
      <c r="E849" s="251" t="s">
        <v>4968</v>
      </c>
      <c r="F849" s="252" t="s">
        <v>927</v>
      </c>
      <c r="G849" s="253" t="s">
        <v>3753</v>
      </c>
      <c r="H849" s="229" t="s">
        <v>929</v>
      </c>
      <c r="I849" s="230" t="s">
        <v>4969</v>
      </c>
      <c r="J849" s="254" t="s">
        <v>173</v>
      </c>
      <c r="K849" s="255">
        <v>32912</v>
      </c>
      <c r="L849" s="233" t="s">
        <v>174</v>
      </c>
      <c r="M849" s="256">
        <v>43762</v>
      </c>
      <c r="N849" s="256"/>
      <c r="O849" s="224"/>
      <c r="P849" s="224"/>
      <c r="Q849" s="222" t="s">
        <v>244</v>
      </c>
      <c r="R849" s="224" t="s">
        <v>177</v>
      </c>
      <c r="S849" s="224" t="s">
        <v>223</v>
      </c>
      <c r="T849" s="235"/>
      <c r="U849" s="257"/>
      <c r="V849" s="258" t="s">
        <v>179</v>
      </c>
      <c r="W849" s="258" t="s">
        <v>179</v>
      </c>
      <c r="X849" s="259">
        <v>8</v>
      </c>
      <c r="Y849" s="251" t="s">
        <v>4970</v>
      </c>
      <c r="Z849" s="261"/>
      <c r="AA849" s="261" t="s">
        <v>181</v>
      </c>
      <c r="AB849" s="258"/>
      <c r="AC849" s="280"/>
      <c r="AD849" s="271" t="s">
        <v>184</v>
      </c>
      <c r="AE849" s="271"/>
      <c r="AF849" s="272"/>
      <c r="AG849" s="270"/>
      <c r="AH849" s="260"/>
      <c r="AI849" s="260"/>
      <c r="AJ849" s="258" t="s">
        <v>198</v>
      </c>
      <c r="AK849" s="258" t="s">
        <v>185</v>
      </c>
      <c r="AL849" s="258" t="s">
        <v>185</v>
      </c>
      <c r="AM849" s="244" t="s">
        <v>236</v>
      </c>
      <c r="AN849" s="20">
        <v>182</v>
      </c>
      <c r="AO849" s="20">
        <v>0</v>
      </c>
      <c r="AP849" s="20">
        <v>20</v>
      </c>
      <c r="AQ849" s="20">
        <v>0</v>
      </c>
      <c r="AR849" s="20">
        <v>0</v>
      </c>
      <c r="AS849" s="20">
        <v>7</v>
      </c>
      <c r="AT849" s="20">
        <v>10</v>
      </c>
      <c r="AU849" s="300">
        <f t="shared" si="144"/>
        <v>219</v>
      </c>
      <c r="AV849" s="20">
        <v>190</v>
      </c>
      <c r="AW849" s="20">
        <v>0</v>
      </c>
      <c r="AX849" s="20">
        <v>20</v>
      </c>
      <c r="AY849" s="20">
        <v>0</v>
      </c>
      <c r="AZ849" s="20">
        <v>0</v>
      </c>
      <c r="BA849" s="20">
        <v>7</v>
      </c>
      <c r="BB849" s="20">
        <v>10</v>
      </c>
      <c r="BC849" s="300">
        <f t="shared" si="145"/>
        <v>227</v>
      </c>
      <c r="BD849" s="42">
        <f t="shared" si="146"/>
        <v>8</v>
      </c>
      <c r="BE849" s="42">
        <f t="shared" si="147"/>
        <v>0</v>
      </c>
      <c r="BF849" s="42">
        <f t="shared" si="148"/>
        <v>0</v>
      </c>
      <c r="BG849" s="42">
        <f t="shared" si="149"/>
        <v>0</v>
      </c>
      <c r="BH849" s="42">
        <f t="shared" si="150"/>
        <v>0</v>
      </c>
      <c r="BI849" s="42">
        <f t="shared" si="151"/>
        <v>0</v>
      </c>
      <c r="BJ849" s="42">
        <f t="shared" si="152"/>
        <v>0</v>
      </c>
      <c r="BK849" s="42">
        <f t="shared" si="153"/>
        <v>8</v>
      </c>
    </row>
    <row r="850" spans="1:63" ht="27" customHeight="1">
      <c r="A850" s="222">
        <f t="shared" si="154"/>
        <v>848</v>
      </c>
      <c r="B850" s="223"/>
      <c r="C850" s="250">
        <v>3680</v>
      </c>
      <c r="D850" s="250" t="s">
        <v>4971</v>
      </c>
      <c r="E850" s="251" t="s">
        <v>4972</v>
      </c>
      <c r="F850" s="252" t="s">
        <v>2341</v>
      </c>
      <c r="G850" s="253" t="s">
        <v>213</v>
      </c>
      <c r="H850" s="229" t="s">
        <v>4973</v>
      </c>
      <c r="I850" s="230" t="s">
        <v>1984</v>
      </c>
      <c r="J850" s="254" t="s">
        <v>173</v>
      </c>
      <c r="K850" s="255">
        <v>31962</v>
      </c>
      <c r="L850" s="233" t="s">
        <v>174</v>
      </c>
      <c r="M850" s="256">
        <v>43754</v>
      </c>
      <c r="N850" s="256"/>
      <c r="O850" s="224"/>
      <c r="P850" s="222" t="s">
        <v>3633</v>
      </c>
      <c r="Q850" s="222" t="s">
        <v>244</v>
      </c>
      <c r="R850" s="224" t="s">
        <v>177</v>
      </c>
      <c r="S850" s="224" t="s">
        <v>223</v>
      </c>
      <c r="T850" s="235"/>
      <c r="U850" s="257"/>
      <c r="V850" s="258" t="s">
        <v>179</v>
      </c>
      <c r="W850" s="258" t="s">
        <v>179</v>
      </c>
      <c r="X850" s="259">
        <v>8</v>
      </c>
      <c r="Y850" s="251" t="s">
        <v>4974</v>
      </c>
      <c r="Z850" s="261" t="s">
        <v>181</v>
      </c>
      <c r="AA850" s="261"/>
      <c r="AB850" s="261"/>
      <c r="AC850" s="280"/>
      <c r="AD850" s="271"/>
      <c r="AE850" s="271"/>
      <c r="AF850" s="272"/>
      <c r="AG850" s="270"/>
      <c r="AH850" s="260"/>
      <c r="AI850" s="260"/>
      <c r="AJ850" s="258" t="s">
        <v>198</v>
      </c>
      <c r="AK850" s="258" t="s">
        <v>185</v>
      </c>
      <c r="AL850" s="258" t="s">
        <v>185</v>
      </c>
      <c r="AM850" s="244" t="s">
        <v>3854</v>
      </c>
      <c r="AN850" s="20">
        <v>177</v>
      </c>
      <c r="AO850" s="20">
        <v>0</v>
      </c>
      <c r="AP850" s="20">
        <v>20</v>
      </c>
      <c r="AQ850" s="20">
        <v>0</v>
      </c>
      <c r="AR850" s="20">
        <v>0</v>
      </c>
      <c r="AS850" s="20">
        <v>7</v>
      </c>
      <c r="AT850" s="20">
        <v>10</v>
      </c>
      <c r="AU850" s="300">
        <f t="shared" si="144"/>
        <v>214</v>
      </c>
      <c r="AV850" s="20">
        <v>185</v>
      </c>
      <c r="AW850" s="20">
        <v>0</v>
      </c>
      <c r="AX850" s="20">
        <v>20</v>
      </c>
      <c r="AY850" s="20">
        <v>0</v>
      </c>
      <c r="AZ850" s="20">
        <v>0</v>
      </c>
      <c r="BA850" s="20">
        <v>7</v>
      </c>
      <c r="BB850" s="20">
        <v>10</v>
      </c>
      <c r="BC850" s="300">
        <f t="shared" si="145"/>
        <v>222</v>
      </c>
      <c r="BD850" s="42">
        <f t="shared" si="146"/>
        <v>8</v>
      </c>
      <c r="BE850" s="42">
        <f t="shared" si="147"/>
        <v>0</v>
      </c>
      <c r="BF850" s="42">
        <f t="shared" si="148"/>
        <v>0</v>
      </c>
      <c r="BG850" s="42">
        <f t="shared" si="149"/>
        <v>0</v>
      </c>
      <c r="BH850" s="42">
        <f t="shared" si="150"/>
        <v>0</v>
      </c>
      <c r="BI850" s="42">
        <f t="shared" si="151"/>
        <v>0</v>
      </c>
      <c r="BJ850" s="42">
        <f t="shared" si="152"/>
        <v>0</v>
      </c>
      <c r="BK850" s="42">
        <f t="shared" si="153"/>
        <v>8</v>
      </c>
    </row>
    <row r="851" spans="1:63" ht="27" customHeight="1">
      <c r="A851" s="222">
        <f t="shared" si="154"/>
        <v>849</v>
      </c>
      <c r="B851" s="223"/>
      <c r="C851" s="250">
        <v>3763</v>
      </c>
      <c r="D851" s="225" t="s">
        <v>4975</v>
      </c>
      <c r="E851" s="286" t="s">
        <v>4976</v>
      </c>
      <c r="F851" s="252" t="s">
        <v>1663</v>
      </c>
      <c r="G851" s="253" t="s">
        <v>4977</v>
      </c>
      <c r="H851" s="229" t="s">
        <v>4978</v>
      </c>
      <c r="I851" s="230" t="s">
        <v>4979</v>
      </c>
      <c r="J851" s="254" t="s">
        <v>173</v>
      </c>
      <c r="K851" s="255">
        <v>32131</v>
      </c>
      <c r="L851" s="233" t="s">
        <v>174</v>
      </c>
      <c r="M851" s="256">
        <v>43762</v>
      </c>
      <c r="N851" s="256"/>
      <c r="O851" s="224"/>
      <c r="P851" s="222" t="s">
        <v>3633</v>
      </c>
      <c r="Q851" s="222" t="s">
        <v>244</v>
      </c>
      <c r="R851" s="224" t="s">
        <v>177</v>
      </c>
      <c r="S851" s="224" t="s">
        <v>178</v>
      </c>
      <c r="T851" s="235"/>
      <c r="U851" s="257"/>
      <c r="V851" s="258" t="s">
        <v>179</v>
      </c>
      <c r="W851" s="258" t="s">
        <v>179</v>
      </c>
      <c r="X851" s="259"/>
      <c r="Y851" s="286" t="s">
        <v>4980</v>
      </c>
      <c r="Z851" s="261"/>
      <c r="AA851" s="261" t="s">
        <v>181</v>
      </c>
      <c r="AB851" s="258"/>
      <c r="AC851" s="280"/>
      <c r="AD851" s="271"/>
      <c r="AE851" s="271"/>
      <c r="AF851" s="272"/>
      <c r="AG851" s="270"/>
      <c r="AH851" s="260"/>
      <c r="AI851" s="260"/>
      <c r="AJ851" s="258" t="s">
        <v>198</v>
      </c>
      <c r="AK851" s="258" t="s">
        <v>185</v>
      </c>
      <c r="AL851" s="258" t="s">
        <v>185</v>
      </c>
      <c r="AM851" s="244" t="s">
        <v>3854</v>
      </c>
      <c r="AN851" s="20">
        <v>182</v>
      </c>
      <c r="AO851" s="20">
        <v>0</v>
      </c>
      <c r="AP851" s="20">
        <v>20</v>
      </c>
      <c r="AQ851" s="20">
        <v>0</v>
      </c>
      <c r="AR851" s="20">
        <v>0</v>
      </c>
      <c r="AS851" s="20">
        <v>7</v>
      </c>
      <c r="AT851" s="20">
        <v>10</v>
      </c>
      <c r="AU851" s="300">
        <f t="shared" si="144"/>
        <v>219</v>
      </c>
      <c r="AV851" s="20">
        <v>190</v>
      </c>
      <c r="AW851" s="20">
        <v>0</v>
      </c>
      <c r="AX851" s="20">
        <v>20</v>
      </c>
      <c r="AY851" s="20">
        <v>0</v>
      </c>
      <c r="AZ851" s="20">
        <v>0</v>
      </c>
      <c r="BA851" s="20">
        <v>7</v>
      </c>
      <c r="BB851" s="20">
        <v>10</v>
      </c>
      <c r="BC851" s="300">
        <f t="shared" si="145"/>
        <v>227</v>
      </c>
      <c r="BD851" s="42">
        <f t="shared" si="146"/>
        <v>8</v>
      </c>
      <c r="BE851" s="42">
        <f t="shared" si="147"/>
        <v>0</v>
      </c>
      <c r="BF851" s="42">
        <f t="shared" si="148"/>
        <v>0</v>
      </c>
      <c r="BG851" s="42">
        <f t="shared" si="149"/>
        <v>0</v>
      </c>
      <c r="BH851" s="42">
        <f t="shared" si="150"/>
        <v>0</v>
      </c>
      <c r="BI851" s="42">
        <f t="shared" si="151"/>
        <v>0</v>
      </c>
      <c r="BJ851" s="42">
        <f t="shared" si="152"/>
        <v>0</v>
      </c>
      <c r="BK851" s="42">
        <f t="shared" si="153"/>
        <v>8</v>
      </c>
    </row>
    <row r="852" spans="1:63" ht="27" customHeight="1">
      <c r="A852" s="222">
        <f t="shared" si="154"/>
        <v>850</v>
      </c>
      <c r="B852" s="223"/>
      <c r="C852" s="250">
        <v>3762</v>
      </c>
      <c r="D852" s="225" t="s">
        <v>4981</v>
      </c>
      <c r="E852" s="251" t="s">
        <v>4982</v>
      </c>
      <c r="F852" s="252" t="s">
        <v>1225</v>
      </c>
      <c r="G852" s="253" t="s">
        <v>4036</v>
      </c>
      <c r="H852" s="229" t="s">
        <v>4111</v>
      </c>
      <c r="I852" s="230" t="s">
        <v>4037</v>
      </c>
      <c r="J852" s="254" t="s">
        <v>173</v>
      </c>
      <c r="K852" s="255">
        <v>30505</v>
      </c>
      <c r="L852" s="233" t="s">
        <v>174</v>
      </c>
      <c r="M852" s="256">
        <v>43762</v>
      </c>
      <c r="N852" s="256"/>
      <c r="O852" s="224"/>
      <c r="P852" s="222" t="s">
        <v>3633</v>
      </c>
      <c r="Q852" s="222" t="s">
        <v>244</v>
      </c>
      <c r="R852" s="224" t="s">
        <v>177</v>
      </c>
      <c r="S852" s="224" t="s">
        <v>1546</v>
      </c>
      <c r="T852" s="235"/>
      <c r="U852" s="257"/>
      <c r="V852" s="258" t="s">
        <v>179</v>
      </c>
      <c r="W852" s="258" t="s">
        <v>179</v>
      </c>
      <c r="X852" s="259">
        <v>5</v>
      </c>
      <c r="Y852" s="251" t="s">
        <v>4983</v>
      </c>
      <c r="Z852" s="261"/>
      <c r="AA852" s="261" t="s">
        <v>181</v>
      </c>
      <c r="AB852" s="258"/>
      <c r="AC852" s="280" t="s">
        <v>4984</v>
      </c>
      <c r="AD852" s="271"/>
      <c r="AE852" s="271"/>
      <c r="AF852" s="272"/>
      <c r="AG852" s="270"/>
      <c r="AH852" s="260"/>
      <c r="AI852" s="260"/>
      <c r="AJ852" s="258" t="s">
        <v>198</v>
      </c>
      <c r="AK852" s="258" t="s">
        <v>185</v>
      </c>
      <c r="AL852" s="258" t="s">
        <v>185</v>
      </c>
      <c r="AM852" s="244" t="s">
        <v>3854</v>
      </c>
      <c r="AN852" s="20">
        <v>182</v>
      </c>
      <c r="AO852" s="20">
        <v>0</v>
      </c>
      <c r="AP852" s="20">
        <v>20</v>
      </c>
      <c r="AQ852" s="20">
        <v>0</v>
      </c>
      <c r="AR852" s="20">
        <v>0</v>
      </c>
      <c r="AS852" s="20">
        <v>7</v>
      </c>
      <c r="AT852" s="20">
        <v>10</v>
      </c>
      <c r="AU852" s="300">
        <f t="shared" si="144"/>
        <v>219</v>
      </c>
      <c r="AV852" s="20">
        <v>190</v>
      </c>
      <c r="AW852" s="20">
        <v>0</v>
      </c>
      <c r="AX852" s="20">
        <v>20</v>
      </c>
      <c r="AY852" s="20">
        <v>0</v>
      </c>
      <c r="AZ852" s="20">
        <v>0</v>
      </c>
      <c r="BA852" s="20">
        <v>7</v>
      </c>
      <c r="BB852" s="20">
        <v>10</v>
      </c>
      <c r="BC852" s="300">
        <f t="shared" si="145"/>
        <v>227</v>
      </c>
      <c r="BD852" s="42">
        <f t="shared" si="146"/>
        <v>8</v>
      </c>
      <c r="BE852" s="42">
        <f t="shared" si="147"/>
        <v>0</v>
      </c>
      <c r="BF852" s="42">
        <f t="shared" si="148"/>
        <v>0</v>
      </c>
      <c r="BG852" s="42">
        <f t="shared" si="149"/>
        <v>0</v>
      </c>
      <c r="BH852" s="42">
        <f t="shared" si="150"/>
        <v>0</v>
      </c>
      <c r="BI852" s="42">
        <f t="shared" si="151"/>
        <v>0</v>
      </c>
      <c r="BJ852" s="42">
        <f t="shared" si="152"/>
        <v>0</v>
      </c>
      <c r="BK852" s="42">
        <f t="shared" si="153"/>
        <v>8</v>
      </c>
    </row>
    <row r="853" spans="1:63" ht="27" customHeight="1">
      <c r="A853" s="222">
        <f t="shared" si="154"/>
        <v>851</v>
      </c>
      <c r="B853" s="223"/>
      <c r="C853" s="250">
        <v>3760</v>
      </c>
      <c r="D853" s="225" t="s">
        <v>4985</v>
      </c>
      <c r="E853" s="251" t="s">
        <v>4986</v>
      </c>
      <c r="F853" s="252" t="s">
        <v>2136</v>
      </c>
      <c r="G853" s="253" t="s">
        <v>4987</v>
      </c>
      <c r="H853" s="229" t="s">
        <v>4988</v>
      </c>
      <c r="I853" s="230" t="s">
        <v>4989</v>
      </c>
      <c r="J853" s="254" t="s">
        <v>173</v>
      </c>
      <c r="K853" s="255">
        <v>35433</v>
      </c>
      <c r="L853" s="233" t="s">
        <v>174</v>
      </c>
      <c r="M853" s="256">
        <v>43762</v>
      </c>
      <c r="N853" s="256"/>
      <c r="O853" s="224"/>
      <c r="P853" s="222" t="s">
        <v>3633</v>
      </c>
      <c r="Q853" s="222" t="s">
        <v>244</v>
      </c>
      <c r="R853" s="224" t="s">
        <v>177</v>
      </c>
      <c r="S853" s="224" t="s">
        <v>206</v>
      </c>
      <c r="T853" s="235"/>
      <c r="U853" s="257"/>
      <c r="V853" s="258" t="s">
        <v>179</v>
      </c>
      <c r="W853" s="258" t="s">
        <v>179</v>
      </c>
      <c r="X853" s="259">
        <v>7</v>
      </c>
      <c r="Y853" s="251" t="s">
        <v>4990</v>
      </c>
      <c r="Z853" s="261" t="s">
        <v>181</v>
      </c>
      <c r="AA853" s="261"/>
      <c r="AB853" s="258"/>
      <c r="AC853" s="280"/>
      <c r="AD853" s="271"/>
      <c r="AE853" s="271"/>
      <c r="AF853" s="272"/>
      <c r="AG853" s="270"/>
      <c r="AH853" s="260"/>
      <c r="AI853" s="260"/>
      <c r="AJ853" s="258" t="s">
        <v>198</v>
      </c>
      <c r="AK853" s="258" t="s">
        <v>185</v>
      </c>
      <c r="AL853" s="258" t="s">
        <v>185</v>
      </c>
      <c r="AM853" s="244" t="s">
        <v>3854</v>
      </c>
      <c r="AN853" s="20">
        <v>177</v>
      </c>
      <c r="AO853" s="20">
        <v>0</v>
      </c>
      <c r="AP853" s="20">
        <v>20</v>
      </c>
      <c r="AQ853" s="20">
        <v>0</v>
      </c>
      <c r="AR853" s="20">
        <v>0</v>
      </c>
      <c r="AS853" s="20">
        <v>7</v>
      </c>
      <c r="AT853" s="20">
        <v>10</v>
      </c>
      <c r="AU853" s="300">
        <f t="shared" si="144"/>
        <v>214</v>
      </c>
      <c r="AV853" s="20">
        <v>185</v>
      </c>
      <c r="AW853" s="20">
        <v>0</v>
      </c>
      <c r="AX853" s="20">
        <v>20</v>
      </c>
      <c r="AY853" s="20">
        <v>0</v>
      </c>
      <c r="AZ853" s="20">
        <v>0</v>
      </c>
      <c r="BA853" s="20">
        <v>7</v>
      </c>
      <c r="BB853" s="20">
        <v>10</v>
      </c>
      <c r="BC853" s="300">
        <f t="shared" si="145"/>
        <v>222</v>
      </c>
      <c r="BD853" s="42">
        <f t="shared" si="146"/>
        <v>8</v>
      </c>
      <c r="BE853" s="42">
        <f t="shared" si="147"/>
        <v>0</v>
      </c>
      <c r="BF853" s="42">
        <f t="shared" si="148"/>
        <v>0</v>
      </c>
      <c r="BG853" s="42">
        <f t="shared" si="149"/>
        <v>0</v>
      </c>
      <c r="BH853" s="42">
        <f t="shared" si="150"/>
        <v>0</v>
      </c>
      <c r="BI853" s="42">
        <f t="shared" si="151"/>
        <v>0</v>
      </c>
      <c r="BJ853" s="42">
        <f t="shared" si="152"/>
        <v>0</v>
      </c>
      <c r="BK853" s="42">
        <f t="shared" si="153"/>
        <v>8</v>
      </c>
    </row>
    <row r="854" spans="1:63" ht="27" customHeight="1">
      <c r="A854" s="222">
        <f t="shared" si="154"/>
        <v>852</v>
      </c>
      <c r="B854" s="223"/>
      <c r="C854" s="250">
        <v>3710</v>
      </c>
      <c r="D854" s="225" t="s">
        <v>4991</v>
      </c>
      <c r="E854" s="286" t="s">
        <v>4992</v>
      </c>
      <c r="F854" s="252" t="s">
        <v>452</v>
      </c>
      <c r="G854" s="253" t="s">
        <v>249</v>
      </c>
      <c r="H854" s="229" t="s">
        <v>454</v>
      </c>
      <c r="I854" s="230" t="s">
        <v>4993</v>
      </c>
      <c r="J854" s="254" t="s">
        <v>173</v>
      </c>
      <c r="K854" s="255">
        <v>36012</v>
      </c>
      <c r="L854" s="233" t="s">
        <v>174</v>
      </c>
      <c r="M854" s="256">
        <v>43762</v>
      </c>
      <c r="N854" s="256"/>
      <c r="O854" s="224"/>
      <c r="P854" s="222" t="s">
        <v>3935</v>
      </c>
      <c r="Q854" s="222" t="s">
        <v>244</v>
      </c>
      <c r="R854" s="224" t="s">
        <v>177</v>
      </c>
      <c r="S854" s="224" t="s">
        <v>206</v>
      </c>
      <c r="T854" s="235"/>
      <c r="U854" s="257"/>
      <c r="V854" s="258" t="s">
        <v>179</v>
      </c>
      <c r="W854" s="258" t="s">
        <v>179</v>
      </c>
      <c r="X854" s="259">
        <v>5</v>
      </c>
      <c r="Y854" s="251" t="s">
        <v>4994</v>
      </c>
      <c r="Z854" s="261" t="s">
        <v>181</v>
      </c>
      <c r="AA854" s="261"/>
      <c r="AB854" s="258"/>
      <c r="AC854" s="280"/>
      <c r="AD854" s="271"/>
      <c r="AE854" s="271"/>
      <c r="AF854" s="272"/>
      <c r="AG854" s="270"/>
      <c r="AH854" s="260"/>
      <c r="AI854" s="260"/>
      <c r="AJ854" s="258" t="s">
        <v>198</v>
      </c>
      <c r="AK854" s="258" t="s">
        <v>185</v>
      </c>
      <c r="AL854" s="258" t="s">
        <v>185</v>
      </c>
      <c r="AM854" s="244" t="s">
        <v>3854</v>
      </c>
      <c r="AN854" s="20">
        <v>177</v>
      </c>
      <c r="AO854" s="20">
        <v>0</v>
      </c>
      <c r="AP854" s="20">
        <v>20</v>
      </c>
      <c r="AQ854" s="20">
        <v>0</v>
      </c>
      <c r="AR854" s="20">
        <v>0</v>
      </c>
      <c r="AS854" s="20">
        <v>7</v>
      </c>
      <c r="AT854" s="20">
        <v>10</v>
      </c>
      <c r="AU854" s="300">
        <f t="shared" si="144"/>
        <v>214</v>
      </c>
      <c r="AV854" s="20">
        <v>185</v>
      </c>
      <c r="AW854" s="20">
        <v>0</v>
      </c>
      <c r="AX854" s="20">
        <v>20</v>
      </c>
      <c r="AY854" s="20">
        <v>0</v>
      </c>
      <c r="AZ854" s="20">
        <v>0</v>
      </c>
      <c r="BA854" s="20">
        <v>7</v>
      </c>
      <c r="BB854" s="20">
        <v>10</v>
      </c>
      <c r="BC854" s="300">
        <f t="shared" si="145"/>
        <v>222</v>
      </c>
      <c r="BD854" s="42">
        <f t="shared" si="146"/>
        <v>8</v>
      </c>
      <c r="BE854" s="42">
        <f t="shared" si="147"/>
        <v>0</v>
      </c>
      <c r="BF854" s="42">
        <f t="shared" si="148"/>
        <v>0</v>
      </c>
      <c r="BG854" s="42">
        <f t="shared" si="149"/>
        <v>0</v>
      </c>
      <c r="BH854" s="42">
        <f t="shared" si="150"/>
        <v>0</v>
      </c>
      <c r="BI854" s="42">
        <f t="shared" si="151"/>
        <v>0</v>
      </c>
      <c r="BJ854" s="42">
        <f t="shared" si="152"/>
        <v>0</v>
      </c>
      <c r="BK854" s="42">
        <f t="shared" si="153"/>
        <v>8</v>
      </c>
    </row>
    <row r="855" spans="1:63" ht="27" customHeight="1">
      <c r="A855" s="222">
        <f t="shared" si="154"/>
        <v>853</v>
      </c>
      <c r="B855" s="223"/>
      <c r="C855" s="250">
        <v>3709</v>
      </c>
      <c r="D855" s="225" t="s">
        <v>4995</v>
      </c>
      <c r="E855" s="251" t="s">
        <v>4996</v>
      </c>
      <c r="F855" s="252" t="s">
        <v>4997</v>
      </c>
      <c r="G855" s="253" t="s">
        <v>4998</v>
      </c>
      <c r="H855" s="229" t="s">
        <v>4999</v>
      </c>
      <c r="I855" s="230" t="s">
        <v>5000</v>
      </c>
      <c r="J855" s="254" t="s">
        <v>173</v>
      </c>
      <c r="K855" s="255">
        <v>37500</v>
      </c>
      <c r="L855" s="233" t="s">
        <v>174</v>
      </c>
      <c r="M855" s="256">
        <v>43762</v>
      </c>
      <c r="N855" s="256"/>
      <c r="O855" s="224"/>
      <c r="P855" s="222" t="s">
        <v>3935</v>
      </c>
      <c r="Q855" s="222" t="s">
        <v>244</v>
      </c>
      <c r="R855" s="224" t="s">
        <v>177</v>
      </c>
      <c r="S855" s="224" t="s">
        <v>428</v>
      </c>
      <c r="T855" s="235"/>
      <c r="U855" s="257"/>
      <c r="V855" s="258" t="s">
        <v>179</v>
      </c>
      <c r="W855" s="258" t="s">
        <v>179</v>
      </c>
      <c r="X855" s="259">
        <v>6</v>
      </c>
      <c r="Y855" s="251" t="s">
        <v>5001</v>
      </c>
      <c r="Z855" s="261" t="s">
        <v>181</v>
      </c>
      <c r="AA855" s="261"/>
      <c r="AB855" s="258"/>
      <c r="AC855" s="280"/>
      <c r="AD855" s="271"/>
      <c r="AE855" s="271"/>
      <c r="AF855" s="272"/>
      <c r="AG855" s="270"/>
      <c r="AH855" s="260"/>
      <c r="AI855" s="260"/>
      <c r="AJ855" s="258" t="s">
        <v>198</v>
      </c>
      <c r="AK855" s="258" t="s">
        <v>185</v>
      </c>
      <c r="AL855" s="258" t="s">
        <v>185</v>
      </c>
      <c r="AM855" s="244" t="s">
        <v>3854</v>
      </c>
      <c r="AN855" s="20">
        <v>182</v>
      </c>
      <c r="AO855" s="20">
        <v>0</v>
      </c>
      <c r="AP855" s="20">
        <v>20</v>
      </c>
      <c r="AQ855" s="20">
        <v>0</v>
      </c>
      <c r="AR855" s="20">
        <v>0</v>
      </c>
      <c r="AS855" s="20">
        <v>7</v>
      </c>
      <c r="AT855" s="20">
        <v>10</v>
      </c>
      <c r="AU855" s="300">
        <f t="shared" si="144"/>
        <v>219</v>
      </c>
      <c r="AV855" s="20">
        <v>190</v>
      </c>
      <c r="AW855" s="20">
        <v>0</v>
      </c>
      <c r="AX855" s="20">
        <v>20</v>
      </c>
      <c r="AY855" s="20">
        <v>0</v>
      </c>
      <c r="AZ855" s="20">
        <v>0</v>
      </c>
      <c r="BA855" s="20">
        <v>7</v>
      </c>
      <c r="BB855" s="20">
        <v>10</v>
      </c>
      <c r="BC855" s="300">
        <f t="shared" si="145"/>
        <v>227</v>
      </c>
      <c r="BD855" s="42">
        <f t="shared" si="146"/>
        <v>8</v>
      </c>
      <c r="BE855" s="42">
        <f t="shared" si="147"/>
        <v>0</v>
      </c>
      <c r="BF855" s="42">
        <f t="shared" si="148"/>
        <v>0</v>
      </c>
      <c r="BG855" s="42">
        <f t="shared" si="149"/>
        <v>0</v>
      </c>
      <c r="BH855" s="42">
        <f t="shared" si="150"/>
        <v>0</v>
      </c>
      <c r="BI855" s="42">
        <f t="shared" si="151"/>
        <v>0</v>
      </c>
      <c r="BJ855" s="42">
        <f t="shared" si="152"/>
        <v>0</v>
      </c>
      <c r="BK855" s="42">
        <f t="shared" si="153"/>
        <v>8</v>
      </c>
    </row>
    <row r="856" spans="1:63" ht="27" customHeight="1">
      <c r="A856" s="222">
        <f t="shared" si="154"/>
        <v>854</v>
      </c>
      <c r="B856" s="223"/>
      <c r="C856" s="250">
        <v>3707</v>
      </c>
      <c r="D856" s="268">
        <v>0</v>
      </c>
      <c r="E856" s="251" t="s">
        <v>5002</v>
      </c>
      <c r="F856" s="252" t="s">
        <v>958</v>
      </c>
      <c r="G856" s="253" t="s">
        <v>5003</v>
      </c>
      <c r="H856" s="229" t="s">
        <v>959</v>
      </c>
      <c r="I856" s="230" t="s">
        <v>5004</v>
      </c>
      <c r="J856" s="254" t="s">
        <v>173</v>
      </c>
      <c r="K856" s="255">
        <v>29331</v>
      </c>
      <c r="L856" s="233" t="s">
        <v>174</v>
      </c>
      <c r="M856" s="256">
        <v>43762</v>
      </c>
      <c r="N856" s="256"/>
      <c r="O856" s="224"/>
      <c r="P856" s="222" t="s">
        <v>3633</v>
      </c>
      <c r="Q856" s="222" t="s">
        <v>244</v>
      </c>
      <c r="R856" s="224" t="s">
        <v>177</v>
      </c>
      <c r="S856" s="224" t="s">
        <v>214</v>
      </c>
      <c r="T856" s="235"/>
      <c r="U856" s="257"/>
      <c r="V856" s="258" t="s">
        <v>179</v>
      </c>
      <c r="W856" s="258" t="s">
        <v>179</v>
      </c>
      <c r="X856" s="259">
        <v>4</v>
      </c>
      <c r="Y856" s="251" t="s">
        <v>5005</v>
      </c>
      <c r="Z856" s="261" t="s">
        <v>181</v>
      </c>
      <c r="AA856" s="261"/>
      <c r="AB856" s="258"/>
      <c r="AC856" s="280"/>
      <c r="AD856" s="271"/>
      <c r="AE856" s="271"/>
      <c r="AF856" s="272"/>
      <c r="AG856" s="270"/>
      <c r="AH856" s="260"/>
      <c r="AI856" s="260"/>
      <c r="AJ856" s="258" t="s">
        <v>198</v>
      </c>
      <c r="AK856" s="258" t="s">
        <v>185</v>
      </c>
      <c r="AL856" s="258" t="s">
        <v>185</v>
      </c>
      <c r="AM856" s="244" t="s">
        <v>3854</v>
      </c>
      <c r="AN856" s="20">
        <v>182</v>
      </c>
      <c r="AO856" s="20">
        <v>0</v>
      </c>
      <c r="AP856" s="20">
        <v>20</v>
      </c>
      <c r="AQ856" s="20">
        <v>0</v>
      </c>
      <c r="AR856" s="20">
        <v>0</v>
      </c>
      <c r="AS856" s="20">
        <v>7</v>
      </c>
      <c r="AT856" s="20">
        <v>10</v>
      </c>
      <c r="AU856" s="300">
        <f t="shared" si="144"/>
        <v>219</v>
      </c>
      <c r="AV856" s="20">
        <v>190</v>
      </c>
      <c r="AW856" s="20">
        <v>0</v>
      </c>
      <c r="AX856" s="20">
        <v>20</v>
      </c>
      <c r="AY856" s="20">
        <v>0</v>
      </c>
      <c r="AZ856" s="20">
        <v>0</v>
      </c>
      <c r="BA856" s="20">
        <v>7</v>
      </c>
      <c r="BB856" s="20">
        <v>10</v>
      </c>
      <c r="BC856" s="300">
        <f t="shared" si="145"/>
        <v>227</v>
      </c>
      <c r="BD856" s="42">
        <f t="shared" si="146"/>
        <v>8</v>
      </c>
      <c r="BE856" s="42">
        <f t="shared" si="147"/>
        <v>0</v>
      </c>
      <c r="BF856" s="42">
        <f t="shared" si="148"/>
        <v>0</v>
      </c>
      <c r="BG856" s="42">
        <f t="shared" si="149"/>
        <v>0</v>
      </c>
      <c r="BH856" s="42">
        <f t="shared" si="150"/>
        <v>0</v>
      </c>
      <c r="BI856" s="42">
        <f t="shared" si="151"/>
        <v>0</v>
      </c>
      <c r="BJ856" s="42">
        <f t="shared" si="152"/>
        <v>0</v>
      </c>
      <c r="BK856" s="42">
        <f t="shared" si="153"/>
        <v>8</v>
      </c>
    </row>
    <row r="857" spans="1:63" ht="27" customHeight="1">
      <c r="A857" s="222">
        <f t="shared" si="154"/>
        <v>855</v>
      </c>
      <c r="B857" s="223"/>
      <c r="C857" s="250">
        <v>3715</v>
      </c>
      <c r="D857" s="268">
        <v>0</v>
      </c>
      <c r="E857" s="286" t="s">
        <v>291</v>
      </c>
      <c r="F857" s="252" t="s">
        <v>5006</v>
      </c>
      <c r="G857" s="253" t="s">
        <v>2196</v>
      </c>
      <c r="H857" s="229">
        <v>0</v>
      </c>
      <c r="I857" s="230">
        <v>0</v>
      </c>
      <c r="J857" s="254" t="s">
        <v>173</v>
      </c>
      <c r="K857" s="255">
        <v>36771</v>
      </c>
      <c r="L857" s="233" t="s">
        <v>174</v>
      </c>
      <c r="M857" s="256">
        <v>43762</v>
      </c>
      <c r="N857" s="256"/>
      <c r="O857" s="224"/>
      <c r="P857" s="222" t="s">
        <v>3935</v>
      </c>
      <c r="Q857" s="222" t="s">
        <v>244</v>
      </c>
      <c r="R857" s="224" t="s">
        <v>177</v>
      </c>
      <c r="S857" s="224" t="s">
        <v>206</v>
      </c>
      <c r="T857" s="235"/>
      <c r="U857" s="257"/>
      <c r="V857" s="258" t="s">
        <v>179</v>
      </c>
      <c r="W857" s="258">
        <v>362</v>
      </c>
      <c r="X857" s="259">
        <v>7</v>
      </c>
      <c r="Y857" s="251" t="s">
        <v>5007</v>
      </c>
      <c r="Z857" s="261" t="s">
        <v>181</v>
      </c>
      <c r="AA857" s="261"/>
      <c r="AB857" s="258"/>
      <c r="AC857" s="280"/>
      <c r="AD857" s="271"/>
      <c r="AE857" s="271"/>
      <c r="AF857" s="272"/>
      <c r="AG857" s="270"/>
      <c r="AH857" s="260"/>
      <c r="AI857" s="260"/>
      <c r="AJ857" s="258" t="s">
        <v>198</v>
      </c>
      <c r="AK857" s="258" t="s">
        <v>185</v>
      </c>
      <c r="AL857" s="258" t="s">
        <v>185</v>
      </c>
      <c r="AM857" s="244" t="s">
        <v>3854</v>
      </c>
      <c r="AN857" s="20">
        <v>177</v>
      </c>
      <c r="AO857" s="20">
        <v>0</v>
      </c>
      <c r="AP857" s="20">
        <v>20</v>
      </c>
      <c r="AQ857" s="20">
        <v>0</v>
      </c>
      <c r="AR857" s="20">
        <v>0</v>
      </c>
      <c r="AS857" s="20">
        <v>7</v>
      </c>
      <c r="AT857" s="20">
        <v>10</v>
      </c>
      <c r="AU857" s="300">
        <f t="shared" si="144"/>
        <v>214</v>
      </c>
      <c r="AV857" s="20">
        <v>185</v>
      </c>
      <c r="AW857" s="20">
        <v>0</v>
      </c>
      <c r="AX857" s="20">
        <v>20</v>
      </c>
      <c r="AY857" s="20">
        <v>0</v>
      </c>
      <c r="AZ857" s="20">
        <v>0</v>
      </c>
      <c r="BA857" s="20">
        <v>7</v>
      </c>
      <c r="BB857" s="20">
        <v>10</v>
      </c>
      <c r="BC857" s="300">
        <f t="shared" si="145"/>
        <v>222</v>
      </c>
      <c r="BD857" s="42">
        <f t="shared" si="146"/>
        <v>8</v>
      </c>
      <c r="BE857" s="42">
        <f t="shared" si="147"/>
        <v>0</v>
      </c>
      <c r="BF857" s="42">
        <f t="shared" si="148"/>
        <v>0</v>
      </c>
      <c r="BG857" s="42">
        <f t="shared" si="149"/>
        <v>0</v>
      </c>
      <c r="BH857" s="42">
        <f t="shared" si="150"/>
        <v>0</v>
      </c>
      <c r="BI857" s="42">
        <f t="shared" si="151"/>
        <v>0</v>
      </c>
      <c r="BJ857" s="42">
        <f t="shared" si="152"/>
        <v>0</v>
      </c>
      <c r="BK857" s="42">
        <f t="shared" si="153"/>
        <v>8</v>
      </c>
    </row>
    <row r="858" spans="1:63" ht="27" customHeight="1">
      <c r="A858" s="222">
        <f t="shared" si="154"/>
        <v>856</v>
      </c>
      <c r="B858" s="223"/>
      <c r="C858" s="250">
        <v>3712</v>
      </c>
      <c r="D858" s="225" t="s">
        <v>5008</v>
      </c>
      <c r="E858" s="251" t="s">
        <v>5009</v>
      </c>
      <c r="F858" s="252" t="s">
        <v>535</v>
      </c>
      <c r="G858" s="253" t="s">
        <v>3593</v>
      </c>
      <c r="H858" s="229" t="s">
        <v>5010</v>
      </c>
      <c r="I858" s="230" t="s">
        <v>3595</v>
      </c>
      <c r="J858" s="254" t="s">
        <v>173</v>
      </c>
      <c r="K858" s="255">
        <v>34528</v>
      </c>
      <c r="L858" s="233" t="s">
        <v>174</v>
      </c>
      <c r="M858" s="256">
        <v>43762</v>
      </c>
      <c r="N858" s="256"/>
      <c r="O858" s="224"/>
      <c r="P858" s="222" t="s">
        <v>3644</v>
      </c>
      <c r="Q858" s="222" t="s">
        <v>244</v>
      </c>
      <c r="R858" s="224" t="s">
        <v>177</v>
      </c>
      <c r="S858" s="224" t="s">
        <v>251</v>
      </c>
      <c r="T858" s="235"/>
      <c r="U858" s="257"/>
      <c r="V858" s="258" t="s">
        <v>179</v>
      </c>
      <c r="W858" s="258" t="s">
        <v>179</v>
      </c>
      <c r="X858" s="259">
        <v>8</v>
      </c>
      <c r="Y858" s="251" t="s">
        <v>5011</v>
      </c>
      <c r="Z858" s="261"/>
      <c r="AA858" s="261" t="s">
        <v>181</v>
      </c>
      <c r="AB858" s="258"/>
      <c r="AC858" s="280"/>
      <c r="AD858" s="271" t="s">
        <v>183</v>
      </c>
      <c r="AE858" s="271"/>
      <c r="AF858" s="272"/>
      <c r="AG858" s="270"/>
      <c r="AH858" s="260"/>
      <c r="AI858" s="260"/>
      <c r="AJ858" s="258" t="s">
        <v>198</v>
      </c>
      <c r="AK858" s="258" t="s">
        <v>185</v>
      </c>
      <c r="AL858" s="258" t="s">
        <v>185</v>
      </c>
      <c r="AM858" s="244" t="s">
        <v>3854</v>
      </c>
      <c r="AN858" s="20">
        <v>182</v>
      </c>
      <c r="AO858" s="20">
        <v>0</v>
      </c>
      <c r="AP858" s="20">
        <v>20</v>
      </c>
      <c r="AQ858" s="20">
        <v>0</v>
      </c>
      <c r="AR858" s="20">
        <v>0</v>
      </c>
      <c r="AS858" s="20">
        <v>7</v>
      </c>
      <c r="AT858" s="20">
        <v>10</v>
      </c>
      <c r="AU858" s="300">
        <f t="shared" si="144"/>
        <v>219</v>
      </c>
      <c r="AV858" s="20">
        <v>190</v>
      </c>
      <c r="AW858" s="20">
        <v>0</v>
      </c>
      <c r="AX858" s="20">
        <v>20</v>
      </c>
      <c r="AY858" s="20">
        <v>0</v>
      </c>
      <c r="AZ858" s="20">
        <v>0</v>
      </c>
      <c r="BA858" s="20">
        <v>7</v>
      </c>
      <c r="BB858" s="20">
        <v>10</v>
      </c>
      <c r="BC858" s="300">
        <f t="shared" si="145"/>
        <v>227</v>
      </c>
      <c r="BD858" s="42">
        <f t="shared" si="146"/>
        <v>8</v>
      </c>
      <c r="BE858" s="42">
        <f t="shared" si="147"/>
        <v>0</v>
      </c>
      <c r="BF858" s="42">
        <f t="shared" si="148"/>
        <v>0</v>
      </c>
      <c r="BG858" s="42">
        <f t="shared" si="149"/>
        <v>0</v>
      </c>
      <c r="BH858" s="42">
        <f t="shared" si="150"/>
        <v>0</v>
      </c>
      <c r="BI858" s="42">
        <f t="shared" si="151"/>
        <v>0</v>
      </c>
      <c r="BJ858" s="42">
        <f t="shared" si="152"/>
        <v>0</v>
      </c>
      <c r="BK858" s="42">
        <f t="shared" si="153"/>
        <v>8</v>
      </c>
    </row>
    <row r="859" spans="1:63" ht="27" customHeight="1">
      <c r="A859" s="222">
        <f t="shared" si="154"/>
        <v>857</v>
      </c>
      <c r="B859" s="223"/>
      <c r="C859" s="250">
        <v>3713</v>
      </c>
      <c r="D859" s="268">
        <v>0</v>
      </c>
      <c r="E859" s="251" t="s">
        <v>291</v>
      </c>
      <c r="F859" s="252" t="s">
        <v>5012</v>
      </c>
      <c r="G859" s="253" t="s">
        <v>1804</v>
      </c>
      <c r="H859" s="229">
        <v>0</v>
      </c>
      <c r="I859" s="230">
        <v>0</v>
      </c>
      <c r="J859" s="254" t="s">
        <v>173</v>
      </c>
      <c r="K859" s="255">
        <v>36988</v>
      </c>
      <c r="L859" s="233" t="s">
        <v>174</v>
      </c>
      <c r="M859" s="256">
        <v>43762</v>
      </c>
      <c r="N859" s="256"/>
      <c r="O859" s="224"/>
      <c r="P859" s="222" t="s">
        <v>3935</v>
      </c>
      <c r="Q859" s="222" t="s">
        <v>244</v>
      </c>
      <c r="R859" s="224" t="s">
        <v>177</v>
      </c>
      <c r="S859" s="224" t="s">
        <v>251</v>
      </c>
      <c r="T859" s="235"/>
      <c r="U859" s="257"/>
      <c r="V859" s="258" t="s">
        <v>179</v>
      </c>
      <c r="W859" s="258">
        <v>235</v>
      </c>
      <c r="X859" s="259">
        <v>10</v>
      </c>
      <c r="Y859" s="251" t="s">
        <v>5013</v>
      </c>
      <c r="Z859" s="261" t="s">
        <v>181</v>
      </c>
      <c r="AA859" s="261"/>
      <c r="AB859" s="258"/>
      <c r="AC859" s="280"/>
      <c r="AD859" s="271"/>
      <c r="AE859" s="271"/>
      <c r="AF859" s="272"/>
      <c r="AG859" s="270"/>
      <c r="AH859" s="260"/>
      <c r="AI859" s="260"/>
      <c r="AJ859" s="258" t="s">
        <v>198</v>
      </c>
      <c r="AK859" s="258" t="s">
        <v>185</v>
      </c>
      <c r="AL859" s="258" t="s">
        <v>185</v>
      </c>
      <c r="AM859" s="244" t="s">
        <v>3854</v>
      </c>
      <c r="AN859" s="20">
        <v>177</v>
      </c>
      <c r="AO859" s="20">
        <v>0</v>
      </c>
      <c r="AP859" s="20">
        <v>20</v>
      </c>
      <c r="AQ859" s="20">
        <v>0</v>
      </c>
      <c r="AR859" s="20">
        <v>0</v>
      </c>
      <c r="AS859" s="20">
        <v>7</v>
      </c>
      <c r="AT859" s="20">
        <v>10</v>
      </c>
      <c r="AU859" s="300">
        <f t="shared" si="144"/>
        <v>214</v>
      </c>
      <c r="AV859" s="20">
        <v>185</v>
      </c>
      <c r="AW859" s="20">
        <v>0</v>
      </c>
      <c r="AX859" s="20">
        <v>20</v>
      </c>
      <c r="AY859" s="20">
        <v>0</v>
      </c>
      <c r="AZ859" s="20">
        <v>0</v>
      </c>
      <c r="BA859" s="20">
        <v>7</v>
      </c>
      <c r="BB859" s="20">
        <v>10</v>
      </c>
      <c r="BC859" s="300">
        <f t="shared" si="145"/>
        <v>222</v>
      </c>
      <c r="BD859" s="42">
        <f t="shared" si="146"/>
        <v>8</v>
      </c>
      <c r="BE859" s="42">
        <f t="shared" si="147"/>
        <v>0</v>
      </c>
      <c r="BF859" s="42">
        <f t="shared" si="148"/>
        <v>0</v>
      </c>
      <c r="BG859" s="42">
        <f t="shared" si="149"/>
        <v>0</v>
      </c>
      <c r="BH859" s="42">
        <f t="shared" si="150"/>
        <v>0</v>
      </c>
      <c r="BI859" s="42">
        <f t="shared" si="151"/>
        <v>0</v>
      </c>
      <c r="BJ859" s="42">
        <f t="shared" si="152"/>
        <v>0</v>
      </c>
      <c r="BK859" s="42">
        <f t="shared" si="153"/>
        <v>8</v>
      </c>
    </row>
    <row r="860" spans="1:63" ht="27" customHeight="1">
      <c r="A860" s="222">
        <f t="shared" si="154"/>
        <v>858</v>
      </c>
      <c r="B860" s="223"/>
      <c r="C860" s="250">
        <v>3714</v>
      </c>
      <c r="D860" s="225" t="s">
        <v>5014</v>
      </c>
      <c r="E860" s="251" t="s">
        <v>5015</v>
      </c>
      <c r="F860" s="252" t="s">
        <v>5016</v>
      </c>
      <c r="G860" s="253" t="s">
        <v>1320</v>
      </c>
      <c r="H860" s="229" t="s">
        <v>5017</v>
      </c>
      <c r="I860" s="230" t="s">
        <v>1867</v>
      </c>
      <c r="J860" s="254" t="s">
        <v>173</v>
      </c>
      <c r="K860" s="255">
        <v>30639</v>
      </c>
      <c r="L860" s="233" t="s">
        <v>174</v>
      </c>
      <c r="M860" s="256">
        <v>43762</v>
      </c>
      <c r="N860" s="256"/>
      <c r="O860" s="224"/>
      <c r="P860" s="222" t="s">
        <v>3935</v>
      </c>
      <c r="Q860" s="222" t="s">
        <v>244</v>
      </c>
      <c r="R860" s="224" t="s">
        <v>177</v>
      </c>
      <c r="S860" s="224" t="s">
        <v>251</v>
      </c>
      <c r="T860" s="235"/>
      <c r="U860" s="257"/>
      <c r="V860" s="258" t="s">
        <v>179</v>
      </c>
      <c r="W860" s="258" t="s">
        <v>179</v>
      </c>
      <c r="X860" s="259">
        <v>2</v>
      </c>
      <c r="Y860" s="251" t="s">
        <v>5018</v>
      </c>
      <c r="Z860" s="261"/>
      <c r="AA860" s="261" t="s">
        <v>181</v>
      </c>
      <c r="AB860" s="258"/>
      <c r="AC860" s="280"/>
      <c r="AD860" s="271" t="s">
        <v>133</v>
      </c>
      <c r="AE860" s="271" t="s">
        <v>183</v>
      </c>
      <c r="AF860" s="272" t="s">
        <v>184</v>
      </c>
      <c r="AG860" s="272" t="s">
        <v>184</v>
      </c>
      <c r="AH860" s="260"/>
      <c r="AI860" s="260"/>
      <c r="AJ860" s="258" t="s">
        <v>198</v>
      </c>
      <c r="AK860" s="258" t="s">
        <v>185</v>
      </c>
      <c r="AL860" s="258" t="s">
        <v>185</v>
      </c>
      <c r="AM860" s="244" t="s">
        <v>4825</v>
      </c>
      <c r="AN860" s="20">
        <v>182</v>
      </c>
      <c r="AO860" s="20">
        <v>0</v>
      </c>
      <c r="AP860" s="20">
        <v>0</v>
      </c>
      <c r="AQ860" s="20">
        <v>0</v>
      </c>
      <c r="AR860" s="20">
        <v>0</v>
      </c>
      <c r="AS860" s="20">
        <v>7</v>
      </c>
      <c r="AT860" s="20">
        <v>10</v>
      </c>
      <c r="AU860" s="300">
        <f t="shared" si="144"/>
        <v>199</v>
      </c>
      <c r="AV860" s="20">
        <v>190</v>
      </c>
      <c r="AW860" s="20">
        <v>0</v>
      </c>
      <c r="AX860" s="20">
        <v>0</v>
      </c>
      <c r="AY860" s="20">
        <v>0</v>
      </c>
      <c r="AZ860" s="20">
        <v>0</v>
      </c>
      <c r="BA860" s="20">
        <v>7</v>
      </c>
      <c r="BB860" s="20">
        <v>10</v>
      </c>
      <c r="BC860" s="300">
        <f t="shared" si="145"/>
        <v>207</v>
      </c>
      <c r="BD860" s="42">
        <f t="shared" si="146"/>
        <v>8</v>
      </c>
      <c r="BE860" s="42">
        <f t="shared" si="147"/>
        <v>0</v>
      </c>
      <c r="BF860" s="42">
        <f t="shared" si="148"/>
        <v>0</v>
      </c>
      <c r="BG860" s="42">
        <f t="shared" si="149"/>
        <v>0</v>
      </c>
      <c r="BH860" s="42">
        <f t="shared" si="150"/>
        <v>0</v>
      </c>
      <c r="BI860" s="42">
        <f t="shared" si="151"/>
        <v>0</v>
      </c>
      <c r="BJ860" s="42">
        <f t="shared" si="152"/>
        <v>0</v>
      </c>
      <c r="BK860" s="42">
        <f t="shared" si="153"/>
        <v>8</v>
      </c>
    </row>
    <row r="861" spans="1:63" ht="27" customHeight="1">
      <c r="A861" s="222">
        <f t="shared" si="154"/>
        <v>859</v>
      </c>
      <c r="B861" s="223"/>
      <c r="C861" s="250">
        <v>3683</v>
      </c>
      <c r="D861" s="225" t="s">
        <v>5019</v>
      </c>
      <c r="E861" s="251" t="s">
        <v>5020</v>
      </c>
      <c r="F861" s="252" t="s">
        <v>4762</v>
      </c>
      <c r="G861" s="253" t="s">
        <v>5021</v>
      </c>
      <c r="H861" s="229" t="s">
        <v>5022</v>
      </c>
      <c r="I861" s="230" t="s">
        <v>5023</v>
      </c>
      <c r="J861" s="254" t="s">
        <v>173</v>
      </c>
      <c r="K861" s="255">
        <v>30390</v>
      </c>
      <c r="L861" s="233" t="s">
        <v>174</v>
      </c>
      <c r="M861" s="256">
        <v>43762</v>
      </c>
      <c r="N861" s="256"/>
      <c r="O861" s="224"/>
      <c r="P861" s="222" t="s">
        <v>3629</v>
      </c>
      <c r="Q861" s="222" t="s">
        <v>244</v>
      </c>
      <c r="R861" s="224" t="s">
        <v>177</v>
      </c>
      <c r="S861" s="224" t="s">
        <v>178</v>
      </c>
      <c r="T861" s="235"/>
      <c r="U861" s="257"/>
      <c r="V861" s="258" t="s">
        <v>179</v>
      </c>
      <c r="W861" s="258" t="s">
        <v>179</v>
      </c>
      <c r="X861" s="259">
        <v>5</v>
      </c>
      <c r="Y861" s="251" t="s">
        <v>5024</v>
      </c>
      <c r="Z861" s="261" t="s">
        <v>181</v>
      </c>
      <c r="AA861" s="261"/>
      <c r="AB861" s="258"/>
      <c r="AC861" s="280"/>
      <c r="AD861" s="271"/>
      <c r="AE861" s="271"/>
      <c r="AF861" s="272"/>
      <c r="AG861" s="270"/>
      <c r="AH861" s="260"/>
      <c r="AI861" s="260"/>
      <c r="AJ861" s="258" t="s">
        <v>198</v>
      </c>
      <c r="AK861" s="258" t="s">
        <v>185</v>
      </c>
      <c r="AL861" s="258" t="s">
        <v>185</v>
      </c>
      <c r="AM861" s="244" t="s">
        <v>3854</v>
      </c>
      <c r="AN861" s="20">
        <v>177</v>
      </c>
      <c r="AO861" s="20">
        <v>0</v>
      </c>
      <c r="AP861" s="20">
        <v>20</v>
      </c>
      <c r="AQ861" s="20">
        <v>0</v>
      </c>
      <c r="AR861" s="20">
        <v>0</v>
      </c>
      <c r="AS861" s="20">
        <v>7</v>
      </c>
      <c r="AT861" s="20">
        <v>10</v>
      </c>
      <c r="AU861" s="300">
        <f t="shared" si="144"/>
        <v>214</v>
      </c>
      <c r="AV861" s="20">
        <v>185</v>
      </c>
      <c r="AW861" s="20">
        <v>0</v>
      </c>
      <c r="AX861" s="20">
        <v>20</v>
      </c>
      <c r="AY861" s="20">
        <v>0</v>
      </c>
      <c r="AZ861" s="20">
        <v>0</v>
      </c>
      <c r="BA861" s="20">
        <v>7</v>
      </c>
      <c r="BB861" s="20">
        <v>10</v>
      </c>
      <c r="BC861" s="300">
        <f t="shared" si="145"/>
        <v>222</v>
      </c>
      <c r="BD861" s="42">
        <f t="shared" si="146"/>
        <v>8</v>
      </c>
      <c r="BE861" s="42">
        <f t="shared" si="147"/>
        <v>0</v>
      </c>
      <c r="BF861" s="42">
        <f t="shared" si="148"/>
        <v>0</v>
      </c>
      <c r="BG861" s="42">
        <f t="shared" si="149"/>
        <v>0</v>
      </c>
      <c r="BH861" s="42">
        <f t="shared" si="150"/>
        <v>0</v>
      </c>
      <c r="BI861" s="42">
        <f t="shared" si="151"/>
        <v>0</v>
      </c>
      <c r="BJ861" s="42">
        <f t="shared" si="152"/>
        <v>0</v>
      </c>
      <c r="BK861" s="42">
        <f t="shared" si="153"/>
        <v>8</v>
      </c>
    </row>
    <row r="862" spans="1:63" ht="27" customHeight="1">
      <c r="A862" s="222">
        <f t="shared" si="154"/>
        <v>860</v>
      </c>
      <c r="B862" s="223"/>
      <c r="C862" s="250">
        <v>3750</v>
      </c>
      <c r="D862" s="225" t="s">
        <v>5025</v>
      </c>
      <c r="E862" s="286" t="s">
        <v>5026</v>
      </c>
      <c r="F862" s="252" t="s">
        <v>1225</v>
      </c>
      <c r="G862" s="253" t="s">
        <v>5027</v>
      </c>
      <c r="H862" s="229" t="s">
        <v>5028</v>
      </c>
      <c r="I862" s="230" t="s">
        <v>5029</v>
      </c>
      <c r="J862" s="254" t="s">
        <v>173</v>
      </c>
      <c r="K862" s="255">
        <v>31169</v>
      </c>
      <c r="L862" s="233" t="s">
        <v>174</v>
      </c>
      <c r="M862" s="256">
        <v>43762</v>
      </c>
      <c r="N862" s="256"/>
      <c r="O862" s="224"/>
      <c r="P862" s="222" t="s">
        <v>3633</v>
      </c>
      <c r="Q862" s="222" t="s">
        <v>244</v>
      </c>
      <c r="R862" s="224" t="s">
        <v>177</v>
      </c>
      <c r="S862" s="224" t="s">
        <v>223</v>
      </c>
      <c r="T862" s="235"/>
      <c r="U862" s="257"/>
      <c r="V862" s="258" t="s">
        <v>179</v>
      </c>
      <c r="W862" s="258" t="s">
        <v>179</v>
      </c>
      <c r="X862" s="259">
        <v>5</v>
      </c>
      <c r="Y862" s="251" t="s">
        <v>5030</v>
      </c>
      <c r="Z862" s="261"/>
      <c r="AA862" s="261" t="s">
        <v>181</v>
      </c>
      <c r="AB862" s="258"/>
      <c r="AC862" s="280"/>
      <c r="AD862" s="271"/>
      <c r="AE862" s="271"/>
      <c r="AF862" s="272"/>
      <c r="AG862" s="270"/>
      <c r="AH862" s="260"/>
      <c r="AI862" s="260"/>
      <c r="AJ862" s="258" t="s">
        <v>198</v>
      </c>
      <c r="AK862" s="258" t="s">
        <v>185</v>
      </c>
      <c r="AL862" s="258" t="s">
        <v>185</v>
      </c>
      <c r="AM862" s="244" t="s">
        <v>3854</v>
      </c>
      <c r="AN862" s="20">
        <v>182</v>
      </c>
      <c r="AO862" s="20">
        <v>0</v>
      </c>
      <c r="AP862" s="20">
        <v>20</v>
      </c>
      <c r="AQ862" s="20">
        <v>0</v>
      </c>
      <c r="AR862" s="20">
        <v>0</v>
      </c>
      <c r="AS862" s="20">
        <v>7</v>
      </c>
      <c r="AT862" s="20">
        <v>10</v>
      </c>
      <c r="AU862" s="300">
        <f t="shared" si="144"/>
        <v>219</v>
      </c>
      <c r="AV862" s="20">
        <v>190</v>
      </c>
      <c r="AW862" s="20">
        <v>0</v>
      </c>
      <c r="AX862" s="20">
        <v>20</v>
      </c>
      <c r="AY862" s="20">
        <v>0</v>
      </c>
      <c r="AZ862" s="20">
        <v>0</v>
      </c>
      <c r="BA862" s="20">
        <v>7</v>
      </c>
      <c r="BB862" s="20">
        <v>10</v>
      </c>
      <c r="BC862" s="300">
        <f t="shared" si="145"/>
        <v>227</v>
      </c>
      <c r="BD862" s="42">
        <f t="shared" si="146"/>
        <v>8</v>
      </c>
      <c r="BE862" s="42">
        <f t="shared" si="147"/>
        <v>0</v>
      </c>
      <c r="BF862" s="42">
        <f t="shared" si="148"/>
        <v>0</v>
      </c>
      <c r="BG862" s="42">
        <f t="shared" si="149"/>
        <v>0</v>
      </c>
      <c r="BH862" s="42">
        <f t="shared" si="150"/>
        <v>0</v>
      </c>
      <c r="BI862" s="42">
        <f t="shared" si="151"/>
        <v>0</v>
      </c>
      <c r="BJ862" s="42">
        <f t="shared" si="152"/>
        <v>0</v>
      </c>
      <c r="BK862" s="42">
        <f t="shared" si="153"/>
        <v>8</v>
      </c>
    </row>
    <row r="863" spans="1:63" ht="27" customHeight="1">
      <c r="A863" s="222">
        <f t="shared" si="154"/>
        <v>861</v>
      </c>
      <c r="B863" s="223"/>
      <c r="C863" s="250">
        <v>3749</v>
      </c>
      <c r="D863" s="225" t="s">
        <v>5031</v>
      </c>
      <c r="E863" s="251" t="s">
        <v>5032</v>
      </c>
      <c r="F863" s="252" t="s">
        <v>4190</v>
      </c>
      <c r="G863" s="253" t="s">
        <v>5027</v>
      </c>
      <c r="H863" s="229" t="s">
        <v>469</v>
      </c>
      <c r="I863" s="230" t="s">
        <v>5029</v>
      </c>
      <c r="J863" s="254" t="s">
        <v>173</v>
      </c>
      <c r="K863" s="255">
        <v>31533</v>
      </c>
      <c r="L863" s="233" t="s">
        <v>174</v>
      </c>
      <c r="M863" s="256">
        <v>43762</v>
      </c>
      <c r="N863" s="256"/>
      <c r="O863" s="224"/>
      <c r="P863" s="222" t="s">
        <v>1380</v>
      </c>
      <c r="Q863" s="222" t="s">
        <v>244</v>
      </c>
      <c r="R863" s="224" t="s">
        <v>177</v>
      </c>
      <c r="S863" s="224" t="s">
        <v>326</v>
      </c>
      <c r="T863" s="235"/>
      <c r="U863" s="257"/>
      <c r="V863" s="258" t="s">
        <v>179</v>
      </c>
      <c r="W863" s="258" t="s">
        <v>179</v>
      </c>
      <c r="X863" s="259"/>
      <c r="Y863" s="251" t="s">
        <v>5033</v>
      </c>
      <c r="Z863" s="261"/>
      <c r="AA863" s="261" t="s">
        <v>181</v>
      </c>
      <c r="AB863" s="258"/>
      <c r="AC863" s="280"/>
      <c r="AD863" s="271"/>
      <c r="AE863" s="271"/>
      <c r="AF863" s="272"/>
      <c r="AG863" s="270"/>
      <c r="AH863" s="260"/>
      <c r="AI863" s="260"/>
      <c r="AJ863" s="258" t="s">
        <v>198</v>
      </c>
      <c r="AK863" s="258" t="s">
        <v>185</v>
      </c>
      <c r="AL863" s="258" t="s">
        <v>185</v>
      </c>
      <c r="AM863" s="244" t="s">
        <v>3854</v>
      </c>
      <c r="AN863" s="20">
        <v>177</v>
      </c>
      <c r="AO863" s="20">
        <v>0</v>
      </c>
      <c r="AP863" s="20">
        <v>20</v>
      </c>
      <c r="AQ863" s="20">
        <v>0</v>
      </c>
      <c r="AR863" s="20">
        <v>0</v>
      </c>
      <c r="AS863" s="20">
        <v>7</v>
      </c>
      <c r="AT863" s="20">
        <v>10</v>
      </c>
      <c r="AU863" s="300">
        <f t="shared" si="144"/>
        <v>214</v>
      </c>
      <c r="AV863" s="20">
        <v>185</v>
      </c>
      <c r="AW863" s="20">
        <v>0</v>
      </c>
      <c r="AX863" s="20">
        <v>20</v>
      </c>
      <c r="AY863" s="20">
        <v>0</v>
      </c>
      <c r="AZ863" s="20">
        <v>0</v>
      </c>
      <c r="BA863" s="20">
        <v>7</v>
      </c>
      <c r="BB863" s="20">
        <v>10</v>
      </c>
      <c r="BC863" s="300">
        <f t="shared" si="145"/>
        <v>222</v>
      </c>
      <c r="BD863" s="42">
        <f t="shared" si="146"/>
        <v>8</v>
      </c>
      <c r="BE863" s="42">
        <f t="shared" si="147"/>
        <v>0</v>
      </c>
      <c r="BF863" s="42">
        <f t="shared" si="148"/>
        <v>0</v>
      </c>
      <c r="BG863" s="42">
        <f t="shared" si="149"/>
        <v>0</v>
      </c>
      <c r="BH863" s="42">
        <f t="shared" si="150"/>
        <v>0</v>
      </c>
      <c r="BI863" s="42">
        <f t="shared" si="151"/>
        <v>0</v>
      </c>
      <c r="BJ863" s="42">
        <f t="shared" si="152"/>
        <v>0</v>
      </c>
      <c r="BK863" s="42">
        <f t="shared" si="153"/>
        <v>8</v>
      </c>
    </row>
    <row r="864" spans="1:63" ht="27" customHeight="1">
      <c r="A864" s="222">
        <f t="shared" si="154"/>
        <v>862</v>
      </c>
      <c r="B864" s="223"/>
      <c r="C864" s="250">
        <v>3748</v>
      </c>
      <c r="D864" s="225">
        <v>0</v>
      </c>
      <c r="E864" s="251" t="s">
        <v>5034</v>
      </c>
      <c r="F864" s="252" t="s">
        <v>711</v>
      </c>
      <c r="G864" s="253" t="s">
        <v>869</v>
      </c>
      <c r="H864" s="229" t="s">
        <v>930</v>
      </c>
      <c r="I864" s="230" t="s">
        <v>4374</v>
      </c>
      <c r="J864" s="254" t="s">
        <v>173</v>
      </c>
      <c r="K864" s="255">
        <v>32151</v>
      </c>
      <c r="L864" s="233" t="s">
        <v>174</v>
      </c>
      <c r="M864" s="256">
        <v>43762</v>
      </c>
      <c r="N864" s="256"/>
      <c r="O864" s="224"/>
      <c r="P864" s="222" t="s">
        <v>3644</v>
      </c>
      <c r="Q864" s="222" t="s">
        <v>244</v>
      </c>
      <c r="R864" s="224" t="s">
        <v>177</v>
      </c>
      <c r="S864" s="224" t="s">
        <v>251</v>
      </c>
      <c r="T864" s="235"/>
      <c r="U864" s="257"/>
      <c r="V864" s="258" t="s">
        <v>195</v>
      </c>
      <c r="W864" s="258" t="s">
        <v>179</v>
      </c>
      <c r="X864" s="259">
        <v>12</v>
      </c>
      <c r="Y864" s="251" t="s">
        <v>5035</v>
      </c>
      <c r="Z864" s="261"/>
      <c r="AA864" s="261" t="s">
        <v>181</v>
      </c>
      <c r="AB864" s="258"/>
      <c r="AC864" s="280"/>
      <c r="AD864" s="271"/>
      <c r="AE864" s="271"/>
      <c r="AF864" s="272"/>
      <c r="AG864" s="270"/>
      <c r="AH864" s="260"/>
      <c r="AI864" s="260"/>
      <c r="AJ864" s="258" t="s">
        <v>198</v>
      </c>
      <c r="AK864" s="258" t="s">
        <v>185</v>
      </c>
      <c r="AL864" s="258" t="s">
        <v>185</v>
      </c>
      <c r="AM864" s="244" t="s">
        <v>3911</v>
      </c>
      <c r="AN864" s="20">
        <v>182</v>
      </c>
      <c r="AO864" s="20">
        <v>0</v>
      </c>
      <c r="AP864" s="20">
        <v>20</v>
      </c>
      <c r="AQ864" s="20">
        <v>0</v>
      </c>
      <c r="AR864" s="20">
        <v>0</v>
      </c>
      <c r="AS864" s="20">
        <v>7</v>
      </c>
      <c r="AT864" s="20">
        <v>10</v>
      </c>
      <c r="AU864" s="300">
        <f t="shared" si="144"/>
        <v>219</v>
      </c>
      <c r="AV864" s="20">
        <v>190</v>
      </c>
      <c r="AW864" s="20">
        <v>0</v>
      </c>
      <c r="AX864" s="20">
        <v>20</v>
      </c>
      <c r="AY864" s="20">
        <v>0</v>
      </c>
      <c r="AZ864" s="20">
        <v>0</v>
      </c>
      <c r="BA864" s="20">
        <v>7</v>
      </c>
      <c r="BB864" s="20">
        <v>10</v>
      </c>
      <c r="BC864" s="300">
        <f t="shared" si="145"/>
        <v>227</v>
      </c>
      <c r="BD864" s="42">
        <f t="shared" si="146"/>
        <v>8</v>
      </c>
      <c r="BE864" s="42">
        <f t="shared" si="147"/>
        <v>0</v>
      </c>
      <c r="BF864" s="42">
        <f t="shared" si="148"/>
        <v>0</v>
      </c>
      <c r="BG864" s="42">
        <f t="shared" si="149"/>
        <v>0</v>
      </c>
      <c r="BH864" s="42">
        <f t="shared" si="150"/>
        <v>0</v>
      </c>
      <c r="BI864" s="42">
        <f t="shared" si="151"/>
        <v>0</v>
      </c>
      <c r="BJ864" s="42">
        <f t="shared" si="152"/>
        <v>0</v>
      </c>
      <c r="BK864" s="42">
        <f t="shared" si="153"/>
        <v>8</v>
      </c>
    </row>
    <row r="865" spans="1:63" ht="27" customHeight="1">
      <c r="A865" s="222">
        <f t="shared" si="154"/>
        <v>863</v>
      </c>
      <c r="B865" s="223"/>
      <c r="C865" s="250">
        <v>3747</v>
      </c>
      <c r="D865" s="225" t="s">
        <v>5036</v>
      </c>
      <c r="E865" s="251" t="s">
        <v>5037</v>
      </c>
      <c r="F865" s="252" t="s">
        <v>1299</v>
      </c>
      <c r="G865" s="253" t="s">
        <v>842</v>
      </c>
      <c r="H865" s="229" t="s">
        <v>5038</v>
      </c>
      <c r="I865" s="230" t="s">
        <v>844</v>
      </c>
      <c r="J865" s="254" t="s">
        <v>173</v>
      </c>
      <c r="K865" s="255">
        <v>30628</v>
      </c>
      <c r="L865" s="233" t="s">
        <v>174</v>
      </c>
      <c r="M865" s="256">
        <v>43762</v>
      </c>
      <c r="N865" s="256"/>
      <c r="O865" s="224"/>
      <c r="P865" s="222" t="s">
        <v>3644</v>
      </c>
      <c r="Q865" s="222" t="s">
        <v>244</v>
      </c>
      <c r="R865" s="224" t="s">
        <v>177</v>
      </c>
      <c r="S865" s="224" t="s">
        <v>206</v>
      </c>
      <c r="T865" s="235"/>
      <c r="U865" s="257"/>
      <c r="V865" s="258" t="s">
        <v>179</v>
      </c>
      <c r="W865" s="258" t="s">
        <v>179</v>
      </c>
      <c r="X865" s="259">
        <v>5</v>
      </c>
      <c r="Y865" s="251" t="s">
        <v>5039</v>
      </c>
      <c r="Z865" s="261"/>
      <c r="AA865" s="261" t="s">
        <v>181</v>
      </c>
      <c r="AB865" s="258"/>
      <c r="AC865" s="280"/>
      <c r="AD865" s="271"/>
      <c r="AE865" s="271"/>
      <c r="AF865" s="272"/>
      <c r="AG865" s="270"/>
      <c r="AH865" s="260"/>
      <c r="AI865" s="260"/>
      <c r="AJ865" s="258" t="s">
        <v>185</v>
      </c>
      <c r="AK865" s="258" t="s">
        <v>185</v>
      </c>
      <c r="AL865" s="258" t="s">
        <v>185</v>
      </c>
      <c r="AM865" s="244" t="s">
        <v>236</v>
      </c>
      <c r="AN865" s="20">
        <v>182</v>
      </c>
      <c r="AO865" s="20">
        <v>0</v>
      </c>
      <c r="AP865" s="20">
        <v>20</v>
      </c>
      <c r="AQ865" s="20">
        <v>0</v>
      </c>
      <c r="AR865" s="20">
        <v>0</v>
      </c>
      <c r="AS865" s="20">
        <v>7</v>
      </c>
      <c r="AT865" s="20">
        <v>10</v>
      </c>
      <c r="AU865" s="300">
        <f t="shared" si="144"/>
        <v>219</v>
      </c>
      <c r="AV865" s="20">
        <v>190</v>
      </c>
      <c r="AW865" s="20">
        <v>0</v>
      </c>
      <c r="AX865" s="20">
        <v>20</v>
      </c>
      <c r="AY865" s="20">
        <v>0</v>
      </c>
      <c r="AZ865" s="20">
        <v>0</v>
      </c>
      <c r="BA865" s="20">
        <v>7</v>
      </c>
      <c r="BB865" s="20">
        <v>10</v>
      </c>
      <c r="BC865" s="300">
        <f t="shared" si="145"/>
        <v>227</v>
      </c>
      <c r="BD865" s="42">
        <f t="shared" si="146"/>
        <v>8</v>
      </c>
      <c r="BE865" s="42">
        <f t="shared" si="147"/>
        <v>0</v>
      </c>
      <c r="BF865" s="42">
        <f t="shared" si="148"/>
        <v>0</v>
      </c>
      <c r="BG865" s="42">
        <f t="shared" si="149"/>
        <v>0</v>
      </c>
      <c r="BH865" s="42">
        <f t="shared" si="150"/>
        <v>0</v>
      </c>
      <c r="BI865" s="42">
        <f t="shared" si="151"/>
        <v>0</v>
      </c>
      <c r="BJ865" s="42">
        <f t="shared" si="152"/>
        <v>0</v>
      </c>
      <c r="BK865" s="42">
        <f t="shared" si="153"/>
        <v>8</v>
      </c>
    </row>
    <row r="866" spans="1:63" ht="27" customHeight="1">
      <c r="A866" s="222">
        <f t="shared" si="154"/>
        <v>864</v>
      </c>
      <c r="B866" s="223"/>
      <c r="C866" s="250">
        <v>3741</v>
      </c>
      <c r="D866" s="225" t="s">
        <v>5040</v>
      </c>
      <c r="E866" s="286" t="s">
        <v>5041</v>
      </c>
      <c r="F866" s="252" t="s">
        <v>644</v>
      </c>
      <c r="G866" s="253" t="s">
        <v>4277</v>
      </c>
      <c r="H866" s="229" t="s">
        <v>1531</v>
      </c>
      <c r="I866" s="230" t="s">
        <v>4278</v>
      </c>
      <c r="J866" s="254" t="s">
        <v>173</v>
      </c>
      <c r="K866" s="255">
        <v>32204</v>
      </c>
      <c r="L866" s="233" t="s">
        <v>174</v>
      </c>
      <c r="M866" s="256">
        <v>43762</v>
      </c>
      <c r="N866" s="256"/>
      <c r="O866" s="224"/>
      <c r="P866" s="222" t="s">
        <v>3935</v>
      </c>
      <c r="Q866" s="222" t="s">
        <v>244</v>
      </c>
      <c r="R866" s="224" t="s">
        <v>177</v>
      </c>
      <c r="S866" s="224" t="s">
        <v>223</v>
      </c>
      <c r="T866" s="235"/>
      <c r="U866" s="257"/>
      <c r="V866" s="258" t="s">
        <v>179</v>
      </c>
      <c r="W866" s="258" t="s">
        <v>179</v>
      </c>
      <c r="X866" s="259">
        <v>5</v>
      </c>
      <c r="Y866" s="251" t="s">
        <v>5042</v>
      </c>
      <c r="Z866" s="261"/>
      <c r="AA866" s="261" t="s">
        <v>181</v>
      </c>
      <c r="AB866" s="258"/>
      <c r="AC866" s="280"/>
      <c r="AD866" s="271" t="s">
        <v>183</v>
      </c>
      <c r="AE866" s="271" t="s">
        <v>183</v>
      </c>
      <c r="AF866" s="271"/>
      <c r="AG866" s="270"/>
      <c r="AH866" s="260"/>
      <c r="AI866" s="260"/>
      <c r="AJ866" s="258" t="s">
        <v>198</v>
      </c>
      <c r="AK866" s="258" t="s">
        <v>185</v>
      </c>
      <c r="AL866" s="258" t="s">
        <v>185</v>
      </c>
      <c r="AM866" s="244" t="s">
        <v>3854</v>
      </c>
      <c r="AN866" s="20">
        <v>182</v>
      </c>
      <c r="AO866" s="20">
        <v>0</v>
      </c>
      <c r="AP866" s="20">
        <v>20</v>
      </c>
      <c r="AQ866" s="20">
        <v>0</v>
      </c>
      <c r="AR866" s="20">
        <v>0</v>
      </c>
      <c r="AS866" s="20">
        <v>7</v>
      </c>
      <c r="AT866" s="20">
        <v>10</v>
      </c>
      <c r="AU866" s="300">
        <f t="shared" si="144"/>
        <v>219</v>
      </c>
      <c r="AV866" s="20">
        <v>190</v>
      </c>
      <c r="AW866" s="20">
        <v>0</v>
      </c>
      <c r="AX866" s="20">
        <v>20</v>
      </c>
      <c r="AY866" s="20">
        <v>0</v>
      </c>
      <c r="AZ866" s="20">
        <v>0</v>
      </c>
      <c r="BA866" s="20">
        <v>7</v>
      </c>
      <c r="BB866" s="20">
        <v>10</v>
      </c>
      <c r="BC866" s="300">
        <f t="shared" si="145"/>
        <v>227</v>
      </c>
      <c r="BD866" s="42">
        <f t="shared" si="146"/>
        <v>8</v>
      </c>
      <c r="BE866" s="42">
        <f t="shared" si="147"/>
        <v>0</v>
      </c>
      <c r="BF866" s="42">
        <f t="shared" si="148"/>
        <v>0</v>
      </c>
      <c r="BG866" s="42">
        <f t="shared" si="149"/>
        <v>0</v>
      </c>
      <c r="BH866" s="42">
        <f t="shared" si="150"/>
        <v>0</v>
      </c>
      <c r="BI866" s="42">
        <f t="shared" si="151"/>
        <v>0</v>
      </c>
      <c r="BJ866" s="42">
        <f t="shared" si="152"/>
        <v>0</v>
      </c>
      <c r="BK866" s="42">
        <f t="shared" si="153"/>
        <v>8</v>
      </c>
    </row>
    <row r="867" spans="1:63" ht="27" customHeight="1">
      <c r="A867" s="222">
        <f t="shared" si="154"/>
        <v>865</v>
      </c>
      <c r="B867" s="223"/>
      <c r="C867" s="250">
        <v>3708</v>
      </c>
      <c r="D867" s="225">
        <v>0</v>
      </c>
      <c r="E867" s="286" t="s">
        <v>5043</v>
      </c>
      <c r="F867" s="252" t="s">
        <v>5044</v>
      </c>
      <c r="G867" s="253" t="s">
        <v>5045</v>
      </c>
      <c r="H867" s="229" t="s">
        <v>1386</v>
      </c>
      <c r="I867" s="230" t="s">
        <v>1111</v>
      </c>
      <c r="J867" s="254" t="s">
        <v>173</v>
      </c>
      <c r="K867" s="255">
        <v>31424</v>
      </c>
      <c r="L867" s="233" t="s">
        <v>174</v>
      </c>
      <c r="M867" s="256">
        <v>43762</v>
      </c>
      <c r="N867" s="256"/>
      <c r="O867" s="224"/>
      <c r="P867" s="222" t="s">
        <v>3945</v>
      </c>
      <c r="Q867" s="222" t="s">
        <v>244</v>
      </c>
      <c r="R867" s="224" t="s">
        <v>3955</v>
      </c>
      <c r="S867" s="224" t="s">
        <v>223</v>
      </c>
      <c r="T867" s="235" t="s">
        <v>4148</v>
      </c>
      <c r="U867" s="257">
        <v>43788</v>
      </c>
      <c r="V867" s="258" t="s">
        <v>179</v>
      </c>
      <c r="W867" s="258" t="s">
        <v>179</v>
      </c>
      <c r="X867" s="259">
        <v>3</v>
      </c>
      <c r="Y867" s="251" t="s">
        <v>5046</v>
      </c>
      <c r="Z867" s="261"/>
      <c r="AA867" s="261" t="s">
        <v>181</v>
      </c>
      <c r="AB867" s="258"/>
      <c r="AC867" s="280"/>
      <c r="AD867" s="271" t="s">
        <v>183</v>
      </c>
      <c r="AE867" s="271" t="s">
        <v>184</v>
      </c>
      <c r="AF867" s="272"/>
      <c r="AG867" s="270"/>
      <c r="AH867" s="260"/>
      <c r="AI867" s="260"/>
      <c r="AJ867" s="258" t="s">
        <v>198</v>
      </c>
      <c r="AK867" s="258" t="s">
        <v>185</v>
      </c>
      <c r="AL867" s="258" t="s">
        <v>185</v>
      </c>
      <c r="AM867" s="244" t="s">
        <v>3854</v>
      </c>
      <c r="AN867" s="20">
        <v>182</v>
      </c>
      <c r="AO867" s="20">
        <v>0</v>
      </c>
      <c r="AP867" s="20">
        <v>0</v>
      </c>
      <c r="AQ867" s="20">
        <v>0</v>
      </c>
      <c r="AR867" s="20">
        <v>0</v>
      </c>
      <c r="AS867" s="20">
        <v>7</v>
      </c>
      <c r="AT867" s="20">
        <v>10</v>
      </c>
      <c r="AU867" s="300">
        <f t="shared" si="144"/>
        <v>199</v>
      </c>
      <c r="AV867" s="20">
        <v>190</v>
      </c>
      <c r="AW867" s="20">
        <v>0</v>
      </c>
      <c r="AX867" s="20">
        <v>0</v>
      </c>
      <c r="AY867" s="20">
        <v>0</v>
      </c>
      <c r="AZ867" s="20">
        <v>0</v>
      </c>
      <c r="BA867" s="20">
        <v>7</v>
      </c>
      <c r="BB867" s="20">
        <v>10</v>
      </c>
      <c r="BC867" s="300">
        <f t="shared" si="145"/>
        <v>207</v>
      </c>
      <c r="BD867" s="42">
        <f t="shared" si="146"/>
        <v>8</v>
      </c>
      <c r="BE867" s="42">
        <f t="shared" si="147"/>
        <v>0</v>
      </c>
      <c r="BF867" s="42">
        <f t="shared" si="148"/>
        <v>0</v>
      </c>
      <c r="BG867" s="42">
        <f t="shared" si="149"/>
        <v>0</v>
      </c>
      <c r="BH867" s="42">
        <f t="shared" si="150"/>
        <v>0</v>
      </c>
      <c r="BI867" s="42">
        <f t="shared" si="151"/>
        <v>0</v>
      </c>
      <c r="BJ867" s="42">
        <f t="shared" si="152"/>
        <v>0</v>
      </c>
      <c r="BK867" s="42">
        <f t="shared" si="153"/>
        <v>8</v>
      </c>
    </row>
    <row r="868" spans="1:63" ht="27" customHeight="1">
      <c r="A868" s="222">
        <f t="shared" si="154"/>
        <v>866</v>
      </c>
      <c r="B868" s="223"/>
      <c r="C868" s="250">
        <v>3706</v>
      </c>
      <c r="D868" s="225" t="s">
        <v>5047</v>
      </c>
      <c r="E868" s="286" t="s">
        <v>5048</v>
      </c>
      <c r="F868" s="252" t="s">
        <v>5049</v>
      </c>
      <c r="G868" s="253" t="s">
        <v>5050</v>
      </c>
      <c r="H868" s="229" t="s">
        <v>5051</v>
      </c>
      <c r="I868" s="230" t="s">
        <v>5052</v>
      </c>
      <c r="J868" s="254" t="s">
        <v>173</v>
      </c>
      <c r="K868" s="255">
        <v>36594</v>
      </c>
      <c r="L868" s="233" t="s">
        <v>174</v>
      </c>
      <c r="M868" s="256">
        <v>43762</v>
      </c>
      <c r="N868" s="256"/>
      <c r="O868" s="224"/>
      <c r="P868" s="222" t="s">
        <v>3633</v>
      </c>
      <c r="Q868" s="222" t="s">
        <v>244</v>
      </c>
      <c r="R868" s="224" t="s">
        <v>177</v>
      </c>
      <c r="S868" s="224" t="s">
        <v>305</v>
      </c>
      <c r="T868" s="235"/>
      <c r="U868" s="257"/>
      <c r="V868" s="258" t="s">
        <v>179</v>
      </c>
      <c r="W868" s="258" t="s">
        <v>179</v>
      </c>
      <c r="X868" s="259">
        <v>7</v>
      </c>
      <c r="Y868" s="251" t="s">
        <v>5053</v>
      </c>
      <c r="Z868" s="261"/>
      <c r="AA868" s="261" t="s">
        <v>181</v>
      </c>
      <c r="AB868" s="258"/>
      <c r="AC868" s="280"/>
      <c r="AD868" s="271" t="s">
        <v>184</v>
      </c>
      <c r="AE868" s="271"/>
      <c r="AF868" s="272"/>
      <c r="AG868" s="270"/>
      <c r="AH868" s="260"/>
      <c r="AI868" s="260"/>
      <c r="AJ868" s="258" t="s">
        <v>198</v>
      </c>
      <c r="AK868" s="258" t="s">
        <v>185</v>
      </c>
      <c r="AL868" s="258" t="s">
        <v>185</v>
      </c>
      <c r="AM868" s="244" t="s">
        <v>3854</v>
      </c>
      <c r="AN868" s="20">
        <v>182</v>
      </c>
      <c r="AO868" s="20">
        <v>0</v>
      </c>
      <c r="AP868" s="20">
        <v>20</v>
      </c>
      <c r="AQ868" s="20">
        <v>0</v>
      </c>
      <c r="AR868" s="20">
        <v>0</v>
      </c>
      <c r="AS868" s="20">
        <v>7</v>
      </c>
      <c r="AT868" s="20">
        <v>10</v>
      </c>
      <c r="AU868" s="300">
        <f t="shared" si="144"/>
        <v>219</v>
      </c>
      <c r="AV868" s="20">
        <v>190</v>
      </c>
      <c r="AW868" s="20">
        <v>0</v>
      </c>
      <c r="AX868" s="20">
        <v>20</v>
      </c>
      <c r="AY868" s="20">
        <v>0</v>
      </c>
      <c r="AZ868" s="20">
        <v>0</v>
      </c>
      <c r="BA868" s="20">
        <v>7</v>
      </c>
      <c r="BB868" s="20">
        <v>10</v>
      </c>
      <c r="BC868" s="300">
        <f t="shared" si="145"/>
        <v>227</v>
      </c>
      <c r="BD868" s="42">
        <f t="shared" si="146"/>
        <v>8</v>
      </c>
      <c r="BE868" s="42">
        <f t="shared" si="147"/>
        <v>0</v>
      </c>
      <c r="BF868" s="42">
        <f t="shared" si="148"/>
        <v>0</v>
      </c>
      <c r="BG868" s="42">
        <f t="shared" si="149"/>
        <v>0</v>
      </c>
      <c r="BH868" s="42">
        <f t="shared" si="150"/>
        <v>0</v>
      </c>
      <c r="BI868" s="42">
        <f t="shared" si="151"/>
        <v>0</v>
      </c>
      <c r="BJ868" s="42">
        <f t="shared" si="152"/>
        <v>0</v>
      </c>
      <c r="BK868" s="42">
        <f t="shared" si="153"/>
        <v>8</v>
      </c>
    </row>
    <row r="869" spans="1:63" ht="27" customHeight="1">
      <c r="A869" s="222">
        <f t="shared" si="154"/>
        <v>867</v>
      </c>
      <c r="B869" s="223"/>
      <c r="C869" s="250">
        <v>3704</v>
      </c>
      <c r="D869" s="225" t="s">
        <v>5054</v>
      </c>
      <c r="E869" s="286" t="s">
        <v>5055</v>
      </c>
      <c r="F869" s="252" t="s">
        <v>5056</v>
      </c>
      <c r="G869" s="253" t="s">
        <v>504</v>
      </c>
      <c r="H869" s="229" t="s">
        <v>5057</v>
      </c>
      <c r="I869" s="230" t="s">
        <v>506</v>
      </c>
      <c r="J869" s="254" t="s">
        <v>173</v>
      </c>
      <c r="K869" s="255">
        <v>36683</v>
      </c>
      <c r="L869" s="233" t="s">
        <v>174</v>
      </c>
      <c r="M869" s="256">
        <v>43762</v>
      </c>
      <c r="N869" s="256"/>
      <c r="O869" s="224"/>
      <c r="P869" s="222" t="s">
        <v>3633</v>
      </c>
      <c r="Q869" s="222" t="s">
        <v>244</v>
      </c>
      <c r="R869" s="224" t="s">
        <v>177</v>
      </c>
      <c r="S869" s="224" t="s">
        <v>206</v>
      </c>
      <c r="T869" s="235"/>
      <c r="U869" s="257"/>
      <c r="V869" s="258" t="s">
        <v>179</v>
      </c>
      <c r="W869" s="258" t="s">
        <v>179</v>
      </c>
      <c r="X869" s="259">
        <v>9</v>
      </c>
      <c r="Y869" s="251" t="s">
        <v>5058</v>
      </c>
      <c r="Z869" s="261" t="s">
        <v>181</v>
      </c>
      <c r="AA869" s="261"/>
      <c r="AB869" s="258"/>
      <c r="AC869" s="280"/>
      <c r="AD869" s="271"/>
      <c r="AE869" s="271"/>
      <c r="AF869" s="272"/>
      <c r="AG869" s="270"/>
      <c r="AH869" s="260"/>
      <c r="AI869" s="260"/>
      <c r="AJ869" s="258" t="s">
        <v>198</v>
      </c>
      <c r="AK869" s="258" t="s">
        <v>185</v>
      </c>
      <c r="AL869" s="258" t="s">
        <v>185</v>
      </c>
      <c r="AM869" s="244" t="s">
        <v>3854</v>
      </c>
      <c r="AN869" s="20">
        <v>177</v>
      </c>
      <c r="AO869" s="20">
        <v>0</v>
      </c>
      <c r="AP869" s="20">
        <v>20</v>
      </c>
      <c r="AQ869" s="20">
        <v>0</v>
      </c>
      <c r="AR869" s="20">
        <v>0</v>
      </c>
      <c r="AS869" s="20">
        <v>7</v>
      </c>
      <c r="AT869" s="20">
        <v>10</v>
      </c>
      <c r="AU869" s="300">
        <f t="shared" si="144"/>
        <v>214</v>
      </c>
      <c r="AV869" s="20">
        <v>185</v>
      </c>
      <c r="AW869" s="20">
        <v>0</v>
      </c>
      <c r="AX869" s="20">
        <v>20</v>
      </c>
      <c r="AY869" s="20">
        <v>0</v>
      </c>
      <c r="AZ869" s="20">
        <v>0</v>
      </c>
      <c r="BA869" s="20">
        <v>7</v>
      </c>
      <c r="BB869" s="20">
        <v>10</v>
      </c>
      <c r="BC869" s="300">
        <f t="shared" si="145"/>
        <v>222</v>
      </c>
      <c r="BD869" s="42">
        <f t="shared" si="146"/>
        <v>8</v>
      </c>
      <c r="BE869" s="42">
        <f t="shared" si="147"/>
        <v>0</v>
      </c>
      <c r="BF869" s="42">
        <f t="shared" si="148"/>
        <v>0</v>
      </c>
      <c r="BG869" s="42">
        <f t="shared" si="149"/>
        <v>0</v>
      </c>
      <c r="BH869" s="42">
        <f t="shared" si="150"/>
        <v>0</v>
      </c>
      <c r="BI869" s="42">
        <f t="shared" si="151"/>
        <v>0</v>
      </c>
      <c r="BJ869" s="42">
        <f t="shared" si="152"/>
        <v>0</v>
      </c>
      <c r="BK869" s="42">
        <f t="shared" si="153"/>
        <v>8</v>
      </c>
    </row>
    <row r="870" spans="1:63" ht="27" customHeight="1">
      <c r="A870" s="222">
        <f t="shared" si="154"/>
        <v>868</v>
      </c>
      <c r="B870" s="223"/>
      <c r="C870" s="288">
        <v>3703</v>
      </c>
      <c r="D870" s="225" t="s">
        <v>5059</v>
      </c>
      <c r="E870" s="286" t="s">
        <v>5060</v>
      </c>
      <c r="F870" s="252" t="s">
        <v>1418</v>
      </c>
      <c r="G870" s="253" t="s">
        <v>1009</v>
      </c>
      <c r="H870" s="229" t="s">
        <v>1420</v>
      </c>
      <c r="I870" s="230" t="s">
        <v>4712</v>
      </c>
      <c r="J870" s="254" t="s">
        <v>173</v>
      </c>
      <c r="K870" s="255">
        <v>33796</v>
      </c>
      <c r="L870" s="233" t="s">
        <v>174</v>
      </c>
      <c r="M870" s="256">
        <v>43762</v>
      </c>
      <c r="N870" s="256"/>
      <c r="O870" s="224"/>
      <c r="P870" s="222" t="s">
        <v>3945</v>
      </c>
      <c r="Q870" s="222" t="s">
        <v>244</v>
      </c>
      <c r="R870" s="224" t="s">
        <v>177</v>
      </c>
      <c r="S870" s="224" t="s">
        <v>214</v>
      </c>
      <c r="T870" s="235"/>
      <c r="U870" s="257"/>
      <c r="V870" s="258" t="s">
        <v>179</v>
      </c>
      <c r="W870" s="258" t="s">
        <v>179</v>
      </c>
      <c r="X870" s="259">
        <v>5</v>
      </c>
      <c r="Y870" s="251" t="s">
        <v>5061</v>
      </c>
      <c r="Z870" s="261"/>
      <c r="AA870" s="261" t="s">
        <v>181</v>
      </c>
      <c r="AB870" s="258"/>
      <c r="AC870" s="280"/>
      <c r="AD870" s="271"/>
      <c r="AE870" s="271"/>
      <c r="AF870" s="272"/>
      <c r="AG870" s="270"/>
      <c r="AH870" s="260"/>
      <c r="AI870" s="260"/>
      <c r="AJ870" s="258" t="s">
        <v>198</v>
      </c>
      <c r="AK870" s="258" t="s">
        <v>185</v>
      </c>
      <c r="AL870" s="258" t="s">
        <v>185</v>
      </c>
      <c r="AM870" s="244" t="s">
        <v>3854</v>
      </c>
      <c r="AN870" s="20">
        <v>177</v>
      </c>
      <c r="AO870" s="20">
        <v>0</v>
      </c>
      <c r="AP870" s="20">
        <v>20</v>
      </c>
      <c r="AQ870" s="20">
        <v>0</v>
      </c>
      <c r="AR870" s="20">
        <v>0</v>
      </c>
      <c r="AS870" s="20">
        <v>7</v>
      </c>
      <c r="AT870" s="20">
        <v>10</v>
      </c>
      <c r="AU870" s="300">
        <f t="shared" si="144"/>
        <v>214</v>
      </c>
      <c r="AV870" s="20">
        <v>185</v>
      </c>
      <c r="AW870" s="20">
        <v>0</v>
      </c>
      <c r="AX870" s="20">
        <v>20</v>
      </c>
      <c r="AY870" s="20">
        <v>0</v>
      </c>
      <c r="AZ870" s="20">
        <v>0</v>
      </c>
      <c r="BA870" s="20">
        <v>7</v>
      </c>
      <c r="BB870" s="20">
        <v>10</v>
      </c>
      <c r="BC870" s="300">
        <f t="shared" si="145"/>
        <v>222</v>
      </c>
      <c r="BD870" s="42">
        <f t="shared" si="146"/>
        <v>8</v>
      </c>
      <c r="BE870" s="42">
        <f t="shared" si="147"/>
        <v>0</v>
      </c>
      <c r="BF870" s="42">
        <f t="shared" si="148"/>
        <v>0</v>
      </c>
      <c r="BG870" s="42">
        <f t="shared" si="149"/>
        <v>0</v>
      </c>
      <c r="BH870" s="42">
        <f t="shared" si="150"/>
        <v>0</v>
      </c>
      <c r="BI870" s="42">
        <f t="shared" si="151"/>
        <v>0</v>
      </c>
      <c r="BJ870" s="42">
        <f t="shared" si="152"/>
        <v>0</v>
      </c>
      <c r="BK870" s="42">
        <f t="shared" si="153"/>
        <v>8</v>
      </c>
    </row>
    <row r="871" spans="1:63" ht="27" customHeight="1">
      <c r="A871" s="222">
        <f t="shared" si="154"/>
        <v>869</v>
      </c>
      <c r="B871" s="223"/>
      <c r="C871" s="250">
        <v>3700</v>
      </c>
      <c r="D871" s="225" t="s">
        <v>5062</v>
      </c>
      <c r="E871" s="286" t="s">
        <v>5063</v>
      </c>
      <c r="F871" s="252" t="s">
        <v>1598</v>
      </c>
      <c r="G871" s="253" t="s">
        <v>1248</v>
      </c>
      <c r="H871" s="229" t="s">
        <v>1600</v>
      </c>
      <c r="I871" s="230" t="s">
        <v>1250</v>
      </c>
      <c r="J871" s="254" t="s">
        <v>173</v>
      </c>
      <c r="K871" s="255">
        <v>34771</v>
      </c>
      <c r="L871" s="233" t="s">
        <v>174</v>
      </c>
      <c r="M871" s="256">
        <v>43762</v>
      </c>
      <c r="N871" s="256"/>
      <c r="O871" s="224"/>
      <c r="P871" s="222" t="s">
        <v>1380</v>
      </c>
      <c r="Q871" s="222" t="s">
        <v>244</v>
      </c>
      <c r="R871" s="224" t="s">
        <v>177</v>
      </c>
      <c r="S871" s="224" t="s">
        <v>223</v>
      </c>
      <c r="T871" s="235"/>
      <c r="U871" s="257"/>
      <c r="V871" s="258" t="s">
        <v>179</v>
      </c>
      <c r="W871" s="258" t="s">
        <v>179</v>
      </c>
      <c r="X871" s="259">
        <v>12</v>
      </c>
      <c r="Y871" s="251" t="s">
        <v>5064</v>
      </c>
      <c r="Z871" s="261"/>
      <c r="AA871" s="261" t="s">
        <v>181</v>
      </c>
      <c r="AB871" s="258"/>
      <c r="AC871" s="280"/>
      <c r="AD871" s="271"/>
      <c r="AE871" s="271"/>
      <c r="AF871" s="272"/>
      <c r="AG871" s="270"/>
      <c r="AH871" s="260"/>
      <c r="AI871" s="260"/>
      <c r="AJ871" s="258" t="s">
        <v>198</v>
      </c>
      <c r="AK871" s="258" t="s">
        <v>185</v>
      </c>
      <c r="AL871" s="258" t="s">
        <v>185</v>
      </c>
      <c r="AM871" s="244" t="s">
        <v>4825</v>
      </c>
      <c r="AN871" s="20">
        <v>177</v>
      </c>
      <c r="AO871" s="20">
        <v>0</v>
      </c>
      <c r="AP871" s="20">
        <v>20</v>
      </c>
      <c r="AQ871" s="20">
        <v>0</v>
      </c>
      <c r="AR871" s="20">
        <v>0</v>
      </c>
      <c r="AS871" s="20">
        <v>7</v>
      </c>
      <c r="AT871" s="20">
        <v>10</v>
      </c>
      <c r="AU871" s="300">
        <f t="shared" si="144"/>
        <v>214</v>
      </c>
      <c r="AV871" s="20">
        <v>185</v>
      </c>
      <c r="AW871" s="20">
        <v>0</v>
      </c>
      <c r="AX871" s="20">
        <v>20</v>
      </c>
      <c r="AY871" s="20">
        <v>0</v>
      </c>
      <c r="AZ871" s="20">
        <v>0</v>
      </c>
      <c r="BA871" s="20">
        <v>7</v>
      </c>
      <c r="BB871" s="20">
        <v>10</v>
      </c>
      <c r="BC871" s="300">
        <f t="shared" si="145"/>
        <v>222</v>
      </c>
      <c r="BD871" s="42">
        <f t="shared" si="146"/>
        <v>8</v>
      </c>
      <c r="BE871" s="42">
        <f t="shared" si="147"/>
        <v>0</v>
      </c>
      <c r="BF871" s="42">
        <f t="shared" si="148"/>
        <v>0</v>
      </c>
      <c r="BG871" s="42">
        <f t="shared" si="149"/>
        <v>0</v>
      </c>
      <c r="BH871" s="42">
        <f t="shared" si="150"/>
        <v>0</v>
      </c>
      <c r="BI871" s="42">
        <f t="shared" si="151"/>
        <v>0</v>
      </c>
      <c r="BJ871" s="42">
        <f t="shared" si="152"/>
        <v>0</v>
      </c>
      <c r="BK871" s="42">
        <f t="shared" si="153"/>
        <v>8</v>
      </c>
    </row>
    <row r="872" spans="1:63" ht="27" customHeight="1">
      <c r="A872" s="222">
        <f t="shared" si="154"/>
        <v>870</v>
      </c>
      <c r="B872" s="223"/>
      <c r="C872" s="250">
        <v>3701</v>
      </c>
      <c r="D872" s="225" t="s">
        <v>5065</v>
      </c>
      <c r="E872" s="286" t="s">
        <v>5066</v>
      </c>
      <c r="F872" s="252" t="s">
        <v>2304</v>
      </c>
      <c r="G872" s="253" t="s">
        <v>5067</v>
      </c>
      <c r="H872" s="229" t="s">
        <v>3982</v>
      </c>
      <c r="I872" s="230" t="s">
        <v>5068</v>
      </c>
      <c r="J872" s="254" t="s">
        <v>173</v>
      </c>
      <c r="K872" s="255">
        <v>35721</v>
      </c>
      <c r="L872" s="233" t="s">
        <v>174</v>
      </c>
      <c r="M872" s="256">
        <v>43762</v>
      </c>
      <c r="N872" s="256"/>
      <c r="O872" s="224"/>
      <c r="P872" s="222" t="s">
        <v>3633</v>
      </c>
      <c r="Q872" s="222" t="s">
        <v>244</v>
      </c>
      <c r="R872" s="224" t="s">
        <v>177</v>
      </c>
      <c r="S872" s="224" t="s">
        <v>223</v>
      </c>
      <c r="T872" s="235"/>
      <c r="U872" s="257"/>
      <c r="V872" s="258" t="s">
        <v>179</v>
      </c>
      <c r="W872" s="258" t="s">
        <v>179</v>
      </c>
      <c r="X872" s="259">
        <v>6</v>
      </c>
      <c r="Y872" s="251" t="s">
        <v>5069</v>
      </c>
      <c r="Z872" s="261" t="s">
        <v>181</v>
      </c>
      <c r="AA872" s="261"/>
      <c r="AB872" s="258"/>
      <c r="AC872" s="280"/>
      <c r="AD872" s="271"/>
      <c r="AE872" s="271"/>
      <c r="AF872" s="272"/>
      <c r="AG872" s="270"/>
      <c r="AH872" s="260"/>
      <c r="AI872" s="260"/>
      <c r="AJ872" s="258" t="s">
        <v>198</v>
      </c>
      <c r="AK872" s="258" t="s">
        <v>185</v>
      </c>
      <c r="AL872" s="258" t="s">
        <v>185</v>
      </c>
      <c r="AM872" s="244" t="s">
        <v>3854</v>
      </c>
      <c r="AN872" s="20">
        <v>177</v>
      </c>
      <c r="AO872" s="20">
        <v>0</v>
      </c>
      <c r="AP872" s="20">
        <v>20</v>
      </c>
      <c r="AQ872" s="20">
        <v>0</v>
      </c>
      <c r="AR872" s="20">
        <v>0</v>
      </c>
      <c r="AS872" s="20">
        <v>7</v>
      </c>
      <c r="AT872" s="20">
        <v>10</v>
      </c>
      <c r="AU872" s="300">
        <f t="shared" si="144"/>
        <v>214</v>
      </c>
      <c r="AV872" s="20">
        <v>185</v>
      </c>
      <c r="AW872" s="20">
        <v>0</v>
      </c>
      <c r="AX872" s="20">
        <v>20</v>
      </c>
      <c r="AY872" s="20">
        <v>0</v>
      </c>
      <c r="AZ872" s="20">
        <v>0</v>
      </c>
      <c r="BA872" s="20">
        <v>7</v>
      </c>
      <c r="BB872" s="20">
        <v>10</v>
      </c>
      <c r="BC872" s="300">
        <f t="shared" si="145"/>
        <v>222</v>
      </c>
      <c r="BD872" s="42">
        <f t="shared" si="146"/>
        <v>8</v>
      </c>
      <c r="BE872" s="42">
        <f t="shared" si="147"/>
        <v>0</v>
      </c>
      <c r="BF872" s="42">
        <f t="shared" si="148"/>
        <v>0</v>
      </c>
      <c r="BG872" s="42">
        <f t="shared" si="149"/>
        <v>0</v>
      </c>
      <c r="BH872" s="42">
        <f t="shared" si="150"/>
        <v>0</v>
      </c>
      <c r="BI872" s="42">
        <f t="shared" si="151"/>
        <v>0</v>
      </c>
      <c r="BJ872" s="42">
        <f t="shared" si="152"/>
        <v>0</v>
      </c>
      <c r="BK872" s="42">
        <f t="shared" si="153"/>
        <v>8</v>
      </c>
    </row>
    <row r="873" spans="1:63" ht="27" customHeight="1">
      <c r="A873" s="222">
        <f t="shared" si="154"/>
        <v>871</v>
      </c>
      <c r="B873" s="223"/>
      <c r="C873" s="250">
        <v>3746</v>
      </c>
      <c r="D873" s="225">
        <v>0</v>
      </c>
      <c r="E873" s="286" t="s">
        <v>5070</v>
      </c>
      <c r="F873" s="252" t="s">
        <v>387</v>
      </c>
      <c r="G873" s="253" t="s">
        <v>3345</v>
      </c>
      <c r="H873" s="229" t="s">
        <v>629</v>
      </c>
      <c r="I873" s="230" t="s">
        <v>5071</v>
      </c>
      <c r="J873" s="254" t="s">
        <v>173</v>
      </c>
      <c r="K873" s="255">
        <v>35191</v>
      </c>
      <c r="L873" s="233" t="s">
        <v>174</v>
      </c>
      <c r="M873" s="256">
        <v>43762</v>
      </c>
      <c r="N873" s="256"/>
      <c r="O873" s="224"/>
      <c r="P873" s="222" t="s">
        <v>3935</v>
      </c>
      <c r="Q873" s="222" t="s">
        <v>244</v>
      </c>
      <c r="R873" s="224" t="s">
        <v>177</v>
      </c>
      <c r="S873" s="224" t="s">
        <v>206</v>
      </c>
      <c r="T873" s="235"/>
      <c r="U873" s="257"/>
      <c r="V873" s="258" t="s">
        <v>179</v>
      </c>
      <c r="W873" s="258" t="s">
        <v>179</v>
      </c>
      <c r="X873" s="259">
        <v>5</v>
      </c>
      <c r="Y873" s="251" t="s">
        <v>5072</v>
      </c>
      <c r="Z873" s="261"/>
      <c r="AA873" s="261"/>
      <c r="AB873" s="261" t="s">
        <v>181</v>
      </c>
      <c r="AC873" s="280"/>
      <c r="AD873" s="271" t="s">
        <v>183</v>
      </c>
      <c r="AE873" s="271"/>
      <c r="AF873" s="272"/>
      <c r="AG873" s="270"/>
      <c r="AH873" s="260"/>
      <c r="AI873" s="260"/>
      <c r="AJ873" s="258" t="s">
        <v>198</v>
      </c>
      <c r="AK873" s="258" t="s">
        <v>185</v>
      </c>
      <c r="AL873" s="258" t="s">
        <v>185</v>
      </c>
      <c r="AM873" s="244" t="s">
        <v>3854</v>
      </c>
      <c r="AN873" s="20">
        <v>182</v>
      </c>
      <c r="AO873" s="20">
        <v>0</v>
      </c>
      <c r="AP873" s="20">
        <v>20</v>
      </c>
      <c r="AQ873" s="20">
        <v>0</v>
      </c>
      <c r="AR873" s="20">
        <v>0</v>
      </c>
      <c r="AS873" s="20">
        <v>7</v>
      </c>
      <c r="AT873" s="20">
        <v>10</v>
      </c>
      <c r="AU873" s="300">
        <f t="shared" si="144"/>
        <v>219</v>
      </c>
      <c r="AV873" s="20">
        <v>190</v>
      </c>
      <c r="AW873" s="20">
        <v>0</v>
      </c>
      <c r="AX873" s="20">
        <v>20</v>
      </c>
      <c r="AY873" s="20">
        <v>0</v>
      </c>
      <c r="AZ873" s="20">
        <v>0</v>
      </c>
      <c r="BA873" s="20">
        <v>7</v>
      </c>
      <c r="BB873" s="20">
        <v>10</v>
      </c>
      <c r="BC873" s="300">
        <f t="shared" si="145"/>
        <v>227</v>
      </c>
      <c r="BD873" s="42">
        <f t="shared" si="146"/>
        <v>8</v>
      </c>
      <c r="BE873" s="42">
        <f t="shared" si="147"/>
        <v>0</v>
      </c>
      <c r="BF873" s="42">
        <f t="shared" si="148"/>
        <v>0</v>
      </c>
      <c r="BG873" s="42">
        <f t="shared" si="149"/>
        <v>0</v>
      </c>
      <c r="BH873" s="42">
        <f t="shared" si="150"/>
        <v>0</v>
      </c>
      <c r="BI873" s="42">
        <f t="shared" si="151"/>
        <v>0</v>
      </c>
      <c r="BJ873" s="42">
        <f t="shared" si="152"/>
        <v>0</v>
      </c>
      <c r="BK873" s="42">
        <f t="shared" si="153"/>
        <v>8</v>
      </c>
    </row>
    <row r="874" spans="1:63" ht="27" customHeight="1">
      <c r="A874" s="222">
        <f t="shared" si="154"/>
        <v>872</v>
      </c>
      <c r="B874" s="223"/>
      <c r="C874" s="250">
        <v>3679</v>
      </c>
      <c r="D874" s="225" t="s">
        <v>5073</v>
      </c>
      <c r="E874" s="286" t="s">
        <v>5074</v>
      </c>
      <c r="F874" s="252" t="s">
        <v>386</v>
      </c>
      <c r="G874" s="253" t="s">
        <v>5075</v>
      </c>
      <c r="H874" s="229" t="s">
        <v>5076</v>
      </c>
      <c r="I874" s="230" t="s">
        <v>5077</v>
      </c>
      <c r="J874" s="254" t="s">
        <v>173</v>
      </c>
      <c r="K874" s="255">
        <v>32958</v>
      </c>
      <c r="L874" s="233" t="s">
        <v>174</v>
      </c>
      <c r="M874" s="256">
        <v>43762</v>
      </c>
      <c r="N874" s="256"/>
      <c r="O874" s="224"/>
      <c r="P874" s="222" t="s">
        <v>3945</v>
      </c>
      <c r="Q874" s="222" t="s">
        <v>244</v>
      </c>
      <c r="R874" s="224" t="s">
        <v>177</v>
      </c>
      <c r="S874" s="224" t="s">
        <v>223</v>
      </c>
      <c r="T874" s="235"/>
      <c r="U874" s="257"/>
      <c r="V874" s="258" t="s">
        <v>179</v>
      </c>
      <c r="W874" s="258" t="s">
        <v>179</v>
      </c>
      <c r="X874" s="259"/>
      <c r="Y874" s="251" t="s">
        <v>5078</v>
      </c>
      <c r="Z874" s="261"/>
      <c r="AA874" s="261" t="s">
        <v>181</v>
      </c>
      <c r="AB874" s="258"/>
      <c r="AC874" s="280"/>
      <c r="AD874" s="271"/>
      <c r="AE874" s="271"/>
      <c r="AF874" s="272"/>
      <c r="AG874" s="270"/>
      <c r="AH874" s="260"/>
      <c r="AI874" s="260"/>
      <c r="AJ874" s="258" t="s">
        <v>198</v>
      </c>
      <c r="AK874" s="258" t="s">
        <v>185</v>
      </c>
      <c r="AL874" s="258" t="s">
        <v>185</v>
      </c>
      <c r="AM874" s="244" t="s">
        <v>3854</v>
      </c>
      <c r="AN874" s="20">
        <v>177</v>
      </c>
      <c r="AO874" s="20">
        <v>0</v>
      </c>
      <c r="AP874" s="20">
        <v>20</v>
      </c>
      <c r="AQ874" s="20">
        <v>0</v>
      </c>
      <c r="AR874" s="20">
        <v>0</v>
      </c>
      <c r="AS874" s="20">
        <v>7</v>
      </c>
      <c r="AT874" s="20">
        <v>10</v>
      </c>
      <c r="AU874" s="300">
        <f t="shared" si="144"/>
        <v>214</v>
      </c>
      <c r="AV874" s="20">
        <v>185</v>
      </c>
      <c r="AW874" s="20">
        <v>0</v>
      </c>
      <c r="AX874" s="20">
        <v>20</v>
      </c>
      <c r="AY874" s="20">
        <v>0</v>
      </c>
      <c r="AZ874" s="20">
        <v>0</v>
      </c>
      <c r="BA874" s="20">
        <v>7</v>
      </c>
      <c r="BB874" s="20">
        <v>10</v>
      </c>
      <c r="BC874" s="300">
        <f t="shared" si="145"/>
        <v>222</v>
      </c>
      <c r="BD874" s="42">
        <f t="shared" si="146"/>
        <v>8</v>
      </c>
      <c r="BE874" s="42">
        <f t="shared" si="147"/>
        <v>0</v>
      </c>
      <c r="BF874" s="42">
        <f t="shared" si="148"/>
        <v>0</v>
      </c>
      <c r="BG874" s="42">
        <f t="shared" si="149"/>
        <v>0</v>
      </c>
      <c r="BH874" s="42">
        <f t="shared" si="150"/>
        <v>0</v>
      </c>
      <c r="BI874" s="42">
        <f t="shared" si="151"/>
        <v>0</v>
      </c>
      <c r="BJ874" s="42">
        <f t="shared" si="152"/>
        <v>0</v>
      </c>
      <c r="BK874" s="42">
        <f t="shared" si="153"/>
        <v>8</v>
      </c>
    </row>
    <row r="875" spans="1:63" ht="27" customHeight="1">
      <c r="A875" s="222">
        <f t="shared" si="154"/>
        <v>873</v>
      </c>
      <c r="B875" s="223"/>
      <c r="C875" s="250">
        <v>3684</v>
      </c>
      <c r="D875" s="225" t="s">
        <v>5079</v>
      </c>
      <c r="E875" s="286" t="s">
        <v>5080</v>
      </c>
      <c r="F875" s="252" t="s">
        <v>5081</v>
      </c>
      <c r="G875" s="253" t="s">
        <v>1572</v>
      </c>
      <c r="H875" s="229" t="s">
        <v>5082</v>
      </c>
      <c r="I875" s="230" t="s">
        <v>1574</v>
      </c>
      <c r="J875" s="254" t="s">
        <v>173</v>
      </c>
      <c r="K875" s="255">
        <v>34307</v>
      </c>
      <c r="L875" s="233" t="s">
        <v>174</v>
      </c>
      <c r="M875" s="256">
        <v>43762</v>
      </c>
      <c r="N875" s="256"/>
      <c r="O875" s="224"/>
      <c r="P875" s="224"/>
      <c r="Q875" s="222" t="s">
        <v>244</v>
      </c>
      <c r="R875" s="224" t="s">
        <v>177</v>
      </c>
      <c r="S875" s="224" t="s">
        <v>251</v>
      </c>
      <c r="T875" s="235"/>
      <c r="U875" s="257"/>
      <c r="V875" s="258" t="s">
        <v>179</v>
      </c>
      <c r="W875" s="258" t="s">
        <v>179</v>
      </c>
      <c r="X875" s="259"/>
      <c r="Y875" s="251" t="s">
        <v>5083</v>
      </c>
      <c r="Z875" s="261"/>
      <c r="AA875" s="261"/>
      <c r="AB875" s="261"/>
      <c r="AC875" s="280"/>
      <c r="AD875" s="271"/>
      <c r="AE875" s="271"/>
      <c r="AF875" s="272"/>
      <c r="AG875" s="270"/>
      <c r="AH875" s="260"/>
      <c r="AI875" s="260"/>
      <c r="AJ875" s="258" t="s">
        <v>198</v>
      </c>
      <c r="AK875" s="258" t="s">
        <v>185</v>
      </c>
      <c r="AL875" s="258" t="s">
        <v>185</v>
      </c>
      <c r="AM875" s="244" t="s">
        <v>236</v>
      </c>
      <c r="AN875" s="20">
        <v>182</v>
      </c>
      <c r="AO875" s="20">
        <v>0</v>
      </c>
      <c r="AP875" s="20">
        <v>20</v>
      </c>
      <c r="AQ875" s="20">
        <v>0</v>
      </c>
      <c r="AR875" s="20">
        <v>0</v>
      </c>
      <c r="AS875" s="20">
        <v>7</v>
      </c>
      <c r="AT875" s="20">
        <v>10</v>
      </c>
      <c r="AU875" s="300">
        <f t="shared" si="144"/>
        <v>219</v>
      </c>
      <c r="AV875" s="20">
        <v>190</v>
      </c>
      <c r="AW875" s="20">
        <v>0</v>
      </c>
      <c r="AX875" s="20">
        <v>20</v>
      </c>
      <c r="AY875" s="20">
        <v>0</v>
      </c>
      <c r="AZ875" s="20">
        <v>0</v>
      </c>
      <c r="BA875" s="20">
        <v>7</v>
      </c>
      <c r="BB875" s="20">
        <v>10</v>
      </c>
      <c r="BC875" s="300">
        <f t="shared" si="145"/>
        <v>227</v>
      </c>
      <c r="BD875" s="42">
        <f t="shared" si="146"/>
        <v>8</v>
      </c>
      <c r="BE875" s="42">
        <f t="shared" si="147"/>
        <v>0</v>
      </c>
      <c r="BF875" s="42">
        <f t="shared" si="148"/>
        <v>0</v>
      </c>
      <c r="BG875" s="42">
        <f t="shared" si="149"/>
        <v>0</v>
      </c>
      <c r="BH875" s="42">
        <f t="shared" si="150"/>
        <v>0</v>
      </c>
      <c r="BI875" s="42">
        <f t="shared" si="151"/>
        <v>0</v>
      </c>
      <c r="BJ875" s="42">
        <f t="shared" si="152"/>
        <v>0</v>
      </c>
      <c r="BK875" s="42">
        <f t="shared" si="153"/>
        <v>8</v>
      </c>
    </row>
    <row r="876" spans="1:63" ht="27" customHeight="1">
      <c r="A876" s="222">
        <f t="shared" si="154"/>
        <v>874</v>
      </c>
      <c r="B876" s="223"/>
      <c r="C876" s="250">
        <v>3759</v>
      </c>
      <c r="D876" s="225" t="s">
        <v>5084</v>
      </c>
      <c r="E876" s="286" t="s">
        <v>5085</v>
      </c>
      <c r="F876" s="252" t="s">
        <v>2136</v>
      </c>
      <c r="G876" s="253" t="s">
        <v>5086</v>
      </c>
      <c r="H876" s="229" t="s">
        <v>4988</v>
      </c>
      <c r="I876" s="230" t="s">
        <v>5087</v>
      </c>
      <c r="J876" s="254" t="s">
        <v>173</v>
      </c>
      <c r="K876" s="255">
        <v>36193</v>
      </c>
      <c r="L876" s="233" t="s">
        <v>174</v>
      </c>
      <c r="M876" s="256">
        <v>43762</v>
      </c>
      <c r="N876" s="256"/>
      <c r="O876" s="224"/>
      <c r="P876" s="222" t="s">
        <v>3633</v>
      </c>
      <c r="Q876" s="222" t="s">
        <v>244</v>
      </c>
      <c r="R876" s="224" t="s">
        <v>177</v>
      </c>
      <c r="S876" s="224" t="s">
        <v>206</v>
      </c>
      <c r="T876" s="235"/>
      <c r="U876" s="257"/>
      <c r="V876" s="258" t="s">
        <v>179</v>
      </c>
      <c r="W876" s="258" t="s">
        <v>179</v>
      </c>
      <c r="X876" s="259">
        <v>6</v>
      </c>
      <c r="Y876" s="251" t="s">
        <v>4990</v>
      </c>
      <c r="Z876" s="261" t="s">
        <v>181</v>
      </c>
      <c r="AA876" s="261"/>
      <c r="AB876" s="258"/>
      <c r="AC876" s="280"/>
      <c r="AD876" s="271"/>
      <c r="AE876" s="271"/>
      <c r="AF876" s="272"/>
      <c r="AG876" s="270"/>
      <c r="AH876" s="260"/>
      <c r="AI876" s="260"/>
      <c r="AJ876" s="258" t="s">
        <v>198</v>
      </c>
      <c r="AK876" s="258" t="s">
        <v>185</v>
      </c>
      <c r="AL876" s="258" t="s">
        <v>185</v>
      </c>
      <c r="AM876" s="244" t="s">
        <v>3854</v>
      </c>
      <c r="AN876" s="20">
        <v>182</v>
      </c>
      <c r="AO876" s="20">
        <v>0</v>
      </c>
      <c r="AP876" s="20">
        <v>20</v>
      </c>
      <c r="AQ876" s="20">
        <v>0</v>
      </c>
      <c r="AR876" s="20">
        <v>0</v>
      </c>
      <c r="AS876" s="20">
        <v>7</v>
      </c>
      <c r="AT876" s="20">
        <v>10</v>
      </c>
      <c r="AU876" s="300">
        <f t="shared" si="144"/>
        <v>219</v>
      </c>
      <c r="AV876" s="20">
        <v>190</v>
      </c>
      <c r="AW876" s="20">
        <v>0</v>
      </c>
      <c r="AX876" s="20">
        <v>20</v>
      </c>
      <c r="AY876" s="20">
        <v>0</v>
      </c>
      <c r="AZ876" s="20">
        <v>0</v>
      </c>
      <c r="BA876" s="20">
        <v>7</v>
      </c>
      <c r="BB876" s="20">
        <v>10</v>
      </c>
      <c r="BC876" s="300">
        <f t="shared" si="145"/>
        <v>227</v>
      </c>
      <c r="BD876" s="42">
        <f t="shared" si="146"/>
        <v>8</v>
      </c>
      <c r="BE876" s="42">
        <f t="shared" si="147"/>
        <v>0</v>
      </c>
      <c r="BF876" s="42">
        <f t="shared" si="148"/>
        <v>0</v>
      </c>
      <c r="BG876" s="42">
        <f t="shared" si="149"/>
        <v>0</v>
      </c>
      <c r="BH876" s="42">
        <f t="shared" si="150"/>
        <v>0</v>
      </c>
      <c r="BI876" s="42">
        <f t="shared" si="151"/>
        <v>0</v>
      </c>
      <c r="BJ876" s="42">
        <f t="shared" si="152"/>
        <v>0</v>
      </c>
      <c r="BK876" s="42">
        <f t="shared" si="153"/>
        <v>8</v>
      </c>
    </row>
    <row r="877" spans="1:63" ht="27" customHeight="1">
      <c r="A877" s="222">
        <f t="shared" si="154"/>
        <v>875</v>
      </c>
      <c r="B877" s="223"/>
      <c r="C877" s="250">
        <v>3758</v>
      </c>
      <c r="D877" s="225" t="s">
        <v>5088</v>
      </c>
      <c r="E877" s="286" t="s">
        <v>5089</v>
      </c>
      <c r="F877" s="252" t="s">
        <v>5090</v>
      </c>
      <c r="G877" s="253" t="s">
        <v>826</v>
      </c>
      <c r="H877" s="229" t="s">
        <v>1799</v>
      </c>
      <c r="I877" s="230" t="s">
        <v>1914</v>
      </c>
      <c r="J877" s="254" t="s">
        <v>173</v>
      </c>
      <c r="K877" s="255">
        <v>31448</v>
      </c>
      <c r="L877" s="233" t="s">
        <v>174</v>
      </c>
      <c r="M877" s="256">
        <v>43762</v>
      </c>
      <c r="N877" s="256"/>
      <c r="O877" s="224"/>
      <c r="P877" s="222" t="s">
        <v>3644</v>
      </c>
      <c r="Q877" s="222" t="s">
        <v>244</v>
      </c>
      <c r="R877" s="224" t="s">
        <v>177</v>
      </c>
      <c r="S877" s="224" t="s">
        <v>722</v>
      </c>
      <c r="T877" s="235"/>
      <c r="U877" s="257"/>
      <c r="V877" s="258" t="s">
        <v>179</v>
      </c>
      <c r="W877" s="258" t="s">
        <v>179</v>
      </c>
      <c r="X877" s="259">
        <v>5</v>
      </c>
      <c r="Y877" s="251" t="s">
        <v>5091</v>
      </c>
      <c r="Z877" s="261"/>
      <c r="AA877" s="261" t="s">
        <v>181</v>
      </c>
      <c r="AB877" s="258"/>
      <c r="AC877" s="280"/>
      <c r="AD877" s="271"/>
      <c r="AE877" s="271"/>
      <c r="AF877" s="272"/>
      <c r="AG877" s="270"/>
      <c r="AH877" s="260"/>
      <c r="AI877" s="260"/>
      <c r="AJ877" s="258" t="s">
        <v>198</v>
      </c>
      <c r="AK877" s="258" t="s">
        <v>185</v>
      </c>
      <c r="AL877" s="258" t="s">
        <v>185</v>
      </c>
      <c r="AM877" s="244" t="s">
        <v>3854</v>
      </c>
      <c r="AN877" s="20">
        <v>182</v>
      </c>
      <c r="AO877" s="20">
        <v>0</v>
      </c>
      <c r="AP877" s="20">
        <v>20</v>
      </c>
      <c r="AQ877" s="20">
        <v>0</v>
      </c>
      <c r="AR877" s="20">
        <v>0</v>
      </c>
      <c r="AS877" s="20">
        <v>7</v>
      </c>
      <c r="AT877" s="20">
        <v>10</v>
      </c>
      <c r="AU877" s="300">
        <f t="shared" si="144"/>
        <v>219</v>
      </c>
      <c r="AV877" s="20">
        <v>190</v>
      </c>
      <c r="AW877" s="20">
        <v>0</v>
      </c>
      <c r="AX877" s="20">
        <v>20</v>
      </c>
      <c r="AY877" s="20">
        <v>0</v>
      </c>
      <c r="AZ877" s="20">
        <v>0</v>
      </c>
      <c r="BA877" s="20">
        <v>7</v>
      </c>
      <c r="BB877" s="20">
        <v>10</v>
      </c>
      <c r="BC877" s="300">
        <f t="shared" si="145"/>
        <v>227</v>
      </c>
      <c r="BD877" s="42">
        <f t="shared" si="146"/>
        <v>8</v>
      </c>
      <c r="BE877" s="42">
        <f t="shared" si="147"/>
        <v>0</v>
      </c>
      <c r="BF877" s="42">
        <f t="shared" si="148"/>
        <v>0</v>
      </c>
      <c r="BG877" s="42">
        <f t="shared" si="149"/>
        <v>0</v>
      </c>
      <c r="BH877" s="42">
        <f t="shared" si="150"/>
        <v>0</v>
      </c>
      <c r="BI877" s="42">
        <f t="shared" si="151"/>
        <v>0</v>
      </c>
      <c r="BJ877" s="42">
        <f t="shared" si="152"/>
        <v>0</v>
      </c>
      <c r="BK877" s="42">
        <f t="shared" si="153"/>
        <v>8</v>
      </c>
    </row>
    <row r="878" spans="1:63" ht="27" customHeight="1">
      <c r="A878" s="222">
        <f t="shared" si="154"/>
        <v>876</v>
      </c>
      <c r="B878" s="223"/>
      <c r="C878" s="250">
        <v>3695</v>
      </c>
      <c r="D878" s="225">
        <v>0</v>
      </c>
      <c r="E878" s="286" t="s">
        <v>5092</v>
      </c>
      <c r="F878" s="252" t="s">
        <v>5093</v>
      </c>
      <c r="G878" s="253" t="s">
        <v>892</v>
      </c>
      <c r="H878" s="229" t="s">
        <v>5094</v>
      </c>
      <c r="I878" s="230" t="s">
        <v>894</v>
      </c>
      <c r="J878" s="254" t="s">
        <v>173</v>
      </c>
      <c r="K878" s="255">
        <v>33608</v>
      </c>
      <c r="L878" s="233" t="s">
        <v>174</v>
      </c>
      <c r="M878" s="256">
        <v>43762</v>
      </c>
      <c r="N878" s="256"/>
      <c r="O878" s="224"/>
      <c r="P878" s="222" t="s">
        <v>3945</v>
      </c>
      <c r="Q878" s="222" t="s">
        <v>244</v>
      </c>
      <c r="R878" s="224" t="s">
        <v>177</v>
      </c>
      <c r="S878" s="224" t="s">
        <v>223</v>
      </c>
      <c r="T878" s="235"/>
      <c r="U878" s="257"/>
      <c r="V878" s="258" t="s">
        <v>179</v>
      </c>
      <c r="W878" s="258" t="s">
        <v>179</v>
      </c>
      <c r="X878" s="259">
        <v>5</v>
      </c>
      <c r="Y878" s="251" t="s">
        <v>5046</v>
      </c>
      <c r="Z878" s="261" t="s">
        <v>181</v>
      </c>
      <c r="AA878" s="261"/>
      <c r="AB878" s="258"/>
      <c r="AC878" s="280"/>
      <c r="AD878" s="271"/>
      <c r="AE878" s="271"/>
      <c r="AF878" s="272"/>
      <c r="AG878" s="270"/>
      <c r="AH878" s="260"/>
      <c r="AI878" s="260"/>
      <c r="AJ878" s="258" t="s">
        <v>198</v>
      </c>
      <c r="AK878" s="258" t="s">
        <v>185</v>
      </c>
      <c r="AL878" s="258" t="s">
        <v>185</v>
      </c>
      <c r="AM878" s="244" t="s">
        <v>4825</v>
      </c>
      <c r="AN878" s="20">
        <v>182</v>
      </c>
      <c r="AO878" s="20">
        <v>0</v>
      </c>
      <c r="AP878" s="20">
        <v>0</v>
      </c>
      <c r="AQ878" s="20">
        <v>0</v>
      </c>
      <c r="AR878" s="20">
        <v>0</v>
      </c>
      <c r="AS878" s="20">
        <v>7</v>
      </c>
      <c r="AT878" s="20">
        <v>10</v>
      </c>
      <c r="AU878" s="300">
        <f t="shared" si="144"/>
        <v>199</v>
      </c>
      <c r="AV878" s="20">
        <v>190</v>
      </c>
      <c r="AW878" s="20">
        <v>0</v>
      </c>
      <c r="AX878" s="20">
        <v>0</v>
      </c>
      <c r="AY878" s="20">
        <v>0</v>
      </c>
      <c r="AZ878" s="20">
        <v>0</v>
      </c>
      <c r="BA878" s="20">
        <v>7</v>
      </c>
      <c r="BB878" s="20">
        <v>10</v>
      </c>
      <c r="BC878" s="300">
        <f t="shared" si="145"/>
        <v>207</v>
      </c>
      <c r="BD878" s="42">
        <f t="shared" si="146"/>
        <v>8</v>
      </c>
      <c r="BE878" s="42">
        <f t="shared" si="147"/>
        <v>0</v>
      </c>
      <c r="BF878" s="42">
        <f t="shared" si="148"/>
        <v>0</v>
      </c>
      <c r="BG878" s="42">
        <f t="shared" si="149"/>
        <v>0</v>
      </c>
      <c r="BH878" s="42">
        <f t="shared" si="150"/>
        <v>0</v>
      </c>
      <c r="BI878" s="42">
        <f t="shared" si="151"/>
        <v>0</v>
      </c>
      <c r="BJ878" s="42">
        <f t="shared" si="152"/>
        <v>0</v>
      </c>
      <c r="BK878" s="42">
        <f t="shared" si="153"/>
        <v>8</v>
      </c>
    </row>
    <row r="879" spans="1:63" ht="27" customHeight="1">
      <c r="A879" s="222">
        <f t="shared" si="154"/>
        <v>877</v>
      </c>
      <c r="B879" s="223"/>
      <c r="C879" s="250">
        <v>3696</v>
      </c>
      <c r="D879" s="225" t="s">
        <v>5095</v>
      </c>
      <c r="E879" s="286" t="s">
        <v>5096</v>
      </c>
      <c r="F879" s="252" t="s">
        <v>2093</v>
      </c>
      <c r="G879" s="253" t="s">
        <v>439</v>
      </c>
      <c r="H879" s="229" t="s">
        <v>4166</v>
      </c>
      <c r="I879" s="230" t="s">
        <v>5097</v>
      </c>
      <c r="J879" s="254" t="s">
        <v>173</v>
      </c>
      <c r="K879" s="255">
        <v>28171</v>
      </c>
      <c r="L879" s="233" t="s">
        <v>174</v>
      </c>
      <c r="M879" s="256">
        <v>43753</v>
      </c>
      <c r="N879" s="256"/>
      <c r="O879" s="224"/>
      <c r="P879" s="222" t="s">
        <v>3633</v>
      </c>
      <c r="Q879" s="222" t="s">
        <v>244</v>
      </c>
      <c r="R879" s="224" t="s">
        <v>177</v>
      </c>
      <c r="S879" s="224" t="s">
        <v>178</v>
      </c>
      <c r="T879" s="235"/>
      <c r="U879" s="257"/>
      <c r="V879" s="258" t="s">
        <v>179</v>
      </c>
      <c r="W879" s="258" t="s">
        <v>179</v>
      </c>
      <c r="X879" s="259">
        <v>5</v>
      </c>
      <c r="Y879" s="251" t="s">
        <v>5098</v>
      </c>
      <c r="Z879" s="261"/>
      <c r="AA879" s="261" t="s">
        <v>181</v>
      </c>
      <c r="AB879" s="258"/>
      <c r="AC879" s="280" t="s">
        <v>3883</v>
      </c>
      <c r="AD879" s="280" t="s">
        <v>3883</v>
      </c>
      <c r="AE879" s="280" t="s">
        <v>3883</v>
      </c>
      <c r="AF879" s="280" t="s">
        <v>3883</v>
      </c>
      <c r="AG879" s="280" t="s">
        <v>183</v>
      </c>
      <c r="AH879" s="280" t="s">
        <v>183</v>
      </c>
      <c r="AI879" s="280"/>
      <c r="AJ879" s="258" t="s">
        <v>198</v>
      </c>
      <c r="AK879" s="258" t="s">
        <v>185</v>
      </c>
      <c r="AL879" s="258" t="s">
        <v>185</v>
      </c>
      <c r="AM879" s="244" t="s">
        <v>3911</v>
      </c>
      <c r="AN879" s="20">
        <v>182</v>
      </c>
      <c r="AO879" s="20">
        <v>0</v>
      </c>
      <c r="AP879" s="20">
        <v>20</v>
      </c>
      <c r="AQ879" s="20">
        <v>0</v>
      </c>
      <c r="AR879" s="20">
        <v>0</v>
      </c>
      <c r="AS879" s="20">
        <v>7</v>
      </c>
      <c r="AT879" s="20">
        <v>10</v>
      </c>
      <c r="AU879" s="300">
        <f t="shared" si="144"/>
        <v>219</v>
      </c>
      <c r="AV879" s="20">
        <v>190</v>
      </c>
      <c r="AW879" s="20">
        <v>0</v>
      </c>
      <c r="AX879" s="20">
        <v>20</v>
      </c>
      <c r="AY879" s="20">
        <v>0</v>
      </c>
      <c r="AZ879" s="20">
        <v>0</v>
      </c>
      <c r="BA879" s="20">
        <v>7</v>
      </c>
      <c r="BB879" s="20">
        <v>10</v>
      </c>
      <c r="BC879" s="300">
        <f t="shared" si="145"/>
        <v>227</v>
      </c>
      <c r="BD879" s="42">
        <f t="shared" si="146"/>
        <v>8</v>
      </c>
      <c r="BE879" s="42">
        <f t="shared" si="147"/>
        <v>0</v>
      </c>
      <c r="BF879" s="42">
        <f t="shared" si="148"/>
        <v>0</v>
      </c>
      <c r="BG879" s="42">
        <f t="shared" si="149"/>
        <v>0</v>
      </c>
      <c r="BH879" s="42">
        <f t="shared" si="150"/>
        <v>0</v>
      </c>
      <c r="BI879" s="42">
        <f t="shared" si="151"/>
        <v>0</v>
      </c>
      <c r="BJ879" s="42">
        <f t="shared" si="152"/>
        <v>0</v>
      </c>
      <c r="BK879" s="42">
        <f t="shared" si="153"/>
        <v>8</v>
      </c>
    </row>
    <row r="880" spans="1:63" ht="27" customHeight="1">
      <c r="A880" s="222">
        <f t="shared" si="154"/>
        <v>878</v>
      </c>
      <c r="B880" s="223"/>
      <c r="C880" s="250">
        <v>3697</v>
      </c>
      <c r="D880" s="225" t="s">
        <v>5099</v>
      </c>
      <c r="E880" s="286" t="s">
        <v>5100</v>
      </c>
      <c r="F880" s="252" t="s">
        <v>5101</v>
      </c>
      <c r="G880" s="253" t="s">
        <v>408</v>
      </c>
      <c r="H880" s="229" t="s">
        <v>3868</v>
      </c>
      <c r="I880" s="230" t="s">
        <v>5102</v>
      </c>
      <c r="J880" s="254" t="s">
        <v>173</v>
      </c>
      <c r="K880" s="255">
        <v>34561</v>
      </c>
      <c r="L880" s="233" t="s">
        <v>174</v>
      </c>
      <c r="M880" s="256">
        <v>43762</v>
      </c>
      <c r="N880" s="256"/>
      <c r="O880" s="224"/>
      <c r="P880" s="222" t="s">
        <v>3633</v>
      </c>
      <c r="Q880" s="222" t="s">
        <v>244</v>
      </c>
      <c r="R880" s="224" t="s">
        <v>177</v>
      </c>
      <c r="S880" s="224" t="s">
        <v>223</v>
      </c>
      <c r="T880" s="235"/>
      <c r="U880" s="257"/>
      <c r="V880" s="258" t="s">
        <v>179</v>
      </c>
      <c r="W880" s="258" t="s">
        <v>179</v>
      </c>
      <c r="X880" s="259">
        <v>4</v>
      </c>
      <c r="Y880" s="251" t="s">
        <v>5103</v>
      </c>
      <c r="Z880" s="261"/>
      <c r="AA880" s="261" t="s">
        <v>181</v>
      </c>
      <c r="AB880" s="258"/>
      <c r="AC880" s="280"/>
      <c r="AD880" s="280"/>
      <c r="AE880" s="280"/>
      <c r="AF880" s="280"/>
      <c r="AG880" s="280"/>
      <c r="AH880" s="280"/>
      <c r="AI880" s="280"/>
      <c r="AJ880" s="258" t="s">
        <v>198</v>
      </c>
      <c r="AK880" s="258" t="s">
        <v>185</v>
      </c>
      <c r="AL880" s="258" t="s">
        <v>185</v>
      </c>
      <c r="AM880" s="244" t="s">
        <v>3854</v>
      </c>
      <c r="AN880" s="20">
        <v>182</v>
      </c>
      <c r="AO880" s="20">
        <v>0</v>
      </c>
      <c r="AP880" s="20">
        <v>20</v>
      </c>
      <c r="AQ880" s="20">
        <v>0</v>
      </c>
      <c r="AR880" s="20">
        <v>0</v>
      </c>
      <c r="AS880" s="20">
        <v>7</v>
      </c>
      <c r="AT880" s="20">
        <v>10</v>
      </c>
      <c r="AU880" s="300">
        <f t="shared" si="144"/>
        <v>219</v>
      </c>
      <c r="AV880" s="20">
        <v>190</v>
      </c>
      <c r="AW880" s="20">
        <v>0</v>
      </c>
      <c r="AX880" s="20">
        <v>20</v>
      </c>
      <c r="AY880" s="20">
        <v>0</v>
      </c>
      <c r="AZ880" s="20">
        <v>0</v>
      </c>
      <c r="BA880" s="20">
        <v>7</v>
      </c>
      <c r="BB880" s="20">
        <v>10</v>
      </c>
      <c r="BC880" s="300">
        <f t="shared" si="145"/>
        <v>227</v>
      </c>
      <c r="BD880" s="42">
        <f t="shared" si="146"/>
        <v>8</v>
      </c>
      <c r="BE880" s="42">
        <f t="shared" si="147"/>
        <v>0</v>
      </c>
      <c r="BF880" s="42">
        <f t="shared" si="148"/>
        <v>0</v>
      </c>
      <c r="BG880" s="42">
        <f t="shared" si="149"/>
        <v>0</v>
      </c>
      <c r="BH880" s="42">
        <f t="shared" si="150"/>
        <v>0</v>
      </c>
      <c r="BI880" s="42">
        <f t="shared" si="151"/>
        <v>0</v>
      </c>
      <c r="BJ880" s="42">
        <f t="shared" si="152"/>
        <v>0</v>
      </c>
      <c r="BK880" s="42">
        <f t="shared" si="153"/>
        <v>8</v>
      </c>
    </row>
    <row r="881" spans="1:63" ht="27" customHeight="1">
      <c r="A881" s="222">
        <f t="shared" si="154"/>
        <v>879</v>
      </c>
      <c r="B881" s="223"/>
      <c r="C881" s="250">
        <v>3698</v>
      </c>
      <c r="D881" s="225" t="s">
        <v>5104</v>
      </c>
      <c r="E881" s="286" t="s">
        <v>5105</v>
      </c>
      <c r="F881" s="252" t="s">
        <v>476</v>
      </c>
      <c r="G881" s="253" t="s">
        <v>5106</v>
      </c>
      <c r="H881" s="229" t="s">
        <v>1056</v>
      </c>
      <c r="I881" s="230" t="s">
        <v>5107</v>
      </c>
      <c r="J881" s="254" t="s">
        <v>173</v>
      </c>
      <c r="K881" s="255">
        <v>34366</v>
      </c>
      <c r="L881" s="233" t="s">
        <v>174</v>
      </c>
      <c r="M881" s="256">
        <v>43762</v>
      </c>
      <c r="N881" s="256"/>
      <c r="O881" s="224"/>
      <c r="P881" s="222" t="s">
        <v>3633</v>
      </c>
      <c r="Q881" s="222" t="s">
        <v>244</v>
      </c>
      <c r="R881" s="224" t="s">
        <v>177</v>
      </c>
      <c r="S881" s="224" t="s">
        <v>223</v>
      </c>
      <c r="T881" s="235"/>
      <c r="U881" s="257"/>
      <c r="V881" s="258" t="s">
        <v>179</v>
      </c>
      <c r="W881" s="258" t="s">
        <v>179</v>
      </c>
      <c r="X881" s="259">
        <v>5</v>
      </c>
      <c r="Y881" s="251" t="s">
        <v>5108</v>
      </c>
      <c r="Z881" s="261"/>
      <c r="AA881" s="261" t="s">
        <v>181</v>
      </c>
      <c r="AB881" s="258"/>
      <c r="AC881" s="280"/>
      <c r="AD881" s="280"/>
      <c r="AE881" s="280"/>
      <c r="AF881" s="280"/>
      <c r="AG881" s="280"/>
      <c r="AH881" s="280"/>
      <c r="AI881" s="280"/>
      <c r="AJ881" s="258" t="s">
        <v>198</v>
      </c>
      <c r="AK881" s="258" t="s">
        <v>185</v>
      </c>
      <c r="AL881" s="258" t="s">
        <v>185</v>
      </c>
      <c r="AM881" s="244" t="s">
        <v>5109</v>
      </c>
      <c r="AN881" s="20">
        <v>182</v>
      </c>
      <c r="AO881" s="20">
        <v>0</v>
      </c>
      <c r="AP881" s="20">
        <v>0</v>
      </c>
      <c r="AQ881" s="20">
        <v>0</v>
      </c>
      <c r="AR881" s="20">
        <v>0</v>
      </c>
      <c r="AS881" s="20">
        <v>7</v>
      </c>
      <c r="AT881" s="20">
        <v>10</v>
      </c>
      <c r="AU881" s="300">
        <f t="shared" si="144"/>
        <v>199</v>
      </c>
      <c r="AV881" s="20">
        <v>190</v>
      </c>
      <c r="AW881" s="20">
        <v>0</v>
      </c>
      <c r="AX881" s="20">
        <v>0</v>
      </c>
      <c r="AY881" s="20">
        <v>0</v>
      </c>
      <c r="AZ881" s="20">
        <v>0</v>
      </c>
      <c r="BA881" s="20">
        <v>7</v>
      </c>
      <c r="BB881" s="20">
        <v>10</v>
      </c>
      <c r="BC881" s="300">
        <f t="shared" si="145"/>
        <v>207</v>
      </c>
      <c r="BD881" s="42">
        <f t="shared" si="146"/>
        <v>8</v>
      </c>
      <c r="BE881" s="42">
        <f t="shared" si="147"/>
        <v>0</v>
      </c>
      <c r="BF881" s="42">
        <f t="shared" si="148"/>
        <v>0</v>
      </c>
      <c r="BG881" s="42">
        <f t="shared" si="149"/>
        <v>0</v>
      </c>
      <c r="BH881" s="42">
        <f t="shared" si="150"/>
        <v>0</v>
      </c>
      <c r="BI881" s="42">
        <f t="shared" si="151"/>
        <v>0</v>
      </c>
      <c r="BJ881" s="42">
        <f t="shared" si="152"/>
        <v>0</v>
      </c>
      <c r="BK881" s="42">
        <f t="shared" si="153"/>
        <v>8</v>
      </c>
    </row>
    <row r="882" spans="1:63" ht="27" customHeight="1">
      <c r="A882" s="222">
        <f t="shared" si="154"/>
        <v>880</v>
      </c>
      <c r="B882" s="223"/>
      <c r="C882" s="250">
        <v>3699</v>
      </c>
      <c r="D882" s="225" t="s">
        <v>5110</v>
      </c>
      <c r="E882" s="286" t="s">
        <v>5111</v>
      </c>
      <c r="F882" s="252" t="s">
        <v>393</v>
      </c>
      <c r="G882" s="253" t="s">
        <v>4144</v>
      </c>
      <c r="H882" s="229" t="s">
        <v>4587</v>
      </c>
      <c r="I882" s="230" t="s">
        <v>4146</v>
      </c>
      <c r="J882" s="254" t="s">
        <v>173</v>
      </c>
      <c r="K882" s="255">
        <v>33513</v>
      </c>
      <c r="L882" s="233" t="s">
        <v>174</v>
      </c>
      <c r="M882" s="256">
        <v>43762</v>
      </c>
      <c r="N882" s="256"/>
      <c r="O882" s="224"/>
      <c r="P882" s="222" t="s">
        <v>3633</v>
      </c>
      <c r="Q882" s="222" t="s">
        <v>244</v>
      </c>
      <c r="R882" s="224" t="s">
        <v>177</v>
      </c>
      <c r="S882" s="224" t="s">
        <v>223</v>
      </c>
      <c r="T882" s="235"/>
      <c r="U882" s="257"/>
      <c r="V882" s="258" t="s">
        <v>179</v>
      </c>
      <c r="W882" s="258" t="s">
        <v>179</v>
      </c>
      <c r="X882" s="259">
        <v>8</v>
      </c>
      <c r="Y882" s="251" t="s">
        <v>5112</v>
      </c>
      <c r="Z882" s="261"/>
      <c r="AA882" s="261" t="s">
        <v>181</v>
      </c>
      <c r="AB882" s="258"/>
      <c r="AC882" s="280"/>
      <c r="AD882" s="280"/>
      <c r="AE882" s="280"/>
      <c r="AF882" s="280"/>
      <c r="AG882" s="280"/>
      <c r="AH882" s="280"/>
      <c r="AI882" s="280"/>
      <c r="AJ882" s="258" t="s">
        <v>198</v>
      </c>
      <c r="AK882" s="258" t="s">
        <v>185</v>
      </c>
      <c r="AL882" s="258" t="s">
        <v>185</v>
      </c>
      <c r="AM882" s="244" t="s">
        <v>4825</v>
      </c>
      <c r="AN882" s="20">
        <v>182</v>
      </c>
      <c r="AO882" s="20">
        <v>0</v>
      </c>
      <c r="AP882" s="20">
        <v>20</v>
      </c>
      <c r="AQ882" s="20">
        <v>0</v>
      </c>
      <c r="AR882" s="20">
        <v>0</v>
      </c>
      <c r="AS882" s="20">
        <v>7</v>
      </c>
      <c r="AT882" s="20">
        <v>10</v>
      </c>
      <c r="AU882" s="300">
        <f t="shared" si="144"/>
        <v>219</v>
      </c>
      <c r="AV882" s="20">
        <v>190</v>
      </c>
      <c r="AW882" s="20">
        <v>0</v>
      </c>
      <c r="AX882" s="20">
        <v>20</v>
      </c>
      <c r="AY882" s="20">
        <v>0</v>
      </c>
      <c r="AZ882" s="20">
        <v>0</v>
      </c>
      <c r="BA882" s="20">
        <v>7</v>
      </c>
      <c r="BB882" s="20">
        <v>10</v>
      </c>
      <c r="BC882" s="300">
        <f t="shared" si="145"/>
        <v>227</v>
      </c>
      <c r="BD882" s="42">
        <f t="shared" si="146"/>
        <v>8</v>
      </c>
      <c r="BE882" s="42">
        <f t="shared" si="147"/>
        <v>0</v>
      </c>
      <c r="BF882" s="42">
        <f t="shared" si="148"/>
        <v>0</v>
      </c>
      <c r="BG882" s="42">
        <f t="shared" si="149"/>
        <v>0</v>
      </c>
      <c r="BH882" s="42">
        <f t="shared" si="150"/>
        <v>0</v>
      </c>
      <c r="BI882" s="42">
        <f t="shared" si="151"/>
        <v>0</v>
      </c>
      <c r="BJ882" s="42">
        <f t="shared" si="152"/>
        <v>0</v>
      </c>
      <c r="BK882" s="42">
        <f t="shared" si="153"/>
        <v>8</v>
      </c>
    </row>
    <row r="883" spans="1:63" ht="27" customHeight="1">
      <c r="A883" s="222">
        <f t="shared" si="154"/>
        <v>881</v>
      </c>
      <c r="B883" s="223"/>
      <c r="C883" s="250">
        <v>3687</v>
      </c>
      <c r="D883" s="225" t="s">
        <v>5113</v>
      </c>
      <c r="E883" s="286" t="s">
        <v>5114</v>
      </c>
      <c r="F883" s="252" t="s">
        <v>438</v>
      </c>
      <c r="G883" s="253" t="s">
        <v>3323</v>
      </c>
      <c r="H883" s="229" t="s">
        <v>959</v>
      </c>
      <c r="I883" s="230" t="s">
        <v>4829</v>
      </c>
      <c r="J883" s="254" t="s">
        <v>173</v>
      </c>
      <c r="K883" s="255">
        <v>35604</v>
      </c>
      <c r="L883" s="233" t="s">
        <v>174</v>
      </c>
      <c r="M883" s="256">
        <v>43762</v>
      </c>
      <c r="N883" s="256"/>
      <c r="O883" s="224"/>
      <c r="P883" s="222" t="s">
        <v>3935</v>
      </c>
      <c r="Q883" s="222" t="s">
        <v>244</v>
      </c>
      <c r="R883" s="224" t="s">
        <v>177</v>
      </c>
      <c r="S883" s="224" t="s">
        <v>223</v>
      </c>
      <c r="T883" s="235"/>
      <c r="U883" s="257"/>
      <c r="V883" s="258" t="s">
        <v>179</v>
      </c>
      <c r="W883" s="258" t="s">
        <v>179</v>
      </c>
      <c r="X883" s="259">
        <v>3</v>
      </c>
      <c r="Y883" s="251" t="s">
        <v>5115</v>
      </c>
      <c r="Z883" s="261"/>
      <c r="AA883" s="261" t="s">
        <v>181</v>
      </c>
      <c r="AB883" s="258"/>
      <c r="AC883" s="280" t="s">
        <v>182</v>
      </c>
      <c r="AD883" s="280" t="s">
        <v>184</v>
      </c>
      <c r="AE883" s="280"/>
      <c r="AF883" s="280"/>
      <c r="AG883" s="280"/>
      <c r="AH883" s="280"/>
      <c r="AI883" s="280"/>
      <c r="AJ883" s="258" t="s">
        <v>198</v>
      </c>
      <c r="AK883" s="258" t="s">
        <v>185</v>
      </c>
      <c r="AL883" s="258" t="s">
        <v>185</v>
      </c>
      <c r="AM883" s="244" t="s">
        <v>3854</v>
      </c>
      <c r="AN883" s="20">
        <v>182</v>
      </c>
      <c r="AO883" s="20">
        <v>0</v>
      </c>
      <c r="AP883" s="20">
        <v>20</v>
      </c>
      <c r="AQ883" s="20">
        <v>0</v>
      </c>
      <c r="AR883" s="20">
        <v>0</v>
      </c>
      <c r="AS883" s="20">
        <v>7</v>
      </c>
      <c r="AT883" s="20">
        <v>10</v>
      </c>
      <c r="AU883" s="300">
        <f t="shared" si="144"/>
        <v>219</v>
      </c>
      <c r="AV883" s="20">
        <v>190</v>
      </c>
      <c r="AW883" s="20">
        <v>0</v>
      </c>
      <c r="AX883" s="20">
        <v>20</v>
      </c>
      <c r="AY883" s="20">
        <v>0</v>
      </c>
      <c r="AZ883" s="20">
        <v>0</v>
      </c>
      <c r="BA883" s="20">
        <v>7</v>
      </c>
      <c r="BB883" s="20">
        <v>10</v>
      </c>
      <c r="BC883" s="300">
        <f t="shared" si="145"/>
        <v>227</v>
      </c>
      <c r="BD883" s="42">
        <f t="shared" si="146"/>
        <v>8</v>
      </c>
      <c r="BE883" s="42">
        <f t="shared" si="147"/>
        <v>0</v>
      </c>
      <c r="BF883" s="42">
        <f t="shared" si="148"/>
        <v>0</v>
      </c>
      <c r="BG883" s="42">
        <f t="shared" si="149"/>
        <v>0</v>
      </c>
      <c r="BH883" s="42">
        <f t="shared" si="150"/>
        <v>0</v>
      </c>
      <c r="BI883" s="42">
        <f t="shared" si="151"/>
        <v>0</v>
      </c>
      <c r="BJ883" s="42">
        <f t="shared" si="152"/>
        <v>0</v>
      </c>
      <c r="BK883" s="42">
        <f t="shared" si="153"/>
        <v>8</v>
      </c>
    </row>
    <row r="884" spans="1:63" ht="27" customHeight="1">
      <c r="A884" s="222">
        <f t="shared" si="154"/>
        <v>882</v>
      </c>
      <c r="B884" s="223"/>
      <c r="C884" s="250">
        <v>3742</v>
      </c>
      <c r="D884" s="225" t="s">
        <v>5116</v>
      </c>
      <c r="E884" s="286" t="s">
        <v>5117</v>
      </c>
      <c r="F884" s="252" t="s">
        <v>2054</v>
      </c>
      <c r="G884" s="253" t="s">
        <v>3292</v>
      </c>
      <c r="H884" s="229" t="s">
        <v>4651</v>
      </c>
      <c r="I884" s="230" t="s">
        <v>3579</v>
      </c>
      <c r="J884" s="254" t="s">
        <v>173</v>
      </c>
      <c r="K884" s="255">
        <v>30387</v>
      </c>
      <c r="L884" s="233" t="s">
        <v>174</v>
      </c>
      <c r="M884" s="256">
        <v>43762</v>
      </c>
      <c r="N884" s="256"/>
      <c r="O884" s="224"/>
      <c r="P884" s="222" t="s">
        <v>3945</v>
      </c>
      <c r="Q884" s="222" t="s">
        <v>244</v>
      </c>
      <c r="R884" s="224" t="s">
        <v>177</v>
      </c>
      <c r="S884" s="224" t="s">
        <v>223</v>
      </c>
      <c r="T884" s="235"/>
      <c r="U884" s="257"/>
      <c r="V884" s="258" t="s">
        <v>179</v>
      </c>
      <c r="W884" s="258" t="s">
        <v>179</v>
      </c>
      <c r="X884" s="259">
        <v>4</v>
      </c>
      <c r="Y884" s="251" t="s">
        <v>5118</v>
      </c>
      <c r="Z884" s="261"/>
      <c r="AA884" s="261" t="s">
        <v>181</v>
      </c>
      <c r="AB884" s="258"/>
      <c r="AC884" s="280"/>
      <c r="AD884" s="280" t="s">
        <v>183</v>
      </c>
      <c r="AE884" s="280" t="s">
        <v>183</v>
      </c>
      <c r="AF884" s="280" t="s">
        <v>183</v>
      </c>
      <c r="AG884" s="280"/>
      <c r="AH884" s="280"/>
      <c r="AI884" s="280"/>
      <c r="AJ884" s="258" t="s">
        <v>198</v>
      </c>
      <c r="AK884" s="258" t="s">
        <v>185</v>
      </c>
      <c r="AL884" s="258" t="s">
        <v>185</v>
      </c>
      <c r="AM884" s="244" t="s">
        <v>4825</v>
      </c>
      <c r="AN884" s="20">
        <v>177</v>
      </c>
      <c r="AO884" s="20">
        <v>0</v>
      </c>
      <c r="AP884" s="20">
        <v>20</v>
      </c>
      <c r="AQ884" s="20">
        <v>0</v>
      </c>
      <c r="AR884" s="20">
        <v>0</v>
      </c>
      <c r="AS884" s="20">
        <v>7</v>
      </c>
      <c r="AT884" s="20">
        <v>10</v>
      </c>
      <c r="AU884" s="300">
        <f t="shared" si="144"/>
        <v>214</v>
      </c>
      <c r="AV884" s="20">
        <v>185</v>
      </c>
      <c r="AW884" s="20">
        <v>0</v>
      </c>
      <c r="AX884" s="20">
        <v>20</v>
      </c>
      <c r="AY884" s="20">
        <v>0</v>
      </c>
      <c r="AZ884" s="20">
        <v>0</v>
      </c>
      <c r="BA884" s="20">
        <v>7</v>
      </c>
      <c r="BB884" s="20">
        <v>10</v>
      </c>
      <c r="BC884" s="300">
        <f t="shared" si="145"/>
        <v>222</v>
      </c>
      <c r="BD884" s="42">
        <f t="shared" si="146"/>
        <v>8</v>
      </c>
      <c r="BE884" s="42">
        <f t="shared" si="147"/>
        <v>0</v>
      </c>
      <c r="BF884" s="42">
        <f t="shared" si="148"/>
        <v>0</v>
      </c>
      <c r="BG884" s="42">
        <f t="shared" si="149"/>
        <v>0</v>
      </c>
      <c r="BH884" s="42">
        <f t="shared" si="150"/>
        <v>0</v>
      </c>
      <c r="BI884" s="42">
        <f t="shared" si="151"/>
        <v>0</v>
      </c>
      <c r="BJ884" s="42">
        <f t="shared" si="152"/>
        <v>0</v>
      </c>
      <c r="BK884" s="42">
        <f t="shared" si="153"/>
        <v>8</v>
      </c>
    </row>
    <row r="885" spans="1:63" ht="27" customHeight="1">
      <c r="A885" s="222">
        <f t="shared" si="154"/>
        <v>883</v>
      </c>
      <c r="B885" s="223"/>
      <c r="C885" s="250">
        <v>3743</v>
      </c>
      <c r="D885" s="225" t="s">
        <v>5119</v>
      </c>
      <c r="E885" s="286" t="s">
        <v>5120</v>
      </c>
      <c r="F885" s="252" t="s">
        <v>3466</v>
      </c>
      <c r="G885" s="253" t="s">
        <v>5121</v>
      </c>
      <c r="H885" s="229" t="s">
        <v>5122</v>
      </c>
      <c r="I885" s="230" t="s">
        <v>5123</v>
      </c>
      <c r="J885" s="254" t="s">
        <v>173</v>
      </c>
      <c r="K885" s="255">
        <v>34888</v>
      </c>
      <c r="L885" s="233" t="s">
        <v>174</v>
      </c>
      <c r="M885" s="256">
        <v>43762</v>
      </c>
      <c r="N885" s="256"/>
      <c r="O885" s="224"/>
      <c r="P885" s="222" t="s">
        <v>3945</v>
      </c>
      <c r="Q885" s="222" t="s">
        <v>244</v>
      </c>
      <c r="R885" s="224" t="s">
        <v>177</v>
      </c>
      <c r="S885" s="224" t="s">
        <v>223</v>
      </c>
      <c r="T885" s="235"/>
      <c r="U885" s="257"/>
      <c r="V885" s="258" t="s">
        <v>179</v>
      </c>
      <c r="W885" s="258" t="s">
        <v>179</v>
      </c>
      <c r="X885" s="259">
        <v>10</v>
      </c>
      <c r="Y885" s="251" t="s">
        <v>5124</v>
      </c>
      <c r="Z885" s="261"/>
      <c r="AA885" s="261" t="s">
        <v>181</v>
      </c>
      <c r="AB885" s="258"/>
      <c r="AC885" s="280"/>
      <c r="AD885" s="280" t="s">
        <v>184</v>
      </c>
      <c r="AE885" s="280"/>
      <c r="AF885" s="280"/>
      <c r="AG885" s="280"/>
      <c r="AH885" s="280"/>
      <c r="AI885" s="280"/>
      <c r="AJ885" s="258" t="s">
        <v>198</v>
      </c>
      <c r="AK885" s="258" t="s">
        <v>185</v>
      </c>
      <c r="AL885" s="258" t="s">
        <v>185</v>
      </c>
      <c r="AM885" s="244" t="s">
        <v>4825</v>
      </c>
      <c r="AN885" s="20">
        <v>177</v>
      </c>
      <c r="AO885" s="20">
        <v>0</v>
      </c>
      <c r="AP885" s="20">
        <v>20</v>
      </c>
      <c r="AQ885" s="20">
        <v>0</v>
      </c>
      <c r="AR885" s="20">
        <v>0</v>
      </c>
      <c r="AS885" s="20">
        <v>7</v>
      </c>
      <c r="AT885" s="20">
        <v>10</v>
      </c>
      <c r="AU885" s="300">
        <f t="shared" si="144"/>
        <v>214</v>
      </c>
      <c r="AV885" s="20">
        <v>185</v>
      </c>
      <c r="AW885" s="20">
        <v>0</v>
      </c>
      <c r="AX885" s="20">
        <v>20</v>
      </c>
      <c r="AY885" s="20">
        <v>0</v>
      </c>
      <c r="AZ885" s="20">
        <v>0</v>
      </c>
      <c r="BA885" s="20">
        <v>7</v>
      </c>
      <c r="BB885" s="20">
        <v>10</v>
      </c>
      <c r="BC885" s="300">
        <f t="shared" si="145"/>
        <v>222</v>
      </c>
      <c r="BD885" s="42">
        <f t="shared" si="146"/>
        <v>8</v>
      </c>
      <c r="BE885" s="42">
        <f t="shared" si="147"/>
        <v>0</v>
      </c>
      <c r="BF885" s="42">
        <f t="shared" si="148"/>
        <v>0</v>
      </c>
      <c r="BG885" s="42">
        <f t="shared" si="149"/>
        <v>0</v>
      </c>
      <c r="BH885" s="42">
        <f t="shared" si="150"/>
        <v>0</v>
      </c>
      <c r="BI885" s="42">
        <f t="shared" si="151"/>
        <v>0</v>
      </c>
      <c r="BJ885" s="42">
        <f t="shared" si="152"/>
        <v>0</v>
      </c>
      <c r="BK885" s="42">
        <f t="shared" si="153"/>
        <v>8</v>
      </c>
    </row>
    <row r="886" spans="1:63" ht="27" customHeight="1">
      <c r="A886" s="222">
        <f t="shared" si="154"/>
        <v>884</v>
      </c>
      <c r="B886" s="223"/>
      <c r="C886" s="250">
        <v>3744</v>
      </c>
      <c r="D886" s="225" t="s">
        <v>5125</v>
      </c>
      <c r="E886" s="286" t="s">
        <v>5126</v>
      </c>
      <c r="F886" s="252" t="s">
        <v>452</v>
      </c>
      <c r="G886" s="253" t="s">
        <v>2164</v>
      </c>
      <c r="H886" s="229" t="s">
        <v>454</v>
      </c>
      <c r="I886" s="230" t="s">
        <v>5127</v>
      </c>
      <c r="J886" s="254" t="s">
        <v>173</v>
      </c>
      <c r="K886" s="255">
        <v>29725</v>
      </c>
      <c r="L886" s="233" t="s">
        <v>174</v>
      </c>
      <c r="M886" s="256">
        <v>43762</v>
      </c>
      <c r="N886" s="256"/>
      <c r="O886" s="224"/>
      <c r="P886" s="222" t="s">
        <v>3633</v>
      </c>
      <c r="Q886" s="222" t="s">
        <v>244</v>
      </c>
      <c r="R886" s="224" t="s">
        <v>177</v>
      </c>
      <c r="S886" s="224" t="s">
        <v>305</v>
      </c>
      <c r="T886" s="235"/>
      <c r="U886" s="257"/>
      <c r="V886" s="258" t="s">
        <v>179</v>
      </c>
      <c r="W886" s="258" t="s">
        <v>179</v>
      </c>
      <c r="X886" s="259">
        <v>3</v>
      </c>
      <c r="Y886" s="251" t="s">
        <v>5128</v>
      </c>
      <c r="Z886" s="261"/>
      <c r="AA886" s="261" t="s">
        <v>181</v>
      </c>
      <c r="AB886" s="258"/>
      <c r="AC886" s="280"/>
      <c r="AD886" s="280"/>
      <c r="AE886" s="280"/>
      <c r="AF886" s="280"/>
      <c r="AG886" s="280"/>
      <c r="AH886" s="280"/>
      <c r="AI886" s="280"/>
      <c r="AJ886" s="258" t="s">
        <v>198</v>
      </c>
      <c r="AK886" s="258" t="s">
        <v>185</v>
      </c>
      <c r="AL886" s="258" t="s">
        <v>185</v>
      </c>
      <c r="AM886" s="244" t="s">
        <v>3854</v>
      </c>
      <c r="AN886" s="20">
        <v>177</v>
      </c>
      <c r="AO886" s="20">
        <v>0</v>
      </c>
      <c r="AP886" s="20">
        <v>20</v>
      </c>
      <c r="AQ886" s="20">
        <v>0</v>
      </c>
      <c r="AR886" s="20">
        <v>0</v>
      </c>
      <c r="AS886" s="20">
        <v>7</v>
      </c>
      <c r="AT886" s="20">
        <v>10</v>
      </c>
      <c r="AU886" s="300">
        <f t="shared" si="144"/>
        <v>214</v>
      </c>
      <c r="AV886" s="20">
        <v>185</v>
      </c>
      <c r="AW886" s="20">
        <v>0</v>
      </c>
      <c r="AX886" s="20">
        <v>20</v>
      </c>
      <c r="AY886" s="20">
        <v>0</v>
      </c>
      <c r="AZ886" s="20">
        <v>0</v>
      </c>
      <c r="BA886" s="20">
        <v>7</v>
      </c>
      <c r="BB886" s="20">
        <v>10</v>
      </c>
      <c r="BC886" s="300">
        <f t="shared" si="145"/>
        <v>222</v>
      </c>
      <c r="BD886" s="42">
        <f t="shared" si="146"/>
        <v>8</v>
      </c>
      <c r="BE886" s="42">
        <f t="shared" si="147"/>
        <v>0</v>
      </c>
      <c r="BF886" s="42">
        <f t="shared" si="148"/>
        <v>0</v>
      </c>
      <c r="BG886" s="42">
        <f t="shared" si="149"/>
        <v>0</v>
      </c>
      <c r="BH886" s="42">
        <f t="shared" si="150"/>
        <v>0</v>
      </c>
      <c r="BI886" s="42">
        <f t="shared" si="151"/>
        <v>0</v>
      </c>
      <c r="BJ886" s="42">
        <f t="shared" si="152"/>
        <v>0</v>
      </c>
      <c r="BK886" s="42">
        <f t="shared" si="153"/>
        <v>8</v>
      </c>
    </row>
    <row r="887" spans="1:63" ht="27" customHeight="1">
      <c r="A887" s="222">
        <f t="shared" si="154"/>
        <v>885</v>
      </c>
      <c r="B887" s="223"/>
      <c r="C887" s="250">
        <v>3691</v>
      </c>
      <c r="D887" s="225" t="s">
        <v>5129</v>
      </c>
      <c r="E887" s="286" t="s">
        <v>5130</v>
      </c>
      <c r="F887" s="252" t="s">
        <v>2229</v>
      </c>
      <c r="G887" s="253" t="s">
        <v>5131</v>
      </c>
      <c r="H887" s="229" t="s">
        <v>2230</v>
      </c>
      <c r="I887" s="230" t="s">
        <v>5132</v>
      </c>
      <c r="J887" s="254" t="s">
        <v>173</v>
      </c>
      <c r="K887" s="255">
        <v>31660</v>
      </c>
      <c r="L887" s="233" t="s">
        <v>174</v>
      </c>
      <c r="M887" s="256">
        <v>43762</v>
      </c>
      <c r="N887" s="256"/>
      <c r="O887" s="224"/>
      <c r="P887" s="222" t="s">
        <v>3935</v>
      </c>
      <c r="Q887" s="222" t="s">
        <v>244</v>
      </c>
      <c r="R887" s="224" t="s">
        <v>177</v>
      </c>
      <c r="S887" s="224" t="s">
        <v>223</v>
      </c>
      <c r="T887" s="235"/>
      <c r="U887" s="257"/>
      <c r="V887" s="258" t="s">
        <v>179</v>
      </c>
      <c r="W887" s="258" t="s">
        <v>179</v>
      </c>
      <c r="X887" s="259">
        <v>5</v>
      </c>
      <c r="Y887" s="251" t="s">
        <v>5133</v>
      </c>
      <c r="Z887" s="289"/>
      <c r="AA887" s="261" t="s">
        <v>181</v>
      </c>
      <c r="AB887" s="244"/>
      <c r="AC887" s="273"/>
      <c r="AD887" s="280"/>
      <c r="AE887" s="280"/>
      <c r="AF887" s="280"/>
      <c r="AG887" s="280"/>
      <c r="AH887" s="280"/>
      <c r="AI887" s="280"/>
      <c r="AJ887" s="244" t="s">
        <v>198</v>
      </c>
      <c r="AK887" s="244" t="s">
        <v>185</v>
      </c>
      <c r="AL887" s="244" t="s">
        <v>185</v>
      </c>
      <c r="AM887" s="244" t="s">
        <v>3854</v>
      </c>
      <c r="AN887" s="20">
        <v>182</v>
      </c>
      <c r="AO887" s="20">
        <v>0</v>
      </c>
      <c r="AP887" s="20">
        <v>0</v>
      </c>
      <c r="AQ887" s="20">
        <v>0</v>
      </c>
      <c r="AR887" s="20">
        <v>0</v>
      </c>
      <c r="AS887" s="20">
        <v>7</v>
      </c>
      <c r="AT887" s="20">
        <v>10</v>
      </c>
      <c r="AU887" s="300">
        <f t="shared" si="144"/>
        <v>199</v>
      </c>
      <c r="AV887" s="20">
        <v>190</v>
      </c>
      <c r="AW887" s="20">
        <v>0</v>
      </c>
      <c r="AX887" s="20">
        <v>0</v>
      </c>
      <c r="AY887" s="20">
        <v>0</v>
      </c>
      <c r="AZ887" s="20">
        <v>0</v>
      </c>
      <c r="BA887" s="20">
        <v>7</v>
      </c>
      <c r="BB887" s="20">
        <v>10</v>
      </c>
      <c r="BC887" s="300">
        <f t="shared" si="145"/>
        <v>207</v>
      </c>
      <c r="BD887" s="42">
        <f t="shared" si="146"/>
        <v>8</v>
      </c>
      <c r="BE887" s="42">
        <f t="shared" si="147"/>
        <v>0</v>
      </c>
      <c r="BF887" s="42">
        <f t="shared" si="148"/>
        <v>0</v>
      </c>
      <c r="BG887" s="42">
        <f t="shared" si="149"/>
        <v>0</v>
      </c>
      <c r="BH887" s="42">
        <f t="shared" si="150"/>
        <v>0</v>
      </c>
      <c r="BI887" s="42">
        <f t="shared" si="151"/>
        <v>0</v>
      </c>
      <c r="BJ887" s="42">
        <f t="shared" si="152"/>
        <v>0</v>
      </c>
      <c r="BK887" s="42">
        <f t="shared" si="153"/>
        <v>8</v>
      </c>
    </row>
    <row r="888" spans="1:63" ht="27" customHeight="1">
      <c r="A888" s="222">
        <f t="shared" si="154"/>
        <v>886</v>
      </c>
      <c r="B888" s="223"/>
      <c r="C888" s="250">
        <v>3692</v>
      </c>
      <c r="D888" s="225" t="s">
        <v>5134</v>
      </c>
      <c r="E888" s="286" t="s">
        <v>5135</v>
      </c>
      <c r="F888" s="252" t="s">
        <v>5136</v>
      </c>
      <c r="G888" s="253" t="s">
        <v>958</v>
      </c>
      <c r="H888" s="229" t="s">
        <v>5137</v>
      </c>
      <c r="I888" s="230" t="s">
        <v>959</v>
      </c>
      <c r="J888" s="254" t="s">
        <v>173</v>
      </c>
      <c r="K888" s="255">
        <v>27897</v>
      </c>
      <c r="L888" s="233" t="s">
        <v>174</v>
      </c>
      <c r="M888" s="256">
        <v>43762</v>
      </c>
      <c r="N888" s="256"/>
      <c r="O888" s="224"/>
      <c r="P888" s="222" t="s">
        <v>3945</v>
      </c>
      <c r="Q888" s="222" t="s">
        <v>244</v>
      </c>
      <c r="R888" s="224" t="s">
        <v>177</v>
      </c>
      <c r="S888" s="224" t="s">
        <v>206</v>
      </c>
      <c r="T888" s="235"/>
      <c r="U888" s="257"/>
      <c r="V888" s="258" t="s">
        <v>179</v>
      </c>
      <c r="W888" s="258" t="s">
        <v>179</v>
      </c>
      <c r="X888" s="259">
        <v>3</v>
      </c>
      <c r="Y888" s="251" t="s">
        <v>5138</v>
      </c>
      <c r="Z888" s="289"/>
      <c r="AA888" s="261" t="s">
        <v>181</v>
      </c>
      <c r="AB888" s="244"/>
      <c r="AC888" s="280" t="s">
        <v>182</v>
      </c>
      <c r="AD888" s="280"/>
      <c r="AE888" s="280"/>
      <c r="AF888" s="280"/>
      <c r="AG888" s="280"/>
      <c r="AH888" s="280"/>
      <c r="AI888" s="280"/>
      <c r="AJ888" s="244" t="s">
        <v>198</v>
      </c>
      <c r="AK888" s="244" t="s">
        <v>185</v>
      </c>
      <c r="AL888" s="244" t="s">
        <v>185</v>
      </c>
      <c r="AM888" s="244" t="s">
        <v>3854</v>
      </c>
      <c r="AN888" s="20">
        <v>177</v>
      </c>
      <c r="AO888" s="20">
        <v>0</v>
      </c>
      <c r="AP888" s="20">
        <v>20</v>
      </c>
      <c r="AQ888" s="20">
        <v>0</v>
      </c>
      <c r="AR888" s="20">
        <v>0</v>
      </c>
      <c r="AS888" s="20">
        <v>7</v>
      </c>
      <c r="AT888" s="20">
        <v>10</v>
      </c>
      <c r="AU888" s="300">
        <f t="shared" si="144"/>
        <v>214</v>
      </c>
      <c r="AV888" s="20">
        <v>185</v>
      </c>
      <c r="AW888" s="20">
        <v>0</v>
      </c>
      <c r="AX888" s="20">
        <v>20</v>
      </c>
      <c r="AY888" s="20">
        <v>0</v>
      </c>
      <c r="AZ888" s="20">
        <v>0</v>
      </c>
      <c r="BA888" s="20">
        <v>7</v>
      </c>
      <c r="BB888" s="20">
        <v>10</v>
      </c>
      <c r="BC888" s="300">
        <f t="shared" si="145"/>
        <v>222</v>
      </c>
      <c r="BD888" s="42">
        <f t="shared" si="146"/>
        <v>8</v>
      </c>
      <c r="BE888" s="42">
        <f t="shared" si="147"/>
        <v>0</v>
      </c>
      <c r="BF888" s="42">
        <f t="shared" si="148"/>
        <v>0</v>
      </c>
      <c r="BG888" s="42">
        <f t="shared" si="149"/>
        <v>0</v>
      </c>
      <c r="BH888" s="42">
        <f t="shared" si="150"/>
        <v>0</v>
      </c>
      <c r="BI888" s="42">
        <f t="shared" si="151"/>
        <v>0</v>
      </c>
      <c r="BJ888" s="42">
        <f t="shared" si="152"/>
        <v>0</v>
      </c>
      <c r="BK888" s="42">
        <f t="shared" si="153"/>
        <v>8</v>
      </c>
    </row>
    <row r="889" spans="1:63" ht="27" customHeight="1">
      <c r="A889" s="222">
        <f t="shared" si="154"/>
        <v>887</v>
      </c>
      <c r="B889" s="223"/>
      <c r="C889" s="250">
        <v>3693</v>
      </c>
      <c r="D889" s="225" t="s">
        <v>5139</v>
      </c>
      <c r="E889" s="286" t="s">
        <v>5140</v>
      </c>
      <c r="F889" s="252" t="s">
        <v>5141</v>
      </c>
      <c r="G889" s="253" t="s">
        <v>670</v>
      </c>
      <c r="H889" s="229" t="s">
        <v>1442</v>
      </c>
      <c r="I889" s="230" t="s">
        <v>1961</v>
      </c>
      <c r="J889" s="254" t="s">
        <v>173</v>
      </c>
      <c r="K889" s="255">
        <v>36347</v>
      </c>
      <c r="L889" s="233" t="s">
        <v>174</v>
      </c>
      <c r="M889" s="256">
        <v>43762</v>
      </c>
      <c r="N889" s="256"/>
      <c r="O889" s="224"/>
      <c r="P889" s="222" t="s">
        <v>3633</v>
      </c>
      <c r="Q889" s="222" t="s">
        <v>244</v>
      </c>
      <c r="R889" s="224" t="s">
        <v>177</v>
      </c>
      <c r="S889" s="224" t="s">
        <v>223</v>
      </c>
      <c r="T889" s="235"/>
      <c r="U889" s="257"/>
      <c r="V889" s="258" t="s">
        <v>179</v>
      </c>
      <c r="W889" s="258" t="s">
        <v>179</v>
      </c>
      <c r="X889" s="259">
        <v>7</v>
      </c>
      <c r="Y889" s="251" t="s">
        <v>5142</v>
      </c>
      <c r="Z889" s="261" t="s">
        <v>181</v>
      </c>
      <c r="AA889" s="289"/>
      <c r="AB889" s="244"/>
      <c r="AC889" s="280"/>
      <c r="AD889" s="280"/>
      <c r="AE889" s="280"/>
      <c r="AF889" s="280"/>
      <c r="AG889" s="280"/>
      <c r="AH889" s="280"/>
      <c r="AI889" s="280"/>
      <c r="AJ889" s="244" t="s">
        <v>198</v>
      </c>
      <c r="AK889" s="244" t="s">
        <v>185</v>
      </c>
      <c r="AL889" s="244" t="s">
        <v>185</v>
      </c>
      <c r="AM889" s="244" t="s">
        <v>3854</v>
      </c>
      <c r="AN889" s="20">
        <v>182</v>
      </c>
      <c r="AO889" s="20">
        <v>0</v>
      </c>
      <c r="AP889" s="20">
        <v>20</v>
      </c>
      <c r="AQ889" s="20">
        <v>0</v>
      </c>
      <c r="AR889" s="20">
        <v>0</v>
      </c>
      <c r="AS889" s="20">
        <v>7</v>
      </c>
      <c r="AT889" s="20">
        <v>10</v>
      </c>
      <c r="AU889" s="300">
        <f t="shared" si="144"/>
        <v>219</v>
      </c>
      <c r="AV889" s="20">
        <v>190</v>
      </c>
      <c r="AW889" s="20">
        <v>0</v>
      </c>
      <c r="AX889" s="20">
        <v>20</v>
      </c>
      <c r="AY889" s="20">
        <v>0</v>
      </c>
      <c r="AZ889" s="20">
        <v>0</v>
      </c>
      <c r="BA889" s="20">
        <v>7</v>
      </c>
      <c r="BB889" s="20">
        <v>10</v>
      </c>
      <c r="BC889" s="300">
        <f t="shared" si="145"/>
        <v>227</v>
      </c>
      <c r="BD889" s="42">
        <f t="shared" si="146"/>
        <v>8</v>
      </c>
      <c r="BE889" s="42">
        <f t="shared" si="147"/>
        <v>0</v>
      </c>
      <c r="BF889" s="42">
        <f t="shared" si="148"/>
        <v>0</v>
      </c>
      <c r="BG889" s="42">
        <f t="shared" si="149"/>
        <v>0</v>
      </c>
      <c r="BH889" s="42">
        <f t="shared" si="150"/>
        <v>0</v>
      </c>
      <c r="BI889" s="42">
        <f t="shared" si="151"/>
        <v>0</v>
      </c>
      <c r="BJ889" s="42">
        <f t="shared" si="152"/>
        <v>0</v>
      </c>
      <c r="BK889" s="42">
        <f t="shared" si="153"/>
        <v>8</v>
      </c>
    </row>
    <row r="890" spans="1:63" ht="27" customHeight="1">
      <c r="A890" s="222">
        <f t="shared" si="154"/>
        <v>888</v>
      </c>
      <c r="B890" s="223"/>
      <c r="C890" s="250">
        <v>3685</v>
      </c>
      <c r="D890" s="290">
        <v>0</v>
      </c>
      <c r="E890" s="286" t="s">
        <v>5143</v>
      </c>
      <c r="F890" s="252" t="s">
        <v>899</v>
      </c>
      <c r="G890" s="253" t="s">
        <v>700</v>
      </c>
      <c r="H890" s="229" t="s">
        <v>901</v>
      </c>
      <c r="I890" s="230" t="s">
        <v>15</v>
      </c>
      <c r="J890" s="254" t="s">
        <v>173</v>
      </c>
      <c r="K890" s="255">
        <v>32006</v>
      </c>
      <c r="L890" s="233" t="s">
        <v>174</v>
      </c>
      <c r="M890" s="256">
        <v>43762</v>
      </c>
      <c r="N890" s="256"/>
      <c r="O890" s="224"/>
      <c r="P890" s="222" t="s">
        <v>3633</v>
      </c>
      <c r="Q890" s="222" t="s">
        <v>244</v>
      </c>
      <c r="R890" s="224" t="s">
        <v>177</v>
      </c>
      <c r="S890" s="224" t="s">
        <v>223</v>
      </c>
      <c r="T890" s="235"/>
      <c r="U890" s="257"/>
      <c r="V890" s="258" t="s">
        <v>179</v>
      </c>
      <c r="W890" s="258" t="s">
        <v>179</v>
      </c>
      <c r="X890" s="259">
        <v>5</v>
      </c>
      <c r="Y890" s="251" t="s">
        <v>5144</v>
      </c>
      <c r="Z890" s="289"/>
      <c r="AA890" s="261" t="s">
        <v>181</v>
      </c>
      <c r="AB890" s="244"/>
      <c r="AC890" s="280"/>
      <c r="AD890" s="280"/>
      <c r="AE890" s="280"/>
      <c r="AF890" s="280"/>
      <c r="AG890" s="280"/>
      <c r="AH890" s="280"/>
      <c r="AI890" s="280"/>
      <c r="AJ890" s="244" t="s">
        <v>198</v>
      </c>
      <c r="AK890" s="244" t="s">
        <v>185</v>
      </c>
      <c r="AL890" s="244" t="s">
        <v>185</v>
      </c>
      <c r="AM890" s="244" t="s">
        <v>3854</v>
      </c>
      <c r="AN890" s="20">
        <v>182</v>
      </c>
      <c r="AO890" s="20">
        <v>0</v>
      </c>
      <c r="AP890" s="20">
        <v>20</v>
      </c>
      <c r="AQ890" s="20">
        <v>0</v>
      </c>
      <c r="AR890" s="20">
        <v>0</v>
      </c>
      <c r="AS890" s="20">
        <v>7</v>
      </c>
      <c r="AT890" s="20">
        <v>10</v>
      </c>
      <c r="AU890" s="300">
        <f t="shared" si="144"/>
        <v>219</v>
      </c>
      <c r="AV890" s="20">
        <v>190</v>
      </c>
      <c r="AW890" s="20">
        <v>0</v>
      </c>
      <c r="AX890" s="20">
        <v>20</v>
      </c>
      <c r="AY890" s="20">
        <v>0</v>
      </c>
      <c r="AZ890" s="20">
        <v>0</v>
      </c>
      <c r="BA890" s="20">
        <v>7</v>
      </c>
      <c r="BB890" s="20">
        <v>10</v>
      </c>
      <c r="BC890" s="300">
        <f t="shared" si="145"/>
        <v>227</v>
      </c>
      <c r="BD890" s="42">
        <f t="shared" si="146"/>
        <v>8</v>
      </c>
      <c r="BE890" s="42">
        <f t="shared" si="147"/>
        <v>0</v>
      </c>
      <c r="BF890" s="42">
        <f t="shared" si="148"/>
        <v>0</v>
      </c>
      <c r="BG890" s="42">
        <f t="shared" si="149"/>
        <v>0</v>
      </c>
      <c r="BH890" s="42">
        <f t="shared" si="150"/>
        <v>0</v>
      </c>
      <c r="BI890" s="42">
        <f t="shared" si="151"/>
        <v>0</v>
      </c>
      <c r="BJ890" s="42">
        <f t="shared" si="152"/>
        <v>0</v>
      </c>
      <c r="BK890" s="42">
        <f t="shared" si="153"/>
        <v>8</v>
      </c>
    </row>
    <row r="891" spans="1:63" ht="27" customHeight="1">
      <c r="A891" s="222">
        <f t="shared" si="154"/>
        <v>889</v>
      </c>
      <c r="B891" s="223"/>
      <c r="C891" s="250">
        <v>3630</v>
      </c>
      <c r="D891" s="225" t="s">
        <v>5145</v>
      </c>
      <c r="E891" s="286" t="s">
        <v>5146</v>
      </c>
      <c r="F891" s="252" t="s">
        <v>5147</v>
      </c>
      <c r="G891" s="253" t="s">
        <v>2966</v>
      </c>
      <c r="H891" s="229" t="s">
        <v>5148</v>
      </c>
      <c r="I891" s="230" t="s">
        <v>478</v>
      </c>
      <c r="J891" s="254" t="s">
        <v>173</v>
      </c>
      <c r="K891" s="255">
        <v>29545</v>
      </c>
      <c r="L891" s="233" t="s">
        <v>174</v>
      </c>
      <c r="M891" s="256">
        <v>43762</v>
      </c>
      <c r="N891" s="256"/>
      <c r="O891" s="224"/>
      <c r="P891" s="222" t="s">
        <v>3629</v>
      </c>
      <c r="Q891" s="222" t="s">
        <v>244</v>
      </c>
      <c r="R891" s="224" t="s">
        <v>177</v>
      </c>
      <c r="S891" s="224" t="s">
        <v>428</v>
      </c>
      <c r="T891" s="235"/>
      <c r="U891" s="257"/>
      <c r="V891" s="258" t="s">
        <v>179</v>
      </c>
      <c r="W891" s="258" t="s">
        <v>179</v>
      </c>
      <c r="X891" s="259">
        <v>3</v>
      </c>
      <c r="Y891" s="251" t="s">
        <v>5149</v>
      </c>
      <c r="Z891" s="289"/>
      <c r="AA891" s="261" t="s">
        <v>181</v>
      </c>
      <c r="AB891" s="244"/>
      <c r="AC891" s="280"/>
      <c r="AD891" s="280"/>
      <c r="AE891" s="280"/>
      <c r="AF891" s="280"/>
      <c r="AG891" s="280"/>
      <c r="AH891" s="280"/>
      <c r="AI891" s="280"/>
      <c r="AJ891" s="244" t="s">
        <v>198</v>
      </c>
      <c r="AK891" s="244" t="s">
        <v>185</v>
      </c>
      <c r="AL891" s="244" t="s">
        <v>185</v>
      </c>
      <c r="AM891" s="244" t="s">
        <v>3854</v>
      </c>
      <c r="AN891" s="20">
        <v>182</v>
      </c>
      <c r="AO891" s="20">
        <v>0</v>
      </c>
      <c r="AP891" s="20">
        <v>20</v>
      </c>
      <c r="AQ891" s="20">
        <v>0</v>
      </c>
      <c r="AR891" s="20">
        <v>0</v>
      </c>
      <c r="AS891" s="20">
        <v>7</v>
      </c>
      <c r="AT891" s="20">
        <v>10</v>
      </c>
      <c r="AU891" s="300">
        <f t="shared" si="144"/>
        <v>219</v>
      </c>
      <c r="AV891" s="20">
        <v>190</v>
      </c>
      <c r="AW891" s="20">
        <v>0</v>
      </c>
      <c r="AX891" s="20">
        <v>20</v>
      </c>
      <c r="AY891" s="20">
        <v>0</v>
      </c>
      <c r="AZ891" s="20">
        <v>0</v>
      </c>
      <c r="BA891" s="20">
        <v>7</v>
      </c>
      <c r="BB891" s="20">
        <v>10</v>
      </c>
      <c r="BC891" s="300">
        <f t="shared" si="145"/>
        <v>227</v>
      </c>
      <c r="BD891" s="42">
        <f t="shared" si="146"/>
        <v>8</v>
      </c>
      <c r="BE891" s="42">
        <f t="shared" si="147"/>
        <v>0</v>
      </c>
      <c r="BF891" s="42">
        <f t="shared" si="148"/>
        <v>0</v>
      </c>
      <c r="BG891" s="42">
        <f t="shared" si="149"/>
        <v>0</v>
      </c>
      <c r="BH891" s="42">
        <f t="shared" si="150"/>
        <v>0</v>
      </c>
      <c r="BI891" s="42">
        <f t="shared" si="151"/>
        <v>0</v>
      </c>
      <c r="BJ891" s="42">
        <f t="shared" si="152"/>
        <v>0</v>
      </c>
      <c r="BK891" s="42">
        <f t="shared" si="153"/>
        <v>8</v>
      </c>
    </row>
    <row r="892" spans="1:63" ht="27" customHeight="1">
      <c r="A892" s="222">
        <f t="shared" si="154"/>
        <v>890</v>
      </c>
      <c r="B892" s="223"/>
      <c r="C892" s="250">
        <v>3739</v>
      </c>
      <c r="D892" s="225" t="s">
        <v>5150</v>
      </c>
      <c r="E892" s="286" t="s">
        <v>5151</v>
      </c>
      <c r="F892" s="252" t="s">
        <v>2319</v>
      </c>
      <c r="G892" s="253" t="s">
        <v>5152</v>
      </c>
      <c r="H892" s="229" t="s">
        <v>5153</v>
      </c>
      <c r="I892" s="230" t="s">
        <v>5154</v>
      </c>
      <c r="J892" s="254" t="s">
        <v>173</v>
      </c>
      <c r="K892" s="255">
        <v>36659</v>
      </c>
      <c r="L892" s="233" t="s">
        <v>174</v>
      </c>
      <c r="M892" s="256">
        <v>43762</v>
      </c>
      <c r="N892" s="256"/>
      <c r="O892" s="224"/>
      <c r="P892" s="222" t="s">
        <v>3629</v>
      </c>
      <c r="Q892" s="222" t="s">
        <v>244</v>
      </c>
      <c r="R892" s="224" t="s">
        <v>177</v>
      </c>
      <c r="S892" s="224" t="s">
        <v>206</v>
      </c>
      <c r="T892" s="235"/>
      <c r="U892" s="257"/>
      <c r="V892" s="258" t="s">
        <v>179</v>
      </c>
      <c r="W892" s="258" t="s">
        <v>179</v>
      </c>
      <c r="X892" s="259">
        <v>11</v>
      </c>
      <c r="Y892" s="251" t="s">
        <v>5155</v>
      </c>
      <c r="Z892" s="261" t="s">
        <v>181</v>
      </c>
      <c r="AA892" s="289"/>
      <c r="AB892" s="244"/>
      <c r="AC892" s="280"/>
      <c r="AD892" s="280"/>
      <c r="AE892" s="280"/>
      <c r="AF892" s="280"/>
      <c r="AG892" s="280"/>
      <c r="AH892" s="280"/>
      <c r="AI892" s="280"/>
      <c r="AJ892" s="244" t="s">
        <v>198</v>
      </c>
      <c r="AK892" s="244" t="s">
        <v>185</v>
      </c>
      <c r="AL892" s="244" t="s">
        <v>185</v>
      </c>
      <c r="AM892" s="244" t="s">
        <v>3854</v>
      </c>
      <c r="AN892" s="20">
        <v>177</v>
      </c>
      <c r="AO892" s="20">
        <v>0</v>
      </c>
      <c r="AP892" s="20">
        <v>20</v>
      </c>
      <c r="AQ892" s="20">
        <v>0</v>
      </c>
      <c r="AR892" s="20">
        <v>0</v>
      </c>
      <c r="AS892" s="20">
        <v>7</v>
      </c>
      <c r="AT892" s="20">
        <v>10</v>
      </c>
      <c r="AU892" s="300">
        <f t="shared" si="144"/>
        <v>214</v>
      </c>
      <c r="AV892" s="20">
        <v>185</v>
      </c>
      <c r="AW892" s="20">
        <v>0</v>
      </c>
      <c r="AX892" s="20">
        <v>20</v>
      </c>
      <c r="AY892" s="20">
        <v>0</v>
      </c>
      <c r="AZ892" s="20">
        <v>0</v>
      </c>
      <c r="BA892" s="20">
        <v>7</v>
      </c>
      <c r="BB892" s="20">
        <v>10</v>
      </c>
      <c r="BC892" s="300">
        <f t="shared" si="145"/>
        <v>222</v>
      </c>
      <c r="BD892" s="42">
        <f t="shared" si="146"/>
        <v>8</v>
      </c>
      <c r="BE892" s="42">
        <f t="shared" si="147"/>
        <v>0</v>
      </c>
      <c r="BF892" s="42">
        <f t="shared" si="148"/>
        <v>0</v>
      </c>
      <c r="BG892" s="42">
        <f t="shared" si="149"/>
        <v>0</v>
      </c>
      <c r="BH892" s="42">
        <f t="shared" si="150"/>
        <v>0</v>
      </c>
      <c r="BI892" s="42">
        <f t="shared" si="151"/>
        <v>0</v>
      </c>
      <c r="BJ892" s="42">
        <f t="shared" si="152"/>
        <v>0</v>
      </c>
      <c r="BK892" s="42">
        <f t="shared" si="153"/>
        <v>8</v>
      </c>
    </row>
    <row r="893" spans="1:63" ht="27" customHeight="1">
      <c r="A893" s="222">
        <f t="shared" si="154"/>
        <v>891</v>
      </c>
      <c r="B893" s="223"/>
      <c r="C893" s="250">
        <v>3694</v>
      </c>
      <c r="D893" s="225">
        <v>0</v>
      </c>
      <c r="E893" s="286" t="s">
        <v>5156</v>
      </c>
      <c r="F893" s="252" t="s">
        <v>1149</v>
      </c>
      <c r="G893" s="253" t="s">
        <v>504</v>
      </c>
      <c r="H893" s="229" t="s">
        <v>5157</v>
      </c>
      <c r="I893" s="230" t="s">
        <v>506</v>
      </c>
      <c r="J893" s="254" t="s">
        <v>173</v>
      </c>
      <c r="K893" s="255">
        <v>33975</v>
      </c>
      <c r="L893" s="233" t="s">
        <v>174</v>
      </c>
      <c r="M893" s="256">
        <v>43762</v>
      </c>
      <c r="N893" s="256"/>
      <c r="O893" s="224"/>
      <c r="P893" s="222" t="s">
        <v>3935</v>
      </c>
      <c r="Q893" s="222" t="s">
        <v>244</v>
      </c>
      <c r="R893" s="224" t="s">
        <v>177</v>
      </c>
      <c r="S893" s="224" t="s">
        <v>498</v>
      </c>
      <c r="T893" s="235"/>
      <c r="U893" s="257"/>
      <c r="V893" s="258" t="s">
        <v>179</v>
      </c>
      <c r="W893" s="258" t="s">
        <v>179</v>
      </c>
      <c r="X893" s="259">
        <v>7</v>
      </c>
      <c r="Y893" s="251" t="s">
        <v>5158</v>
      </c>
      <c r="Z893" s="289"/>
      <c r="AA893" s="261" t="s">
        <v>181</v>
      </c>
      <c r="AB893" s="244"/>
      <c r="AC893" s="280" t="s">
        <v>3883</v>
      </c>
      <c r="AD893" s="280" t="s">
        <v>183</v>
      </c>
      <c r="AE893" s="280"/>
      <c r="AF893" s="280"/>
      <c r="AG893" s="280"/>
      <c r="AH893" s="280"/>
      <c r="AI893" s="280"/>
      <c r="AJ893" s="244" t="s">
        <v>198</v>
      </c>
      <c r="AK893" s="244" t="s">
        <v>185</v>
      </c>
      <c r="AL893" s="244" t="s">
        <v>185</v>
      </c>
      <c r="AM893" s="244" t="s">
        <v>236</v>
      </c>
      <c r="AN893" s="20">
        <v>182</v>
      </c>
      <c r="AO893" s="20">
        <v>0</v>
      </c>
      <c r="AP893" s="20">
        <v>0</v>
      </c>
      <c r="AQ893" s="20">
        <v>0</v>
      </c>
      <c r="AR893" s="20">
        <v>0</v>
      </c>
      <c r="AS893" s="20">
        <v>7</v>
      </c>
      <c r="AT893" s="20">
        <v>10</v>
      </c>
      <c r="AU893" s="300">
        <f t="shared" si="144"/>
        <v>199</v>
      </c>
      <c r="AV893" s="20">
        <v>190</v>
      </c>
      <c r="AW893" s="20">
        <v>0</v>
      </c>
      <c r="AX893" s="20">
        <v>0</v>
      </c>
      <c r="AY893" s="20">
        <v>0</v>
      </c>
      <c r="AZ893" s="20">
        <v>0</v>
      </c>
      <c r="BA893" s="20">
        <v>7</v>
      </c>
      <c r="BB893" s="20">
        <v>10</v>
      </c>
      <c r="BC893" s="300">
        <f t="shared" si="145"/>
        <v>207</v>
      </c>
      <c r="BD893" s="42">
        <f t="shared" si="146"/>
        <v>8</v>
      </c>
      <c r="BE893" s="42">
        <f t="shared" si="147"/>
        <v>0</v>
      </c>
      <c r="BF893" s="42">
        <f t="shared" si="148"/>
        <v>0</v>
      </c>
      <c r="BG893" s="42">
        <f t="shared" si="149"/>
        <v>0</v>
      </c>
      <c r="BH893" s="42">
        <f t="shared" si="150"/>
        <v>0</v>
      </c>
      <c r="BI893" s="42">
        <f t="shared" si="151"/>
        <v>0</v>
      </c>
      <c r="BJ893" s="42">
        <f t="shared" si="152"/>
        <v>0</v>
      </c>
      <c r="BK893" s="42">
        <f t="shared" si="153"/>
        <v>8</v>
      </c>
    </row>
    <row r="894" spans="1:63" ht="27" customHeight="1">
      <c r="A894" s="222">
        <f t="shared" si="154"/>
        <v>892</v>
      </c>
      <c r="B894" s="223"/>
      <c r="C894" s="250">
        <v>3737</v>
      </c>
      <c r="D894" s="225" t="s">
        <v>5159</v>
      </c>
      <c r="E894" s="286" t="s">
        <v>5160</v>
      </c>
      <c r="F894" s="252" t="s">
        <v>1784</v>
      </c>
      <c r="G894" s="253" t="s">
        <v>5161</v>
      </c>
      <c r="H894" s="229" t="s">
        <v>4229</v>
      </c>
      <c r="I894" s="230" t="s">
        <v>5162</v>
      </c>
      <c r="J894" s="254" t="s">
        <v>204</v>
      </c>
      <c r="K894" s="255">
        <v>36229</v>
      </c>
      <c r="L894" s="233" t="s">
        <v>174</v>
      </c>
      <c r="M894" s="256">
        <v>43758</v>
      </c>
      <c r="N894" s="256"/>
      <c r="O894" s="224"/>
      <c r="P894" s="224"/>
      <c r="Q894" s="222" t="s">
        <v>244</v>
      </c>
      <c r="R894" s="224" t="s">
        <v>177</v>
      </c>
      <c r="S894" s="224" t="s">
        <v>223</v>
      </c>
      <c r="T894" s="235"/>
      <c r="U894" s="257"/>
      <c r="V894" s="258" t="s">
        <v>179</v>
      </c>
      <c r="W894" s="258" t="s">
        <v>179</v>
      </c>
      <c r="X894" s="259">
        <v>9</v>
      </c>
      <c r="Y894" s="251" t="s">
        <v>3910</v>
      </c>
      <c r="Z894" s="261" t="s">
        <v>181</v>
      </c>
      <c r="AA894" s="289"/>
      <c r="AB894" s="244"/>
      <c r="AC894" s="280"/>
      <c r="AD894" s="280"/>
      <c r="AE894" s="280"/>
      <c r="AF894" s="280"/>
      <c r="AG894" s="280"/>
      <c r="AH894" s="280"/>
      <c r="AI894" s="280"/>
      <c r="AJ894" s="244" t="s">
        <v>198</v>
      </c>
      <c r="AK894" s="244" t="s">
        <v>185</v>
      </c>
      <c r="AL894" s="244" t="s">
        <v>185</v>
      </c>
      <c r="AM894" s="244" t="s">
        <v>3854</v>
      </c>
      <c r="AN894" s="20">
        <v>182</v>
      </c>
      <c r="AO894" s="20">
        <v>0</v>
      </c>
      <c r="AP894" s="20">
        <v>20</v>
      </c>
      <c r="AQ894" s="20">
        <v>0</v>
      </c>
      <c r="AR894" s="20">
        <v>0</v>
      </c>
      <c r="AS894" s="20">
        <v>7</v>
      </c>
      <c r="AT894" s="20">
        <v>10</v>
      </c>
      <c r="AU894" s="300">
        <f t="shared" si="144"/>
        <v>219</v>
      </c>
      <c r="AV894" s="20">
        <v>190</v>
      </c>
      <c r="AW894" s="20">
        <v>0</v>
      </c>
      <c r="AX894" s="20">
        <v>20</v>
      </c>
      <c r="AY894" s="20">
        <v>0</v>
      </c>
      <c r="AZ894" s="20">
        <v>0</v>
      </c>
      <c r="BA894" s="20">
        <v>7</v>
      </c>
      <c r="BB894" s="20">
        <v>10</v>
      </c>
      <c r="BC894" s="300">
        <f t="shared" si="145"/>
        <v>227</v>
      </c>
      <c r="BD894" s="42">
        <f t="shared" si="146"/>
        <v>8</v>
      </c>
      <c r="BE894" s="42">
        <f t="shared" si="147"/>
        <v>0</v>
      </c>
      <c r="BF894" s="42">
        <f t="shared" si="148"/>
        <v>0</v>
      </c>
      <c r="BG894" s="42">
        <f t="shared" si="149"/>
        <v>0</v>
      </c>
      <c r="BH894" s="42">
        <f t="shared" si="150"/>
        <v>0</v>
      </c>
      <c r="BI894" s="42">
        <f t="shared" si="151"/>
        <v>0</v>
      </c>
      <c r="BJ894" s="42">
        <f t="shared" si="152"/>
        <v>0</v>
      </c>
      <c r="BK894" s="42">
        <f t="shared" si="153"/>
        <v>8</v>
      </c>
    </row>
    <row r="895" spans="1:63" ht="27" customHeight="1">
      <c r="A895" s="222">
        <f t="shared" si="154"/>
        <v>893</v>
      </c>
      <c r="B895" s="223"/>
      <c r="C895" s="250">
        <v>3767</v>
      </c>
      <c r="D895" s="225" t="s">
        <v>5163</v>
      </c>
      <c r="E895" s="286" t="s">
        <v>5164</v>
      </c>
      <c r="F895" s="252" t="s">
        <v>544</v>
      </c>
      <c r="G895" s="253" t="s">
        <v>5165</v>
      </c>
      <c r="H895" s="229" t="s">
        <v>5166</v>
      </c>
      <c r="I895" s="230" t="s">
        <v>5167</v>
      </c>
      <c r="J895" s="254" t="s">
        <v>204</v>
      </c>
      <c r="K895" s="255">
        <v>28258</v>
      </c>
      <c r="L895" s="233" t="s">
        <v>174</v>
      </c>
      <c r="M895" s="256">
        <v>43762</v>
      </c>
      <c r="N895" s="256"/>
      <c r="O895" s="224"/>
      <c r="P895" s="222" t="s">
        <v>3935</v>
      </c>
      <c r="Q895" s="222" t="s">
        <v>244</v>
      </c>
      <c r="R895" s="224" t="s">
        <v>177</v>
      </c>
      <c r="S895" s="224" t="s">
        <v>223</v>
      </c>
      <c r="T895" s="235"/>
      <c r="U895" s="257"/>
      <c r="V895" s="258" t="s">
        <v>179</v>
      </c>
      <c r="W895" s="258" t="s">
        <v>179</v>
      </c>
      <c r="X895" s="259"/>
      <c r="Y895" s="251"/>
      <c r="Z895" s="289"/>
      <c r="AA895" s="261" t="s">
        <v>181</v>
      </c>
      <c r="AB895" s="244"/>
      <c r="AC895" s="280"/>
      <c r="AD895" s="280"/>
      <c r="AE895" s="280"/>
      <c r="AF895" s="280"/>
      <c r="AG895" s="280"/>
      <c r="AH895" s="280"/>
      <c r="AI895" s="280"/>
      <c r="AJ895" s="244" t="s">
        <v>198</v>
      </c>
      <c r="AK895" s="244" t="s">
        <v>185</v>
      </c>
      <c r="AL895" s="244" t="s">
        <v>185</v>
      </c>
      <c r="AM895" s="244" t="s">
        <v>3854</v>
      </c>
      <c r="AN895" s="20">
        <v>177</v>
      </c>
      <c r="AO895" s="20">
        <v>0</v>
      </c>
      <c r="AP895" s="20">
        <v>20</v>
      </c>
      <c r="AQ895" s="20">
        <v>0</v>
      </c>
      <c r="AR895" s="20">
        <v>0</v>
      </c>
      <c r="AS895" s="20">
        <v>7</v>
      </c>
      <c r="AT895" s="20">
        <v>10</v>
      </c>
      <c r="AU895" s="300">
        <f t="shared" si="144"/>
        <v>214</v>
      </c>
      <c r="AV895" s="20">
        <v>185</v>
      </c>
      <c r="AW895" s="20">
        <v>0</v>
      </c>
      <c r="AX895" s="20">
        <v>20</v>
      </c>
      <c r="AY895" s="20">
        <v>0</v>
      </c>
      <c r="AZ895" s="20">
        <v>0</v>
      </c>
      <c r="BA895" s="20">
        <v>7</v>
      </c>
      <c r="BB895" s="20">
        <v>10</v>
      </c>
      <c r="BC895" s="300">
        <f t="shared" si="145"/>
        <v>222</v>
      </c>
      <c r="BD895" s="42">
        <f t="shared" si="146"/>
        <v>8</v>
      </c>
      <c r="BE895" s="42">
        <f t="shared" si="147"/>
        <v>0</v>
      </c>
      <c r="BF895" s="42">
        <f t="shared" si="148"/>
        <v>0</v>
      </c>
      <c r="BG895" s="42">
        <f t="shared" si="149"/>
        <v>0</v>
      </c>
      <c r="BH895" s="42">
        <f t="shared" si="150"/>
        <v>0</v>
      </c>
      <c r="BI895" s="42">
        <f t="shared" si="151"/>
        <v>0</v>
      </c>
      <c r="BJ895" s="42">
        <f t="shared" si="152"/>
        <v>0</v>
      </c>
      <c r="BK895" s="42">
        <f t="shared" si="153"/>
        <v>8</v>
      </c>
    </row>
    <row r="896" spans="1:63" ht="27" customHeight="1">
      <c r="A896" s="222">
        <f t="shared" si="154"/>
        <v>894</v>
      </c>
      <c r="B896" s="223"/>
      <c r="C896" s="250">
        <v>3755</v>
      </c>
      <c r="D896" s="225">
        <v>0</v>
      </c>
      <c r="E896" s="286" t="s">
        <v>291</v>
      </c>
      <c r="F896" s="252" t="s">
        <v>3584</v>
      </c>
      <c r="G896" s="253" t="s">
        <v>1653</v>
      </c>
      <c r="H896" s="229">
        <v>0</v>
      </c>
      <c r="I896" s="230">
        <v>0</v>
      </c>
      <c r="J896" s="254" t="s">
        <v>204</v>
      </c>
      <c r="K896" s="255">
        <v>30230</v>
      </c>
      <c r="L896" s="233" t="s">
        <v>174</v>
      </c>
      <c r="M896" s="256">
        <v>43753</v>
      </c>
      <c r="N896" s="256"/>
      <c r="O896" s="224"/>
      <c r="P896" s="222" t="s">
        <v>3945</v>
      </c>
      <c r="Q896" s="222" t="s">
        <v>244</v>
      </c>
      <c r="R896" s="224" t="s">
        <v>177</v>
      </c>
      <c r="S896" s="224" t="s">
        <v>4187</v>
      </c>
      <c r="T896" s="235"/>
      <c r="U896" s="257"/>
      <c r="V896" s="258" t="s">
        <v>179</v>
      </c>
      <c r="W896" s="258" t="s">
        <v>179</v>
      </c>
      <c r="X896" s="259">
        <v>5</v>
      </c>
      <c r="Y896" s="251" t="s">
        <v>5168</v>
      </c>
      <c r="Z896" s="289"/>
      <c r="AA896" s="289"/>
      <c r="AB896" s="244"/>
      <c r="AC896" s="280"/>
      <c r="AD896" s="280"/>
      <c r="AE896" s="280"/>
      <c r="AF896" s="280"/>
      <c r="AG896" s="280"/>
      <c r="AH896" s="280"/>
      <c r="AI896" s="280"/>
      <c r="AJ896" s="244" t="s">
        <v>198</v>
      </c>
      <c r="AK896" s="244" t="s">
        <v>185</v>
      </c>
      <c r="AL896" s="244" t="s">
        <v>185</v>
      </c>
      <c r="AM896" s="244" t="s">
        <v>3854</v>
      </c>
      <c r="AN896" s="20">
        <v>182</v>
      </c>
      <c r="AO896" s="20">
        <v>0</v>
      </c>
      <c r="AP896" s="20">
        <v>20</v>
      </c>
      <c r="AQ896" s="20">
        <v>0</v>
      </c>
      <c r="AR896" s="20">
        <v>0</v>
      </c>
      <c r="AS896" s="20">
        <v>7</v>
      </c>
      <c r="AT896" s="20">
        <v>10</v>
      </c>
      <c r="AU896" s="300">
        <f t="shared" si="144"/>
        <v>219</v>
      </c>
      <c r="AV896" s="20">
        <v>190</v>
      </c>
      <c r="AW896" s="20">
        <v>0</v>
      </c>
      <c r="AX896" s="20">
        <v>20</v>
      </c>
      <c r="AY896" s="20">
        <v>0</v>
      </c>
      <c r="AZ896" s="20">
        <v>0</v>
      </c>
      <c r="BA896" s="20">
        <v>7</v>
      </c>
      <c r="BB896" s="20">
        <v>10</v>
      </c>
      <c r="BC896" s="300">
        <f t="shared" si="145"/>
        <v>227</v>
      </c>
      <c r="BD896" s="42">
        <f t="shared" si="146"/>
        <v>8</v>
      </c>
      <c r="BE896" s="42">
        <f t="shared" si="147"/>
        <v>0</v>
      </c>
      <c r="BF896" s="42">
        <f t="shared" si="148"/>
        <v>0</v>
      </c>
      <c r="BG896" s="42">
        <f t="shared" si="149"/>
        <v>0</v>
      </c>
      <c r="BH896" s="42">
        <f t="shared" si="150"/>
        <v>0</v>
      </c>
      <c r="BI896" s="42">
        <f t="shared" si="151"/>
        <v>0</v>
      </c>
      <c r="BJ896" s="42">
        <f t="shared" si="152"/>
        <v>0</v>
      </c>
      <c r="BK896" s="42">
        <f t="shared" si="153"/>
        <v>8</v>
      </c>
    </row>
    <row r="897" spans="1:63" ht="27" customHeight="1">
      <c r="A897" s="222">
        <f t="shared" si="154"/>
        <v>895</v>
      </c>
      <c r="B897" s="223"/>
      <c r="C897" s="250">
        <v>3629</v>
      </c>
      <c r="D897" s="225" t="s">
        <v>5169</v>
      </c>
      <c r="E897" s="286" t="s">
        <v>5170</v>
      </c>
      <c r="F897" s="252" t="s">
        <v>5147</v>
      </c>
      <c r="G897" s="253" t="s">
        <v>5171</v>
      </c>
      <c r="H897" s="229" t="s">
        <v>5172</v>
      </c>
      <c r="I897" s="230" t="s">
        <v>5173</v>
      </c>
      <c r="J897" s="254" t="s">
        <v>204</v>
      </c>
      <c r="K897" s="255">
        <v>33625</v>
      </c>
      <c r="L897" s="233" t="s">
        <v>174</v>
      </c>
      <c r="M897" s="256">
        <v>43762</v>
      </c>
      <c r="N897" s="256"/>
      <c r="O897" s="224"/>
      <c r="P897" s="222" t="s">
        <v>2816</v>
      </c>
      <c r="Q897" s="222" t="s">
        <v>244</v>
      </c>
      <c r="R897" s="224" t="s">
        <v>177</v>
      </c>
      <c r="S897" s="224" t="s">
        <v>428</v>
      </c>
      <c r="T897" s="235"/>
      <c r="U897" s="257"/>
      <c r="V897" s="258" t="s">
        <v>179</v>
      </c>
      <c r="W897" s="258" t="s">
        <v>179</v>
      </c>
      <c r="X897" s="259">
        <v>5</v>
      </c>
      <c r="Y897" s="251" t="s">
        <v>5149</v>
      </c>
      <c r="Z897" s="261" t="s">
        <v>181</v>
      </c>
      <c r="AA897" s="289"/>
      <c r="AB897" s="244"/>
      <c r="AC897" s="280"/>
      <c r="AD897" s="280"/>
      <c r="AE897" s="280"/>
      <c r="AF897" s="280"/>
      <c r="AG897" s="280"/>
      <c r="AH897" s="280"/>
      <c r="AI897" s="280"/>
      <c r="AJ897" s="244" t="s">
        <v>198</v>
      </c>
      <c r="AK897" s="244" t="s">
        <v>185</v>
      </c>
      <c r="AL897" s="244" t="s">
        <v>185</v>
      </c>
      <c r="AM897" s="244" t="s">
        <v>3854</v>
      </c>
      <c r="AN897" s="20">
        <v>177</v>
      </c>
      <c r="AO897" s="20">
        <v>0</v>
      </c>
      <c r="AP897" s="20">
        <v>20</v>
      </c>
      <c r="AQ897" s="20">
        <v>0</v>
      </c>
      <c r="AR897" s="20">
        <v>0</v>
      </c>
      <c r="AS897" s="20">
        <v>7</v>
      </c>
      <c r="AT897" s="20">
        <v>10</v>
      </c>
      <c r="AU897" s="300">
        <f t="shared" si="144"/>
        <v>214</v>
      </c>
      <c r="AV897" s="20">
        <v>185</v>
      </c>
      <c r="AW897" s="20">
        <v>0</v>
      </c>
      <c r="AX897" s="20">
        <v>20</v>
      </c>
      <c r="AY897" s="20">
        <v>0</v>
      </c>
      <c r="AZ897" s="20">
        <v>0</v>
      </c>
      <c r="BA897" s="20">
        <v>7</v>
      </c>
      <c r="BB897" s="20">
        <v>10</v>
      </c>
      <c r="BC897" s="300">
        <f t="shared" si="145"/>
        <v>222</v>
      </c>
      <c r="BD897" s="42">
        <f t="shared" si="146"/>
        <v>8</v>
      </c>
      <c r="BE897" s="42">
        <f t="shared" si="147"/>
        <v>0</v>
      </c>
      <c r="BF897" s="42">
        <f t="shared" si="148"/>
        <v>0</v>
      </c>
      <c r="BG897" s="42">
        <f t="shared" si="149"/>
        <v>0</v>
      </c>
      <c r="BH897" s="42">
        <f t="shared" si="150"/>
        <v>0</v>
      </c>
      <c r="BI897" s="42">
        <f t="shared" si="151"/>
        <v>0</v>
      </c>
      <c r="BJ897" s="42">
        <f t="shared" si="152"/>
        <v>0</v>
      </c>
      <c r="BK897" s="42">
        <f t="shared" si="153"/>
        <v>8</v>
      </c>
    </row>
    <row r="898" spans="1:63" ht="27" customHeight="1">
      <c r="A898" s="222">
        <f t="shared" si="154"/>
        <v>896</v>
      </c>
      <c r="B898" s="223"/>
      <c r="C898" s="250">
        <v>3724</v>
      </c>
      <c r="D898" s="225" t="s">
        <v>5174</v>
      </c>
      <c r="E898" s="286" t="s">
        <v>5175</v>
      </c>
      <c r="F898" s="252" t="s">
        <v>1248</v>
      </c>
      <c r="G898" s="253" t="s">
        <v>5176</v>
      </c>
      <c r="H898" s="229" t="s">
        <v>1250</v>
      </c>
      <c r="I898" s="230" t="s">
        <v>5177</v>
      </c>
      <c r="J898" s="254" t="s">
        <v>204</v>
      </c>
      <c r="K898" s="255">
        <v>36228</v>
      </c>
      <c r="L898" s="233" t="s">
        <v>174</v>
      </c>
      <c r="M898" s="256">
        <v>43762</v>
      </c>
      <c r="N898" s="256"/>
      <c r="O898" s="224"/>
      <c r="P898" s="222" t="s">
        <v>3935</v>
      </c>
      <c r="Q898" s="222" t="s">
        <v>244</v>
      </c>
      <c r="R898" s="224" t="s">
        <v>177</v>
      </c>
      <c r="S898" s="224" t="s">
        <v>178</v>
      </c>
      <c r="T898" s="235"/>
      <c r="U898" s="257"/>
      <c r="V898" s="258" t="s">
        <v>179</v>
      </c>
      <c r="W898" s="258" t="s">
        <v>179</v>
      </c>
      <c r="X898" s="259">
        <v>6</v>
      </c>
      <c r="Y898" s="251" t="s">
        <v>5178</v>
      </c>
      <c r="Z898" s="289"/>
      <c r="AA898" s="261" t="s">
        <v>181</v>
      </c>
      <c r="AB898" s="244"/>
      <c r="AC898" s="280" t="s">
        <v>182</v>
      </c>
      <c r="AD898" s="280"/>
      <c r="AE898" s="280"/>
      <c r="AF898" s="280"/>
      <c r="AG898" s="280"/>
      <c r="AH898" s="280"/>
      <c r="AI898" s="280"/>
      <c r="AJ898" s="244" t="s">
        <v>198</v>
      </c>
      <c r="AK898" s="244" t="s">
        <v>185</v>
      </c>
      <c r="AL898" s="244" t="s">
        <v>185</v>
      </c>
      <c r="AM898" s="244" t="s">
        <v>3854</v>
      </c>
      <c r="AN898" s="20">
        <v>177</v>
      </c>
      <c r="AO898" s="20">
        <v>0</v>
      </c>
      <c r="AP898" s="20">
        <v>20</v>
      </c>
      <c r="AQ898" s="20">
        <v>0</v>
      </c>
      <c r="AR898" s="20">
        <v>0</v>
      </c>
      <c r="AS898" s="20">
        <v>7</v>
      </c>
      <c r="AT898" s="20">
        <v>10</v>
      </c>
      <c r="AU898" s="300">
        <f t="shared" si="144"/>
        <v>214</v>
      </c>
      <c r="AV898" s="20">
        <v>185</v>
      </c>
      <c r="AW898" s="20">
        <v>0</v>
      </c>
      <c r="AX898" s="20">
        <v>20</v>
      </c>
      <c r="AY898" s="20">
        <v>0</v>
      </c>
      <c r="AZ898" s="20">
        <v>0</v>
      </c>
      <c r="BA898" s="20">
        <v>7</v>
      </c>
      <c r="BB898" s="20">
        <v>10</v>
      </c>
      <c r="BC898" s="300">
        <f t="shared" si="145"/>
        <v>222</v>
      </c>
      <c r="BD898" s="42">
        <f t="shared" si="146"/>
        <v>8</v>
      </c>
      <c r="BE898" s="42">
        <f t="shared" si="147"/>
        <v>0</v>
      </c>
      <c r="BF898" s="42">
        <f t="shared" si="148"/>
        <v>0</v>
      </c>
      <c r="BG898" s="42">
        <f t="shared" si="149"/>
        <v>0</v>
      </c>
      <c r="BH898" s="42">
        <f t="shared" si="150"/>
        <v>0</v>
      </c>
      <c r="BI898" s="42">
        <f t="shared" si="151"/>
        <v>0</v>
      </c>
      <c r="BJ898" s="42">
        <f t="shared" si="152"/>
        <v>0</v>
      </c>
      <c r="BK898" s="42">
        <f t="shared" si="153"/>
        <v>8</v>
      </c>
    </row>
    <row r="899" spans="1:63" ht="27" customHeight="1">
      <c r="A899" s="222">
        <f t="shared" si="154"/>
        <v>897</v>
      </c>
      <c r="B899" s="223"/>
      <c r="C899" s="250">
        <v>3725</v>
      </c>
      <c r="D899" s="225" t="s">
        <v>5179</v>
      </c>
      <c r="E899" s="286" t="s">
        <v>291</v>
      </c>
      <c r="F899" s="252" t="s">
        <v>2814</v>
      </c>
      <c r="G899" s="253" t="s">
        <v>5180</v>
      </c>
      <c r="H899" s="229" t="s">
        <v>4739</v>
      </c>
      <c r="I899" s="230" t="s">
        <v>5181</v>
      </c>
      <c r="J899" s="254" t="s">
        <v>204</v>
      </c>
      <c r="K899" s="255">
        <v>37304</v>
      </c>
      <c r="L899" s="233" t="s">
        <v>174</v>
      </c>
      <c r="M899" s="256">
        <v>43762</v>
      </c>
      <c r="N899" s="256"/>
      <c r="O899" s="224"/>
      <c r="P899" s="222" t="s">
        <v>3945</v>
      </c>
      <c r="Q899" s="222" t="s">
        <v>244</v>
      </c>
      <c r="R899" s="224" t="s">
        <v>177</v>
      </c>
      <c r="S899" s="224" t="s">
        <v>206</v>
      </c>
      <c r="T899" s="235"/>
      <c r="U899" s="257"/>
      <c r="V899" s="258" t="s">
        <v>179</v>
      </c>
      <c r="W899" s="258" t="s">
        <v>179</v>
      </c>
      <c r="X899" s="259">
        <v>10</v>
      </c>
      <c r="Y899" s="251" t="s">
        <v>5182</v>
      </c>
      <c r="Z899" s="261" t="s">
        <v>181</v>
      </c>
      <c r="AA899" s="289"/>
      <c r="AB899" s="244"/>
      <c r="AC899" s="280"/>
      <c r="AD899" s="280"/>
      <c r="AE899" s="280"/>
      <c r="AF899" s="280"/>
      <c r="AG899" s="280"/>
      <c r="AH899" s="280"/>
      <c r="AI899" s="280"/>
      <c r="AJ899" s="244" t="s">
        <v>198</v>
      </c>
      <c r="AK899" s="244" t="s">
        <v>185</v>
      </c>
      <c r="AL899" s="244" t="s">
        <v>185</v>
      </c>
      <c r="AM899" s="244" t="s">
        <v>3854</v>
      </c>
      <c r="AN899" s="20">
        <v>177</v>
      </c>
      <c r="AO899" s="20">
        <v>0</v>
      </c>
      <c r="AP899" s="20">
        <v>20</v>
      </c>
      <c r="AQ899" s="20">
        <v>0</v>
      </c>
      <c r="AR899" s="20">
        <v>0</v>
      </c>
      <c r="AS899" s="20">
        <v>7</v>
      </c>
      <c r="AT899" s="20">
        <v>10</v>
      </c>
      <c r="AU899" s="300">
        <f t="shared" si="144"/>
        <v>214</v>
      </c>
      <c r="AV899" s="20">
        <v>185</v>
      </c>
      <c r="AW899" s="20">
        <v>0</v>
      </c>
      <c r="AX899" s="20">
        <v>20</v>
      </c>
      <c r="AY899" s="20">
        <v>0</v>
      </c>
      <c r="AZ899" s="20">
        <v>0</v>
      </c>
      <c r="BA899" s="20">
        <v>7</v>
      </c>
      <c r="BB899" s="20">
        <v>10</v>
      </c>
      <c r="BC899" s="300">
        <f t="shared" si="145"/>
        <v>222</v>
      </c>
      <c r="BD899" s="42">
        <f t="shared" si="146"/>
        <v>8</v>
      </c>
      <c r="BE899" s="42">
        <f t="shared" si="147"/>
        <v>0</v>
      </c>
      <c r="BF899" s="42">
        <f t="shared" si="148"/>
        <v>0</v>
      </c>
      <c r="BG899" s="42">
        <f t="shared" si="149"/>
        <v>0</v>
      </c>
      <c r="BH899" s="42">
        <f t="shared" si="150"/>
        <v>0</v>
      </c>
      <c r="BI899" s="42">
        <f t="shared" si="151"/>
        <v>0</v>
      </c>
      <c r="BJ899" s="42">
        <f t="shared" si="152"/>
        <v>0</v>
      </c>
      <c r="BK899" s="42">
        <f t="shared" si="153"/>
        <v>8</v>
      </c>
    </row>
    <row r="900" spans="1:63" ht="27" customHeight="1">
      <c r="A900" s="222">
        <f t="shared" si="154"/>
        <v>898</v>
      </c>
      <c r="B900" s="223"/>
      <c r="C900" s="250">
        <v>3681</v>
      </c>
      <c r="D900" s="225" t="s">
        <v>5183</v>
      </c>
      <c r="E900" s="286" t="s">
        <v>5184</v>
      </c>
      <c r="F900" s="252" t="s">
        <v>446</v>
      </c>
      <c r="G900" s="253" t="s">
        <v>5185</v>
      </c>
      <c r="H900" s="229" t="s">
        <v>546</v>
      </c>
      <c r="I900" s="230" t="s">
        <v>5186</v>
      </c>
      <c r="J900" s="254" t="s">
        <v>204</v>
      </c>
      <c r="K900" s="255">
        <v>36253</v>
      </c>
      <c r="L900" s="233" t="s">
        <v>174</v>
      </c>
      <c r="M900" s="256">
        <v>43762</v>
      </c>
      <c r="N900" s="256"/>
      <c r="O900" s="224" t="s">
        <v>5187</v>
      </c>
      <c r="P900" s="222" t="s">
        <v>3935</v>
      </c>
      <c r="Q900" s="222" t="s">
        <v>244</v>
      </c>
      <c r="R900" s="224" t="s">
        <v>3955</v>
      </c>
      <c r="S900" s="224" t="s">
        <v>206</v>
      </c>
      <c r="T900" s="235" t="s">
        <v>4148</v>
      </c>
      <c r="U900" s="257">
        <v>43789</v>
      </c>
      <c r="V900" s="258" t="s">
        <v>179</v>
      </c>
      <c r="W900" s="258" t="s">
        <v>179</v>
      </c>
      <c r="X900" s="259">
        <v>2</v>
      </c>
      <c r="Y900" s="251" t="s">
        <v>5188</v>
      </c>
      <c r="Z900" s="261" t="s">
        <v>181</v>
      </c>
      <c r="AA900" s="289"/>
      <c r="AB900" s="244"/>
      <c r="AC900" s="280"/>
      <c r="AD900" s="280"/>
      <c r="AE900" s="280"/>
      <c r="AF900" s="280"/>
      <c r="AG900" s="280"/>
      <c r="AH900" s="280"/>
      <c r="AI900" s="280"/>
      <c r="AJ900" s="244" t="s">
        <v>198</v>
      </c>
      <c r="AK900" s="244" t="s">
        <v>185</v>
      </c>
      <c r="AL900" s="244" t="s">
        <v>185</v>
      </c>
      <c r="AM900" s="244" t="s">
        <v>3854</v>
      </c>
      <c r="AN900" s="20">
        <v>182</v>
      </c>
      <c r="AO900" s="20">
        <v>0</v>
      </c>
      <c r="AP900" s="20">
        <v>0</v>
      </c>
      <c r="AQ900" s="20">
        <v>0</v>
      </c>
      <c r="AR900" s="20">
        <v>0</v>
      </c>
      <c r="AS900" s="20">
        <v>7</v>
      </c>
      <c r="AT900" s="20">
        <v>10</v>
      </c>
      <c r="AU900" s="300">
        <f t="shared" ref="AU900:AU963" si="155">SUM(AN900:AT900)</f>
        <v>199</v>
      </c>
      <c r="AV900" s="20">
        <v>190</v>
      </c>
      <c r="AW900" s="20">
        <v>0</v>
      </c>
      <c r="AX900" s="20">
        <v>0</v>
      </c>
      <c r="AY900" s="20">
        <v>0</v>
      </c>
      <c r="AZ900" s="20">
        <v>0</v>
      </c>
      <c r="BA900" s="20">
        <v>7</v>
      </c>
      <c r="BB900" s="20">
        <v>10</v>
      </c>
      <c r="BC900" s="300">
        <f t="shared" ref="BC900:BC963" si="156">SUM(AV900:BB900)</f>
        <v>207</v>
      </c>
      <c r="BD900" s="42">
        <f t="shared" ref="BD900:BD963" si="157">AV900-AN900</f>
        <v>8</v>
      </c>
      <c r="BE900" s="42">
        <f t="shared" ref="BE900:BE963" si="158">AW900-AO900</f>
        <v>0</v>
      </c>
      <c r="BF900" s="42">
        <f t="shared" ref="BF900:BF963" si="159">AX900-AP900</f>
        <v>0</v>
      </c>
      <c r="BG900" s="42">
        <f t="shared" ref="BG900:BG963" si="160">AY900-AQ900</f>
        <v>0</v>
      </c>
      <c r="BH900" s="42">
        <f t="shared" ref="BH900:BH963" si="161">AZ900-AR900</f>
        <v>0</v>
      </c>
      <c r="BI900" s="42">
        <f t="shared" ref="BI900:BI963" si="162">BA900-AS900</f>
        <v>0</v>
      </c>
      <c r="BJ900" s="42">
        <f t="shared" ref="BJ900:BJ963" si="163">BB900-AT900</f>
        <v>0</v>
      </c>
      <c r="BK900" s="42">
        <f t="shared" ref="BK900:BK963" si="164">BC900-AU900</f>
        <v>8</v>
      </c>
    </row>
    <row r="901" spans="1:63" ht="27" customHeight="1">
      <c r="A901" s="222">
        <f t="shared" ref="A901:A964" si="165">1+A900</f>
        <v>899</v>
      </c>
      <c r="B901" s="223"/>
      <c r="C901" s="250">
        <v>3723</v>
      </c>
      <c r="D901" s="225" t="s">
        <v>5189</v>
      </c>
      <c r="E901" s="286" t="s">
        <v>5190</v>
      </c>
      <c r="F901" s="252" t="s">
        <v>1292</v>
      </c>
      <c r="G901" s="253" t="s">
        <v>2591</v>
      </c>
      <c r="H901" s="229" t="s">
        <v>1294</v>
      </c>
      <c r="I901" s="230" t="s">
        <v>5191</v>
      </c>
      <c r="J901" s="254" t="s">
        <v>204</v>
      </c>
      <c r="K901" s="255">
        <v>37424</v>
      </c>
      <c r="L901" s="233" t="s">
        <v>174</v>
      </c>
      <c r="M901" s="256">
        <v>43762</v>
      </c>
      <c r="N901" s="256"/>
      <c r="O901" s="224"/>
      <c r="P901" s="222" t="s">
        <v>3935</v>
      </c>
      <c r="Q901" s="222" t="s">
        <v>244</v>
      </c>
      <c r="R901" s="224" t="s">
        <v>177</v>
      </c>
      <c r="S901" s="224" t="s">
        <v>178</v>
      </c>
      <c r="T901" s="235"/>
      <c r="U901" s="257"/>
      <c r="V901" s="258" t="s">
        <v>179</v>
      </c>
      <c r="W901" s="258" t="s">
        <v>179</v>
      </c>
      <c r="X901" s="259">
        <v>6</v>
      </c>
      <c r="Y901" s="251" t="s">
        <v>5192</v>
      </c>
      <c r="Z901" s="261" t="s">
        <v>181</v>
      </c>
      <c r="AA901" s="289"/>
      <c r="AB901" s="244"/>
      <c r="AC901" s="280"/>
      <c r="AD901" s="280"/>
      <c r="AE901" s="280"/>
      <c r="AF901" s="280"/>
      <c r="AG901" s="280"/>
      <c r="AH901" s="280"/>
      <c r="AI901" s="280"/>
      <c r="AJ901" s="244" t="s">
        <v>198</v>
      </c>
      <c r="AK901" s="244" t="s">
        <v>185</v>
      </c>
      <c r="AL901" s="244" t="s">
        <v>185</v>
      </c>
      <c r="AM901" s="244" t="s">
        <v>3854</v>
      </c>
      <c r="AN901" s="20">
        <v>177</v>
      </c>
      <c r="AO901" s="20">
        <v>0</v>
      </c>
      <c r="AP901" s="20">
        <v>20</v>
      </c>
      <c r="AQ901" s="20">
        <v>0</v>
      </c>
      <c r="AR901" s="20">
        <v>0</v>
      </c>
      <c r="AS901" s="20">
        <v>7</v>
      </c>
      <c r="AT901" s="20">
        <v>10</v>
      </c>
      <c r="AU901" s="300">
        <f t="shared" si="155"/>
        <v>214</v>
      </c>
      <c r="AV901" s="20">
        <v>185</v>
      </c>
      <c r="AW901" s="20">
        <v>0</v>
      </c>
      <c r="AX901" s="20">
        <v>20</v>
      </c>
      <c r="AY901" s="20">
        <v>0</v>
      </c>
      <c r="AZ901" s="20">
        <v>0</v>
      </c>
      <c r="BA901" s="20">
        <v>7</v>
      </c>
      <c r="BB901" s="20">
        <v>10</v>
      </c>
      <c r="BC901" s="300">
        <f t="shared" si="156"/>
        <v>222</v>
      </c>
      <c r="BD901" s="42">
        <f t="shared" si="157"/>
        <v>8</v>
      </c>
      <c r="BE901" s="42">
        <f t="shared" si="158"/>
        <v>0</v>
      </c>
      <c r="BF901" s="42">
        <f t="shared" si="159"/>
        <v>0</v>
      </c>
      <c r="BG901" s="42">
        <f t="shared" si="160"/>
        <v>0</v>
      </c>
      <c r="BH901" s="42">
        <f t="shared" si="161"/>
        <v>0</v>
      </c>
      <c r="BI901" s="42">
        <f t="shared" si="162"/>
        <v>0</v>
      </c>
      <c r="BJ901" s="42">
        <f t="shared" si="163"/>
        <v>0</v>
      </c>
      <c r="BK901" s="42">
        <f t="shared" si="164"/>
        <v>8</v>
      </c>
    </row>
    <row r="902" spans="1:63" ht="27" customHeight="1">
      <c r="A902" s="222">
        <f t="shared" si="165"/>
        <v>900</v>
      </c>
      <c r="B902" s="223"/>
      <c r="C902" s="250">
        <v>3722</v>
      </c>
      <c r="D902" s="225" t="s">
        <v>5193</v>
      </c>
      <c r="E902" s="286" t="s">
        <v>5194</v>
      </c>
      <c r="F902" s="252" t="s">
        <v>4326</v>
      </c>
      <c r="G902" s="253" t="s">
        <v>4647</v>
      </c>
      <c r="H902" s="229" t="s">
        <v>5195</v>
      </c>
      <c r="I902" s="230" t="s">
        <v>365</v>
      </c>
      <c r="J902" s="254" t="s">
        <v>204</v>
      </c>
      <c r="K902" s="255">
        <v>36295</v>
      </c>
      <c r="L902" s="233" t="s">
        <v>174</v>
      </c>
      <c r="M902" s="256">
        <v>43762</v>
      </c>
      <c r="N902" s="256"/>
      <c r="O902" s="224"/>
      <c r="P902" s="222" t="s">
        <v>3633</v>
      </c>
      <c r="Q902" s="222" t="s">
        <v>244</v>
      </c>
      <c r="R902" s="224" t="s">
        <v>177</v>
      </c>
      <c r="S902" s="224" t="s">
        <v>223</v>
      </c>
      <c r="T902" s="235"/>
      <c r="U902" s="257"/>
      <c r="V902" s="258" t="s">
        <v>179</v>
      </c>
      <c r="W902" s="258" t="s">
        <v>179</v>
      </c>
      <c r="X902" s="259">
        <v>6</v>
      </c>
      <c r="Y902" s="251" t="s">
        <v>5196</v>
      </c>
      <c r="Z902" s="261" t="s">
        <v>181</v>
      </c>
      <c r="AA902" s="289"/>
      <c r="AB902" s="244"/>
      <c r="AC902" s="280"/>
      <c r="AD902" s="280"/>
      <c r="AE902" s="280"/>
      <c r="AF902" s="280"/>
      <c r="AG902" s="280"/>
      <c r="AH902" s="280"/>
      <c r="AI902" s="280"/>
      <c r="AJ902" s="244" t="s">
        <v>198</v>
      </c>
      <c r="AK902" s="244" t="s">
        <v>185</v>
      </c>
      <c r="AL902" s="244" t="s">
        <v>185</v>
      </c>
      <c r="AM902" s="244" t="s">
        <v>3854</v>
      </c>
      <c r="AN902" s="20">
        <v>182</v>
      </c>
      <c r="AO902" s="20">
        <v>0</v>
      </c>
      <c r="AP902" s="20">
        <v>20</v>
      </c>
      <c r="AQ902" s="20">
        <v>10</v>
      </c>
      <c r="AR902" s="20">
        <v>0</v>
      </c>
      <c r="AS902" s="20">
        <v>7</v>
      </c>
      <c r="AT902" s="20">
        <v>10</v>
      </c>
      <c r="AU902" s="300">
        <f t="shared" si="155"/>
        <v>229</v>
      </c>
      <c r="AV902" s="20">
        <v>190</v>
      </c>
      <c r="AW902" s="20">
        <v>0</v>
      </c>
      <c r="AX902" s="20">
        <v>20</v>
      </c>
      <c r="AY902" s="20">
        <v>10</v>
      </c>
      <c r="AZ902" s="20">
        <v>0</v>
      </c>
      <c r="BA902" s="20">
        <v>7</v>
      </c>
      <c r="BB902" s="20">
        <v>10</v>
      </c>
      <c r="BC902" s="300">
        <f t="shared" si="156"/>
        <v>237</v>
      </c>
      <c r="BD902" s="42">
        <f t="shared" si="157"/>
        <v>8</v>
      </c>
      <c r="BE902" s="42">
        <f t="shared" si="158"/>
        <v>0</v>
      </c>
      <c r="BF902" s="42">
        <f t="shared" si="159"/>
        <v>0</v>
      </c>
      <c r="BG902" s="42">
        <f t="shared" si="160"/>
        <v>0</v>
      </c>
      <c r="BH902" s="42">
        <f t="shared" si="161"/>
        <v>0</v>
      </c>
      <c r="BI902" s="42">
        <f t="shared" si="162"/>
        <v>0</v>
      </c>
      <c r="BJ902" s="42">
        <f t="shared" si="163"/>
        <v>0</v>
      </c>
      <c r="BK902" s="42">
        <f t="shared" si="164"/>
        <v>8</v>
      </c>
    </row>
    <row r="903" spans="1:63" ht="27" customHeight="1">
      <c r="A903" s="222">
        <f t="shared" si="165"/>
        <v>901</v>
      </c>
      <c r="B903" s="223"/>
      <c r="C903" s="250">
        <v>3720</v>
      </c>
      <c r="D903" s="225" t="s">
        <v>5197</v>
      </c>
      <c r="E903" s="286" t="s">
        <v>5198</v>
      </c>
      <c r="F903" s="252" t="s">
        <v>1598</v>
      </c>
      <c r="G903" s="253" t="s">
        <v>4675</v>
      </c>
      <c r="H903" s="229" t="s">
        <v>1600</v>
      </c>
      <c r="I903" s="230" t="s">
        <v>5199</v>
      </c>
      <c r="J903" s="254" t="s">
        <v>204</v>
      </c>
      <c r="K903" s="255">
        <v>34702</v>
      </c>
      <c r="L903" s="233" t="s">
        <v>174</v>
      </c>
      <c r="M903" s="256">
        <v>43762</v>
      </c>
      <c r="N903" s="256"/>
      <c r="O903" s="224"/>
      <c r="P903" s="222" t="s">
        <v>3935</v>
      </c>
      <c r="Q903" s="222" t="s">
        <v>244</v>
      </c>
      <c r="R903" s="224" t="s">
        <v>177</v>
      </c>
      <c r="S903" s="224" t="s">
        <v>223</v>
      </c>
      <c r="T903" s="235"/>
      <c r="U903" s="257"/>
      <c r="V903" s="258" t="s">
        <v>179</v>
      </c>
      <c r="W903" s="258" t="s">
        <v>179</v>
      </c>
      <c r="X903" s="259">
        <v>7</v>
      </c>
      <c r="Y903" s="251" t="s">
        <v>5200</v>
      </c>
      <c r="Z903" s="261" t="s">
        <v>181</v>
      </c>
      <c r="AA903" s="289"/>
      <c r="AB903" s="244"/>
      <c r="AC903" s="280"/>
      <c r="AD903" s="280"/>
      <c r="AE903" s="280"/>
      <c r="AF903" s="280"/>
      <c r="AG903" s="280"/>
      <c r="AH903" s="280"/>
      <c r="AI903" s="280"/>
      <c r="AJ903" s="244" t="s">
        <v>198</v>
      </c>
      <c r="AK903" s="244" t="s">
        <v>185</v>
      </c>
      <c r="AL903" s="244" t="s">
        <v>185</v>
      </c>
      <c r="AM903" s="244" t="s">
        <v>3854</v>
      </c>
      <c r="AN903" s="20">
        <v>182</v>
      </c>
      <c r="AO903" s="20">
        <v>0</v>
      </c>
      <c r="AP903" s="20">
        <v>20</v>
      </c>
      <c r="AQ903" s="20">
        <v>0</v>
      </c>
      <c r="AR903" s="20">
        <v>0</v>
      </c>
      <c r="AS903" s="20">
        <v>7</v>
      </c>
      <c r="AT903" s="20">
        <v>10</v>
      </c>
      <c r="AU903" s="300">
        <f t="shared" si="155"/>
        <v>219</v>
      </c>
      <c r="AV903" s="20">
        <v>190</v>
      </c>
      <c r="AW903" s="20">
        <v>0</v>
      </c>
      <c r="AX903" s="20">
        <v>20</v>
      </c>
      <c r="AY903" s="20">
        <v>0</v>
      </c>
      <c r="AZ903" s="20">
        <v>0</v>
      </c>
      <c r="BA903" s="20">
        <v>7</v>
      </c>
      <c r="BB903" s="20">
        <v>10</v>
      </c>
      <c r="BC903" s="300">
        <f t="shared" si="156"/>
        <v>227</v>
      </c>
      <c r="BD903" s="42">
        <f t="shared" si="157"/>
        <v>8</v>
      </c>
      <c r="BE903" s="42">
        <f t="shared" si="158"/>
        <v>0</v>
      </c>
      <c r="BF903" s="42">
        <f t="shared" si="159"/>
        <v>0</v>
      </c>
      <c r="BG903" s="42">
        <f t="shared" si="160"/>
        <v>0</v>
      </c>
      <c r="BH903" s="42">
        <f t="shared" si="161"/>
        <v>0</v>
      </c>
      <c r="BI903" s="42">
        <f t="shared" si="162"/>
        <v>0</v>
      </c>
      <c r="BJ903" s="42">
        <f t="shared" si="163"/>
        <v>0</v>
      </c>
      <c r="BK903" s="42">
        <f t="shared" si="164"/>
        <v>8</v>
      </c>
    </row>
    <row r="904" spans="1:63" ht="27" customHeight="1">
      <c r="A904" s="222">
        <f t="shared" si="165"/>
        <v>902</v>
      </c>
      <c r="B904" s="223"/>
      <c r="C904" s="250">
        <v>3736</v>
      </c>
      <c r="D904" s="225" t="s">
        <v>5201</v>
      </c>
      <c r="E904" s="286" t="s">
        <v>5202</v>
      </c>
      <c r="F904" s="252" t="s">
        <v>1076</v>
      </c>
      <c r="G904" s="253" t="s">
        <v>1385</v>
      </c>
      <c r="H904" s="229" t="s">
        <v>1078</v>
      </c>
      <c r="I904" s="230" t="s">
        <v>1387</v>
      </c>
      <c r="J904" s="254" t="s">
        <v>204</v>
      </c>
      <c r="K904" s="255">
        <v>33429</v>
      </c>
      <c r="L904" s="233" t="s">
        <v>174</v>
      </c>
      <c r="M904" s="256">
        <v>43762</v>
      </c>
      <c r="N904" s="256"/>
      <c r="O904" s="224"/>
      <c r="P904" s="222" t="s">
        <v>3935</v>
      </c>
      <c r="Q904" s="222" t="s">
        <v>244</v>
      </c>
      <c r="R904" s="224" t="s">
        <v>177</v>
      </c>
      <c r="S904" s="224" t="s">
        <v>223</v>
      </c>
      <c r="T904" s="235"/>
      <c r="U904" s="257"/>
      <c r="V904" s="258" t="s">
        <v>179</v>
      </c>
      <c r="W904" s="258" t="s">
        <v>179</v>
      </c>
      <c r="X904" s="259">
        <v>9</v>
      </c>
      <c r="Y904" s="251" t="s">
        <v>5203</v>
      </c>
      <c r="Z904" s="261" t="s">
        <v>181</v>
      </c>
      <c r="AA904" s="289"/>
      <c r="AB904" s="244"/>
      <c r="AC904" s="280"/>
      <c r="AD904" s="280"/>
      <c r="AE904" s="280"/>
      <c r="AF904" s="280"/>
      <c r="AG904" s="280"/>
      <c r="AH904" s="280"/>
      <c r="AI904" s="280"/>
      <c r="AJ904" s="244" t="s">
        <v>198</v>
      </c>
      <c r="AK904" s="244" t="s">
        <v>185</v>
      </c>
      <c r="AL904" s="244" t="s">
        <v>185</v>
      </c>
      <c r="AM904" s="244" t="s">
        <v>3854</v>
      </c>
      <c r="AN904" s="20">
        <v>182</v>
      </c>
      <c r="AO904" s="20">
        <v>0</v>
      </c>
      <c r="AP904" s="20">
        <v>20</v>
      </c>
      <c r="AQ904" s="20">
        <v>0</v>
      </c>
      <c r="AR904" s="20">
        <v>0</v>
      </c>
      <c r="AS904" s="20">
        <v>7</v>
      </c>
      <c r="AT904" s="20">
        <v>10</v>
      </c>
      <c r="AU904" s="300">
        <f t="shared" si="155"/>
        <v>219</v>
      </c>
      <c r="AV904" s="20">
        <v>190</v>
      </c>
      <c r="AW904" s="20">
        <v>0</v>
      </c>
      <c r="AX904" s="20">
        <v>20</v>
      </c>
      <c r="AY904" s="20">
        <v>0</v>
      </c>
      <c r="AZ904" s="20">
        <v>0</v>
      </c>
      <c r="BA904" s="20">
        <v>7</v>
      </c>
      <c r="BB904" s="20">
        <v>10</v>
      </c>
      <c r="BC904" s="300">
        <f t="shared" si="156"/>
        <v>227</v>
      </c>
      <c r="BD904" s="42">
        <f t="shared" si="157"/>
        <v>8</v>
      </c>
      <c r="BE904" s="42">
        <f t="shared" si="158"/>
        <v>0</v>
      </c>
      <c r="BF904" s="42">
        <f t="shared" si="159"/>
        <v>0</v>
      </c>
      <c r="BG904" s="42">
        <f t="shared" si="160"/>
        <v>0</v>
      </c>
      <c r="BH904" s="42">
        <f t="shared" si="161"/>
        <v>0</v>
      </c>
      <c r="BI904" s="42">
        <f t="shared" si="162"/>
        <v>0</v>
      </c>
      <c r="BJ904" s="42">
        <f t="shared" si="163"/>
        <v>0</v>
      </c>
      <c r="BK904" s="42">
        <f t="shared" si="164"/>
        <v>8</v>
      </c>
    </row>
    <row r="905" spans="1:63" ht="27" customHeight="1">
      <c r="A905" s="222">
        <f t="shared" si="165"/>
        <v>903</v>
      </c>
      <c r="B905" s="223"/>
      <c r="C905" s="250">
        <v>3735</v>
      </c>
      <c r="D905" s="225" t="s">
        <v>5204</v>
      </c>
      <c r="E905" s="286" t="s">
        <v>5205</v>
      </c>
      <c r="F905" s="252" t="s">
        <v>2334</v>
      </c>
      <c r="G905" s="253" t="s">
        <v>5206</v>
      </c>
      <c r="H905" s="229" t="s">
        <v>4356</v>
      </c>
      <c r="I905" s="230" t="s">
        <v>5207</v>
      </c>
      <c r="J905" s="254" t="s">
        <v>204</v>
      </c>
      <c r="K905" s="255">
        <v>36613</v>
      </c>
      <c r="L905" s="233" t="s">
        <v>174</v>
      </c>
      <c r="M905" s="256">
        <v>43762</v>
      </c>
      <c r="N905" s="256"/>
      <c r="O905" s="224"/>
      <c r="P905" s="222" t="s">
        <v>3935</v>
      </c>
      <c r="Q905" s="222" t="s">
        <v>244</v>
      </c>
      <c r="R905" s="224" t="s">
        <v>177</v>
      </c>
      <c r="S905" s="224" t="s">
        <v>206</v>
      </c>
      <c r="T905" s="235"/>
      <c r="U905" s="257"/>
      <c r="V905" s="258" t="s">
        <v>179</v>
      </c>
      <c r="W905" s="258" t="s">
        <v>179</v>
      </c>
      <c r="X905" s="259">
        <v>9</v>
      </c>
      <c r="Y905" s="251" t="s">
        <v>5208</v>
      </c>
      <c r="Z905" s="261" t="s">
        <v>181</v>
      </c>
      <c r="AA905" s="289"/>
      <c r="AB905" s="244"/>
      <c r="AC905" s="280"/>
      <c r="AD905" s="280"/>
      <c r="AE905" s="280"/>
      <c r="AF905" s="280"/>
      <c r="AG905" s="280"/>
      <c r="AH905" s="280"/>
      <c r="AI905" s="280"/>
      <c r="AJ905" s="244" t="s">
        <v>198</v>
      </c>
      <c r="AK905" s="244" t="s">
        <v>185</v>
      </c>
      <c r="AL905" s="244" t="s">
        <v>185</v>
      </c>
      <c r="AM905" s="244" t="s">
        <v>3854</v>
      </c>
      <c r="AN905" s="20">
        <v>177</v>
      </c>
      <c r="AO905" s="20">
        <v>0</v>
      </c>
      <c r="AP905" s="20">
        <v>20</v>
      </c>
      <c r="AQ905" s="20">
        <v>0</v>
      </c>
      <c r="AR905" s="20">
        <v>0</v>
      </c>
      <c r="AS905" s="20">
        <v>7</v>
      </c>
      <c r="AT905" s="20">
        <v>10</v>
      </c>
      <c r="AU905" s="300">
        <f t="shared" si="155"/>
        <v>214</v>
      </c>
      <c r="AV905" s="20">
        <v>185</v>
      </c>
      <c r="AW905" s="20">
        <v>0</v>
      </c>
      <c r="AX905" s="20">
        <v>20</v>
      </c>
      <c r="AY905" s="20">
        <v>0</v>
      </c>
      <c r="AZ905" s="20">
        <v>0</v>
      </c>
      <c r="BA905" s="20">
        <v>7</v>
      </c>
      <c r="BB905" s="20">
        <v>10</v>
      </c>
      <c r="BC905" s="300">
        <f t="shared" si="156"/>
        <v>222</v>
      </c>
      <c r="BD905" s="42">
        <f t="shared" si="157"/>
        <v>8</v>
      </c>
      <c r="BE905" s="42">
        <f t="shared" si="158"/>
        <v>0</v>
      </c>
      <c r="BF905" s="42">
        <f t="shared" si="159"/>
        <v>0</v>
      </c>
      <c r="BG905" s="42">
        <f t="shared" si="160"/>
        <v>0</v>
      </c>
      <c r="BH905" s="42">
        <f t="shared" si="161"/>
        <v>0</v>
      </c>
      <c r="BI905" s="42">
        <f t="shared" si="162"/>
        <v>0</v>
      </c>
      <c r="BJ905" s="42">
        <f t="shared" si="163"/>
        <v>0</v>
      </c>
      <c r="BK905" s="42">
        <f t="shared" si="164"/>
        <v>8</v>
      </c>
    </row>
    <row r="906" spans="1:63" ht="27" customHeight="1">
      <c r="A906" s="222">
        <f t="shared" si="165"/>
        <v>904</v>
      </c>
      <c r="B906" s="223"/>
      <c r="C906" s="250">
        <v>3730</v>
      </c>
      <c r="D906" s="225" t="s">
        <v>5209</v>
      </c>
      <c r="E906" s="286" t="s">
        <v>5210</v>
      </c>
      <c r="F906" s="252" t="s">
        <v>3092</v>
      </c>
      <c r="G906" s="253" t="s">
        <v>5211</v>
      </c>
      <c r="H906" s="229" t="s">
        <v>5212</v>
      </c>
      <c r="I906" s="230" t="s">
        <v>5213</v>
      </c>
      <c r="J906" s="254" t="s">
        <v>204</v>
      </c>
      <c r="K906" s="255">
        <v>33405</v>
      </c>
      <c r="L906" s="233" t="s">
        <v>174</v>
      </c>
      <c r="M906" s="256">
        <v>43762</v>
      </c>
      <c r="N906" s="256"/>
      <c r="O906" s="224"/>
      <c r="P906" s="222" t="s">
        <v>3935</v>
      </c>
      <c r="Q906" s="222" t="s">
        <v>244</v>
      </c>
      <c r="R906" s="224" t="s">
        <v>177</v>
      </c>
      <c r="S906" s="224" t="s">
        <v>4329</v>
      </c>
      <c r="T906" s="235"/>
      <c r="U906" s="257"/>
      <c r="V906" s="258" t="s">
        <v>179</v>
      </c>
      <c r="W906" s="258" t="s">
        <v>179</v>
      </c>
      <c r="X906" s="259">
        <v>5</v>
      </c>
      <c r="Y906" s="251" t="s">
        <v>5214</v>
      </c>
      <c r="Z906" s="289"/>
      <c r="AA906" s="289"/>
      <c r="AB906" s="244"/>
      <c r="AC906" s="280"/>
      <c r="AD906" s="280"/>
      <c r="AE906" s="280"/>
      <c r="AF906" s="280"/>
      <c r="AG906" s="280"/>
      <c r="AH906" s="280"/>
      <c r="AI906" s="280"/>
      <c r="AJ906" s="244" t="s">
        <v>198</v>
      </c>
      <c r="AK906" s="244" t="s">
        <v>185</v>
      </c>
      <c r="AL906" s="244" t="s">
        <v>185</v>
      </c>
      <c r="AM906" s="244" t="s">
        <v>3854</v>
      </c>
      <c r="AN906" s="20">
        <v>177</v>
      </c>
      <c r="AO906" s="20">
        <v>0</v>
      </c>
      <c r="AP906" s="20">
        <v>20</v>
      </c>
      <c r="AQ906" s="20">
        <v>0</v>
      </c>
      <c r="AR906" s="20">
        <v>0</v>
      </c>
      <c r="AS906" s="20">
        <v>7</v>
      </c>
      <c r="AT906" s="20">
        <v>10</v>
      </c>
      <c r="AU906" s="300">
        <f t="shared" si="155"/>
        <v>214</v>
      </c>
      <c r="AV906" s="20">
        <v>185</v>
      </c>
      <c r="AW906" s="20">
        <v>0</v>
      </c>
      <c r="AX906" s="20">
        <v>20</v>
      </c>
      <c r="AY906" s="20">
        <v>0</v>
      </c>
      <c r="AZ906" s="20">
        <v>0</v>
      </c>
      <c r="BA906" s="20">
        <v>7</v>
      </c>
      <c r="BB906" s="20">
        <v>10</v>
      </c>
      <c r="BC906" s="300">
        <f t="shared" si="156"/>
        <v>222</v>
      </c>
      <c r="BD906" s="42">
        <f t="shared" si="157"/>
        <v>8</v>
      </c>
      <c r="BE906" s="42">
        <f t="shared" si="158"/>
        <v>0</v>
      </c>
      <c r="BF906" s="42">
        <f t="shared" si="159"/>
        <v>0</v>
      </c>
      <c r="BG906" s="42">
        <f t="shared" si="160"/>
        <v>0</v>
      </c>
      <c r="BH906" s="42">
        <f t="shared" si="161"/>
        <v>0</v>
      </c>
      <c r="BI906" s="42">
        <f t="shared" si="162"/>
        <v>0</v>
      </c>
      <c r="BJ906" s="42">
        <f t="shared" si="163"/>
        <v>0</v>
      </c>
      <c r="BK906" s="42">
        <f t="shared" si="164"/>
        <v>8</v>
      </c>
    </row>
    <row r="907" spans="1:63" ht="27" customHeight="1">
      <c r="A907" s="222">
        <f t="shared" si="165"/>
        <v>905</v>
      </c>
      <c r="B907" s="223"/>
      <c r="C907" s="250">
        <v>3731</v>
      </c>
      <c r="D907" s="225" t="s">
        <v>5215</v>
      </c>
      <c r="E907" s="286" t="s">
        <v>5216</v>
      </c>
      <c r="F907" s="252" t="s">
        <v>535</v>
      </c>
      <c r="G907" s="253" t="s">
        <v>5217</v>
      </c>
      <c r="H907" s="229" t="s">
        <v>5010</v>
      </c>
      <c r="I907" s="230" t="s">
        <v>5218</v>
      </c>
      <c r="J907" s="254" t="s">
        <v>204</v>
      </c>
      <c r="K907" s="255">
        <v>34583</v>
      </c>
      <c r="L907" s="233" t="s">
        <v>174</v>
      </c>
      <c r="M907" s="256">
        <v>43762</v>
      </c>
      <c r="N907" s="256"/>
      <c r="O907" s="224" t="s">
        <v>4147</v>
      </c>
      <c r="P907" s="222" t="s">
        <v>3945</v>
      </c>
      <c r="Q907" s="222" t="s">
        <v>244</v>
      </c>
      <c r="R907" s="224" t="s">
        <v>3955</v>
      </c>
      <c r="S907" s="224" t="s">
        <v>223</v>
      </c>
      <c r="T907" s="235" t="s">
        <v>4148</v>
      </c>
      <c r="U907" s="257">
        <v>43789</v>
      </c>
      <c r="V907" s="258" t="s">
        <v>179</v>
      </c>
      <c r="W907" s="258" t="s">
        <v>179</v>
      </c>
      <c r="X907" s="259">
        <v>5</v>
      </c>
      <c r="Y907" s="251" t="s">
        <v>5219</v>
      </c>
      <c r="Z907" s="289"/>
      <c r="AA907" s="289"/>
      <c r="AB907" s="244"/>
      <c r="AC907" s="280"/>
      <c r="AD907" s="280"/>
      <c r="AE907" s="280"/>
      <c r="AF907" s="280"/>
      <c r="AG907" s="280"/>
      <c r="AH907" s="280"/>
      <c r="AI907" s="280"/>
      <c r="AJ907" s="244" t="s">
        <v>198</v>
      </c>
      <c r="AK907" s="244" t="s">
        <v>185</v>
      </c>
      <c r="AL907" s="244" t="s">
        <v>185</v>
      </c>
      <c r="AM907" s="244" t="s">
        <v>3854</v>
      </c>
      <c r="AN907" s="20">
        <v>182</v>
      </c>
      <c r="AO907" s="20">
        <v>0</v>
      </c>
      <c r="AP907" s="20">
        <v>0</v>
      </c>
      <c r="AQ907" s="20">
        <v>0</v>
      </c>
      <c r="AR907" s="20">
        <v>0</v>
      </c>
      <c r="AS907" s="20">
        <v>7</v>
      </c>
      <c r="AT907" s="20">
        <v>10</v>
      </c>
      <c r="AU907" s="300">
        <f t="shared" si="155"/>
        <v>199</v>
      </c>
      <c r="AV907" s="20">
        <v>190</v>
      </c>
      <c r="AW907" s="20">
        <v>0</v>
      </c>
      <c r="AX907" s="20">
        <v>0</v>
      </c>
      <c r="AY907" s="20">
        <v>0</v>
      </c>
      <c r="AZ907" s="20">
        <v>0</v>
      </c>
      <c r="BA907" s="20">
        <v>7</v>
      </c>
      <c r="BB907" s="20">
        <v>10</v>
      </c>
      <c r="BC907" s="300">
        <f t="shared" si="156"/>
        <v>207</v>
      </c>
      <c r="BD907" s="42">
        <f t="shared" si="157"/>
        <v>8</v>
      </c>
      <c r="BE907" s="42">
        <f t="shared" si="158"/>
        <v>0</v>
      </c>
      <c r="BF907" s="42">
        <f t="shared" si="159"/>
        <v>0</v>
      </c>
      <c r="BG907" s="42">
        <f t="shared" si="160"/>
        <v>0</v>
      </c>
      <c r="BH907" s="42">
        <f t="shared" si="161"/>
        <v>0</v>
      </c>
      <c r="BI907" s="42">
        <f t="shared" si="162"/>
        <v>0</v>
      </c>
      <c r="BJ907" s="42">
        <f t="shared" si="163"/>
        <v>0</v>
      </c>
      <c r="BK907" s="42">
        <f t="shared" si="164"/>
        <v>8</v>
      </c>
    </row>
    <row r="908" spans="1:63" ht="27" customHeight="1">
      <c r="A908" s="222">
        <f t="shared" si="165"/>
        <v>906</v>
      </c>
      <c r="B908" s="223"/>
      <c r="C908" s="250">
        <v>3729</v>
      </c>
      <c r="D908" s="225" t="s">
        <v>5220</v>
      </c>
      <c r="E908" s="286" t="s">
        <v>5221</v>
      </c>
      <c r="F908" s="252" t="s">
        <v>5222</v>
      </c>
      <c r="G908" s="253" t="s">
        <v>204</v>
      </c>
      <c r="H908" s="229" t="s">
        <v>1840</v>
      </c>
      <c r="I908" s="230" t="s">
        <v>4884</v>
      </c>
      <c r="J908" s="254" t="s">
        <v>204</v>
      </c>
      <c r="K908" s="255">
        <v>34560</v>
      </c>
      <c r="L908" s="233" t="s">
        <v>174</v>
      </c>
      <c r="M908" s="256">
        <v>43762</v>
      </c>
      <c r="N908" s="256"/>
      <c r="O908" s="224"/>
      <c r="P908" s="222" t="s">
        <v>3935</v>
      </c>
      <c r="Q908" s="222" t="s">
        <v>244</v>
      </c>
      <c r="R908" s="224" t="s">
        <v>177</v>
      </c>
      <c r="S908" s="224" t="s">
        <v>223</v>
      </c>
      <c r="T908" s="235"/>
      <c r="U908" s="257"/>
      <c r="V908" s="258" t="s">
        <v>179</v>
      </c>
      <c r="W908" s="258" t="s">
        <v>179</v>
      </c>
      <c r="X908" s="259">
        <v>7</v>
      </c>
      <c r="Y908" s="251" t="s">
        <v>5223</v>
      </c>
      <c r="Z908" s="289"/>
      <c r="AA908" s="261" t="s">
        <v>181</v>
      </c>
      <c r="AB908" s="244"/>
      <c r="AC908" s="280"/>
      <c r="AD908" s="280"/>
      <c r="AE908" s="280"/>
      <c r="AF908" s="280"/>
      <c r="AG908" s="280"/>
      <c r="AH908" s="280"/>
      <c r="AI908" s="280"/>
      <c r="AJ908" s="244" t="s">
        <v>198</v>
      </c>
      <c r="AK908" s="244" t="s">
        <v>185</v>
      </c>
      <c r="AL908" s="244" t="s">
        <v>185</v>
      </c>
      <c r="AM908" s="244" t="s">
        <v>236</v>
      </c>
      <c r="AN908" s="20">
        <v>182</v>
      </c>
      <c r="AO908" s="20">
        <v>0</v>
      </c>
      <c r="AP908" s="20">
        <v>20</v>
      </c>
      <c r="AQ908" s="20">
        <v>0</v>
      </c>
      <c r="AR908" s="20">
        <v>0</v>
      </c>
      <c r="AS908" s="20">
        <v>7</v>
      </c>
      <c r="AT908" s="20">
        <v>10</v>
      </c>
      <c r="AU908" s="300">
        <f t="shared" si="155"/>
        <v>219</v>
      </c>
      <c r="AV908" s="20">
        <v>190</v>
      </c>
      <c r="AW908" s="20">
        <v>0</v>
      </c>
      <c r="AX908" s="20">
        <v>20</v>
      </c>
      <c r="AY908" s="20">
        <v>0</v>
      </c>
      <c r="AZ908" s="20">
        <v>0</v>
      </c>
      <c r="BA908" s="20">
        <v>7</v>
      </c>
      <c r="BB908" s="20">
        <v>10</v>
      </c>
      <c r="BC908" s="300">
        <f t="shared" si="156"/>
        <v>227</v>
      </c>
      <c r="BD908" s="42">
        <f t="shared" si="157"/>
        <v>8</v>
      </c>
      <c r="BE908" s="42">
        <f t="shared" si="158"/>
        <v>0</v>
      </c>
      <c r="BF908" s="42">
        <f t="shared" si="159"/>
        <v>0</v>
      </c>
      <c r="BG908" s="42">
        <f t="shared" si="160"/>
        <v>0</v>
      </c>
      <c r="BH908" s="42">
        <f t="shared" si="161"/>
        <v>0</v>
      </c>
      <c r="BI908" s="42">
        <f t="shared" si="162"/>
        <v>0</v>
      </c>
      <c r="BJ908" s="42">
        <f t="shared" si="163"/>
        <v>0</v>
      </c>
      <c r="BK908" s="42">
        <f t="shared" si="164"/>
        <v>8</v>
      </c>
    </row>
    <row r="909" spans="1:63" ht="27" customHeight="1">
      <c r="A909" s="222">
        <f t="shared" si="165"/>
        <v>907</v>
      </c>
      <c r="B909" s="223"/>
      <c r="C909" s="250">
        <v>3726</v>
      </c>
      <c r="D909" s="225" t="s">
        <v>5224</v>
      </c>
      <c r="E909" s="286" t="s">
        <v>5225</v>
      </c>
      <c r="F909" s="252" t="s">
        <v>5226</v>
      </c>
      <c r="G909" s="253" t="s">
        <v>5227</v>
      </c>
      <c r="H909" s="229" t="s">
        <v>5228</v>
      </c>
      <c r="I909" s="230" t="s">
        <v>5229</v>
      </c>
      <c r="J909" s="254" t="s">
        <v>204</v>
      </c>
      <c r="K909" s="255">
        <v>32310</v>
      </c>
      <c r="L909" s="233" t="s">
        <v>174</v>
      </c>
      <c r="M909" s="256">
        <v>43762</v>
      </c>
      <c r="N909" s="256"/>
      <c r="O909" s="224"/>
      <c r="P909" s="222" t="s">
        <v>3954</v>
      </c>
      <c r="Q909" s="222" t="s">
        <v>244</v>
      </c>
      <c r="R909" s="224" t="s">
        <v>177</v>
      </c>
      <c r="S909" s="224" t="s">
        <v>326</v>
      </c>
      <c r="T909" s="235"/>
      <c r="U909" s="257"/>
      <c r="V909" s="258" t="s">
        <v>179</v>
      </c>
      <c r="W909" s="258">
        <v>185</v>
      </c>
      <c r="X909" s="259">
        <v>9</v>
      </c>
      <c r="Y909" s="251" t="s">
        <v>5230</v>
      </c>
      <c r="Z909" s="289"/>
      <c r="AA909" s="261" t="s">
        <v>181</v>
      </c>
      <c r="AB909" s="244"/>
      <c r="AC909" s="280"/>
      <c r="AD909" s="280" t="s">
        <v>183</v>
      </c>
      <c r="AE909" s="280"/>
      <c r="AF909" s="280"/>
      <c r="AG909" s="280"/>
      <c r="AH909" s="280"/>
      <c r="AI909" s="280"/>
      <c r="AJ909" s="244" t="s">
        <v>198</v>
      </c>
      <c r="AK909" s="244" t="s">
        <v>185</v>
      </c>
      <c r="AL909" s="244" t="s">
        <v>185</v>
      </c>
      <c r="AM909" s="244" t="s">
        <v>3854</v>
      </c>
      <c r="AN909" s="20">
        <v>182</v>
      </c>
      <c r="AO909" s="20">
        <v>0</v>
      </c>
      <c r="AP909" s="20">
        <v>0</v>
      </c>
      <c r="AQ909" s="20">
        <v>0</v>
      </c>
      <c r="AR909" s="20">
        <v>0</v>
      </c>
      <c r="AS909" s="20">
        <v>7</v>
      </c>
      <c r="AT909" s="20">
        <v>10</v>
      </c>
      <c r="AU909" s="300">
        <f t="shared" si="155"/>
        <v>199</v>
      </c>
      <c r="AV909" s="20">
        <v>190</v>
      </c>
      <c r="AW909" s="20">
        <v>0</v>
      </c>
      <c r="AX909" s="20">
        <v>0</v>
      </c>
      <c r="AY909" s="20">
        <v>0</v>
      </c>
      <c r="AZ909" s="20">
        <v>0</v>
      </c>
      <c r="BA909" s="20">
        <v>7</v>
      </c>
      <c r="BB909" s="20">
        <v>10</v>
      </c>
      <c r="BC909" s="300">
        <f t="shared" si="156"/>
        <v>207</v>
      </c>
      <c r="BD909" s="42">
        <f t="shared" si="157"/>
        <v>8</v>
      </c>
      <c r="BE909" s="42">
        <f t="shared" si="158"/>
        <v>0</v>
      </c>
      <c r="BF909" s="42">
        <f t="shared" si="159"/>
        <v>0</v>
      </c>
      <c r="BG909" s="42">
        <f t="shared" si="160"/>
        <v>0</v>
      </c>
      <c r="BH909" s="42">
        <f t="shared" si="161"/>
        <v>0</v>
      </c>
      <c r="BI909" s="42">
        <f t="shared" si="162"/>
        <v>0</v>
      </c>
      <c r="BJ909" s="42">
        <f t="shared" si="163"/>
        <v>0</v>
      </c>
      <c r="BK909" s="42">
        <f t="shared" si="164"/>
        <v>8</v>
      </c>
    </row>
    <row r="910" spans="1:63" ht="27" customHeight="1">
      <c r="A910" s="222">
        <f t="shared" si="165"/>
        <v>908</v>
      </c>
      <c r="B910" s="223"/>
      <c r="C910" s="250">
        <v>3716</v>
      </c>
      <c r="D910" s="225" t="s">
        <v>5231</v>
      </c>
      <c r="E910" s="286" t="s">
        <v>5232</v>
      </c>
      <c r="F910" s="252" t="s">
        <v>825</v>
      </c>
      <c r="G910" s="253" t="s">
        <v>5233</v>
      </c>
      <c r="H910" s="229" t="s">
        <v>1799</v>
      </c>
      <c r="I910" s="230" t="s">
        <v>5234</v>
      </c>
      <c r="J910" s="254" t="s">
        <v>204</v>
      </c>
      <c r="K910" s="255">
        <v>28160</v>
      </c>
      <c r="L910" s="233" t="s">
        <v>174</v>
      </c>
      <c r="M910" s="256">
        <v>43762</v>
      </c>
      <c r="N910" s="256"/>
      <c r="O910" s="224"/>
      <c r="P910" s="222" t="s">
        <v>3945</v>
      </c>
      <c r="Q910" s="222" t="s">
        <v>244</v>
      </c>
      <c r="R910" s="224" t="s">
        <v>177</v>
      </c>
      <c r="S910" s="224" t="s">
        <v>206</v>
      </c>
      <c r="T910" s="235"/>
      <c r="U910" s="257"/>
      <c r="V910" s="258" t="s">
        <v>179</v>
      </c>
      <c r="W910" s="258" t="s">
        <v>179</v>
      </c>
      <c r="X910" s="259">
        <v>7</v>
      </c>
      <c r="Y910" s="251" t="s">
        <v>5005</v>
      </c>
      <c r="Z910" s="289"/>
      <c r="AA910" s="261" t="s">
        <v>181</v>
      </c>
      <c r="AB910" s="244"/>
      <c r="AC910" s="280"/>
      <c r="AD910" s="280"/>
      <c r="AE910" s="280"/>
      <c r="AF910" s="280"/>
      <c r="AG910" s="280"/>
      <c r="AH910" s="280"/>
      <c r="AI910" s="280"/>
      <c r="AJ910" s="244" t="s">
        <v>198</v>
      </c>
      <c r="AK910" s="244" t="s">
        <v>185</v>
      </c>
      <c r="AL910" s="244" t="s">
        <v>185</v>
      </c>
      <c r="AM910" s="244" t="s">
        <v>3854</v>
      </c>
      <c r="AN910" s="20">
        <v>177</v>
      </c>
      <c r="AO910" s="20">
        <v>0</v>
      </c>
      <c r="AP910" s="20">
        <v>20</v>
      </c>
      <c r="AQ910" s="20">
        <v>0</v>
      </c>
      <c r="AR910" s="20">
        <v>0</v>
      </c>
      <c r="AS910" s="20">
        <v>7</v>
      </c>
      <c r="AT910" s="20">
        <v>10</v>
      </c>
      <c r="AU910" s="300">
        <f t="shared" si="155"/>
        <v>214</v>
      </c>
      <c r="AV910" s="20">
        <v>185</v>
      </c>
      <c r="AW910" s="20">
        <v>0</v>
      </c>
      <c r="AX910" s="20">
        <v>20</v>
      </c>
      <c r="AY910" s="20">
        <v>0</v>
      </c>
      <c r="AZ910" s="20">
        <v>0</v>
      </c>
      <c r="BA910" s="20">
        <v>7</v>
      </c>
      <c r="BB910" s="20">
        <v>10</v>
      </c>
      <c r="BC910" s="300">
        <f t="shared" si="156"/>
        <v>222</v>
      </c>
      <c r="BD910" s="42">
        <f t="shared" si="157"/>
        <v>8</v>
      </c>
      <c r="BE910" s="42">
        <f t="shared" si="158"/>
        <v>0</v>
      </c>
      <c r="BF910" s="42">
        <f t="shared" si="159"/>
        <v>0</v>
      </c>
      <c r="BG910" s="42">
        <f t="shared" si="160"/>
        <v>0</v>
      </c>
      <c r="BH910" s="42">
        <f t="shared" si="161"/>
        <v>0</v>
      </c>
      <c r="BI910" s="42">
        <f t="shared" si="162"/>
        <v>0</v>
      </c>
      <c r="BJ910" s="42">
        <f t="shared" si="163"/>
        <v>0</v>
      </c>
      <c r="BK910" s="42">
        <f t="shared" si="164"/>
        <v>8</v>
      </c>
    </row>
    <row r="911" spans="1:63" ht="27" customHeight="1">
      <c r="A911" s="222">
        <f t="shared" si="165"/>
        <v>909</v>
      </c>
      <c r="B911" s="223"/>
      <c r="C911" s="250">
        <v>3717</v>
      </c>
      <c r="D911" s="225" t="s">
        <v>5235</v>
      </c>
      <c r="E911" s="286" t="s">
        <v>291</v>
      </c>
      <c r="F911" s="252" t="s">
        <v>5236</v>
      </c>
      <c r="G911" s="253" t="s">
        <v>5237</v>
      </c>
      <c r="H911" s="229" t="s">
        <v>1824</v>
      </c>
      <c r="I911" s="230" t="s">
        <v>5238</v>
      </c>
      <c r="J911" s="254" t="s">
        <v>204</v>
      </c>
      <c r="K911" s="255">
        <v>34578</v>
      </c>
      <c r="L911" s="233" t="s">
        <v>174</v>
      </c>
      <c r="M911" s="256">
        <v>43762</v>
      </c>
      <c r="N911" s="256"/>
      <c r="O911" s="224"/>
      <c r="P911" s="222" t="s">
        <v>3945</v>
      </c>
      <c r="Q911" s="222" t="s">
        <v>244</v>
      </c>
      <c r="R911" s="224" t="s">
        <v>177</v>
      </c>
      <c r="S911" s="224" t="s">
        <v>1113</v>
      </c>
      <c r="T911" s="235"/>
      <c r="U911" s="257"/>
      <c r="V911" s="258" t="s">
        <v>179</v>
      </c>
      <c r="W911" s="258">
        <v>426</v>
      </c>
      <c r="X911" s="259">
        <v>4</v>
      </c>
      <c r="Y911" s="251" t="s">
        <v>5061</v>
      </c>
      <c r="Z911" s="289"/>
      <c r="AA911" s="261" t="s">
        <v>181</v>
      </c>
      <c r="AB911" s="244"/>
      <c r="AC911" s="280"/>
      <c r="AD911" s="280"/>
      <c r="AE911" s="280"/>
      <c r="AF911" s="280"/>
      <c r="AG911" s="280"/>
      <c r="AH911" s="280"/>
      <c r="AI911" s="280"/>
      <c r="AJ911" s="244" t="s">
        <v>198</v>
      </c>
      <c r="AK911" s="244" t="s">
        <v>185</v>
      </c>
      <c r="AL911" s="244" t="s">
        <v>185</v>
      </c>
      <c r="AM911" s="244" t="s">
        <v>3854</v>
      </c>
      <c r="AN911" s="20">
        <v>177</v>
      </c>
      <c r="AO911" s="20">
        <v>0</v>
      </c>
      <c r="AP911" s="20">
        <v>20</v>
      </c>
      <c r="AQ911" s="20">
        <v>0</v>
      </c>
      <c r="AR911" s="20">
        <v>0</v>
      </c>
      <c r="AS911" s="20">
        <v>7</v>
      </c>
      <c r="AT911" s="20">
        <v>10</v>
      </c>
      <c r="AU911" s="300">
        <f t="shared" si="155"/>
        <v>214</v>
      </c>
      <c r="AV911" s="20">
        <v>185</v>
      </c>
      <c r="AW911" s="20">
        <v>0</v>
      </c>
      <c r="AX911" s="20">
        <v>20</v>
      </c>
      <c r="AY911" s="20">
        <v>0</v>
      </c>
      <c r="AZ911" s="20">
        <v>0</v>
      </c>
      <c r="BA911" s="20">
        <v>7</v>
      </c>
      <c r="BB911" s="20">
        <v>10</v>
      </c>
      <c r="BC911" s="300">
        <f t="shared" si="156"/>
        <v>222</v>
      </c>
      <c r="BD911" s="42">
        <f t="shared" si="157"/>
        <v>8</v>
      </c>
      <c r="BE911" s="42">
        <f t="shared" si="158"/>
        <v>0</v>
      </c>
      <c r="BF911" s="42">
        <f t="shared" si="159"/>
        <v>0</v>
      </c>
      <c r="BG911" s="42">
        <f t="shared" si="160"/>
        <v>0</v>
      </c>
      <c r="BH911" s="42">
        <f t="shared" si="161"/>
        <v>0</v>
      </c>
      <c r="BI911" s="42">
        <f t="shared" si="162"/>
        <v>0</v>
      </c>
      <c r="BJ911" s="42">
        <f t="shared" si="163"/>
        <v>0</v>
      </c>
      <c r="BK911" s="42">
        <f t="shared" si="164"/>
        <v>8</v>
      </c>
    </row>
    <row r="912" spans="1:63" ht="27" customHeight="1">
      <c r="A912" s="222">
        <f t="shared" si="165"/>
        <v>910</v>
      </c>
      <c r="B912" s="223"/>
      <c r="C912" s="250">
        <v>3718</v>
      </c>
      <c r="D912" s="225" t="s">
        <v>5239</v>
      </c>
      <c r="E912" s="286" t="s">
        <v>5240</v>
      </c>
      <c r="F912" s="252" t="s">
        <v>1182</v>
      </c>
      <c r="G912" s="253" t="s">
        <v>5241</v>
      </c>
      <c r="H912" s="229" t="s">
        <v>5242</v>
      </c>
      <c r="I912" s="230" t="s">
        <v>5243</v>
      </c>
      <c r="J912" s="254" t="s">
        <v>204</v>
      </c>
      <c r="K912" s="255">
        <v>36257</v>
      </c>
      <c r="L912" s="233" t="s">
        <v>174</v>
      </c>
      <c r="M912" s="256">
        <v>43762</v>
      </c>
      <c r="N912" s="256"/>
      <c r="O912" s="224"/>
      <c r="P912" s="222" t="s">
        <v>3935</v>
      </c>
      <c r="Q912" s="222" t="s">
        <v>244</v>
      </c>
      <c r="R912" s="224" t="s">
        <v>177</v>
      </c>
      <c r="S912" s="224" t="s">
        <v>428</v>
      </c>
      <c r="T912" s="235"/>
      <c r="U912" s="257"/>
      <c r="V912" s="258" t="s">
        <v>179</v>
      </c>
      <c r="W912" s="258" t="s">
        <v>179</v>
      </c>
      <c r="X912" s="259">
        <v>7</v>
      </c>
      <c r="Y912" s="251" t="s">
        <v>5244</v>
      </c>
      <c r="Z912" s="289"/>
      <c r="AA912" s="289"/>
      <c r="AB912" s="244"/>
      <c r="AC912" s="280"/>
      <c r="AD912" s="280"/>
      <c r="AE912" s="280"/>
      <c r="AF912" s="280"/>
      <c r="AG912" s="280"/>
      <c r="AH912" s="280"/>
      <c r="AI912" s="280"/>
      <c r="AJ912" s="244" t="s">
        <v>198</v>
      </c>
      <c r="AK912" s="244" t="s">
        <v>185</v>
      </c>
      <c r="AL912" s="244" t="s">
        <v>185</v>
      </c>
      <c r="AM912" s="244" t="s">
        <v>3854</v>
      </c>
      <c r="AN912" s="20">
        <v>182</v>
      </c>
      <c r="AO912" s="20">
        <v>0</v>
      </c>
      <c r="AP912" s="20">
        <v>20</v>
      </c>
      <c r="AQ912" s="20">
        <v>0</v>
      </c>
      <c r="AR912" s="20">
        <v>0</v>
      </c>
      <c r="AS912" s="20">
        <v>7</v>
      </c>
      <c r="AT912" s="20">
        <v>10</v>
      </c>
      <c r="AU912" s="300">
        <f t="shared" si="155"/>
        <v>219</v>
      </c>
      <c r="AV912" s="20">
        <v>190</v>
      </c>
      <c r="AW912" s="20">
        <v>0</v>
      </c>
      <c r="AX912" s="20">
        <v>20</v>
      </c>
      <c r="AY912" s="20">
        <v>0</v>
      </c>
      <c r="AZ912" s="20">
        <v>0</v>
      </c>
      <c r="BA912" s="20">
        <v>7</v>
      </c>
      <c r="BB912" s="20">
        <v>10</v>
      </c>
      <c r="BC912" s="300">
        <f t="shared" si="156"/>
        <v>227</v>
      </c>
      <c r="BD912" s="42">
        <f t="shared" si="157"/>
        <v>8</v>
      </c>
      <c r="BE912" s="42">
        <f t="shared" si="158"/>
        <v>0</v>
      </c>
      <c r="BF912" s="42">
        <f t="shared" si="159"/>
        <v>0</v>
      </c>
      <c r="BG912" s="42">
        <f t="shared" si="160"/>
        <v>0</v>
      </c>
      <c r="BH912" s="42">
        <f t="shared" si="161"/>
        <v>0</v>
      </c>
      <c r="BI912" s="42">
        <f t="shared" si="162"/>
        <v>0</v>
      </c>
      <c r="BJ912" s="42">
        <f t="shared" si="163"/>
        <v>0</v>
      </c>
      <c r="BK912" s="42">
        <f t="shared" si="164"/>
        <v>8</v>
      </c>
    </row>
    <row r="913" spans="1:63" ht="27" customHeight="1">
      <c r="A913" s="222">
        <f t="shared" si="165"/>
        <v>911</v>
      </c>
      <c r="B913" s="223"/>
      <c r="C913" s="250">
        <v>3721</v>
      </c>
      <c r="D913" s="225" t="s">
        <v>5245</v>
      </c>
      <c r="E913" s="286" t="s">
        <v>5246</v>
      </c>
      <c r="F913" s="252" t="s">
        <v>1061</v>
      </c>
      <c r="G913" s="253" t="s">
        <v>5247</v>
      </c>
      <c r="H913" s="229" t="s">
        <v>1063</v>
      </c>
      <c r="I913" s="230" t="s">
        <v>5248</v>
      </c>
      <c r="J913" s="254" t="s">
        <v>204</v>
      </c>
      <c r="K913" s="255">
        <v>35065</v>
      </c>
      <c r="L913" s="233" t="s">
        <v>174</v>
      </c>
      <c r="M913" s="256">
        <v>43762</v>
      </c>
      <c r="N913" s="256"/>
      <c r="O913" s="224"/>
      <c r="P913" s="222" t="s">
        <v>3935</v>
      </c>
      <c r="Q913" s="222" t="s">
        <v>244</v>
      </c>
      <c r="R913" s="224" t="s">
        <v>177</v>
      </c>
      <c r="S913" s="224" t="s">
        <v>428</v>
      </c>
      <c r="T913" s="235"/>
      <c r="U913" s="257"/>
      <c r="V913" s="258" t="s">
        <v>179</v>
      </c>
      <c r="W913" s="258" t="s">
        <v>179</v>
      </c>
      <c r="X913" s="259">
        <v>9</v>
      </c>
      <c r="Y913" s="251" t="s">
        <v>5249</v>
      </c>
      <c r="Z913" s="261" t="s">
        <v>181</v>
      </c>
      <c r="AA913" s="289"/>
      <c r="AB913" s="244"/>
      <c r="AC913" s="280"/>
      <c r="AD913" s="280"/>
      <c r="AE913" s="280"/>
      <c r="AF913" s="280"/>
      <c r="AG913" s="280"/>
      <c r="AH913" s="280"/>
      <c r="AI913" s="280"/>
      <c r="AJ913" s="244" t="s">
        <v>198</v>
      </c>
      <c r="AK913" s="244" t="s">
        <v>185</v>
      </c>
      <c r="AL913" s="244" t="s">
        <v>185</v>
      </c>
      <c r="AM913" s="244" t="s">
        <v>3854</v>
      </c>
      <c r="AN913" s="20">
        <v>182</v>
      </c>
      <c r="AO913" s="20">
        <v>0</v>
      </c>
      <c r="AP913" s="20">
        <v>20</v>
      </c>
      <c r="AQ913" s="20">
        <v>10</v>
      </c>
      <c r="AR913" s="20">
        <v>0</v>
      </c>
      <c r="AS913" s="20">
        <v>7</v>
      </c>
      <c r="AT913" s="20">
        <v>10</v>
      </c>
      <c r="AU913" s="300">
        <f t="shared" si="155"/>
        <v>229</v>
      </c>
      <c r="AV913" s="20">
        <v>190</v>
      </c>
      <c r="AW913" s="20">
        <v>0</v>
      </c>
      <c r="AX913" s="20">
        <v>20</v>
      </c>
      <c r="AY913" s="20">
        <v>10</v>
      </c>
      <c r="AZ913" s="20">
        <v>0</v>
      </c>
      <c r="BA913" s="20">
        <v>7</v>
      </c>
      <c r="BB913" s="20">
        <v>10</v>
      </c>
      <c r="BC913" s="300">
        <f t="shared" si="156"/>
        <v>237</v>
      </c>
      <c r="BD913" s="42">
        <f t="shared" si="157"/>
        <v>8</v>
      </c>
      <c r="BE913" s="42">
        <f t="shared" si="158"/>
        <v>0</v>
      </c>
      <c r="BF913" s="42">
        <f t="shared" si="159"/>
        <v>0</v>
      </c>
      <c r="BG913" s="42">
        <f t="shared" si="160"/>
        <v>0</v>
      </c>
      <c r="BH913" s="42">
        <f t="shared" si="161"/>
        <v>0</v>
      </c>
      <c r="BI913" s="42">
        <f t="shared" si="162"/>
        <v>0</v>
      </c>
      <c r="BJ913" s="42">
        <f t="shared" si="163"/>
        <v>0</v>
      </c>
      <c r="BK913" s="42">
        <f t="shared" si="164"/>
        <v>8</v>
      </c>
    </row>
    <row r="914" spans="1:63" ht="27" customHeight="1">
      <c r="A914" s="222">
        <f t="shared" si="165"/>
        <v>912</v>
      </c>
      <c r="B914" s="223"/>
      <c r="C914" s="250">
        <v>3650</v>
      </c>
      <c r="D914" s="225" t="s">
        <v>5250</v>
      </c>
      <c r="E914" s="286" t="s">
        <v>5251</v>
      </c>
      <c r="F914" s="252" t="s">
        <v>5252</v>
      </c>
      <c r="G914" s="253" t="s">
        <v>1693</v>
      </c>
      <c r="H914" s="229" t="s">
        <v>490</v>
      </c>
      <c r="I914" s="230" t="s">
        <v>1294</v>
      </c>
      <c r="J914" s="254" t="s">
        <v>173</v>
      </c>
      <c r="K914" s="255">
        <v>28135</v>
      </c>
      <c r="L914" s="233" t="s">
        <v>174</v>
      </c>
      <c r="M914" s="256">
        <v>43755</v>
      </c>
      <c r="N914" s="256"/>
      <c r="O914" s="224"/>
      <c r="P914" s="222" t="s">
        <v>3780</v>
      </c>
      <c r="Q914" s="222" t="s">
        <v>244</v>
      </c>
      <c r="R914" s="224" t="s">
        <v>177</v>
      </c>
      <c r="S914" s="224" t="s">
        <v>223</v>
      </c>
      <c r="T914" s="235"/>
      <c r="U914" s="257"/>
      <c r="V914" s="258" t="s">
        <v>179</v>
      </c>
      <c r="W914" s="258" t="s">
        <v>179</v>
      </c>
      <c r="X914" s="259">
        <v>5</v>
      </c>
      <c r="Y914" s="251" t="s">
        <v>3910</v>
      </c>
      <c r="Z914" s="289"/>
      <c r="AA914" s="289"/>
      <c r="AB914" s="244"/>
      <c r="AC914" s="280"/>
      <c r="AD914" s="280"/>
      <c r="AE914" s="280"/>
      <c r="AF914" s="280"/>
      <c r="AG914" s="280"/>
      <c r="AH914" s="280"/>
      <c r="AI914" s="280"/>
      <c r="AJ914" s="244" t="s">
        <v>198</v>
      </c>
      <c r="AK914" s="244" t="s">
        <v>185</v>
      </c>
      <c r="AL914" s="244" t="s">
        <v>185</v>
      </c>
      <c r="AM914" s="244" t="s">
        <v>3911</v>
      </c>
      <c r="AN914" s="20">
        <v>177</v>
      </c>
      <c r="AO914" s="20">
        <v>0</v>
      </c>
      <c r="AP914" s="20">
        <v>20</v>
      </c>
      <c r="AQ914" s="20">
        <v>0</v>
      </c>
      <c r="AR914" s="20">
        <v>0</v>
      </c>
      <c r="AS914" s="20">
        <v>7</v>
      </c>
      <c r="AT914" s="20">
        <v>10</v>
      </c>
      <c r="AU914" s="300">
        <f t="shared" si="155"/>
        <v>214</v>
      </c>
      <c r="AV914" s="20">
        <v>185</v>
      </c>
      <c r="AW914" s="20">
        <v>0</v>
      </c>
      <c r="AX914" s="20">
        <v>20</v>
      </c>
      <c r="AY914" s="20">
        <v>0</v>
      </c>
      <c r="AZ914" s="20">
        <v>0</v>
      </c>
      <c r="BA914" s="20">
        <v>7</v>
      </c>
      <c r="BB914" s="20">
        <v>10</v>
      </c>
      <c r="BC914" s="300">
        <f t="shared" si="156"/>
        <v>222</v>
      </c>
      <c r="BD914" s="42">
        <f t="shared" si="157"/>
        <v>8</v>
      </c>
      <c r="BE914" s="42">
        <f t="shared" si="158"/>
        <v>0</v>
      </c>
      <c r="BF914" s="42">
        <f t="shared" si="159"/>
        <v>0</v>
      </c>
      <c r="BG914" s="42">
        <f t="shared" si="160"/>
        <v>0</v>
      </c>
      <c r="BH914" s="42">
        <f t="shared" si="161"/>
        <v>0</v>
      </c>
      <c r="BI914" s="42">
        <f t="shared" si="162"/>
        <v>0</v>
      </c>
      <c r="BJ914" s="42">
        <f t="shared" si="163"/>
        <v>0</v>
      </c>
      <c r="BK914" s="42">
        <f t="shared" si="164"/>
        <v>8</v>
      </c>
    </row>
    <row r="915" spans="1:63" ht="27" customHeight="1">
      <c r="A915" s="222">
        <f t="shared" si="165"/>
        <v>913</v>
      </c>
      <c r="B915" s="223"/>
      <c r="C915" s="250">
        <v>3768</v>
      </c>
      <c r="D915" s="225" t="s">
        <v>5253</v>
      </c>
      <c r="E915" s="286" t="s">
        <v>5254</v>
      </c>
      <c r="F915" s="252" t="s">
        <v>1513</v>
      </c>
      <c r="G915" s="253" t="s">
        <v>5050</v>
      </c>
      <c r="H915" s="229" t="s">
        <v>5255</v>
      </c>
      <c r="I915" s="230" t="s">
        <v>5052</v>
      </c>
      <c r="J915" s="254" t="s">
        <v>173</v>
      </c>
      <c r="K915" s="255">
        <v>36916</v>
      </c>
      <c r="L915" s="233" t="s">
        <v>174</v>
      </c>
      <c r="M915" s="256">
        <v>43763</v>
      </c>
      <c r="N915" s="256"/>
      <c r="O915" s="224"/>
      <c r="P915" s="222" t="s">
        <v>3945</v>
      </c>
      <c r="Q915" s="222" t="s">
        <v>244</v>
      </c>
      <c r="R915" s="224" t="s">
        <v>177</v>
      </c>
      <c r="S915" s="224" t="s">
        <v>4014</v>
      </c>
      <c r="T915" s="235"/>
      <c r="U915" s="257"/>
      <c r="V915" s="258" t="s">
        <v>179</v>
      </c>
      <c r="W915" s="258" t="s">
        <v>179</v>
      </c>
      <c r="X915" s="259">
        <v>6</v>
      </c>
      <c r="Y915" s="251" t="s">
        <v>5256</v>
      </c>
      <c r="Z915" s="289"/>
      <c r="AA915" s="261" t="s">
        <v>181</v>
      </c>
      <c r="AB915" s="244"/>
      <c r="AC915" s="280"/>
      <c r="AD915" s="280"/>
      <c r="AE915" s="280"/>
      <c r="AF915" s="280"/>
      <c r="AG915" s="280"/>
      <c r="AH915" s="280"/>
      <c r="AI915" s="280"/>
      <c r="AJ915" s="244" t="s">
        <v>198</v>
      </c>
      <c r="AK915" s="244" t="s">
        <v>185</v>
      </c>
      <c r="AL915" s="244" t="s">
        <v>185</v>
      </c>
      <c r="AM915" s="244" t="s">
        <v>3854</v>
      </c>
      <c r="AN915" s="20">
        <v>177</v>
      </c>
      <c r="AO915" s="20">
        <v>0</v>
      </c>
      <c r="AP915" s="20">
        <v>20</v>
      </c>
      <c r="AQ915" s="20">
        <v>20</v>
      </c>
      <c r="AR915" s="20">
        <v>0</v>
      </c>
      <c r="AS915" s="20">
        <v>7</v>
      </c>
      <c r="AT915" s="20">
        <v>10</v>
      </c>
      <c r="AU915" s="300">
        <f t="shared" si="155"/>
        <v>234</v>
      </c>
      <c r="AV915" s="20">
        <v>185</v>
      </c>
      <c r="AW915" s="20">
        <v>0</v>
      </c>
      <c r="AX915" s="20">
        <v>20</v>
      </c>
      <c r="AY915" s="20">
        <v>20</v>
      </c>
      <c r="AZ915" s="20">
        <v>0</v>
      </c>
      <c r="BA915" s="20">
        <v>7</v>
      </c>
      <c r="BB915" s="20">
        <v>10</v>
      </c>
      <c r="BC915" s="300">
        <f t="shared" si="156"/>
        <v>242</v>
      </c>
      <c r="BD915" s="42">
        <f t="shared" si="157"/>
        <v>8</v>
      </c>
      <c r="BE915" s="42">
        <f t="shared" si="158"/>
        <v>0</v>
      </c>
      <c r="BF915" s="42">
        <f t="shared" si="159"/>
        <v>0</v>
      </c>
      <c r="BG915" s="42">
        <f t="shared" si="160"/>
        <v>0</v>
      </c>
      <c r="BH915" s="42">
        <f t="shared" si="161"/>
        <v>0</v>
      </c>
      <c r="BI915" s="42">
        <f t="shared" si="162"/>
        <v>0</v>
      </c>
      <c r="BJ915" s="42">
        <f t="shared" si="163"/>
        <v>0</v>
      </c>
      <c r="BK915" s="42">
        <f t="shared" si="164"/>
        <v>8</v>
      </c>
    </row>
    <row r="916" spans="1:63" ht="27" customHeight="1">
      <c r="A916" s="222">
        <f t="shared" si="165"/>
        <v>914</v>
      </c>
      <c r="B916" s="223"/>
      <c r="C916" s="288">
        <v>3766</v>
      </c>
      <c r="D916" s="225" t="s">
        <v>5257</v>
      </c>
      <c r="E916" s="286" t="s">
        <v>5258</v>
      </c>
      <c r="F916" s="252" t="s">
        <v>5259</v>
      </c>
      <c r="G916" s="253" t="s">
        <v>5260</v>
      </c>
      <c r="H916" s="229" t="s">
        <v>5261</v>
      </c>
      <c r="I916" s="230" t="s">
        <v>5262</v>
      </c>
      <c r="J916" s="254" t="s">
        <v>204</v>
      </c>
      <c r="K916" s="255">
        <v>36546</v>
      </c>
      <c r="L916" s="233" t="s">
        <v>174</v>
      </c>
      <c r="M916" s="256">
        <v>43763</v>
      </c>
      <c r="N916" s="256"/>
      <c r="O916" s="224"/>
      <c r="P916" s="222" t="s">
        <v>3945</v>
      </c>
      <c r="Q916" s="222" t="s">
        <v>244</v>
      </c>
      <c r="R916" s="224" t="s">
        <v>177</v>
      </c>
      <c r="S916" s="224" t="s">
        <v>4014</v>
      </c>
      <c r="T916" s="235"/>
      <c r="U916" s="257"/>
      <c r="V916" s="258" t="s">
        <v>179</v>
      </c>
      <c r="W916" s="258" t="s">
        <v>179</v>
      </c>
      <c r="X916" s="259">
        <v>1</v>
      </c>
      <c r="Y916" s="251" t="s">
        <v>5256</v>
      </c>
      <c r="Z916" s="289"/>
      <c r="AA916" s="261" t="s">
        <v>181</v>
      </c>
      <c r="AB916" s="244"/>
      <c r="AC916" s="280"/>
      <c r="AD916" s="280"/>
      <c r="AE916" s="280"/>
      <c r="AF916" s="280"/>
      <c r="AG916" s="280"/>
      <c r="AH916" s="280"/>
      <c r="AI916" s="280"/>
      <c r="AJ916" s="244" t="s">
        <v>198</v>
      </c>
      <c r="AK916" s="244" t="s">
        <v>185</v>
      </c>
      <c r="AL916" s="244" t="s">
        <v>185</v>
      </c>
      <c r="AM916" s="244" t="s">
        <v>3854</v>
      </c>
      <c r="AN916" s="20">
        <v>177</v>
      </c>
      <c r="AO916" s="20">
        <v>0</v>
      </c>
      <c r="AP916" s="20">
        <v>20</v>
      </c>
      <c r="AQ916" s="20">
        <v>0</v>
      </c>
      <c r="AR916" s="20">
        <v>0</v>
      </c>
      <c r="AS916" s="20">
        <v>7</v>
      </c>
      <c r="AT916" s="20">
        <v>10</v>
      </c>
      <c r="AU916" s="300">
        <f t="shared" si="155"/>
        <v>214</v>
      </c>
      <c r="AV916" s="20">
        <v>185</v>
      </c>
      <c r="AW916" s="20">
        <v>0</v>
      </c>
      <c r="AX916" s="20">
        <v>20</v>
      </c>
      <c r="AY916" s="20">
        <v>0</v>
      </c>
      <c r="AZ916" s="20">
        <v>0</v>
      </c>
      <c r="BA916" s="20">
        <v>7</v>
      </c>
      <c r="BB916" s="20">
        <v>10</v>
      </c>
      <c r="BC916" s="300">
        <f t="shared" si="156"/>
        <v>222</v>
      </c>
      <c r="BD916" s="42">
        <f t="shared" si="157"/>
        <v>8</v>
      </c>
      <c r="BE916" s="42">
        <f t="shared" si="158"/>
        <v>0</v>
      </c>
      <c r="BF916" s="42">
        <f t="shared" si="159"/>
        <v>0</v>
      </c>
      <c r="BG916" s="42">
        <f t="shared" si="160"/>
        <v>0</v>
      </c>
      <c r="BH916" s="42">
        <f t="shared" si="161"/>
        <v>0</v>
      </c>
      <c r="BI916" s="42">
        <f t="shared" si="162"/>
        <v>0</v>
      </c>
      <c r="BJ916" s="42">
        <f t="shared" si="163"/>
        <v>0</v>
      </c>
      <c r="BK916" s="42">
        <f t="shared" si="164"/>
        <v>8</v>
      </c>
    </row>
    <row r="917" spans="1:63" ht="27" customHeight="1">
      <c r="A917" s="222">
        <f t="shared" si="165"/>
        <v>915</v>
      </c>
      <c r="B917" s="223"/>
      <c r="C917" s="250">
        <v>3628</v>
      </c>
      <c r="D917" s="225">
        <v>0</v>
      </c>
      <c r="E917" s="286" t="s">
        <v>5263</v>
      </c>
      <c r="F917" s="252" t="s">
        <v>5264</v>
      </c>
      <c r="G917" s="253" t="s">
        <v>2570</v>
      </c>
      <c r="H917" s="229" t="s">
        <v>5265</v>
      </c>
      <c r="I917" s="230" t="s">
        <v>3553</v>
      </c>
      <c r="J917" s="254" t="s">
        <v>204</v>
      </c>
      <c r="K917" s="255">
        <v>34677</v>
      </c>
      <c r="L917" s="233" t="s">
        <v>174</v>
      </c>
      <c r="M917" s="256">
        <v>43750</v>
      </c>
      <c r="N917" s="256"/>
      <c r="O917" s="224"/>
      <c r="P917" s="222" t="s">
        <v>3629</v>
      </c>
      <c r="Q917" s="222" t="s">
        <v>244</v>
      </c>
      <c r="R917" s="224" t="s">
        <v>177</v>
      </c>
      <c r="S917" s="224" t="s">
        <v>178</v>
      </c>
      <c r="T917" s="235"/>
      <c r="U917" s="257"/>
      <c r="V917" s="258" t="s">
        <v>179</v>
      </c>
      <c r="W917" s="258" t="s">
        <v>179</v>
      </c>
      <c r="X917" s="259">
        <v>7</v>
      </c>
      <c r="Y917" s="251" t="s">
        <v>5266</v>
      </c>
      <c r="Z917" s="289"/>
      <c r="AA917" s="261" t="s">
        <v>181</v>
      </c>
      <c r="AB917" s="244"/>
      <c r="AC917" s="280"/>
      <c r="AD917" s="280"/>
      <c r="AE917" s="280"/>
      <c r="AF917" s="280"/>
      <c r="AG917" s="280"/>
      <c r="AH917" s="280"/>
      <c r="AI917" s="280"/>
      <c r="AJ917" s="244" t="s">
        <v>185</v>
      </c>
      <c r="AK917" s="244" t="s">
        <v>185</v>
      </c>
      <c r="AL917" s="244" t="s">
        <v>185</v>
      </c>
      <c r="AM917" s="273" t="s">
        <v>3654</v>
      </c>
      <c r="AN917" s="20">
        <v>182</v>
      </c>
      <c r="AO917" s="20">
        <v>0</v>
      </c>
      <c r="AP917" s="20">
        <v>20</v>
      </c>
      <c r="AQ917" s="20">
        <v>0</v>
      </c>
      <c r="AR917" s="20">
        <v>0</v>
      </c>
      <c r="AS917" s="20">
        <v>7</v>
      </c>
      <c r="AT917" s="20">
        <v>10</v>
      </c>
      <c r="AU917" s="300">
        <f t="shared" si="155"/>
        <v>219</v>
      </c>
      <c r="AV917" s="20">
        <v>190</v>
      </c>
      <c r="AW917" s="20">
        <v>0</v>
      </c>
      <c r="AX917" s="20">
        <v>20</v>
      </c>
      <c r="AY917" s="20">
        <v>0</v>
      </c>
      <c r="AZ917" s="20">
        <v>0</v>
      </c>
      <c r="BA917" s="20">
        <v>7</v>
      </c>
      <c r="BB917" s="20">
        <v>10</v>
      </c>
      <c r="BC917" s="300">
        <f t="shared" si="156"/>
        <v>227</v>
      </c>
      <c r="BD917" s="42">
        <f t="shared" si="157"/>
        <v>8</v>
      </c>
      <c r="BE917" s="42">
        <f t="shared" si="158"/>
        <v>0</v>
      </c>
      <c r="BF917" s="42">
        <f t="shared" si="159"/>
        <v>0</v>
      </c>
      <c r="BG917" s="42">
        <f t="shared" si="160"/>
        <v>0</v>
      </c>
      <c r="BH917" s="42">
        <f t="shared" si="161"/>
        <v>0</v>
      </c>
      <c r="BI917" s="42">
        <f t="shared" si="162"/>
        <v>0</v>
      </c>
      <c r="BJ917" s="42">
        <f t="shared" si="163"/>
        <v>0</v>
      </c>
      <c r="BK917" s="42">
        <f t="shared" si="164"/>
        <v>8</v>
      </c>
    </row>
    <row r="918" spans="1:63" ht="27" customHeight="1">
      <c r="A918" s="222">
        <f t="shared" si="165"/>
        <v>916</v>
      </c>
      <c r="B918" s="223"/>
      <c r="C918" s="250">
        <v>3676</v>
      </c>
      <c r="D918" s="225" t="s">
        <v>5267</v>
      </c>
      <c r="E918" s="286" t="s">
        <v>5268</v>
      </c>
      <c r="F918" s="252" t="s">
        <v>5269</v>
      </c>
      <c r="G918" s="253" t="s">
        <v>5270</v>
      </c>
      <c r="H918" s="229" t="s">
        <v>5271</v>
      </c>
      <c r="I918" s="230" t="s">
        <v>5272</v>
      </c>
      <c r="J918" s="254" t="s">
        <v>173</v>
      </c>
      <c r="K918" s="255">
        <v>36253</v>
      </c>
      <c r="L918" s="233" t="s">
        <v>174</v>
      </c>
      <c r="M918" s="256">
        <v>43757</v>
      </c>
      <c r="N918" s="256"/>
      <c r="O918" s="224"/>
      <c r="P918" s="222" t="s">
        <v>313</v>
      </c>
      <c r="Q918" s="222" t="s">
        <v>244</v>
      </c>
      <c r="R918" s="224" t="s">
        <v>177</v>
      </c>
      <c r="S918" s="224" t="s">
        <v>223</v>
      </c>
      <c r="T918" s="235"/>
      <c r="U918" s="257"/>
      <c r="V918" s="258" t="s">
        <v>179</v>
      </c>
      <c r="W918" s="258" t="s">
        <v>179</v>
      </c>
      <c r="X918" s="259">
        <v>5</v>
      </c>
      <c r="Y918" s="251" t="s">
        <v>5273</v>
      </c>
      <c r="Z918" s="289"/>
      <c r="AA918" s="289"/>
      <c r="AB918" s="244"/>
      <c r="AC918" s="280"/>
      <c r="AD918" s="280"/>
      <c r="AE918" s="280"/>
      <c r="AF918" s="280"/>
      <c r="AG918" s="280"/>
      <c r="AH918" s="280"/>
      <c r="AI918" s="280"/>
      <c r="AJ918" s="244" t="s">
        <v>198</v>
      </c>
      <c r="AK918" s="244" t="s">
        <v>185</v>
      </c>
      <c r="AL918" s="244" t="s">
        <v>185</v>
      </c>
      <c r="AM918" s="244" t="s">
        <v>3854</v>
      </c>
      <c r="AN918" s="20">
        <v>182</v>
      </c>
      <c r="AO918" s="20">
        <v>0</v>
      </c>
      <c r="AP918" s="20">
        <v>20</v>
      </c>
      <c r="AQ918" s="20">
        <v>0</v>
      </c>
      <c r="AR918" s="20">
        <v>0</v>
      </c>
      <c r="AS918" s="20">
        <v>7</v>
      </c>
      <c r="AT918" s="20">
        <v>10</v>
      </c>
      <c r="AU918" s="300">
        <f t="shared" si="155"/>
        <v>219</v>
      </c>
      <c r="AV918" s="20">
        <v>190</v>
      </c>
      <c r="AW918" s="20">
        <v>0</v>
      </c>
      <c r="AX918" s="20">
        <v>20</v>
      </c>
      <c r="AY918" s="20">
        <v>0</v>
      </c>
      <c r="AZ918" s="20">
        <v>0</v>
      </c>
      <c r="BA918" s="20">
        <v>7</v>
      </c>
      <c r="BB918" s="20">
        <v>10</v>
      </c>
      <c r="BC918" s="300">
        <f t="shared" si="156"/>
        <v>227</v>
      </c>
      <c r="BD918" s="42">
        <f t="shared" si="157"/>
        <v>8</v>
      </c>
      <c r="BE918" s="42">
        <f t="shared" si="158"/>
        <v>0</v>
      </c>
      <c r="BF918" s="42">
        <f t="shared" si="159"/>
        <v>0</v>
      </c>
      <c r="BG918" s="42">
        <f t="shared" si="160"/>
        <v>0</v>
      </c>
      <c r="BH918" s="42">
        <f t="shared" si="161"/>
        <v>0</v>
      </c>
      <c r="BI918" s="42">
        <f t="shared" si="162"/>
        <v>0</v>
      </c>
      <c r="BJ918" s="42">
        <f t="shared" si="163"/>
        <v>0</v>
      </c>
      <c r="BK918" s="42">
        <f t="shared" si="164"/>
        <v>8</v>
      </c>
    </row>
    <row r="919" spans="1:63" ht="27" customHeight="1">
      <c r="A919" s="222">
        <f t="shared" si="165"/>
        <v>917</v>
      </c>
      <c r="B919" s="223"/>
      <c r="C919" s="250">
        <v>3678</v>
      </c>
      <c r="D919" s="225">
        <v>0</v>
      </c>
      <c r="E919" s="286" t="s">
        <v>5274</v>
      </c>
      <c r="F919" s="252" t="s">
        <v>1899</v>
      </c>
      <c r="G919" s="253" t="s">
        <v>4478</v>
      </c>
      <c r="H919" s="229" t="s">
        <v>1900</v>
      </c>
      <c r="I919" s="230" t="s">
        <v>4480</v>
      </c>
      <c r="J919" s="254" t="s">
        <v>173</v>
      </c>
      <c r="K919" s="255">
        <v>34341</v>
      </c>
      <c r="L919" s="233" t="s">
        <v>174</v>
      </c>
      <c r="M919" s="256">
        <v>43759</v>
      </c>
      <c r="N919" s="256"/>
      <c r="O919" s="224"/>
      <c r="P919" s="222" t="s">
        <v>3644</v>
      </c>
      <c r="Q919" s="222" t="s">
        <v>244</v>
      </c>
      <c r="R919" s="224" t="s">
        <v>177</v>
      </c>
      <c r="S919" s="224" t="s">
        <v>206</v>
      </c>
      <c r="T919" s="235"/>
      <c r="U919" s="257"/>
      <c r="V919" s="258" t="s">
        <v>179</v>
      </c>
      <c r="W919" s="258" t="s">
        <v>179</v>
      </c>
      <c r="X919" s="259">
        <v>5</v>
      </c>
      <c r="Y919" s="251" t="s">
        <v>5275</v>
      </c>
      <c r="Z919" s="289"/>
      <c r="AA919" s="261" t="s">
        <v>181</v>
      </c>
      <c r="AB919" s="244"/>
      <c r="AC919" s="280"/>
      <c r="AD919" s="280"/>
      <c r="AE919" s="280"/>
      <c r="AF919" s="280"/>
      <c r="AG919" s="280"/>
      <c r="AH919" s="280"/>
      <c r="AI919" s="280"/>
      <c r="AJ919" s="244" t="s">
        <v>185</v>
      </c>
      <c r="AK919" s="244" t="s">
        <v>185</v>
      </c>
      <c r="AL919" s="244" t="s">
        <v>185</v>
      </c>
      <c r="AM919" s="244" t="s">
        <v>236</v>
      </c>
      <c r="AN919" s="20">
        <v>182</v>
      </c>
      <c r="AO919" s="20">
        <v>0</v>
      </c>
      <c r="AP919" s="20">
        <v>0</v>
      </c>
      <c r="AQ919" s="20">
        <v>0</v>
      </c>
      <c r="AR919" s="20">
        <v>0</v>
      </c>
      <c r="AS919" s="20">
        <v>7</v>
      </c>
      <c r="AT919" s="20">
        <v>10</v>
      </c>
      <c r="AU919" s="300">
        <f t="shared" si="155"/>
        <v>199</v>
      </c>
      <c r="AV919" s="20">
        <v>190</v>
      </c>
      <c r="AW919" s="20">
        <v>0</v>
      </c>
      <c r="AX919" s="20">
        <v>0</v>
      </c>
      <c r="AY919" s="20">
        <v>0</v>
      </c>
      <c r="AZ919" s="20">
        <v>0</v>
      </c>
      <c r="BA919" s="20">
        <v>7</v>
      </c>
      <c r="BB919" s="20">
        <v>10</v>
      </c>
      <c r="BC919" s="300">
        <f t="shared" si="156"/>
        <v>207</v>
      </c>
      <c r="BD919" s="42">
        <f t="shared" si="157"/>
        <v>8</v>
      </c>
      <c r="BE919" s="42">
        <f t="shared" si="158"/>
        <v>0</v>
      </c>
      <c r="BF919" s="42">
        <f t="shared" si="159"/>
        <v>0</v>
      </c>
      <c r="BG919" s="42">
        <f t="shared" si="160"/>
        <v>0</v>
      </c>
      <c r="BH919" s="42">
        <f t="shared" si="161"/>
        <v>0</v>
      </c>
      <c r="BI919" s="42">
        <f t="shared" si="162"/>
        <v>0</v>
      </c>
      <c r="BJ919" s="42">
        <f t="shared" si="163"/>
        <v>0</v>
      </c>
      <c r="BK919" s="42">
        <f t="shared" si="164"/>
        <v>8</v>
      </c>
    </row>
    <row r="920" spans="1:63" ht="27" customHeight="1">
      <c r="A920" s="222">
        <f t="shared" si="165"/>
        <v>918</v>
      </c>
      <c r="B920" s="223"/>
      <c r="C920" s="250">
        <v>3771</v>
      </c>
      <c r="D920" s="225" t="s">
        <v>5276</v>
      </c>
      <c r="E920" s="286" t="s">
        <v>5277</v>
      </c>
      <c r="F920" s="252" t="s">
        <v>748</v>
      </c>
      <c r="G920" s="253" t="s">
        <v>2016</v>
      </c>
      <c r="H920" s="229" t="s">
        <v>749</v>
      </c>
      <c r="I920" s="230" t="s">
        <v>902</v>
      </c>
      <c r="J920" s="254" t="s">
        <v>173</v>
      </c>
      <c r="K920" s="255">
        <v>32576</v>
      </c>
      <c r="L920" s="233" t="s">
        <v>174</v>
      </c>
      <c r="M920" s="256">
        <v>43764</v>
      </c>
      <c r="N920" s="256"/>
      <c r="O920" s="224"/>
      <c r="P920" s="222" t="s">
        <v>277</v>
      </c>
      <c r="Q920" s="222" t="s">
        <v>244</v>
      </c>
      <c r="R920" s="224" t="s">
        <v>177</v>
      </c>
      <c r="S920" s="224" t="s">
        <v>223</v>
      </c>
      <c r="T920" s="235"/>
      <c r="U920" s="257"/>
      <c r="V920" s="258" t="s">
        <v>179</v>
      </c>
      <c r="W920" s="258" t="s">
        <v>179</v>
      </c>
      <c r="X920" s="259">
        <v>8</v>
      </c>
      <c r="Y920" s="251" t="s">
        <v>5278</v>
      </c>
      <c r="Z920" s="289"/>
      <c r="AA920" s="261" t="s">
        <v>181</v>
      </c>
      <c r="AB920" s="244"/>
      <c r="AC920" s="280"/>
      <c r="AD920" s="280"/>
      <c r="AE920" s="280"/>
      <c r="AF920" s="280"/>
      <c r="AG920" s="280"/>
      <c r="AH920" s="280"/>
      <c r="AI920" s="280"/>
      <c r="AJ920" s="244" t="s">
        <v>198</v>
      </c>
      <c r="AK920" s="244" t="s">
        <v>185</v>
      </c>
      <c r="AL920" s="244" t="s">
        <v>185</v>
      </c>
      <c r="AM920" s="244" t="s">
        <v>5279</v>
      </c>
      <c r="AN920" s="20">
        <v>182</v>
      </c>
      <c r="AO920" s="20">
        <v>0</v>
      </c>
      <c r="AP920" s="20">
        <v>20</v>
      </c>
      <c r="AQ920" s="20">
        <v>0</v>
      </c>
      <c r="AR920" s="20">
        <v>0</v>
      </c>
      <c r="AS920" s="20">
        <v>7</v>
      </c>
      <c r="AT920" s="20">
        <v>10</v>
      </c>
      <c r="AU920" s="300">
        <f t="shared" si="155"/>
        <v>219</v>
      </c>
      <c r="AV920" s="20">
        <v>190</v>
      </c>
      <c r="AW920" s="20">
        <v>0</v>
      </c>
      <c r="AX920" s="20">
        <v>20</v>
      </c>
      <c r="AY920" s="20">
        <v>0</v>
      </c>
      <c r="AZ920" s="20">
        <v>0</v>
      </c>
      <c r="BA920" s="20">
        <v>7</v>
      </c>
      <c r="BB920" s="20">
        <v>10</v>
      </c>
      <c r="BC920" s="300">
        <f t="shared" si="156"/>
        <v>227</v>
      </c>
      <c r="BD920" s="42">
        <f t="shared" si="157"/>
        <v>8</v>
      </c>
      <c r="BE920" s="42">
        <f t="shared" si="158"/>
        <v>0</v>
      </c>
      <c r="BF920" s="42">
        <f t="shared" si="159"/>
        <v>0</v>
      </c>
      <c r="BG920" s="42">
        <f t="shared" si="160"/>
        <v>0</v>
      </c>
      <c r="BH920" s="42">
        <f t="shared" si="161"/>
        <v>0</v>
      </c>
      <c r="BI920" s="42">
        <f t="shared" si="162"/>
        <v>0</v>
      </c>
      <c r="BJ920" s="42">
        <f t="shared" si="163"/>
        <v>0</v>
      </c>
      <c r="BK920" s="42">
        <f t="shared" si="164"/>
        <v>8</v>
      </c>
    </row>
    <row r="921" spans="1:63" ht="27" customHeight="1">
      <c r="A921" s="222">
        <f t="shared" si="165"/>
        <v>919</v>
      </c>
      <c r="B921" s="223"/>
      <c r="C921" s="250">
        <v>3770</v>
      </c>
      <c r="D921" s="225" t="s">
        <v>5280</v>
      </c>
      <c r="E921" s="286" t="s">
        <v>5281</v>
      </c>
      <c r="F921" s="252" t="s">
        <v>5282</v>
      </c>
      <c r="G921" s="253" t="s">
        <v>5283</v>
      </c>
      <c r="H921" s="229" t="s">
        <v>5284</v>
      </c>
      <c r="I921" s="230" t="s">
        <v>5285</v>
      </c>
      <c r="J921" s="254" t="s">
        <v>204</v>
      </c>
      <c r="K921" s="255">
        <v>29210</v>
      </c>
      <c r="L921" s="233" t="s">
        <v>174</v>
      </c>
      <c r="M921" s="256">
        <v>43764</v>
      </c>
      <c r="N921" s="256"/>
      <c r="O921" s="224" t="s">
        <v>5286</v>
      </c>
      <c r="P921" s="222" t="s">
        <v>3633</v>
      </c>
      <c r="Q921" s="222" t="s">
        <v>244</v>
      </c>
      <c r="R921" s="224" t="s">
        <v>3955</v>
      </c>
      <c r="S921" s="224" t="s">
        <v>214</v>
      </c>
      <c r="T921" s="235" t="s">
        <v>5287</v>
      </c>
      <c r="U921" s="257">
        <v>43789</v>
      </c>
      <c r="V921" s="258" t="s">
        <v>179</v>
      </c>
      <c r="W921" s="258" t="s">
        <v>179</v>
      </c>
      <c r="X921" s="259">
        <v>7</v>
      </c>
      <c r="Y921" s="251" t="s">
        <v>5288</v>
      </c>
      <c r="Z921" s="289"/>
      <c r="AA921" s="261" t="s">
        <v>181</v>
      </c>
      <c r="AB921" s="244"/>
      <c r="AC921" s="280" t="s">
        <v>182</v>
      </c>
      <c r="AD921" s="280"/>
      <c r="AE921" s="280"/>
      <c r="AF921" s="280"/>
      <c r="AG921" s="280"/>
      <c r="AH921" s="280"/>
      <c r="AI921" s="280"/>
      <c r="AJ921" s="244" t="s">
        <v>198</v>
      </c>
      <c r="AK921" s="244" t="s">
        <v>185</v>
      </c>
      <c r="AL921" s="244" t="s">
        <v>185</v>
      </c>
      <c r="AM921" s="244" t="s">
        <v>3854</v>
      </c>
      <c r="AN921" s="20">
        <v>182</v>
      </c>
      <c r="AO921" s="20">
        <v>0</v>
      </c>
      <c r="AP921" s="20">
        <v>0</v>
      </c>
      <c r="AQ921" s="20">
        <v>0</v>
      </c>
      <c r="AR921" s="20">
        <v>0</v>
      </c>
      <c r="AS921" s="20">
        <v>7</v>
      </c>
      <c r="AT921" s="20">
        <v>10</v>
      </c>
      <c r="AU921" s="300">
        <f t="shared" si="155"/>
        <v>199</v>
      </c>
      <c r="AV921" s="20">
        <v>190</v>
      </c>
      <c r="AW921" s="20">
        <v>0</v>
      </c>
      <c r="AX921" s="20">
        <v>0</v>
      </c>
      <c r="AY921" s="20">
        <v>0</v>
      </c>
      <c r="AZ921" s="20">
        <v>0</v>
      </c>
      <c r="BA921" s="20">
        <v>7</v>
      </c>
      <c r="BB921" s="20">
        <v>10</v>
      </c>
      <c r="BC921" s="300">
        <f t="shared" si="156"/>
        <v>207</v>
      </c>
      <c r="BD921" s="42">
        <f t="shared" si="157"/>
        <v>8</v>
      </c>
      <c r="BE921" s="42">
        <f t="shared" si="158"/>
        <v>0</v>
      </c>
      <c r="BF921" s="42">
        <f t="shared" si="159"/>
        <v>0</v>
      </c>
      <c r="BG921" s="42">
        <f t="shared" si="160"/>
        <v>0</v>
      </c>
      <c r="BH921" s="42">
        <f t="shared" si="161"/>
        <v>0</v>
      </c>
      <c r="BI921" s="42">
        <f t="shared" si="162"/>
        <v>0</v>
      </c>
      <c r="BJ921" s="42">
        <f t="shared" si="163"/>
        <v>0</v>
      </c>
      <c r="BK921" s="42">
        <f t="shared" si="164"/>
        <v>8</v>
      </c>
    </row>
    <row r="922" spans="1:63" ht="27" customHeight="1">
      <c r="A922" s="222">
        <f t="shared" si="165"/>
        <v>920</v>
      </c>
      <c r="B922" s="223"/>
      <c r="C922" s="250">
        <v>3618</v>
      </c>
      <c r="D922" s="225" t="s">
        <v>5289</v>
      </c>
      <c r="E922" s="286" t="s">
        <v>5290</v>
      </c>
      <c r="F922" s="252" t="s">
        <v>483</v>
      </c>
      <c r="G922" s="253" t="s">
        <v>5291</v>
      </c>
      <c r="H922" s="229" t="s">
        <v>97</v>
      </c>
      <c r="I922" s="230" t="s">
        <v>5292</v>
      </c>
      <c r="J922" s="254" t="s">
        <v>173</v>
      </c>
      <c r="K922" s="255">
        <v>34528</v>
      </c>
      <c r="L922" s="233" t="s">
        <v>174</v>
      </c>
      <c r="M922" s="256">
        <v>43750</v>
      </c>
      <c r="N922" s="256"/>
      <c r="O922" s="224"/>
      <c r="P922" s="222" t="s">
        <v>3749</v>
      </c>
      <c r="Q922" s="222" t="s">
        <v>244</v>
      </c>
      <c r="R922" s="224" t="s">
        <v>177</v>
      </c>
      <c r="S922" s="224" t="s">
        <v>528</v>
      </c>
      <c r="T922" s="235"/>
      <c r="U922" s="257"/>
      <c r="V922" s="258" t="s">
        <v>179</v>
      </c>
      <c r="W922" s="258" t="s">
        <v>179</v>
      </c>
      <c r="X922" s="259">
        <v>10</v>
      </c>
      <c r="Y922" s="251"/>
      <c r="Z922" s="289"/>
      <c r="AA922" s="289"/>
      <c r="AB922" s="244"/>
      <c r="AC922" s="280"/>
      <c r="AD922" s="280"/>
      <c r="AE922" s="280"/>
      <c r="AF922" s="280"/>
      <c r="AG922" s="280"/>
      <c r="AH922" s="280"/>
      <c r="AI922" s="280"/>
      <c r="AJ922" s="244" t="s">
        <v>185</v>
      </c>
      <c r="AK922" s="244" t="s">
        <v>185</v>
      </c>
      <c r="AL922" s="244" t="s">
        <v>185</v>
      </c>
      <c r="AM922" s="244" t="s">
        <v>236</v>
      </c>
      <c r="AN922" s="20">
        <v>182</v>
      </c>
      <c r="AO922" s="20">
        <v>0</v>
      </c>
      <c r="AP922" s="20">
        <v>20</v>
      </c>
      <c r="AQ922" s="20">
        <v>0</v>
      </c>
      <c r="AR922" s="20">
        <v>0</v>
      </c>
      <c r="AS922" s="20">
        <v>7</v>
      </c>
      <c r="AT922" s="20">
        <v>10</v>
      </c>
      <c r="AU922" s="300">
        <f t="shared" si="155"/>
        <v>219</v>
      </c>
      <c r="AV922" s="20">
        <v>190</v>
      </c>
      <c r="AW922" s="20">
        <v>0</v>
      </c>
      <c r="AX922" s="20">
        <v>20</v>
      </c>
      <c r="AY922" s="20">
        <v>0</v>
      </c>
      <c r="AZ922" s="20">
        <v>0</v>
      </c>
      <c r="BA922" s="20">
        <v>7</v>
      </c>
      <c r="BB922" s="20">
        <v>10</v>
      </c>
      <c r="BC922" s="300">
        <f t="shared" si="156"/>
        <v>227</v>
      </c>
      <c r="BD922" s="42">
        <f t="shared" si="157"/>
        <v>8</v>
      </c>
      <c r="BE922" s="42">
        <f t="shared" si="158"/>
        <v>0</v>
      </c>
      <c r="BF922" s="42">
        <f t="shared" si="159"/>
        <v>0</v>
      </c>
      <c r="BG922" s="42">
        <f t="shared" si="160"/>
        <v>0</v>
      </c>
      <c r="BH922" s="42">
        <f t="shared" si="161"/>
        <v>0</v>
      </c>
      <c r="BI922" s="42">
        <f t="shared" si="162"/>
        <v>0</v>
      </c>
      <c r="BJ922" s="42">
        <f t="shared" si="163"/>
        <v>0</v>
      </c>
      <c r="BK922" s="42">
        <f t="shared" si="164"/>
        <v>8</v>
      </c>
    </row>
    <row r="923" spans="1:63" ht="27" customHeight="1">
      <c r="A923" s="222">
        <f t="shared" si="165"/>
        <v>921</v>
      </c>
      <c r="B923" s="223"/>
      <c r="C923" s="250">
        <v>3769</v>
      </c>
      <c r="D923" s="225" t="s">
        <v>5293</v>
      </c>
      <c r="E923" s="286" t="s">
        <v>5294</v>
      </c>
      <c r="F923" s="252" t="s">
        <v>5295</v>
      </c>
      <c r="G923" s="253" t="s">
        <v>5296</v>
      </c>
      <c r="H923" s="229" t="s">
        <v>1282</v>
      </c>
      <c r="I923" s="230" t="s">
        <v>5297</v>
      </c>
      <c r="J923" s="254" t="s">
        <v>173</v>
      </c>
      <c r="K923" s="255">
        <v>30170</v>
      </c>
      <c r="L923" s="233" t="s">
        <v>174</v>
      </c>
      <c r="M923" s="256">
        <v>43764</v>
      </c>
      <c r="N923" s="256"/>
      <c r="O923" s="224"/>
      <c r="P923" s="222" t="s">
        <v>3935</v>
      </c>
      <c r="Q923" s="222" t="s">
        <v>244</v>
      </c>
      <c r="R923" s="224" t="s">
        <v>177</v>
      </c>
      <c r="S923" s="224" t="s">
        <v>251</v>
      </c>
      <c r="T923" s="235"/>
      <c r="U923" s="257"/>
      <c r="V923" s="258" t="s">
        <v>179</v>
      </c>
      <c r="W923" s="258" t="s">
        <v>179</v>
      </c>
      <c r="X923" s="259">
        <v>5</v>
      </c>
      <c r="Y923" s="251" t="s">
        <v>5298</v>
      </c>
      <c r="Z923" s="289"/>
      <c r="AA923" s="261"/>
      <c r="AB923" s="261" t="s">
        <v>181</v>
      </c>
      <c r="AC923" s="280"/>
      <c r="AD923" s="280"/>
      <c r="AE923" s="280"/>
      <c r="AF923" s="280"/>
      <c r="AG923" s="280"/>
      <c r="AH923" s="280"/>
      <c r="AI923" s="280"/>
      <c r="AJ923" s="244" t="s">
        <v>185</v>
      </c>
      <c r="AK923" s="244" t="s">
        <v>185</v>
      </c>
      <c r="AL923" s="244" t="s">
        <v>185</v>
      </c>
      <c r="AM923" s="273" t="s">
        <v>3654</v>
      </c>
      <c r="AN923" s="20">
        <v>182</v>
      </c>
      <c r="AO923" s="20">
        <v>0</v>
      </c>
      <c r="AP923" s="20">
        <v>20</v>
      </c>
      <c r="AQ923" s="20">
        <v>20</v>
      </c>
      <c r="AR923" s="20">
        <v>0</v>
      </c>
      <c r="AS923" s="20">
        <v>7</v>
      </c>
      <c r="AT923" s="20">
        <v>10</v>
      </c>
      <c r="AU923" s="300">
        <f t="shared" si="155"/>
        <v>239</v>
      </c>
      <c r="AV923" s="20">
        <v>190</v>
      </c>
      <c r="AW923" s="20">
        <v>0</v>
      </c>
      <c r="AX923" s="20">
        <v>20</v>
      </c>
      <c r="AY923" s="20">
        <v>20</v>
      </c>
      <c r="AZ923" s="20">
        <v>0</v>
      </c>
      <c r="BA923" s="20">
        <v>7</v>
      </c>
      <c r="BB923" s="20">
        <v>10</v>
      </c>
      <c r="BC923" s="300">
        <f t="shared" si="156"/>
        <v>247</v>
      </c>
      <c r="BD923" s="42">
        <f t="shared" si="157"/>
        <v>8</v>
      </c>
      <c r="BE923" s="42">
        <f t="shared" si="158"/>
        <v>0</v>
      </c>
      <c r="BF923" s="42">
        <f t="shared" si="159"/>
        <v>0</v>
      </c>
      <c r="BG923" s="42">
        <f t="shared" si="160"/>
        <v>0</v>
      </c>
      <c r="BH923" s="42">
        <f t="shared" si="161"/>
        <v>0</v>
      </c>
      <c r="BI923" s="42">
        <f t="shared" si="162"/>
        <v>0</v>
      </c>
      <c r="BJ923" s="42">
        <f t="shared" si="163"/>
        <v>0</v>
      </c>
      <c r="BK923" s="42">
        <f t="shared" si="164"/>
        <v>8</v>
      </c>
    </row>
    <row r="924" spans="1:63" ht="27" customHeight="1">
      <c r="A924" s="222">
        <f t="shared" si="165"/>
        <v>922</v>
      </c>
      <c r="B924" s="223"/>
      <c r="C924" s="250">
        <v>3249</v>
      </c>
      <c r="D924" s="225" t="s">
        <v>5299</v>
      </c>
      <c r="E924" s="286" t="s">
        <v>5300</v>
      </c>
      <c r="F924" s="252" t="s">
        <v>5301</v>
      </c>
      <c r="G924" s="253" t="s">
        <v>920</v>
      </c>
      <c r="H924" s="229" t="s">
        <v>5302</v>
      </c>
      <c r="I924" s="230" t="s">
        <v>1643</v>
      </c>
      <c r="J924" s="254" t="s">
        <v>204</v>
      </c>
      <c r="K924" s="255">
        <v>33331</v>
      </c>
      <c r="L924" s="233" t="s">
        <v>174</v>
      </c>
      <c r="M924" s="256">
        <v>43745</v>
      </c>
      <c r="N924" s="256"/>
      <c r="O924" s="224" t="s">
        <v>3960</v>
      </c>
      <c r="P924" s="222" t="s">
        <v>3780</v>
      </c>
      <c r="Q924" s="222" t="s">
        <v>244</v>
      </c>
      <c r="R924" s="224" t="s">
        <v>177</v>
      </c>
      <c r="S924" s="224" t="s">
        <v>214</v>
      </c>
      <c r="T924" s="235"/>
      <c r="U924" s="257"/>
      <c r="V924" s="258" t="s">
        <v>179</v>
      </c>
      <c r="W924" s="258" t="s">
        <v>179</v>
      </c>
      <c r="X924" s="259">
        <v>10</v>
      </c>
      <c r="Y924" s="251"/>
      <c r="Z924" s="289"/>
      <c r="AA924" s="261" t="s">
        <v>181</v>
      </c>
      <c r="AB924" s="244"/>
      <c r="AC924" s="280" t="s">
        <v>182</v>
      </c>
      <c r="AD924" s="280"/>
      <c r="AE924" s="280"/>
      <c r="AF924" s="280"/>
      <c r="AG924" s="280"/>
      <c r="AH924" s="280"/>
      <c r="AI924" s="280"/>
      <c r="AJ924" s="244" t="s">
        <v>198</v>
      </c>
      <c r="AK924" s="244" t="s">
        <v>185</v>
      </c>
      <c r="AL924" s="244" t="s">
        <v>185</v>
      </c>
      <c r="AM924" s="244" t="s">
        <v>3854</v>
      </c>
      <c r="AN924" s="20">
        <v>182</v>
      </c>
      <c r="AO924" s="20">
        <v>0</v>
      </c>
      <c r="AP924" s="20">
        <v>20</v>
      </c>
      <c r="AQ924" s="20">
        <v>10</v>
      </c>
      <c r="AR924" s="20">
        <v>0</v>
      </c>
      <c r="AS924" s="20">
        <v>7</v>
      </c>
      <c r="AT924" s="20">
        <v>10</v>
      </c>
      <c r="AU924" s="300">
        <f t="shared" si="155"/>
        <v>229</v>
      </c>
      <c r="AV924" s="20">
        <v>190</v>
      </c>
      <c r="AW924" s="20">
        <v>0</v>
      </c>
      <c r="AX924" s="20">
        <v>20</v>
      </c>
      <c r="AY924" s="20">
        <v>10</v>
      </c>
      <c r="AZ924" s="20">
        <v>0</v>
      </c>
      <c r="BA924" s="20">
        <v>7</v>
      </c>
      <c r="BB924" s="20">
        <v>10</v>
      </c>
      <c r="BC924" s="300">
        <f t="shared" si="156"/>
        <v>237</v>
      </c>
      <c r="BD924" s="42">
        <f t="shared" si="157"/>
        <v>8</v>
      </c>
      <c r="BE924" s="42">
        <f t="shared" si="158"/>
        <v>0</v>
      </c>
      <c r="BF924" s="42">
        <f t="shared" si="159"/>
        <v>0</v>
      </c>
      <c r="BG924" s="42">
        <f t="shared" si="160"/>
        <v>0</v>
      </c>
      <c r="BH924" s="42">
        <f t="shared" si="161"/>
        <v>0</v>
      </c>
      <c r="BI924" s="42">
        <f t="shared" si="162"/>
        <v>0</v>
      </c>
      <c r="BJ924" s="42">
        <f t="shared" si="163"/>
        <v>0</v>
      </c>
      <c r="BK924" s="42">
        <f t="shared" si="164"/>
        <v>8</v>
      </c>
    </row>
    <row r="925" spans="1:63" ht="27" customHeight="1">
      <c r="A925" s="222">
        <f t="shared" si="165"/>
        <v>923</v>
      </c>
      <c r="B925" s="223"/>
      <c r="C925" s="250">
        <v>3540</v>
      </c>
      <c r="D925" s="225" t="s">
        <v>5303</v>
      </c>
      <c r="E925" s="286" t="s">
        <v>5304</v>
      </c>
      <c r="F925" s="252" t="s">
        <v>1149</v>
      </c>
      <c r="G925" s="253" t="s">
        <v>2171</v>
      </c>
      <c r="H925" s="229" t="s">
        <v>1151</v>
      </c>
      <c r="I925" s="230" t="s">
        <v>1368</v>
      </c>
      <c r="J925" s="254" t="s">
        <v>173</v>
      </c>
      <c r="K925" s="255">
        <v>33425</v>
      </c>
      <c r="L925" s="233" t="s">
        <v>174</v>
      </c>
      <c r="M925" s="256">
        <v>43747</v>
      </c>
      <c r="N925" s="256"/>
      <c r="O925" s="224" t="s">
        <v>3994</v>
      </c>
      <c r="P925" s="222" t="s">
        <v>3644</v>
      </c>
      <c r="Q925" s="222" t="s">
        <v>244</v>
      </c>
      <c r="R925" s="224" t="s">
        <v>177</v>
      </c>
      <c r="S925" s="224" t="s">
        <v>223</v>
      </c>
      <c r="T925" s="235"/>
      <c r="U925" s="257"/>
      <c r="V925" s="258" t="s">
        <v>179</v>
      </c>
      <c r="W925" s="258" t="s">
        <v>179</v>
      </c>
      <c r="X925" s="259">
        <v>7</v>
      </c>
      <c r="Y925" s="251" t="s">
        <v>5305</v>
      </c>
      <c r="Z925" s="261" t="s">
        <v>181</v>
      </c>
      <c r="AA925" s="289"/>
      <c r="AB925" s="244"/>
      <c r="AC925" s="280"/>
      <c r="AD925" s="280"/>
      <c r="AE925" s="280"/>
      <c r="AF925" s="280"/>
      <c r="AG925" s="280"/>
      <c r="AH925" s="280"/>
      <c r="AI925" s="280"/>
      <c r="AJ925" s="244" t="s">
        <v>185</v>
      </c>
      <c r="AK925" s="244" t="s">
        <v>185</v>
      </c>
      <c r="AL925" s="244" t="s">
        <v>185</v>
      </c>
      <c r="AM925" s="244" t="s">
        <v>3854</v>
      </c>
      <c r="AN925" s="20">
        <v>182</v>
      </c>
      <c r="AO925" s="20">
        <v>0</v>
      </c>
      <c r="AP925" s="20">
        <v>20</v>
      </c>
      <c r="AQ925" s="20">
        <v>0</v>
      </c>
      <c r="AR925" s="20">
        <v>0</v>
      </c>
      <c r="AS925" s="20">
        <v>7</v>
      </c>
      <c r="AT925" s="20">
        <v>10</v>
      </c>
      <c r="AU925" s="300">
        <f t="shared" si="155"/>
        <v>219</v>
      </c>
      <c r="AV925" s="20">
        <v>190</v>
      </c>
      <c r="AW925" s="20">
        <v>0</v>
      </c>
      <c r="AX925" s="20">
        <v>20</v>
      </c>
      <c r="AY925" s="20">
        <v>0</v>
      </c>
      <c r="AZ925" s="20">
        <v>0</v>
      </c>
      <c r="BA925" s="20">
        <v>7</v>
      </c>
      <c r="BB925" s="20">
        <v>10</v>
      </c>
      <c r="BC925" s="300">
        <f t="shared" si="156"/>
        <v>227</v>
      </c>
      <c r="BD925" s="42">
        <f t="shared" si="157"/>
        <v>8</v>
      </c>
      <c r="BE925" s="42">
        <f t="shared" si="158"/>
        <v>0</v>
      </c>
      <c r="BF925" s="42">
        <f t="shared" si="159"/>
        <v>0</v>
      </c>
      <c r="BG925" s="42">
        <f t="shared" si="160"/>
        <v>0</v>
      </c>
      <c r="BH925" s="42">
        <f t="shared" si="161"/>
        <v>0</v>
      </c>
      <c r="BI925" s="42">
        <f t="shared" si="162"/>
        <v>0</v>
      </c>
      <c r="BJ925" s="42">
        <f t="shared" si="163"/>
        <v>0</v>
      </c>
      <c r="BK925" s="42">
        <f t="shared" si="164"/>
        <v>8</v>
      </c>
    </row>
    <row r="926" spans="1:63" ht="27" customHeight="1">
      <c r="A926" s="222">
        <f t="shared" si="165"/>
        <v>924</v>
      </c>
      <c r="B926" s="223"/>
      <c r="C926" s="250">
        <v>3285</v>
      </c>
      <c r="D926" s="225">
        <v>0</v>
      </c>
      <c r="E926" s="286" t="s">
        <v>291</v>
      </c>
      <c r="F926" s="252" t="s">
        <v>971</v>
      </c>
      <c r="G926" s="253" t="s">
        <v>5306</v>
      </c>
      <c r="H926" s="229">
        <v>0</v>
      </c>
      <c r="I926" s="230">
        <v>0</v>
      </c>
      <c r="J926" s="254" t="s">
        <v>204</v>
      </c>
      <c r="K926" s="255">
        <v>36224</v>
      </c>
      <c r="L926" s="233" t="s">
        <v>174</v>
      </c>
      <c r="M926" s="256">
        <v>43741</v>
      </c>
      <c r="N926" s="256"/>
      <c r="O926" s="224" t="s">
        <v>3999</v>
      </c>
      <c r="P926" s="222" t="s">
        <v>3828</v>
      </c>
      <c r="Q926" s="222" t="s">
        <v>244</v>
      </c>
      <c r="R926" s="224" t="s">
        <v>177</v>
      </c>
      <c r="S926" s="224" t="s">
        <v>5307</v>
      </c>
      <c r="T926" s="235"/>
      <c r="U926" s="257"/>
      <c r="V926" s="258" t="s">
        <v>179</v>
      </c>
      <c r="W926" s="258" t="s">
        <v>179</v>
      </c>
      <c r="X926" s="259">
        <v>9</v>
      </c>
      <c r="Y926" s="251" t="s">
        <v>5308</v>
      </c>
      <c r="Z926" s="261" t="s">
        <v>181</v>
      </c>
      <c r="AA926" s="289"/>
      <c r="AB926" s="244"/>
      <c r="AC926" s="280"/>
      <c r="AD926" s="280"/>
      <c r="AE926" s="280"/>
      <c r="AF926" s="280"/>
      <c r="AG926" s="280"/>
      <c r="AH926" s="280"/>
      <c r="AI926" s="280"/>
      <c r="AJ926" s="244" t="s">
        <v>185</v>
      </c>
      <c r="AK926" s="244" t="s">
        <v>185</v>
      </c>
      <c r="AL926" s="244" t="s">
        <v>185</v>
      </c>
      <c r="AM926" s="273" t="s">
        <v>3962</v>
      </c>
      <c r="AN926" s="20">
        <v>182</v>
      </c>
      <c r="AO926" s="20">
        <v>0</v>
      </c>
      <c r="AP926" s="20">
        <v>0</v>
      </c>
      <c r="AQ926" s="20">
        <v>0</v>
      </c>
      <c r="AR926" s="20">
        <v>0</v>
      </c>
      <c r="AS926" s="20">
        <v>7</v>
      </c>
      <c r="AT926" s="20">
        <v>10</v>
      </c>
      <c r="AU926" s="300">
        <f t="shared" si="155"/>
        <v>199</v>
      </c>
      <c r="AV926" s="20">
        <v>190</v>
      </c>
      <c r="AW926" s="20">
        <v>0</v>
      </c>
      <c r="AX926" s="20">
        <v>0</v>
      </c>
      <c r="AY926" s="20">
        <v>0</v>
      </c>
      <c r="AZ926" s="20">
        <v>0</v>
      </c>
      <c r="BA926" s="20">
        <v>7</v>
      </c>
      <c r="BB926" s="20">
        <v>10</v>
      </c>
      <c r="BC926" s="300">
        <f t="shared" si="156"/>
        <v>207</v>
      </c>
      <c r="BD926" s="42">
        <f t="shared" si="157"/>
        <v>8</v>
      </c>
      <c r="BE926" s="42">
        <f t="shared" si="158"/>
        <v>0</v>
      </c>
      <c r="BF926" s="42">
        <f t="shared" si="159"/>
        <v>0</v>
      </c>
      <c r="BG926" s="42">
        <f t="shared" si="160"/>
        <v>0</v>
      </c>
      <c r="BH926" s="42">
        <f t="shared" si="161"/>
        <v>0</v>
      </c>
      <c r="BI926" s="42">
        <f t="shared" si="162"/>
        <v>0</v>
      </c>
      <c r="BJ926" s="42">
        <f t="shared" si="163"/>
        <v>0</v>
      </c>
      <c r="BK926" s="42">
        <f t="shared" si="164"/>
        <v>8</v>
      </c>
    </row>
    <row r="927" spans="1:63" ht="27" customHeight="1">
      <c r="A927" s="222">
        <f t="shared" si="165"/>
        <v>925</v>
      </c>
      <c r="B927" s="223"/>
      <c r="C927" s="250">
        <v>3231</v>
      </c>
      <c r="D927" s="225" t="s">
        <v>5309</v>
      </c>
      <c r="E927" s="286" t="s">
        <v>5310</v>
      </c>
      <c r="F927" s="252" t="s">
        <v>1598</v>
      </c>
      <c r="G927" s="253" t="s">
        <v>1636</v>
      </c>
      <c r="H927" s="229" t="s">
        <v>1600</v>
      </c>
      <c r="I927" s="230" t="s">
        <v>5311</v>
      </c>
      <c r="J927" s="254" t="s">
        <v>173</v>
      </c>
      <c r="K927" s="255">
        <v>35682</v>
      </c>
      <c r="L927" s="233" t="s">
        <v>174</v>
      </c>
      <c r="M927" s="256">
        <v>43745</v>
      </c>
      <c r="N927" s="256"/>
      <c r="O927" s="224" t="s">
        <v>3973</v>
      </c>
      <c r="P927" s="222" t="s">
        <v>3749</v>
      </c>
      <c r="Q927" s="222" t="s">
        <v>244</v>
      </c>
      <c r="R927" s="224" t="s">
        <v>177</v>
      </c>
      <c r="S927" s="224" t="s">
        <v>251</v>
      </c>
      <c r="T927" s="235"/>
      <c r="U927" s="257"/>
      <c r="V927" s="258" t="s">
        <v>179</v>
      </c>
      <c r="W927" s="258" t="s">
        <v>179</v>
      </c>
      <c r="X927" s="259">
        <v>3</v>
      </c>
      <c r="Y927" s="251" t="s">
        <v>5312</v>
      </c>
      <c r="Z927" s="261" t="s">
        <v>181</v>
      </c>
      <c r="AA927" s="289"/>
      <c r="AB927" s="244"/>
      <c r="AC927" s="280"/>
      <c r="AD927" s="280"/>
      <c r="AE927" s="280"/>
      <c r="AF927" s="280"/>
      <c r="AG927" s="280"/>
      <c r="AH927" s="280"/>
      <c r="AI927" s="280"/>
      <c r="AJ927" s="244" t="s">
        <v>198</v>
      </c>
      <c r="AK927" s="244" t="s">
        <v>185</v>
      </c>
      <c r="AL927" s="244" t="s">
        <v>185</v>
      </c>
      <c r="AM927" s="244" t="s">
        <v>199</v>
      </c>
      <c r="AN927" s="20">
        <v>182</v>
      </c>
      <c r="AO927" s="20">
        <v>0</v>
      </c>
      <c r="AP927" s="20">
        <v>20</v>
      </c>
      <c r="AQ927" s="20">
        <v>10</v>
      </c>
      <c r="AR927" s="20">
        <v>0</v>
      </c>
      <c r="AS927" s="20">
        <v>7</v>
      </c>
      <c r="AT927" s="20">
        <v>10</v>
      </c>
      <c r="AU927" s="300">
        <f t="shared" si="155"/>
        <v>229</v>
      </c>
      <c r="AV927" s="20">
        <v>190</v>
      </c>
      <c r="AW927" s="20">
        <v>0</v>
      </c>
      <c r="AX927" s="20">
        <v>20</v>
      </c>
      <c r="AY927" s="20">
        <v>10</v>
      </c>
      <c r="AZ927" s="20">
        <v>0</v>
      </c>
      <c r="BA927" s="20">
        <v>7</v>
      </c>
      <c r="BB927" s="20">
        <v>10</v>
      </c>
      <c r="BC927" s="300">
        <f t="shared" si="156"/>
        <v>237</v>
      </c>
      <c r="BD927" s="42">
        <f t="shared" si="157"/>
        <v>8</v>
      </c>
      <c r="BE927" s="42">
        <f t="shared" si="158"/>
        <v>0</v>
      </c>
      <c r="BF927" s="42">
        <f t="shared" si="159"/>
        <v>0</v>
      </c>
      <c r="BG927" s="42">
        <f t="shared" si="160"/>
        <v>0</v>
      </c>
      <c r="BH927" s="42">
        <f t="shared" si="161"/>
        <v>0</v>
      </c>
      <c r="BI927" s="42">
        <f t="shared" si="162"/>
        <v>0</v>
      </c>
      <c r="BJ927" s="42">
        <f t="shared" si="163"/>
        <v>0</v>
      </c>
      <c r="BK927" s="42">
        <f t="shared" si="164"/>
        <v>8</v>
      </c>
    </row>
    <row r="928" spans="1:63" ht="27" customHeight="1">
      <c r="A928" s="222">
        <f t="shared" si="165"/>
        <v>926</v>
      </c>
      <c r="B928" s="223"/>
      <c r="C928" s="250">
        <v>3612</v>
      </c>
      <c r="D928" s="225" t="s">
        <v>5313</v>
      </c>
      <c r="E928" s="286" t="s">
        <v>5314</v>
      </c>
      <c r="F928" s="252" t="s">
        <v>5315</v>
      </c>
      <c r="G928" s="253" t="s">
        <v>3074</v>
      </c>
      <c r="H928" s="229" t="s">
        <v>5316</v>
      </c>
      <c r="I928" s="230" t="s">
        <v>5317</v>
      </c>
      <c r="J928" s="254" t="s">
        <v>173</v>
      </c>
      <c r="K928" s="255">
        <v>31833</v>
      </c>
      <c r="L928" s="233" t="s">
        <v>174</v>
      </c>
      <c r="M928" s="256">
        <v>43749</v>
      </c>
      <c r="N928" s="256"/>
      <c r="O928" s="224"/>
      <c r="P928" s="222" t="s">
        <v>3749</v>
      </c>
      <c r="Q928" s="222" t="s">
        <v>244</v>
      </c>
      <c r="R928" s="224" t="s">
        <v>177</v>
      </c>
      <c r="S928" s="224" t="s">
        <v>722</v>
      </c>
      <c r="T928" s="235"/>
      <c r="U928" s="257"/>
      <c r="V928" s="258" t="s">
        <v>179</v>
      </c>
      <c r="W928" s="258" t="s">
        <v>179</v>
      </c>
      <c r="X928" s="259">
        <v>9</v>
      </c>
      <c r="Y928" s="251" t="s">
        <v>5318</v>
      </c>
      <c r="Z928" s="289"/>
      <c r="AA928" s="261" t="s">
        <v>181</v>
      </c>
      <c r="AB928" s="244"/>
      <c r="AC928" s="280"/>
      <c r="AD928" s="280"/>
      <c r="AE928" s="280"/>
      <c r="AF928" s="280"/>
      <c r="AG928" s="280"/>
      <c r="AH928" s="280"/>
      <c r="AI928" s="280"/>
      <c r="AJ928" s="244" t="s">
        <v>185</v>
      </c>
      <c r="AK928" s="244" t="s">
        <v>185</v>
      </c>
      <c r="AL928" s="244" t="s">
        <v>185</v>
      </c>
      <c r="AM928" s="244" t="s">
        <v>236</v>
      </c>
      <c r="AN928" s="20">
        <v>182</v>
      </c>
      <c r="AO928" s="20">
        <v>0</v>
      </c>
      <c r="AP928" s="20">
        <v>20</v>
      </c>
      <c r="AQ928" s="20">
        <v>20</v>
      </c>
      <c r="AR928" s="20">
        <v>0</v>
      </c>
      <c r="AS928" s="20">
        <v>7</v>
      </c>
      <c r="AT928" s="20">
        <v>10</v>
      </c>
      <c r="AU928" s="300">
        <f t="shared" si="155"/>
        <v>239</v>
      </c>
      <c r="AV928" s="20">
        <v>190</v>
      </c>
      <c r="AW928" s="20">
        <v>0</v>
      </c>
      <c r="AX928" s="20">
        <v>20</v>
      </c>
      <c r="AY928" s="20">
        <v>20</v>
      </c>
      <c r="AZ928" s="20">
        <v>0</v>
      </c>
      <c r="BA928" s="20">
        <v>7</v>
      </c>
      <c r="BB928" s="20">
        <v>10</v>
      </c>
      <c r="BC928" s="300">
        <f t="shared" si="156"/>
        <v>247</v>
      </c>
      <c r="BD928" s="42">
        <f t="shared" si="157"/>
        <v>8</v>
      </c>
      <c r="BE928" s="42">
        <f t="shared" si="158"/>
        <v>0</v>
      </c>
      <c r="BF928" s="42">
        <f t="shared" si="159"/>
        <v>0</v>
      </c>
      <c r="BG928" s="42">
        <f t="shared" si="160"/>
        <v>0</v>
      </c>
      <c r="BH928" s="42">
        <f t="shared" si="161"/>
        <v>0</v>
      </c>
      <c r="BI928" s="42">
        <f t="shared" si="162"/>
        <v>0</v>
      </c>
      <c r="BJ928" s="42">
        <f t="shared" si="163"/>
        <v>0</v>
      </c>
      <c r="BK928" s="42">
        <f t="shared" si="164"/>
        <v>8</v>
      </c>
    </row>
    <row r="929" spans="1:63" ht="27" customHeight="1">
      <c r="A929" s="222">
        <f t="shared" si="165"/>
        <v>927</v>
      </c>
      <c r="B929" s="223"/>
      <c r="C929" s="250">
        <v>3263</v>
      </c>
      <c r="D929" s="225" t="s">
        <v>5319</v>
      </c>
      <c r="E929" s="286" t="s">
        <v>5320</v>
      </c>
      <c r="F929" s="252" t="s">
        <v>5321</v>
      </c>
      <c r="G929" s="253" t="s">
        <v>5322</v>
      </c>
      <c r="H929" s="229" t="s">
        <v>5323</v>
      </c>
      <c r="I929" s="230" t="s">
        <v>5324</v>
      </c>
      <c r="J929" s="254" t="s">
        <v>173</v>
      </c>
      <c r="K929" s="255">
        <v>32800</v>
      </c>
      <c r="L929" s="233" t="s">
        <v>174</v>
      </c>
      <c r="M929" s="256">
        <v>43746</v>
      </c>
      <c r="N929" s="256"/>
      <c r="O929" s="224" t="s">
        <v>4176</v>
      </c>
      <c r="P929" s="222" t="s">
        <v>277</v>
      </c>
      <c r="Q929" s="222" t="s">
        <v>244</v>
      </c>
      <c r="R929" s="224" t="s">
        <v>177</v>
      </c>
      <c r="S929" s="224" t="s">
        <v>251</v>
      </c>
      <c r="T929" s="235"/>
      <c r="U929" s="257"/>
      <c r="V929" s="258" t="s">
        <v>179</v>
      </c>
      <c r="W929" s="258" t="s">
        <v>179</v>
      </c>
      <c r="X929" s="259"/>
      <c r="Y929" s="251" t="s">
        <v>5325</v>
      </c>
      <c r="Z929" s="289"/>
      <c r="AA929" s="289"/>
      <c r="AB929" s="261" t="s">
        <v>181</v>
      </c>
      <c r="AC929" s="280"/>
      <c r="AD929" s="280"/>
      <c r="AE929" s="280"/>
      <c r="AF929" s="280"/>
      <c r="AG929" s="280"/>
      <c r="AH929" s="280"/>
      <c r="AI929" s="280"/>
      <c r="AJ929" s="244" t="s">
        <v>198</v>
      </c>
      <c r="AK929" s="244" t="s">
        <v>185</v>
      </c>
      <c r="AL929" s="244" t="s">
        <v>185</v>
      </c>
      <c r="AM929" s="244" t="s">
        <v>199</v>
      </c>
      <c r="AN929" s="20">
        <v>182</v>
      </c>
      <c r="AO929" s="20">
        <v>0</v>
      </c>
      <c r="AP929" s="20">
        <v>20</v>
      </c>
      <c r="AQ929" s="20">
        <v>10</v>
      </c>
      <c r="AR929" s="20">
        <v>0</v>
      </c>
      <c r="AS929" s="20">
        <v>7</v>
      </c>
      <c r="AT929" s="20">
        <v>10</v>
      </c>
      <c r="AU929" s="300">
        <f t="shared" si="155"/>
        <v>229</v>
      </c>
      <c r="AV929" s="20">
        <v>190</v>
      </c>
      <c r="AW929" s="20">
        <v>0</v>
      </c>
      <c r="AX929" s="20">
        <v>20</v>
      </c>
      <c r="AY929" s="20">
        <v>10</v>
      </c>
      <c r="AZ929" s="20">
        <v>0</v>
      </c>
      <c r="BA929" s="20">
        <v>7</v>
      </c>
      <c r="BB929" s="20">
        <v>10</v>
      </c>
      <c r="BC929" s="300">
        <f t="shared" si="156"/>
        <v>237</v>
      </c>
      <c r="BD929" s="42">
        <f t="shared" si="157"/>
        <v>8</v>
      </c>
      <c r="BE929" s="42">
        <f t="shared" si="158"/>
        <v>0</v>
      </c>
      <c r="BF929" s="42">
        <f t="shared" si="159"/>
        <v>0</v>
      </c>
      <c r="BG929" s="42">
        <f t="shared" si="160"/>
        <v>0</v>
      </c>
      <c r="BH929" s="42">
        <f t="shared" si="161"/>
        <v>0</v>
      </c>
      <c r="BI929" s="42">
        <f t="shared" si="162"/>
        <v>0</v>
      </c>
      <c r="BJ929" s="42">
        <f t="shared" si="163"/>
        <v>0</v>
      </c>
      <c r="BK929" s="42">
        <f t="shared" si="164"/>
        <v>8</v>
      </c>
    </row>
    <row r="930" spans="1:63" ht="27" customHeight="1">
      <c r="A930" s="222">
        <f t="shared" si="165"/>
        <v>928</v>
      </c>
      <c r="B930" s="223"/>
      <c r="C930" s="223">
        <v>3403</v>
      </c>
      <c r="D930" s="225" t="s">
        <v>5326</v>
      </c>
      <c r="E930" s="226" t="s">
        <v>5327</v>
      </c>
      <c r="F930" s="227" t="s">
        <v>5328</v>
      </c>
      <c r="G930" s="228" t="s">
        <v>5329</v>
      </c>
      <c r="H930" s="229" t="s">
        <v>3340</v>
      </c>
      <c r="I930" s="230" t="s">
        <v>5330</v>
      </c>
      <c r="J930" s="231" t="s">
        <v>204</v>
      </c>
      <c r="K930" s="232">
        <v>30601</v>
      </c>
      <c r="L930" s="233" t="s">
        <v>174</v>
      </c>
      <c r="M930" s="234">
        <v>43760</v>
      </c>
      <c r="N930" s="234"/>
      <c r="O930" s="234" t="s">
        <v>5331</v>
      </c>
      <c r="P930" s="222"/>
      <c r="Q930" s="222" t="s">
        <v>176</v>
      </c>
      <c r="R930" s="224" t="s">
        <v>177</v>
      </c>
      <c r="S930" s="222" t="s">
        <v>2593</v>
      </c>
      <c r="T930" s="235"/>
      <c r="U930" s="235"/>
      <c r="V930" s="236" t="s">
        <v>179</v>
      </c>
      <c r="W930" s="236" t="s">
        <v>195</v>
      </c>
      <c r="X930" s="236">
        <v>3</v>
      </c>
      <c r="Y930" s="237" t="s">
        <v>5332</v>
      </c>
      <c r="Z930" s="238"/>
      <c r="AA930" s="261" t="s">
        <v>181</v>
      </c>
      <c r="AB930" s="236"/>
      <c r="AC930" s="239"/>
      <c r="AD930" s="240" t="s">
        <v>183</v>
      </c>
      <c r="AE930" s="240"/>
      <c r="AF930" s="241"/>
      <c r="AG930" s="242"/>
      <c r="AH930" s="243"/>
      <c r="AI930" s="243"/>
      <c r="AJ930" s="244" t="s">
        <v>198</v>
      </c>
      <c r="AK930" s="244" t="s">
        <v>185</v>
      </c>
      <c r="AL930" s="244" t="s">
        <v>185</v>
      </c>
      <c r="AM930" s="244" t="s">
        <v>199</v>
      </c>
      <c r="AN930" s="20">
        <v>182</v>
      </c>
      <c r="AO930" s="20">
        <v>0</v>
      </c>
      <c r="AP930" s="20">
        <v>0</v>
      </c>
      <c r="AQ930" s="20">
        <v>0</v>
      </c>
      <c r="AR930" s="20">
        <v>0</v>
      </c>
      <c r="AS930" s="20">
        <v>7</v>
      </c>
      <c r="AT930" s="20">
        <v>10</v>
      </c>
      <c r="AU930" s="300">
        <f t="shared" si="155"/>
        <v>199</v>
      </c>
      <c r="AV930" s="20">
        <v>190</v>
      </c>
      <c r="AW930" s="20">
        <v>0</v>
      </c>
      <c r="AX930" s="20">
        <v>0</v>
      </c>
      <c r="AY930" s="20">
        <v>0</v>
      </c>
      <c r="AZ930" s="20">
        <v>0</v>
      </c>
      <c r="BA930" s="20">
        <v>7</v>
      </c>
      <c r="BB930" s="20">
        <v>10</v>
      </c>
      <c r="BC930" s="300">
        <f t="shared" si="156"/>
        <v>207</v>
      </c>
      <c r="BD930" s="42">
        <f t="shared" si="157"/>
        <v>8</v>
      </c>
      <c r="BE930" s="42">
        <f t="shared" si="158"/>
        <v>0</v>
      </c>
      <c r="BF930" s="42">
        <f t="shared" si="159"/>
        <v>0</v>
      </c>
      <c r="BG930" s="42">
        <f t="shared" si="160"/>
        <v>0</v>
      </c>
      <c r="BH930" s="42">
        <f t="shared" si="161"/>
        <v>0</v>
      </c>
      <c r="BI930" s="42">
        <f t="shared" si="162"/>
        <v>0</v>
      </c>
      <c r="BJ930" s="42">
        <f t="shared" si="163"/>
        <v>0</v>
      </c>
      <c r="BK930" s="42">
        <f t="shared" si="164"/>
        <v>8</v>
      </c>
    </row>
    <row r="931" spans="1:63" ht="27" customHeight="1">
      <c r="A931" s="222">
        <f t="shared" si="165"/>
        <v>929</v>
      </c>
      <c r="B931" s="223"/>
      <c r="C931" s="223">
        <v>3791</v>
      </c>
      <c r="D931" s="225" t="s">
        <v>5333</v>
      </c>
      <c r="E931" s="226" t="s">
        <v>5334</v>
      </c>
      <c r="F931" s="227" t="s">
        <v>727</v>
      </c>
      <c r="G931" s="228" t="s">
        <v>1636</v>
      </c>
      <c r="H931" s="229" t="s">
        <v>729</v>
      </c>
      <c r="I931" s="230" t="s">
        <v>1144</v>
      </c>
      <c r="J931" s="231" t="s">
        <v>173</v>
      </c>
      <c r="K931" s="232">
        <v>33679</v>
      </c>
      <c r="L931" s="233" t="s">
        <v>174</v>
      </c>
      <c r="M931" s="234">
        <v>43770</v>
      </c>
      <c r="N931" s="234"/>
      <c r="O931" s="234"/>
      <c r="P931" s="222" t="s">
        <v>3828</v>
      </c>
      <c r="Q931" s="222" t="s">
        <v>244</v>
      </c>
      <c r="R931" s="222" t="s">
        <v>177</v>
      </c>
      <c r="S931" s="222" t="s">
        <v>223</v>
      </c>
      <c r="T931" s="235"/>
      <c r="U931" s="235"/>
      <c r="V931" s="258" t="s">
        <v>179</v>
      </c>
      <c r="W931" s="258" t="s">
        <v>179</v>
      </c>
      <c r="X931" s="236">
        <v>7</v>
      </c>
      <c r="Y931" s="237" t="s">
        <v>5335</v>
      </c>
      <c r="Z931" s="238"/>
      <c r="AA931" s="261" t="s">
        <v>181</v>
      </c>
      <c r="AB931" s="236"/>
      <c r="AC931" s="239" t="s">
        <v>5336</v>
      </c>
      <c r="AD931" s="240" t="s">
        <v>183</v>
      </c>
      <c r="AE931" s="240"/>
      <c r="AF931" s="241"/>
      <c r="AG931" s="242"/>
      <c r="AH931" s="243"/>
      <c r="AI931" s="243"/>
      <c r="AJ931" s="258" t="s">
        <v>198</v>
      </c>
      <c r="AK931" s="258" t="s">
        <v>185</v>
      </c>
      <c r="AL931" s="258" t="s">
        <v>185</v>
      </c>
      <c r="AM931" s="244" t="s">
        <v>3854</v>
      </c>
      <c r="AN931" s="20">
        <v>182</v>
      </c>
      <c r="AO931" s="20">
        <v>0</v>
      </c>
      <c r="AP931" s="20">
        <v>20</v>
      </c>
      <c r="AQ931" s="20">
        <v>0</v>
      </c>
      <c r="AR931" s="20">
        <v>0</v>
      </c>
      <c r="AS931" s="20">
        <v>7</v>
      </c>
      <c r="AT931" s="20">
        <v>10</v>
      </c>
      <c r="AU931" s="300">
        <f t="shared" si="155"/>
        <v>219</v>
      </c>
      <c r="AV931" s="20">
        <v>190</v>
      </c>
      <c r="AW931" s="20">
        <v>0</v>
      </c>
      <c r="AX931" s="20">
        <v>20</v>
      </c>
      <c r="AY931" s="20">
        <v>0</v>
      </c>
      <c r="AZ931" s="20">
        <v>0</v>
      </c>
      <c r="BA931" s="20">
        <v>7</v>
      </c>
      <c r="BB931" s="20">
        <v>10</v>
      </c>
      <c r="BC931" s="300">
        <f t="shared" si="156"/>
        <v>227</v>
      </c>
      <c r="BD931" s="42">
        <f t="shared" si="157"/>
        <v>8</v>
      </c>
      <c r="BE931" s="42">
        <f t="shared" si="158"/>
        <v>0</v>
      </c>
      <c r="BF931" s="42">
        <f t="shared" si="159"/>
        <v>0</v>
      </c>
      <c r="BG931" s="42">
        <f t="shared" si="160"/>
        <v>0</v>
      </c>
      <c r="BH931" s="42">
        <f t="shared" si="161"/>
        <v>0</v>
      </c>
      <c r="BI931" s="42">
        <f t="shared" si="162"/>
        <v>0</v>
      </c>
      <c r="BJ931" s="42">
        <f t="shared" si="163"/>
        <v>0</v>
      </c>
      <c r="BK931" s="42">
        <f t="shared" si="164"/>
        <v>8</v>
      </c>
    </row>
    <row r="932" spans="1:63" ht="27" customHeight="1">
      <c r="A932" s="222">
        <f t="shared" si="165"/>
        <v>930</v>
      </c>
      <c r="B932" s="223"/>
      <c r="C932" s="223">
        <v>3792</v>
      </c>
      <c r="D932" s="225" t="s">
        <v>5337</v>
      </c>
      <c r="E932" s="226" t="s">
        <v>5338</v>
      </c>
      <c r="F932" s="227" t="s">
        <v>5339</v>
      </c>
      <c r="G932" s="228" t="s">
        <v>5340</v>
      </c>
      <c r="H932" s="229" t="s">
        <v>5341</v>
      </c>
      <c r="I932" s="230" t="s">
        <v>5342</v>
      </c>
      <c r="J932" s="231" t="s">
        <v>173</v>
      </c>
      <c r="K932" s="232">
        <v>33970</v>
      </c>
      <c r="L932" s="233" t="s">
        <v>174</v>
      </c>
      <c r="M932" s="234">
        <v>43770</v>
      </c>
      <c r="N932" s="234"/>
      <c r="O932" s="234"/>
      <c r="P932" s="222" t="s">
        <v>3828</v>
      </c>
      <c r="Q932" s="222" t="s">
        <v>244</v>
      </c>
      <c r="R932" s="222" t="s">
        <v>177</v>
      </c>
      <c r="S932" s="222" t="s">
        <v>223</v>
      </c>
      <c r="T932" s="235"/>
      <c r="U932" s="235"/>
      <c r="V932" s="258" t="s">
        <v>179</v>
      </c>
      <c r="W932" s="258" t="s">
        <v>179</v>
      </c>
      <c r="X932" s="236">
        <v>7</v>
      </c>
      <c r="Y932" s="237" t="s">
        <v>5343</v>
      </c>
      <c r="Z932" s="238"/>
      <c r="AA932" s="261" t="s">
        <v>181</v>
      </c>
      <c r="AB932" s="236"/>
      <c r="AC932" s="239" t="s">
        <v>1186</v>
      </c>
      <c r="AD932" s="240"/>
      <c r="AE932" s="240"/>
      <c r="AF932" s="241"/>
      <c r="AG932" s="242"/>
      <c r="AH932" s="243"/>
      <c r="AI932" s="243"/>
      <c r="AJ932" s="258" t="s">
        <v>198</v>
      </c>
      <c r="AK932" s="258" t="s">
        <v>185</v>
      </c>
      <c r="AL932" s="258" t="s">
        <v>185</v>
      </c>
      <c r="AM932" s="244" t="s">
        <v>3854</v>
      </c>
      <c r="AN932" s="20">
        <v>182</v>
      </c>
      <c r="AO932" s="20">
        <v>0</v>
      </c>
      <c r="AP932" s="20">
        <v>20</v>
      </c>
      <c r="AQ932" s="20">
        <v>0</v>
      </c>
      <c r="AR932" s="20">
        <v>0</v>
      </c>
      <c r="AS932" s="20">
        <v>7</v>
      </c>
      <c r="AT932" s="20">
        <v>10</v>
      </c>
      <c r="AU932" s="300">
        <f t="shared" si="155"/>
        <v>219</v>
      </c>
      <c r="AV932" s="20">
        <v>190</v>
      </c>
      <c r="AW932" s="20">
        <v>0</v>
      </c>
      <c r="AX932" s="20">
        <v>20</v>
      </c>
      <c r="AY932" s="20">
        <v>0</v>
      </c>
      <c r="AZ932" s="20">
        <v>0</v>
      </c>
      <c r="BA932" s="20">
        <v>7</v>
      </c>
      <c r="BB932" s="20">
        <v>10</v>
      </c>
      <c r="BC932" s="300">
        <f t="shared" si="156"/>
        <v>227</v>
      </c>
      <c r="BD932" s="42">
        <f t="shared" si="157"/>
        <v>8</v>
      </c>
      <c r="BE932" s="42">
        <f t="shared" si="158"/>
        <v>0</v>
      </c>
      <c r="BF932" s="42">
        <f t="shared" si="159"/>
        <v>0</v>
      </c>
      <c r="BG932" s="42">
        <f t="shared" si="160"/>
        <v>0</v>
      </c>
      <c r="BH932" s="42">
        <f t="shared" si="161"/>
        <v>0</v>
      </c>
      <c r="BI932" s="42">
        <f t="shared" si="162"/>
        <v>0</v>
      </c>
      <c r="BJ932" s="42">
        <f t="shared" si="163"/>
        <v>0</v>
      </c>
      <c r="BK932" s="42">
        <f t="shared" si="164"/>
        <v>8</v>
      </c>
    </row>
    <row r="933" spans="1:63" ht="27" customHeight="1">
      <c r="A933" s="222">
        <f t="shared" si="165"/>
        <v>931</v>
      </c>
      <c r="B933" s="223"/>
      <c r="C933" s="223">
        <v>3781</v>
      </c>
      <c r="D933" s="225" t="s">
        <v>5344</v>
      </c>
      <c r="E933" s="226" t="s">
        <v>5345</v>
      </c>
      <c r="F933" s="227" t="s">
        <v>452</v>
      </c>
      <c r="G933" s="228" t="s">
        <v>2909</v>
      </c>
      <c r="H933" s="229" t="s">
        <v>454</v>
      </c>
      <c r="I933" s="230" t="s">
        <v>5346</v>
      </c>
      <c r="J933" s="231" t="s">
        <v>173</v>
      </c>
      <c r="K933" s="232">
        <v>32204</v>
      </c>
      <c r="L933" s="233" t="s">
        <v>174</v>
      </c>
      <c r="M933" s="234">
        <v>43770</v>
      </c>
      <c r="N933" s="234"/>
      <c r="O933" s="234"/>
      <c r="P933" s="222" t="s">
        <v>3749</v>
      </c>
      <c r="Q933" s="222" t="s">
        <v>244</v>
      </c>
      <c r="R933" s="222" t="s">
        <v>177</v>
      </c>
      <c r="S933" s="222" t="s">
        <v>206</v>
      </c>
      <c r="T933" s="235"/>
      <c r="U933" s="235"/>
      <c r="V933" s="258" t="s">
        <v>179</v>
      </c>
      <c r="W933" s="258" t="s">
        <v>179</v>
      </c>
      <c r="X933" s="236">
        <v>2</v>
      </c>
      <c r="Y933" s="237" t="s">
        <v>5347</v>
      </c>
      <c r="Z933" s="238"/>
      <c r="AA933" s="261" t="s">
        <v>181</v>
      </c>
      <c r="AB933" s="236"/>
      <c r="AC933" s="239" t="s">
        <v>5348</v>
      </c>
      <c r="AD933" s="240" t="s">
        <v>1364</v>
      </c>
      <c r="AE933" s="240" t="s">
        <v>182</v>
      </c>
      <c r="AF933" s="241" t="s">
        <v>3602</v>
      </c>
      <c r="AG933" s="242"/>
      <c r="AH933" s="243"/>
      <c r="AI933" s="243"/>
      <c r="AJ933" s="258" t="s">
        <v>198</v>
      </c>
      <c r="AK933" s="258" t="s">
        <v>185</v>
      </c>
      <c r="AL933" s="258" t="s">
        <v>185</v>
      </c>
      <c r="AM933" s="244" t="s">
        <v>3911</v>
      </c>
      <c r="AN933" s="20">
        <v>182</v>
      </c>
      <c r="AO933" s="20">
        <v>0</v>
      </c>
      <c r="AP933" s="20">
        <v>20</v>
      </c>
      <c r="AQ933" s="20">
        <v>0</v>
      </c>
      <c r="AR933" s="20">
        <v>0</v>
      </c>
      <c r="AS933" s="20">
        <v>7</v>
      </c>
      <c r="AT933" s="20">
        <v>10</v>
      </c>
      <c r="AU933" s="300">
        <f t="shared" si="155"/>
        <v>219</v>
      </c>
      <c r="AV933" s="20">
        <v>190</v>
      </c>
      <c r="AW933" s="20">
        <v>0</v>
      </c>
      <c r="AX933" s="20">
        <v>20</v>
      </c>
      <c r="AY933" s="20">
        <v>0</v>
      </c>
      <c r="AZ933" s="20">
        <v>0</v>
      </c>
      <c r="BA933" s="20">
        <v>7</v>
      </c>
      <c r="BB933" s="20">
        <v>10</v>
      </c>
      <c r="BC933" s="300">
        <f t="shared" si="156"/>
        <v>227</v>
      </c>
      <c r="BD933" s="42">
        <f t="shared" si="157"/>
        <v>8</v>
      </c>
      <c r="BE933" s="42">
        <f t="shared" si="158"/>
        <v>0</v>
      </c>
      <c r="BF933" s="42">
        <f t="shared" si="159"/>
        <v>0</v>
      </c>
      <c r="BG933" s="42">
        <f t="shared" si="160"/>
        <v>0</v>
      </c>
      <c r="BH933" s="42">
        <f t="shared" si="161"/>
        <v>0</v>
      </c>
      <c r="BI933" s="42">
        <f t="shared" si="162"/>
        <v>0</v>
      </c>
      <c r="BJ933" s="42">
        <f t="shared" si="163"/>
        <v>0</v>
      </c>
      <c r="BK933" s="42">
        <f t="shared" si="164"/>
        <v>8</v>
      </c>
    </row>
    <row r="934" spans="1:63" ht="27" customHeight="1">
      <c r="A934" s="222">
        <f t="shared" si="165"/>
        <v>932</v>
      </c>
      <c r="B934" s="223"/>
      <c r="C934" s="223">
        <v>3778</v>
      </c>
      <c r="D934" s="225" t="s">
        <v>5349</v>
      </c>
      <c r="E934" s="226" t="s">
        <v>5350</v>
      </c>
      <c r="F934" s="227" t="s">
        <v>5351</v>
      </c>
      <c r="G934" s="228" t="s">
        <v>5352</v>
      </c>
      <c r="H934" s="229" t="s">
        <v>3916</v>
      </c>
      <c r="I934" s="230" t="s">
        <v>5353</v>
      </c>
      <c r="J934" s="231" t="s">
        <v>173</v>
      </c>
      <c r="K934" s="232">
        <v>31413</v>
      </c>
      <c r="L934" s="233" t="s">
        <v>174</v>
      </c>
      <c r="M934" s="234">
        <v>43770</v>
      </c>
      <c r="N934" s="234"/>
      <c r="O934" s="234"/>
      <c r="P934" s="222" t="s">
        <v>3780</v>
      </c>
      <c r="Q934" s="222" t="s">
        <v>244</v>
      </c>
      <c r="R934" s="222" t="s">
        <v>177</v>
      </c>
      <c r="S934" s="222" t="s">
        <v>223</v>
      </c>
      <c r="T934" s="235"/>
      <c r="U934" s="235"/>
      <c r="V934" s="258" t="s">
        <v>179</v>
      </c>
      <c r="W934" s="258" t="s">
        <v>179</v>
      </c>
      <c r="X934" s="236">
        <v>6</v>
      </c>
      <c r="Y934" s="237" t="s">
        <v>5354</v>
      </c>
      <c r="Z934" s="238"/>
      <c r="AA934" s="261" t="s">
        <v>181</v>
      </c>
      <c r="AB934" s="236"/>
      <c r="AC934" s="239"/>
      <c r="AD934" s="240"/>
      <c r="AE934" s="240"/>
      <c r="AF934" s="241"/>
      <c r="AG934" s="242"/>
      <c r="AH934" s="243"/>
      <c r="AI934" s="243"/>
      <c r="AJ934" s="258" t="s">
        <v>198</v>
      </c>
      <c r="AK934" s="258" t="s">
        <v>185</v>
      </c>
      <c r="AL934" s="258" t="s">
        <v>185</v>
      </c>
      <c r="AM934" s="244" t="s">
        <v>3854</v>
      </c>
      <c r="AN934" s="20">
        <v>182</v>
      </c>
      <c r="AO934" s="20">
        <v>0</v>
      </c>
      <c r="AP934" s="20">
        <v>20</v>
      </c>
      <c r="AQ934" s="20">
        <v>0</v>
      </c>
      <c r="AR934" s="20">
        <v>0</v>
      </c>
      <c r="AS934" s="20">
        <v>7</v>
      </c>
      <c r="AT934" s="20">
        <v>10</v>
      </c>
      <c r="AU934" s="300">
        <f t="shared" si="155"/>
        <v>219</v>
      </c>
      <c r="AV934" s="20">
        <v>190</v>
      </c>
      <c r="AW934" s="20">
        <v>0</v>
      </c>
      <c r="AX934" s="20">
        <v>20</v>
      </c>
      <c r="AY934" s="20">
        <v>0</v>
      </c>
      <c r="AZ934" s="20">
        <v>0</v>
      </c>
      <c r="BA934" s="20">
        <v>7</v>
      </c>
      <c r="BB934" s="20">
        <v>10</v>
      </c>
      <c r="BC934" s="300">
        <f t="shared" si="156"/>
        <v>227</v>
      </c>
      <c r="BD934" s="42">
        <f t="shared" si="157"/>
        <v>8</v>
      </c>
      <c r="BE934" s="42">
        <f t="shared" si="158"/>
        <v>0</v>
      </c>
      <c r="BF934" s="42">
        <f t="shared" si="159"/>
        <v>0</v>
      </c>
      <c r="BG934" s="42">
        <f t="shared" si="160"/>
        <v>0</v>
      </c>
      <c r="BH934" s="42">
        <f t="shared" si="161"/>
        <v>0</v>
      </c>
      <c r="BI934" s="42">
        <f t="shared" si="162"/>
        <v>0</v>
      </c>
      <c r="BJ934" s="42">
        <f t="shared" si="163"/>
        <v>0</v>
      </c>
      <c r="BK934" s="42">
        <f t="shared" si="164"/>
        <v>8</v>
      </c>
    </row>
    <row r="935" spans="1:63" ht="27" customHeight="1">
      <c r="A935" s="222">
        <f t="shared" si="165"/>
        <v>933</v>
      </c>
      <c r="B935" s="223"/>
      <c r="C935" s="223">
        <v>3786</v>
      </c>
      <c r="D935" s="225" t="s">
        <v>5355</v>
      </c>
      <c r="E935" s="226" t="s">
        <v>5356</v>
      </c>
      <c r="F935" s="227" t="s">
        <v>1061</v>
      </c>
      <c r="G935" s="228" t="s">
        <v>1041</v>
      </c>
      <c r="H935" s="229" t="s">
        <v>1063</v>
      </c>
      <c r="I935" s="230" t="s">
        <v>1043</v>
      </c>
      <c r="J935" s="231" t="s">
        <v>173</v>
      </c>
      <c r="K935" s="232">
        <v>33635</v>
      </c>
      <c r="L935" s="233" t="s">
        <v>174</v>
      </c>
      <c r="M935" s="234">
        <v>43770</v>
      </c>
      <c r="N935" s="234"/>
      <c r="O935" s="234"/>
      <c r="P935" s="222" t="s">
        <v>3644</v>
      </c>
      <c r="Q935" s="222" t="s">
        <v>244</v>
      </c>
      <c r="R935" s="222" t="s">
        <v>177</v>
      </c>
      <c r="S935" s="222" t="s">
        <v>326</v>
      </c>
      <c r="T935" s="235"/>
      <c r="U935" s="235"/>
      <c r="V935" s="258" t="s">
        <v>179</v>
      </c>
      <c r="W935" s="258" t="s">
        <v>179</v>
      </c>
      <c r="X935" s="236">
        <v>9</v>
      </c>
      <c r="Y935" s="237" t="s">
        <v>5357</v>
      </c>
      <c r="Z935" s="238"/>
      <c r="AA935" s="261" t="s">
        <v>181</v>
      </c>
      <c r="AB935" s="236"/>
      <c r="AC935" s="239"/>
      <c r="AD935" s="240" t="s">
        <v>183</v>
      </c>
      <c r="AE935" s="240" t="s">
        <v>3602</v>
      </c>
      <c r="AF935" s="241"/>
      <c r="AG935" s="242"/>
      <c r="AH935" s="243"/>
      <c r="AI935" s="243"/>
      <c r="AJ935" s="258" t="s">
        <v>198</v>
      </c>
      <c r="AK935" s="258" t="s">
        <v>185</v>
      </c>
      <c r="AL935" s="258" t="s">
        <v>185</v>
      </c>
      <c r="AM935" s="244" t="s">
        <v>3854</v>
      </c>
      <c r="AN935" s="20">
        <v>182</v>
      </c>
      <c r="AO935" s="20">
        <v>0</v>
      </c>
      <c r="AP935" s="20">
        <v>20</v>
      </c>
      <c r="AQ935" s="20">
        <v>0</v>
      </c>
      <c r="AR935" s="20">
        <v>0</v>
      </c>
      <c r="AS935" s="20">
        <v>7</v>
      </c>
      <c r="AT935" s="20">
        <v>10</v>
      </c>
      <c r="AU935" s="300">
        <f t="shared" si="155"/>
        <v>219</v>
      </c>
      <c r="AV935" s="20">
        <v>190</v>
      </c>
      <c r="AW935" s="20">
        <v>0</v>
      </c>
      <c r="AX935" s="20">
        <v>20</v>
      </c>
      <c r="AY935" s="20">
        <v>0</v>
      </c>
      <c r="AZ935" s="20">
        <v>0</v>
      </c>
      <c r="BA935" s="20">
        <v>7</v>
      </c>
      <c r="BB935" s="20">
        <v>10</v>
      </c>
      <c r="BC935" s="300">
        <f t="shared" si="156"/>
        <v>227</v>
      </c>
      <c r="BD935" s="42">
        <f t="shared" si="157"/>
        <v>8</v>
      </c>
      <c r="BE935" s="42">
        <f t="shared" si="158"/>
        <v>0</v>
      </c>
      <c r="BF935" s="42">
        <f t="shared" si="159"/>
        <v>0</v>
      </c>
      <c r="BG935" s="42">
        <f t="shared" si="160"/>
        <v>0</v>
      </c>
      <c r="BH935" s="42">
        <f t="shared" si="161"/>
        <v>0</v>
      </c>
      <c r="BI935" s="42">
        <f t="shared" si="162"/>
        <v>0</v>
      </c>
      <c r="BJ935" s="42">
        <f t="shared" si="163"/>
        <v>0</v>
      </c>
      <c r="BK935" s="42">
        <f t="shared" si="164"/>
        <v>8</v>
      </c>
    </row>
    <row r="936" spans="1:63" ht="27" customHeight="1">
      <c r="A936" s="222">
        <f t="shared" si="165"/>
        <v>934</v>
      </c>
      <c r="B936" s="223"/>
      <c r="C936" s="223">
        <v>3790</v>
      </c>
      <c r="D936" s="225" t="s">
        <v>5358</v>
      </c>
      <c r="E936" s="226" t="s">
        <v>5359</v>
      </c>
      <c r="F936" s="227" t="s">
        <v>644</v>
      </c>
      <c r="G936" s="228" t="s">
        <v>5360</v>
      </c>
      <c r="H936" s="229" t="s">
        <v>1531</v>
      </c>
      <c r="I936" s="230" t="s">
        <v>3649</v>
      </c>
      <c r="J936" s="231" t="s">
        <v>173</v>
      </c>
      <c r="K936" s="232">
        <v>30568</v>
      </c>
      <c r="L936" s="233" t="s">
        <v>174</v>
      </c>
      <c r="M936" s="234">
        <v>43770</v>
      </c>
      <c r="N936" s="234"/>
      <c r="O936" s="234"/>
      <c r="P936" s="222" t="s">
        <v>3644</v>
      </c>
      <c r="Q936" s="222" t="s">
        <v>244</v>
      </c>
      <c r="R936" s="222" t="s">
        <v>177</v>
      </c>
      <c r="S936" s="222" t="s">
        <v>251</v>
      </c>
      <c r="T936" s="235"/>
      <c r="U936" s="235"/>
      <c r="V936" s="258" t="s">
        <v>179</v>
      </c>
      <c r="W936" s="258" t="s">
        <v>179</v>
      </c>
      <c r="X936" s="236">
        <v>5</v>
      </c>
      <c r="Y936" s="237" t="s">
        <v>5361</v>
      </c>
      <c r="Z936" s="238"/>
      <c r="AA936" s="261" t="s">
        <v>181</v>
      </c>
      <c r="AB936" s="236"/>
      <c r="AC936" s="239"/>
      <c r="AD936" s="240" t="s">
        <v>3883</v>
      </c>
      <c r="AE936" s="240" t="s">
        <v>183</v>
      </c>
      <c r="AF936" s="241" t="s">
        <v>183</v>
      </c>
      <c r="AG936" s="242"/>
      <c r="AH936" s="243"/>
      <c r="AI936" s="243"/>
      <c r="AJ936" s="244" t="s">
        <v>185</v>
      </c>
      <c r="AK936" s="258" t="s">
        <v>185</v>
      </c>
      <c r="AL936" s="258" t="s">
        <v>185</v>
      </c>
      <c r="AM936" s="244" t="s">
        <v>3854</v>
      </c>
      <c r="AN936" s="20">
        <v>182</v>
      </c>
      <c r="AO936" s="20">
        <v>0</v>
      </c>
      <c r="AP936" s="20">
        <v>20</v>
      </c>
      <c r="AQ936" s="20">
        <v>0</v>
      </c>
      <c r="AR936" s="20">
        <v>0</v>
      </c>
      <c r="AS936" s="20">
        <v>7</v>
      </c>
      <c r="AT936" s="20">
        <v>10</v>
      </c>
      <c r="AU936" s="300">
        <f t="shared" si="155"/>
        <v>219</v>
      </c>
      <c r="AV936" s="20">
        <v>190</v>
      </c>
      <c r="AW936" s="20">
        <v>0</v>
      </c>
      <c r="AX936" s="20">
        <v>20</v>
      </c>
      <c r="AY936" s="20">
        <v>0</v>
      </c>
      <c r="AZ936" s="20">
        <v>0</v>
      </c>
      <c r="BA936" s="20">
        <v>7</v>
      </c>
      <c r="BB936" s="20">
        <v>10</v>
      </c>
      <c r="BC936" s="300">
        <f t="shared" si="156"/>
        <v>227</v>
      </c>
      <c r="BD936" s="42">
        <f t="shared" si="157"/>
        <v>8</v>
      </c>
      <c r="BE936" s="42">
        <f t="shared" si="158"/>
        <v>0</v>
      </c>
      <c r="BF936" s="42">
        <f t="shared" si="159"/>
        <v>0</v>
      </c>
      <c r="BG936" s="42">
        <f t="shared" si="160"/>
        <v>0</v>
      </c>
      <c r="BH936" s="42">
        <f t="shared" si="161"/>
        <v>0</v>
      </c>
      <c r="BI936" s="42">
        <f t="shared" si="162"/>
        <v>0</v>
      </c>
      <c r="BJ936" s="42">
        <f t="shared" si="163"/>
        <v>0</v>
      </c>
      <c r="BK936" s="42">
        <f t="shared" si="164"/>
        <v>8</v>
      </c>
    </row>
    <row r="937" spans="1:63" ht="27" customHeight="1">
      <c r="A937" s="222">
        <f t="shared" si="165"/>
        <v>935</v>
      </c>
      <c r="B937" s="223"/>
      <c r="C937" s="223">
        <v>3788</v>
      </c>
      <c r="D937" s="225" t="s">
        <v>5362</v>
      </c>
      <c r="E937" s="226" t="s">
        <v>5363</v>
      </c>
      <c r="F937" s="227" t="s">
        <v>1809</v>
      </c>
      <c r="G937" s="228" t="s">
        <v>1844</v>
      </c>
      <c r="H937" s="229" t="s">
        <v>1811</v>
      </c>
      <c r="I937" s="230" t="s">
        <v>1846</v>
      </c>
      <c r="J937" s="231" t="s">
        <v>173</v>
      </c>
      <c r="K937" s="232">
        <v>34455</v>
      </c>
      <c r="L937" s="233" t="s">
        <v>174</v>
      </c>
      <c r="M937" s="234">
        <v>43770</v>
      </c>
      <c r="N937" s="234"/>
      <c r="O937" s="234"/>
      <c r="P937" s="222" t="s">
        <v>277</v>
      </c>
      <c r="Q937" s="222" t="s">
        <v>244</v>
      </c>
      <c r="R937" s="222" t="s">
        <v>177</v>
      </c>
      <c r="S937" s="222" t="s">
        <v>214</v>
      </c>
      <c r="T937" s="235"/>
      <c r="U937" s="235"/>
      <c r="V937" s="258" t="s">
        <v>179</v>
      </c>
      <c r="W937" s="258" t="s">
        <v>179</v>
      </c>
      <c r="X937" s="236">
        <v>7</v>
      </c>
      <c r="Y937" s="237" t="s">
        <v>5364</v>
      </c>
      <c r="Z937" s="238"/>
      <c r="AA937" s="261" t="s">
        <v>181</v>
      </c>
      <c r="AB937" s="236"/>
      <c r="AC937" s="239"/>
      <c r="AD937" s="240" t="s">
        <v>3602</v>
      </c>
      <c r="AE937" s="240"/>
      <c r="AF937" s="241"/>
      <c r="AG937" s="242"/>
      <c r="AH937" s="243"/>
      <c r="AI937" s="243"/>
      <c r="AJ937" s="258" t="s">
        <v>198</v>
      </c>
      <c r="AK937" s="258" t="s">
        <v>185</v>
      </c>
      <c r="AL937" s="258" t="s">
        <v>185</v>
      </c>
      <c r="AM937" s="244" t="s">
        <v>3854</v>
      </c>
      <c r="AN937" s="20">
        <v>182</v>
      </c>
      <c r="AO937" s="20">
        <v>0</v>
      </c>
      <c r="AP937" s="20">
        <v>20</v>
      </c>
      <c r="AQ937" s="20">
        <v>0</v>
      </c>
      <c r="AR937" s="20">
        <v>0</v>
      </c>
      <c r="AS937" s="20">
        <v>7</v>
      </c>
      <c r="AT937" s="20">
        <v>10</v>
      </c>
      <c r="AU937" s="300">
        <f t="shared" si="155"/>
        <v>219</v>
      </c>
      <c r="AV937" s="20">
        <v>190</v>
      </c>
      <c r="AW937" s="20">
        <v>0</v>
      </c>
      <c r="AX937" s="20">
        <v>20</v>
      </c>
      <c r="AY937" s="20">
        <v>0</v>
      </c>
      <c r="AZ937" s="20">
        <v>0</v>
      </c>
      <c r="BA937" s="20">
        <v>7</v>
      </c>
      <c r="BB937" s="20">
        <v>10</v>
      </c>
      <c r="BC937" s="300">
        <f t="shared" si="156"/>
        <v>227</v>
      </c>
      <c r="BD937" s="42">
        <f t="shared" si="157"/>
        <v>8</v>
      </c>
      <c r="BE937" s="42">
        <f t="shared" si="158"/>
        <v>0</v>
      </c>
      <c r="BF937" s="42">
        <f t="shared" si="159"/>
        <v>0</v>
      </c>
      <c r="BG937" s="42">
        <f t="shared" si="160"/>
        <v>0</v>
      </c>
      <c r="BH937" s="42">
        <f t="shared" si="161"/>
        <v>0</v>
      </c>
      <c r="BI937" s="42">
        <f t="shared" si="162"/>
        <v>0</v>
      </c>
      <c r="BJ937" s="42">
        <f t="shared" si="163"/>
        <v>0</v>
      </c>
      <c r="BK937" s="42">
        <f t="shared" si="164"/>
        <v>8</v>
      </c>
    </row>
    <row r="938" spans="1:63" ht="27" customHeight="1">
      <c r="A938" s="222">
        <f t="shared" si="165"/>
        <v>936</v>
      </c>
      <c r="B938" s="223"/>
      <c r="C938" s="223">
        <v>3779</v>
      </c>
      <c r="D938" s="225">
        <v>0</v>
      </c>
      <c r="E938" s="226" t="s">
        <v>5365</v>
      </c>
      <c r="F938" s="227" t="s">
        <v>5366</v>
      </c>
      <c r="G938" s="228" t="s">
        <v>5027</v>
      </c>
      <c r="H938" s="229" t="s">
        <v>4008</v>
      </c>
      <c r="I938" s="230" t="s">
        <v>5029</v>
      </c>
      <c r="J938" s="231" t="s">
        <v>173</v>
      </c>
      <c r="K938" s="232">
        <v>29108</v>
      </c>
      <c r="L938" s="233" t="s">
        <v>174</v>
      </c>
      <c r="M938" s="234">
        <v>43770</v>
      </c>
      <c r="N938" s="234"/>
      <c r="O938" s="234"/>
      <c r="P938" s="222" t="s">
        <v>3749</v>
      </c>
      <c r="Q938" s="222" t="s">
        <v>244</v>
      </c>
      <c r="R938" s="222" t="s">
        <v>177</v>
      </c>
      <c r="S938" s="222" t="s">
        <v>223</v>
      </c>
      <c r="T938" s="235"/>
      <c r="U938" s="235"/>
      <c r="V938" s="258" t="s">
        <v>179</v>
      </c>
      <c r="W938" s="258" t="s">
        <v>179</v>
      </c>
      <c r="X938" s="236">
        <v>9</v>
      </c>
      <c r="Y938" s="237" t="s">
        <v>5367</v>
      </c>
      <c r="Z938" s="238"/>
      <c r="AA938" s="261" t="s">
        <v>181</v>
      </c>
      <c r="AB938" s="236"/>
      <c r="AC938" s="239"/>
      <c r="AD938" s="240"/>
      <c r="AE938" s="240"/>
      <c r="AF938" s="241"/>
      <c r="AG938" s="242"/>
      <c r="AH938" s="243"/>
      <c r="AI938" s="243"/>
      <c r="AJ938" s="258" t="s">
        <v>198</v>
      </c>
      <c r="AK938" s="258" t="s">
        <v>185</v>
      </c>
      <c r="AL938" s="258" t="s">
        <v>185</v>
      </c>
      <c r="AM938" s="244" t="s">
        <v>3854</v>
      </c>
      <c r="AN938" s="20">
        <v>182</v>
      </c>
      <c r="AO938" s="20">
        <v>0</v>
      </c>
      <c r="AP938" s="20">
        <v>20</v>
      </c>
      <c r="AQ938" s="20">
        <v>0</v>
      </c>
      <c r="AR938" s="20">
        <v>0</v>
      </c>
      <c r="AS938" s="20">
        <v>7</v>
      </c>
      <c r="AT938" s="20">
        <v>10</v>
      </c>
      <c r="AU938" s="300">
        <f t="shared" si="155"/>
        <v>219</v>
      </c>
      <c r="AV938" s="20">
        <v>190</v>
      </c>
      <c r="AW938" s="20">
        <v>0</v>
      </c>
      <c r="AX938" s="20">
        <v>20</v>
      </c>
      <c r="AY938" s="20">
        <v>0</v>
      </c>
      <c r="AZ938" s="20">
        <v>0</v>
      </c>
      <c r="BA938" s="20">
        <v>7</v>
      </c>
      <c r="BB938" s="20">
        <v>10</v>
      </c>
      <c r="BC938" s="300">
        <f t="shared" si="156"/>
        <v>227</v>
      </c>
      <c r="BD938" s="42">
        <f t="shared" si="157"/>
        <v>8</v>
      </c>
      <c r="BE938" s="42">
        <f t="shared" si="158"/>
        <v>0</v>
      </c>
      <c r="BF938" s="42">
        <f t="shared" si="159"/>
        <v>0</v>
      </c>
      <c r="BG938" s="42">
        <f t="shared" si="160"/>
        <v>0</v>
      </c>
      <c r="BH938" s="42">
        <f t="shared" si="161"/>
        <v>0</v>
      </c>
      <c r="BI938" s="42">
        <f t="shared" si="162"/>
        <v>0</v>
      </c>
      <c r="BJ938" s="42">
        <f t="shared" si="163"/>
        <v>0</v>
      </c>
      <c r="BK938" s="42">
        <f t="shared" si="164"/>
        <v>8</v>
      </c>
    </row>
    <row r="939" spans="1:63" ht="27" customHeight="1">
      <c r="A939" s="222">
        <f t="shared" si="165"/>
        <v>937</v>
      </c>
      <c r="B939" s="223"/>
      <c r="C939" s="223">
        <v>3793</v>
      </c>
      <c r="D939" s="225" t="s">
        <v>5368</v>
      </c>
      <c r="E939" s="226" t="s">
        <v>5369</v>
      </c>
      <c r="F939" s="227" t="s">
        <v>1979</v>
      </c>
      <c r="G939" s="228" t="s">
        <v>5370</v>
      </c>
      <c r="H939" s="229" t="s">
        <v>5371</v>
      </c>
      <c r="I939" s="230" t="s">
        <v>5372</v>
      </c>
      <c r="J939" s="231" t="s">
        <v>173</v>
      </c>
      <c r="K939" s="232">
        <v>33271</v>
      </c>
      <c r="L939" s="233" t="s">
        <v>174</v>
      </c>
      <c r="M939" s="234">
        <v>43770</v>
      </c>
      <c r="N939" s="234"/>
      <c r="O939" s="234"/>
      <c r="P939" s="222" t="s">
        <v>3828</v>
      </c>
      <c r="Q939" s="222" t="s">
        <v>244</v>
      </c>
      <c r="R939" s="222" t="s">
        <v>177</v>
      </c>
      <c r="S939" s="222" t="s">
        <v>223</v>
      </c>
      <c r="T939" s="235"/>
      <c r="U939" s="235"/>
      <c r="V939" s="258" t="s">
        <v>179</v>
      </c>
      <c r="W939" s="258" t="s">
        <v>179</v>
      </c>
      <c r="X939" s="236">
        <v>3</v>
      </c>
      <c r="Y939" s="237" t="s">
        <v>5373</v>
      </c>
      <c r="Z939" s="238"/>
      <c r="AA939" s="261" t="s">
        <v>181</v>
      </c>
      <c r="AB939" s="236"/>
      <c r="AC939" s="239" t="s">
        <v>420</v>
      </c>
      <c r="AD939" s="240"/>
      <c r="AE939" s="240"/>
      <c r="AF939" s="241"/>
      <c r="AG939" s="242"/>
      <c r="AH939" s="243"/>
      <c r="AI939" s="243"/>
      <c r="AJ939" s="258" t="s">
        <v>198</v>
      </c>
      <c r="AK939" s="258" t="s">
        <v>185</v>
      </c>
      <c r="AL939" s="258" t="s">
        <v>185</v>
      </c>
      <c r="AM939" s="244" t="s">
        <v>3854</v>
      </c>
      <c r="AN939" s="20">
        <v>182</v>
      </c>
      <c r="AO939" s="20">
        <v>0</v>
      </c>
      <c r="AP939" s="20">
        <v>20</v>
      </c>
      <c r="AQ939" s="20">
        <v>0</v>
      </c>
      <c r="AR939" s="20">
        <v>0</v>
      </c>
      <c r="AS939" s="20">
        <v>7</v>
      </c>
      <c r="AT939" s="20">
        <v>10</v>
      </c>
      <c r="AU939" s="300">
        <f t="shared" si="155"/>
        <v>219</v>
      </c>
      <c r="AV939" s="20">
        <v>190</v>
      </c>
      <c r="AW939" s="20">
        <v>0</v>
      </c>
      <c r="AX939" s="20">
        <v>20</v>
      </c>
      <c r="AY939" s="20">
        <v>0</v>
      </c>
      <c r="AZ939" s="20">
        <v>0</v>
      </c>
      <c r="BA939" s="20">
        <v>7</v>
      </c>
      <c r="BB939" s="20">
        <v>10</v>
      </c>
      <c r="BC939" s="300">
        <f t="shared" si="156"/>
        <v>227</v>
      </c>
      <c r="BD939" s="42">
        <f t="shared" si="157"/>
        <v>8</v>
      </c>
      <c r="BE939" s="42">
        <f t="shared" si="158"/>
        <v>0</v>
      </c>
      <c r="BF939" s="42">
        <f t="shared" si="159"/>
        <v>0</v>
      </c>
      <c r="BG939" s="42">
        <f t="shared" si="160"/>
        <v>0</v>
      </c>
      <c r="BH939" s="42">
        <f t="shared" si="161"/>
        <v>0</v>
      </c>
      <c r="BI939" s="42">
        <f t="shared" si="162"/>
        <v>0</v>
      </c>
      <c r="BJ939" s="42">
        <f t="shared" si="163"/>
        <v>0</v>
      </c>
      <c r="BK939" s="42">
        <f t="shared" si="164"/>
        <v>8</v>
      </c>
    </row>
    <row r="940" spans="1:63" ht="27" customHeight="1">
      <c r="A940" s="222">
        <f t="shared" si="165"/>
        <v>938</v>
      </c>
      <c r="B940" s="223"/>
      <c r="C940" s="223">
        <v>3777</v>
      </c>
      <c r="D940" s="225" t="s">
        <v>5374</v>
      </c>
      <c r="E940" s="226" t="s">
        <v>5375</v>
      </c>
      <c r="F940" s="227" t="s">
        <v>5376</v>
      </c>
      <c r="G940" s="228" t="s">
        <v>5377</v>
      </c>
      <c r="H940" s="229" t="s">
        <v>738</v>
      </c>
      <c r="I940" s="230" t="s">
        <v>5378</v>
      </c>
      <c r="J940" s="231" t="s">
        <v>173</v>
      </c>
      <c r="K940" s="232">
        <v>32661</v>
      </c>
      <c r="L940" s="233" t="s">
        <v>174</v>
      </c>
      <c r="M940" s="234">
        <v>43770</v>
      </c>
      <c r="N940" s="234"/>
      <c r="O940" s="234" t="s">
        <v>3953</v>
      </c>
      <c r="P940" s="222" t="s">
        <v>3954</v>
      </c>
      <c r="Q940" s="222" t="s">
        <v>244</v>
      </c>
      <c r="R940" s="222" t="s">
        <v>3955</v>
      </c>
      <c r="S940" s="222" t="s">
        <v>223</v>
      </c>
      <c r="T940" s="235" t="s">
        <v>3956</v>
      </c>
      <c r="U940" s="291">
        <v>43789</v>
      </c>
      <c r="V940" s="258" t="s">
        <v>195</v>
      </c>
      <c r="W940" s="258">
        <v>225</v>
      </c>
      <c r="X940" s="236">
        <v>6</v>
      </c>
      <c r="Y940" s="237" t="s">
        <v>5379</v>
      </c>
      <c r="Z940" s="261"/>
      <c r="AA940" s="261" t="s">
        <v>181</v>
      </c>
      <c r="AB940" s="236"/>
      <c r="AC940" s="239"/>
      <c r="AD940" s="240"/>
      <c r="AE940" s="240"/>
      <c r="AF940" s="241"/>
      <c r="AG940" s="242"/>
      <c r="AH940" s="243"/>
      <c r="AI940" s="243"/>
      <c r="AJ940" s="258" t="s">
        <v>198</v>
      </c>
      <c r="AK940" s="258" t="s">
        <v>185</v>
      </c>
      <c r="AL940" s="258" t="s">
        <v>185</v>
      </c>
      <c r="AM940" s="244" t="s">
        <v>3854</v>
      </c>
      <c r="AN940" s="20">
        <v>182</v>
      </c>
      <c r="AO940" s="20">
        <v>0</v>
      </c>
      <c r="AP940" s="20">
        <v>0</v>
      </c>
      <c r="AQ940" s="20">
        <v>0</v>
      </c>
      <c r="AR940" s="20">
        <v>0</v>
      </c>
      <c r="AS940" s="20">
        <v>7</v>
      </c>
      <c r="AT940" s="20">
        <v>10</v>
      </c>
      <c r="AU940" s="300">
        <f t="shared" si="155"/>
        <v>199</v>
      </c>
      <c r="AV940" s="20">
        <v>190</v>
      </c>
      <c r="AW940" s="20">
        <v>0</v>
      </c>
      <c r="AX940" s="20">
        <v>0</v>
      </c>
      <c r="AY940" s="20">
        <v>0</v>
      </c>
      <c r="AZ940" s="20">
        <v>0</v>
      </c>
      <c r="BA940" s="20">
        <v>7</v>
      </c>
      <c r="BB940" s="20">
        <v>10</v>
      </c>
      <c r="BC940" s="300">
        <f t="shared" si="156"/>
        <v>207</v>
      </c>
      <c r="BD940" s="42">
        <f t="shared" si="157"/>
        <v>8</v>
      </c>
      <c r="BE940" s="42">
        <f t="shared" si="158"/>
        <v>0</v>
      </c>
      <c r="BF940" s="42">
        <f t="shared" si="159"/>
        <v>0</v>
      </c>
      <c r="BG940" s="42">
        <f t="shared" si="160"/>
        <v>0</v>
      </c>
      <c r="BH940" s="42">
        <f t="shared" si="161"/>
        <v>0</v>
      </c>
      <c r="BI940" s="42">
        <f t="shared" si="162"/>
        <v>0</v>
      </c>
      <c r="BJ940" s="42">
        <f t="shared" si="163"/>
        <v>0</v>
      </c>
      <c r="BK940" s="42">
        <f t="shared" si="164"/>
        <v>8</v>
      </c>
    </row>
    <row r="941" spans="1:63" ht="27" customHeight="1">
      <c r="A941" s="222">
        <f t="shared" si="165"/>
        <v>939</v>
      </c>
      <c r="B941" s="223"/>
      <c r="C941" s="223">
        <v>3800</v>
      </c>
      <c r="D941" s="225" t="s">
        <v>5380</v>
      </c>
      <c r="E941" s="226" t="s">
        <v>5381</v>
      </c>
      <c r="F941" s="227" t="s">
        <v>4391</v>
      </c>
      <c r="G941" s="228" t="s">
        <v>3726</v>
      </c>
      <c r="H941" s="229" t="s">
        <v>5382</v>
      </c>
      <c r="I941" s="230" t="s">
        <v>5383</v>
      </c>
      <c r="J941" s="231" t="s">
        <v>204</v>
      </c>
      <c r="K941" s="232">
        <v>34053</v>
      </c>
      <c r="L941" s="233" t="s">
        <v>174</v>
      </c>
      <c r="M941" s="234">
        <v>43773</v>
      </c>
      <c r="N941" s="234"/>
      <c r="O941" s="234" t="s">
        <v>4147</v>
      </c>
      <c r="P941" s="222" t="s">
        <v>3945</v>
      </c>
      <c r="Q941" s="222" t="s">
        <v>244</v>
      </c>
      <c r="R941" s="222" t="s">
        <v>3955</v>
      </c>
      <c r="S941" s="222" t="s">
        <v>223</v>
      </c>
      <c r="T941" s="235" t="s">
        <v>4148</v>
      </c>
      <c r="U941" s="291">
        <v>43789</v>
      </c>
      <c r="V941" s="258" t="s">
        <v>179</v>
      </c>
      <c r="W941" s="258" t="s">
        <v>179</v>
      </c>
      <c r="X941" s="236">
        <v>6</v>
      </c>
      <c r="Y941" s="237" t="s">
        <v>5384</v>
      </c>
      <c r="Z941" s="261" t="s">
        <v>181</v>
      </c>
      <c r="AA941" s="238"/>
      <c r="AB941" s="236"/>
      <c r="AC941" s="239"/>
      <c r="AD941" s="240"/>
      <c r="AE941" s="240"/>
      <c r="AF941" s="241"/>
      <c r="AG941" s="242"/>
      <c r="AH941" s="243"/>
      <c r="AI941" s="243"/>
      <c r="AJ941" s="258" t="s">
        <v>198</v>
      </c>
      <c r="AK941" s="258" t="s">
        <v>185</v>
      </c>
      <c r="AL941" s="258" t="s">
        <v>185</v>
      </c>
      <c r="AM941" s="244" t="s">
        <v>3854</v>
      </c>
      <c r="AN941" s="20">
        <v>182</v>
      </c>
      <c r="AO941" s="20">
        <v>0</v>
      </c>
      <c r="AP941" s="20">
        <v>0</v>
      </c>
      <c r="AQ941" s="20">
        <v>0</v>
      </c>
      <c r="AR941" s="20">
        <v>0</v>
      </c>
      <c r="AS941" s="20">
        <v>7</v>
      </c>
      <c r="AT941" s="20">
        <v>10</v>
      </c>
      <c r="AU941" s="300">
        <f t="shared" si="155"/>
        <v>199</v>
      </c>
      <c r="AV941" s="20">
        <v>190</v>
      </c>
      <c r="AW941" s="20">
        <v>0</v>
      </c>
      <c r="AX941" s="20">
        <v>0</v>
      </c>
      <c r="AY941" s="20">
        <v>0</v>
      </c>
      <c r="AZ941" s="20">
        <v>0</v>
      </c>
      <c r="BA941" s="20">
        <v>7</v>
      </c>
      <c r="BB941" s="20">
        <v>10</v>
      </c>
      <c r="BC941" s="300">
        <f t="shared" si="156"/>
        <v>207</v>
      </c>
      <c r="BD941" s="42">
        <f t="shared" si="157"/>
        <v>8</v>
      </c>
      <c r="BE941" s="42">
        <f t="shared" si="158"/>
        <v>0</v>
      </c>
      <c r="BF941" s="42">
        <f t="shared" si="159"/>
        <v>0</v>
      </c>
      <c r="BG941" s="42">
        <f t="shared" si="160"/>
        <v>0</v>
      </c>
      <c r="BH941" s="42">
        <f t="shared" si="161"/>
        <v>0</v>
      </c>
      <c r="BI941" s="42">
        <f t="shared" si="162"/>
        <v>0</v>
      </c>
      <c r="BJ941" s="42">
        <f t="shared" si="163"/>
        <v>0</v>
      </c>
      <c r="BK941" s="42">
        <f t="shared" si="164"/>
        <v>8</v>
      </c>
    </row>
    <row r="942" spans="1:63" ht="27" customHeight="1">
      <c r="A942" s="222">
        <f t="shared" si="165"/>
        <v>940</v>
      </c>
      <c r="B942" s="223"/>
      <c r="C942" s="223">
        <v>3617</v>
      </c>
      <c r="D942" s="225"/>
      <c r="E942" s="226"/>
      <c r="F942" s="227" t="s">
        <v>1705</v>
      </c>
      <c r="G942" s="228" t="s">
        <v>5385</v>
      </c>
      <c r="H942" s="229"/>
      <c r="I942" s="230"/>
      <c r="J942" s="231"/>
      <c r="K942" s="232"/>
      <c r="L942" s="233"/>
      <c r="M942" s="234"/>
      <c r="N942" s="234"/>
      <c r="O942" s="234" t="s">
        <v>5386</v>
      </c>
      <c r="P942" s="222" t="s">
        <v>3749</v>
      </c>
      <c r="Q942" s="222" t="s">
        <v>244</v>
      </c>
      <c r="R942" s="222" t="s">
        <v>3955</v>
      </c>
      <c r="S942" s="222"/>
      <c r="T942" s="235" t="s">
        <v>5387</v>
      </c>
      <c r="U942" s="291">
        <v>43789</v>
      </c>
      <c r="V942" s="258" t="s">
        <v>179</v>
      </c>
      <c r="W942" s="258" t="s">
        <v>179</v>
      </c>
      <c r="X942" s="236"/>
      <c r="Y942" s="237"/>
      <c r="Z942" s="238"/>
      <c r="AA942" s="238"/>
      <c r="AB942" s="236"/>
      <c r="AC942" s="239"/>
      <c r="AD942" s="240"/>
      <c r="AE942" s="240"/>
      <c r="AF942" s="241"/>
      <c r="AG942" s="242"/>
      <c r="AH942" s="243"/>
      <c r="AI942" s="243"/>
      <c r="AJ942" s="244"/>
      <c r="AK942" s="244"/>
      <c r="AL942" s="244"/>
      <c r="AM942" s="239"/>
      <c r="AN942" s="20">
        <v>182</v>
      </c>
      <c r="AO942" s="20">
        <v>0</v>
      </c>
      <c r="AP942" s="20">
        <v>0</v>
      </c>
      <c r="AQ942" s="20">
        <v>0</v>
      </c>
      <c r="AR942" s="20">
        <v>0</v>
      </c>
      <c r="AS942" s="20">
        <v>7</v>
      </c>
      <c r="AT942" s="20">
        <v>10</v>
      </c>
      <c r="AU942" s="300">
        <f t="shared" si="155"/>
        <v>199</v>
      </c>
      <c r="AV942" s="20">
        <v>190</v>
      </c>
      <c r="AW942" s="20">
        <v>0</v>
      </c>
      <c r="AX942" s="20">
        <v>0</v>
      </c>
      <c r="AY942" s="20">
        <v>0</v>
      </c>
      <c r="AZ942" s="20">
        <v>0</v>
      </c>
      <c r="BA942" s="20">
        <v>7</v>
      </c>
      <c r="BB942" s="20">
        <v>10</v>
      </c>
      <c r="BC942" s="300">
        <f t="shared" si="156"/>
        <v>207</v>
      </c>
      <c r="BD942" s="42">
        <f t="shared" si="157"/>
        <v>8</v>
      </c>
      <c r="BE942" s="42">
        <f t="shared" si="158"/>
        <v>0</v>
      </c>
      <c r="BF942" s="42">
        <f t="shared" si="159"/>
        <v>0</v>
      </c>
      <c r="BG942" s="42">
        <f t="shared" si="160"/>
        <v>0</v>
      </c>
      <c r="BH942" s="42">
        <f t="shared" si="161"/>
        <v>0</v>
      </c>
      <c r="BI942" s="42">
        <f t="shared" si="162"/>
        <v>0</v>
      </c>
      <c r="BJ942" s="42">
        <f t="shared" si="163"/>
        <v>0</v>
      </c>
      <c r="BK942" s="42">
        <f t="shared" si="164"/>
        <v>8</v>
      </c>
    </row>
    <row r="943" spans="1:63" ht="27" customHeight="1">
      <c r="A943" s="222">
        <f t="shared" si="165"/>
        <v>941</v>
      </c>
      <c r="B943" s="223"/>
      <c r="C943" s="223">
        <v>3813</v>
      </c>
      <c r="D943" s="225" t="s">
        <v>5388</v>
      </c>
      <c r="E943" s="226" t="s">
        <v>5389</v>
      </c>
      <c r="F943" s="227" t="s">
        <v>387</v>
      </c>
      <c r="G943" s="228" t="s">
        <v>5390</v>
      </c>
      <c r="H943" s="229" t="s">
        <v>629</v>
      </c>
      <c r="I943" s="230" t="s">
        <v>5391</v>
      </c>
      <c r="J943" s="231" t="s">
        <v>173</v>
      </c>
      <c r="K943" s="232">
        <v>37109</v>
      </c>
      <c r="L943" s="233" t="s">
        <v>174</v>
      </c>
      <c r="M943" s="234">
        <v>43784</v>
      </c>
      <c r="N943" s="234"/>
      <c r="O943" s="234" t="s">
        <v>3994</v>
      </c>
      <c r="P943" s="222" t="e">
        <v>#N/A</v>
      </c>
      <c r="Q943" s="222" t="s">
        <v>244</v>
      </c>
      <c r="R943" s="222" t="s">
        <v>177</v>
      </c>
      <c r="S943" s="222" t="s">
        <v>206</v>
      </c>
      <c r="T943" s="235"/>
      <c r="U943" s="291"/>
      <c r="V943" s="258" t="s">
        <v>179</v>
      </c>
      <c r="W943" s="258" t="s">
        <v>179</v>
      </c>
      <c r="X943" s="236">
        <v>4</v>
      </c>
      <c r="Y943" s="237" t="s">
        <v>5392</v>
      </c>
      <c r="Z943" s="238"/>
      <c r="AA943" s="261" t="s">
        <v>181</v>
      </c>
      <c r="AB943" s="236"/>
      <c r="AC943" s="239"/>
      <c r="AD943" s="240"/>
      <c r="AE943" s="240"/>
      <c r="AF943" s="241"/>
      <c r="AG943" s="242"/>
      <c r="AH943" s="243"/>
      <c r="AI943" s="243"/>
      <c r="AJ943" s="258" t="s">
        <v>198</v>
      </c>
      <c r="AK943" s="258" t="s">
        <v>185</v>
      </c>
      <c r="AL943" s="258" t="s">
        <v>185</v>
      </c>
      <c r="AM943" s="244" t="s">
        <v>3911</v>
      </c>
      <c r="AN943" s="20">
        <v>182</v>
      </c>
      <c r="AO943" s="20">
        <v>0</v>
      </c>
      <c r="AP943" s="20">
        <v>20</v>
      </c>
      <c r="AQ943" s="20">
        <v>0</v>
      </c>
      <c r="AR943" s="20">
        <v>0</v>
      </c>
      <c r="AS943" s="20">
        <v>7</v>
      </c>
      <c r="AT943" s="20">
        <v>10</v>
      </c>
      <c r="AU943" s="300">
        <f t="shared" si="155"/>
        <v>219</v>
      </c>
      <c r="AV943" s="20">
        <v>190</v>
      </c>
      <c r="AW943" s="20">
        <v>0</v>
      </c>
      <c r="AX943" s="20">
        <v>20</v>
      </c>
      <c r="AY943" s="20">
        <v>0</v>
      </c>
      <c r="AZ943" s="20">
        <v>0</v>
      </c>
      <c r="BA943" s="20">
        <v>7</v>
      </c>
      <c r="BB943" s="20">
        <v>10</v>
      </c>
      <c r="BC943" s="300">
        <f t="shared" si="156"/>
        <v>227</v>
      </c>
      <c r="BD943" s="42">
        <f t="shared" si="157"/>
        <v>8</v>
      </c>
      <c r="BE943" s="42">
        <f t="shared" si="158"/>
        <v>0</v>
      </c>
      <c r="BF943" s="42">
        <f t="shared" si="159"/>
        <v>0</v>
      </c>
      <c r="BG943" s="42">
        <f t="shared" si="160"/>
        <v>0</v>
      </c>
      <c r="BH943" s="42">
        <f t="shared" si="161"/>
        <v>0</v>
      </c>
      <c r="BI943" s="42">
        <f t="shared" si="162"/>
        <v>0</v>
      </c>
      <c r="BJ943" s="42">
        <f t="shared" si="163"/>
        <v>0</v>
      </c>
      <c r="BK943" s="42">
        <f t="shared" si="164"/>
        <v>8</v>
      </c>
    </row>
    <row r="944" spans="1:63" ht="27" customHeight="1">
      <c r="A944" s="222">
        <f t="shared" si="165"/>
        <v>942</v>
      </c>
      <c r="B944" s="223"/>
      <c r="C944" s="223">
        <v>3815</v>
      </c>
      <c r="D944" s="225" t="s">
        <v>5393</v>
      </c>
      <c r="E944" s="226" t="s">
        <v>5394</v>
      </c>
      <c r="F944" s="227" t="s">
        <v>727</v>
      </c>
      <c r="G944" s="228" t="s">
        <v>3799</v>
      </c>
      <c r="H944" s="229" t="s">
        <v>729</v>
      </c>
      <c r="I944" s="230" t="s">
        <v>5395</v>
      </c>
      <c r="J944" s="231" t="s">
        <v>173</v>
      </c>
      <c r="K944" s="232">
        <v>34839</v>
      </c>
      <c r="L944" s="233" t="s">
        <v>174</v>
      </c>
      <c r="M944" s="234">
        <v>43784</v>
      </c>
      <c r="N944" s="234"/>
      <c r="O944" s="234" t="s">
        <v>3994</v>
      </c>
      <c r="P944" s="222" t="e">
        <v>#N/A</v>
      </c>
      <c r="Q944" s="222" t="s">
        <v>244</v>
      </c>
      <c r="R944" s="222" t="s">
        <v>177</v>
      </c>
      <c r="S944" s="222" t="s">
        <v>223</v>
      </c>
      <c r="T944" s="235"/>
      <c r="U944" s="291"/>
      <c r="V944" s="258" t="s">
        <v>179</v>
      </c>
      <c r="W944" s="258" t="s">
        <v>179</v>
      </c>
      <c r="X944" s="236">
        <v>7</v>
      </c>
      <c r="Y944" s="237" t="s">
        <v>5396</v>
      </c>
      <c r="Z944" s="238"/>
      <c r="AA944" s="261" t="s">
        <v>181</v>
      </c>
      <c r="AB944" s="236"/>
      <c r="AC944" s="239"/>
      <c r="AD944" s="240" t="s">
        <v>3602</v>
      </c>
      <c r="AE944" s="240"/>
      <c r="AF944" s="241"/>
      <c r="AG944" s="242"/>
      <c r="AH944" s="243"/>
      <c r="AI944" s="243"/>
      <c r="AJ944" s="258" t="s">
        <v>198</v>
      </c>
      <c r="AK944" s="258" t="s">
        <v>185</v>
      </c>
      <c r="AL944" s="258" t="s">
        <v>185</v>
      </c>
      <c r="AM944" s="244" t="s">
        <v>3854</v>
      </c>
      <c r="AN944" s="20">
        <v>182</v>
      </c>
      <c r="AO944" s="20">
        <v>0</v>
      </c>
      <c r="AP944" s="20">
        <v>20</v>
      </c>
      <c r="AQ944" s="20">
        <v>0</v>
      </c>
      <c r="AR944" s="20">
        <v>0</v>
      </c>
      <c r="AS944" s="20">
        <v>7</v>
      </c>
      <c r="AT944" s="20">
        <v>10</v>
      </c>
      <c r="AU944" s="300">
        <f t="shared" si="155"/>
        <v>219</v>
      </c>
      <c r="AV944" s="20">
        <v>190</v>
      </c>
      <c r="AW944" s="20">
        <v>0</v>
      </c>
      <c r="AX944" s="20">
        <v>20</v>
      </c>
      <c r="AY944" s="20">
        <v>0</v>
      </c>
      <c r="AZ944" s="20">
        <v>0</v>
      </c>
      <c r="BA944" s="20">
        <v>7</v>
      </c>
      <c r="BB944" s="20">
        <v>10</v>
      </c>
      <c r="BC944" s="300">
        <f t="shared" si="156"/>
        <v>227</v>
      </c>
      <c r="BD944" s="42">
        <f t="shared" si="157"/>
        <v>8</v>
      </c>
      <c r="BE944" s="42">
        <f t="shared" si="158"/>
        <v>0</v>
      </c>
      <c r="BF944" s="42">
        <f t="shared" si="159"/>
        <v>0</v>
      </c>
      <c r="BG944" s="42">
        <f t="shared" si="160"/>
        <v>0</v>
      </c>
      <c r="BH944" s="42">
        <f t="shared" si="161"/>
        <v>0</v>
      </c>
      <c r="BI944" s="42">
        <f t="shared" si="162"/>
        <v>0</v>
      </c>
      <c r="BJ944" s="42">
        <f t="shared" si="163"/>
        <v>0</v>
      </c>
      <c r="BK944" s="42">
        <f t="shared" si="164"/>
        <v>8</v>
      </c>
    </row>
    <row r="945" spans="1:63" ht="27" customHeight="1">
      <c r="A945" s="222">
        <f t="shared" si="165"/>
        <v>943</v>
      </c>
      <c r="B945" s="223"/>
      <c r="C945" s="223">
        <v>3811</v>
      </c>
      <c r="D945" s="225" t="s">
        <v>5397</v>
      </c>
      <c r="E945" s="226" t="s">
        <v>5398</v>
      </c>
      <c r="F945" s="227" t="s">
        <v>387</v>
      </c>
      <c r="G945" s="228" t="s">
        <v>1687</v>
      </c>
      <c r="H945" s="229" t="s">
        <v>1765</v>
      </c>
      <c r="I945" s="230" t="s">
        <v>98</v>
      </c>
      <c r="J945" s="231" t="s">
        <v>173</v>
      </c>
      <c r="K945" s="232">
        <v>32152</v>
      </c>
      <c r="L945" s="233" t="s">
        <v>174</v>
      </c>
      <c r="M945" s="234">
        <v>43784</v>
      </c>
      <c r="N945" s="234"/>
      <c r="O945" s="234" t="s">
        <v>3994</v>
      </c>
      <c r="P945" s="222" t="e">
        <v>#N/A</v>
      </c>
      <c r="Q945" s="222" t="s">
        <v>244</v>
      </c>
      <c r="R945" s="222" t="s">
        <v>177</v>
      </c>
      <c r="S945" s="222" t="s">
        <v>206</v>
      </c>
      <c r="T945" s="235"/>
      <c r="U945" s="291"/>
      <c r="V945" s="258" t="s">
        <v>179</v>
      </c>
      <c r="W945" s="258" t="s">
        <v>179</v>
      </c>
      <c r="X945" s="236">
        <v>1</v>
      </c>
      <c r="Y945" s="237" t="s">
        <v>5399</v>
      </c>
      <c r="Z945" s="238"/>
      <c r="AA945" s="261" t="s">
        <v>181</v>
      </c>
      <c r="AB945" s="236"/>
      <c r="AC945" s="239"/>
      <c r="AD945" s="240"/>
      <c r="AE945" s="240"/>
      <c r="AF945" s="241"/>
      <c r="AG945" s="242"/>
      <c r="AH945" s="243"/>
      <c r="AI945" s="243"/>
      <c r="AJ945" s="258" t="s">
        <v>198</v>
      </c>
      <c r="AK945" s="258" t="s">
        <v>185</v>
      </c>
      <c r="AL945" s="258" t="s">
        <v>185</v>
      </c>
      <c r="AM945" s="244" t="s">
        <v>3911</v>
      </c>
      <c r="AN945" s="20">
        <v>182</v>
      </c>
      <c r="AO945" s="20">
        <v>0</v>
      </c>
      <c r="AP945" s="20">
        <v>20</v>
      </c>
      <c r="AQ945" s="20">
        <v>0</v>
      </c>
      <c r="AR945" s="20">
        <v>0</v>
      </c>
      <c r="AS945" s="20">
        <v>7</v>
      </c>
      <c r="AT945" s="20">
        <v>10</v>
      </c>
      <c r="AU945" s="300">
        <f t="shared" si="155"/>
        <v>219</v>
      </c>
      <c r="AV945" s="20">
        <v>190</v>
      </c>
      <c r="AW945" s="20">
        <v>0</v>
      </c>
      <c r="AX945" s="20">
        <v>20</v>
      </c>
      <c r="AY945" s="20">
        <v>0</v>
      </c>
      <c r="AZ945" s="20">
        <v>0</v>
      </c>
      <c r="BA945" s="20">
        <v>7</v>
      </c>
      <c r="BB945" s="20">
        <v>10</v>
      </c>
      <c r="BC945" s="300">
        <f t="shared" si="156"/>
        <v>227</v>
      </c>
      <c r="BD945" s="42">
        <f t="shared" si="157"/>
        <v>8</v>
      </c>
      <c r="BE945" s="42">
        <f t="shared" si="158"/>
        <v>0</v>
      </c>
      <c r="BF945" s="42">
        <f t="shared" si="159"/>
        <v>0</v>
      </c>
      <c r="BG945" s="42">
        <f t="shared" si="160"/>
        <v>0</v>
      </c>
      <c r="BH945" s="42">
        <f t="shared" si="161"/>
        <v>0</v>
      </c>
      <c r="BI945" s="42">
        <f t="shared" si="162"/>
        <v>0</v>
      </c>
      <c r="BJ945" s="42">
        <f t="shared" si="163"/>
        <v>0</v>
      </c>
      <c r="BK945" s="42">
        <f t="shared" si="164"/>
        <v>8</v>
      </c>
    </row>
    <row r="946" spans="1:63" ht="27" customHeight="1">
      <c r="A946" s="222">
        <f t="shared" si="165"/>
        <v>944</v>
      </c>
      <c r="B946" s="223"/>
      <c r="C946" s="223">
        <v>3817</v>
      </c>
      <c r="D946" s="225" t="s">
        <v>5400</v>
      </c>
      <c r="E946" s="226" t="s">
        <v>5401</v>
      </c>
      <c r="F946" s="227" t="s">
        <v>644</v>
      </c>
      <c r="G946" s="228" t="s">
        <v>2909</v>
      </c>
      <c r="H946" s="229" t="s">
        <v>1531</v>
      </c>
      <c r="I946" s="230" t="s">
        <v>5402</v>
      </c>
      <c r="J946" s="231" t="s">
        <v>173</v>
      </c>
      <c r="K946" s="232">
        <v>33299</v>
      </c>
      <c r="L946" s="233" t="s">
        <v>174</v>
      </c>
      <c r="M946" s="234">
        <v>43784</v>
      </c>
      <c r="N946" s="234"/>
      <c r="O946" s="234" t="s">
        <v>3994</v>
      </c>
      <c r="P946" s="222" t="e">
        <v>#N/A</v>
      </c>
      <c r="Q946" s="222" t="s">
        <v>244</v>
      </c>
      <c r="R946" s="222" t="s">
        <v>177</v>
      </c>
      <c r="S946" s="222" t="s">
        <v>223</v>
      </c>
      <c r="T946" s="235"/>
      <c r="U946" s="291"/>
      <c r="V946" s="258" t="s">
        <v>179</v>
      </c>
      <c r="W946" s="258" t="s">
        <v>179</v>
      </c>
      <c r="X946" s="236">
        <v>4</v>
      </c>
      <c r="Y946" s="237" t="s">
        <v>5214</v>
      </c>
      <c r="Z946" s="238"/>
      <c r="AA946" s="261" t="s">
        <v>181</v>
      </c>
      <c r="AB946" s="236"/>
      <c r="AC946" s="239"/>
      <c r="AD946" s="240" t="s">
        <v>3602</v>
      </c>
      <c r="AE946" s="240" t="s">
        <v>3602</v>
      </c>
      <c r="AF946" s="241"/>
      <c r="AG946" s="242"/>
      <c r="AH946" s="243"/>
      <c r="AI946" s="243"/>
      <c r="AJ946" s="258" t="s">
        <v>198</v>
      </c>
      <c r="AK946" s="258" t="s">
        <v>185</v>
      </c>
      <c r="AL946" s="258" t="s">
        <v>185</v>
      </c>
      <c r="AM946" s="244" t="s">
        <v>3854</v>
      </c>
      <c r="AN946" s="20">
        <v>182</v>
      </c>
      <c r="AO946" s="20">
        <v>0</v>
      </c>
      <c r="AP946" s="20">
        <v>20</v>
      </c>
      <c r="AQ946" s="20">
        <v>0</v>
      </c>
      <c r="AR946" s="20">
        <v>0</v>
      </c>
      <c r="AS946" s="20">
        <v>7</v>
      </c>
      <c r="AT946" s="20">
        <v>10</v>
      </c>
      <c r="AU946" s="300">
        <f t="shared" si="155"/>
        <v>219</v>
      </c>
      <c r="AV946" s="20">
        <v>190</v>
      </c>
      <c r="AW946" s="20">
        <v>0</v>
      </c>
      <c r="AX946" s="20">
        <v>20</v>
      </c>
      <c r="AY946" s="20">
        <v>0</v>
      </c>
      <c r="AZ946" s="20">
        <v>0</v>
      </c>
      <c r="BA946" s="20">
        <v>7</v>
      </c>
      <c r="BB946" s="20">
        <v>10</v>
      </c>
      <c r="BC946" s="300">
        <f t="shared" si="156"/>
        <v>227</v>
      </c>
      <c r="BD946" s="42">
        <f t="shared" si="157"/>
        <v>8</v>
      </c>
      <c r="BE946" s="42">
        <f t="shared" si="158"/>
        <v>0</v>
      </c>
      <c r="BF946" s="42">
        <f t="shared" si="159"/>
        <v>0</v>
      </c>
      <c r="BG946" s="42">
        <f t="shared" si="160"/>
        <v>0</v>
      </c>
      <c r="BH946" s="42">
        <f t="shared" si="161"/>
        <v>0</v>
      </c>
      <c r="BI946" s="42">
        <f t="shared" si="162"/>
        <v>0</v>
      </c>
      <c r="BJ946" s="42">
        <f t="shared" si="163"/>
        <v>0</v>
      </c>
      <c r="BK946" s="42">
        <f t="shared" si="164"/>
        <v>8</v>
      </c>
    </row>
    <row r="947" spans="1:63" ht="27" customHeight="1">
      <c r="A947" s="222">
        <f t="shared" si="165"/>
        <v>945</v>
      </c>
      <c r="B947" s="223"/>
      <c r="C947" s="223">
        <v>3821</v>
      </c>
      <c r="D947" s="225" t="s">
        <v>5403</v>
      </c>
      <c r="E947" s="226" t="s">
        <v>5404</v>
      </c>
      <c r="F947" s="227" t="s">
        <v>5405</v>
      </c>
      <c r="G947" s="228" t="s">
        <v>5406</v>
      </c>
      <c r="H947" s="229" t="s">
        <v>5407</v>
      </c>
      <c r="I947" s="230" t="s">
        <v>5408</v>
      </c>
      <c r="J947" s="231" t="s">
        <v>173</v>
      </c>
      <c r="K947" s="232">
        <v>32156</v>
      </c>
      <c r="L947" s="233" t="s">
        <v>174</v>
      </c>
      <c r="M947" s="234">
        <v>43785</v>
      </c>
      <c r="N947" s="234"/>
      <c r="O947" s="234" t="s">
        <v>4085</v>
      </c>
      <c r="P947" s="222" t="e">
        <v>#N/A</v>
      </c>
      <c r="Q947" s="222" t="s">
        <v>244</v>
      </c>
      <c r="R947" s="222" t="s">
        <v>177</v>
      </c>
      <c r="S947" s="222" t="s">
        <v>214</v>
      </c>
      <c r="T947" s="235"/>
      <c r="U947" s="291"/>
      <c r="V947" s="258" t="s">
        <v>179</v>
      </c>
      <c r="W947" s="258" t="s">
        <v>179</v>
      </c>
      <c r="X947" s="236">
        <v>1</v>
      </c>
      <c r="Y947" s="237" t="s">
        <v>5409</v>
      </c>
      <c r="Z947" s="238"/>
      <c r="AA947" s="261" t="s">
        <v>181</v>
      </c>
      <c r="AB947" s="236"/>
      <c r="AC947" s="239"/>
      <c r="AD947" s="240" t="s">
        <v>183</v>
      </c>
      <c r="AE947" s="240" t="s">
        <v>3602</v>
      </c>
      <c r="AF947" s="241"/>
      <c r="AG947" s="242"/>
      <c r="AH947" s="243"/>
      <c r="AI947" s="243"/>
      <c r="AJ947" s="258" t="s">
        <v>198</v>
      </c>
      <c r="AK947" s="258" t="s">
        <v>185</v>
      </c>
      <c r="AL947" s="258" t="s">
        <v>185</v>
      </c>
      <c r="AM947" s="244" t="s">
        <v>3854</v>
      </c>
      <c r="AN947" s="20">
        <v>182</v>
      </c>
      <c r="AO947" s="20">
        <v>0</v>
      </c>
      <c r="AP947" s="20">
        <v>20</v>
      </c>
      <c r="AQ947" s="20">
        <v>0</v>
      </c>
      <c r="AR947" s="20">
        <v>0</v>
      </c>
      <c r="AS947" s="20">
        <v>7</v>
      </c>
      <c r="AT947" s="20">
        <v>10</v>
      </c>
      <c r="AU947" s="300">
        <f t="shared" si="155"/>
        <v>219</v>
      </c>
      <c r="AV947" s="20">
        <v>190</v>
      </c>
      <c r="AW947" s="20">
        <v>0</v>
      </c>
      <c r="AX947" s="20">
        <v>20</v>
      </c>
      <c r="AY947" s="20">
        <v>0</v>
      </c>
      <c r="AZ947" s="20">
        <v>0</v>
      </c>
      <c r="BA947" s="20">
        <v>7</v>
      </c>
      <c r="BB947" s="20">
        <v>10</v>
      </c>
      <c r="BC947" s="300">
        <f t="shared" si="156"/>
        <v>227</v>
      </c>
      <c r="BD947" s="42">
        <f t="shared" si="157"/>
        <v>8</v>
      </c>
      <c r="BE947" s="42">
        <f t="shared" si="158"/>
        <v>0</v>
      </c>
      <c r="BF947" s="42">
        <f t="shared" si="159"/>
        <v>0</v>
      </c>
      <c r="BG947" s="42">
        <f t="shared" si="160"/>
        <v>0</v>
      </c>
      <c r="BH947" s="42">
        <f t="shared" si="161"/>
        <v>0</v>
      </c>
      <c r="BI947" s="42">
        <f t="shared" si="162"/>
        <v>0</v>
      </c>
      <c r="BJ947" s="42">
        <f t="shared" si="163"/>
        <v>0</v>
      </c>
      <c r="BK947" s="42">
        <f t="shared" si="164"/>
        <v>8</v>
      </c>
    </row>
    <row r="948" spans="1:63" ht="27" customHeight="1">
      <c r="A948" s="222">
        <f t="shared" si="165"/>
        <v>946</v>
      </c>
      <c r="B948" s="223"/>
      <c r="C948" s="223">
        <v>3822</v>
      </c>
      <c r="D948" s="225" t="s">
        <v>5410</v>
      </c>
      <c r="E948" s="226" t="s">
        <v>291</v>
      </c>
      <c r="F948" s="227" t="s">
        <v>5411</v>
      </c>
      <c r="G948" s="228" t="s">
        <v>2016</v>
      </c>
      <c r="H948" s="229" t="s">
        <v>5412</v>
      </c>
      <c r="I948" s="230" t="s">
        <v>902</v>
      </c>
      <c r="J948" s="231" t="s">
        <v>173</v>
      </c>
      <c r="K948" s="232">
        <v>30567</v>
      </c>
      <c r="L948" s="233" t="s">
        <v>174</v>
      </c>
      <c r="M948" s="234">
        <v>43785</v>
      </c>
      <c r="N948" s="234"/>
      <c r="O948" s="234" t="s">
        <v>3994</v>
      </c>
      <c r="P948" s="222" t="e">
        <v>#N/A</v>
      </c>
      <c r="Q948" s="222" t="s">
        <v>244</v>
      </c>
      <c r="R948" s="222" t="s">
        <v>177</v>
      </c>
      <c r="S948" s="222" t="s">
        <v>214</v>
      </c>
      <c r="T948" s="235"/>
      <c r="U948" s="291"/>
      <c r="V948" s="236" t="s">
        <v>179</v>
      </c>
      <c r="W948" s="236">
        <v>180</v>
      </c>
      <c r="X948" s="236">
        <v>5</v>
      </c>
      <c r="Y948" s="237" t="s">
        <v>5413</v>
      </c>
      <c r="Z948" s="238"/>
      <c r="AA948" s="261" t="s">
        <v>181</v>
      </c>
      <c r="AB948" s="236"/>
      <c r="AC948" s="239"/>
      <c r="AD948" s="240" t="s">
        <v>183</v>
      </c>
      <c r="AE948" s="240" t="s">
        <v>183</v>
      </c>
      <c r="AF948" s="241"/>
      <c r="AG948" s="242"/>
      <c r="AH948" s="243"/>
      <c r="AI948" s="243"/>
      <c r="AJ948" s="258" t="s">
        <v>198</v>
      </c>
      <c r="AK948" s="258" t="s">
        <v>185</v>
      </c>
      <c r="AL948" s="258" t="s">
        <v>185</v>
      </c>
      <c r="AM948" s="244" t="s">
        <v>3854</v>
      </c>
      <c r="AN948" s="20">
        <v>182</v>
      </c>
      <c r="AO948" s="20">
        <v>0</v>
      </c>
      <c r="AP948" s="20">
        <v>20</v>
      </c>
      <c r="AQ948" s="20">
        <v>0</v>
      </c>
      <c r="AR948" s="20">
        <v>0</v>
      </c>
      <c r="AS948" s="20">
        <v>7</v>
      </c>
      <c r="AT948" s="20">
        <v>10</v>
      </c>
      <c r="AU948" s="300">
        <f t="shared" si="155"/>
        <v>219</v>
      </c>
      <c r="AV948" s="20">
        <v>190</v>
      </c>
      <c r="AW948" s="20">
        <v>0</v>
      </c>
      <c r="AX948" s="20">
        <v>20</v>
      </c>
      <c r="AY948" s="20">
        <v>0</v>
      </c>
      <c r="AZ948" s="20">
        <v>0</v>
      </c>
      <c r="BA948" s="20">
        <v>7</v>
      </c>
      <c r="BB948" s="20">
        <v>10</v>
      </c>
      <c r="BC948" s="300">
        <f t="shared" si="156"/>
        <v>227</v>
      </c>
      <c r="BD948" s="42">
        <f t="shared" si="157"/>
        <v>8</v>
      </c>
      <c r="BE948" s="42">
        <f t="shared" si="158"/>
        <v>0</v>
      </c>
      <c r="BF948" s="42">
        <f t="shared" si="159"/>
        <v>0</v>
      </c>
      <c r="BG948" s="42">
        <f t="shared" si="160"/>
        <v>0</v>
      </c>
      <c r="BH948" s="42">
        <f t="shared" si="161"/>
        <v>0</v>
      </c>
      <c r="BI948" s="42">
        <f t="shared" si="162"/>
        <v>0</v>
      </c>
      <c r="BJ948" s="42">
        <f t="shared" si="163"/>
        <v>0</v>
      </c>
      <c r="BK948" s="42">
        <f t="shared" si="164"/>
        <v>8</v>
      </c>
    </row>
    <row r="949" spans="1:63" ht="27" customHeight="1">
      <c r="A949" s="222">
        <f t="shared" si="165"/>
        <v>947</v>
      </c>
      <c r="B949" s="223"/>
      <c r="C949" s="223">
        <v>3824</v>
      </c>
      <c r="D949" s="225" t="s">
        <v>5414</v>
      </c>
      <c r="E949" s="226" t="s">
        <v>5415</v>
      </c>
      <c r="F949" s="227" t="s">
        <v>552</v>
      </c>
      <c r="G949" s="228" t="s">
        <v>5416</v>
      </c>
      <c r="H949" s="229" t="s">
        <v>554</v>
      </c>
      <c r="I949" s="230" t="s">
        <v>5417</v>
      </c>
      <c r="J949" s="231" t="s">
        <v>173</v>
      </c>
      <c r="K949" s="232">
        <v>35323</v>
      </c>
      <c r="L949" s="233" t="s">
        <v>174</v>
      </c>
      <c r="M949" s="234">
        <v>43785</v>
      </c>
      <c r="N949" s="234"/>
      <c r="O949" s="234"/>
      <c r="P949" s="222" t="e">
        <v>#N/A</v>
      </c>
      <c r="Q949" s="222" t="s">
        <v>244</v>
      </c>
      <c r="R949" s="222" t="s">
        <v>177</v>
      </c>
      <c r="S949" s="222" t="s">
        <v>251</v>
      </c>
      <c r="T949" s="235"/>
      <c r="U949" s="291"/>
      <c r="V949" s="258" t="s">
        <v>179</v>
      </c>
      <c r="W949" s="258" t="s">
        <v>179</v>
      </c>
      <c r="X949" s="236">
        <v>7</v>
      </c>
      <c r="Y949" s="237" t="s">
        <v>5418</v>
      </c>
      <c r="Z949" s="261" t="s">
        <v>181</v>
      </c>
      <c r="AA949" s="238"/>
      <c r="AB949" s="236"/>
      <c r="AC949" s="239"/>
      <c r="AD949" s="240"/>
      <c r="AE949" s="240"/>
      <c r="AF949" s="241"/>
      <c r="AG949" s="242"/>
      <c r="AH949" s="243"/>
      <c r="AI949" s="243"/>
      <c r="AJ949" s="258" t="s">
        <v>198</v>
      </c>
      <c r="AK949" s="258" t="s">
        <v>185</v>
      </c>
      <c r="AL949" s="258" t="s">
        <v>185</v>
      </c>
      <c r="AM949" s="244" t="s">
        <v>3854</v>
      </c>
      <c r="AN949" s="20">
        <v>182</v>
      </c>
      <c r="AO949" s="20">
        <v>0</v>
      </c>
      <c r="AP949" s="20">
        <v>20</v>
      </c>
      <c r="AQ949" s="20">
        <v>0</v>
      </c>
      <c r="AR949" s="20">
        <v>0</v>
      </c>
      <c r="AS949" s="20">
        <v>7</v>
      </c>
      <c r="AT949" s="20">
        <v>10</v>
      </c>
      <c r="AU949" s="300">
        <f t="shared" si="155"/>
        <v>219</v>
      </c>
      <c r="AV949" s="20">
        <v>190</v>
      </c>
      <c r="AW949" s="20">
        <v>0</v>
      </c>
      <c r="AX949" s="20">
        <v>20</v>
      </c>
      <c r="AY949" s="20">
        <v>0</v>
      </c>
      <c r="AZ949" s="20">
        <v>0</v>
      </c>
      <c r="BA949" s="20">
        <v>7</v>
      </c>
      <c r="BB949" s="20">
        <v>10</v>
      </c>
      <c r="BC949" s="300">
        <f t="shared" si="156"/>
        <v>227</v>
      </c>
      <c r="BD949" s="42">
        <f t="shared" si="157"/>
        <v>8</v>
      </c>
      <c r="BE949" s="42">
        <f t="shared" si="158"/>
        <v>0</v>
      </c>
      <c r="BF949" s="42">
        <f t="shared" si="159"/>
        <v>0</v>
      </c>
      <c r="BG949" s="42">
        <f t="shared" si="160"/>
        <v>0</v>
      </c>
      <c r="BH949" s="42">
        <f t="shared" si="161"/>
        <v>0</v>
      </c>
      <c r="BI949" s="42">
        <f t="shared" si="162"/>
        <v>0</v>
      </c>
      <c r="BJ949" s="42">
        <f t="shared" si="163"/>
        <v>0</v>
      </c>
      <c r="BK949" s="42">
        <f t="shared" si="164"/>
        <v>8</v>
      </c>
    </row>
    <row r="950" spans="1:63" ht="27" customHeight="1">
      <c r="A950" s="222">
        <f t="shared" si="165"/>
        <v>948</v>
      </c>
      <c r="B950" s="223"/>
      <c r="C950" s="223">
        <v>3818</v>
      </c>
      <c r="D950" s="225" t="s">
        <v>5419</v>
      </c>
      <c r="E950" s="226" t="s">
        <v>5420</v>
      </c>
      <c r="F950" s="227" t="s">
        <v>958</v>
      </c>
      <c r="G950" s="228" t="s">
        <v>5027</v>
      </c>
      <c r="H950" s="229" t="s">
        <v>959</v>
      </c>
      <c r="I950" s="230" t="s">
        <v>5029</v>
      </c>
      <c r="J950" s="231" t="s">
        <v>173</v>
      </c>
      <c r="K950" s="232">
        <v>32177</v>
      </c>
      <c r="L950" s="233" t="s">
        <v>174</v>
      </c>
      <c r="M950" s="234">
        <v>43783</v>
      </c>
      <c r="N950" s="234"/>
      <c r="O950" s="234" t="s">
        <v>3994</v>
      </c>
      <c r="P950" s="222" t="e">
        <v>#N/A</v>
      </c>
      <c r="Q950" s="222" t="s">
        <v>244</v>
      </c>
      <c r="R950" s="222" t="s">
        <v>177</v>
      </c>
      <c r="S950" s="222" t="s">
        <v>223</v>
      </c>
      <c r="T950" s="235"/>
      <c r="U950" s="291"/>
      <c r="V950" s="258" t="s">
        <v>179</v>
      </c>
      <c r="W950" s="258" t="s">
        <v>179</v>
      </c>
      <c r="X950" s="236">
        <v>5</v>
      </c>
      <c r="Y950" s="237" t="s">
        <v>5421</v>
      </c>
      <c r="Z950" s="238"/>
      <c r="AA950" s="261" t="s">
        <v>181</v>
      </c>
      <c r="AB950" s="236"/>
      <c r="AC950" s="239"/>
      <c r="AD950" s="240"/>
      <c r="AE950" s="240"/>
      <c r="AF950" s="241"/>
      <c r="AG950" s="242"/>
      <c r="AH950" s="243"/>
      <c r="AI950" s="243"/>
      <c r="AJ950" s="258" t="s">
        <v>198</v>
      </c>
      <c r="AK950" s="258" t="s">
        <v>185</v>
      </c>
      <c r="AL950" s="258" t="s">
        <v>185</v>
      </c>
      <c r="AM950" s="244" t="s">
        <v>5422</v>
      </c>
      <c r="AN950" s="20">
        <v>182</v>
      </c>
      <c r="AO950" s="20">
        <v>0</v>
      </c>
      <c r="AP950" s="20">
        <v>20</v>
      </c>
      <c r="AQ950" s="20">
        <v>0</v>
      </c>
      <c r="AR950" s="20">
        <v>0</v>
      </c>
      <c r="AS950" s="20">
        <v>7</v>
      </c>
      <c r="AT950" s="20">
        <v>10</v>
      </c>
      <c r="AU950" s="300">
        <f t="shared" si="155"/>
        <v>219</v>
      </c>
      <c r="AV950" s="20">
        <v>190</v>
      </c>
      <c r="AW950" s="20">
        <v>0</v>
      </c>
      <c r="AX950" s="20">
        <v>20</v>
      </c>
      <c r="AY950" s="20">
        <v>0</v>
      </c>
      <c r="AZ950" s="20">
        <v>0</v>
      </c>
      <c r="BA950" s="20">
        <v>7</v>
      </c>
      <c r="BB950" s="20">
        <v>10</v>
      </c>
      <c r="BC950" s="300">
        <f t="shared" si="156"/>
        <v>227</v>
      </c>
      <c r="BD950" s="42">
        <f t="shared" si="157"/>
        <v>8</v>
      </c>
      <c r="BE950" s="42">
        <f t="shared" si="158"/>
        <v>0</v>
      </c>
      <c r="BF950" s="42">
        <f t="shared" si="159"/>
        <v>0</v>
      </c>
      <c r="BG950" s="42">
        <f t="shared" si="160"/>
        <v>0</v>
      </c>
      <c r="BH950" s="42">
        <f t="shared" si="161"/>
        <v>0</v>
      </c>
      <c r="BI950" s="42">
        <f t="shared" si="162"/>
        <v>0</v>
      </c>
      <c r="BJ950" s="42">
        <f t="shared" si="163"/>
        <v>0</v>
      </c>
      <c r="BK950" s="42">
        <f t="shared" si="164"/>
        <v>8</v>
      </c>
    </row>
    <row r="951" spans="1:63" ht="27" customHeight="1">
      <c r="A951" s="222">
        <f t="shared" si="165"/>
        <v>949</v>
      </c>
      <c r="B951" s="223"/>
      <c r="C951" s="223">
        <v>3810</v>
      </c>
      <c r="D951" s="225" t="s">
        <v>5423</v>
      </c>
      <c r="E951" s="226" t="s">
        <v>5424</v>
      </c>
      <c r="F951" s="227" t="s">
        <v>3142</v>
      </c>
      <c r="G951" s="228" t="s">
        <v>5425</v>
      </c>
      <c r="H951" s="229" t="s">
        <v>5426</v>
      </c>
      <c r="I951" s="230" t="s">
        <v>5427</v>
      </c>
      <c r="J951" s="231" t="s">
        <v>204</v>
      </c>
      <c r="K951" s="232">
        <v>33604</v>
      </c>
      <c r="L951" s="233" t="s">
        <v>174</v>
      </c>
      <c r="M951" s="234">
        <v>43784</v>
      </c>
      <c r="N951" s="234"/>
      <c r="O951" s="234"/>
      <c r="P951" s="222" t="e">
        <v>#N/A</v>
      </c>
      <c r="Q951" s="222" t="s">
        <v>244</v>
      </c>
      <c r="R951" s="222" t="s">
        <v>177</v>
      </c>
      <c r="S951" s="222" t="s">
        <v>251</v>
      </c>
      <c r="T951" s="235"/>
      <c r="U951" s="291"/>
      <c r="V951" s="258" t="s">
        <v>179</v>
      </c>
      <c r="W951" s="258" t="s">
        <v>179</v>
      </c>
      <c r="X951" s="236">
        <v>5</v>
      </c>
      <c r="Y951" s="237" t="s">
        <v>5428</v>
      </c>
      <c r="Z951" s="238"/>
      <c r="AA951" s="261" t="s">
        <v>181</v>
      </c>
      <c r="AB951" s="236"/>
      <c r="AC951" s="239"/>
      <c r="AD951" s="240" t="s">
        <v>3602</v>
      </c>
      <c r="AE951" s="240"/>
      <c r="AF951" s="241"/>
      <c r="AG951" s="242"/>
      <c r="AH951" s="243"/>
      <c r="AI951" s="243"/>
      <c r="AJ951" s="258" t="s">
        <v>198</v>
      </c>
      <c r="AK951" s="258" t="s">
        <v>185</v>
      </c>
      <c r="AL951" s="258" t="s">
        <v>185</v>
      </c>
      <c r="AM951" s="244" t="s">
        <v>3854</v>
      </c>
      <c r="AN951" s="20">
        <v>182</v>
      </c>
      <c r="AO951" s="20">
        <v>0</v>
      </c>
      <c r="AP951" s="20">
        <v>20</v>
      </c>
      <c r="AQ951" s="20">
        <v>10</v>
      </c>
      <c r="AR951" s="20">
        <v>0</v>
      </c>
      <c r="AS951" s="20">
        <v>7</v>
      </c>
      <c r="AT951" s="20">
        <v>10</v>
      </c>
      <c r="AU951" s="300">
        <f t="shared" si="155"/>
        <v>229</v>
      </c>
      <c r="AV951" s="20">
        <v>190</v>
      </c>
      <c r="AW951" s="20">
        <v>0</v>
      </c>
      <c r="AX951" s="20">
        <v>20</v>
      </c>
      <c r="AY951" s="20">
        <v>10</v>
      </c>
      <c r="AZ951" s="20">
        <v>0</v>
      </c>
      <c r="BA951" s="20">
        <v>7</v>
      </c>
      <c r="BB951" s="20">
        <v>10</v>
      </c>
      <c r="BC951" s="300">
        <f t="shared" si="156"/>
        <v>237</v>
      </c>
      <c r="BD951" s="42">
        <f t="shared" si="157"/>
        <v>8</v>
      </c>
      <c r="BE951" s="42">
        <f t="shared" si="158"/>
        <v>0</v>
      </c>
      <c r="BF951" s="42">
        <f t="shared" si="159"/>
        <v>0</v>
      </c>
      <c r="BG951" s="42">
        <f t="shared" si="160"/>
        <v>0</v>
      </c>
      <c r="BH951" s="42">
        <f t="shared" si="161"/>
        <v>0</v>
      </c>
      <c r="BI951" s="42">
        <f t="shared" si="162"/>
        <v>0</v>
      </c>
      <c r="BJ951" s="42">
        <f t="shared" si="163"/>
        <v>0</v>
      </c>
      <c r="BK951" s="42">
        <f t="shared" si="164"/>
        <v>8</v>
      </c>
    </row>
    <row r="952" spans="1:63" ht="27" customHeight="1">
      <c r="A952" s="222">
        <f t="shared" si="165"/>
        <v>950</v>
      </c>
      <c r="B952" s="223"/>
      <c r="C952" s="223">
        <v>3814</v>
      </c>
      <c r="D952" s="225" t="s">
        <v>5429</v>
      </c>
      <c r="E952" s="226" t="s">
        <v>5430</v>
      </c>
      <c r="F952" s="227" t="s">
        <v>5431</v>
      </c>
      <c r="G952" s="228" t="s">
        <v>5432</v>
      </c>
      <c r="H952" s="229" t="s">
        <v>5433</v>
      </c>
      <c r="I952" s="230" t="s">
        <v>5434</v>
      </c>
      <c r="J952" s="231" t="s">
        <v>173</v>
      </c>
      <c r="K952" s="232">
        <v>30333</v>
      </c>
      <c r="L952" s="233" t="s">
        <v>174</v>
      </c>
      <c r="M952" s="234">
        <v>43784</v>
      </c>
      <c r="N952" s="234"/>
      <c r="O952" s="234"/>
      <c r="P952" s="222" t="e">
        <v>#N/A</v>
      </c>
      <c r="Q952" s="222" t="s">
        <v>244</v>
      </c>
      <c r="R952" s="222" t="s">
        <v>177</v>
      </c>
      <c r="S952" s="222" t="s">
        <v>326</v>
      </c>
      <c r="T952" s="235"/>
      <c r="U952" s="291"/>
      <c r="V952" s="258" t="s">
        <v>179</v>
      </c>
      <c r="W952" s="258" t="s">
        <v>179</v>
      </c>
      <c r="X952" s="236">
        <v>7</v>
      </c>
      <c r="Y952" s="237" t="s">
        <v>5435</v>
      </c>
      <c r="Z952" s="238"/>
      <c r="AA952" s="261" t="s">
        <v>181</v>
      </c>
      <c r="AB952" s="236"/>
      <c r="AC952" s="239"/>
      <c r="AD952" s="240" t="s">
        <v>420</v>
      </c>
      <c r="AE952" s="240" t="s">
        <v>183</v>
      </c>
      <c r="AF952" s="241" t="s">
        <v>3602</v>
      </c>
      <c r="AG952" s="242"/>
      <c r="AH952" s="243"/>
      <c r="AI952" s="243"/>
      <c r="AJ952" s="258" t="s">
        <v>198</v>
      </c>
      <c r="AK952" s="258" t="s">
        <v>185</v>
      </c>
      <c r="AL952" s="258" t="s">
        <v>185</v>
      </c>
      <c r="AM952" s="244" t="s">
        <v>236</v>
      </c>
      <c r="AN952" s="20">
        <v>182</v>
      </c>
      <c r="AO952" s="20">
        <v>0</v>
      </c>
      <c r="AP952" s="20">
        <v>0</v>
      </c>
      <c r="AQ952" s="20">
        <v>0</v>
      </c>
      <c r="AR952" s="20">
        <v>0</v>
      </c>
      <c r="AS952" s="20">
        <v>7</v>
      </c>
      <c r="AT952" s="20">
        <v>10</v>
      </c>
      <c r="AU952" s="300">
        <f t="shared" si="155"/>
        <v>199</v>
      </c>
      <c r="AV952" s="20">
        <v>190</v>
      </c>
      <c r="AW952" s="20">
        <v>0</v>
      </c>
      <c r="AX952" s="20">
        <v>0</v>
      </c>
      <c r="AY952" s="20">
        <v>0</v>
      </c>
      <c r="AZ952" s="20">
        <v>0</v>
      </c>
      <c r="BA952" s="20">
        <v>7</v>
      </c>
      <c r="BB952" s="20">
        <v>10</v>
      </c>
      <c r="BC952" s="300">
        <f t="shared" si="156"/>
        <v>207</v>
      </c>
      <c r="BD952" s="42">
        <f t="shared" si="157"/>
        <v>8</v>
      </c>
      <c r="BE952" s="42">
        <f t="shared" si="158"/>
        <v>0</v>
      </c>
      <c r="BF952" s="42">
        <f t="shared" si="159"/>
        <v>0</v>
      </c>
      <c r="BG952" s="42">
        <f t="shared" si="160"/>
        <v>0</v>
      </c>
      <c r="BH952" s="42">
        <f t="shared" si="161"/>
        <v>0</v>
      </c>
      <c r="BI952" s="42">
        <f t="shared" si="162"/>
        <v>0</v>
      </c>
      <c r="BJ952" s="42">
        <f t="shared" si="163"/>
        <v>0</v>
      </c>
      <c r="BK952" s="42">
        <f t="shared" si="164"/>
        <v>8</v>
      </c>
    </row>
    <row r="953" spans="1:63" ht="27" customHeight="1">
      <c r="A953" s="222">
        <f t="shared" si="165"/>
        <v>951</v>
      </c>
      <c r="B953" s="223"/>
      <c r="C953" s="223">
        <v>3816</v>
      </c>
      <c r="D953" s="225" t="s">
        <v>5436</v>
      </c>
      <c r="E953" s="226" t="s">
        <v>5437</v>
      </c>
      <c r="F953" s="227" t="s">
        <v>4444</v>
      </c>
      <c r="G953" s="228" t="s">
        <v>5438</v>
      </c>
      <c r="H953" s="229" t="s">
        <v>4445</v>
      </c>
      <c r="I953" s="230" t="s">
        <v>4414</v>
      </c>
      <c r="J953" s="231" t="s">
        <v>173</v>
      </c>
      <c r="K953" s="232">
        <v>29385</v>
      </c>
      <c r="L953" s="233" t="s">
        <v>174</v>
      </c>
      <c r="M953" s="234">
        <v>43784</v>
      </c>
      <c r="N953" s="234"/>
      <c r="O953" s="234" t="s">
        <v>4085</v>
      </c>
      <c r="P953" s="222" t="e">
        <v>#N/A</v>
      </c>
      <c r="Q953" s="222" t="s">
        <v>244</v>
      </c>
      <c r="R953" s="222" t="s">
        <v>177</v>
      </c>
      <c r="S953" s="222" t="s">
        <v>722</v>
      </c>
      <c r="T953" s="235"/>
      <c r="U953" s="291"/>
      <c r="V953" s="258" t="s">
        <v>179</v>
      </c>
      <c r="W953" s="258" t="s">
        <v>179</v>
      </c>
      <c r="X953" s="236">
        <v>2</v>
      </c>
      <c r="Y953" s="236" t="s">
        <v>5439</v>
      </c>
      <c r="Z953" s="238"/>
      <c r="AA953" s="261" t="s">
        <v>181</v>
      </c>
      <c r="AB953" s="236"/>
      <c r="AC953" s="239"/>
      <c r="AD953" s="240" t="s">
        <v>420</v>
      </c>
      <c r="AE953" s="240" t="s">
        <v>183</v>
      </c>
      <c r="AF953" s="240" t="s">
        <v>183</v>
      </c>
      <c r="AG953" s="240" t="s">
        <v>183</v>
      </c>
      <c r="AH953" s="243"/>
      <c r="AI953" s="243"/>
      <c r="AJ953" s="258" t="s">
        <v>198</v>
      </c>
      <c r="AK953" s="258" t="s">
        <v>185</v>
      </c>
      <c r="AL953" s="258" t="s">
        <v>185</v>
      </c>
      <c r="AM953" s="244" t="s">
        <v>3854</v>
      </c>
      <c r="AN953" s="20">
        <v>182</v>
      </c>
      <c r="AO953" s="20">
        <v>0</v>
      </c>
      <c r="AP953" s="20">
        <v>20</v>
      </c>
      <c r="AQ953" s="20">
        <v>0</v>
      </c>
      <c r="AR953" s="20">
        <v>0</v>
      </c>
      <c r="AS953" s="20">
        <v>7</v>
      </c>
      <c r="AT953" s="20">
        <v>10</v>
      </c>
      <c r="AU953" s="300">
        <f t="shared" si="155"/>
        <v>219</v>
      </c>
      <c r="AV953" s="20">
        <v>190</v>
      </c>
      <c r="AW953" s="20">
        <v>0</v>
      </c>
      <c r="AX953" s="20">
        <v>20</v>
      </c>
      <c r="AY953" s="20">
        <v>0</v>
      </c>
      <c r="AZ953" s="20">
        <v>0</v>
      </c>
      <c r="BA953" s="20">
        <v>7</v>
      </c>
      <c r="BB953" s="20">
        <v>10</v>
      </c>
      <c r="BC953" s="300">
        <f t="shared" si="156"/>
        <v>227</v>
      </c>
      <c r="BD953" s="42">
        <f t="shared" si="157"/>
        <v>8</v>
      </c>
      <c r="BE953" s="42">
        <f t="shared" si="158"/>
        <v>0</v>
      </c>
      <c r="BF953" s="42">
        <f t="shared" si="159"/>
        <v>0</v>
      </c>
      <c r="BG953" s="42">
        <f t="shared" si="160"/>
        <v>0</v>
      </c>
      <c r="BH953" s="42">
        <f t="shared" si="161"/>
        <v>0</v>
      </c>
      <c r="BI953" s="42">
        <f t="shared" si="162"/>
        <v>0</v>
      </c>
      <c r="BJ953" s="42">
        <f t="shared" si="163"/>
        <v>0</v>
      </c>
      <c r="BK953" s="42">
        <f t="shared" si="164"/>
        <v>8</v>
      </c>
    </row>
    <row r="954" spans="1:63" ht="27" customHeight="1">
      <c r="A954" s="222">
        <f t="shared" si="165"/>
        <v>952</v>
      </c>
      <c r="B954" s="223"/>
      <c r="C954" s="223">
        <v>3806</v>
      </c>
      <c r="D954" s="225" t="s">
        <v>5440</v>
      </c>
      <c r="E954" s="226" t="s">
        <v>5441</v>
      </c>
      <c r="F954" s="227" t="s">
        <v>1100</v>
      </c>
      <c r="G954" s="228" t="s">
        <v>5442</v>
      </c>
      <c r="H954" s="229" t="s">
        <v>5443</v>
      </c>
      <c r="I954" s="230" t="s">
        <v>5444</v>
      </c>
      <c r="J954" s="231" t="s">
        <v>204</v>
      </c>
      <c r="K954" s="232">
        <v>37105</v>
      </c>
      <c r="L954" s="233" t="s">
        <v>174</v>
      </c>
      <c r="M954" s="234">
        <v>43774</v>
      </c>
      <c r="N954" s="234"/>
      <c r="O954" s="234"/>
      <c r="P954" s="222" t="s">
        <v>3945</v>
      </c>
      <c r="Q954" s="222" t="s">
        <v>244</v>
      </c>
      <c r="R954" s="222" t="s">
        <v>177</v>
      </c>
      <c r="S954" s="222" t="s">
        <v>223</v>
      </c>
      <c r="T954" s="235"/>
      <c r="U954" s="291"/>
      <c r="V954" s="258" t="s">
        <v>179</v>
      </c>
      <c r="W954" s="258" t="s">
        <v>179</v>
      </c>
      <c r="X954" s="236">
        <v>9</v>
      </c>
      <c r="Y954" s="237" t="s">
        <v>5445</v>
      </c>
      <c r="Z954" s="261" t="s">
        <v>181</v>
      </c>
      <c r="AA954" s="238"/>
      <c r="AB954" s="236"/>
      <c r="AC954" s="239"/>
      <c r="AD954" s="240"/>
      <c r="AE954" s="240"/>
      <c r="AF954" s="241"/>
      <c r="AG954" s="242"/>
      <c r="AH954" s="243"/>
      <c r="AI954" s="243"/>
      <c r="AJ954" s="258" t="s">
        <v>198</v>
      </c>
      <c r="AK954" s="258" t="s">
        <v>185</v>
      </c>
      <c r="AL954" s="258" t="s">
        <v>185</v>
      </c>
      <c r="AM954" s="244" t="s">
        <v>3854</v>
      </c>
      <c r="AN954" s="20">
        <v>182</v>
      </c>
      <c r="AO954" s="20">
        <v>0</v>
      </c>
      <c r="AP954" s="20">
        <v>0</v>
      </c>
      <c r="AQ954" s="20">
        <v>0</v>
      </c>
      <c r="AR954" s="20">
        <v>0</v>
      </c>
      <c r="AS954" s="20">
        <v>7</v>
      </c>
      <c r="AT954" s="20">
        <v>10</v>
      </c>
      <c r="AU954" s="300">
        <f t="shared" si="155"/>
        <v>199</v>
      </c>
      <c r="AV954" s="20">
        <v>190</v>
      </c>
      <c r="AW954" s="20">
        <v>0</v>
      </c>
      <c r="AX954" s="20">
        <v>0</v>
      </c>
      <c r="AY954" s="20">
        <v>0</v>
      </c>
      <c r="AZ954" s="20">
        <v>0</v>
      </c>
      <c r="BA954" s="20">
        <v>7</v>
      </c>
      <c r="BB954" s="20">
        <v>10</v>
      </c>
      <c r="BC954" s="300">
        <f t="shared" si="156"/>
        <v>207</v>
      </c>
      <c r="BD954" s="42">
        <f t="shared" si="157"/>
        <v>8</v>
      </c>
      <c r="BE954" s="42">
        <f t="shared" si="158"/>
        <v>0</v>
      </c>
      <c r="BF954" s="42">
        <f t="shared" si="159"/>
        <v>0</v>
      </c>
      <c r="BG954" s="42">
        <f t="shared" si="160"/>
        <v>0</v>
      </c>
      <c r="BH954" s="42">
        <f t="shared" si="161"/>
        <v>0</v>
      </c>
      <c r="BI954" s="42">
        <f t="shared" si="162"/>
        <v>0</v>
      </c>
      <c r="BJ954" s="42">
        <f t="shared" si="163"/>
        <v>0</v>
      </c>
      <c r="BK954" s="42">
        <f t="shared" si="164"/>
        <v>8</v>
      </c>
    </row>
    <row r="955" spans="1:63" ht="27" customHeight="1">
      <c r="A955" s="222">
        <f t="shared" si="165"/>
        <v>953</v>
      </c>
      <c r="B955" s="223"/>
      <c r="C955" s="223">
        <v>3805</v>
      </c>
      <c r="D955" s="225" t="s">
        <v>5446</v>
      </c>
      <c r="E955" s="226" t="s">
        <v>5447</v>
      </c>
      <c r="F955" s="227" t="s">
        <v>5448</v>
      </c>
      <c r="G955" s="228" t="s">
        <v>5449</v>
      </c>
      <c r="H955" s="229" t="s">
        <v>1050</v>
      </c>
      <c r="I955" s="230" t="s">
        <v>5450</v>
      </c>
      <c r="J955" s="231" t="s">
        <v>173</v>
      </c>
      <c r="K955" s="232">
        <v>36649</v>
      </c>
      <c r="L955" s="233" t="s">
        <v>174</v>
      </c>
      <c r="M955" s="234">
        <v>43774</v>
      </c>
      <c r="N955" s="234"/>
      <c r="O955" s="234"/>
      <c r="P955" s="222" t="s">
        <v>3945</v>
      </c>
      <c r="Q955" s="222" t="s">
        <v>244</v>
      </c>
      <c r="R955" s="222" t="s">
        <v>177</v>
      </c>
      <c r="S955" s="222" t="s">
        <v>223</v>
      </c>
      <c r="T955" s="235"/>
      <c r="U955" s="291"/>
      <c r="V955" s="258" t="s">
        <v>179</v>
      </c>
      <c r="W955" s="258" t="s">
        <v>179</v>
      </c>
      <c r="X955" s="236">
        <v>9</v>
      </c>
      <c r="Y955" s="237" t="s">
        <v>5451</v>
      </c>
      <c r="Z955" s="238"/>
      <c r="AA955" s="261" t="s">
        <v>181</v>
      </c>
      <c r="AB955" s="236"/>
      <c r="AC955" s="239"/>
      <c r="AD955" s="240" t="s">
        <v>3602</v>
      </c>
      <c r="AE955" s="240"/>
      <c r="AF955" s="241"/>
      <c r="AG955" s="242"/>
      <c r="AH955" s="243"/>
      <c r="AI955" s="243"/>
      <c r="AJ955" s="258" t="s">
        <v>198</v>
      </c>
      <c r="AK955" s="258" t="s">
        <v>185</v>
      </c>
      <c r="AL955" s="258" t="s">
        <v>185</v>
      </c>
      <c r="AM955" s="244" t="s">
        <v>236</v>
      </c>
      <c r="AN955" s="20">
        <v>182</v>
      </c>
      <c r="AO955" s="20">
        <v>0</v>
      </c>
      <c r="AP955" s="20">
        <v>20</v>
      </c>
      <c r="AQ955" s="20">
        <v>0</v>
      </c>
      <c r="AR955" s="20">
        <v>0</v>
      </c>
      <c r="AS955" s="20">
        <v>7</v>
      </c>
      <c r="AT955" s="20">
        <v>10</v>
      </c>
      <c r="AU955" s="300">
        <f t="shared" si="155"/>
        <v>219</v>
      </c>
      <c r="AV955" s="20">
        <v>190</v>
      </c>
      <c r="AW955" s="20">
        <v>0</v>
      </c>
      <c r="AX955" s="20">
        <v>20</v>
      </c>
      <c r="AY955" s="20">
        <v>0</v>
      </c>
      <c r="AZ955" s="20">
        <v>0</v>
      </c>
      <c r="BA955" s="20">
        <v>7</v>
      </c>
      <c r="BB955" s="20">
        <v>10</v>
      </c>
      <c r="BC955" s="300">
        <f t="shared" si="156"/>
        <v>227</v>
      </c>
      <c r="BD955" s="42">
        <f t="shared" si="157"/>
        <v>8</v>
      </c>
      <c r="BE955" s="42">
        <f t="shared" si="158"/>
        <v>0</v>
      </c>
      <c r="BF955" s="42">
        <f t="shared" si="159"/>
        <v>0</v>
      </c>
      <c r="BG955" s="42">
        <f t="shared" si="160"/>
        <v>0</v>
      </c>
      <c r="BH955" s="42">
        <f t="shared" si="161"/>
        <v>0</v>
      </c>
      <c r="BI955" s="42">
        <f t="shared" si="162"/>
        <v>0</v>
      </c>
      <c r="BJ955" s="42">
        <f t="shared" si="163"/>
        <v>0</v>
      </c>
      <c r="BK955" s="42">
        <f t="shared" si="164"/>
        <v>8</v>
      </c>
    </row>
    <row r="956" spans="1:63" ht="27" customHeight="1">
      <c r="A956" s="222">
        <f t="shared" si="165"/>
        <v>954</v>
      </c>
      <c r="B956" s="223"/>
      <c r="C956" s="223">
        <v>3794</v>
      </c>
      <c r="D956" s="225">
        <v>0</v>
      </c>
      <c r="E956" s="226" t="s">
        <v>5452</v>
      </c>
      <c r="F956" s="227" t="s">
        <v>4681</v>
      </c>
      <c r="G956" s="228" t="s">
        <v>5453</v>
      </c>
      <c r="H956" s="229" t="s">
        <v>4356</v>
      </c>
      <c r="I956" s="230" t="s">
        <v>5454</v>
      </c>
      <c r="J956" s="231" t="s">
        <v>173</v>
      </c>
      <c r="K956" s="232">
        <v>34889</v>
      </c>
      <c r="L956" s="233" t="s">
        <v>174</v>
      </c>
      <c r="M956" s="234">
        <v>43771</v>
      </c>
      <c r="N956" s="234"/>
      <c r="O956" s="234"/>
      <c r="P956" s="222" t="s">
        <v>3629</v>
      </c>
      <c r="Q956" s="222" t="s">
        <v>244</v>
      </c>
      <c r="R956" s="222" t="s">
        <v>177</v>
      </c>
      <c r="S956" s="222" t="s">
        <v>223</v>
      </c>
      <c r="T956" s="235"/>
      <c r="U956" s="291"/>
      <c r="V956" s="258" t="s">
        <v>179</v>
      </c>
      <c r="W956" s="258" t="s">
        <v>179</v>
      </c>
      <c r="X956" s="236">
        <v>8</v>
      </c>
      <c r="Y956" s="237" t="s">
        <v>5455</v>
      </c>
      <c r="Z956" s="238"/>
      <c r="AA956" s="261" t="s">
        <v>181</v>
      </c>
      <c r="AB956" s="236"/>
      <c r="AC956" s="239"/>
      <c r="AD956" s="240" t="s">
        <v>183</v>
      </c>
      <c r="AE956" s="240" t="s">
        <v>3602</v>
      </c>
      <c r="AF956" s="241"/>
      <c r="AG956" s="242"/>
      <c r="AH956" s="243"/>
      <c r="AI956" s="243"/>
      <c r="AJ956" s="258" t="s">
        <v>198</v>
      </c>
      <c r="AK956" s="258" t="s">
        <v>185</v>
      </c>
      <c r="AL956" s="258" t="s">
        <v>185</v>
      </c>
      <c r="AM956" s="244" t="s">
        <v>3854</v>
      </c>
      <c r="AN956" s="20">
        <v>182</v>
      </c>
      <c r="AO956" s="20">
        <v>0</v>
      </c>
      <c r="AP956" s="20">
        <v>20</v>
      </c>
      <c r="AQ956" s="20">
        <v>0</v>
      </c>
      <c r="AR956" s="20">
        <v>0</v>
      </c>
      <c r="AS956" s="20">
        <v>7</v>
      </c>
      <c r="AT956" s="20">
        <v>10</v>
      </c>
      <c r="AU956" s="300">
        <f t="shared" si="155"/>
        <v>219</v>
      </c>
      <c r="AV956" s="20">
        <v>190</v>
      </c>
      <c r="AW956" s="20">
        <v>0</v>
      </c>
      <c r="AX956" s="20">
        <v>20</v>
      </c>
      <c r="AY956" s="20">
        <v>0</v>
      </c>
      <c r="AZ956" s="20">
        <v>0</v>
      </c>
      <c r="BA956" s="20">
        <v>7</v>
      </c>
      <c r="BB956" s="20">
        <v>10</v>
      </c>
      <c r="BC956" s="300">
        <f t="shared" si="156"/>
        <v>227</v>
      </c>
      <c r="BD956" s="42">
        <f t="shared" si="157"/>
        <v>8</v>
      </c>
      <c r="BE956" s="42">
        <f t="shared" si="158"/>
        <v>0</v>
      </c>
      <c r="BF956" s="42">
        <f t="shared" si="159"/>
        <v>0</v>
      </c>
      <c r="BG956" s="42">
        <f t="shared" si="160"/>
        <v>0</v>
      </c>
      <c r="BH956" s="42">
        <f t="shared" si="161"/>
        <v>0</v>
      </c>
      <c r="BI956" s="42">
        <f t="shared" si="162"/>
        <v>0</v>
      </c>
      <c r="BJ956" s="42">
        <f t="shared" si="163"/>
        <v>0</v>
      </c>
      <c r="BK956" s="42">
        <f t="shared" si="164"/>
        <v>8</v>
      </c>
    </row>
    <row r="957" spans="1:63" ht="27" customHeight="1">
      <c r="A957" s="222">
        <f t="shared" si="165"/>
        <v>955</v>
      </c>
      <c r="B957" s="223"/>
      <c r="C957" s="223">
        <v>3802</v>
      </c>
      <c r="D957" s="225" t="s">
        <v>5456</v>
      </c>
      <c r="E957" s="226" t="s">
        <v>5457</v>
      </c>
      <c r="F957" s="227" t="s">
        <v>1648</v>
      </c>
      <c r="G957" s="228" t="s">
        <v>1572</v>
      </c>
      <c r="H957" s="229" t="s">
        <v>1600</v>
      </c>
      <c r="I957" s="230" t="s">
        <v>5458</v>
      </c>
      <c r="J957" s="231" t="s">
        <v>173</v>
      </c>
      <c r="K957" s="232">
        <v>35710</v>
      </c>
      <c r="L957" s="233" t="s">
        <v>174</v>
      </c>
      <c r="M957" s="234">
        <v>43773</v>
      </c>
      <c r="N957" s="234"/>
      <c r="O957" s="234"/>
      <c r="P957" s="222" t="s">
        <v>3633</v>
      </c>
      <c r="Q957" s="222" t="s">
        <v>244</v>
      </c>
      <c r="R957" s="222" t="s">
        <v>177</v>
      </c>
      <c r="S957" s="222" t="s">
        <v>223</v>
      </c>
      <c r="T957" s="235"/>
      <c r="U957" s="291"/>
      <c r="V957" s="258" t="s">
        <v>179</v>
      </c>
      <c r="W957" s="258" t="s">
        <v>179</v>
      </c>
      <c r="X957" s="236">
        <v>9</v>
      </c>
      <c r="Y957" s="237" t="s">
        <v>3660</v>
      </c>
      <c r="Z957" s="238"/>
      <c r="AA957" s="261" t="s">
        <v>181</v>
      </c>
      <c r="AB957" s="236"/>
      <c r="AC957" s="239"/>
      <c r="AD957" s="240" t="s">
        <v>3602</v>
      </c>
      <c r="AE957" s="240"/>
      <c r="AF957" s="241"/>
      <c r="AG957" s="242"/>
      <c r="AH957" s="243"/>
      <c r="AI957" s="243"/>
      <c r="AJ957" s="258" t="s">
        <v>198</v>
      </c>
      <c r="AK957" s="258" t="s">
        <v>185</v>
      </c>
      <c r="AL957" s="258" t="s">
        <v>185</v>
      </c>
      <c r="AM957" s="244" t="s">
        <v>3854</v>
      </c>
      <c r="AN957" s="20">
        <v>182</v>
      </c>
      <c r="AO957" s="20">
        <v>0</v>
      </c>
      <c r="AP957" s="20">
        <v>20</v>
      </c>
      <c r="AQ957" s="20">
        <v>0</v>
      </c>
      <c r="AR957" s="20">
        <v>0</v>
      </c>
      <c r="AS957" s="20">
        <v>7</v>
      </c>
      <c r="AT957" s="20">
        <v>10</v>
      </c>
      <c r="AU957" s="300">
        <f t="shared" si="155"/>
        <v>219</v>
      </c>
      <c r="AV957" s="20">
        <v>190</v>
      </c>
      <c r="AW957" s="20">
        <v>0</v>
      </c>
      <c r="AX957" s="20">
        <v>20</v>
      </c>
      <c r="AY957" s="20">
        <v>0</v>
      </c>
      <c r="AZ957" s="20">
        <v>0</v>
      </c>
      <c r="BA957" s="20">
        <v>7</v>
      </c>
      <c r="BB957" s="20">
        <v>10</v>
      </c>
      <c r="BC957" s="300">
        <f t="shared" si="156"/>
        <v>227</v>
      </c>
      <c r="BD957" s="42">
        <f t="shared" si="157"/>
        <v>8</v>
      </c>
      <c r="BE957" s="42">
        <f t="shared" si="158"/>
        <v>0</v>
      </c>
      <c r="BF957" s="42">
        <f t="shared" si="159"/>
        <v>0</v>
      </c>
      <c r="BG957" s="42">
        <f t="shared" si="160"/>
        <v>0</v>
      </c>
      <c r="BH957" s="42">
        <f t="shared" si="161"/>
        <v>0</v>
      </c>
      <c r="BI957" s="42">
        <f t="shared" si="162"/>
        <v>0</v>
      </c>
      <c r="BJ957" s="42">
        <f t="shared" si="163"/>
        <v>0</v>
      </c>
      <c r="BK957" s="42">
        <f t="shared" si="164"/>
        <v>8</v>
      </c>
    </row>
    <row r="958" spans="1:63" ht="27" customHeight="1">
      <c r="A958" s="222">
        <f t="shared" si="165"/>
        <v>956</v>
      </c>
      <c r="B958" s="223"/>
      <c r="C958" s="223">
        <v>3796</v>
      </c>
      <c r="D958" s="225" t="s">
        <v>5459</v>
      </c>
      <c r="E958" s="226" t="s">
        <v>5460</v>
      </c>
      <c r="F958" s="227" t="s">
        <v>4832</v>
      </c>
      <c r="G958" s="228" t="s">
        <v>826</v>
      </c>
      <c r="H958" s="229" t="s">
        <v>639</v>
      </c>
      <c r="I958" s="230" t="s">
        <v>2231</v>
      </c>
      <c r="J958" s="231" t="s">
        <v>173</v>
      </c>
      <c r="K958" s="232">
        <v>30383</v>
      </c>
      <c r="L958" s="233" t="s">
        <v>174</v>
      </c>
      <c r="M958" s="234">
        <v>43773</v>
      </c>
      <c r="N958" s="234"/>
      <c r="O958" s="234"/>
      <c r="P958" s="222" t="s">
        <v>3945</v>
      </c>
      <c r="Q958" s="222" t="s">
        <v>244</v>
      </c>
      <c r="R958" s="222" t="s">
        <v>177</v>
      </c>
      <c r="S958" s="222" t="s">
        <v>223</v>
      </c>
      <c r="T958" s="235"/>
      <c r="U958" s="291"/>
      <c r="V958" s="258" t="s">
        <v>179</v>
      </c>
      <c r="W958" s="258" t="s">
        <v>179</v>
      </c>
      <c r="X958" s="236">
        <v>10</v>
      </c>
      <c r="Y958" s="237" t="s">
        <v>5461</v>
      </c>
      <c r="Z958" s="238"/>
      <c r="AA958" s="261" t="s">
        <v>181</v>
      </c>
      <c r="AB958" s="236"/>
      <c r="AC958" s="239"/>
      <c r="AD958" s="240" t="s">
        <v>183</v>
      </c>
      <c r="AE958" s="240" t="s">
        <v>3602</v>
      </c>
      <c r="AF958" s="241"/>
      <c r="AG958" s="242"/>
      <c r="AH958" s="243"/>
      <c r="AI958" s="243"/>
      <c r="AJ958" s="258" t="s">
        <v>198</v>
      </c>
      <c r="AK958" s="258" t="s">
        <v>185</v>
      </c>
      <c r="AL958" s="258" t="s">
        <v>185</v>
      </c>
      <c r="AM958" s="244" t="s">
        <v>3854</v>
      </c>
      <c r="AN958" s="20">
        <v>182</v>
      </c>
      <c r="AO958" s="20">
        <v>0</v>
      </c>
      <c r="AP958" s="20">
        <v>20</v>
      </c>
      <c r="AQ958" s="20">
        <v>0</v>
      </c>
      <c r="AR958" s="20">
        <v>0</v>
      </c>
      <c r="AS958" s="20">
        <v>7</v>
      </c>
      <c r="AT958" s="20">
        <v>10</v>
      </c>
      <c r="AU958" s="300">
        <f t="shared" si="155"/>
        <v>219</v>
      </c>
      <c r="AV958" s="20">
        <v>190</v>
      </c>
      <c r="AW958" s="20">
        <v>0</v>
      </c>
      <c r="AX958" s="20">
        <v>20</v>
      </c>
      <c r="AY958" s="20">
        <v>0</v>
      </c>
      <c r="AZ958" s="20">
        <v>0</v>
      </c>
      <c r="BA958" s="20">
        <v>7</v>
      </c>
      <c r="BB958" s="20">
        <v>10</v>
      </c>
      <c r="BC958" s="300">
        <f t="shared" si="156"/>
        <v>227</v>
      </c>
      <c r="BD958" s="42">
        <f t="shared" si="157"/>
        <v>8</v>
      </c>
      <c r="BE958" s="42">
        <f t="shared" si="158"/>
        <v>0</v>
      </c>
      <c r="BF958" s="42">
        <f t="shared" si="159"/>
        <v>0</v>
      </c>
      <c r="BG958" s="42">
        <f t="shared" si="160"/>
        <v>0</v>
      </c>
      <c r="BH958" s="42">
        <f t="shared" si="161"/>
        <v>0</v>
      </c>
      <c r="BI958" s="42">
        <f t="shared" si="162"/>
        <v>0</v>
      </c>
      <c r="BJ958" s="42">
        <f t="shared" si="163"/>
        <v>0</v>
      </c>
      <c r="BK958" s="42">
        <f t="shared" si="164"/>
        <v>8</v>
      </c>
    </row>
    <row r="959" spans="1:63" ht="27" customHeight="1">
      <c r="A959" s="222">
        <f t="shared" si="165"/>
        <v>957</v>
      </c>
      <c r="B959" s="223"/>
      <c r="C959" s="223">
        <v>3803</v>
      </c>
      <c r="D959" s="225" t="s">
        <v>5462</v>
      </c>
      <c r="E959" s="226" t="s">
        <v>5463</v>
      </c>
      <c r="F959" s="227" t="s">
        <v>5141</v>
      </c>
      <c r="G959" s="228" t="s">
        <v>5464</v>
      </c>
      <c r="H959" s="229" t="s">
        <v>1087</v>
      </c>
      <c r="I959" s="230" t="s">
        <v>5465</v>
      </c>
      <c r="J959" s="231" t="s">
        <v>173</v>
      </c>
      <c r="K959" s="232">
        <v>34435</v>
      </c>
      <c r="L959" s="233" t="s">
        <v>174</v>
      </c>
      <c r="M959" s="234">
        <v>43773</v>
      </c>
      <c r="N959" s="234"/>
      <c r="O959" s="234"/>
      <c r="P959" s="222" t="s">
        <v>3945</v>
      </c>
      <c r="Q959" s="222" t="s">
        <v>244</v>
      </c>
      <c r="R959" s="222" t="s">
        <v>177</v>
      </c>
      <c r="S959" s="222" t="s">
        <v>214</v>
      </c>
      <c r="T959" s="235"/>
      <c r="U959" s="291"/>
      <c r="V959" s="258" t="s">
        <v>179</v>
      </c>
      <c r="W959" s="258" t="s">
        <v>179</v>
      </c>
      <c r="X959" s="236">
        <v>7</v>
      </c>
      <c r="Y959" s="237" t="s">
        <v>5466</v>
      </c>
      <c r="Z959" s="238"/>
      <c r="AA959" s="261" t="s">
        <v>181</v>
      </c>
      <c r="AB959" s="236"/>
      <c r="AC959" s="239"/>
      <c r="AD959" s="240"/>
      <c r="AE959" s="240"/>
      <c r="AF959" s="241"/>
      <c r="AG959" s="242"/>
      <c r="AH959" s="243"/>
      <c r="AI959" s="243"/>
      <c r="AJ959" s="258" t="s">
        <v>198</v>
      </c>
      <c r="AK959" s="258" t="s">
        <v>185</v>
      </c>
      <c r="AL959" s="258" t="s">
        <v>185</v>
      </c>
      <c r="AM959" s="244" t="s">
        <v>3911</v>
      </c>
      <c r="AN959" s="20">
        <v>182</v>
      </c>
      <c r="AO959" s="20">
        <v>0</v>
      </c>
      <c r="AP959" s="20">
        <v>20</v>
      </c>
      <c r="AQ959" s="20">
        <v>20</v>
      </c>
      <c r="AR959" s="20">
        <v>0</v>
      </c>
      <c r="AS959" s="20">
        <v>7</v>
      </c>
      <c r="AT959" s="20">
        <v>10</v>
      </c>
      <c r="AU959" s="300">
        <f t="shared" si="155"/>
        <v>239</v>
      </c>
      <c r="AV959" s="20">
        <v>190</v>
      </c>
      <c r="AW959" s="20">
        <v>0</v>
      </c>
      <c r="AX959" s="20">
        <v>20</v>
      </c>
      <c r="AY959" s="20">
        <v>20</v>
      </c>
      <c r="AZ959" s="20">
        <v>0</v>
      </c>
      <c r="BA959" s="20">
        <v>7</v>
      </c>
      <c r="BB959" s="20">
        <v>10</v>
      </c>
      <c r="BC959" s="300">
        <f t="shared" si="156"/>
        <v>247</v>
      </c>
      <c r="BD959" s="42">
        <f t="shared" si="157"/>
        <v>8</v>
      </c>
      <c r="BE959" s="42">
        <f t="shared" si="158"/>
        <v>0</v>
      </c>
      <c r="BF959" s="42">
        <f t="shared" si="159"/>
        <v>0</v>
      </c>
      <c r="BG959" s="42">
        <f t="shared" si="160"/>
        <v>0</v>
      </c>
      <c r="BH959" s="42">
        <f t="shared" si="161"/>
        <v>0</v>
      </c>
      <c r="BI959" s="42">
        <f t="shared" si="162"/>
        <v>0</v>
      </c>
      <c r="BJ959" s="42">
        <f t="shared" si="163"/>
        <v>0</v>
      </c>
      <c r="BK959" s="42">
        <f t="shared" si="164"/>
        <v>8</v>
      </c>
    </row>
    <row r="960" spans="1:63" ht="27" customHeight="1">
      <c r="A960" s="222">
        <f t="shared" si="165"/>
        <v>958</v>
      </c>
      <c r="B960" s="223"/>
      <c r="C960" s="223">
        <v>3772</v>
      </c>
      <c r="D960" s="225" t="s">
        <v>5467</v>
      </c>
      <c r="E960" s="226" t="s">
        <v>5468</v>
      </c>
      <c r="F960" s="227" t="s">
        <v>5469</v>
      </c>
      <c r="G960" s="228" t="s">
        <v>1731</v>
      </c>
      <c r="H960" s="229" t="s">
        <v>5470</v>
      </c>
      <c r="I960" s="230" t="s">
        <v>1733</v>
      </c>
      <c r="J960" s="231" t="s">
        <v>173</v>
      </c>
      <c r="K960" s="232">
        <v>32874</v>
      </c>
      <c r="L960" s="233" t="s">
        <v>174</v>
      </c>
      <c r="M960" s="234">
        <v>43773</v>
      </c>
      <c r="N960" s="234"/>
      <c r="O960" s="234"/>
      <c r="P960" s="222" t="s">
        <v>3935</v>
      </c>
      <c r="Q960" s="222" t="s">
        <v>244</v>
      </c>
      <c r="R960" s="222" t="s">
        <v>177</v>
      </c>
      <c r="S960" s="222" t="s">
        <v>3596</v>
      </c>
      <c r="T960" s="235"/>
      <c r="U960" s="291"/>
      <c r="V960" s="236" t="s">
        <v>179</v>
      </c>
      <c r="W960" s="236">
        <v>16</v>
      </c>
      <c r="X960" s="236">
        <v>6</v>
      </c>
      <c r="Y960" s="237" t="s">
        <v>5471</v>
      </c>
      <c r="Z960" s="238"/>
      <c r="AA960" s="261" t="s">
        <v>181</v>
      </c>
      <c r="AB960" s="236"/>
      <c r="AC960" s="239"/>
      <c r="AD960" s="240" t="s">
        <v>183</v>
      </c>
      <c r="AE960" s="240"/>
      <c r="AF960" s="241"/>
      <c r="AG960" s="242"/>
      <c r="AH960" s="243"/>
      <c r="AI960" s="243"/>
      <c r="AJ960" s="258" t="s">
        <v>198</v>
      </c>
      <c r="AK960" s="258" t="s">
        <v>185</v>
      </c>
      <c r="AL960" s="258" t="s">
        <v>185</v>
      </c>
      <c r="AM960" s="244" t="s">
        <v>3854</v>
      </c>
      <c r="AN960" s="20">
        <v>182</v>
      </c>
      <c r="AO960" s="20">
        <v>0</v>
      </c>
      <c r="AP960" s="20">
        <v>20</v>
      </c>
      <c r="AQ960" s="20">
        <v>0</v>
      </c>
      <c r="AR960" s="20">
        <v>0</v>
      </c>
      <c r="AS960" s="20">
        <v>7</v>
      </c>
      <c r="AT960" s="20">
        <v>10</v>
      </c>
      <c r="AU960" s="300">
        <f t="shared" si="155"/>
        <v>219</v>
      </c>
      <c r="AV960" s="20">
        <v>190</v>
      </c>
      <c r="AW960" s="20">
        <v>0</v>
      </c>
      <c r="AX960" s="20">
        <v>20</v>
      </c>
      <c r="AY960" s="20">
        <v>0</v>
      </c>
      <c r="AZ960" s="20">
        <v>0</v>
      </c>
      <c r="BA960" s="20">
        <v>7</v>
      </c>
      <c r="BB960" s="20">
        <v>10</v>
      </c>
      <c r="BC960" s="300">
        <f t="shared" si="156"/>
        <v>227</v>
      </c>
      <c r="BD960" s="42">
        <f t="shared" si="157"/>
        <v>8</v>
      </c>
      <c r="BE960" s="42">
        <f t="shared" si="158"/>
        <v>0</v>
      </c>
      <c r="BF960" s="42">
        <f t="shared" si="159"/>
        <v>0</v>
      </c>
      <c r="BG960" s="42">
        <f t="shared" si="160"/>
        <v>0</v>
      </c>
      <c r="BH960" s="42">
        <f t="shared" si="161"/>
        <v>0</v>
      </c>
      <c r="BI960" s="42">
        <f t="shared" si="162"/>
        <v>0</v>
      </c>
      <c r="BJ960" s="42">
        <f t="shared" si="163"/>
        <v>0</v>
      </c>
      <c r="BK960" s="42">
        <f t="shared" si="164"/>
        <v>8</v>
      </c>
    </row>
    <row r="961" spans="1:63" ht="27" customHeight="1">
      <c r="A961" s="222">
        <f t="shared" si="165"/>
        <v>959</v>
      </c>
      <c r="B961" s="223"/>
      <c r="C961" s="223">
        <v>3787</v>
      </c>
      <c r="D961" s="225" t="s">
        <v>5472</v>
      </c>
      <c r="E961" s="226" t="s">
        <v>291</v>
      </c>
      <c r="F961" s="227" t="s">
        <v>5473</v>
      </c>
      <c r="G961" s="228" t="s">
        <v>4768</v>
      </c>
      <c r="H961" s="229">
        <v>0</v>
      </c>
      <c r="I961" s="230">
        <v>0</v>
      </c>
      <c r="J961" s="231" t="s">
        <v>173</v>
      </c>
      <c r="K961" s="232">
        <v>31096</v>
      </c>
      <c r="L961" s="233" t="s">
        <v>174</v>
      </c>
      <c r="M961" s="234">
        <v>43770</v>
      </c>
      <c r="N961" s="234"/>
      <c r="O961" s="234"/>
      <c r="P961" s="222" t="s">
        <v>3629</v>
      </c>
      <c r="Q961" s="222" t="s">
        <v>244</v>
      </c>
      <c r="R961" s="222" t="s">
        <v>177</v>
      </c>
      <c r="S961" s="222" t="s">
        <v>3596</v>
      </c>
      <c r="T961" s="235"/>
      <c r="U961" s="291"/>
      <c r="V961" s="236" t="s">
        <v>179</v>
      </c>
      <c r="W961" s="236">
        <v>2629</v>
      </c>
      <c r="X961" s="236">
        <v>7</v>
      </c>
      <c r="Y961" s="237" t="s">
        <v>5474</v>
      </c>
      <c r="Z961" s="238"/>
      <c r="AA961" s="261" t="s">
        <v>181</v>
      </c>
      <c r="AB961" s="236"/>
      <c r="AC961" s="239" t="s">
        <v>3883</v>
      </c>
      <c r="AD961" s="239" t="s">
        <v>3883</v>
      </c>
      <c r="AE961" s="239" t="s">
        <v>3883</v>
      </c>
      <c r="AF961" s="239" t="s">
        <v>3883</v>
      </c>
      <c r="AG961" s="239" t="s">
        <v>3602</v>
      </c>
      <c r="AH961" s="243"/>
      <c r="AI961" s="243"/>
      <c r="AJ961" s="258" t="s">
        <v>198</v>
      </c>
      <c r="AK961" s="258" t="s">
        <v>185</v>
      </c>
      <c r="AL961" s="258" t="s">
        <v>185</v>
      </c>
      <c r="AM961" s="244" t="s">
        <v>3854</v>
      </c>
      <c r="AN961" s="20">
        <v>182</v>
      </c>
      <c r="AO961" s="20">
        <v>0</v>
      </c>
      <c r="AP961" s="20">
        <v>20</v>
      </c>
      <c r="AQ961" s="20">
        <v>0</v>
      </c>
      <c r="AR961" s="20">
        <v>0</v>
      </c>
      <c r="AS961" s="20">
        <v>7</v>
      </c>
      <c r="AT961" s="20">
        <v>10</v>
      </c>
      <c r="AU961" s="300">
        <f t="shared" si="155"/>
        <v>219</v>
      </c>
      <c r="AV961" s="20">
        <v>190</v>
      </c>
      <c r="AW961" s="20">
        <v>0</v>
      </c>
      <c r="AX961" s="20">
        <v>20</v>
      </c>
      <c r="AY961" s="20">
        <v>0</v>
      </c>
      <c r="AZ961" s="20">
        <v>0</v>
      </c>
      <c r="BA961" s="20">
        <v>7</v>
      </c>
      <c r="BB961" s="20">
        <v>10</v>
      </c>
      <c r="BC961" s="300">
        <f t="shared" si="156"/>
        <v>227</v>
      </c>
      <c r="BD961" s="42">
        <f t="shared" si="157"/>
        <v>8</v>
      </c>
      <c r="BE961" s="42">
        <f t="shared" si="158"/>
        <v>0</v>
      </c>
      <c r="BF961" s="42">
        <f t="shared" si="159"/>
        <v>0</v>
      </c>
      <c r="BG961" s="42">
        <f t="shared" si="160"/>
        <v>0</v>
      </c>
      <c r="BH961" s="42">
        <f t="shared" si="161"/>
        <v>0</v>
      </c>
      <c r="BI961" s="42">
        <f t="shared" si="162"/>
        <v>0</v>
      </c>
      <c r="BJ961" s="42">
        <f t="shared" si="163"/>
        <v>0</v>
      </c>
      <c r="BK961" s="42">
        <f t="shared" si="164"/>
        <v>8</v>
      </c>
    </row>
    <row r="962" spans="1:63" ht="27" customHeight="1">
      <c r="A962" s="222">
        <f t="shared" si="165"/>
        <v>960</v>
      </c>
      <c r="B962" s="223"/>
      <c r="C962" s="223">
        <v>3784</v>
      </c>
      <c r="D962" s="225" t="s">
        <v>5475</v>
      </c>
      <c r="E962" s="226" t="s">
        <v>5476</v>
      </c>
      <c r="F962" s="227" t="s">
        <v>4165</v>
      </c>
      <c r="G962" s="228" t="s">
        <v>3799</v>
      </c>
      <c r="H962" s="229" t="s">
        <v>5010</v>
      </c>
      <c r="I962" s="230" t="s">
        <v>5395</v>
      </c>
      <c r="J962" s="231" t="s">
        <v>173</v>
      </c>
      <c r="K962" s="232">
        <v>34610</v>
      </c>
      <c r="L962" s="233" t="s">
        <v>174</v>
      </c>
      <c r="M962" s="234">
        <v>43770</v>
      </c>
      <c r="N962" s="234"/>
      <c r="O962" s="234"/>
      <c r="P962" s="222" t="s">
        <v>3644</v>
      </c>
      <c r="Q962" s="222" t="s">
        <v>244</v>
      </c>
      <c r="R962" s="222" t="s">
        <v>177</v>
      </c>
      <c r="S962" s="222" t="s">
        <v>2500</v>
      </c>
      <c r="T962" s="235"/>
      <c r="U962" s="291"/>
      <c r="V962" s="236" t="s">
        <v>179</v>
      </c>
      <c r="W962" s="236" t="s">
        <v>179</v>
      </c>
      <c r="X962" s="236">
        <v>9</v>
      </c>
      <c r="Y962" s="237" t="s">
        <v>5477</v>
      </c>
      <c r="Z962" s="238"/>
      <c r="AA962" s="261" t="s">
        <v>181</v>
      </c>
      <c r="AB962" s="236"/>
      <c r="AC962" s="239" t="s">
        <v>5478</v>
      </c>
      <c r="AD962" s="240"/>
      <c r="AE962" s="240"/>
      <c r="AF962" s="241"/>
      <c r="AG962" s="242"/>
      <c r="AH962" s="243"/>
      <c r="AI962" s="243"/>
      <c r="AJ962" s="258" t="s">
        <v>198</v>
      </c>
      <c r="AK962" s="258" t="s">
        <v>185</v>
      </c>
      <c r="AL962" s="258" t="s">
        <v>185</v>
      </c>
      <c r="AM962" s="244" t="s">
        <v>3854</v>
      </c>
      <c r="AN962" s="20">
        <v>182</v>
      </c>
      <c r="AO962" s="20">
        <v>0</v>
      </c>
      <c r="AP962" s="20">
        <v>20</v>
      </c>
      <c r="AQ962" s="20">
        <v>0</v>
      </c>
      <c r="AR962" s="20">
        <v>0</v>
      </c>
      <c r="AS962" s="20">
        <v>7</v>
      </c>
      <c r="AT962" s="20">
        <v>10</v>
      </c>
      <c r="AU962" s="300">
        <f t="shared" si="155"/>
        <v>219</v>
      </c>
      <c r="AV962" s="20">
        <v>190</v>
      </c>
      <c r="AW962" s="20">
        <v>0</v>
      </c>
      <c r="AX962" s="20">
        <v>20</v>
      </c>
      <c r="AY962" s="20">
        <v>0</v>
      </c>
      <c r="AZ962" s="20">
        <v>0</v>
      </c>
      <c r="BA962" s="20">
        <v>7</v>
      </c>
      <c r="BB962" s="20">
        <v>10</v>
      </c>
      <c r="BC962" s="300">
        <f t="shared" si="156"/>
        <v>227</v>
      </c>
      <c r="BD962" s="42">
        <f t="shared" si="157"/>
        <v>8</v>
      </c>
      <c r="BE962" s="42">
        <f t="shared" si="158"/>
        <v>0</v>
      </c>
      <c r="BF962" s="42">
        <f t="shared" si="159"/>
        <v>0</v>
      </c>
      <c r="BG962" s="42">
        <f t="shared" si="160"/>
        <v>0</v>
      </c>
      <c r="BH962" s="42">
        <f t="shared" si="161"/>
        <v>0</v>
      </c>
      <c r="BI962" s="42">
        <f t="shared" si="162"/>
        <v>0</v>
      </c>
      <c r="BJ962" s="42">
        <f t="shared" si="163"/>
        <v>0</v>
      </c>
      <c r="BK962" s="42">
        <f t="shared" si="164"/>
        <v>8</v>
      </c>
    </row>
    <row r="963" spans="1:63" ht="27" customHeight="1">
      <c r="A963" s="222">
        <f t="shared" si="165"/>
        <v>961</v>
      </c>
      <c r="B963" s="223"/>
      <c r="C963" s="223">
        <v>3782</v>
      </c>
      <c r="D963" s="225" t="s">
        <v>5479</v>
      </c>
      <c r="E963" s="226" t="s">
        <v>5480</v>
      </c>
      <c r="F963" s="227" t="s">
        <v>387</v>
      </c>
      <c r="G963" s="228" t="s">
        <v>737</v>
      </c>
      <c r="H963" s="229" t="s">
        <v>1765</v>
      </c>
      <c r="I963" s="230" t="s">
        <v>22</v>
      </c>
      <c r="J963" s="231" t="s">
        <v>173</v>
      </c>
      <c r="K963" s="232">
        <v>30076</v>
      </c>
      <c r="L963" s="233" t="s">
        <v>174</v>
      </c>
      <c r="M963" s="234">
        <v>43770</v>
      </c>
      <c r="N963" s="234"/>
      <c r="O963" s="234"/>
      <c r="P963" s="222" t="e">
        <v>#N/A</v>
      </c>
      <c r="Q963" s="222" t="s">
        <v>244</v>
      </c>
      <c r="R963" s="222" t="s">
        <v>177</v>
      </c>
      <c r="S963" s="222" t="s">
        <v>2500</v>
      </c>
      <c r="T963" s="235"/>
      <c r="U963" s="291"/>
      <c r="V963" s="236" t="s">
        <v>179</v>
      </c>
      <c r="W963" s="236" t="s">
        <v>179</v>
      </c>
      <c r="X963" s="236">
        <v>1</v>
      </c>
      <c r="Y963" s="237" t="s">
        <v>5367</v>
      </c>
      <c r="Z963" s="238"/>
      <c r="AA963" s="261" t="s">
        <v>181</v>
      </c>
      <c r="AB963" s="236"/>
      <c r="AC963" s="239"/>
      <c r="AD963" s="240" t="s">
        <v>5336</v>
      </c>
      <c r="AE963" s="240" t="s">
        <v>183</v>
      </c>
      <c r="AF963" s="241" t="s">
        <v>183</v>
      </c>
      <c r="AG963" s="242"/>
      <c r="AH963" s="243"/>
      <c r="AI963" s="243"/>
      <c r="AJ963" s="258" t="s">
        <v>198</v>
      </c>
      <c r="AK963" s="258" t="s">
        <v>185</v>
      </c>
      <c r="AL963" s="258" t="s">
        <v>185</v>
      </c>
      <c r="AM963" s="244" t="s">
        <v>3854</v>
      </c>
      <c r="AN963" s="20">
        <v>182</v>
      </c>
      <c r="AO963" s="20">
        <v>0</v>
      </c>
      <c r="AP963" s="20">
        <v>0</v>
      </c>
      <c r="AQ963" s="20">
        <v>0</v>
      </c>
      <c r="AR963" s="20">
        <v>0</v>
      </c>
      <c r="AS963" s="20">
        <v>7</v>
      </c>
      <c r="AT963" s="20">
        <v>10</v>
      </c>
      <c r="AU963" s="300">
        <f t="shared" si="155"/>
        <v>199</v>
      </c>
      <c r="AV963" s="20">
        <v>190</v>
      </c>
      <c r="AW963" s="20">
        <v>0</v>
      </c>
      <c r="AX963" s="20">
        <v>0</v>
      </c>
      <c r="AY963" s="20">
        <v>0</v>
      </c>
      <c r="AZ963" s="20">
        <v>0</v>
      </c>
      <c r="BA963" s="20">
        <v>7</v>
      </c>
      <c r="BB963" s="20">
        <v>10</v>
      </c>
      <c r="BC963" s="300">
        <f t="shared" si="156"/>
        <v>207</v>
      </c>
      <c r="BD963" s="42">
        <f t="shared" si="157"/>
        <v>8</v>
      </c>
      <c r="BE963" s="42">
        <f t="shared" si="158"/>
        <v>0</v>
      </c>
      <c r="BF963" s="42">
        <f t="shared" si="159"/>
        <v>0</v>
      </c>
      <c r="BG963" s="42">
        <f t="shared" si="160"/>
        <v>0</v>
      </c>
      <c r="BH963" s="42">
        <f t="shared" si="161"/>
        <v>0</v>
      </c>
      <c r="BI963" s="42">
        <f t="shared" si="162"/>
        <v>0</v>
      </c>
      <c r="BJ963" s="42">
        <f t="shared" si="163"/>
        <v>0</v>
      </c>
      <c r="BK963" s="42">
        <f t="shared" si="164"/>
        <v>8</v>
      </c>
    </row>
    <row r="964" spans="1:63" ht="27" customHeight="1">
      <c r="A964" s="222">
        <f t="shared" si="165"/>
        <v>962</v>
      </c>
      <c r="B964" s="223"/>
      <c r="C964" s="223">
        <v>3812</v>
      </c>
      <c r="D964" s="225" t="s">
        <v>5481</v>
      </c>
      <c r="E964" s="226" t="s">
        <v>5482</v>
      </c>
      <c r="F964" s="227" t="s">
        <v>5483</v>
      </c>
      <c r="G964" s="228" t="s">
        <v>1636</v>
      </c>
      <c r="H964" s="229" t="s">
        <v>5484</v>
      </c>
      <c r="I964" s="230" t="s">
        <v>1144</v>
      </c>
      <c r="J964" s="231" t="s">
        <v>173</v>
      </c>
      <c r="K964" s="232">
        <v>31618</v>
      </c>
      <c r="L964" s="233" t="s">
        <v>174</v>
      </c>
      <c r="M964" s="234">
        <v>43783</v>
      </c>
      <c r="N964" s="234"/>
      <c r="O964" s="234" t="s">
        <v>4085</v>
      </c>
      <c r="P964" s="222" t="e">
        <v>#N/A</v>
      </c>
      <c r="Q964" s="222" t="s">
        <v>244</v>
      </c>
      <c r="R964" s="222" t="s">
        <v>177</v>
      </c>
      <c r="S964" s="222" t="s">
        <v>223</v>
      </c>
      <c r="T964" s="235"/>
      <c r="U964" s="291"/>
      <c r="V964" s="236" t="s">
        <v>179</v>
      </c>
      <c r="W964" s="236" t="s">
        <v>179</v>
      </c>
      <c r="X964" s="236">
        <v>3</v>
      </c>
      <c r="Y964" s="237" t="s">
        <v>5485</v>
      </c>
      <c r="Z964" s="238"/>
      <c r="AA964" s="261" t="s">
        <v>181</v>
      </c>
      <c r="AB964" s="236"/>
      <c r="AC964" s="239"/>
      <c r="AD964" s="240" t="s">
        <v>183</v>
      </c>
      <c r="AE964" s="240" t="s">
        <v>183</v>
      </c>
      <c r="AF964" s="241"/>
      <c r="AG964" s="242"/>
      <c r="AH964" s="243"/>
      <c r="AI964" s="243"/>
      <c r="AJ964" s="258" t="s">
        <v>198</v>
      </c>
      <c r="AK964" s="258" t="s">
        <v>185</v>
      </c>
      <c r="AL964" s="258" t="s">
        <v>185</v>
      </c>
      <c r="AM964" s="244" t="s">
        <v>3854</v>
      </c>
      <c r="AN964" s="20">
        <v>182</v>
      </c>
      <c r="AO964" s="20">
        <v>0</v>
      </c>
      <c r="AP964" s="20">
        <v>20</v>
      </c>
      <c r="AQ964" s="20">
        <v>0</v>
      </c>
      <c r="AR964" s="20">
        <v>0</v>
      </c>
      <c r="AS964" s="20">
        <v>7</v>
      </c>
      <c r="AT964" s="20">
        <v>10</v>
      </c>
      <c r="AU964" s="300">
        <f t="shared" ref="AU964:AU1027" si="166">SUM(AN964:AT964)</f>
        <v>219</v>
      </c>
      <c r="AV964" s="20">
        <v>190</v>
      </c>
      <c r="AW964" s="20">
        <v>0</v>
      </c>
      <c r="AX964" s="20">
        <v>20</v>
      </c>
      <c r="AY964" s="20">
        <v>0</v>
      </c>
      <c r="AZ964" s="20">
        <v>0</v>
      </c>
      <c r="BA964" s="20">
        <v>7</v>
      </c>
      <c r="BB964" s="20">
        <v>10</v>
      </c>
      <c r="BC964" s="300">
        <f t="shared" ref="BC964:BC1027" si="167">SUM(AV964:BB964)</f>
        <v>227</v>
      </c>
      <c r="BD964" s="42">
        <f t="shared" ref="BD964:BD1027" si="168">AV964-AN964</f>
        <v>8</v>
      </c>
      <c r="BE964" s="42">
        <f t="shared" ref="BE964:BE1027" si="169">AW964-AO964</f>
        <v>0</v>
      </c>
      <c r="BF964" s="42">
        <f t="shared" ref="BF964:BF1027" si="170">AX964-AP964</f>
        <v>0</v>
      </c>
      <c r="BG964" s="42">
        <f t="shared" ref="BG964:BG1027" si="171">AY964-AQ964</f>
        <v>0</v>
      </c>
      <c r="BH964" s="42">
        <f t="shared" ref="BH964:BH1027" si="172">AZ964-AR964</f>
        <v>0</v>
      </c>
      <c r="BI964" s="42">
        <f t="shared" ref="BI964:BI1027" si="173">BA964-AS964</f>
        <v>0</v>
      </c>
      <c r="BJ964" s="42">
        <f t="shared" ref="BJ964:BJ1027" si="174">BB964-AT964</f>
        <v>0</v>
      </c>
      <c r="BK964" s="42">
        <f t="shared" ref="BK964:BK1027" si="175">BC964-AU964</f>
        <v>8</v>
      </c>
    </row>
    <row r="965" spans="1:63" ht="27" customHeight="1">
      <c r="A965" s="222">
        <f t="shared" ref="A965:A1028" si="176">1+A964</f>
        <v>963</v>
      </c>
      <c r="B965" s="223"/>
      <c r="C965" s="223">
        <v>3801</v>
      </c>
      <c r="D965" s="225" t="s">
        <v>5486</v>
      </c>
      <c r="E965" s="226" t="s">
        <v>5487</v>
      </c>
      <c r="F965" s="227" t="s">
        <v>1648</v>
      </c>
      <c r="G965" s="228" t="s">
        <v>5488</v>
      </c>
      <c r="H965" s="229" t="s">
        <v>5489</v>
      </c>
      <c r="I965" s="230" t="s">
        <v>4874</v>
      </c>
      <c r="J965" s="231" t="s">
        <v>173</v>
      </c>
      <c r="K965" s="232">
        <v>34093</v>
      </c>
      <c r="L965" s="233" t="s">
        <v>174</v>
      </c>
      <c r="M965" s="234">
        <v>43773</v>
      </c>
      <c r="N965" s="234"/>
      <c r="O965" s="234"/>
      <c r="P965" s="222" t="s">
        <v>3945</v>
      </c>
      <c r="Q965" s="222" t="s">
        <v>244</v>
      </c>
      <c r="R965" s="222" t="s">
        <v>177</v>
      </c>
      <c r="S965" s="222" t="s">
        <v>223</v>
      </c>
      <c r="T965" s="235"/>
      <c r="U965" s="291"/>
      <c r="V965" s="236" t="s">
        <v>179</v>
      </c>
      <c r="W965" s="236" t="s">
        <v>179</v>
      </c>
      <c r="X965" s="236">
        <v>5</v>
      </c>
      <c r="Y965" s="237" t="s">
        <v>5490</v>
      </c>
      <c r="Z965" s="238"/>
      <c r="AA965" s="261" t="s">
        <v>181</v>
      </c>
      <c r="AB965" s="236"/>
      <c r="AC965" s="239"/>
      <c r="AD965" s="240" t="s">
        <v>183</v>
      </c>
      <c r="AE965" s="240"/>
      <c r="AF965" s="241"/>
      <c r="AG965" s="242"/>
      <c r="AH965" s="243"/>
      <c r="AI965" s="243"/>
      <c r="AJ965" s="258" t="s">
        <v>198</v>
      </c>
      <c r="AK965" s="258" t="s">
        <v>185</v>
      </c>
      <c r="AL965" s="258" t="s">
        <v>185</v>
      </c>
      <c r="AM965" s="244" t="s">
        <v>3854</v>
      </c>
      <c r="AN965" s="20">
        <v>177</v>
      </c>
      <c r="AO965" s="20">
        <v>0</v>
      </c>
      <c r="AP965" s="20">
        <v>20</v>
      </c>
      <c r="AQ965" s="20">
        <v>0</v>
      </c>
      <c r="AR965" s="20">
        <v>0</v>
      </c>
      <c r="AS965" s="20">
        <v>7</v>
      </c>
      <c r="AT965" s="20">
        <v>10</v>
      </c>
      <c r="AU965" s="300">
        <f t="shared" si="166"/>
        <v>214</v>
      </c>
      <c r="AV965" s="20">
        <v>185</v>
      </c>
      <c r="AW965" s="20">
        <v>0</v>
      </c>
      <c r="AX965" s="20">
        <v>20</v>
      </c>
      <c r="AY965" s="20">
        <v>0</v>
      </c>
      <c r="AZ965" s="20">
        <v>0</v>
      </c>
      <c r="BA965" s="20">
        <v>7</v>
      </c>
      <c r="BB965" s="20">
        <v>10</v>
      </c>
      <c r="BC965" s="300">
        <f t="shared" si="167"/>
        <v>222</v>
      </c>
      <c r="BD965" s="42">
        <f t="shared" si="168"/>
        <v>8</v>
      </c>
      <c r="BE965" s="42">
        <f t="shared" si="169"/>
        <v>0</v>
      </c>
      <c r="BF965" s="42">
        <f t="shared" si="170"/>
        <v>0</v>
      </c>
      <c r="BG965" s="42">
        <f t="shared" si="171"/>
        <v>0</v>
      </c>
      <c r="BH965" s="42">
        <f t="shared" si="172"/>
        <v>0</v>
      </c>
      <c r="BI965" s="42">
        <f t="shared" si="173"/>
        <v>0</v>
      </c>
      <c r="BJ965" s="42">
        <f t="shared" si="174"/>
        <v>0</v>
      </c>
      <c r="BK965" s="42">
        <f t="shared" si="175"/>
        <v>8</v>
      </c>
    </row>
    <row r="966" spans="1:63" ht="27" customHeight="1">
      <c r="A966" s="222">
        <f t="shared" si="176"/>
        <v>964</v>
      </c>
      <c r="B966" s="223"/>
      <c r="C966" s="223">
        <v>3774</v>
      </c>
      <c r="D966" s="225" t="s">
        <v>5491</v>
      </c>
      <c r="E966" s="226" t="s">
        <v>5492</v>
      </c>
      <c r="F966" s="227" t="s">
        <v>5493</v>
      </c>
      <c r="G966" s="228" t="s">
        <v>2921</v>
      </c>
      <c r="H966" s="229" t="s">
        <v>5494</v>
      </c>
      <c r="I966" s="230" t="s">
        <v>5495</v>
      </c>
      <c r="J966" s="231" t="s">
        <v>173</v>
      </c>
      <c r="K966" s="232">
        <v>33345</v>
      </c>
      <c r="L966" s="233" t="s">
        <v>174</v>
      </c>
      <c r="M966" s="234">
        <v>43773</v>
      </c>
      <c r="N966" s="234"/>
      <c r="O966" s="234"/>
      <c r="P966" s="222" t="s">
        <v>1380</v>
      </c>
      <c r="Q966" s="222" t="s">
        <v>244</v>
      </c>
      <c r="R966" s="222" t="s">
        <v>177</v>
      </c>
      <c r="S966" s="222" t="s">
        <v>223</v>
      </c>
      <c r="T966" s="235"/>
      <c r="U966" s="291"/>
      <c r="V966" s="236" t="s">
        <v>179</v>
      </c>
      <c r="W966" s="236" t="s">
        <v>179</v>
      </c>
      <c r="X966" s="236">
        <v>9</v>
      </c>
      <c r="Y966" s="237" t="s">
        <v>5496</v>
      </c>
      <c r="Z966" s="238"/>
      <c r="AA966" s="261" t="s">
        <v>181</v>
      </c>
      <c r="AB966" s="236"/>
      <c r="AC966" s="239"/>
      <c r="AD966" s="240"/>
      <c r="AE966" s="240"/>
      <c r="AF966" s="241"/>
      <c r="AG966" s="242"/>
      <c r="AH966" s="243"/>
      <c r="AI966" s="243"/>
      <c r="AJ966" s="258" t="s">
        <v>198</v>
      </c>
      <c r="AK966" s="258" t="s">
        <v>185</v>
      </c>
      <c r="AL966" s="258" t="s">
        <v>185</v>
      </c>
      <c r="AM966" s="244" t="s">
        <v>236</v>
      </c>
      <c r="AN966" s="20">
        <v>177</v>
      </c>
      <c r="AO966" s="20">
        <v>0</v>
      </c>
      <c r="AP966" s="20">
        <v>20</v>
      </c>
      <c r="AQ966" s="20">
        <v>0</v>
      </c>
      <c r="AR966" s="20">
        <v>0</v>
      </c>
      <c r="AS966" s="20">
        <v>7</v>
      </c>
      <c r="AT966" s="20">
        <v>10</v>
      </c>
      <c r="AU966" s="300">
        <f t="shared" si="166"/>
        <v>214</v>
      </c>
      <c r="AV966" s="20">
        <v>185</v>
      </c>
      <c r="AW966" s="20">
        <v>0</v>
      </c>
      <c r="AX966" s="20">
        <v>20</v>
      </c>
      <c r="AY966" s="20">
        <v>0</v>
      </c>
      <c r="AZ966" s="20">
        <v>0</v>
      </c>
      <c r="BA966" s="20">
        <v>7</v>
      </c>
      <c r="BB966" s="20">
        <v>10</v>
      </c>
      <c r="BC966" s="300">
        <f t="shared" si="167"/>
        <v>222</v>
      </c>
      <c r="BD966" s="42">
        <f t="shared" si="168"/>
        <v>8</v>
      </c>
      <c r="BE966" s="42">
        <f t="shared" si="169"/>
        <v>0</v>
      </c>
      <c r="BF966" s="42">
        <f t="shared" si="170"/>
        <v>0</v>
      </c>
      <c r="BG966" s="42">
        <f t="shared" si="171"/>
        <v>0</v>
      </c>
      <c r="BH966" s="42">
        <f t="shared" si="172"/>
        <v>0</v>
      </c>
      <c r="BI966" s="42">
        <f t="shared" si="173"/>
        <v>0</v>
      </c>
      <c r="BJ966" s="42">
        <f t="shared" si="174"/>
        <v>0</v>
      </c>
      <c r="BK966" s="42">
        <f t="shared" si="175"/>
        <v>8</v>
      </c>
    </row>
    <row r="967" spans="1:63" ht="27" customHeight="1">
      <c r="A967" s="222">
        <f t="shared" si="176"/>
        <v>965</v>
      </c>
      <c r="B967" s="223"/>
      <c r="C967" s="223">
        <v>3775</v>
      </c>
      <c r="D967" s="225" t="s">
        <v>5497</v>
      </c>
      <c r="E967" s="226" t="s">
        <v>5498</v>
      </c>
      <c r="F967" s="227" t="s">
        <v>801</v>
      </c>
      <c r="G967" s="228" t="s">
        <v>3799</v>
      </c>
      <c r="H967" s="229" t="s">
        <v>3850</v>
      </c>
      <c r="I967" s="230" t="s">
        <v>5395</v>
      </c>
      <c r="J967" s="231" t="s">
        <v>173</v>
      </c>
      <c r="K967" s="232">
        <v>36015</v>
      </c>
      <c r="L967" s="233" t="s">
        <v>174</v>
      </c>
      <c r="M967" s="234">
        <v>43768</v>
      </c>
      <c r="N967" s="234"/>
      <c r="O967" s="234"/>
      <c r="P967" s="222" t="s">
        <v>1380</v>
      </c>
      <c r="Q967" s="222" t="s">
        <v>244</v>
      </c>
      <c r="R967" s="222" t="s">
        <v>177</v>
      </c>
      <c r="S967" s="222" t="s">
        <v>223</v>
      </c>
      <c r="T967" s="235"/>
      <c r="U967" s="291"/>
      <c r="V967" s="236" t="s">
        <v>179</v>
      </c>
      <c r="W967" s="236" t="s">
        <v>179</v>
      </c>
      <c r="X967" s="236">
        <v>9</v>
      </c>
      <c r="Y967" s="237" t="s">
        <v>5496</v>
      </c>
      <c r="Z967" s="238"/>
      <c r="AA967" s="261"/>
      <c r="AB967" s="236"/>
      <c r="AC967" s="239"/>
      <c r="AD967" s="240"/>
      <c r="AE967" s="240"/>
      <c r="AF967" s="241"/>
      <c r="AG967" s="242"/>
      <c r="AH967" s="243"/>
      <c r="AI967" s="243"/>
      <c r="AJ967" s="258" t="s">
        <v>198</v>
      </c>
      <c r="AK967" s="258" t="s">
        <v>185</v>
      </c>
      <c r="AL967" s="258" t="s">
        <v>185</v>
      </c>
      <c r="AM967" s="244" t="s">
        <v>236</v>
      </c>
      <c r="AN967" s="20">
        <v>177</v>
      </c>
      <c r="AO967" s="20">
        <v>0</v>
      </c>
      <c r="AP967" s="20">
        <v>20</v>
      </c>
      <c r="AQ967" s="20">
        <v>0</v>
      </c>
      <c r="AR967" s="20">
        <v>0</v>
      </c>
      <c r="AS967" s="20">
        <v>7</v>
      </c>
      <c r="AT967" s="20">
        <v>10</v>
      </c>
      <c r="AU967" s="300">
        <f t="shared" si="166"/>
        <v>214</v>
      </c>
      <c r="AV967" s="20">
        <v>185</v>
      </c>
      <c r="AW967" s="20">
        <v>0</v>
      </c>
      <c r="AX967" s="20">
        <v>20</v>
      </c>
      <c r="AY967" s="20">
        <v>0</v>
      </c>
      <c r="AZ967" s="20">
        <v>0</v>
      </c>
      <c r="BA967" s="20">
        <v>7</v>
      </c>
      <c r="BB967" s="20">
        <v>10</v>
      </c>
      <c r="BC967" s="300">
        <f t="shared" si="167"/>
        <v>222</v>
      </c>
      <c r="BD967" s="42">
        <f t="shared" si="168"/>
        <v>8</v>
      </c>
      <c r="BE967" s="42">
        <f t="shared" si="169"/>
        <v>0</v>
      </c>
      <c r="BF967" s="42">
        <f t="shared" si="170"/>
        <v>0</v>
      </c>
      <c r="BG967" s="42">
        <f t="shared" si="171"/>
        <v>0</v>
      </c>
      <c r="BH967" s="42">
        <f t="shared" si="172"/>
        <v>0</v>
      </c>
      <c r="BI967" s="42">
        <f t="shared" si="173"/>
        <v>0</v>
      </c>
      <c r="BJ967" s="42">
        <f t="shared" si="174"/>
        <v>0</v>
      </c>
      <c r="BK967" s="42">
        <f t="shared" si="175"/>
        <v>8</v>
      </c>
    </row>
    <row r="968" spans="1:63" ht="27" customHeight="1">
      <c r="A968" s="222">
        <f t="shared" si="176"/>
        <v>966</v>
      </c>
      <c r="B968" s="223"/>
      <c r="C968" s="223">
        <v>3783</v>
      </c>
      <c r="D968" s="225" t="s">
        <v>5499</v>
      </c>
      <c r="E968" s="226" t="s">
        <v>5500</v>
      </c>
      <c r="F968" s="227" t="s">
        <v>3706</v>
      </c>
      <c r="G968" s="228" t="s">
        <v>5501</v>
      </c>
      <c r="H968" s="229" t="s">
        <v>5502</v>
      </c>
      <c r="I968" s="230" t="s">
        <v>5503</v>
      </c>
      <c r="J968" s="231" t="s">
        <v>173</v>
      </c>
      <c r="K968" s="232">
        <v>34678</v>
      </c>
      <c r="L968" s="233" t="s">
        <v>174</v>
      </c>
      <c r="M968" s="234">
        <v>43770</v>
      </c>
      <c r="N968" s="234"/>
      <c r="O968" s="234"/>
      <c r="P968" s="222" t="s">
        <v>3629</v>
      </c>
      <c r="Q968" s="222" t="s">
        <v>244</v>
      </c>
      <c r="R968" s="222" t="s">
        <v>177</v>
      </c>
      <c r="S968" s="222" t="s">
        <v>305</v>
      </c>
      <c r="T968" s="235"/>
      <c r="U968" s="291"/>
      <c r="V968" s="236" t="s">
        <v>179</v>
      </c>
      <c r="W968" s="236" t="s">
        <v>179</v>
      </c>
      <c r="X968" s="236">
        <v>7</v>
      </c>
      <c r="Y968" s="237" t="s">
        <v>5504</v>
      </c>
      <c r="Z968" s="238"/>
      <c r="AA968" s="261" t="s">
        <v>181</v>
      </c>
      <c r="AB968" s="236"/>
      <c r="AC968" s="239"/>
      <c r="AD968" s="240"/>
      <c r="AE968" s="240"/>
      <c r="AF968" s="241"/>
      <c r="AG968" s="242"/>
      <c r="AH968" s="243"/>
      <c r="AI968" s="243"/>
      <c r="AJ968" s="258" t="s">
        <v>198</v>
      </c>
      <c r="AK968" s="258" t="s">
        <v>185</v>
      </c>
      <c r="AL968" s="258" t="s">
        <v>185</v>
      </c>
      <c r="AM968" s="244" t="s">
        <v>3854</v>
      </c>
      <c r="AN968" s="20">
        <v>177</v>
      </c>
      <c r="AO968" s="20">
        <v>0</v>
      </c>
      <c r="AP968" s="20">
        <v>20</v>
      </c>
      <c r="AQ968" s="20">
        <v>0</v>
      </c>
      <c r="AR968" s="20">
        <v>0</v>
      </c>
      <c r="AS968" s="20">
        <v>7</v>
      </c>
      <c r="AT968" s="20">
        <v>10</v>
      </c>
      <c r="AU968" s="300">
        <f t="shared" si="166"/>
        <v>214</v>
      </c>
      <c r="AV968" s="20">
        <v>185</v>
      </c>
      <c r="AW968" s="20">
        <v>0</v>
      </c>
      <c r="AX968" s="20">
        <v>20</v>
      </c>
      <c r="AY968" s="20">
        <v>0</v>
      </c>
      <c r="AZ968" s="20">
        <v>0</v>
      </c>
      <c r="BA968" s="20">
        <v>7</v>
      </c>
      <c r="BB968" s="20">
        <v>10</v>
      </c>
      <c r="BC968" s="300">
        <f t="shared" si="167"/>
        <v>222</v>
      </c>
      <c r="BD968" s="42">
        <f t="shared" si="168"/>
        <v>8</v>
      </c>
      <c r="BE968" s="42">
        <f t="shared" si="169"/>
        <v>0</v>
      </c>
      <c r="BF968" s="42">
        <f t="shared" si="170"/>
        <v>0</v>
      </c>
      <c r="BG968" s="42">
        <f t="shared" si="171"/>
        <v>0</v>
      </c>
      <c r="BH968" s="42">
        <f t="shared" si="172"/>
        <v>0</v>
      </c>
      <c r="BI968" s="42">
        <f t="shared" si="173"/>
        <v>0</v>
      </c>
      <c r="BJ968" s="42">
        <f t="shared" si="174"/>
        <v>0</v>
      </c>
      <c r="BK968" s="42">
        <f t="shared" si="175"/>
        <v>8</v>
      </c>
    </row>
    <row r="969" spans="1:63" ht="27" customHeight="1">
      <c r="A969" s="222">
        <f t="shared" si="176"/>
        <v>967</v>
      </c>
      <c r="B969" s="223"/>
      <c r="C969" s="223">
        <v>3785</v>
      </c>
      <c r="D969" s="225" t="s">
        <v>5505</v>
      </c>
      <c r="E969" s="226" t="s">
        <v>5506</v>
      </c>
      <c r="F969" s="227" t="s">
        <v>218</v>
      </c>
      <c r="G969" s="228" t="s">
        <v>1966</v>
      </c>
      <c r="H969" s="229" t="s">
        <v>5507</v>
      </c>
      <c r="I969" s="230" t="s">
        <v>5508</v>
      </c>
      <c r="J969" s="231" t="s">
        <v>173</v>
      </c>
      <c r="K969" s="232">
        <v>33980</v>
      </c>
      <c r="L969" s="233" t="s">
        <v>174</v>
      </c>
      <c r="M969" s="234">
        <v>43770</v>
      </c>
      <c r="N969" s="234"/>
      <c r="O969" s="234"/>
      <c r="P969" s="222" t="s">
        <v>277</v>
      </c>
      <c r="Q969" s="222" t="s">
        <v>244</v>
      </c>
      <c r="R969" s="222" t="s">
        <v>177</v>
      </c>
      <c r="S969" s="222" t="s">
        <v>3596</v>
      </c>
      <c r="T969" s="235"/>
      <c r="U969" s="291"/>
      <c r="V969" s="236" t="s">
        <v>179</v>
      </c>
      <c r="W969" s="236" t="s">
        <v>179</v>
      </c>
      <c r="X969" s="236">
        <v>7</v>
      </c>
      <c r="Y969" s="237" t="s">
        <v>5509</v>
      </c>
      <c r="Z969" s="238"/>
      <c r="AA969" s="261" t="s">
        <v>181</v>
      </c>
      <c r="AB969" s="236"/>
      <c r="AC969" s="239"/>
      <c r="AD969" s="240"/>
      <c r="AE969" s="240"/>
      <c r="AF969" s="241"/>
      <c r="AG969" s="242"/>
      <c r="AH969" s="243"/>
      <c r="AI969" s="243"/>
      <c r="AJ969" s="258" t="s">
        <v>198</v>
      </c>
      <c r="AK969" s="258" t="s">
        <v>185</v>
      </c>
      <c r="AL969" s="258" t="s">
        <v>185</v>
      </c>
      <c r="AM969" s="244" t="s">
        <v>3854</v>
      </c>
      <c r="AN969" s="20">
        <v>182</v>
      </c>
      <c r="AO969" s="20">
        <v>0</v>
      </c>
      <c r="AP969" s="20">
        <v>0</v>
      </c>
      <c r="AQ969" s="20">
        <v>0</v>
      </c>
      <c r="AR969" s="20">
        <v>0</v>
      </c>
      <c r="AS969" s="20">
        <v>7</v>
      </c>
      <c r="AT969" s="20">
        <v>10</v>
      </c>
      <c r="AU969" s="300">
        <f t="shared" si="166"/>
        <v>199</v>
      </c>
      <c r="AV969" s="20">
        <v>190</v>
      </c>
      <c r="AW969" s="20">
        <v>0</v>
      </c>
      <c r="AX969" s="20">
        <v>0</v>
      </c>
      <c r="AY969" s="20">
        <v>0</v>
      </c>
      <c r="AZ969" s="20">
        <v>0</v>
      </c>
      <c r="BA969" s="20">
        <v>7</v>
      </c>
      <c r="BB969" s="20">
        <v>10</v>
      </c>
      <c r="BC969" s="300">
        <f t="shared" si="167"/>
        <v>207</v>
      </c>
      <c r="BD969" s="42">
        <f t="shared" si="168"/>
        <v>8</v>
      </c>
      <c r="BE969" s="42">
        <f t="shared" si="169"/>
        <v>0</v>
      </c>
      <c r="BF969" s="42">
        <f t="shared" si="170"/>
        <v>0</v>
      </c>
      <c r="BG969" s="42">
        <f t="shared" si="171"/>
        <v>0</v>
      </c>
      <c r="BH969" s="42">
        <f t="shared" si="172"/>
        <v>0</v>
      </c>
      <c r="BI969" s="42">
        <f t="shared" si="173"/>
        <v>0</v>
      </c>
      <c r="BJ969" s="42">
        <f t="shared" si="174"/>
        <v>0</v>
      </c>
      <c r="BK969" s="42">
        <f t="shared" si="175"/>
        <v>8</v>
      </c>
    </row>
    <row r="970" spans="1:63" ht="27" customHeight="1">
      <c r="A970" s="222">
        <f t="shared" si="176"/>
        <v>968</v>
      </c>
      <c r="B970" s="223"/>
      <c r="C970" s="223">
        <v>3780</v>
      </c>
      <c r="D970" s="225" t="s">
        <v>5510</v>
      </c>
      <c r="E970" s="226" t="s">
        <v>5511</v>
      </c>
      <c r="F970" s="227" t="s">
        <v>5512</v>
      </c>
      <c r="G970" s="228" t="s">
        <v>2434</v>
      </c>
      <c r="H970" s="229" t="s">
        <v>5513</v>
      </c>
      <c r="I970" s="230" t="s">
        <v>5514</v>
      </c>
      <c r="J970" s="231" t="s">
        <v>173</v>
      </c>
      <c r="K970" s="232">
        <v>30848</v>
      </c>
      <c r="L970" s="233" t="s">
        <v>174</v>
      </c>
      <c r="M970" s="234">
        <v>43770</v>
      </c>
      <c r="N970" s="234"/>
      <c r="O970" s="234"/>
      <c r="P970" s="222" t="e">
        <v>#N/A</v>
      </c>
      <c r="Q970" s="222" t="s">
        <v>244</v>
      </c>
      <c r="R970" s="222" t="s">
        <v>177</v>
      </c>
      <c r="S970" s="222" t="s">
        <v>206</v>
      </c>
      <c r="T970" s="235"/>
      <c r="U970" s="291"/>
      <c r="V970" s="236" t="s">
        <v>179</v>
      </c>
      <c r="W970" s="236" t="s">
        <v>179</v>
      </c>
      <c r="X970" s="236">
        <v>4</v>
      </c>
      <c r="Y970" s="237" t="s">
        <v>5515</v>
      </c>
      <c r="Z970" s="238"/>
      <c r="AA970" s="261" t="s">
        <v>181</v>
      </c>
      <c r="AB970" s="236"/>
      <c r="AC970" s="239"/>
      <c r="AD970" s="240"/>
      <c r="AE970" s="240"/>
      <c r="AF970" s="241"/>
      <c r="AG970" s="242"/>
      <c r="AH970" s="243"/>
      <c r="AI970" s="243"/>
      <c r="AJ970" s="258" t="s">
        <v>198</v>
      </c>
      <c r="AK970" s="258" t="s">
        <v>185</v>
      </c>
      <c r="AL970" s="258" t="s">
        <v>185</v>
      </c>
      <c r="AM970" s="244" t="s">
        <v>3854</v>
      </c>
      <c r="AN970" s="20">
        <v>182</v>
      </c>
      <c r="AO970" s="20">
        <v>0</v>
      </c>
      <c r="AP970" s="20">
        <v>0</v>
      </c>
      <c r="AQ970" s="20">
        <v>0</v>
      </c>
      <c r="AR970" s="20">
        <v>0</v>
      </c>
      <c r="AS970" s="20">
        <v>7</v>
      </c>
      <c r="AT970" s="20">
        <v>10</v>
      </c>
      <c r="AU970" s="300">
        <f t="shared" si="166"/>
        <v>199</v>
      </c>
      <c r="AV970" s="20">
        <v>190</v>
      </c>
      <c r="AW970" s="20">
        <v>0</v>
      </c>
      <c r="AX970" s="20">
        <v>0</v>
      </c>
      <c r="AY970" s="20">
        <v>0</v>
      </c>
      <c r="AZ970" s="20">
        <v>0</v>
      </c>
      <c r="BA970" s="20">
        <v>7</v>
      </c>
      <c r="BB970" s="20">
        <v>10</v>
      </c>
      <c r="BC970" s="300">
        <f t="shared" si="167"/>
        <v>207</v>
      </c>
      <c r="BD970" s="42">
        <f t="shared" si="168"/>
        <v>8</v>
      </c>
      <c r="BE970" s="42">
        <f t="shared" si="169"/>
        <v>0</v>
      </c>
      <c r="BF970" s="42">
        <f t="shared" si="170"/>
        <v>0</v>
      </c>
      <c r="BG970" s="42">
        <f t="shared" si="171"/>
        <v>0</v>
      </c>
      <c r="BH970" s="42">
        <f t="shared" si="172"/>
        <v>0</v>
      </c>
      <c r="BI970" s="42">
        <f t="shared" si="173"/>
        <v>0</v>
      </c>
      <c r="BJ970" s="42">
        <f t="shared" si="174"/>
        <v>0</v>
      </c>
      <c r="BK970" s="42">
        <f t="shared" si="175"/>
        <v>8</v>
      </c>
    </row>
    <row r="971" spans="1:63" ht="27" customHeight="1">
      <c r="A971" s="222">
        <f t="shared" si="176"/>
        <v>969</v>
      </c>
      <c r="B971" s="223"/>
      <c r="C971" s="223">
        <v>3798</v>
      </c>
      <c r="D971" s="225" t="s">
        <v>5516</v>
      </c>
      <c r="E971" s="226" t="s">
        <v>5517</v>
      </c>
      <c r="F971" s="227" t="s">
        <v>727</v>
      </c>
      <c r="G971" s="228" t="s">
        <v>5449</v>
      </c>
      <c r="H971" s="229" t="s">
        <v>1845</v>
      </c>
      <c r="I971" s="230" t="s">
        <v>5450</v>
      </c>
      <c r="J971" s="231" t="s">
        <v>173</v>
      </c>
      <c r="K971" s="232">
        <v>36896</v>
      </c>
      <c r="L971" s="233" t="s">
        <v>174</v>
      </c>
      <c r="M971" s="234">
        <v>43773</v>
      </c>
      <c r="N971" s="234"/>
      <c r="O971" s="234"/>
      <c r="P971" s="222" t="s">
        <v>3945</v>
      </c>
      <c r="Q971" s="222" t="s">
        <v>244</v>
      </c>
      <c r="R971" s="222" t="s">
        <v>177</v>
      </c>
      <c r="S971" s="222" t="s">
        <v>223</v>
      </c>
      <c r="T971" s="235"/>
      <c r="U971" s="291"/>
      <c r="V971" s="236" t="s">
        <v>179</v>
      </c>
      <c r="W971" s="236" t="s">
        <v>179</v>
      </c>
      <c r="X971" s="236">
        <v>10</v>
      </c>
      <c r="Y971" s="237" t="s">
        <v>5518</v>
      </c>
      <c r="Z971" s="261" t="s">
        <v>181</v>
      </c>
      <c r="AA971" s="238"/>
      <c r="AB971" s="236"/>
      <c r="AC971" s="239"/>
      <c r="AD971" s="240"/>
      <c r="AE971" s="240"/>
      <c r="AF971" s="241"/>
      <c r="AG971" s="242"/>
      <c r="AH971" s="243"/>
      <c r="AI971" s="243"/>
      <c r="AJ971" s="258" t="s">
        <v>198</v>
      </c>
      <c r="AK971" s="258" t="s">
        <v>185</v>
      </c>
      <c r="AL971" s="258" t="s">
        <v>185</v>
      </c>
      <c r="AM971" s="244" t="s">
        <v>3854</v>
      </c>
      <c r="AN971" s="20">
        <v>182</v>
      </c>
      <c r="AO971" s="20">
        <v>0</v>
      </c>
      <c r="AP971" s="20">
        <v>20</v>
      </c>
      <c r="AQ971" s="20">
        <v>10</v>
      </c>
      <c r="AR971" s="20">
        <v>0</v>
      </c>
      <c r="AS971" s="20">
        <v>7</v>
      </c>
      <c r="AT971" s="20">
        <v>10</v>
      </c>
      <c r="AU971" s="300">
        <f t="shared" si="166"/>
        <v>229</v>
      </c>
      <c r="AV971" s="20">
        <v>190</v>
      </c>
      <c r="AW971" s="20">
        <v>0</v>
      </c>
      <c r="AX971" s="20">
        <v>20</v>
      </c>
      <c r="AY971" s="20">
        <v>10</v>
      </c>
      <c r="AZ971" s="20">
        <v>0</v>
      </c>
      <c r="BA971" s="20">
        <v>7</v>
      </c>
      <c r="BB971" s="20">
        <v>10</v>
      </c>
      <c r="BC971" s="300">
        <f t="shared" si="167"/>
        <v>237</v>
      </c>
      <c r="BD971" s="42">
        <f t="shared" si="168"/>
        <v>8</v>
      </c>
      <c r="BE971" s="42">
        <f t="shared" si="169"/>
        <v>0</v>
      </c>
      <c r="BF971" s="42">
        <f t="shared" si="170"/>
        <v>0</v>
      </c>
      <c r="BG971" s="42">
        <f t="shared" si="171"/>
        <v>0</v>
      </c>
      <c r="BH971" s="42">
        <f t="shared" si="172"/>
        <v>0</v>
      </c>
      <c r="BI971" s="42">
        <f t="shared" si="173"/>
        <v>0</v>
      </c>
      <c r="BJ971" s="42">
        <f t="shared" si="174"/>
        <v>0</v>
      </c>
      <c r="BK971" s="42">
        <f t="shared" si="175"/>
        <v>8</v>
      </c>
    </row>
    <row r="972" spans="1:63" ht="27" customHeight="1">
      <c r="A972" s="222">
        <f t="shared" si="176"/>
        <v>970</v>
      </c>
      <c r="B972" s="223"/>
      <c r="C972" s="223">
        <v>3797</v>
      </c>
      <c r="D972" s="225" t="s">
        <v>5519</v>
      </c>
      <c r="E972" s="226" t="s">
        <v>5520</v>
      </c>
      <c r="F972" s="227" t="s">
        <v>5521</v>
      </c>
      <c r="G972" s="228" t="s">
        <v>5522</v>
      </c>
      <c r="H972" s="229" t="s">
        <v>5523</v>
      </c>
      <c r="I972" s="230" t="s">
        <v>4195</v>
      </c>
      <c r="J972" s="231" t="s">
        <v>173</v>
      </c>
      <c r="K972" s="232">
        <v>33513</v>
      </c>
      <c r="L972" s="233" t="s">
        <v>174</v>
      </c>
      <c r="M972" s="234">
        <v>43773</v>
      </c>
      <c r="N972" s="234"/>
      <c r="O972" s="234"/>
      <c r="P972" s="222" t="s">
        <v>3945</v>
      </c>
      <c r="Q972" s="222" t="s">
        <v>244</v>
      </c>
      <c r="R972" s="222" t="s">
        <v>177</v>
      </c>
      <c r="S972" s="222" t="s">
        <v>206</v>
      </c>
      <c r="T972" s="235"/>
      <c r="U972" s="291"/>
      <c r="V972" s="236" t="s">
        <v>179</v>
      </c>
      <c r="W972" s="236" t="s">
        <v>179</v>
      </c>
      <c r="X972" s="236">
        <v>9</v>
      </c>
      <c r="Y972" s="237" t="s">
        <v>5524</v>
      </c>
      <c r="Z972" s="261" t="s">
        <v>181</v>
      </c>
      <c r="AA972" s="238"/>
      <c r="AB972" s="236"/>
      <c r="AC972" s="239"/>
      <c r="AD972" s="240"/>
      <c r="AE972" s="240"/>
      <c r="AF972" s="241"/>
      <c r="AG972" s="242"/>
      <c r="AH972" s="243"/>
      <c r="AI972" s="243"/>
      <c r="AJ972" s="258" t="s">
        <v>198</v>
      </c>
      <c r="AK972" s="258" t="s">
        <v>185</v>
      </c>
      <c r="AL972" s="258" t="s">
        <v>185</v>
      </c>
      <c r="AM972" s="244" t="s">
        <v>4825</v>
      </c>
      <c r="AN972" s="20">
        <v>182</v>
      </c>
      <c r="AO972" s="20">
        <v>0</v>
      </c>
      <c r="AP972" s="20">
        <v>0</v>
      </c>
      <c r="AQ972" s="20">
        <v>0</v>
      </c>
      <c r="AR972" s="20">
        <v>0</v>
      </c>
      <c r="AS972" s="20">
        <v>7</v>
      </c>
      <c r="AT972" s="20">
        <v>10</v>
      </c>
      <c r="AU972" s="300">
        <f t="shared" si="166"/>
        <v>199</v>
      </c>
      <c r="AV972" s="20">
        <v>190</v>
      </c>
      <c r="AW972" s="20">
        <v>0</v>
      </c>
      <c r="AX972" s="20">
        <v>0</v>
      </c>
      <c r="AY972" s="20">
        <v>0</v>
      </c>
      <c r="AZ972" s="20">
        <v>0</v>
      </c>
      <c r="BA972" s="20">
        <v>7</v>
      </c>
      <c r="BB972" s="20">
        <v>10</v>
      </c>
      <c r="BC972" s="300">
        <f t="shared" si="167"/>
        <v>207</v>
      </c>
      <c r="BD972" s="42">
        <f t="shared" si="168"/>
        <v>8</v>
      </c>
      <c r="BE972" s="42">
        <f t="shared" si="169"/>
        <v>0</v>
      </c>
      <c r="BF972" s="42">
        <f t="shared" si="170"/>
        <v>0</v>
      </c>
      <c r="BG972" s="42">
        <f t="shared" si="171"/>
        <v>0</v>
      </c>
      <c r="BH972" s="42">
        <f t="shared" si="172"/>
        <v>0</v>
      </c>
      <c r="BI972" s="42">
        <f t="shared" si="173"/>
        <v>0</v>
      </c>
      <c r="BJ972" s="42">
        <f t="shared" si="174"/>
        <v>0</v>
      </c>
      <c r="BK972" s="42">
        <f t="shared" si="175"/>
        <v>8</v>
      </c>
    </row>
    <row r="973" spans="1:63" ht="27" customHeight="1">
      <c r="A973" s="222">
        <f t="shared" si="176"/>
        <v>971</v>
      </c>
      <c r="B973" s="223"/>
      <c r="C973" s="223">
        <v>3776</v>
      </c>
      <c r="D973" s="225" t="s">
        <v>5525</v>
      </c>
      <c r="E973" s="226" t="s">
        <v>5526</v>
      </c>
      <c r="F973" s="227" t="s">
        <v>5527</v>
      </c>
      <c r="G973" s="228" t="s">
        <v>1315</v>
      </c>
      <c r="H973" s="229" t="s">
        <v>5528</v>
      </c>
      <c r="I973" s="230" t="s">
        <v>5529</v>
      </c>
      <c r="J973" s="231" t="s">
        <v>173</v>
      </c>
      <c r="K973" s="232">
        <v>35874</v>
      </c>
      <c r="L973" s="233" t="s">
        <v>174</v>
      </c>
      <c r="M973" s="234">
        <v>43773</v>
      </c>
      <c r="N973" s="234"/>
      <c r="O973" s="234"/>
      <c r="P973" s="222" t="s">
        <v>1380</v>
      </c>
      <c r="Q973" s="222" t="s">
        <v>244</v>
      </c>
      <c r="R973" s="222" t="s">
        <v>177</v>
      </c>
      <c r="S973" s="222" t="s">
        <v>223</v>
      </c>
      <c r="T973" s="235"/>
      <c r="U973" s="291"/>
      <c r="V973" s="236" t="s">
        <v>179</v>
      </c>
      <c r="W973" s="236" t="s">
        <v>179</v>
      </c>
      <c r="X973" s="236">
        <v>8</v>
      </c>
      <c r="Y973" s="237" t="s">
        <v>5530</v>
      </c>
      <c r="Z973" s="261" t="s">
        <v>181</v>
      </c>
      <c r="AA973" s="238"/>
      <c r="AB973" s="236"/>
      <c r="AC973" s="239"/>
      <c r="AD973" s="240"/>
      <c r="AE973" s="240"/>
      <c r="AF973" s="241"/>
      <c r="AG973" s="242"/>
      <c r="AH973" s="243"/>
      <c r="AI973" s="243"/>
      <c r="AJ973" s="258" t="s">
        <v>198</v>
      </c>
      <c r="AK973" s="258" t="s">
        <v>185</v>
      </c>
      <c r="AL973" s="258" t="s">
        <v>185</v>
      </c>
      <c r="AM973" s="244" t="s">
        <v>236</v>
      </c>
      <c r="AN973" s="20">
        <v>177</v>
      </c>
      <c r="AO973" s="20">
        <v>0</v>
      </c>
      <c r="AP973" s="20">
        <v>20</v>
      </c>
      <c r="AQ973" s="20">
        <v>0</v>
      </c>
      <c r="AR973" s="20">
        <v>0</v>
      </c>
      <c r="AS973" s="20">
        <v>7</v>
      </c>
      <c r="AT973" s="20">
        <v>10</v>
      </c>
      <c r="AU973" s="300">
        <f t="shared" si="166"/>
        <v>214</v>
      </c>
      <c r="AV973" s="20">
        <v>185</v>
      </c>
      <c r="AW973" s="20">
        <v>0</v>
      </c>
      <c r="AX973" s="20">
        <v>20</v>
      </c>
      <c r="AY973" s="20">
        <v>0</v>
      </c>
      <c r="AZ973" s="20">
        <v>0</v>
      </c>
      <c r="BA973" s="20">
        <v>7</v>
      </c>
      <c r="BB973" s="20">
        <v>10</v>
      </c>
      <c r="BC973" s="300">
        <f t="shared" si="167"/>
        <v>222</v>
      </c>
      <c r="BD973" s="42">
        <f t="shared" si="168"/>
        <v>8</v>
      </c>
      <c r="BE973" s="42">
        <f t="shared" si="169"/>
        <v>0</v>
      </c>
      <c r="BF973" s="42">
        <f t="shared" si="170"/>
        <v>0</v>
      </c>
      <c r="BG973" s="42">
        <f t="shared" si="171"/>
        <v>0</v>
      </c>
      <c r="BH973" s="42">
        <f t="shared" si="172"/>
        <v>0</v>
      </c>
      <c r="BI973" s="42">
        <f t="shared" si="173"/>
        <v>0</v>
      </c>
      <c r="BJ973" s="42">
        <f t="shared" si="174"/>
        <v>0</v>
      </c>
      <c r="BK973" s="42">
        <f t="shared" si="175"/>
        <v>8</v>
      </c>
    </row>
    <row r="974" spans="1:63" ht="27" customHeight="1">
      <c r="A974" s="222">
        <f t="shared" si="176"/>
        <v>972</v>
      </c>
      <c r="B974" s="223"/>
      <c r="C974" s="223">
        <v>3773</v>
      </c>
      <c r="D974" s="225" t="s">
        <v>5531</v>
      </c>
      <c r="E974" s="226" t="s">
        <v>5532</v>
      </c>
      <c r="F974" s="227" t="s">
        <v>2088</v>
      </c>
      <c r="G974" s="228" t="s">
        <v>575</v>
      </c>
      <c r="H974" s="229" t="s">
        <v>81</v>
      </c>
      <c r="I974" s="230" t="s">
        <v>577</v>
      </c>
      <c r="J974" s="231" t="s">
        <v>173</v>
      </c>
      <c r="K974" s="232">
        <v>36960</v>
      </c>
      <c r="L974" s="233" t="s">
        <v>174</v>
      </c>
      <c r="M974" s="234">
        <v>43773</v>
      </c>
      <c r="N974" s="234"/>
      <c r="O974" s="234"/>
      <c r="P974" s="222" t="s">
        <v>1380</v>
      </c>
      <c r="Q974" s="222" t="s">
        <v>244</v>
      </c>
      <c r="R974" s="222" t="s">
        <v>177</v>
      </c>
      <c r="S974" s="222" t="s">
        <v>223</v>
      </c>
      <c r="T974" s="235"/>
      <c r="U974" s="291"/>
      <c r="V974" s="236" t="s">
        <v>179</v>
      </c>
      <c r="W974" s="236" t="s">
        <v>179</v>
      </c>
      <c r="X974" s="236">
        <v>8</v>
      </c>
      <c r="Y974" s="237" t="s">
        <v>5124</v>
      </c>
      <c r="Z974" s="261" t="s">
        <v>181</v>
      </c>
      <c r="AA974" s="238"/>
      <c r="AB974" s="236"/>
      <c r="AC974" s="239"/>
      <c r="AD974" s="240"/>
      <c r="AE974" s="240"/>
      <c r="AF974" s="241"/>
      <c r="AG974" s="242"/>
      <c r="AH974" s="243"/>
      <c r="AI974" s="243"/>
      <c r="AJ974" s="258" t="s">
        <v>198</v>
      </c>
      <c r="AK974" s="258" t="s">
        <v>185</v>
      </c>
      <c r="AL974" s="258" t="s">
        <v>185</v>
      </c>
      <c r="AM974" s="244" t="s">
        <v>236</v>
      </c>
      <c r="AN974" s="20">
        <v>182</v>
      </c>
      <c r="AO974" s="20">
        <v>0</v>
      </c>
      <c r="AP974" s="20">
        <v>0</v>
      </c>
      <c r="AQ974" s="20">
        <v>0</v>
      </c>
      <c r="AR974" s="20">
        <v>0</v>
      </c>
      <c r="AS974" s="20">
        <v>7</v>
      </c>
      <c r="AT974" s="20">
        <v>10</v>
      </c>
      <c r="AU974" s="300">
        <f t="shared" si="166"/>
        <v>199</v>
      </c>
      <c r="AV974" s="20">
        <v>190</v>
      </c>
      <c r="AW974" s="20">
        <v>0</v>
      </c>
      <c r="AX974" s="20">
        <v>0</v>
      </c>
      <c r="AY974" s="20">
        <v>0</v>
      </c>
      <c r="AZ974" s="20">
        <v>0</v>
      </c>
      <c r="BA974" s="20">
        <v>7</v>
      </c>
      <c r="BB974" s="20">
        <v>10</v>
      </c>
      <c r="BC974" s="300">
        <f t="shared" si="167"/>
        <v>207</v>
      </c>
      <c r="BD974" s="42">
        <f t="shared" si="168"/>
        <v>8</v>
      </c>
      <c r="BE974" s="42">
        <f t="shared" si="169"/>
        <v>0</v>
      </c>
      <c r="BF974" s="42">
        <f t="shared" si="170"/>
        <v>0</v>
      </c>
      <c r="BG974" s="42">
        <f t="shared" si="171"/>
        <v>0</v>
      </c>
      <c r="BH974" s="42">
        <f t="shared" si="172"/>
        <v>0</v>
      </c>
      <c r="BI974" s="42">
        <f t="shared" si="173"/>
        <v>0</v>
      </c>
      <c r="BJ974" s="42">
        <f t="shared" si="174"/>
        <v>0</v>
      </c>
      <c r="BK974" s="42">
        <f t="shared" si="175"/>
        <v>8</v>
      </c>
    </row>
    <row r="975" spans="1:63" ht="27" customHeight="1">
      <c r="A975" s="222">
        <f t="shared" si="176"/>
        <v>973</v>
      </c>
      <c r="B975" s="223"/>
      <c r="C975" s="223">
        <v>3795</v>
      </c>
      <c r="D975" s="225" t="s">
        <v>5533</v>
      </c>
      <c r="E975" s="226" t="s">
        <v>5534</v>
      </c>
      <c r="F975" s="227" t="s">
        <v>2965</v>
      </c>
      <c r="G975" s="228" t="s">
        <v>5535</v>
      </c>
      <c r="H975" s="229" t="s">
        <v>4796</v>
      </c>
      <c r="I975" s="230" t="s">
        <v>5536</v>
      </c>
      <c r="J975" s="231" t="s">
        <v>173</v>
      </c>
      <c r="K975" s="232">
        <v>34894</v>
      </c>
      <c r="L975" s="233" t="s">
        <v>174</v>
      </c>
      <c r="M975" s="234">
        <v>43773</v>
      </c>
      <c r="N975" s="234"/>
      <c r="O975" s="234"/>
      <c r="P975" s="222" t="s">
        <v>1380</v>
      </c>
      <c r="Q975" s="222" t="s">
        <v>244</v>
      </c>
      <c r="R975" s="222" t="s">
        <v>177</v>
      </c>
      <c r="S975" s="222" t="s">
        <v>223</v>
      </c>
      <c r="T975" s="235"/>
      <c r="U975" s="291"/>
      <c r="V975" s="236" t="s">
        <v>179</v>
      </c>
      <c r="W975" s="236" t="s">
        <v>179</v>
      </c>
      <c r="X975" s="236">
        <v>12</v>
      </c>
      <c r="Y975" s="237" t="s">
        <v>5537</v>
      </c>
      <c r="Z975" s="261" t="s">
        <v>181</v>
      </c>
      <c r="AA975" s="238"/>
      <c r="AB975" s="236"/>
      <c r="AC975" s="239"/>
      <c r="AD975" s="240"/>
      <c r="AE975" s="240"/>
      <c r="AF975" s="241"/>
      <c r="AG975" s="242"/>
      <c r="AH975" s="243"/>
      <c r="AI975" s="243"/>
      <c r="AJ975" s="258" t="s">
        <v>198</v>
      </c>
      <c r="AK975" s="258" t="s">
        <v>185</v>
      </c>
      <c r="AL975" s="258" t="s">
        <v>185</v>
      </c>
      <c r="AM975" s="244" t="s">
        <v>3854</v>
      </c>
      <c r="AN975" s="20">
        <v>177</v>
      </c>
      <c r="AO975" s="20">
        <v>0</v>
      </c>
      <c r="AP975" s="20">
        <v>20</v>
      </c>
      <c r="AQ975" s="20">
        <v>0</v>
      </c>
      <c r="AR975" s="20">
        <v>0</v>
      </c>
      <c r="AS975" s="20">
        <v>7</v>
      </c>
      <c r="AT975" s="20">
        <v>10</v>
      </c>
      <c r="AU975" s="300">
        <f t="shared" si="166"/>
        <v>214</v>
      </c>
      <c r="AV975" s="20">
        <v>185</v>
      </c>
      <c r="AW975" s="20">
        <v>0</v>
      </c>
      <c r="AX975" s="20">
        <v>20</v>
      </c>
      <c r="AY975" s="20">
        <v>0</v>
      </c>
      <c r="AZ975" s="20">
        <v>0</v>
      </c>
      <c r="BA975" s="20">
        <v>7</v>
      </c>
      <c r="BB975" s="20">
        <v>10</v>
      </c>
      <c r="BC975" s="300">
        <f t="shared" si="167"/>
        <v>222</v>
      </c>
      <c r="BD975" s="42">
        <f t="shared" si="168"/>
        <v>8</v>
      </c>
      <c r="BE975" s="42">
        <f t="shared" si="169"/>
        <v>0</v>
      </c>
      <c r="BF975" s="42">
        <f t="shared" si="170"/>
        <v>0</v>
      </c>
      <c r="BG975" s="42">
        <f t="shared" si="171"/>
        <v>0</v>
      </c>
      <c r="BH975" s="42">
        <f t="shared" si="172"/>
        <v>0</v>
      </c>
      <c r="BI975" s="42">
        <f t="shared" si="173"/>
        <v>0</v>
      </c>
      <c r="BJ975" s="42">
        <f t="shared" si="174"/>
        <v>0</v>
      </c>
      <c r="BK975" s="42">
        <f t="shared" si="175"/>
        <v>8</v>
      </c>
    </row>
    <row r="976" spans="1:63" ht="27" customHeight="1">
      <c r="A976" s="222">
        <f t="shared" si="176"/>
        <v>974</v>
      </c>
      <c r="B976" s="223"/>
      <c r="C976" s="223">
        <v>3804</v>
      </c>
      <c r="D976" s="225" t="s">
        <v>5538</v>
      </c>
      <c r="E976" s="226" t="s">
        <v>5539</v>
      </c>
      <c r="F976" s="227" t="s">
        <v>590</v>
      </c>
      <c r="G976" s="228" t="s">
        <v>2236</v>
      </c>
      <c r="H976" s="229" t="s">
        <v>4503</v>
      </c>
      <c r="I976" s="230" t="s">
        <v>5540</v>
      </c>
      <c r="J976" s="231" t="s">
        <v>173</v>
      </c>
      <c r="K976" s="232">
        <v>29434</v>
      </c>
      <c r="L976" s="233" t="s">
        <v>174</v>
      </c>
      <c r="M976" s="234">
        <v>43773</v>
      </c>
      <c r="N976" s="234"/>
      <c r="O976" s="234" t="s">
        <v>24</v>
      </c>
      <c r="P976" s="222" t="s">
        <v>1380</v>
      </c>
      <c r="Q976" s="222" t="s">
        <v>244</v>
      </c>
      <c r="R976" s="222" t="s">
        <v>177</v>
      </c>
      <c r="S976" s="222" t="s">
        <v>206</v>
      </c>
      <c r="T976" s="235"/>
      <c r="U976" s="291"/>
      <c r="V976" s="236" t="s">
        <v>179</v>
      </c>
      <c r="W976" s="236" t="s">
        <v>179</v>
      </c>
      <c r="X976" s="236">
        <v>4</v>
      </c>
      <c r="Y976" s="237" t="s">
        <v>5541</v>
      </c>
      <c r="Z976" s="238"/>
      <c r="AA976" s="261" t="s">
        <v>181</v>
      </c>
      <c r="AB976" s="236"/>
      <c r="AC976" s="239"/>
      <c r="AD976" s="240" t="s">
        <v>183</v>
      </c>
      <c r="AE976" s="240" t="s">
        <v>183</v>
      </c>
      <c r="AF976" s="241"/>
      <c r="AG976" s="242"/>
      <c r="AH976" s="243"/>
      <c r="AI976" s="243"/>
      <c r="AJ976" s="258" t="s">
        <v>198</v>
      </c>
      <c r="AK976" s="258" t="s">
        <v>185</v>
      </c>
      <c r="AL976" s="258" t="s">
        <v>185</v>
      </c>
      <c r="AM976" s="244" t="s">
        <v>3911</v>
      </c>
      <c r="AN976" s="20">
        <v>177</v>
      </c>
      <c r="AO976" s="20">
        <v>0</v>
      </c>
      <c r="AP976" s="20">
        <v>20</v>
      </c>
      <c r="AQ976" s="20">
        <v>0</v>
      </c>
      <c r="AR976" s="20">
        <v>0</v>
      </c>
      <c r="AS976" s="20">
        <v>7</v>
      </c>
      <c r="AT976" s="20">
        <v>10</v>
      </c>
      <c r="AU976" s="300">
        <f t="shared" si="166"/>
        <v>214</v>
      </c>
      <c r="AV976" s="20">
        <v>185</v>
      </c>
      <c r="AW976" s="20">
        <v>0</v>
      </c>
      <c r="AX976" s="20">
        <v>20</v>
      </c>
      <c r="AY976" s="20">
        <v>0</v>
      </c>
      <c r="AZ976" s="20">
        <v>0</v>
      </c>
      <c r="BA976" s="20">
        <v>7</v>
      </c>
      <c r="BB976" s="20">
        <v>10</v>
      </c>
      <c r="BC976" s="300">
        <f t="shared" si="167"/>
        <v>222</v>
      </c>
      <c r="BD976" s="42">
        <f t="shared" si="168"/>
        <v>8</v>
      </c>
      <c r="BE976" s="42">
        <f t="shared" si="169"/>
        <v>0</v>
      </c>
      <c r="BF976" s="42">
        <f t="shared" si="170"/>
        <v>0</v>
      </c>
      <c r="BG976" s="42">
        <f t="shared" si="171"/>
        <v>0</v>
      </c>
      <c r="BH976" s="42">
        <f t="shared" si="172"/>
        <v>0</v>
      </c>
      <c r="BI976" s="42">
        <f t="shared" si="173"/>
        <v>0</v>
      </c>
      <c r="BJ976" s="42">
        <f t="shared" si="174"/>
        <v>0</v>
      </c>
      <c r="BK976" s="42">
        <f t="shared" si="175"/>
        <v>8</v>
      </c>
    </row>
    <row r="977" spans="1:63" ht="27" customHeight="1">
      <c r="A977" s="222">
        <f t="shared" si="176"/>
        <v>975</v>
      </c>
      <c r="B977" s="223"/>
      <c r="C977" s="223">
        <v>3799</v>
      </c>
      <c r="D977" s="225" t="s">
        <v>5542</v>
      </c>
      <c r="E977" s="226" t="s">
        <v>5543</v>
      </c>
      <c r="F977" s="227" t="s">
        <v>2746</v>
      </c>
      <c r="G977" s="228" t="s">
        <v>5544</v>
      </c>
      <c r="H977" s="229" t="s">
        <v>3897</v>
      </c>
      <c r="I977" s="230" t="s">
        <v>5545</v>
      </c>
      <c r="J977" s="231" t="s">
        <v>173</v>
      </c>
      <c r="K977" s="232">
        <v>30812</v>
      </c>
      <c r="L977" s="233" t="s">
        <v>174</v>
      </c>
      <c r="M977" s="234">
        <v>43773</v>
      </c>
      <c r="N977" s="234"/>
      <c r="O977" s="234"/>
      <c r="P977" s="222" t="s">
        <v>3945</v>
      </c>
      <c r="Q977" s="222" t="s">
        <v>244</v>
      </c>
      <c r="R977" s="222" t="s">
        <v>177</v>
      </c>
      <c r="S977" s="222" t="s">
        <v>206</v>
      </c>
      <c r="T977" s="235"/>
      <c r="U977" s="291"/>
      <c r="V977" s="236" t="s">
        <v>179</v>
      </c>
      <c r="W977" s="236" t="s">
        <v>179</v>
      </c>
      <c r="X977" s="236">
        <v>5</v>
      </c>
      <c r="Y977" s="237" t="s">
        <v>5546</v>
      </c>
      <c r="Z977" s="238"/>
      <c r="AA977" s="261" t="s">
        <v>181</v>
      </c>
      <c r="AB977" s="236"/>
      <c r="AC977" s="239"/>
      <c r="AD977" s="240"/>
      <c r="AE977" s="240"/>
      <c r="AF977" s="241"/>
      <c r="AG977" s="242"/>
      <c r="AH977" s="243"/>
      <c r="AI977" s="243"/>
      <c r="AJ977" s="258" t="s">
        <v>198</v>
      </c>
      <c r="AK977" s="258" t="s">
        <v>185</v>
      </c>
      <c r="AL977" s="258" t="s">
        <v>185</v>
      </c>
      <c r="AM977" s="244" t="s">
        <v>4825</v>
      </c>
      <c r="AN977" s="20">
        <v>182</v>
      </c>
      <c r="AO977" s="20">
        <v>0</v>
      </c>
      <c r="AP977" s="20">
        <v>0</v>
      </c>
      <c r="AQ977" s="20">
        <v>0</v>
      </c>
      <c r="AR977" s="20">
        <v>0</v>
      </c>
      <c r="AS977" s="20">
        <v>7</v>
      </c>
      <c r="AT977" s="20">
        <v>10</v>
      </c>
      <c r="AU977" s="300">
        <f t="shared" si="166"/>
        <v>199</v>
      </c>
      <c r="AV977" s="20">
        <v>190</v>
      </c>
      <c r="AW977" s="20">
        <v>0</v>
      </c>
      <c r="AX977" s="20">
        <v>0</v>
      </c>
      <c r="AY977" s="20">
        <v>0</v>
      </c>
      <c r="AZ977" s="20">
        <v>0</v>
      </c>
      <c r="BA977" s="20">
        <v>7</v>
      </c>
      <c r="BB977" s="20">
        <v>10</v>
      </c>
      <c r="BC977" s="300">
        <f t="shared" si="167"/>
        <v>207</v>
      </c>
      <c r="BD977" s="42">
        <f t="shared" si="168"/>
        <v>8</v>
      </c>
      <c r="BE977" s="42">
        <f t="shared" si="169"/>
        <v>0</v>
      </c>
      <c r="BF977" s="42">
        <f t="shared" si="170"/>
        <v>0</v>
      </c>
      <c r="BG977" s="42">
        <f t="shared" si="171"/>
        <v>0</v>
      </c>
      <c r="BH977" s="42">
        <f t="shared" si="172"/>
        <v>0</v>
      </c>
      <c r="BI977" s="42">
        <f t="shared" si="173"/>
        <v>0</v>
      </c>
      <c r="BJ977" s="42">
        <f t="shared" si="174"/>
        <v>0</v>
      </c>
      <c r="BK977" s="42">
        <f t="shared" si="175"/>
        <v>8</v>
      </c>
    </row>
    <row r="978" spans="1:63" ht="27" customHeight="1">
      <c r="A978" s="222">
        <f t="shared" si="176"/>
        <v>976</v>
      </c>
      <c r="B978" s="223"/>
      <c r="C978" s="223">
        <v>3807</v>
      </c>
      <c r="D978" s="225">
        <v>0</v>
      </c>
      <c r="E978" s="226" t="s">
        <v>5547</v>
      </c>
      <c r="F978" s="227" t="s">
        <v>5548</v>
      </c>
      <c r="G978" s="228" t="s">
        <v>5549</v>
      </c>
      <c r="H978" s="229" t="s">
        <v>5550</v>
      </c>
      <c r="I978" s="230" t="s">
        <v>5551</v>
      </c>
      <c r="J978" s="231" t="s">
        <v>173</v>
      </c>
      <c r="K978" s="232">
        <v>31534</v>
      </c>
      <c r="L978" s="233" t="s">
        <v>174</v>
      </c>
      <c r="M978" s="234">
        <v>43775</v>
      </c>
      <c r="N978" s="234"/>
      <c r="O978" s="234"/>
      <c r="P978" s="222" t="s">
        <v>3945</v>
      </c>
      <c r="Q978" s="222" t="s">
        <v>244</v>
      </c>
      <c r="R978" s="222" t="s">
        <v>177</v>
      </c>
      <c r="S978" s="222" t="s">
        <v>223</v>
      </c>
      <c r="T978" s="235"/>
      <c r="U978" s="291"/>
      <c r="V978" s="236" t="s">
        <v>179</v>
      </c>
      <c r="W978" s="236" t="s">
        <v>179</v>
      </c>
      <c r="X978" s="236">
        <v>9</v>
      </c>
      <c r="Y978" s="237" t="s">
        <v>5552</v>
      </c>
      <c r="Z978" s="238"/>
      <c r="AA978" s="261" t="s">
        <v>181</v>
      </c>
      <c r="AB978" s="236"/>
      <c r="AC978" s="239"/>
      <c r="AD978" s="240" t="s">
        <v>183</v>
      </c>
      <c r="AE978" s="240"/>
      <c r="AF978" s="241"/>
      <c r="AG978" s="242"/>
      <c r="AH978" s="243"/>
      <c r="AI978" s="243"/>
      <c r="AJ978" s="258" t="s">
        <v>198</v>
      </c>
      <c r="AK978" s="258" t="s">
        <v>185</v>
      </c>
      <c r="AL978" s="258" t="s">
        <v>185</v>
      </c>
      <c r="AM978" s="244" t="s">
        <v>3854</v>
      </c>
      <c r="AN978" s="20">
        <v>177</v>
      </c>
      <c r="AO978" s="20">
        <v>0</v>
      </c>
      <c r="AP978" s="20">
        <v>20</v>
      </c>
      <c r="AQ978" s="20">
        <v>0</v>
      </c>
      <c r="AR978" s="20">
        <v>0</v>
      </c>
      <c r="AS978" s="20">
        <v>7</v>
      </c>
      <c r="AT978" s="20">
        <v>10</v>
      </c>
      <c r="AU978" s="300">
        <f t="shared" si="166"/>
        <v>214</v>
      </c>
      <c r="AV978" s="20">
        <v>185</v>
      </c>
      <c r="AW978" s="20">
        <v>0</v>
      </c>
      <c r="AX978" s="20">
        <v>20</v>
      </c>
      <c r="AY978" s="20">
        <v>0</v>
      </c>
      <c r="AZ978" s="20">
        <v>0</v>
      </c>
      <c r="BA978" s="20">
        <v>7</v>
      </c>
      <c r="BB978" s="20">
        <v>10</v>
      </c>
      <c r="BC978" s="300">
        <f t="shared" si="167"/>
        <v>222</v>
      </c>
      <c r="BD978" s="42">
        <f t="shared" si="168"/>
        <v>8</v>
      </c>
      <c r="BE978" s="42">
        <f t="shared" si="169"/>
        <v>0</v>
      </c>
      <c r="BF978" s="42">
        <f t="shared" si="170"/>
        <v>0</v>
      </c>
      <c r="BG978" s="42">
        <f t="shared" si="171"/>
        <v>0</v>
      </c>
      <c r="BH978" s="42">
        <f t="shared" si="172"/>
        <v>0</v>
      </c>
      <c r="BI978" s="42">
        <f t="shared" si="173"/>
        <v>0</v>
      </c>
      <c r="BJ978" s="42">
        <f t="shared" si="174"/>
        <v>0</v>
      </c>
      <c r="BK978" s="42">
        <f t="shared" si="175"/>
        <v>8</v>
      </c>
    </row>
    <row r="979" spans="1:63" ht="27" customHeight="1">
      <c r="A979" s="222">
        <f t="shared" si="176"/>
        <v>977</v>
      </c>
      <c r="B979" s="223"/>
      <c r="C979" s="223">
        <v>3808</v>
      </c>
      <c r="D979" s="225" t="s">
        <v>5553</v>
      </c>
      <c r="E979" s="226" t="s">
        <v>5554</v>
      </c>
      <c r="F979" s="227" t="s">
        <v>3668</v>
      </c>
      <c r="G979" s="228" t="s">
        <v>1687</v>
      </c>
      <c r="H979" s="229" t="s">
        <v>3992</v>
      </c>
      <c r="I979" s="230" t="s">
        <v>98</v>
      </c>
      <c r="J979" s="231" t="s">
        <v>173</v>
      </c>
      <c r="K979" s="232">
        <v>36665</v>
      </c>
      <c r="L979" s="233" t="s">
        <v>174</v>
      </c>
      <c r="M979" s="234">
        <v>43784</v>
      </c>
      <c r="N979" s="234"/>
      <c r="O979" s="234" t="s">
        <v>24</v>
      </c>
      <c r="P979" s="222" t="e">
        <v>#N/A</v>
      </c>
      <c r="Q979" s="222" t="s">
        <v>244</v>
      </c>
      <c r="R979" s="222" t="s">
        <v>177</v>
      </c>
      <c r="S979" s="222" t="s">
        <v>178</v>
      </c>
      <c r="T979" s="235"/>
      <c r="U979" s="291"/>
      <c r="V979" s="236" t="s">
        <v>179</v>
      </c>
      <c r="W979" s="236" t="s">
        <v>179</v>
      </c>
      <c r="X979" s="236">
        <v>6</v>
      </c>
      <c r="Y979" s="237" t="s">
        <v>5555</v>
      </c>
      <c r="Z979" s="261" t="s">
        <v>181</v>
      </c>
      <c r="AA979" s="238"/>
      <c r="AB979" s="236"/>
      <c r="AC979" s="239"/>
      <c r="AD979" s="240"/>
      <c r="AE979" s="240"/>
      <c r="AF979" s="241"/>
      <c r="AG979" s="242"/>
      <c r="AH979" s="243"/>
      <c r="AI979" s="243"/>
      <c r="AJ979" s="258" t="s">
        <v>198</v>
      </c>
      <c r="AK979" s="258" t="s">
        <v>185</v>
      </c>
      <c r="AL979" s="258" t="s">
        <v>185</v>
      </c>
      <c r="AM979" s="244" t="s">
        <v>3854</v>
      </c>
      <c r="AN979" s="20">
        <v>177</v>
      </c>
      <c r="AO979" s="20">
        <v>0</v>
      </c>
      <c r="AP979" s="20">
        <v>20</v>
      </c>
      <c r="AQ979" s="20">
        <v>0</v>
      </c>
      <c r="AR979" s="20">
        <v>0</v>
      </c>
      <c r="AS979" s="20">
        <v>7</v>
      </c>
      <c r="AT979" s="20">
        <v>10</v>
      </c>
      <c r="AU979" s="300">
        <f t="shared" si="166"/>
        <v>214</v>
      </c>
      <c r="AV979" s="20">
        <v>185</v>
      </c>
      <c r="AW979" s="20">
        <v>0</v>
      </c>
      <c r="AX979" s="20">
        <v>20</v>
      </c>
      <c r="AY979" s="20">
        <v>0</v>
      </c>
      <c r="AZ979" s="20">
        <v>0</v>
      </c>
      <c r="BA979" s="20">
        <v>7</v>
      </c>
      <c r="BB979" s="20">
        <v>10</v>
      </c>
      <c r="BC979" s="300">
        <f t="shared" si="167"/>
        <v>222</v>
      </c>
      <c r="BD979" s="42">
        <f t="shared" si="168"/>
        <v>8</v>
      </c>
      <c r="BE979" s="42">
        <f t="shared" si="169"/>
        <v>0</v>
      </c>
      <c r="BF979" s="42">
        <f t="shared" si="170"/>
        <v>0</v>
      </c>
      <c r="BG979" s="42">
        <f t="shared" si="171"/>
        <v>0</v>
      </c>
      <c r="BH979" s="42">
        <f t="shared" si="172"/>
        <v>0</v>
      </c>
      <c r="BI979" s="42">
        <f t="shared" si="173"/>
        <v>0</v>
      </c>
      <c r="BJ979" s="42">
        <f t="shared" si="174"/>
        <v>0</v>
      </c>
      <c r="BK979" s="42">
        <f t="shared" si="175"/>
        <v>8</v>
      </c>
    </row>
    <row r="980" spans="1:63" ht="27" customHeight="1">
      <c r="A980" s="222">
        <f t="shared" si="176"/>
        <v>978</v>
      </c>
      <c r="B980" s="223"/>
      <c r="C980" s="223">
        <v>3820</v>
      </c>
      <c r="D980" s="225" t="s">
        <v>5556</v>
      </c>
      <c r="E980" s="226" t="s">
        <v>5557</v>
      </c>
      <c r="F980" s="227" t="s">
        <v>971</v>
      </c>
      <c r="G980" s="228" t="s">
        <v>5558</v>
      </c>
      <c r="H980" s="229" t="s">
        <v>5559</v>
      </c>
      <c r="I980" s="230" t="s">
        <v>5560</v>
      </c>
      <c r="J980" s="231" t="s">
        <v>173</v>
      </c>
      <c r="K980" s="232">
        <v>32493</v>
      </c>
      <c r="L980" s="233" t="s">
        <v>174</v>
      </c>
      <c r="M980" s="234">
        <v>43784</v>
      </c>
      <c r="N980" s="234"/>
      <c r="O980" s="234" t="s">
        <v>24</v>
      </c>
      <c r="P980" s="222" t="e">
        <v>#N/A</v>
      </c>
      <c r="Q980" s="222" t="s">
        <v>244</v>
      </c>
      <c r="R980" s="222" t="s">
        <v>177</v>
      </c>
      <c r="S980" s="222" t="s">
        <v>722</v>
      </c>
      <c r="T980" s="235"/>
      <c r="U980" s="291"/>
      <c r="V980" s="236" t="s">
        <v>179</v>
      </c>
      <c r="W980" s="236" t="s">
        <v>179</v>
      </c>
      <c r="X980" s="236">
        <v>9</v>
      </c>
      <c r="Y980" s="237" t="s">
        <v>5561</v>
      </c>
      <c r="Z980" s="238"/>
      <c r="AA980" s="261" t="s">
        <v>181</v>
      </c>
      <c r="AB980" s="236"/>
      <c r="AC980" s="239"/>
      <c r="AD980" s="240" t="s">
        <v>183</v>
      </c>
      <c r="AE980" s="240" t="s">
        <v>3602</v>
      </c>
      <c r="AF980" s="241"/>
      <c r="AG980" s="242"/>
      <c r="AH980" s="243"/>
      <c r="AI980" s="243"/>
      <c r="AJ980" s="258" t="s">
        <v>198</v>
      </c>
      <c r="AK980" s="258" t="s">
        <v>185</v>
      </c>
      <c r="AL980" s="258" t="s">
        <v>185</v>
      </c>
      <c r="AM980" s="244" t="s">
        <v>3854</v>
      </c>
      <c r="AN980" s="20">
        <v>177</v>
      </c>
      <c r="AO980" s="20">
        <v>0</v>
      </c>
      <c r="AP980" s="20">
        <v>20</v>
      </c>
      <c r="AQ980" s="20">
        <v>0</v>
      </c>
      <c r="AR980" s="20">
        <v>0</v>
      </c>
      <c r="AS980" s="20">
        <v>7</v>
      </c>
      <c r="AT980" s="20">
        <v>10</v>
      </c>
      <c r="AU980" s="300">
        <f t="shared" si="166"/>
        <v>214</v>
      </c>
      <c r="AV980" s="20">
        <v>185</v>
      </c>
      <c r="AW980" s="20">
        <v>0</v>
      </c>
      <c r="AX980" s="20">
        <v>20</v>
      </c>
      <c r="AY980" s="20">
        <v>0</v>
      </c>
      <c r="AZ980" s="20">
        <v>0</v>
      </c>
      <c r="BA980" s="20">
        <v>7</v>
      </c>
      <c r="BB980" s="20">
        <v>10</v>
      </c>
      <c r="BC980" s="300">
        <f t="shared" si="167"/>
        <v>222</v>
      </c>
      <c r="BD980" s="42">
        <f t="shared" si="168"/>
        <v>8</v>
      </c>
      <c r="BE980" s="42">
        <f t="shared" si="169"/>
        <v>0</v>
      </c>
      <c r="BF980" s="42">
        <f t="shared" si="170"/>
        <v>0</v>
      </c>
      <c r="BG980" s="42">
        <f t="shared" si="171"/>
        <v>0</v>
      </c>
      <c r="BH980" s="42">
        <f t="shared" si="172"/>
        <v>0</v>
      </c>
      <c r="BI980" s="42">
        <f t="shared" si="173"/>
        <v>0</v>
      </c>
      <c r="BJ980" s="42">
        <f t="shared" si="174"/>
        <v>0</v>
      </c>
      <c r="BK980" s="42">
        <f t="shared" si="175"/>
        <v>8</v>
      </c>
    </row>
    <row r="981" spans="1:63" ht="27" customHeight="1">
      <c r="A981" s="222">
        <f t="shared" si="176"/>
        <v>979</v>
      </c>
      <c r="B981" s="223"/>
      <c r="C981" s="223">
        <v>3819</v>
      </c>
      <c r="D981" s="225">
        <v>0</v>
      </c>
      <c r="E981" s="226" t="s">
        <v>291</v>
      </c>
      <c r="F981" s="227" t="s">
        <v>727</v>
      </c>
      <c r="G981" s="228" t="s">
        <v>1804</v>
      </c>
      <c r="H981" s="229">
        <v>0</v>
      </c>
      <c r="I981" s="230">
        <v>0</v>
      </c>
      <c r="J981" s="231" t="s">
        <v>173</v>
      </c>
      <c r="K981" s="232">
        <v>36779</v>
      </c>
      <c r="L981" s="233" t="s">
        <v>174</v>
      </c>
      <c r="M981" s="234">
        <v>43784</v>
      </c>
      <c r="N981" s="234"/>
      <c r="O981" s="234"/>
      <c r="P981" s="222" t="e">
        <v>#N/A</v>
      </c>
      <c r="Q981" s="222" t="s">
        <v>244</v>
      </c>
      <c r="R981" s="222" t="s">
        <v>177</v>
      </c>
      <c r="S981" s="222" t="s">
        <v>206</v>
      </c>
      <c r="T981" s="235"/>
      <c r="U981" s="291"/>
      <c r="V981" s="236" t="s">
        <v>179</v>
      </c>
      <c r="W981" s="236">
        <v>1244</v>
      </c>
      <c r="X981" s="236">
        <v>6</v>
      </c>
      <c r="Y981" s="237" t="s">
        <v>5562</v>
      </c>
      <c r="Z981" s="261" t="s">
        <v>181</v>
      </c>
      <c r="AA981" s="238"/>
      <c r="AB981" s="236"/>
      <c r="AC981" s="239"/>
      <c r="AD981" s="240"/>
      <c r="AE981" s="240"/>
      <c r="AF981" s="241"/>
      <c r="AG981" s="242"/>
      <c r="AH981" s="243"/>
      <c r="AI981" s="243"/>
      <c r="AJ981" s="258" t="s">
        <v>198</v>
      </c>
      <c r="AK981" s="258" t="s">
        <v>185</v>
      </c>
      <c r="AL981" s="258" t="s">
        <v>185</v>
      </c>
      <c r="AM981" s="244" t="s">
        <v>3854</v>
      </c>
      <c r="AN981" s="20">
        <v>177</v>
      </c>
      <c r="AO981" s="20">
        <v>0</v>
      </c>
      <c r="AP981" s="20">
        <v>20</v>
      </c>
      <c r="AQ981" s="20">
        <v>0</v>
      </c>
      <c r="AR981" s="20">
        <v>0</v>
      </c>
      <c r="AS981" s="20">
        <v>7</v>
      </c>
      <c r="AT981" s="20">
        <v>10</v>
      </c>
      <c r="AU981" s="300">
        <f t="shared" si="166"/>
        <v>214</v>
      </c>
      <c r="AV981" s="20">
        <v>185</v>
      </c>
      <c r="AW981" s="20">
        <v>0</v>
      </c>
      <c r="AX981" s="20">
        <v>20</v>
      </c>
      <c r="AY981" s="20">
        <v>0</v>
      </c>
      <c r="AZ981" s="20">
        <v>0</v>
      </c>
      <c r="BA981" s="20">
        <v>7</v>
      </c>
      <c r="BB981" s="20">
        <v>10</v>
      </c>
      <c r="BC981" s="300">
        <f t="shared" si="167"/>
        <v>222</v>
      </c>
      <c r="BD981" s="42">
        <f t="shared" si="168"/>
        <v>8</v>
      </c>
      <c r="BE981" s="42">
        <f t="shared" si="169"/>
        <v>0</v>
      </c>
      <c r="BF981" s="42">
        <f t="shared" si="170"/>
        <v>0</v>
      </c>
      <c r="BG981" s="42">
        <f t="shared" si="171"/>
        <v>0</v>
      </c>
      <c r="BH981" s="42">
        <f t="shared" si="172"/>
        <v>0</v>
      </c>
      <c r="BI981" s="42">
        <f t="shared" si="173"/>
        <v>0</v>
      </c>
      <c r="BJ981" s="42">
        <f t="shared" si="174"/>
        <v>0</v>
      </c>
      <c r="BK981" s="42">
        <f t="shared" si="175"/>
        <v>8</v>
      </c>
    </row>
    <row r="982" spans="1:63" ht="27" customHeight="1">
      <c r="A982" s="222">
        <f t="shared" si="176"/>
        <v>980</v>
      </c>
      <c r="B982" s="223"/>
      <c r="C982" s="223">
        <v>3809</v>
      </c>
      <c r="D982" s="225" t="s">
        <v>5563</v>
      </c>
      <c r="E982" s="226" t="s">
        <v>5564</v>
      </c>
      <c r="F982" s="227" t="s">
        <v>2939</v>
      </c>
      <c r="G982" s="228" t="s">
        <v>5565</v>
      </c>
      <c r="H982" s="229" t="s">
        <v>5566</v>
      </c>
      <c r="I982" s="230" t="s">
        <v>5567</v>
      </c>
      <c r="J982" s="231" t="s">
        <v>173</v>
      </c>
      <c r="K982" s="232">
        <v>33665</v>
      </c>
      <c r="L982" s="233" t="s">
        <v>174</v>
      </c>
      <c r="M982" s="234">
        <v>43784</v>
      </c>
      <c r="N982" s="234"/>
      <c r="O982" s="234"/>
      <c r="P982" s="222" t="e">
        <v>#N/A</v>
      </c>
      <c r="Q982" s="222" t="s">
        <v>244</v>
      </c>
      <c r="R982" s="222" t="s">
        <v>177</v>
      </c>
      <c r="S982" s="222" t="s">
        <v>223</v>
      </c>
      <c r="T982" s="235"/>
      <c r="U982" s="291"/>
      <c r="V982" s="236" t="s">
        <v>179</v>
      </c>
      <c r="W982" s="236" t="s">
        <v>179</v>
      </c>
      <c r="X982" s="236">
        <v>5</v>
      </c>
      <c r="Y982" s="237" t="s">
        <v>5568</v>
      </c>
      <c r="Z982" s="238"/>
      <c r="AA982" s="261" t="s">
        <v>181</v>
      </c>
      <c r="AB982" s="236"/>
      <c r="AC982" s="239"/>
      <c r="AD982" s="240" t="s">
        <v>3602</v>
      </c>
      <c r="AE982" s="240"/>
      <c r="AF982" s="241"/>
      <c r="AG982" s="242"/>
      <c r="AH982" s="243"/>
      <c r="AI982" s="243"/>
      <c r="AJ982" s="258" t="s">
        <v>198</v>
      </c>
      <c r="AK982" s="258" t="s">
        <v>185</v>
      </c>
      <c r="AL982" s="258" t="s">
        <v>185</v>
      </c>
      <c r="AM982" s="244" t="s">
        <v>3854</v>
      </c>
      <c r="AN982" s="20">
        <v>182</v>
      </c>
      <c r="AO982" s="20">
        <v>0</v>
      </c>
      <c r="AP982" s="20">
        <v>20</v>
      </c>
      <c r="AQ982" s="20">
        <v>0</v>
      </c>
      <c r="AR982" s="20">
        <v>0</v>
      </c>
      <c r="AS982" s="20">
        <v>7</v>
      </c>
      <c r="AT982" s="20">
        <v>10</v>
      </c>
      <c r="AU982" s="300">
        <f t="shared" si="166"/>
        <v>219</v>
      </c>
      <c r="AV982" s="20">
        <v>190</v>
      </c>
      <c r="AW982" s="20">
        <v>0</v>
      </c>
      <c r="AX982" s="20">
        <v>20</v>
      </c>
      <c r="AY982" s="20">
        <v>0</v>
      </c>
      <c r="AZ982" s="20">
        <v>0</v>
      </c>
      <c r="BA982" s="20">
        <v>7</v>
      </c>
      <c r="BB982" s="20">
        <v>10</v>
      </c>
      <c r="BC982" s="300">
        <f t="shared" si="167"/>
        <v>227</v>
      </c>
      <c r="BD982" s="42">
        <f t="shared" si="168"/>
        <v>8</v>
      </c>
      <c r="BE982" s="42">
        <f t="shared" si="169"/>
        <v>0</v>
      </c>
      <c r="BF982" s="42">
        <f t="shared" si="170"/>
        <v>0</v>
      </c>
      <c r="BG982" s="42">
        <f t="shared" si="171"/>
        <v>0</v>
      </c>
      <c r="BH982" s="42">
        <f t="shared" si="172"/>
        <v>0</v>
      </c>
      <c r="BI982" s="42">
        <f t="shared" si="173"/>
        <v>0</v>
      </c>
      <c r="BJ982" s="42">
        <f t="shared" si="174"/>
        <v>0</v>
      </c>
      <c r="BK982" s="42">
        <f t="shared" si="175"/>
        <v>8</v>
      </c>
    </row>
    <row r="983" spans="1:63" ht="27" customHeight="1">
      <c r="A983" s="222">
        <f t="shared" si="176"/>
        <v>981</v>
      </c>
      <c r="B983" s="223"/>
      <c r="C983" s="223">
        <v>3823</v>
      </c>
      <c r="D983" s="225" t="s">
        <v>5569</v>
      </c>
      <c r="E983" s="226" t="s">
        <v>5570</v>
      </c>
      <c r="F983" s="227" t="s">
        <v>5571</v>
      </c>
      <c r="G983" s="228" t="s">
        <v>3921</v>
      </c>
      <c r="H983" s="229" t="s">
        <v>5412</v>
      </c>
      <c r="I983" s="230" t="s">
        <v>5572</v>
      </c>
      <c r="J983" s="231" t="s">
        <v>173</v>
      </c>
      <c r="K983" s="232">
        <v>31573</v>
      </c>
      <c r="L983" s="233" t="s">
        <v>174</v>
      </c>
      <c r="M983" s="234">
        <v>43785</v>
      </c>
      <c r="N983" s="234"/>
      <c r="O983" s="234" t="s">
        <v>3994</v>
      </c>
      <c r="P983" s="222" t="e">
        <v>#N/A</v>
      </c>
      <c r="Q983" s="222" t="s">
        <v>244</v>
      </c>
      <c r="R983" s="222" t="s">
        <v>177</v>
      </c>
      <c r="S983" s="222" t="s">
        <v>214</v>
      </c>
      <c r="T983" s="235"/>
      <c r="U983" s="291"/>
      <c r="V983" s="236" t="s">
        <v>179</v>
      </c>
      <c r="W983" s="236" t="s">
        <v>179</v>
      </c>
      <c r="X983" s="236">
        <v>1</v>
      </c>
      <c r="Y983" s="237" t="s">
        <v>5573</v>
      </c>
      <c r="Z983" s="238"/>
      <c r="AA983" s="261" t="s">
        <v>181</v>
      </c>
      <c r="AB983" s="236"/>
      <c r="AC983" s="239"/>
      <c r="AD983" s="240"/>
      <c r="AE983" s="240"/>
      <c r="AF983" s="241"/>
      <c r="AG983" s="242"/>
      <c r="AH983" s="243"/>
      <c r="AI983" s="243"/>
      <c r="AJ983" s="258" t="s">
        <v>198</v>
      </c>
      <c r="AK983" s="258" t="s">
        <v>185</v>
      </c>
      <c r="AL983" s="258" t="s">
        <v>185</v>
      </c>
      <c r="AM983" s="244" t="s">
        <v>3854</v>
      </c>
      <c r="AN983" s="20">
        <v>177</v>
      </c>
      <c r="AO983" s="20">
        <v>0</v>
      </c>
      <c r="AP983" s="20">
        <v>20</v>
      </c>
      <c r="AQ983" s="20">
        <v>0</v>
      </c>
      <c r="AR983" s="20">
        <v>0</v>
      </c>
      <c r="AS983" s="20">
        <v>7</v>
      </c>
      <c r="AT983" s="20">
        <v>10</v>
      </c>
      <c r="AU983" s="300">
        <f t="shared" si="166"/>
        <v>214</v>
      </c>
      <c r="AV983" s="20">
        <v>185</v>
      </c>
      <c r="AW983" s="20">
        <v>0</v>
      </c>
      <c r="AX983" s="20">
        <v>20</v>
      </c>
      <c r="AY983" s="20">
        <v>0</v>
      </c>
      <c r="AZ983" s="20">
        <v>0</v>
      </c>
      <c r="BA983" s="20">
        <v>7</v>
      </c>
      <c r="BB983" s="20">
        <v>10</v>
      </c>
      <c r="BC983" s="300">
        <f t="shared" si="167"/>
        <v>222</v>
      </c>
      <c r="BD983" s="42">
        <f t="shared" si="168"/>
        <v>8</v>
      </c>
      <c r="BE983" s="42">
        <f t="shared" si="169"/>
        <v>0</v>
      </c>
      <c r="BF983" s="42">
        <f t="shared" si="170"/>
        <v>0</v>
      </c>
      <c r="BG983" s="42">
        <f t="shared" si="171"/>
        <v>0</v>
      </c>
      <c r="BH983" s="42">
        <f t="shared" si="172"/>
        <v>0</v>
      </c>
      <c r="BI983" s="42">
        <f t="shared" si="173"/>
        <v>0</v>
      </c>
      <c r="BJ983" s="42">
        <f t="shared" si="174"/>
        <v>0</v>
      </c>
      <c r="BK983" s="42">
        <f t="shared" si="175"/>
        <v>8</v>
      </c>
    </row>
    <row r="984" spans="1:63" ht="27" customHeight="1">
      <c r="A984" s="222">
        <f t="shared" si="176"/>
        <v>982</v>
      </c>
      <c r="B984" s="223"/>
      <c r="C984" s="223">
        <v>3839</v>
      </c>
      <c r="D984" s="225" t="s">
        <v>5574</v>
      </c>
      <c r="E984" s="226" t="s">
        <v>5575</v>
      </c>
      <c r="F984" s="227" t="s">
        <v>5576</v>
      </c>
      <c r="G984" s="228" t="s">
        <v>4003</v>
      </c>
      <c r="H984" s="229" t="s">
        <v>5577</v>
      </c>
      <c r="I984" s="230" t="s">
        <v>5578</v>
      </c>
      <c r="J984" s="231" t="s">
        <v>173</v>
      </c>
      <c r="K984" s="232">
        <v>29756</v>
      </c>
      <c r="L984" s="233" t="s">
        <v>174</v>
      </c>
      <c r="M984" s="234">
        <v>43787</v>
      </c>
      <c r="N984" s="234"/>
      <c r="O984" s="234"/>
      <c r="P984" s="222" t="e">
        <v>#N/A</v>
      </c>
      <c r="Q984" s="222" t="s">
        <v>244</v>
      </c>
      <c r="R984" s="222" t="s">
        <v>177</v>
      </c>
      <c r="S984" s="222" t="s">
        <v>178</v>
      </c>
      <c r="T984" s="235"/>
      <c r="U984" s="291"/>
      <c r="V984" s="236" t="s">
        <v>179</v>
      </c>
      <c r="W984" s="236" t="s">
        <v>179</v>
      </c>
      <c r="X984" s="236">
        <v>5</v>
      </c>
      <c r="Y984" s="237" t="s">
        <v>5579</v>
      </c>
      <c r="Z984" s="238"/>
      <c r="AA984" s="261" t="s">
        <v>181</v>
      </c>
      <c r="AB984" s="236"/>
      <c r="AC984" s="239"/>
      <c r="AD984" s="240" t="s">
        <v>183</v>
      </c>
      <c r="AE984" s="240" t="s">
        <v>183</v>
      </c>
      <c r="AF984" s="240" t="s">
        <v>183</v>
      </c>
      <c r="AG984" s="242"/>
      <c r="AH984" s="243"/>
      <c r="AI984" s="243"/>
      <c r="AJ984" s="258" t="s">
        <v>198</v>
      </c>
      <c r="AK984" s="258" t="s">
        <v>185</v>
      </c>
      <c r="AL984" s="258" t="s">
        <v>185</v>
      </c>
      <c r="AM984" s="244" t="s">
        <v>5580</v>
      </c>
      <c r="AN984" s="20">
        <v>177</v>
      </c>
      <c r="AO984" s="20">
        <v>0</v>
      </c>
      <c r="AP984" s="20">
        <v>20</v>
      </c>
      <c r="AQ984" s="20">
        <v>0</v>
      </c>
      <c r="AR984" s="20">
        <v>0</v>
      </c>
      <c r="AS984" s="20">
        <v>7</v>
      </c>
      <c r="AT984" s="20">
        <v>10</v>
      </c>
      <c r="AU984" s="300">
        <f t="shared" si="166"/>
        <v>214</v>
      </c>
      <c r="AV984" s="20">
        <v>185</v>
      </c>
      <c r="AW984" s="20">
        <v>0</v>
      </c>
      <c r="AX984" s="20">
        <v>20</v>
      </c>
      <c r="AY984" s="20">
        <v>0</v>
      </c>
      <c r="AZ984" s="20">
        <v>0</v>
      </c>
      <c r="BA984" s="20">
        <v>7</v>
      </c>
      <c r="BB984" s="20">
        <v>10</v>
      </c>
      <c r="BC984" s="300">
        <f t="shared" si="167"/>
        <v>222</v>
      </c>
      <c r="BD984" s="42">
        <f t="shared" si="168"/>
        <v>8</v>
      </c>
      <c r="BE984" s="42">
        <f t="shared" si="169"/>
        <v>0</v>
      </c>
      <c r="BF984" s="42">
        <f t="shared" si="170"/>
        <v>0</v>
      </c>
      <c r="BG984" s="42">
        <f t="shared" si="171"/>
        <v>0</v>
      </c>
      <c r="BH984" s="42">
        <f t="shared" si="172"/>
        <v>0</v>
      </c>
      <c r="BI984" s="42">
        <f t="shared" si="173"/>
        <v>0</v>
      </c>
      <c r="BJ984" s="42">
        <f t="shared" si="174"/>
        <v>0</v>
      </c>
      <c r="BK984" s="42">
        <f t="shared" si="175"/>
        <v>8</v>
      </c>
    </row>
    <row r="985" spans="1:63" ht="27" customHeight="1">
      <c r="A985" s="222">
        <f t="shared" si="176"/>
        <v>983</v>
      </c>
      <c r="B985" s="223"/>
      <c r="C985" s="223">
        <v>3838</v>
      </c>
      <c r="D985" s="225" t="s">
        <v>5581</v>
      </c>
      <c r="E985" s="226" t="s">
        <v>5582</v>
      </c>
      <c r="F985" s="227" t="s">
        <v>2422</v>
      </c>
      <c r="G985" s="228" t="s">
        <v>5583</v>
      </c>
      <c r="H985" s="229" t="s">
        <v>4513</v>
      </c>
      <c r="I985" s="230" t="s">
        <v>5584</v>
      </c>
      <c r="J985" s="231" t="s">
        <v>173</v>
      </c>
      <c r="K985" s="232">
        <v>29593</v>
      </c>
      <c r="L985" s="233" t="s">
        <v>174</v>
      </c>
      <c r="M985" s="234">
        <v>43787</v>
      </c>
      <c r="N985" s="234"/>
      <c r="O985" s="234"/>
      <c r="P985" s="222" t="e">
        <v>#N/A</v>
      </c>
      <c r="Q985" s="222" t="s">
        <v>244</v>
      </c>
      <c r="R985" s="222" t="s">
        <v>177</v>
      </c>
      <c r="S985" s="222" t="s">
        <v>178</v>
      </c>
      <c r="T985" s="235"/>
      <c r="U985" s="291"/>
      <c r="V985" s="236" t="s">
        <v>179</v>
      </c>
      <c r="W985" s="236" t="s">
        <v>179</v>
      </c>
      <c r="X985" s="236">
        <v>5</v>
      </c>
      <c r="Y985" s="237" t="s">
        <v>5585</v>
      </c>
      <c r="Z985" s="238"/>
      <c r="AA985" s="261" t="s">
        <v>181</v>
      </c>
      <c r="AB985" s="236"/>
      <c r="AC985" s="239"/>
      <c r="AD985" s="240" t="s">
        <v>182</v>
      </c>
      <c r="AE985" s="240" t="s">
        <v>183</v>
      </c>
      <c r="AF985" s="241"/>
      <c r="AG985" s="242"/>
      <c r="AH985" s="243"/>
      <c r="AI985" s="243"/>
      <c r="AJ985" s="244" t="s">
        <v>185</v>
      </c>
      <c r="AK985" s="258" t="s">
        <v>185</v>
      </c>
      <c r="AL985" s="258" t="s">
        <v>185</v>
      </c>
      <c r="AM985" s="244" t="s">
        <v>3854</v>
      </c>
      <c r="AN985" s="20">
        <v>182</v>
      </c>
      <c r="AO985" s="20">
        <v>0</v>
      </c>
      <c r="AP985" s="20">
        <v>20</v>
      </c>
      <c r="AQ985" s="20">
        <v>0</v>
      </c>
      <c r="AR985" s="20">
        <v>0</v>
      </c>
      <c r="AS985" s="20">
        <v>7</v>
      </c>
      <c r="AT985" s="20">
        <v>10</v>
      </c>
      <c r="AU985" s="300">
        <f t="shared" si="166"/>
        <v>219</v>
      </c>
      <c r="AV985" s="20">
        <v>190</v>
      </c>
      <c r="AW985" s="20">
        <v>0</v>
      </c>
      <c r="AX985" s="20">
        <v>20</v>
      </c>
      <c r="AY985" s="20">
        <v>0</v>
      </c>
      <c r="AZ985" s="20">
        <v>0</v>
      </c>
      <c r="BA985" s="20">
        <v>7</v>
      </c>
      <c r="BB985" s="20">
        <v>10</v>
      </c>
      <c r="BC985" s="300">
        <f t="shared" si="167"/>
        <v>227</v>
      </c>
      <c r="BD985" s="42">
        <f t="shared" si="168"/>
        <v>8</v>
      </c>
      <c r="BE985" s="42">
        <f t="shared" si="169"/>
        <v>0</v>
      </c>
      <c r="BF985" s="42">
        <f t="shared" si="170"/>
        <v>0</v>
      </c>
      <c r="BG985" s="42">
        <f t="shared" si="171"/>
        <v>0</v>
      </c>
      <c r="BH985" s="42">
        <f t="shared" si="172"/>
        <v>0</v>
      </c>
      <c r="BI985" s="42">
        <f t="shared" si="173"/>
        <v>0</v>
      </c>
      <c r="BJ985" s="42">
        <f t="shared" si="174"/>
        <v>0</v>
      </c>
      <c r="BK985" s="42">
        <f t="shared" si="175"/>
        <v>8</v>
      </c>
    </row>
    <row r="986" spans="1:63" ht="27" customHeight="1">
      <c r="A986" s="222">
        <f t="shared" si="176"/>
        <v>984</v>
      </c>
      <c r="B986" s="223"/>
      <c r="C986" s="223">
        <v>3825</v>
      </c>
      <c r="D986" s="225" t="s">
        <v>5586</v>
      </c>
      <c r="E986" s="226" t="s">
        <v>5587</v>
      </c>
      <c r="F986" s="227" t="s">
        <v>2932</v>
      </c>
      <c r="G986" s="228" t="s">
        <v>3593</v>
      </c>
      <c r="H986" s="229" t="s">
        <v>5588</v>
      </c>
      <c r="I986" s="230" t="s">
        <v>3595</v>
      </c>
      <c r="J986" s="231" t="s">
        <v>173</v>
      </c>
      <c r="K986" s="232">
        <v>36358</v>
      </c>
      <c r="L986" s="233" t="s">
        <v>174</v>
      </c>
      <c r="M986" s="234">
        <v>43787</v>
      </c>
      <c r="N986" s="234"/>
      <c r="O986" s="234"/>
      <c r="P986" s="222" t="e">
        <v>#N/A</v>
      </c>
      <c r="Q986" s="222" t="s">
        <v>244</v>
      </c>
      <c r="R986" s="222" t="s">
        <v>177</v>
      </c>
      <c r="S986" s="222" t="s">
        <v>3596</v>
      </c>
      <c r="T986" s="235"/>
      <c r="U986" s="291"/>
      <c r="V986" s="236" t="s">
        <v>179</v>
      </c>
      <c r="W986" s="236" t="s">
        <v>179</v>
      </c>
      <c r="X986" s="236">
        <v>6</v>
      </c>
      <c r="Y986" s="237" t="s">
        <v>5589</v>
      </c>
      <c r="Z986" s="261" t="s">
        <v>181</v>
      </c>
      <c r="AA986" s="238"/>
      <c r="AB986" s="236"/>
      <c r="AC986" s="239"/>
      <c r="AD986" s="240"/>
      <c r="AE986" s="240"/>
      <c r="AF986" s="241"/>
      <c r="AG986" s="242"/>
      <c r="AH986" s="243"/>
      <c r="AI986" s="243"/>
      <c r="AJ986" s="258" t="s">
        <v>198</v>
      </c>
      <c r="AK986" s="258" t="s">
        <v>185</v>
      </c>
      <c r="AL986" s="258" t="s">
        <v>185</v>
      </c>
      <c r="AM986" s="244" t="s">
        <v>3854</v>
      </c>
      <c r="AN986" s="20">
        <v>177</v>
      </c>
      <c r="AO986" s="20">
        <v>0</v>
      </c>
      <c r="AP986" s="20">
        <v>20</v>
      </c>
      <c r="AQ986" s="20">
        <v>0</v>
      </c>
      <c r="AR986" s="20">
        <v>0</v>
      </c>
      <c r="AS986" s="20">
        <v>7</v>
      </c>
      <c r="AT986" s="20">
        <v>10</v>
      </c>
      <c r="AU986" s="300">
        <f t="shared" si="166"/>
        <v>214</v>
      </c>
      <c r="AV986" s="20">
        <v>185</v>
      </c>
      <c r="AW986" s="20">
        <v>0</v>
      </c>
      <c r="AX986" s="20">
        <v>20</v>
      </c>
      <c r="AY986" s="20">
        <v>0</v>
      </c>
      <c r="AZ986" s="20">
        <v>0</v>
      </c>
      <c r="BA986" s="20">
        <v>7</v>
      </c>
      <c r="BB986" s="20">
        <v>10</v>
      </c>
      <c r="BC986" s="300">
        <f t="shared" si="167"/>
        <v>222</v>
      </c>
      <c r="BD986" s="42">
        <f t="shared" si="168"/>
        <v>8</v>
      </c>
      <c r="BE986" s="42">
        <f t="shared" si="169"/>
        <v>0</v>
      </c>
      <c r="BF986" s="42">
        <f t="shared" si="170"/>
        <v>0</v>
      </c>
      <c r="BG986" s="42">
        <f t="shared" si="171"/>
        <v>0</v>
      </c>
      <c r="BH986" s="42">
        <f t="shared" si="172"/>
        <v>0</v>
      </c>
      <c r="BI986" s="42">
        <f t="shared" si="173"/>
        <v>0</v>
      </c>
      <c r="BJ986" s="42">
        <f t="shared" si="174"/>
        <v>0</v>
      </c>
      <c r="BK986" s="42">
        <f t="shared" si="175"/>
        <v>8</v>
      </c>
    </row>
    <row r="987" spans="1:63" ht="27" customHeight="1">
      <c r="A987" s="222">
        <f t="shared" si="176"/>
        <v>985</v>
      </c>
      <c r="B987" s="223"/>
      <c r="C987" s="223">
        <v>3835</v>
      </c>
      <c r="D987" s="225" t="s">
        <v>5590</v>
      </c>
      <c r="E987" s="226" t="s">
        <v>5591</v>
      </c>
      <c r="F987" s="227" t="s">
        <v>1173</v>
      </c>
      <c r="G987" s="228" t="s">
        <v>5592</v>
      </c>
      <c r="H987" s="229" t="s">
        <v>4295</v>
      </c>
      <c r="I987" s="230" t="s">
        <v>5593</v>
      </c>
      <c r="J987" s="231" t="s">
        <v>173</v>
      </c>
      <c r="K987" s="232">
        <v>35065</v>
      </c>
      <c r="L987" s="233" t="s">
        <v>174</v>
      </c>
      <c r="M987" s="234">
        <v>43787</v>
      </c>
      <c r="N987" s="234"/>
      <c r="O987" s="234"/>
      <c r="P987" s="222" t="e">
        <v>#N/A</v>
      </c>
      <c r="Q987" s="222" t="s">
        <v>244</v>
      </c>
      <c r="R987" s="222" t="s">
        <v>177</v>
      </c>
      <c r="S987" s="222" t="s">
        <v>223</v>
      </c>
      <c r="T987" s="235"/>
      <c r="U987" s="291"/>
      <c r="V987" s="236" t="s">
        <v>179</v>
      </c>
      <c r="W987" s="236" t="s">
        <v>179</v>
      </c>
      <c r="X987" s="236">
        <v>9</v>
      </c>
      <c r="Y987" s="237" t="s">
        <v>5594</v>
      </c>
      <c r="Z987" s="238"/>
      <c r="AA987" s="261" t="s">
        <v>181</v>
      </c>
      <c r="AB987" s="236"/>
      <c r="AC987" s="239"/>
      <c r="AD987" s="240"/>
      <c r="AE987" s="240"/>
      <c r="AF987" s="241"/>
      <c r="AG987" s="242"/>
      <c r="AH987" s="243"/>
      <c r="AI987" s="243"/>
      <c r="AJ987" s="258" t="s">
        <v>198</v>
      </c>
      <c r="AK987" s="258" t="s">
        <v>185</v>
      </c>
      <c r="AL987" s="258" t="s">
        <v>185</v>
      </c>
      <c r="AM987" s="244" t="s">
        <v>3854</v>
      </c>
      <c r="AN987" s="20">
        <v>177</v>
      </c>
      <c r="AO987" s="20">
        <v>0</v>
      </c>
      <c r="AP987" s="20">
        <v>20</v>
      </c>
      <c r="AQ987" s="20">
        <v>0</v>
      </c>
      <c r="AR987" s="20">
        <v>0</v>
      </c>
      <c r="AS987" s="20">
        <v>7</v>
      </c>
      <c r="AT987" s="20">
        <v>10</v>
      </c>
      <c r="AU987" s="300">
        <f t="shared" si="166"/>
        <v>214</v>
      </c>
      <c r="AV987" s="20">
        <v>185</v>
      </c>
      <c r="AW987" s="20">
        <v>0</v>
      </c>
      <c r="AX987" s="20">
        <v>20</v>
      </c>
      <c r="AY987" s="20">
        <v>0</v>
      </c>
      <c r="AZ987" s="20">
        <v>0</v>
      </c>
      <c r="BA987" s="20">
        <v>7</v>
      </c>
      <c r="BB987" s="20">
        <v>10</v>
      </c>
      <c r="BC987" s="300">
        <f t="shared" si="167"/>
        <v>222</v>
      </c>
      <c r="BD987" s="42">
        <f t="shared" si="168"/>
        <v>8</v>
      </c>
      <c r="BE987" s="42">
        <f t="shared" si="169"/>
        <v>0</v>
      </c>
      <c r="BF987" s="42">
        <f t="shared" si="170"/>
        <v>0</v>
      </c>
      <c r="BG987" s="42">
        <f t="shared" si="171"/>
        <v>0</v>
      </c>
      <c r="BH987" s="42">
        <f t="shared" si="172"/>
        <v>0</v>
      </c>
      <c r="BI987" s="42">
        <f t="shared" si="173"/>
        <v>0</v>
      </c>
      <c r="BJ987" s="42">
        <f t="shared" si="174"/>
        <v>0</v>
      </c>
      <c r="BK987" s="42">
        <f t="shared" si="175"/>
        <v>8</v>
      </c>
    </row>
    <row r="988" spans="1:63" ht="27" customHeight="1">
      <c r="A988" s="222">
        <f t="shared" si="176"/>
        <v>986</v>
      </c>
      <c r="B988" s="223"/>
      <c r="C988" s="223">
        <v>3828</v>
      </c>
      <c r="D988" s="225" t="s">
        <v>5595</v>
      </c>
      <c r="E988" s="226" t="s">
        <v>5596</v>
      </c>
      <c r="F988" s="227" t="s">
        <v>2319</v>
      </c>
      <c r="G988" s="228" t="s">
        <v>1378</v>
      </c>
      <c r="H988" s="229" t="s">
        <v>5153</v>
      </c>
      <c r="I988" s="230" t="s">
        <v>1379</v>
      </c>
      <c r="J988" s="231" t="s">
        <v>173</v>
      </c>
      <c r="K988" s="232">
        <v>30841</v>
      </c>
      <c r="L988" s="233" t="s">
        <v>174</v>
      </c>
      <c r="M988" s="234">
        <v>43787</v>
      </c>
      <c r="N988" s="234"/>
      <c r="O988" s="234"/>
      <c r="P988" s="222" t="e">
        <v>#N/A</v>
      </c>
      <c r="Q988" s="222" t="s">
        <v>244</v>
      </c>
      <c r="R988" s="222" t="s">
        <v>177</v>
      </c>
      <c r="S988" s="222" t="s">
        <v>223</v>
      </c>
      <c r="T988" s="235"/>
      <c r="U988" s="291"/>
      <c r="V988" s="236" t="s">
        <v>179</v>
      </c>
      <c r="W988" s="236" t="s">
        <v>179</v>
      </c>
      <c r="X988" s="236">
        <v>1</v>
      </c>
      <c r="Y988" s="237" t="s">
        <v>5597</v>
      </c>
      <c r="Z988" s="238"/>
      <c r="AA988" s="261" t="s">
        <v>181</v>
      </c>
      <c r="AB988" s="236"/>
      <c r="AC988" s="239"/>
      <c r="AD988" s="240"/>
      <c r="AE988" s="240"/>
      <c r="AF988" s="241"/>
      <c r="AG988" s="242"/>
      <c r="AH988" s="243"/>
      <c r="AI988" s="243"/>
      <c r="AJ988" s="258" t="s">
        <v>198</v>
      </c>
      <c r="AK988" s="258" t="s">
        <v>185</v>
      </c>
      <c r="AL988" s="258" t="s">
        <v>185</v>
      </c>
      <c r="AM988" s="244" t="s">
        <v>5580</v>
      </c>
      <c r="AN988" s="20">
        <v>182</v>
      </c>
      <c r="AO988" s="20">
        <v>0</v>
      </c>
      <c r="AP988" s="20">
        <v>20</v>
      </c>
      <c r="AQ988" s="20">
        <v>0</v>
      </c>
      <c r="AR988" s="20">
        <v>0</v>
      </c>
      <c r="AS988" s="20">
        <v>7</v>
      </c>
      <c r="AT988" s="20">
        <v>10</v>
      </c>
      <c r="AU988" s="300">
        <f t="shared" si="166"/>
        <v>219</v>
      </c>
      <c r="AV988" s="20">
        <v>190</v>
      </c>
      <c r="AW988" s="20">
        <v>0</v>
      </c>
      <c r="AX988" s="20">
        <v>20</v>
      </c>
      <c r="AY988" s="20">
        <v>0</v>
      </c>
      <c r="AZ988" s="20">
        <v>0</v>
      </c>
      <c r="BA988" s="20">
        <v>7</v>
      </c>
      <c r="BB988" s="20">
        <v>10</v>
      </c>
      <c r="BC988" s="300">
        <f t="shared" si="167"/>
        <v>227</v>
      </c>
      <c r="BD988" s="42">
        <f t="shared" si="168"/>
        <v>8</v>
      </c>
      <c r="BE988" s="42">
        <f t="shared" si="169"/>
        <v>0</v>
      </c>
      <c r="BF988" s="42">
        <f t="shared" si="170"/>
        <v>0</v>
      </c>
      <c r="BG988" s="42">
        <f t="shared" si="171"/>
        <v>0</v>
      </c>
      <c r="BH988" s="42">
        <f t="shared" si="172"/>
        <v>0</v>
      </c>
      <c r="BI988" s="42">
        <f t="shared" si="173"/>
        <v>0</v>
      </c>
      <c r="BJ988" s="42">
        <f t="shared" si="174"/>
        <v>0</v>
      </c>
      <c r="BK988" s="42">
        <f t="shared" si="175"/>
        <v>8</v>
      </c>
    </row>
    <row r="989" spans="1:63" ht="27" customHeight="1">
      <c r="A989" s="222">
        <f t="shared" si="176"/>
        <v>987</v>
      </c>
      <c r="B989" s="223"/>
      <c r="C989" s="223">
        <v>3836</v>
      </c>
      <c r="D989" s="225">
        <v>0</v>
      </c>
      <c r="E989" s="226" t="s">
        <v>5598</v>
      </c>
      <c r="F989" s="227" t="s">
        <v>3192</v>
      </c>
      <c r="G989" s="228" t="s">
        <v>5599</v>
      </c>
      <c r="H989" s="229" t="s">
        <v>5600</v>
      </c>
      <c r="I989" s="230" t="s">
        <v>5601</v>
      </c>
      <c r="J989" s="231" t="s">
        <v>173</v>
      </c>
      <c r="K989" s="232">
        <v>36567</v>
      </c>
      <c r="L989" s="233" t="s">
        <v>174</v>
      </c>
      <c r="M989" s="234">
        <v>43787</v>
      </c>
      <c r="N989" s="234"/>
      <c r="O989" s="234"/>
      <c r="P989" s="222" t="e">
        <v>#N/A</v>
      </c>
      <c r="Q989" s="222" t="s">
        <v>244</v>
      </c>
      <c r="R989" s="222" t="s">
        <v>177</v>
      </c>
      <c r="S989" s="222" t="s">
        <v>223</v>
      </c>
      <c r="T989" s="235"/>
      <c r="U989" s="291"/>
      <c r="V989" s="236" t="s">
        <v>179</v>
      </c>
      <c r="W989" s="236" t="s">
        <v>179</v>
      </c>
      <c r="X989" s="236">
        <v>12</v>
      </c>
      <c r="Y989" s="237" t="s">
        <v>5602</v>
      </c>
      <c r="Z989" s="261" t="s">
        <v>181</v>
      </c>
      <c r="AA989" s="238"/>
      <c r="AB989" s="236"/>
      <c r="AC989" s="239"/>
      <c r="AD989" s="240"/>
      <c r="AE989" s="240"/>
      <c r="AF989" s="241"/>
      <c r="AG989" s="242"/>
      <c r="AH989" s="243"/>
      <c r="AI989" s="243"/>
      <c r="AJ989" s="258" t="s">
        <v>198</v>
      </c>
      <c r="AK989" s="258" t="s">
        <v>185</v>
      </c>
      <c r="AL989" s="258" t="s">
        <v>185</v>
      </c>
      <c r="AM989" s="244" t="s">
        <v>5580</v>
      </c>
      <c r="AN989" s="20">
        <v>182</v>
      </c>
      <c r="AO989" s="20">
        <v>0</v>
      </c>
      <c r="AP989" s="20">
        <v>20</v>
      </c>
      <c r="AQ989" s="20">
        <v>0</v>
      </c>
      <c r="AR989" s="20">
        <v>0</v>
      </c>
      <c r="AS989" s="20">
        <v>7</v>
      </c>
      <c r="AT989" s="20">
        <v>10</v>
      </c>
      <c r="AU989" s="300">
        <f t="shared" si="166"/>
        <v>219</v>
      </c>
      <c r="AV989" s="20">
        <v>190</v>
      </c>
      <c r="AW989" s="20">
        <v>0</v>
      </c>
      <c r="AX989" s="20">
        <v>20</v>
      </c>
      <c r="AY989" s="20">
        <v>0</v>
      </c>
      <c r="AZ989" s="20">
        <v>0</v>
      </c>
      <c r="BA989" s="20">
        <v>7</v>
      </c>
      <c r="BB989" s="20">
        <v>10</v>
      </c>
      <c r="BC989" s="300">
        <f t="shared" si="167"/>
        <v>227</v>
      </c>
      <c r="BD989" s="42">
        <f t="shared" si="168"/>
        <v>8</v>
      </c>
      <c r="BE989" s="42">
        <f t="shared" si="169"/>
        <v>0</v>
      </c>
      <c r="BF989" s="42">
        <f t="shared" si="170"/>
        <v>0</v>
      </c>
      <c r="BG989" s="42">
        <f t="shared" si="171"/>
        <v>0</v>
      </c>
      <c r="BH989" s="42">
        <f t="shared" si="172"/>
        <v>0</v>
      </c>
      <c r="BI989" s="42">
        <f t="shared" si="173"/>
        <v>0</v>
      </c>
      <c r="BJ989" s="42">
        <f t="shared" si="174"/>
        <v>0</v>
      </c>
      <c r="BK989" s="42">
        <f t="shared" si="175"/>
        <v>8</v>
      </c>
    </row>
    <row r="990" spans="1:63" ht="27" customHeight="1">
      <c r="A990" s="222">
        <f t="shared" si="176"/>
        <v>988</v>
      </c>
      <c r="B990" s="223"/>
      <c r="C990" s="223">
        <v>3831</v>
      </c>
      <c r="D990" s="225">
        <v>0</v>
      </c>
      <c r="E990" s="226" t="s">
        <v>5603</v>
      </c>
      <c r="F990" s="227" t="s">
        <v>2146</v>
      </c>
      <c r="G990" s="228" t="s">
        <v>3474</v>
      </c>
      <c r="H990" s="229" t="s">
        <v>4553</v>
      </c>
      <c r="I990" s="230" t="s">
        <v>5604</v>
      </c>
      <c r="J990" s="231" t="s">
        <v>173</v>
      </c>
      <c r="K990" s="232">
        <v>33655</v>
      </c>
      <c r="L990" s="233" t="s">
        <v>174</v>
      </c>
      <c r="M990" s="234">
        <v>43787</v>
      </c>
      <c r="N990" s="234"/>
      <c r="O990" s="234"/>
      <c r="P990" s="222" t="e">
        <v>#N/A</v>
      </c>
      <c r="Q990" s="222" t="s">
        <v>244</v>
      </c>
      <c r="R990" s="222" t="s">
        <v>177</v>
      </c>
      <c r="S990" s="222" t="s">
        <v>528</v>
      </c>
      <c r="T990" s="235"/>
      <c r="U990" s="291"/>
      <c r="V990" s="236" t="s">
        <v>179</v>
      </c>
      <c r="W990" s="236">
        <v>5166</v>
      </c>
      <c r="X990" s="236">
        <v>9</v>
      </c>
      <c r="Y990" s="237" t="s">
        <v>5605</v>
      </c>
      <c r="Z990" s="238"/>
      <c r="AA990" s="261" t="s">
        <v>181</v>
      </c>
      <c r="AB990" s="236"/>
      <c r="AC990" s="239"/>
      <c r="AD990" s="240"/>
      <c r="AE990" s="240"/>
      <c r="AF990" s="241"/>
      <c r="AG990" s="242"/>
      <c r="AH990" s="243"/>
      <c r="AI990" s="243"/>
      <c r="AJ990" s="258" t="s">
        <v>198</v>
      </c>
      <c r="AK990" s="258" t="s">
        <v>185</v>
      </c>
      <c r="AL990" s="258" t="s">
        <v>185</v>
      </c>
      <c r="AM990" s="244" t="s">
        <v>236</v>
      </c>
      <c r="AN990" s="20">
        <v>177</v>
      </c>
      <c r="AO990" s="20">
        <v>0</v>
      </c>
      <c r="AP990" s="20">
        <v>20</v>
      </c>
      <c r="AQ990" s="20">
        <v>0</v>
      </c>
      <c r="AR990" s="20">
        <v>0</v>
      </c>
      <c r="AS990" s="20">
        <v>7</v>
      </c>
      <c r="AT990" s="20">
        <v>10</v>
      </c>
      <c r="AU990" s="300">
        <f t="shared" si="166"/>
        <v>214</v>
      </c>
      <c r="AV990" s="20">
        <v>185</v>
      </c>
      <c r="AW990" s="20">
        <v>0</v>
      </c>
      <c r="AX990" s="20">
        <v>20</v>
      </c>
      <c r="AY990" s="20">
        <v>0</v>
      </c>
      <c r="AZ990" s="20">
        <v>0</v>
      </c>
      <c r="BA990" s="20">
        <v>7</v>
      </c>
      <c r="BB990" s="20">
        <v>10</v>
      </c>
      <c r="BC990" s="300">
        <f t="shared" si="167"/>
        <v>222</v>
      </c>
      <c r="BD990" s="42">
        <f t="shared" si="168"/>
        <v>8</v>
      </c>
      <c r="BE990" s="42">
        <f t="shared" si="169"/>
        <v>0</v>
      </c>
      <c r="BF990" s="42">
        <f t="shared" si="170"/>
        <v>0</v>
      </c>
      <c r="BG990" s="42">
        <f t="shared" si="171"/>
        <v>0</v>
      </c>
      <c r="BH990" s="42">
        <f t="shared" si="172"/>
        <v>0</v>
      </c>
      <c r="BI990" s="42">
        <f t="shared" si="173"/>
        <v>0</v>
      </c>
      <c r="BJ990" s="42">
        <f t="shared" si="174"/>
        <v>0</v>
      </c>
      <c r="BK990" s="42">
        <f t="shared" si="175"/>
        <v>8</v>
      </c>
    </row>
    <row r="991" spans="1:63" ht="27" customHeight="1">
      <c r="A991" s="222">
        <f t="shared" si="176"/>
        <v>989</v>
      </c>
      <c r="B991" s="223"/>
      <c r="C991" s="223">
        <v>3842</v>
      </c>
      <c r="D991" s="225" t="s">
        <v>5606</v>
      </c>
      <c r="E991" s="226" t="s">
        <v>5607</v>
      </c>
      <c r="F991" s="227" t="s">
        <v>4238</v>
      </c>
      <c r="G991" s="228" t="s">
        <v>4180</v>
      </c>
      <c r="H991" s="229" t="s">
        <v>4240</v>
      </c>
      <c r="I991" s="230" t="s">
        <v>4181</v>
      </c>
      <c r="J991" s="231" t="s">
        <v>173</v>
      </c>
      <c r="K991" s="232">
        <v>32237</v>
      </c>
      <c r="L991" s="233" t="s">
        <v>174</v>
      </c>
      <c r="M991" s="234">
        <v>43788</v>
      </c>
      <c r="N991" s="234"/>
      <c r="O991" s="234"/>
      <c r="P991" s="222" t="e">
        <v>#N/A</v>
      </c>
      <c r="Q991" s="222" t="s">
        <v>244</v>
      </c>
      <c r="R991" s="222" t="s">
        <v>177</v>
      </c>
      <c r="S991" s="222" t="s">
        <v>223</v>
      </c>
      <c r="T991" s="235"/>
      <c r="U991" s="291"/>
      <c r="V991" s="236" t="s">
        <v>179</v>
      </c>
      <c r="W991" s="236" t="s">
        <v>179</v>
      </c>
      <c r="X991" s="236">
        <v>3</v>
      </c>
      <c r="Y991" s="237" t="s">
        <v>5608</v>
      </c>
      <c r="Z991" s="238"/>
      <c r="AA991" s="261" t="s">
        <v>181</v>
      </c>
      <c r="AB991" s="236"/>
      <c r="AC991" s="239"/>
      <c r="AD991" s="240" t="s">
        <v>183</v>
      </c>
      <c r="AE991" s="240" t="s">
        <v>183</v>
      </c>
      <c r="AF991" s="241"/>
      <c r="AG991" s="242"/>
      <c r="AH991" s="243"/>
      <c r="AI991" s="243"/>
      <c r="AJ991" s="258" t="s">
        <v>198</v>
      </c>
      <c r="AK991" s="258" t="s">
        <v>185</v>
      </c>
      <c r="AL991" s="258" t="s">
        <v>185</v>
      </c>
      <c r="AM991" s="244" t="s">
        <v>3854</v>
      </c>
      <c r="AN991" s="20">
        <v>182</v>
      </c>
      <c r="AO991" s="20">
        <v>0</v>
      </c>
      <c r="AP991" s="20">
        <v>20</v>
      </c>
      <c r="AQ991" s="20">
        <v>0</v>
      </c>
      <c r="AR991" s="20">
        <v>0</v>
      </c>
      <c r="AS991" s="20">
        <v>7</v>
      </c>
      <c r="AT991" s="20">
        <v>10</v>
      </c>
      <c r="AU991" s="300">
        <f t="shared" si="166"/>
        <v>219</v>
      </c>
      <c r="AV991" s="20">
        <v>190</v>
      </c>
      <c r="AW991" s="20">
        <v>0</v>
      </c>
      <c r="AX991" s="20">
        <v>20</v>
      </c>
      <c r="AY991" s="20">
        <v>0</v>
      </c>
      <c r="AZ991" s="20">
        <v>0</v>
      </c>
      <c r="BA991" s="20">
        <v>7</v>
      </c>
      <c r="BB991" s="20">
        <v>10</v>
      </c>
      <c r="BC991" s="300">
        <f t="shared" si="167"/>
        <v>227</v>
      </c>
      <c r="BD991" s="42">
        <f t="shared" si="168"/>
        <v>8</v>
      </c>
      <c r="BE991" s="42">
        <f t="shared" si="169"/>
        <v>0</v>
      </c>
      <c r="BF991" s="42">
        <f t="shared" si="170"/>
        <v>0</v>
      </c>
      <c r="BG991" s="42">
        <f t="shared" si="171"/>
        <v>0</v>
      </c>
      <c r="BH991" s="42">
        <f t="shared" si="172"/>
        <v>0</v>
      </c>
      <c r="BI991" s="42">
        <f t="shared" si="173"/>
        <v>0</v>
      </c>
      <c r="BJ991" s="42">
        <f t="shared" si="174"/>
        <v>0</v>
      </c>
      <c r="BK991" s="42">
        <f t="shared" si="175"/>
        <v>8</v>
      </c>
    </row>
    <row r="992" spans="1:63" ht="27" customHeight="1">
      <c r="A992" s="222">
        <f t="shared" si="176"/>
        <v>990</v>
      </c>
      <c r="B992" s="223"/>
      <c r="C992" s="223">
        <v>3834</v>
      </c>
      <c r="D992" s="225" t="s">
        <v>5609</v>
      </c>
      <c r="E992" s="226" t="s">
        <v>5610</v>
      </c>
      <c r="F992" s="227" t="s">
        <v>869</v>
      </c>
      <c r="G992" s="228" t="s">
        <v>5611</v>
      </c>
      <c r="H992" s="229" t="s">
        <v>720</v>
      </c>
      <c r="I992" s="230" t="s">
        <v>5612</v>
      </c>
      <c r="J992" s="231" t="s">
        <v>173</v>
      </c>
      <c r="K992" s="232">
        <v>35055</v>
      </c>
      <c r="L992" s="233" t="s">
        <v>174</v>
      </c>
      <c r="M992" s="234">
        <v>43787</v>
      </c>
      <c r="N992" s="234"/>
      <c r="O992" s="234"/>
      <c r="P992" s="222" t="e">
        <v>#N/A</v>
      </c>
      <c r="Q992" s="222" t="s">
        <v>244</v>
      </c>
      <c r="R992" s="222" t="s">
        <v>177</v>
      </c>
      <c r="S992" s="222" t="s">
        <v>178</v>
      </c>
      <c r="T992" s="235"/>
      <c r="U992" s="291"/>
      <c r="V992" s="236" t="s">
        <v>179</v>
      </c>
      <c r="W992" s="236" t="s">
        <v>179</v>
      </c>
      <c r="X992" s="236">
        <v>3</v>
      </c>
      <c r="Y992" s="237" t="s">
        <v>5613</v>
      </c>
      <c r="Z992" s="261" t="s">
        <v>181</v>
      </c>
      <c r="AA992" s="238"/>
      <c r="AB992" s="236"/>
      <c r="AC992" s="239"/>
      <c r="AD992" s="240"/>
      <c r="AE992" s="240"/>
      <c r="AF992" s="241"/>
      <c r="AG992" s="242"/>
      <c r="AH992" s="243"/>
      <c r="AI992" s="243"/>
      <c r="AJ992" s="258" t="s">
        <v>198</v>
      </c>
      <c r="AK992" s="258" t="s">
        <v>185</v>
      </c>
      <c r="AL992" s="258" t="s">
        <v>185</v>
      </c>
      <c r="AM992" s="244" t="s">
        <v>5580</v>
      </c>
      <c r="AN992" s="20">
        <v>177</v>
      </c>
      <c r="AO992" s="20">
        <v>0</v>
      </c>
      <c r="AP992" s="20">
        <v>20</v>
      </c>
      <c r="AQ992" s="20">
        <v>0</v>
      </c>
      <c r="AR992" s="20">
        <v>0</v>
      </c>
      <c r="AS992" s="20">
        <v>7</v>
      </c>
      <c r="AT992" s="20">
        <v>10</v>
      </c>
      <c r="AU992" s="300">
        <f t="shared" si="166"/>
        <v>214</v>
      </c>
      <c r="AV992" s="20">
        <v>185</v>
      </c>
      <c r="AW992" s="20">
        <v>0</v>
      </c>
      <c r="AX992" s="20">
        <v>20</v>
      </c>
      <c r="AY992" s="20">
        <v>0</v>
      </c>
      <c r="AZ992" s="20">
        <v>0</v>
      </c>
      <c r="BA992" s="20">
        <v>7</v>
      </c>
      <c r="BB992" s="20">
        <v>10</v>
      </c>
      <c r="BC992" s="300">
        <f t="shared" si="167"/>
        <v>222</v>
      </c>
      <c r="BD992" s="42">
        <f t="shared" si="168"/>
        <v>8</v>
      </c>
      <c r="BE992" s="42">
        <f t="shared" si="169"/>
        <v>0</v>
      </c>
      <c r="BF992" s="42">
        <f t="shared" si="170"/>
        <v>0</v>
      </c>
      <c r="BG992" s="42">
        <f t="shared" si="171"/>
        <v>0</v>
      </c>
      <c r="BH992" s="42">
        <f t="shared" si="172"/>
        <v>0</v>
      </c>
      <c r="BI992" s="42">
        <f t="shared" si="173"/>
        <v>0</v>
      </c>
      <c r="BJ992" s="42">
        <f t="shared" si="174"/>
        <v>0</v>
      </c>
      <c r="BK992" s="42">
        <f t="shared" si="175"/>
        <v>8</v>
      </c>
    </row>
    <row r="993" spans="1:63" ht="27" customHeight="1">
      <c r="A993" s="222">
        <f t="shared" si="176"/>
        <v>991</v>
      </c>
      <c r="B993" s="223"/>
      <c r="C993" s="223">
        <v>3830</v>
      </c>
      <c r="D993" s="225" t="s">
        <v>5614</v>
      </c>
      <c r="E993" s="226" t="s">
        <v>5615</v>
      </c>
      <c r="F993" s="227" t="s">
        <v>2401</v>
      </c>
      <c r="G993" s="228" t="s">
        <v>5616</v>
      </c>
      <c r="H993" s="229" t="s">
        <v>5617</v>
      </c>
      <c r="I993" s="230" t="s">
        <v>4230</v>
      </c>
      <c r="J993" s="231" t="s">
        <v>173</v>
      </c>
      <c r="K993" s="232">
        <v>31447</v>
      </c>
      <c r="L993" s="233" t="s">
        <v>174</v>
      </c>
      <c r="M993" s="234">
        <v>43787</v>
      </c>
      <c r="N993" s="234"/>
      <c r="O993" s="234"/>
      <c r="P993" s="222" t="e">
        <v>#N/A</v>
      </c>
      <c r="Q993" s="222" t="s">
        <v>244</v>
      </c>
      <c r="R993" s="222" t="s">
        <v>177</v>
      </c>
      <c r="S993" s="222" t="s">
        <v>223</v>
      </c>
      <c r="T993" s="235"/>
      <c r="U993" s="291"/>
      <c r="V993" s="236" t="s">
        <v>179</v>
      </c>
      <c r="W993" s="236" t="s">
        <v>179</v>
      </c>
      <c r="X993" s="236">
        <v>7</v>
      </c>
      <c r="Y993" s="237" t="s">
        <v>5618</v>
      </c>
      <c r="Z993" s="238"/>
      <c r="AA993" s="261" t="s">
        <v>181</v>
      </c>
      <c r="AB993" s="236"/>
      <c r="AC993" s="239" t="s">
        <v>5619</v>
      </c>
      <c r="AD993" s="240" t="s">
        <v>183</v>
      </c>
      <c r="AE993" s="240" t="s">
        <v>3602</v>
      </c>
      <c r="AF993" s="241"/>
      <c r="AG993" s="242"/>
      <c r="AH993" s="243"/>
      <c r="AI993" s="243"/>
      <c r="AJ993" s="258" t="s">
        <v>198</v>
      </c>
      <c r="AK993" s="258" t="s">
        <v>185</v>
      </c>
      <c r="AL993" s="258" t="s">
        <v>185</v>
      </c>
      <c r="AM993" s="244" t="s">
        <v>5580</v>
      </c>
      <c r="AN993" s="20">
        <v>177</v>
      </c>
      <c r="AO993" s="20">
        <v>0</v>
      </c>
      <c r="AP993" s="20">
        <v>20</v>
      </c>
      <c r="AQ993" s="20">
        <v>0</v>
      </c>
      <c r="AR993" s="20">
        <v>0</v>
      </c>
      <c r="AS993" s="20">
        <v>7</v>
      </c>
      <c r="AT993" s="20">
        <v>10</v>
      </c>
      <c r="AU993" s="300">
        <f t="shared" si="166"/>
        <v>214</v>
      </c>
      <c r="AV993" s="20">
        <v>185</v>
      </c>
      <c r="AW993" s="20">
        <v>0</v>
      </c>
      <c r="AX993" s="20">
        <v>20</v>
      </c>
      <c r="AY993" s="20">
        <v>0</v>
      </c>
      <c r="AZ993" s="20">
        <v>0</v>
      </c>
      <c r="BA993" s="20">
        <v>7</v>
      </c>
      <c r="BB993" s="20">
        <v>10</v>
      </c>
      <c r="BC993" s="300">
        <f t="shared" si="167"/>
        <v>222</v>
      </c>
      <c r="BD993" s="42">
        <f t="shared" si="168"/>
        <v>8</v>
      </c>
      <c r="BE993" s="42">
        <f t="shared" si="169"/>
        <v>0</v>
      </c>
      <c r="BF993" s="42">
        <f t="shared" si="170"/>
        <v>0</v>
      </c>
      <c r="BG993" s="42">
        <f t="shared" si="171"/>
        <v>0</v>
      </c>
      <c r="BH993" s="42">
        <f t="shared" si="172"/>
        <v>0</v>
      </c>
      <c r="BI993" s="42">
        <f t="shared" si="173"/>
        <v>0</v>
      </c>
      <c r="BJ993" s="42">
        <f t="shared" si="174"/>
        <v>0</v>
      </c>
      <c r="BK993" s="42">
        <f t="shared" si="175"/>
        <v>8</v>
      </c>
    </row>
    <row r="994" spans="1:63" ht="27" customHeight="1">
      <c r="A994" s="222">
        <f t="shared" si="176"/>
        <v>992</v>
      </c>
      <c r="B994" s="223"/>
      <c r="C994" s="223">
        <v>3789</v>
      </c>
      <c r="D994" s="225" t="s">
        <v>5620</v>
      </c>
      <c r="E994" s="226" t="s">
        <v>5621</v>
      </c>
      <c r="F994" s="227" t="s">
        <v>5622</v>
      </c>
      <c r="G994" s="228" t="s">
        <v>5623</v>
      </c>
      <c r="H994" s="229" t="s">
        <v>5624</v>
      </c>
      <c r="I994" s="230" t="s">
        <v>5625</v>
      </c>
      <c r="J994" s="231" t="s">
        <v>173</v>
      </c>
      <c r="K994" s="232">
        <v>34056</v>
      </c>
      <c r="L994" s="233" t="s">
        <v>174</v>
      </c>
      <c r="M994" s="234">
        <v>43770</v>
      </c>
      <c r="N994" s="234"/>
      <c r="O994" s="234"/>
      <c r="P994" s="222" t="e">
        <v>#N/A</v>
      </c>
      <c r="Q994" s="222" t="s">
        <v>244</v>
      </c>
      <c r="R994" s="222" t="s">
        <v>177</v>
      </c>
      <c r="S994" s="222" t="s">
        <v>214</v>
      </c>
      <c r="T994" s="235"/>
      <c r="U994" s="291"/>
      <c r="V994" s="236" t="s">
        <v>179</v>
      </c>
      <c r="W994" s="236" t="s">
        <v>179</v>
      </c>
      <c r="X994" s="236">
        <v>6</v>
      </c>
      <c r="Y994" s="237" t="s">
        <v>5626</v>
      </c>
      <c r="Z994" s="238"/>
      <c r="AA994" s="261" t="s">
        <v>181</v>
      </c>
      <c r="AB994" s="236"/>
      <c r="AC994" s="239"/>
      <c r="AD994" s="240"/>
      <c r="AE994" s="240"/>
      <c r="AF994" s="241"/>
      <c r="AG994" s="242"/>
      <c r="AH994" s="243"/>
      <c r="AI994" s="243"/>
      <c r="AJ994" s="258" t="s">
        <v>198</v>
      </c>
      <c r="AK994" s="258" t="s">
        <v>185</v>
      </c>
      <c r="AL994" s="258" t="s">
        <v>185</v>
      </c>
      <c r="AM994" s="244" t="s">
        <v>3854</v>
      </c>
      <c r="AN994" s="20">
        <v>182</v>
      </c>
      <c r="AO994" s="20">
        <v>0</v>
      </c>
      <c r="AP994" s="20">
        <v>20</v>
      </c>
      <c r="AQ994" s="20">
        <v>0</v>
      </c>
      <c r="AR994" s="20">
        <v>0</v>
      </c>
      <c r="AS994" s="20">
        <v>7</v>
      </c>
      <c r="AT994" s="20">
        <v>10</v>
      </c>
      <c r="AU994" s="300">
        <f t="shared" si="166"/>
        <v>219</v>
      </c>
      <c r="AV994" s="20">
        <v>190</v>
      </c>
      <c r="AW994" s="20">
        <v>0</v>
      </c>
      <c r="AX994" s="20">
        <v>20</v>
      </c>
      <c r="AY994" s="20">
        <v>0</v>
      </c>
      <c r="AZ994" s="20">
        <v>0</v>
      </c>
      <c r="BA994" s="20">
        <v>7</v>
      </c>
      <c r="BB994" s="20">
        <v>10</v>
      </c>
      <c r="BC994" s="300">
        <f t="shared" si="167"/>
        <v>227</v>
      </c>
      <c r="BD994" s="42">
        <f t="shared" si="168"/>
        <v>8</v>
      </c>
      <c r="BE994" s="42">
        <f t="shared" si="169"/>
        <v>0</v>
      </c>
      <c r="BF994" s="42">
        <f t="shared" si="170"/>
        <v>0</v>
      </c>
      <c r="BG994" s="42">
        <f t="shared" si="171"/>
        <v>0</v>
      </c>
      <c r="BH994" s="42">
        <f t="shared" si="172"/>
        <v>0</v>
      </c>
      <c r="BI994" s="42">
        <f t="shared" si="173"/>
        <v>0</v>
      </c>
      <c r="BJ994" s="42">
        <f t="shared" si="174"/>
        <v>0</v>
      </c>
      <c r="BK994" s="42">
        <f t="shared" si="175"/>
        <v>8</v>
      </c>
    </row>
    <row r="995" spans="1:63" ht="27" customHeight="1">
      <c r="A995" s="222">
        <f t="shared" si="176"/>
        <v>993</v>
      </c>
      <c r="B995" s="223"/>
      <c r="C995" s="223">
        <v>3826</v>
      </c>
      <c r="D995" s="225" t="s">
        <v>5627</v>
      </c>
      <c r="E995" s="226" t="s">
        <v>5628</v>
      </c>
      <c r="F995" s="227" t="s">
        <v>2341</v>
      </c>
      <c r="G995" s="228" t="s">
        <v>5101</v>
      </c>
      <c r="H995" s="229" t="s">
        <v>4973</v>
      </c>
      <c r="I995" s="230" t="s">
        <v>5629</v>
      </c>
      <c r="J995" s="231" t="s">
        <v>173</v>
      </c>
      <c r="K995" s="232">
        <v>32027</v>
      </c>
      <c r="L995" s="233" t="s">
        <v>174</v>
      </c>
      <c r="M995" s="234">
        <v>43787</v>
      </c>
      <c r="N995" s="234"/>
      <c r="O995" s="234"/>
      <c r="P995" s="222" t="e">
        <v>#N/A</v>
      </c>
      <c r="Q995" s="222" t="s">
        <v>244</v>
      </c>
      <c r="R995" s="222" t="s">
        <v>177</v>
      </c>
      <c r="S995" s="222" t="s">
        <v>223</v>
      </c>
      <c r="T995" s="235"/>
      <c r="U995" s="291"/>
      <c r="V995" s="236" t="s">
        <v>179</v>
      </c>
      <c r="W995" s="236" t="s">
        <v>179</v>
      </c>
      <c r="X995" s="236">
        <v>1</v>
      </c>
      <c r="Y995" s="237" t="s">
        <v>5630</v>
      </c>
      <c r="Z995" s="238"/>
      <c r="AA995" s="261" t="s">
        <v>181</v>
      </c>
      <c r="AB995" s="236"/>
      <c r="AC995" s="239"/>
      <c r="AD995" s="240" t="s">
        <v>183</v>
      </c>
      <c r="AE995" s="240" t="s">
        <v>183</v>
      </c>
      <c r="AF995" s="241"/>
      <c r="AG995" s="242"/>
      <c r="AH995" s="243"/>
      <c r="AI995" s="243"/>
      <c r="AJ995" s="258" t="s">
        <v>198</v>
      </c>
      <c r="AK995" s="258" t="s">
        <v>185</v>
      </c>
      <c r="AL995" s="258" t="s">
        <v>185</v>
      </c>
      <c r="AM995" s="244" t="s">
        <v>236</v>
      </c>
      <c r="AN995" s="20">
        <v>177</v>
      </c>
      <c r="AO995" s="20">
        <v>0</v>
      </c>
      <c r="AP995" s="20">
        <v>20</v>
      </c>
      <c r="AQ995" s="20">
        <v>0</v>
      </c>
      <c r="AR995" s="20">
        <v>0</v>
      </c>
      <c r="AS995" s="20">
        <v>7</v>
      </c>
      <c r="AT995" s="20">
        <v>10</v>
      </c>
      <c r="AU995" s="300">
        <f t="shared" si="166"/>
        <v>214</v>
      </c>
      <c r="AV995" s="20">
        <v>185</v>
      </c>
      <c r="AW995" s="20">
        <v>0</v>
      </c>
      <c r="AX995" s="20">
        <v>20</v>
      </c>
      <c r="AY995" s="20">
        <v>0</v>
      </c>
      <c r="AZ995" s="20">
        <v>0</v>
      </c>
      <c r="BA995" s="20">
        <v>7</v>
      </c>
      <c r="BB995" s="20">
        <v>10</v>
      </c>
      <c r="BC995" s="300">
        <f t="shared" si="167"/>
        <v>222</v>
      </c>
      <c r="BD995" s="42">
        <f t="shared" si="168"/>
        <v>8</v>
      </c>
      <c r="BE995" s="42">
        <f t="shared" si="169"/>
        <v>0</v>
      </c>
      <c r="BF995" s="42">
        <f t="shared" si="170"/>
        <v>0</v>
      </c>
      <c r="BG995" s="42">
        <f t="shared" si="171"/>
        <v>0</v>
      </c>
      <c r="BH995" s="42">
        <f t="shared" si="172"/>
        <v>0</v>
      </c>
      <c r="BI995" s="42">
        <f t="shared" si="173"/>
        <v>0</v>
      </c>
      <c r="BJ995" s="42">
        <f t="shared" si="174"/>
        <v>0</v>
      </c>
      <c r="BK995" s="42">
        <f t="shared" si="175"/>
        <v>8</v>
      </c>
    </row>
    <row r="996" spans="1:63" ht="27" customHeight="1">
      <c r="A996" s="222">
        <f t="shared" si="176"/>
        <v>994</v>
      </c>
      <c r="B996" s="223"/>
      <c r="C996" s="223">
        <v>3832</v>
      </c>
      <c r="D996" s="225" t="s">
        <v>5631</v>
      </c>
      <c r="E996" s="226" t="s">
        <v>5632</v>
      </c>
      <c r="F996" s="227" t="s">
        <v>346</v>
      </c>
      <c r="G996" s="228" t="s">
        <v>1664</v>
      </c>
      <c r="H996" s="229" t="s">
        <v>5633</v>
      </c>
      <c r="I996" s="230" t="s">
        <v>1666</v>
      </c>
      <c r="J996" s="231" t="s">
        <v>173</v>
      </c>
      <c r="K996" s="232">
        <v>30008</v>
      </c>
      <c r="L996" s="233" t="s">
        <v>174</v>
      </c>
      <c r="M996" s="234">
        <v>43787</v>
      </c>
      <c r="N996" s="234"/>
      <c r="O996" s="234"/>
      <c r="P996" s="222" t="e">
        <v>#N/A</v>
      </c>
      <c r="Q996" s="222" t="s">
        <v>244</v>
      </c>
      <c r="R996" s="222" t="s">
        <v>177</v>
      </c>
      <c r="S996" s="222" t="s">
        <v>223</v>
      </c>
      <c r="T996" s="235"/>
      <c r="U996" s="291"/>
      <c r="V996" s="236" t="s">
        <v>179</v>
      </c>
      <c r="W996" s="236" t="s">
        <v>179</v>
      </c>
      <c r="X996" s="236">
        <v>1</v>
      </c>
      <c r="Y996" s="237" t="s">
        <v>5634</v>
      </c>
      <c r="Z996" s="238"/>
      <c r="AA996" s="261" t="s">
        <v>181</v>
      </c>
      <c r="AB996" s="236"/>
      <c r="AC996" s="239"/>
      <c r="AD996" s="240" t="s">
        <v>5336</v>
      </c>
      <c r="AE996" s="240" t="s">
        <v>3602</v>
      </c>
      <c r="AF996" s="241"/>
      <c r="AG996" s="242"/>
      <c r="AH996" s="243"/>
      <c r="AI996" s="243"/>
      <c r="AJ996" s="258" t="s">
        <v>198</v>
      </c>
      <c r="AK996" s="258" t="s">
        <v>185</v>
      </c>
      <c r="AL996" s="258" t="s">
        <v>185</v>
      </c>
      <c r="AM996" s="244" t="s">
        <v>236</v>
      </c>
      <c r="AN996" s="20">
        <v>182</v>
      </c>
      <c r="AO996" s="20">
        <v>0</v>
      </c>
      <c r="AP996" s="20">
        <v>0</v>
      </c>
      <c r="AQ996" s="20">
        <v>0</v>
      </c>
      <c r="AR996" s="20">
        <v>0</v>
      </c>
      <c r="AS996" s="20">
        <v>7</v>
      </c>
      <c r="AT996" s="20">
        <v>10</v>
      </c>
      <c r="AU996" s="300">
        <f t="shared" si="166"/>
        <v>199</v>
      </c>
      <c r="AV996" s="20">
        <v>190</v>
      </c>
      <c r="AW996" s="20">
        <v>0</v>
      </c>
      <c r="AX996" s="20">
        <v>0</v>
      </c>
      <c r="AY996" s="20">
        <v>0</v>
      </c>
      <c r="AZ996" s="20">
        <v>0</v>
      </c>
      <c r="BA996" s="20">
        <v>7</v>
      </c>
      <c r="BB996" s="20">
        <v>10</v>
      </c>
      <c r="BC996" s="300">
        <f t="shared" si="167"/>
        <v>207</v>
      </c>
      <c r="BD996" s="42">
        <f t="shared" si="168"/>
        <v>8</v>
      </c>
      <c r="BE996" s="42">
        <f t="shared" si="169"/>
        <v>0</v>
      </c>
      <c r="BF996" s="42">
        <f t="shared" si="170"/>
        <v>0</v>
      </c>
      <c r="BG996" s="42">
        <f t="shared" si="171"/>
        <v>0</v>
      </c>
      <c r="BH996" s="42">
        <f t="shared" si="172"/>
        <v>0</v>
      </c>
      <c r="BI996" s="42">
        <f t="shared" si="173"/>
        <v>0</v>
      </c>
      <c r="BJ996" s="42">
        <f t="shared" si="174"/>
        <v>0</v>
      </c>
      <c r="BK996" s="42">
        <f t="shared" si="175"/>
        <v>8</v>
      </c>
    </row>
    <row r="997" spans="1:63" ht="27" customHeight="1">
      <c r="A997" s="222">
        <f t="shared" si="176"/>
        <v>995</v>
      </c>
      <c r="B997" s="223"/>
      <c r="C997" s="223">
        <v>3833</v>
      </c>
      <c r="D997" s="225" t="s">
        <v>5635</v>
      </c>
      <c r="E997" s="226" t="s">
        <v>5636</v>
      </c>
      <c r="F997" s="227" t="s">
        <v>958</v>
      </c>
      <c r="G997" s="228" t="s">
        <v>5637</v>
      </c>
      <c r="H997" s="229" t="s">
        <v>959</v>
      </c>
      <c r="I997" s="230" t="s">
        <v>5638</v>
      </c>
      <c r="J997" s="231" t="s">
        <v>173</v>
      </c>
      <c r="K997" s="232">
        <v>31932</v>
      </c>
      <c r="L997" s="233" t="s">
        <v>174</v>
      </c>
      <c r="M997" s="234">
        <v>43787</v>
      </c>
      <c r="N997" s="234"/>
      <c r="O997" s="234"/>
      <c r="P997" s="222" t="e">
        <v>#N/A</v>
      </c>
      <c r="Q997" s="222" t="s">
        <v>244</v>
      </c>
      <c r="R997" s="222" t="s">
        <v>177</v>
      </c>
      <c r="S997" s="222" t="s">
        <v>223</v>
      </c>
      <c r="T997" s="235"/>
      <c r="U997" s="291"/>
      <c r="V997" s="236" t="s">
        <v>179</v>
      </c>
      <c r="W997" s="236" t="s">
        <v>179</v>
      </c>
      <c r="X997" s="236">
        <v>1</v>
      </c>
      <c r="Y997" s="237" t="s">
        <v>5639</v>
      </c>
      <c r="Z997" s="261" t="s">
        <v>181</v>
      </c>
      <c r="AA997" s="238"/>
      <c r="AB997" s="236"/>
      <c r="AC997" s="239"/>
      <c r="AD997" s="240"/>
      <c r="AE997" s="240"/>
      <c r="AF997" s="241"/>
      <c r="AG997" s="242"/>
      <c r="AH997" s="243"/>
      <c r="AI997" s="243"/>
      <c r="AJ997" s="258" t="s">
        <v>198</v>
      </c>
      <c r="AK997" s="258" t="s">
        <v>185</v>
      </c>
      <c r="AL997" s="258" t="s">
        <v>185</v>
      </c>
      <c r="AM997" s="244" t="s">
        <v>3854</v>
      </c>
      <c r="AN997" s="20">
        <v>177</v>
      </c>
      <c r="AO997" s="20">
        <v>0</v>
      </c>
      <c r="AP997" s="20">
        <v>20</v>
      </c>
      <c r="AQ997" s="20">
        <v>0</v>
      </c>
      <c r="AR997" s="20">
        <v>0</v>
      </c>
      <c r="AS997" s="20">
        <v>7</v>
      </c>
      <c r="AT997" s="20">
        <v>10</v>
      </c>
      <c r="AU997" s="300">
        <f t="shared" si="166"/>
        <v>214</v>
      </c>
      <c r="AV997" s="20">
        <v>185</v>
      </c>
      <c r="AW997" s="20">
        <v>0</v>
      </c>
      <c r="AX997" s="20">
        <v>20</v>
      </c>
      <c r="AY997" s="20">
        <v>0</v>
      </c>
      <c r="AZ997" s="20">
        <v>0</v>
      </c>
      <c r="BA997" s="20">
        <v>7</v>
      </c>
      <c r="BB997" s="20">
        <v>10</v>
      </c>
      <c r="BC997" s="300">
        <f t="shared" si="167"/>
        <v>222</v>
      </c>
      <c r="BD997" s="42">
        <f t="shared" si="168"/>
        <v>8</v>
      </c>
      <c r="BE997" s="42">
        <f t="shared" si="169"/>
        <v>0</v>
      </c>
      <c r="BF997" s="42">
        <f t="shared" si="170"/>
        <v>0</v>
      </c>
      <c r="BG997" s="42">
        <f t="shared" si="171"/>
        <v>0</v>
      </c>
      <c r="BH997" s="42">
        <f t="shared" si="172"/>
        <v>0</v>
      </c>
      <c r="BI997" s="42">
        <f t="shared" si="173"/>
        <v>0</v>
      </c>
      <c r="BJ997" s="42">
        <f t="shared" si="174"/>
        <v>0</v>
      </c>
      <c r="BK997" s="42">
        <f t="shared" si="175"/>
        <v>8</v>
      </c>
    </row>
    <row r="998" spans="1:63" ht="27" customHeight="1">
      <c r="A998" s="222">
        <f t="shared" si="176"/>
        <v>996</v>
      </c>
      <c r="B998" s="223"/>
      <c r="C998" s="223">
        <v>3829</v>
      </c>
      <c r="D998" s="225" t="s">
        <v>5640</v>
      </c>
      <c r="E998" s="226" t="s">
        <v>5641</v>
      </c>
      <c r="F998" s="227" t="s">
        <v>644</v>
      </c>
      <c r="G998" s="228" t="s">
        <v>2120</v>
      </c>
      <c r="H998" s="229" t="s">
        <v>1531</v>
      </c>
      <c r="I998" s="230" t="s">
        <v>2264</v>
      </c>
      <c r="J998" s="231" t="s">
        <v>173</v>
      </c>
      <c r="K998" s="232">
        <v>30698</v>
      </c>
      <c r="L998" s="233" t="s">
        <v>174</v>
      </c>
      <c r="M998" s="234">
        <v>43787</v>
      </c>
      <c r="N998" s="234"/>
      <c r="O998" s="234"/>
      <c r="P998" s="222" t="e">
        <v>#N/A</v>
      </c>
      <c r="Q998" s="222" t="s">
        <v>244</v>
      </c>
      <c r="R998" s="222" t="s">
        <v>177</v>
      </c>
      <c r="S998" s="222" t="s">
        <v>178</v>
      </c>
      <c r="T998" s="235"/>
      <c r="U998" s="291"/>
      <c r="V998" s="236" t="s">
        <v>179</v>
      </c>
      <c r="W998" s="236" t="s">
        <v>179</v>
      </c>
      <c r="X998" s="236">
        <v>2</v>
      </c>
      <c r="Y998" s="237" t="s">
        <v>5642</v>
      </c>
      <c r="Z998" s="238"/>
      <c r="AA998" s="261" t="s">
        <v>181</v>
      </c>
      <c r="AB998" s="236"/>
      <c r="AC998" s="239"/>
      <c r="AD998" s="240" t="s">
        <v>183</v>
      </c>
      <c r="AE998" s="240" t="s">
        <v>183</v>
      </c>
      <c r="AF998" s="240" t="s">
        <v>183</v>
      </c>
      <c r="AG998" s="242"/>
      <c r="AH998" s="243"/>
      <c r="AI998" s="243"/>
      <c r="AJ998" s="258" t="s">
        <v>198</v>
      </c>
      <c r="AK998" s="258" t="s">
        <v>185</v>
      </c>
      <c r="AL998" s="258" t="s">
        <v>185</v>
      </c>
      <c r="AM998" s="244" t="s">
        <v>5580</v>
      </c>
      <c r="AN998" s="20">
        <v>182</v>
      </c>
      <c r="AO998" s="20">
        <v>0</v>
      </c>
      <c r="AP998" s="20">
        <v>20</v>
      </c>
      <c r="AQ998" s="20">
        <v>0</v>
      </c>
      <c r="AR998" s="20">
        <v>0</v>
      </c>
      <c r="AS998" s="20">
        <v>7</v>
      </c>
      <c r="AT998" s="20">
        <v>10</v>
      </c>
      <c r="AU998" s="300">
        <f t="shared" si="166"/>
        <v>219</v>
      </c>
      <c r="AV998" s="20">
        <v>190</v>
      </c>
      <c r="AW998" s="20">
        <v>0</v>
      </c>
      <c r="AX998" s="20">
        <v>20</v>
      </c>
      <c r="AY998" s="20">
        <v>0</v>
      </c>
      <c r="AZ998" s="20">
        <v>0</v>
      </c>
      <c r="BA998" s="20">
        <v>7</v>
      </c>
      <c r="BB998" s="20">
        <v>10</v>
      </c>
      <c r="BC998" s="300">
        <f t="shared" si="167"/>
        <v>227</v>
      </c>
      <c r="BD998" s="42">
        <f t="shared" si="168"/>
        <v>8</v>
      </c>
      <c r="BE998" s="42">
        <f t="shared" si="169"/>
        <v>0</v>
      </c>
      <c r="BF998" s="42">
        <f t="shared" si="170"/>
        <v>0</v>
      </c>
      <c r="BG998" s="42">
        <f t="shared" si="171"/>
        <v>0</v>
      </c>
      <c r="BH998" s="42">
        <f t="shared" si="172"/>
        <v>0</v>
      </c>
      <c r="BI998" s="42">
        <f t="shared" si="173"/>
        <v>0</v>
      </c>
      <c r="BJ998" s="42">
        <f t="shared" si="174"/>
        <v>0</v>
      </c>
      <c r="BK998" s="42">
        <f t="shared" si="175"/>
        <v>8</v>
      </c>
    </row>
    <row r="999" spans="1:63" ht="27" customHeight="1">
      <c r="A999" s="222">
        <f t="shared" si="176"/>
        <v>997</v>
      </c>
      <c r="B999" s="223"/>
      <c r="C999" s="223">
        <v>3840</v>
      </c>
      <c r="D999" s="225" t="s">
        <v>5643</v>
      </c>
      <c r="E999" s="226" t="s">
        <v>5644</v>
      </c>
      <c r="F999" s="227" t="s">
        <v>387</v>
      </c>
      <c r="G999" s="228" t="s">
        <v>5645</v>
      </c>
      <c r="H999" s="229" t="s">
        <v>1765</v>
      </c>
      <c r="I999" s="230" t="s">
        <v>5646</v>
      </c>
      <c r="J999" s="231" t="s">
        <v>204</v>
      </c>
      <c r="K999" s="232">
        <v>36254</v>
      </c>
      <c r="L999" s="233" t="s">
        <v>174</v>
      </c>
      <c r="M999" s="234">
        <v>43787</v>
      </c>
      <c r="N999" s="234"/>
      <c r="O999" s="234"/>
      <c r="P999" s="222" t="e">
        <v>#N/A</v>
      </c>
      <c r="Q999" s="222" t="s">
        <v>244</v>
      </c>
      <c r="R999" s="222" t="s">
        <v>177</v>
      </c>
      <c r="S999" s="222" t="s">
        <v>206</v>
      </c>
      <c r="T999" s="235"/>
      <c r="U999" s="291"/>
      <c r="V999" s="236" t="s">
        <v>179</v>
      </c>
      <c r="W999" s="236" t="s">
        <v>179</v>
      </c>
      <c r="X999" s="236">
        <v>5</v>
      </c>
      <c r="Y999" s="237" t="s">
        <v>5647</v>
      </c>
      <c r="Z999" s="261" t="s">
        <v>181</v>
      </c>
      <c r="AA999" s="238"/>
      <c r="AB999" s="236"/>
      <c r="AC999" s="239"/>
      <c r="AD999" s="240"/>
      <c r="AE999" s="240"/>
      <c r="AF999" s="241"/>
      <c r="AG999" s="242"/>
      <c r="AH999" s="243"/>
      <c r="AI999" s="243"/>
      <c r="AJ999" s="258" t="s">
        <v>198</v>
      </c>
      <c r="AK999" s="258" t="s">
        <v>185</v>
      </c>
      <c r="AL999" s="258" t="s">
        <v>185</v>
      </c>
      <c r="AM999" s="244" t="s">
        <v>3854</v>
      </c>
      <c r="AN999" s="20">
        <v>182</v>
      </c>
      <c r="AO999" s="20">
        <v>0</v>
      </c>
      <c r="AP999" s="20">
        <v>20</v>
      </c>
      <c r="AQ999" s="20">
        <v>0</v>
      </c>
      <c r="AR999" s="20">
        <v>0</v>
      </c>
      <c r="AS999" s="20">
        <v>7</v>
      </c>
      <c r="AT999" s="20">
        <v>10</v>
      </c>
      <c r="AU999" s="300">
        <f t="shared" si="166"/>
        <v>219</v>
      </c>
      <c r="AV999" s="20">
        <v>190</v>
      </c>
      <c r="AW999" s="20">
        <v>0</v>
      </c>
      <c r="AX999" s="20">
        <v>20</v>
      </c>
      <c r="AY999" s="20">
        <v>0</v>
      </c>
      <c r="AZ999" s="20">
        <v>0</v>
      </c>
      <c r="BA999" s="20">
        <v>7</v>
      </c>
      <c r="BB999" s="20">
        <v>10</v>
      </c>
      <c r="BC999" s="300">
        <f t="shared" si="167"/>
        <v>227</v>
      </c>
      <c r="BD999" s="42">
        <f t="shared" si="168"/>
        <v>8</v>
      </c>
      <c r="BE999" s="42">
        <f t="shared" si="169"/>
        <v>0</v>
      </c>
      <c r="BF999" s="42">
        <f t="shared" si="170"/>
        <v>0</v>
      </c>
      <c r="BG999" s="42">
        <f t="shared" si="171"/>
        <v>0</v>
      </c>
      <c r="BH999" s="42">
        <f t="shared" si="172"/>
        <v>0</v>
      </c>
      <c r="BI999" s="42">
        <f t="shared" si="173"/>
        <v>0</v>
      </c>
      <c r="BJ999" s="42">
        <f t="shared" si="174"/>
        <v>0</v>
      </c>
      <c r="BK999" s="42">
        <f t="shared" si="175"/>
        <v>8</v>
      </c>
    </row>
    <row r="1000" spans="1:63" ht="27" customHeight="1">
      <c r="A1000" s="222">
        <f t="shared" si="176"/>
        <v>998</v>
      </c>
      <c r="B1000" s="223"/>
      <c r="C1000" s="223">
        <v>3837</v>
      </c>
      <c r="D1000" s="225" t="s">
        <v>5648</v>
      </c>
      <c r="E1000" s="226" t="s">
        <v>5649</v>
      </c>
      <c r="F1000" s="227" t="s">
        <v>1439</v>
      </c>
      <c r="G1000" s="228" t="s">
        <v>5650</v>
      </c>
      <c r="H1000" s="229" t="s">
        <v>5651</v>
      </c>
      <c r="I1000" s="230" t="s">
        <v>5652</v>
      </c>
      <c r="J1000" s="231" t="s">
        <v>173</v>
      </c>
      <c r="K1000" s="232">
        <v>31722</v>
      </c>
      <c r="L1000" s="233" t="s">
        <v>174</v>
      </c>
      <c r="M1000" s="234">
        <v>43787</v>
      </c>
      <c r="N1000" s="234"/>
      <c r="O1000" s="234"/>
      <c r="P1000" s="222" t="e">
        <v>#N/A</v>
      </c>
      <c r="Q1000" s="222" t="s">
        <v>244</v>
      </c>
      <c r="R1000" s="222" t="s">
        <v>177</v>
      </c>
      <c r="S1000" s="222" t="s">
        <v>223</v>
      </c>
      <c r="T1000" s="235"/>
      <c r="U1000" s="291"/>
      <c r="V1000" s="236" t="s">
        <v>179</v>
      </c>
      <c r="W1000" s="236" t="s">
        <v>179</v>
      </c>
      <c r="X1000" s="236">
        <v>7</v>
      </c>
      <c r="Y1000" s="237" t="s">
        <v>5653</v>
      </c>
      <c r="Z1000" s="238"/>
      <c r="AA1000" s="261" t="s">
        <v>181</v>
      </c>
      <c r="AB1000" s="236"/>
      <c r="AC1000" s="239"/>
      <c r="AD1000" s="240"/>
      <c r="AE1000" s="240"/>
      <c r="AF1000" s="241"/>
      <c r="AG1000" s="242"/>
      <c r="AH1000" s="243"/>
      <c r="AI1000" s="243"/>
      <c r="AJ1000" s="258" t="s">
        <v>198</v>
      </c>
      <c r="AK1000" s="258" t="s">
        <v>185</v>
      </c>
      <c r="AL1000" s="258" t="s">
        <v>185</v>
      </c>
      <c r="AM1000" s="244" t="s">
        <v>3854</v>
      </c>
      <c r="AN1000" s="20">
        <v>182</v>
      </c>
      <c r="AO1000" s="20">
        <v>0</v>
      </c>
      <c r="AP1000" s="20">
        <v>20</v>
      </c>
      <c r="AQ1000" s="20">
        <v>0</v>
      </c>
      <c r="AR1000" s="20">
        <v>0</v>
      </c>
      <c r="AS1000" s="20">
        <v>7</v>
      </c>
      <c r="AT1000" s="20">
        <v>10</v>
      </c>
      <c r="AU1000" s="300">
        <f t="shared" si="166"/>
        <v>219</v>
      </c>
      <c r="AV1000" s="20">
        <v>190</v>
      </c>
      <c r="AW1000" s="20">
        <v>0</v>
      </c>
      <c r="AX1000" s="20">
        <v>20</v>
      </c>
      <c r="AY1000" s="20">
        <v>0</v>
      </c>
      <c r="AZ1000" s="20">
        <v>0</v>
      </c>
      <c r="BA1000" s="20">
        <v>7</v>
      </c>
      <c r="BB1000" s="20">
        <v>10</v>
      </c>
      <c r="BC1000" s="300">
        <f t="shared" si="167"/>
        <v>227</v>
      </c>
      <c r="BD1000" s="42">
        <f t="shared" si="168"/>
        <v>8</v>
      </c>
      <c r="BE1000" s="42">
        <f t="shared" si="169"/>
        <v>0</v>
      </c>
      <c r="BF1000" s="42">
        <f t="shared" si="170"/>
        <v>0</v>
      </c>
      <c r="BG1000" s="42">
        <f t="shared" si="171"/>
        <v>0</v>
      </c>
      <c r="BH1000" s="42">
        <f t="shared" si="172"/>
        <v>0</v>
      </c>
      <c r="BI1000" s="42">
        <f t="shared" si="173"/>
        <v>0</v>
      </c>
      <c r="BJ1000" s="42">
        <f t="shared" si="174"/>
        <v>0</v>
      </c>
      <c r="BK1000" s="42">
        <f t="shared" si="175"/>
        <v>8</v>
      </c>
    </row>
    <row r="1001" spans="1:63" ht="27" customHeight="1">
      <c r="A1001" s="222">
        <f t="shared" si="176"/>
        <v>999</v>
      </c>
      <c r="B1001" s="223"/>
      <c r="C1001" s="223">
        <v>3841</v>
      </c>
      <c r="D1001" s="225">
        <v>0</v>
      </c>
      <c r="E1001" s="226" t="s">
        <v>5654</v>
      </c>
      <c r="F1001" s="227" t="s">
        <v>4180</v>
      </c>
      <c r="G1001" s="228" t="s">
        <v>2120</v>
      </c>
      <c r="H1001" s="229" t="s">
        <v>5655</v>
      </c>
      <c r="I1001" s="230" t="s">
        <v>2264</v>
      </c>
      <c r="J1001" s="231" t="s">
        <v>173</v>
      </c>
      <c r="K1001" s="232">
        <v>28995</v>
      </c>
      <c r="L1001" s="233" t="s">
        <v>174</v>
      </c>
      <c r="M1001" s="234">
        <v>43787</v>
      </c>
      <c r="N1001" s="234"/>
      <c r="O1001" s="234"/>
      <c r="P1001" s="222" t="e">
        <v>#N/A</v>
      </c>
      <c r="Q1001" s="222" t="s">
        <v>244</v>
      </c>
      <c r="R1001" s="222" t="s">
        <v>177</v>
      </c>
      <c r="S1001" s="222" t="s">
        <v>4599</v>
      </c>
      <c r="T1001" s="235"/>
      <c r="U1001" s="291"/>
      <c r="V1001" s="236" t="s">
        <v>179</v>
      </c>
      <c r="W1001" s="236" t="s">
        <v>179</v>
      </c>
      <c r="X1001" s="236">
        <v>1</v>
      </c>
      <c r="Y1001" s="237" t="s">
        <v>5656</v>
      </c>
      <c r="Z1001" s="238"/>
      <c r="AA1001" s="261" t="s">
        <v>181</v>
      </c>
      <c r="AB1001" s="236"/>
      <c r="AC1001" s="239"/>
      <c r="AD1001" s="240"/>
      <c r="AE1001" s="240"/>
      <c r="AF1001" s="241"/>
      <c r="AG1001" s="242"/>
      <c r="AH1001" s="243"/>
      <c r="AI1001" s="243"/>
      <c r="AJ1001" s="258" t="s">
        <v>198</v>
      </c>
      <c r="AK1001" s="258" t="s">
        <v>185</v>
      </c>
      <c r="AL1001" s="258" t="s">
        <v>185</v>
      </c>
      <c r="AM1001" s="244" t="s">
        <v>3911</v>
      </c>
      <c r="AN1001" s="20">
        <v>182</v>
      </c>
      <c r="AO1001" s="20">
        <v>0</v>
      </c>
      <c r="AP1001" s="20">
        <v>20</v>
      </c>
      <c r="AQ1001" s="20">
        <v>0</v>
      </c>
      <c r="AR1001" s="20">
        <v>0</v>
      </c>
      <c r="AS1001" s="20">
        <v>7</v>
      </c>
      <c r="AT1001" s="20">
        <v>10</v>
      </c>
      <c r="AU1001" s="300">
        <f t="shared" si="166"/>
        <v>219</v>
      </c>
      <c r="AV1001" s="20">
        <v>190</v>
      </c>
      <c r="AW1001" s="20">
        <v>0</v>
      </c>
      <c r="AX1001" s="20">
        <v>20</v>
      </c>
      <c r="AY1001" s="20">
        <v>0</v>
      </c>
      <c r="AZ1001" s="20">
        <v>0</v>
      </c>
      <c r="BA1001" s="20">
        <v>7</v>
      </c>
      <c r="BB1001" s="20">
        <v>10</v>
      </c>
      <c r="BC1001" s="300">
        <f t="shared" si="167"/>
        <v>227</v>
      </c>
      <c r="BD1001" s="42">
        <f t="shared" si="168"/>
        <v>8</v>
      </c>
      <c r="BE1001" s="42">
        <f t="shared" si="169"/>
        <v>0</v>
      </c>
      <c r="BF1001" s="42">
        <f t="shared" si="170"/>
        <v>0</v>
      </c>
      <c r="BG1001" s="42">
        <f t="shared" si="171"/>
        <v>0</v>
      </c>
      <c r="BH1001" s="42">
        <f t="shared" si="172"/>
        <v>0</v>
      </c>
      <c r="BI1001" s="42">
        <f t="shared" si="173"/>
        <v>0</v>
      </c>
      <c r="BJ1001" s="42">
        <f t="shared" si="174"/>
        <v>0</v>
      </c>
      <c r="BK1001" s="42">
        <f t="shared" si="175"/>
        <v>8</v>
      </c>
    </row>
    <row r="1002" spans="1:63" ht="27" customHeight="1">
      <c r="A1002" s="222">
        <f t="shared" si="176"/>
        <v>1000</v>
      </c>
      <c r="B1002" s="223"/>
      <c r="C1002" s="223">
        <v>3850</v>
      </c>
      <c r="D1002" s="225" t="s">
        <v>5657</v>
      </c>
      <c r="E1002" s="226" t="s">
        <v>5658</v>
      </c>
      <c r="F1002" s="227" t="s">
        <v>1635</v>
      </c>
      <c r="G1002" s="228" t="s">
        <v>5659</v>
      </c>
      <c r="H1002" s="229" t="s">
        <v>5660</v>
      </c>
      <c r="I1002" s="230" t="s">
        <v>5661</v>
      </c>
      <c r="J1002" s="231" t="s">
        <v>173</v>
      </c>
      <c r="K1002" s="232">
        <v>33733</v>
      </c>
      <c r="L1002" s="233" t="s">
        <v>174</v>
      </c>
      <c r="M1002" s="234">
        <v>43791</v>
      </c>
      <c r="N1002" s="234"/>
      <c r="O1002" s="234" t="s">
        <v>5662</v>
      </c>
      <c r="P1002" s="222" t="e">
        <v>#N/A</v>
      </c>
      <c r="Q1002" s="222" t="s">
        <v>244</v>
      </c>
      <c r="R1002" s="222" t="s">
        <v>177</v>
      </c>
      <c r="S1002" s="222" t="s">
        <v>206</v>
      </c>
      <c r="T1002" s="235"/>
      <c r="U1002" s="291"/>
      <c r="V1002" s="236" t="s">
        <v>179</v>
      </c>
      <c r="W1002" s="236" t="s">
        <v>179</v>
      </c>
      <c r="X1002" s="236">
        <v>1</v>
      </c>
      <c r="Y1002" s="237" t="s">
        <v>5428</v>
      </c>
      <c r="Z1002" s="238"/>
      <c r="AA1002" s="261" t="s">
        <v>181</v>
      </c>
      <c r="AB1002" s="236"/>
      <c r="AC1002" s="239"/>
      <c r="AD1002" s="240" t="s">
        <v>3602</v>
      </c>
      <c r="AE1002" s="240"/>
      <c r="AF1002" s="241"/>
      <c r="AG1002" s="242"/>
      <c r="AH1002" s="243"/>
      <c r="AI1002" s="243"/>
      <c r="AJ1002" s="258" t="s">
        <v>198</v>
      </c>
      <c r="AK1002" s="258" t="s">
        <v>185</v>
      </c>
      <c r="AL1002" s="258" t="s">
        <v>185</v>
      </c>
      <c r="AM1002" s="244" t="s">
        <v>5580</v>
      </c>
      <c r="AN1002" s="20">
        <v>182</v>
      </c>
      <c r="AO1002" s="20">
        <v>0</v>
      </c>
      <c r="AP1002" s="20">
        <v>20</v>
      </c>
      <c r="AQ1002" s="20">
        <v>0</v>
      </c>
      <c r="AR1002" s="20">
        <v>0</v>
      </c>
      <c r="AS1002" s="20">
        <v>7</v>
      </c>
      <c r="AT1002" s="20">
        <v>10</v>
      </c>
      <c r="AU1002" s="300">
        <f t="shared" si="166"/>
        <v>219</v>
      </c>
      <c r="AV1002" s="20">
        <v>190</v>
      </c>
      <c r="AW1002" s="20">
        <v>0</v>
      </c>
      <c r="AX1002" s="20">
        <v>20</v>
      </c>
      <c r="AY1002" s="20">
        <v>0</v>
      </c>
      <c r="AZ1002" s="20">
        <v>0</v>
      </c>
      <c r="BA1002" s="20">
        <v>7</v>
      </c>
      <c r="BB1002" s="20">
        <v>10</v>
      </c>
      <c r="BC1002" s="300">
        <f t="shared" si="167"/>
        <v>227</v>
      </c>
      <c r="BD1002" s="42">
        <f t="shared" si="168"/>
        <v>8</v>
      </c>
      <c r="BE1002" s="42">
        <f t="shared" si="169"/>
        <v>0</v>
      </c>
      <c r="BF1002" s="42">
        <f t="shared" si="170"/>
        <v>0</v>
      </c>
      <c r="BG1002" s="42">
        <f t="shared" si="171"/>
        <v>0</v>
      </c>
      <c r="BH1002" s="42">
        <f t="shared" si="172"/>
        <v>0</v>
      </c>
      <c r="BI1002" s="42">
        <f t="shared" si="173"/>
        <v>0</v>
      </c>
      <c r="BJ1002" s="42">
        <f t="shared" si="174"/>
        <v>0</v>
      </c>
      <c r="BK1002" s="42">
        <f t="shared" si="175"/>
        <v>8</v>
      </c>
    </row>
    <row r="1003" spans="1:63" ht="27" customHeight="1">
      <c r="A1003" s="222">
        <f t="shared" si="176"/>
        <v>1001</v>
      </c>
      <c r="B1003" s="223"/>
      <c r="C1003" s="223">
        <v>3851</v>
      </c>
      <c r="D1003" s="225" t="s">
        <v>5663</v>
      </c>
      <c r="E1003" s="226" t="s">
        <v>5664</v>
      </c>
      <c r="F1003" s="227" t="s">
        <v>5665</v>
      </c>
      <c r="G1003" s="228" t="s">
        <v>700</v>
      </c>
      <c r="H1003" s="229" t="s">
        <v>5666</v>
      </c>
      <c r="I1003" s="230" t="s">
        <v>15</v>
      </c>
      <c r="J1003" s="231" t="s">
        <v>173</v>
      </c>
      <c r="K1003" s="232">
        <v>34423</v>
      </c>
      <c r="L1003" s="233" t="s">
        <v>174</v>
      </c>
      <c r="M1003" s="234">
        <v>43791</v>
      </c>
      <c r="N1003" s="234"/>
      <c r="O1003" s="234" t="s">
        <v>5662</v>
      </c>
      <c r="P1003" s="222" t="e">
        <v>#N/A</v>
      </c>
      <c r="Q1003" s="222" t="s">
        <v>244</v>
      </c>
      <c r="R1003" s="222" t="s">
        <v>177</v>
      </c>
      <c r="S1003" s="222" t="s">
        <v>206</v>
      </c>
      <c r="T1003" s="235"/>
      <c r="U1003" s="291"/>
      <c r="V1003" s="236" t="s">
        <v>179</v>
      </c>
      <c r="W1003" s="236" t="s">
        <v>179</v>
      </c>
      <c r="X1003" s="236">
        <v>5</v>
      </c>
      <c r="Y1003" s="237" t="s">
        <v>5667</v>
      </c>
      <c r="Z1003" s="238"/>
      <c r="AA1003" s="261" t="s">
        <v>181</v>
      </c>
      <c r="AB1003" s="236"/>
      <c r="AC1003" s="239"/>
      <c r="AD1003" s="240" t="s">
        <v>183</v>
      </c>
      <c r="AE1003" s="240" t="s">
        <v>3602</v>
      </c>
      <c r="AF1003" s="241"/>
      <c r="AG1003" s="242"/>
      <c r="AH1003" s="243"/>
      <c r="AI1003" s="243"/>
      <c r="AJ1003" s="258" t="s">
        <v>198</v>
      </c>
      <c r="AK1003" s="258" t="s">
        <v>185</v>
      </c>
      <c r="AL1003" s="258" t="s">
        <v>185</v>
      </c>
      <c r="AM1003" s="244" t="s">
        <v>3854</v>
      </c>
      <c r="AN1003" s="20">
        <v>182</v>
      </c>
      <c r="AO1003" s="20">
        <v>0</v>
      </c>
      <c r="AP1003" s="20">
        <v>20</v>
      </c>
      <c r="AQ1003" s="20">
        <v>0</v>
      </c>
      <c r="AR1003" s="20">
        <v>0</v>
      </c>
      <c r="AS1003" s="20">
        <v>7</v>
      </c>
      <c r="AT1003" s="20">
        <v>10</v>
      </c>
      <c r="AU1003" s="300">
        <f t="shared" si="166"/>
        <v>219</v>
      </c>
      <c r="AV1003" s="20">
        <v>190</v>
      </c>
      <c r="AW1003" s="20">
        <v>0</v>
      </c>
      <c r="AX1003" s="20">
        <v>20</v>
      </c>
      <c r="AY1003" s="20">
        <v>0</v>
      </c>
      <c r="AZ1003" s="20">
        <v>0</v>
      </c>
      <c r="BA1003" s="20">
        <v>7</v>
      </c>
      <c r="BB1003" s="20">
        <v>10</v>
      </c>
      <c r="BC1003" s="300">
        <f t="shared" si="167"/>
        <v>227</v>
      </c>
      <c r="BD1003" s="42">
        <f t="shared" si="168"/>
        <v>8</v>
      </c>
      <c r="BE1003" s="42">
        <f t="shared" si="169"/>
        <v>0</v>
      </c>
      <c r="BF1003" s="42">
        <f t="shared" si="170"/>
        <v>0</v>
      </c>
      <c r="BG1003" s="42">
        <f t="shared" si="171"/>
        <v>0</v>
      </c>
      <c r="BH1003" s="42">
        <f t="shared" si="172"/>
        <v>0</v>
      </c>
      <c r="BI1003" s="42">
        <f t="shared" si="173"/>
        <v>0</v>
      </c>
      <c r="BJ1003" s="42">
        <f t="shared" si="174"/>
        <v>0</v>
      </c>
      <c r="BK1003" s="42">
        <f t="shared" si="175"/>
        <v>8</v>
      </c>
    </row>
    <row r="1004" spans="1:63" ht="27" customHeight="1">
      <c r="A1004" s="222">
        <f t="shared" si="176"/>
        <v>1002</v>
      </c>
      <c r="B1004" s="223"/>
      <c r="C1004" s="223">
        <v>3843</v>
      </c>
      <c r="D1004" s="225" t="s">
        <v>5668</v>
      </c>
      <c r="E1004" s="226" t="s">
        <v>5669</v>
      </c>
      <c r="F1004" s="227" t="s">
        <v>3763</v>
      </c>
      <c r="G1004" s="228" t="s">
        <v>5670</v>
      </c>
      <c r="H1004" s="229" t="s">
        <v>4229</v>
      </c>
      <c r="I1004" s="230" t="s">
        <v>5671</v>
      </c>
      <c r="J1004" s="231" t="s">
        <v>173</v>
      </c>
      <c r="K1004" s="232">
        <v>29347</v>
      </c>
      <c r="L1004" s="233" t="s">
        <v>174</v>
      </c>
      <c r="M1004" s="234">
        <v>43789</v>
      </c>
      <c r="N1004" s="234"/>
      <c r="O1004" s="234" t="s">
        <v>5662</v>
      </c>
      <c r="P1004" s="222" t="e">
        <v>#N/A</v>
      </c>
      <c r="Q1004" s="222" t="s">
        <v>244</v>
      </c>
      <c r="R1004" s="222" t="s">
        <v>177</v>
      </c>
      <c r="S1004" s="222" t="s">
        <v>722</v>
      </c>
      <c r="T1004" s="235"/>
      <c r="U1004" s="291"/>
      <c r="V1004" s="236" t="s">
        <v>179</v>
      </c>
      <c r="W1004" s="236" t="s">
        <v>179</v>
      </c>
      <c r="X1004" s="236">
        <v>3</v>
      </c>
      <c r="Y1004" s="237" t="s">
        <v>5672</v>
      </c>
      <c r="Z1004" s="261"/>
      <c r="AA1004" s="238"/>
      <c r="AB1004" s="261" t="s">
        <v>181</v>
      </c>
      <c r="AC1004" s="239"/>
      <c r="AD1004" s="240" t="s">
        <v>3602</v>
      </c>
      <c r="AE1004" s="240"/>
      <c r="AF1004" s="241"/>
      <c r="AG1004" s="242"/>
      <c r="AH1004" s="243"/>
      <c r="AI1004" s="243"/>
      <c r="AJ1004" s="258" t="s">
        <v>198</v>
      </c>
      <c r="AK1004" s="258" t="s">
        <v>185</v>
      </c>
      <c r="AL1004" s="258" t="s">
        <v>185</v>
      </c>
      <c r="AM1004" s="244" t="s">
        <v>3854</v>
      </c>
      <c r="AN1004" s="20">
        <v>182</v>
      </c>
      <c r="AO1004" s="20">
        <v>0</v>
      </c>
      <c r="AP1004" s="20">
        <v>20</v>
      </c>
      <c r="AQ1004" s="20">
        <v>0</v>
      </c>
      <c r="AR1004" s="20">
        <v>0</v>
      </c>
      <c r="AS1004" s="20">
        <v>7</v>
      </c>
      <c r="AT1004" s="20">
        <v>10</v>
      </c>
      <c r="AU1004" s="300">
        <f t="shared" si="166"/>
        <v>219</v>
      </c>
      <c r="AV1004" s="20">
        <v>190</v>
      </c>
      <c r="AW1004" s="20">
        <v>0</v>
      </c>
      <c r="AX1004" s="20">
        <v>20</v>
      </c>
      <c r="AY1004" s="20">
        <v>0</v>
      </c>
      <c r="AZ1004" s="20">
        <v>0</v>
      </c>
      <c r="BA1004" s="20">
        <v>7</v>
      </c>
      <c r="BB1004" s="20">
        <v>10</v>
      </c>
      <c r="BC1004" s="300">
        <f t="shared" si="167"/>
        <v>227</v>
      </c>
      <c r="BD1004" s="42">
        <f t="shared" si="168"/>
        <v>8</v>
      </c>
      <c r="BE1004" s="42">
        <f t="shared" si="169"/>
        <v>0</v>
      </c>
      <c r="BF1004" s="42">
        <f t="shared" si="170"/>
        <v>0</v>
      </c>
      <c r="BG1004" s="42">
        <f t="shared" si="171"/>
        <v>0</v>
      </c>
      <c r="BH1004" s="42">
        <f t="shared" si="172"/>
        <v>0</v>
      </c>
      <c r="BI1004" s="42">
        <f t="shared" si="173"/>
        <v>0</v>
      </c>
      <c r="BJ1004" s="42">
        <f t="shared" si="174"/>
        <v>0</v>
      </c>
      <c r="BK1004" s="42">
        <f t="shared" si="175"/>
        <v>8</v>
      </c>
    </row>
    <row r="1005" spans="1:63" ht="27" customHeight="1">
      <c r="A1005" s="222">
        <f t="shared" si="176"/>
        <v>1003</v>
      </c>
      <c r="B1005" s="223"/>
      <c r="C1005" s="223">
        <v>3849</v>
      </c>
      <c r="D1005" s="225" t="s">
        <v>5673</v>
      </c>
      <c r="E1005" s="226" t="s">
        <v>5674</v>
      </c>
      <c r="F1005" s="227" t="s">
        <v>5675</v>
      </c>
      <c r="G1005" s="228" t="s">
        <v>700</v>
      </c>
      <c r="H1005" s="229" t="s">
        <v>5676</v>
      </c>
      <c r="I1005" s="230" t="s">
        <v>15</v>
      </c>
      <c r="J1005" s="231" t="s">
        <v>173</v>
      </c>
      <c r="K1005" s="232">
        <v>34792</v>
      </c>
      <c r="L1005" s="233" t="s">
        <v>174</v>
      </c>
      <c r="M1005" s="234">
        <v>43790</v>
      </c>
      <c r="N1005" s="234"/>
      <c r="O1005" s="234" t="s">
        <v>5662</v>
      </c>
      <c r="P1005" s="222" t="e">
        <v>#N/A</v>
      </c>
      <c r="Q1005" s="222" t="s">
        <v>244</v>
      </c>
      <c r="R1005" s="222" t="s">
        <v>177</v>
      </c>
      <c r="S1005" s="222" t="s">
        <v>223</v>
      </c>
      <c r="T1005" s="235"/>
      <c r="U1005" s="291"/>
      <c r="V1005" s="236" t="s">
        <v>179</v>
      </c>
      <c r="W1005" s="236" t="s">
        <v>179</v>
      </c>
      <c r="X1005" s="236">
        <v>3</v>
      </c>
      <c r="Y1005" s="237" t="s">
        <v>5677</v>
      </c>
      <c r="Z1005" s="238"/>
      <c r="AA1005" s="261" t="s">
        <v>181</v>
      </c>
      <c r="AB1005" s="236"/>
      <c r="AC1005" s="239"/>
      <c r="AD1005" s="240" t="s">
        <v>183</v>
      </c>
      <c r="AE1005" s="240"/>
      <c r="AF1005" s="241"/>
      <c r="AG1005" s="242"/>
      <c r="AH1005" s="243"/>
      <c r="AI1005" s="243"/>
      <c r="AJ1005" s="258" t="s">
        <v>198</v>
      </c>
      <c r="AK1005" s="258" t="s">
        <v>185</v>
      </c>
      <c r="AL1005" s="258" t="s">
        <v>185</v>
      </c>
      <c r="AM1005" s="244" t="s">
        <v>3854</v>
      </c>
      <c r="AN1005" s="20">
        <v>182</v>
      </c>
      <c r="AO1005" s="20">
        <v>0</v>
      </c>
      <c r="AP1005" s="20">
        <v>20</v>
      </c>
      <c r="AQ1005" s="20">
        <v>0</v>
      </c>
      <c r="AR1005" s="20">
        <v>0</v>
      </c>
      <c r="AS1005" s="20">
        <v>7</v>
      </c>
      <c r="AT1005" s="20">
        <v>10</v>
      </c>
      <c r="AU1005" s="300">
        <f t="shared" si="166"/>
        <v>219</v>
      </c>
      <c r="AV1005" s="20">
        <v>190</v>
      </c>
      <c r="AW1005" s="20">
        <v>0</v>
      </c>
      <c r="AX1005" s="20">
        <v>20</v>
      </c>
      <c r="AY1005" s="20">
        <v>0</v>
      </c>
      <c r="AZ1005" s="20">
        <v>0</v>
      </c>
      <c r="BA1005" s="20">
        <v>7</v>
      </c>
      <c r="BB1005" s="20">
        <v>10</v>
      </c>
      <c r="BC1005" s="300">
        <f t="shared" si="167"/>
        <v>227</v>
      </c>
      <c r="BD1005" s="42">
        <f t="shared" si="168"/>
        <v>8</v>
      </c>
      <c r="BE1005" s="42">
        <f t="shared" si="169"/>
        <v>0</v>
      </c>
      <c r="BF1005" s="42">
        <f t="shared" si="170"/>
        <v>0</v>
      </c>
      <c r="BG1005" s="42">
        <f t="shared" si="171"/>
        <v>0</v>
      </c>
      <c r="BH1005" s="42">
        <f t="shared" si="172"/>
        <v>0</v>
      </c>
      <c r="BI1005" s="42">
        <f t="shared" si="173"/>
        <v>0</v>
      </c>
      <c r="BJ1005" s="42">
        <f t="shared" si="174"/>
        <v>0</v>
      </c>
      <c r="BK1005" s="42">
        <f t="shared" si="175"/>
        <v>8</v>
      </c>
    </row>
    <row r="1006" spans="1:63" ht="27" customHeight="1">
      <c r="A1006" s="222">
        <f t="shared" si="176"/>
        <v>1004</v>
      </c>
      <c r="B1006" s="223"/>
      <c r="C1006" s="223">
        <v>3846</v>
      </c>
      <c r="D1006" s="225" t="s">
        <v>5678</v>
      </c>
      <c r="E1006" s="226" t="s">
        <v>291</v>
      </c>
      <c r="F1006" s="227" t="s">
        <v>452</v>
      </c>
      <c r="G1006" s="228" t="s">
        <v>1693</v>
      </c>
      <c r="H1006" s="229" t="s">
        <v>454</v>
      </c>
      <c r="I1006" s="230" t="s">
        <v>1294</v>
      </c>
      <c r="J1006" s="231" t="s">
        <v>173</v>
      </c>
      <c r="K1006" s="232">
        <v>31322</v>
      </c>
      <c r="L1006" s="233" t="s">
        <v>174</v>
      </c>
      <c r="M1006" s="234">
        <v>43789</v>
      </c>
      <c r="N1006" s="234"/>
      <c r="O1006" s="234" t="s">
        <v>5662</v>
      </c>
      <c r="P1006" s="222" t="e">
        <v>#N/A</v>
      </c>
      <c r="Q1006" s="222" t="s">
        <v>244</v>
      </c>
      <c r="R1006" s="222" t="s">
        <v>177</v>
      </c>
      <c r="S1006" s="222" t="s">
        <v>722</v>
      </c>
      <c r="T1006" s="235"/>
      <c r="U1006" s="291"/>
      <c r="V1006" s="236" t="s">
        <v>179</v>
      </c>
      <c r="W1006" s="236" t="s">
        <v>179</v>
      </c>
      <c r="X1006" s="236">
        <v>3</v>
      </c>
      <c r="Y1006" s="237" t="s">
        <v>5679</v>
      </c>
      <c r="Z1006" s="238"/>
      <c r="AA1006" s="261" t="s">
        <v>181</v>
      </c>
      <c r="AB1006" s="236"/>
      <c r="AC1006" s="239"/>
      <c r="AD1006" s="240" t="s">
        <v>183</v>
      </c>
      <c r="AE1006" s="240" t="s">
        <v>183</v>
      </c>
      <c r="AF1006" s="240" t="s">
        <v>183</v>
      </c>
      <c r="AG1006" s="242"/>
      <c r="AH1006" s="243"/>
      <c r="AI1006" s="243"/>
      <c r="AJ1006" s="258" t="s">
        <v>198</v>
      </c>
      <c r="AK1006" s="258" t="s">
        <v>185</v>
      </c>
      <c r="AL1006" s="258" t="s">
        <v>185</v>
      </c>
      <c r="AM1006" s="244" t="s">
        <v>3854</v>
      </c>
      <c r="AN1006" s="20">
        <v>182</v>
      </c>
      <c r="AO1006" s="20">
        <v>0</v>
      </c>
      <c r="AP1006" s="20">
        <v>20</v>
      </c>
      <c r="AQ1006" s="20">
        <v>0</v>
      </c>
      <c r="AR1006" s="20">
        <v>0</v>
      </c>
      <c r="AS1006" s="20">
        <v>7</v>
      </c>
      <c r="AT1006" s="20">
        <v>10</v>
      </c>
      <c r="AU1006" s="300">
        <f t="shared" si="166"/>
        <v>219</v>
      </c>
      <c r="AV1006" s="20">
        <v>190</v>
      </c>
      <c r="AW1006" s="20">
        <v>0</v>
      </c>
      <c r="AX1006" s="20">
        <v>20</v>
      </c>
      <c r="AY1006" s="20">
        <v>0</v>
      </c>
      <c r="AZ1006" s="20">
        <v>0</v>
      </c>
      <c r="BA1006" s="20">
        <v>7</v>
      </c>
      <c r="BB1006" s="20">
        <v>10</v>
      </c>
      <c r="BC1006" s="300">
        <f t="shared" si="167"/>
        <v>227</v>
      </c>
      <c r="BD1006" s="42">
        <f t="shared" si="168"/>
        <v>8</v>
      </c>
      <c r="BE1006" s="42">
        <f t="shared" si="169"/>
        <v>0</v>
      </c>
      <c r="BF1006" s="42">
        <f t="shared" si="170"/>
        <v>0</v>
      </c>
      <c r="BG1006" s="42">
        <f t="shared" si="171"/>
        <v>0</v>
      </c>
      <c r="BH1006" s="42">
        <f t="shared" si="172"/>
        <v>0</v>
      </c>
      <c r="BI1006" s="42">
        <f t="shared" si="173"/>
        <v>0</v>
      </c>
      <c r="BJ1006" s="42">
        <f t="shared" si="174"/>
        <v>0</v>
      </c>
      <c r="BK1006" s="42">
        <f t="shared" si="175"/>
        <v>8</v>
      </c>
    </row>
    <row r="1007" spans="1:63" ht="27" customHeight="1">
      <c r="A1007" s="222">
        <f t="shared" si="176"/>
        <v>1005</v>
      </c>
      <c r="B1007" s="223"/>
      <c r="C1007" s="223">
        <v>3847</v>
      </c>
      <c r="D1007" s="225" t="s">
        <v>5680</v>
      </c>
      <c r="E1007" s="226" t="s">
        <v>291</v>
      </c>
      <c r="F1007" s="227" t="s">
        <v>4180</v>
      </c>
      <c r="G1007" s="228" t="s">
        <v>2120</v>
      </c>
      <c r="H1007" s="229" t="s">
        <v>5655</v>
      </c>
      <c r="I1007" s="230" t="s">
        <v>2264</v>
      </c>
      <c r="J1007" s="231" t="s">
        <v>173</v>
      </c>
      <c r="K1007" s="232">
        <v>28995</v>
      </c>
      <c r="L1007" s="233" t="s">
        <v>174</v>
      </c>
      <c r="M1007" s="234">
        <v>43789</v>
      </c>
      <c r="N1007" s="234"/>
      <c r="O1007" s="234" t="s">
        <v>5662</v>
      </c>
      <c r="P1007" s="222" t="e">
        <v>#N/A</v>
      </c>
      <c r="Q1007" s="222" t="s">
        <v>244</v>
      </c>
      <c r="R1007" s="222" t="s">
        <v>177</v>
      </c>
      <c r="S1007" s="222" t="s">
        <v>305</v>
      </c>
      <c r="T1007" s="235"/>
      <c r="U1007" s="291"/>
      <c r="V1007" s="236" t="s">
        <v>179</v>
      </c>
      <c r="W1007" s="236" t="s">
        <v>179</v>
      </c>
      <c r="X1007" s="236">
        <v>8</v>
      </c>
      <c r="Y1007" s="237" t="s">
        <v>5681</v>
      </c>
      <c r="Z1007" s="238"/>
      <c r="AA1007" s="261" t="s">
        <v>181</v>
      </c>
      <c r="AB1007" s="236"/>
      <c r="AC1007" s="239"/>
      <c r="AD1007" s="240" t="s">
        <v>183</v>
      </c>
      <c r="AE1007" s="240" t="s">
        <v>183</v>
      </c>
      <c r="AF1007" s="241" t="s">
        <v>3602</v>
      </c>
      <c r="AG1007" s="242"/>
      <c r="AH1007" s="243"/>
      <c r="AI1007" s="243"/>
      <c r="AJ1007" s="258" t="s">
        <v>198</v>
      </c>
      <c r="AK1007" s="258" t="s">
        <v>185</v>
      </c>
      <c r="AL1007" s="258" t="s">
        <v>185</v>
      </c>
      <c r="AM1007" s="244" t="s">
        <v>3854</v>
      </c>
      <c r="AN1007" s="20">
        <v>182</v>
      </c>
      <c r="AO1007" s="20">
        <v>0</v>
      </c>
      <c r="AP1007" s="20">
        <v>20</v>
      </c>
      <c r="AQ1007" s="20">
        <v>0</v>
      </c>
      <c r="AR1007" s="20">
        <v>0</v>
      </c>
      <c r="AS1007" s="20">
        <v>7</v>
      </c>
      <c r="AT1007" s="20">
        <v>10</v>
      </c>
      <c r="AU1007" s="300">
        <f t="shared" si="166"/>
        <v>219</v>
      </c>
      <c r="AV1007" s="20">
        <v>190</v>
      </c>
      <c r="AW1007" s="20">
        <v>0</v>
      </c>
      <c r="AX1007" s="20">
        <v>20</v>
      </c>
      <c r="AY1007" s="20">
        <v>0</v>
      </c>
      <c r="AZ1007" s="20">
        <v>0</v>
      </c>
      <c r="BA1007" s="20">
        <v>7</v>
      </c>
      <c r="BB1007" s="20">
        <v>10</v>
      </c>
      <c r="BC1007" s="300">
        <f t="shared" si="167"/>
        <v>227</v>
      </c>
      <c r="BD1007" s="42">
        <f t="shared" si="168"/>
        <v>8</v>
      </c>
      <c r="BE1007" s="42">
        <f t="shared" si="169"/>
        <v>0</v>
      </c>
      <c r="BF1007" s="42">
        <f t="shared" si="170"/>
        <v>0</v>
      </c>
      <c r="BG1007" s="42">
        <f t="shared" si="171"/>
        <v>0</v>
      </c>
      <c r="BH1007" s="42">
        <f t="shared" si="172"/>
        <v>0</v>
      </c>
      <c r="BI1007" s="42">
        <f t="shared" si="173"/>
        <v>0</v>
      </c>
      <c r="BJ1007" s="42">
        <f t="shared" si="174"/>
        <v>0</v>
      </c>
      <c r="BK1007" s="42">
        <f t="shared" si="175"/>
        <v>8</v>
      </c>
    </row>
    <row r="1008" spans="1:63" ht="27" customHeight="1">
      <c r="A1008" s="222">
        <f t="shared" si="176"/>
        <v>1006</v>
      </c>
      <c r="B1008" s="223"/>
      <c r="C1008" s="223">
        <v>3852</v>
      </c>
      <c r="D1008" s="225">
        <v>0</v>
      </c>
      <c r="E1008" s="226" t="s">
        <v>291</v>
      </c>
      <c r="F1008" s="227" t="s">
        <v>488</v>
      </c>
      <c r="G1008" s="228" t="s">
        <v>1347</v>
      </c>
      <c r="H1008" s="229">
        <v>0</v>
      </c>
      <c r="I1008" s="230">
        <v>0</v>
      </c>
      <c r="J1008" s="231" t="s">
        <v>173</v>
      </c>
      <c r="K1008" s="232">
        <v>36348</v>
      </c>
      <c r="L1008" s="233" t="s">
        <v>174</v>
      </c>
      <c r="M1008" s="234">
        <v>43791</v>
      </c>
      <c r="N1008" s="234"/>
      <c r="O1008" s="234" t="s">
        <v>24</v>
      </c>
      <c r="P1008" s="222" t="e">
        <v>#N/A</v>
      </c>
      <c r="Q1008" s="222" t="s">
        <v>244</v>
      </c>
      <c r="R1008" s="222" t="s">
        <v>177</v>
      </c>
      <c r="S1008" s="222" t="s">
        <v>223</v>
      </c>
      <c r="T1008" s="235"/>
      <c r="U1008" s="291"/>
      <c r="V1008" s="236" t="s">
        <v>195</v>
      </c>
      <c r="W1008" s="236">
        <v>566</v>
      </c>
      <c r="X1008" s="236">
        <v>8</v>
      </c>
      <c r="Y1008" s="237" t="s">
        <v>5682</v>
      </c>
      <c r="Z1008" s="261" t="s">
        <v>181</v>
      </c>
      <c r="AA1008" s="238"/>
      <c r="AB1008" s="236"/>
      <c r="AC1008" s="239"/>
      <c r="AD1008" s="240"/>
      <c r="AE1008" s="240"/>
      <c r="AF1008" s="241"/>
      <c r="AG1008" s="242"/>
      <c r="AH1008" s="243"/>
      <c r="AI1008" s="243"/>
      <c r="AJ1008" s="258" t="s">
        <v>198</v>
      </c>
      <c r="AK1008" s="258" t="s">
        <v>185</v>
      </c>
      <c r="AL1008" s="258" t="s">
        <v>185</v>
      </c>
      <c r="AM1008" s="244" t="s">
        <v>3911</v>
      </c>
      <c r="AN1008" s="20">
        <v>177</v>
      </c>
      <c r="AO1008" s="20">
        <v>0</v>
      </c>
      <c r="AP1008" s="20">
        <v>20</v>
      </c>
      <c r="AQ1008" s="20">
        <v>0</v>
      </c>
      <c r="AR1008" s="20">
        <v>0</v>
      </c>
      <c r="AS1008" s="20">
        <v>7</v>
      </c>
      <c r="AT1008" s="20">
        <v>10</v>
      </c>
      <c r="AU1008" s="300">
        <f t="shared" si="166"/>
        <v>214</v>
      </c>
      <c r="AV1008" s="20">
        <v>185</v>
      </c>
      <c r="AW1008" s="20">
        <v>0</v>
      </c>
      <c r="AX1008" s="20">
        <v>20</v>
      </c>
      <c r="AY1008" s="20">
        <v>0</v>
      </c>
      <c r="AZ1008" s="20">
        <v>0</v>
      </c>
      <c r="BA1008" s="20">
        <v>7</v>
      </c>
      <c r="BB1008" s="20">
        <v>10</v>
      </c>
      <c r="BC1008" s="300">
        <f t="shared" si="167"/>
        <v>222</v>
      </c>
      <c r="BD1008" s="42">
        <f t="shared" si="168"/>
        <v>8</v>
      </c>
      <c r="BE1008" s="42">
        <f t="shared" si="169"/>
        <v>0</v>
      </c>
      <c r="BF1008" s="42">
        <f t="shared" si="170"/>
        <v>0</v>
      </c>
      <c r="BG1008" s="42">
        <f t="shared" si="171"/>
        <v>0</v>
      </c>
      <c r="BH1008" s="42">
        <f t="shared" si="172"/>
        <v>0</v>
      </c>
      <c r="BI1008" s="42">
        <f t="shared" si="173"/>
        <v>0</v>
      </c>
      <c r="BJ1008" s="42">
        <f t="shared" si="174"/>
        <v>0</v>
      </c>
      <c r="BK1008" s="42">
        <f t="shared" si="175"/>
        <v>8</v>
      </c>
    </row>
    <row r="1009" spans="1:63" ht="27" customHeight="1">
      <c r="A1009" s="222">
        <f t="shared" si="176"/>
        <v>1007</v>
      </c>
      <c r="B1009" s="223"/>
      <c r="C1009" s="223">
        <v>3845</v>
      </c>
      <c r="D1009" s="225" t="s">
        <v>5683</v>
      </c>
      <c r="E1009" s="226" t="s">
        <v>5684</v>
      </c>
      <c r="F1009" s="227" t="s">
        <v>1334</v>
      </c>
      <c r="G1009" s="228" t="s">
        <v>1119</v>
      </c>
      <c r="H1009" s="229" t="s">
        <v>5685</v>
      </c>
      <c r="I1009" s="230" t="s">
        <v>1121</v>
      </c>
      <c r="J1009" s="231" t="s">
        <v>173</v>
      </c>
      <c r="K1009" s="232">
        <v>29081</v>
      </c>
      <c r="L1009" s="233" t="s">
        <v>174</v>
      </c>
      <c r="M1009" s="234">
        <v>43789</v>
      </c>
      <c r="N1009" s="234"/>
      <c r="O1009" s="234" t="s">
        <v>5286</v>
      </c>
      <c r="P1009" s="222" t="e">
        <v>#N/A</v>
      </c>
      <c r="Q1009" s="222" t="s">
        <v>244</v>
      </c>
      <c r="R1009" s="222" t="s">
        <v>177</v>
      </c>
      <c r="S1009" s="222" t="s">
        <v>305</v>
      </c>
      <c r="T1009" s="235"/>
      <c r="U1009" s="291"/>
      <c r="V1009" s="236" t="s">
        <v>179</v>
      </c>
      <c r="W1009" s="236" t="s">
        <v>179</v>
      </c>
      <c r="X1009" s="236">
        <v>8</v>
      </c>
      <c r="Y1009" s="237" t="s">
        <v>5686</v>
      </c>
      <c r="Z1009" s="238"/>
      <c r="AA1009" s="261" t="s">
        <v>181</v>
      </c>
      <c r="AB1009" s="236"/>
      <c r="AC1009" s="239"/>
      <c r="AD1009" s="240"/>
      <c r="AE1009" s="240" t="s">
        <v>183</v>
      </c>
      <c r="AF1009" s="241"/>
      <c r="AG1009" s="242"/>
      <c r="AH1009" s="243"/>
      <c r="AI1009" s="243"/>
      <c r="AJ1009" s="258" t="s">
        <v>198</v>
      </c>
      <c r="AK1009" s="258" t="s">
        <v>185</v>
      </c>
      <c r="AL1009" s="258" t="s">
        <v>185</v>
      </c>
      <c r="AM1009" s="244" t="s">
        <v>3854</v>
      </c>
      <c r="AN1009" s="20">
        <v>182</v>
      </c>
      <c r="AO1009" s="20">
        <v>0</v>
      </c>
      <c r="AP1009" s="20">
        <v>20</v>
      </c>
      <c r="AQ1009" s="20">
        <v>0</v>
      </c>
      <c r="AR1009" s="20">
        <v>0</v>
      </c>
      <c r="AS1009" s="20">
        <v>7</v>
      </c>
      <c r="AT1009" s="20">
        <v>10</v>
      </c>
      <c r="AU1009" s="300">
        <f t="shared" si="166"/>
        <v>219</v>
      </c>
      <c r="AV1009" s="20">
        <v>190</v>
      </c>
      <c r="AW1009" s="20">
        <v>0</v>
      </c>
      <c r="AX1009" s="20">
        <v>20</v>
      </c>
      <c r="AY1009" s="20">
        <v>0</v>
      </c>
      <c r="AZ1009" s="20">
        <v>0</v>
      </c>
      <c r="BA1009" s="20">
        <v>7</v>
      </c>
      <c r="BB1009" s="20">
        <v>10</v>
      </c>
      <c r="BC1009" s="300">
        <f t="shared" si="167"/>
        <v>227</v>
      </c>
      <c r="BD1009" s="42">
        <f t="shared" si="168"/>
        <v>8</v>
      </c>
      <c r="BE1009" s="42">
        <f t="shared" si="169"/>
        <v>0</v>
      </c>
      <c r="BF1009" s="42">
        <f t="shared" si="170"/>
        <v>0</v>
      </c>
      <c r="BG1009" s="42">
        <f t="shared" si="171"/>
        <v>0</v>
      </c>
      <c r="BH1009" s="42">
        <f t="shared" si="172"/>
        <v>0</v>
      </c>
      <c r="BI1009" s="42">
        <f t="shared" si="173"/>
        <v>0</v>
      </c>
      <c r="BJ1009" s="42">
        <f t="shared" si="174"/>
        <v>0</v>
      </c>
      <c r="BK1009" s="42">
        <f t="shared" si="175"/>
        <v>8</v>
      </c>
    </row>
    <row r="1010" spans="1:63" ht="27" customHeight="1">
      <c r="A1010" s="222">
        <f t="shared" si="176"/>
        <v>1008</v>
      </c>
      <c r="B1010" s="223"/>
      <c r="C1010" s="223">
        <v>3848</v>
      </c>
      <c r="D1010" s="225" t="s">
        <v>5687</v>
      </c>
      <c r="E1010" s="226" t="s">
        <v>5688</v>
      </c>
      <c r="F1010" s="227" t="s">
        <v>5689</v>
      </c>
      <c r="G1010" s="228" t="s">
        <v>995</v>
      </c>
      <c r="H1010" s="229" t="s">
        <v>4025</v>
      </c>
      <c r="I1010" s="230" t="s">
        <v>5690</v>
      </c>
      <c r="J1010" s="231" t="s">
        <v>173</v>
      </c>
      <c r="K1010" s="232">
        <v>27321</v>
      </c>
      <c r="L1010" s="233" t="s">
        <v>174</v>
      </c>
      <c r="M1010" s="234">
        <v>43789</v>
      </c>
      <c r="N1010" s="234"/>
      <c r="O1010" s="234" t="s">
        <v>5691</v>
      </c>
      <c r="P1010" s="222" t="e">
        <v>#N/A</v>
      </c>
      <c r="Q1010" s="222" t="s">
        <v>244</v>
      </c>
      <c r="R1010" s="222" t="s">
        <v>177</v>
      </c>
      <c r="S1010" s="222" t="s">
        <v>223</v>
      </c>
      <c r="T1010" s="235"/>
      <c r="U1010" s="291"/>
      <c r="V1010" s="236" t="s">
        <v>179</v>
      </c>
      <c r="W1010" s="236" t="s">
        <v>179</v>
      </c>
      <c r="X1010" s="236">
        <v>2</v>
      </c>
      <c r="Y1010" s="237" t="s">
        <v>5692</v>
      </c>
      <c r="Z1010" s="238"/>
      <c r="AA1010" s="261" t="s">
        <v>181</v>
      </c>
      <c r="AB1010" s="236"/>
      <c r="AC1010" s="239" t="s">
        <v>351</v>
      </c>
      <c r="AD1010" s="240" t="s">
        <v>3602</v>
      </c>
      <c r="AE1010" s="240" t="s">
        <v>3602</v>
      </c>
      <c r="AF1010" s="240" t="s">
        <v>3602</v>
      </c>
      <c r="AG1010" s="242"/>
      <c r="AH1010" s="243"/>
      <c r="AI1010" s="243"/>
      <c r="AJ1010" s="258" t="s">
        <v>198</v>
      </c>
      <c r="AK1010" s="258" t="s">
        <v>185</v>
      </c>
      <c r="AL1010" s="258" t="s">
        <v>185</v>
      </c>
      <c r="AM1010" s="244" t="s">
        <v>236</v>
      </c>
      <c r="AN1010" s="20">
        <v>177</v>
      </c>
      <c r="AO1010" s="20">
        <v>0</v>
      </c>
      <c r="AP1010" s="20">
        <v>20</v>
      </c>
      <c r="AQ1010" s="20">
        <v>0</v>
      </c>
      <c r="AR1010" s="20">
        <v>0</v>
      </c>
      <c r="AS1010" s="20">
        <v>7</v>
      </c>
      <c r="AT1010" s="20">
        <v>10</v>
      </c>
      <c r="AU1010" s="300">
        <f t="shared" si="166"/>
        <v>214</v>
      </c>
      <c r="AV1010" s="20">
        <v>185</v>
      </c>
      <c r="AW1010" s="20">
        <v>0</v>
      </c>
      <c r="AX1010" s="20">
        <v>20</v>
      </c>
      <c r="AY1010" s="20">
        <v>0</v>
      </c>
      <c r="AZ1010" s="20">
        <v>0</v>
      </c>
      <c r="BA1010" s="20">
        <v>7</v>
      </c>
      <c r="BB1010" s="20">
        <v>10</v>
      </c>
      <c r="BC1010" s="300">
        <f t="shared" si="167"/>
        <v>222</v>
      </c>
      <c r="BD1010" s="42">
        <f t="shared" si="168"/>
        <v>8</v>
      </c>
      <c r="BE1010" s="42">
        <f t="shared" si="169"/>
        <v>0</v>
      </c>
      <c r="BF1010" s="42">
        <f t="shared" si="170"/>
        <v>0</v>
      </c>
      <c r="BG1010" s="42">
        <f t="shared" si="171"/>
        <v>0</v>
      </c>
      <c r="BH1010" s="42">
        <f t="shared" si="172"/>
        <v>0</v>
      </c>
      <c r="BI1010" s="42">
        <f t="shared" si="173"/>
        <v>0</v>
      </c>
      <c r="BJ1010" s="42">
        <f t="shared" si="174"/>
        <v>0</v>
      </c>
      <c r="BK1010" s="42">
        <f t="shared" si="175"/>
        <v>8</v>
      </c>
    </row>
    <row r="1011" spans="1:63" ht="27" customHeight="1">
      <c r="A1011" s="222">
        <f t="shared" si="176"/>
        <v>1009</v>
      </c>
      <c r="B1011" s="223"/>
      <c r="C1011" s="223">
        <v>3844</v>
      </c>
      <c r="D1011" s="225" t="s">
        <v>5693</v>
      </c>
      <c r="E1011" s="226" t="s">
        <v>5694</v>
      </c>
      <c r="F1011" s="227" t="s">
        <v>5695</v>
      </c>
      <c r="G1011" s="228" t="s">
        <v>5696</v>
      </c>
      <c r="H1011" s="229" t="s">
        <v>5697</v>
      </c>
      <c r="I1011" s="230" t="s">
        <v>5698</v>
      </c>
      <c r="J1011" s="231" t="s">
        <v>173</v>
      </c>
      <c r="K1011" s="232">
        <v>35523</v>
      </c>
      <c r="L1011" s="233" t="s">
        <v>174</v>
      </c>
      <c r="M1011" s="234">
        <v>43789</v>
      </c>
      <c r="N1011" s="234"/>
      <c r="O1011" s="234" t="s">
        <v>4147</v>
      </c>
      <c r="P1011" s="222" t="e">
        <v>#N/A</v>
      </c>
      <c r="Q1011" s="222" t="s">
        <v>244</v>
      </c>
      <c r="R1011" s="222" t="s">
        <v>177</v>
      </c>
      <c r="S1011" s="222" t="s">
        <v>206</v>
      </c>
      <c r="T1011" s="235"/>
      <c r="U1011" s="291"/>
      <c r="V1011" s="236" t="s">
        <v>179</v>
      </c>
      <c r="W1011" s="236" t="s">
        <v>179</v>
      </c>
      <c r="X1011" s="236">
        <v>10</v>
      </c>
      <c r="Y1011" s="237" t="s">
        <v>5699</v>
      </c>
      <c r="Z1011" s="261" t="s">
        <v>181</v>
      </c>
      <c r="AA1011" s="238"/>
      <c r="AB1011" s="236"/>
      <c r="AC1011" s="239"/>
      <c r="AD1011" s="240"/>
      <c r="AE1011" s="240"/>
      <c r="AF1011" s="241"/>
      <c r="AG1011" s="242"/>
      <c r="AH1011" s="243"/>
      <c r="AI1011" s="243"/>
      <c r="AJ1011" s="258" t="s">
        <v>198</v>
      </c>
      <c r="AK1011" s="258" t="s">
        <v>185</v>
      </c>
      <c r="AL1011" s="258" t="s">
        <v>185</v>
      </c>
      <c r="AM1011" s="244" t="s">
        <v>3854</v>
      </c>
      <c r="AN1011" s="20">
        <v>177</v>
      </c>
      <c r="AO1011" s="20">
        <v>0</v>
      </c>
      <c r="AP1011" s="20">
        <v>20</v>
      </c>
      <c r="AQ1011" s="20">
        <v>0</v>
      </c>
      <c r="AR1011" s="20">
        <v>0</v>
      </c>
      <c r="AS1011" s="20">
        <v>7</v>
      </c>
      <c r="AT1011" s="20">
        <v>10</v>
      </c>
      <c r="AU1011" s="300">
        <f t="shared" si="166"/>
        <v>214</v>
      </c>
      <c r="AV1011" s="20">
        <v>185</v>
      </c>
      <c r="AW1011" s="20">
        <v>0</v>
      </c>
      <c r="AX1011" s="20">
        <v>20</v>
      </c>
      <c r="AY1011" s="20">
        <v>0</v>
      </c>
      <c r="AZ1011" s="20">
        <v>0</v>
      </c>
      <c r="BA1011" s="20">
        <v>7</v>
      </c>
      <c r="BB1011" s="20">
        <v>10</v>
      </c>
      <c r="BC1011" s="300">
        <f t="shared" si="167"/>
        <v>222</v>
      </c>
      <c r="BD1011" s="42">
        <f t="shared" si="168"/>
        <v>8</v>
      </c>
      <c r="BE1011" s="42">
        <f t="shared" si="169"/>
        <v>0</v>
      </c>
      <c r="BF1011" s="42">
        <f t="shared" si="170"/>
        <v>0</v>
      </c>
      <c r="BG1011" s="42">
        <f t="shared" si="171"/>
        <v>0</v>
      </c>
      <c r="BH1011" s="42">
        <f t="shared" si="172"/>
        <v>0</v>
      </c>
      <c r="BI1011" s="42">
        <f t="shared" si="173"/>
        <v>0</v>
      </c>
      <c r="BJ1011" s="42">
        <f t="shared" si="174"/>
        <v>0</v>
      </c>
      <c r="BK1011" s="42">
        <f t="shared" si="175"/>
        <v>8</v>
      </c>
    </row>
    <row r="1012" spans="1:63" ht="27" customHeight="1">
      <c r="A1012" s="222">
        <f t="shared" si="176"/>
        <v>1010</v>
      </c>
      <c r="B1012" s="223"/>
      <c r="C1012" s="223">
        <v>3185</v>
      </c>
      <c r="D1012" s="225" t="s">
        <v>5700</v>
      </c>
      <c r="E1012" s="226" t="s">
        <v>5701</v>
      </c>
      <c r="F1012" s="227" t="s">
        <v>552</v>
      </c>
      <c r="G1012" s="228" t="s">
        <v>5702</v>
      </c>
      <c r="H1012" s="229" t="s">
        <v>554</v>
      </c>
      <c r="I1012" s="230" t="s">
        <v>546</v>
      </c>
      <c r="J1012" s="231" t="s">
        <v>173</v>
      </c>
      <c r="K1012" s="232">
        <v>22778</v>
      </c>
      <c r="L1012" s="233" t="s">
        <v>174</v>
      </c>
      <c r="M1012" s="234">
        <v>43740</v>
      </c>
      <c r="N1012" s="234"/>
      <c r="O1012" s="234" t="s">
        <v>3639</v>
      </c>
      <c r="P1012" s="222" t="s">
        <v>194</v>
      </c>
      <c r="Q1012" s="222" t="s">
        <v>244</v>
      </c>
      <c r="R1012" s="222" t="s">
        <v>177</v>
      </c>
      <c r="S1012" s="222" t="s">
        <v>214</v>
      </c>
      <c r="T1012" s="235"/>
      <c r="U1012" s="291"/>
      <c r="V1012" s="236" t="s">
        <v>179</v>
      </c>
      <c r="W1012" s="236" t="s">
        <v>179</v>
      </c>
      <c r="X1012" s="236"/>
      <c r="Y1012" s="237"/>
      <c r="Z1012" s="238"/>
      <c r="AA1012" s="238"/>
      <c r="AB1012" s="236"/>
      <c r="AC1012" s="239"/>
      <c r="AD1012" s="240"/>
      <c r="AE1012" s="240"/>
      <c r="AF1012" s="241"/>
      <c r="AG1012" s="242"/>
      <c r="AH1012" s="243"/>
      <c r="AI1012" s="243"/>
      <c r="AJ1012" s="244"/>
      <c r="AK1012" s="244"/>
      <c r="AL1012" s="244"/>
      <c r="AM1012" s="239"/>
      <c r="AN1012" s="20">
        <v>182</v>
      </c>
      <c r="AO1012" s="20">
        <v>0</v>
      </c>
      <c r="AP1012" s="20">
        <v>20</v>
      </c>
      <c r="AQ1012" s="20">
        <v>0</v>
      </c>
      <c r="AR1012" s="20">
        <v>0</v>
      </c>
      <c r="AS1012" s="20">
        <v>7</v>
      </c>
      <c r="AT1012" s="20">
        <v>10</v>
      </c>
      <c r="AU1012" s="300">
        <f t="shared" si="166"/>
        <v>219</v>
      </c>
      <c r="AV1012" s="20">
        <v>190</v>
      </c>
      <c r="AW1012" s="20">
        <v>0</v>
      </c>
      <c r="AX1012" s="20">
        <v>20</v>
      </c>
      <c r="AY1012" s="20">
        <v>0</v>
      </c>
      <c r="AZ1012" s="20">
        <v>0</v>
      </c>
      <c r="BA1012" s="20">
        <v>7</v>
      </c>
      <c r="BB1012" s="20">
        <v>10</v>
      </c>
      <c r="BC1012" s="300">
        <f t="shared" si="167"/>
        <v>227</v>
      </c>
      <c r="BD1012" s="42">
        <f t="shared" si="168"/>
        <v>8</v>
      </c>
      <c r="BE1012" s="42">
        <f t="shared" si="169"/>
        <v>0</v>
      </c>
      <c r="BF1012" s="42">
        <f t="shared" si="170"/>
        <v>0</v>
      </c>
      <c r="BG1012" s="42">
        <f t="shared" si="171"/>
        <v>0</v>
      </c>
      <c r="BH1012" s="42">
        <f t="shared" si="172"/>
        <v>0</v>
      </c>
      <c r="BI1012" s="42">
        <f t="shared" si="173"/>
        <v>0</v>
      </c>
      <c r="BJ1012" s="42">
        <f t="shared" si="174"/>
        <v>0</v>
      </c>
      <c r="BK1012" s="42">
        <f t="shared" si="175"/>
        <v>8</v>
      </c>
    </row>
    <row r="1013" spans="1:63" ht="27" customHeight="1">
      <c r="A1013" s="222">
        <f t="shared" si="176"/>
        <v>1011</v>
      </c>
      <c r="B1013" s="223"/>
      <c r="C1013" s="223">
        <v>3447</v>
      </c>
      <c r="D1013" s="225" t="s">
        <v>5703</v>
      </c>
      <c r="E1013" s="226" t="s">
        <v>5704</v>
      </c>
      <c r="F1013" s="227" t="s">
        <v>2146</v>
      </c>
      <c r="G1013" s="228" t="s">
        <v>2430</v>
      </c>
      <c r="H1013" s="229" t="s">
        <v>4553</v>
      </c>
      <c r="I1013" s="230" t="s">
        <v>4581</v>
      </c>
      <c r="J1013" s="231" t="s">
        <v>173</v>
      </c>
      <c r="K1013" s="232">
        <v>29550</v>
      </c>
      <c r="L1013" s="233" t="s">
        <v>174</v>
      </c>
      <c r="M1013" s="234">
        <v>43788</v>
      </c>
      <c r="N1013" s="234"/>
      <c r="O1013" s="234" t="s">
        <v>3540</v>
      </c>
      <c r="P1013" s="222" t="s">
        <v>32</v>
      </c>
      <c r="Q1013" s="222" t="s">
        <v>176</v>
      </c>
      <c r="R1013" s="222" t="s">
        <v>177</v>
      </c>
      <c r="S1013" s="222" t="s">
        <v>4014</v>
      </c>
      <c r="T1013" s="235"/>
      <c r="U1013" s="235"/>
      <c r="V1013" s="236" t="s">
        <v>179</v>
      </c>
      <c r="W1013" s="236" t="s">
        <v>179</v>
      </c>
      <c r="X1013" s="236">
        <v>2</v>
      </c>
      <c r="Y1013" s="237" t="s">
        <v>5705</v>
      </c>
      <c r="Z1013" s="238"/>
      <c r="AA1013" s="238" t="s">
        <v>181</v>
      </c>
      <c r="AB1013" s="236"/>
      <c r="AC1013" s="239"/>
      <c r="AD1013" s="240" t="s">
        <v>183</v>
      </c>
      <c r="AE1013" s="240" t="s">
        <v>183</v>
      </c>
      <c r="AF1013" s="240" t="s">
        <v>183</v>
      </c>
      <c r="AG1013" s="242"/>
      <c r="AH1013" s="243"/>
      <c r="AI1013" s="243"/>
      <c r="AJ1013" s="244" t="s">
        <v>198</v>
      </c>
      <c r="AK1013" s="244" t="s">
        <v>185</v>
      </c>
      <c r="AL1013" s="244" t="s">
        <v>185</v>
      </c>
      <c r="AM1013" s="239" t="s">
        <v>5706</v>
      </c>
      <c r="AN1013" s="20">
        <v>182</v>
      </c>
      <c r="AO1013" s="20">
        <v>0</v>
      </c>
      <c r="AP1013" s="20">
        <v>0</v>
      </c>
      <c r="AQ1013" s="20">
        <v>0</v>
      </c>
      <c r="AR1013" s="20">
        <v>0</v>
      </c>
      <c r="AS1013" s="20">
        <v>7</v>
      </c>
      <c r="AT1013" s="20">
        <v>10</v>
      </c>
      <c r="AU1013" s="300">
        <f t="shared" si="166"/>
        <v>199</v>
      </c>
      <c r="AV1013" s="20">
        <v>190</v>
      </c>
      <c r="AW1013" s="20">
        <v>0</v>
      </c>
      <c r="AX1013" s="20">
        <v>0</v>
      </c>
      <c r="AY1013" s="20">
        <v>0</v>
      </c>
      <c r="AZ1013" s="20">
        <v>0</v>
      </c>
      <c r="BA1013" s="20">
        <v>7</v>
      </c>
      <c r="BB1013" s="20">
        <v>10</v>
      </c>
      <c r="BC1013" s="300">
        <f t="shared" si="167"/>
        <v>207</v>
      </c>
      <c r="BD1013" s="42">
        <f t="shared" si="168"/>
        <v>8</v>
      </c>
      <c r="BE1013" s="42">
        <f t="shared" si="169"/>
        <v>0</v>
      </c>
      <c r="BF1013" s="42">
        <f t="shared" si="170"/>
        <v>0</v>
      </c>
      <c r="BG1013" s="42">
        <f t="shared" si="171"/>
        <v>0</v>
      </c>
      <c r="BH1013" s="42">
        <f t="shared" si="172"/>
        <v>0</v>
      </c>
      <c r="BI1013" s="42">
        <f t="shared" si="173"/>
        <v>0</v>
      </c>
      <c r="BJ1013" s="42">
        <f t="shared" si="174"/>
        <v>0</v>
      </c>
      <c r="BK1013" s="42">
        <f t="shared" si="175"/>
        <v>8</v>
      </c>
    </row>
    <row r="1014" spans="1:63" ht="27" customHeight="1">
      <c r="A1014" s="222">
        <f t="shared" si="176"/>
        <v>1012</v>
      </c>
      <c r="B1014" s="223"/>
      <c r="C1014" s="223">
        <v>3446</v>
      </c>
      <c r="D1014" s="225" t="s">
        <v>5707</v>
      </c>
      <c r="E1014" s="226" t="s">
        <v>5708</v>
      </c>
      <c r="F1014" s="227" t="s">
        <v>718</v>
      </c>
      <c r="G1014" s="228" t="s">
        <v>5709</v>
      </c>
      <c r="H1014" s="229" t="s">
        <v>5629</v>
      </c>
      <c r="I1014" s="230" t="s">
        <v>5710</v>
      </c>
      <c r="J1014" s="231" t="s">
        <v>173</v>
      </c>
      <c r="K1014" s="232">
        <v>32984</v>
      </c>
      <c r="L1014" s="233" t="s">
        <v>174</v>
      </c>
      <c r="M1014" s="234">
        <v>43787</v>
      </c>
      <c r="N1014" s="234"/>
      <c r="O1014" s="234" t="s">
        <v>5711</v>
      </c>
      <c r="P1014" s="222" t="s">
        <v>5712</v>
      </c>
      <c r="Q1014" s="222" t="s">
        <v>176</v>
      </c>
      <c r="R1014" s="222" t="s">
        <v>177</v>
      </c>
      <c r="S1014" s="222" t="s">
        <v>214</v>
      </c>
      <c r="T1014" s="235"/>
      <c r="U1014" s="235"/>
      <c r="V1014" s="236" t="s">
        <v>179</v>
      </c>
      <c r="W1014" s="236" t="s">
        <v>179</v>
      </c>
      <c r="X1014" s="236">
        <v>6</v>
      </c>
      <c r="Y1014" s="237" t="s">
        <v>5713</v>
      </c>
      <c r="Z1014" s="238"/>
      <c r="AA1014" s="238" t="s">
        <v>181</v>
      </c>
      <c r="AB1014" s="236"/>
      <c r="AC1014" s="239"/>
      <c r="AD1014" s="240"/>
      <c r="AE1014" s="240"/>
      <c r="AF1014" s="241"/>
      <c r="AG1014" s="242"/>
      <c r="AH1014" s="243"/>
      <c r="AI1014" s="243"/>
      <c r="AJ1014" s="244" t="s">
        <v>198</v>
      </c>
      <c r="AK1014" s="244" t="s">
        <v>185</v>
      </c>
      <c r="AL1014" s="244" t="s">
        <v>185</v>
      </c>
      <c r="AM1014" s="239" t="s">
        <v>5706</v>
      </c>
      <c r="AN1014" s="20">
        <v>177</v>
      </c>
      <c r="AO1014" s="20">
        <v>0</v>
      </c>
      <c r="AP1014" s="20">
        <v>0</v>
      </c>
      <c r="AQ1014" s="20">
        <v>0</v>
      </c>
      <c r="AR1014" s="20">
        <v>0</v>
      </c>
      <c r="AS1014" s="20">
        <v>7</v>
      </c>
      <c r="AT1014" s="20">
        <v>10</v>
      </c>
      <c r="AU1014" s="300">
        <f t="shared" si="166"/>
        <v>194</v>
      </c>
      <c r="AV1014" s="20">
        <v>185</v>
      </c>
      <c r="AW1014" s="20">
        <v>0</v>
      </c>
      <c r="AX1014" s="20">
        <v>0</v>
      </c>
      <c r="AY1014" s="20">
        <v>0</v>
      </c>
      <c r="AZ1014" s="20">
        <v>0</v>
      </c>
      <c r="BA1014" s="20">
        <v>7</v>
      </c>
      <c r="BB1014" s="20">
        <v>10</v>
      </c>
      <c r="BC1014" s="300">
        <f t="shared" si="167"/>
        <v>202</v>
      </c>
      <c r="BD1014" s="42">
        <f t="shared" si="168"/>
        <v>8</v>
      </c>
      <c r="BE1014" s="42">
        <f t="shared" si="169"/>
        <v>0</v>
      </c>
      <c r="BF1014" s="42">
        <f t="shared" si="170"/>
        <v>0</v>
      </c>
      <c r="BG1014" s="42">
        <f t="shared" si="171"/>
        <v>0</v>
      </c>
      <c r="BH1014" s="42">
        <f t="shared" si="172"/>
        <v>0</v>
      </c>
      <c r="BI1014" s="42">
        <f t="shared" si="173"/>
        <v>0</v>
      </c>
      <c r="BJ1014" s="42">
        <f t="shared" si="174"/>
        <v>0</v>
      </c>
      <c r="BK1014" s="42">
        <f t="shared" si="175"/>
        <v>8</v>
      </c>
    </row>
    <row r="1015" spans="1:63" ht="27" customHeight="1">
      <c r="A1015" s="222">
        <f t="shared" si="176"/>
        <v>1013</v>
      </c>
      <c r="B1015" s="223"/>
      <c r="C1015" s="223">
        <v>3449</v>
      </c>
      <c r="D1015" s="225" t="s">
        <v>5714</v>
      </c>
      <c r="E1015" s="226" t="s">
        <v>5715</v>
      </c>
      <c r="F1015" s="227" t="s">
        <v>1791</v>
      </c>
      <c r="G1015" s="228" t="s">
        <v>1893</v>
      </c>
      <c r="H1015" s="229" t="s">
        <v>1793</v>
      </c>
      <c r="I1015" s="230" t="s">
        <v>1895</v>
      </c>
      <c r="J1015" s="231" t="s">
        <v>173</v>
      </c>
      <c r="K1015" s="232">
        <v>30142</v>
      </c>
      <c r="L1015" s="233" t="s">
        <v>174</v>
      </c>
      <c r="M1015" s="234">
        <v>43787</v>
      </c>
      <c r="N1015" s="234"/>
      <c r="O1015" s="234" t="s">
        <v>5716</v>
      </c>
      <c r="P1015" s="222" t="s">
        <v>32</v>
      </c>
      <c r="Q1015" s="222" t="s">
        <v>176</v>
      </c>
      <c r="R1015" s="222" t="s">
        <v>177</v>
      </c>
      <c r="S1015" s="222" t="s">
        <v>206</v>
      </c>
      <c r="T1015" s="235"/>
      <c r="U1015" s="235"/>
      <c r="V1015" s="236" t="s">
        <v>179</v>
      </c>
      <c r="W1015" s="236" t="s">
        <v>179</v>
      </c>
      <c r="X1015" s="236">
        <v>2</v>
      </c>
      <c r="Y1015" s="237" t="s">
        <v>5717</v>
      </c>
      <c r="Z1015" s="238"/>
      <c r="AA1015" s="238" t="s">
        <v>181</v>
      </c>
      <c r="AB1015" s="236"/>
      <c r="AC1015" s="239"/>
      <c r="AD1015" s="240"/>
      <c r="AE1015" s="240"/>
      <c r="AF1015" s="241"/>
      <c r="AG1015" s="242"/>
      <c r="AH1015" s="243"/>
      <c r="AI1015" s="243"/>
      <c r="AJ1015" s="244" t="s">
        <v>198</v>
      </c>
      <c r="AK1015" s="244" t="s">
        <v>185</v>
      </c>
      <c r="AL1015" s="244" t="s">
        <v>185</v>
      </c>
      <c r="AM1015" s="239" t="s">
        <v>5718</v>
      </c>
      <c r="AN1015" s="20">
        <v>177</v>
      </c>
      <c r="AO1015" s="20">
        <v>0</v>
      </c>
      <c r="AP1015" s="20">
        <v>0</v>
      </c>
      <c r="AQ1015" s="20">
        <v>0</v>
      </c>
      <c r="AR1015" s="20">
        <v>0</v>
      </c>
      <c r="AS1015" s="20">
        <v>7</v>
      </c>
      <c r="AT1015" s="20">
        <v>10</v>
      </c>
      <c r="AU1015" s="300">
        <f t="shared" si="166"/>
        <v>194</v>
      </c>
      <c r="AV1015" s="20">
        <v>185</v>
      </c>
      <c r="AW1015" s="20">
        <v>0</v>
      </c>
      <c r="AX1015" s="20">
        <v>0</v>
      </c>
      <c r="AY1015" s="20">
        <v>0</v>
      </c>
      <c r="AZ1015" s="20">
        <v>0</v>
      </c>
      <c r="BA1015" s="20">
        <v>7</v>
      </c>
      <c r="BB1015" s="20">
        <v>10</v>
      </c>
      <c r="BC1015" s="300">
        <f t="shared" si="167"/>
        <v>202</v>
      </c>
      <c r="BD1015" s="42">
        <f t="shared" si="168"/>
        <v>8</v>
      </c>
      <c r="BE1015" s="42">
        <f t="shared" si="169"/>
        <v>0</v>
      </c>
      <c r="BF1015" s="42">
        <f t="shared" si="170"/>
        <v>0</v>
      </c>
      <c r="BG1015" s="42">
        <f t="shared" si="171"/>
        <v>0</v>
      </c>
      <c r="BH1015" s="42">
        <f t="shared" si="172"/>
        <v>0</v>
      </c>
      <c r="BI1015" s="42">
        <f t="shared" si="173"/>
        <v>0</v>
      </c>
      <c r="BJ1015" s="42">
        <f t="shared" si="174"/>
        <v>0</v>
      </c>
      <c r="BK1015" s="42">
        <f t="shared" si="175"/>
        <v>8</v>
      </c>
    </row>
    <row r="1016" spans="1:63" ht="27" customHeight="1">
      <c r="A1016" s="222">
        <f t="shared" si="176"/>
        <v>1014</v>
      </c>
      <c r="B1016" s="223"/>
      <c r="C1016" s="223">
        <v>3448</v>
      </c>
      <c r="D1016" s="225" t="s">
        <v>2042</v>
      </c>
      <c r="E1016" s="226" t="s">
        <v>2043</v>
      </c>
      <c r="F1016" s="227" t="s">
        <v>1166</v>
      </c>
      <c r="G1016" s="228" t="s">
        <v>2044</v>
      </c>
      <c r="H1016" s="229" t="s">
        <v>1168</v>
      </c>
      <c r="I1016" s="230" t="s">
        <v>5719</v>
      </c>
      <c r="J1016" s="231" t="s">
        <v>173</v>
      </c>
      <c r="K1016" s="232">
        <v>32374</v>
      </c>
      <c r="L1016" s="233" t="s">
        <v>174</v>
      </c>
      <c r="M1016" s="234">
        <v>43787</v>
      </c>
      <c r="N1016" s="234"/>
      <c r="O1016" s="234" t="s">
        <v>3639</v>
      </c>
      <c r="P1016" s="234" t="s">
        <v>3564</v>
      </c>
      <c r="Q1016" s="222" t="s">
        <v>176</v>
      </c>
      <c r="R1016" s="222" t="s">
        <v>177</v>
      </c>
      <c r="S1016" s="222" t="s">
        <v>214</v>
      </c>
      <c r="T1016" s="235"/>
      <c r="U1016" s="235"/>
      <c r="V1016" s="236" t="s">
        <v>179</v>
      </c>
      <c r="W1016" s="236" t="s">
        <v>179</v>
      </c>
      <c r="X1016" s="236">
        <v>3</v>
      </c>
      <c r="Y1016" s="237" t="s">
        <v>5720</v>
      </c>
      <c r="Z1016" s="238"/>
      <c r="AA1016" s="238" t="s">
        <v>181</v>
      </c>
      <c r="AB1016" s="236"/>
      <c r="AC1016" s="239" t="s">
        <v>197</v>
      </c>
      <c r="AD1016" s="240" t="s">
        <v>3602</v>
      </c>
      <c r="AE1016" s="240" t="s">
        <v>3602</v>
      </c>
      <c r="AF1016" s="241"/>
      <c r="AG1016" s="242"/>
      <c r="AH1016" s="243"/>
      <c r="AI1016" s="243"/>
      <c r="AJ1016" s="244" t="s">
        <v>198</v>
      </c>
      <c r="AK1016" s="244" t="s">
        <v>185</v>
      </c>
      <c r="AL1016" s="244" t="s">
        <v>185</v>
      </c>
      <c r="AM1016" s="239" t="s">
        <v>5721</v>
      </c>
      <c r="AN1016" s="20">
        <v>182</v>
      </c>
      <c r="AO1016" s="20">
        <v>0</v>
      </c>
      <c r="AP1016" s="20">
        <v>0</v>
      </c>
      <c r="AQ1016" s="20">
        <v>0</v>
      </c>
      <c r="AR1016" s="20">
        <v>0</v>
      </c>
      <c r="AS1016" s="20">
        <v>7</v>
      </c>
      <c r="AT1016" s="20">
        <v>10</v>
      </c>
      <c r="AU1016" s="300">
        <f t="shared" si="166"/>
        <v>199</v>
      </c>
      <c r="AV1016" s="20">
        <v>190</v>
      </c>
      <c r="AW1016" s="20">
        <v>0</v>
      </c>
      <c r="AX1016" s="20">
        <v>0</v>
      </c>
      <c r="AY1016" s="20">
        <v>0</v>
      </c>
      <c r="AZ1016" s="20">
        <v>0</v>
      </c>
      <c r="BA1016" s="20">
        <v>7</v>
      </c>
      <c r="BB1016" s="20">
        <v>10</v>
      </c>
      <c r="BC1016" s="300">
        <f t="shared" si="167"/>
        <v>207</v>
      </c>
      <c r="BD1016" s="42">
        <f t="shared" si="168"/>
        <v>8</v>
      </c>
      <c r="BE1016" s="42">
        <f t="shared" si="169"/>
        <v>0</v>
      </c>
      <c r="BF1016" s="42">
        <f t="shared" si="170"/>
        <v>0</v>
      </c>
      <c r="BG1016" s="42">
        <f t="shared" si="171"/>
        <v>0</v>
      </c>
      <c r="BH1016" s="42">
        <f t="shared" si="172"/>
        <v>0</v>
      </c>
      <c r="BI1016" s="42">
        <f t="shared" si="173"/>
        <v>0</v>
      </c>
      <c r="BJ1016" s="42">
        <f t="shared" si="174"/>
        <v>0</v>
      </c>
      <c r="BK1016" s="42">
        <f t="shared" si="175"/>
        <v>8</v>
      </c>
    </row>
    <row r="1017" spans="1:63" ht="27" customHeight="1">
      <c r="A1017" s="222">
        <f t="shared" si="176"/>
        <v>1015</v>
      </c>
      <c r="B1017" s="223"/>
      <c r="C1017" s="223">
        <v>3438</v>
      </c>
      <c r="D1017" s="225" t="s">
        <v>5722</v>
      </c>
      <c r="E1017" s="226" t="s">
        <v>5723</v>
      </c>
      <c r="F1017" s="227" t="s">
        <v>5724</v>
      </c>
      <c r="G1017" s="228" t="s">
        <v>5725</v>
      </c>
      <c r="H1017" s="229" t="s">
        <v>5726</v>
      </c>
      <c r="I1017" s="230" t="s">
        <v>5727</v>
      </c>
      <c r="J1017" s="231" t="s">
        <v>173</v>
      </c>
      <c r="K1017" s="232">
        <v>30970</v>
      </c>
      <c r="L1017" s="233" t="s">
        <v>174</v>
      </c>
      <c r="M1017" s="234">
        <v>43770</v>
      </c>
      <c r="N1017" s="234"/>
      <c r="O1017" s="234" t="s">
        <v>3639</v>
      </c>
      <c r="P1017" s="234" t="s">
        <v>3532</v>
      </c>
      <c r="Q1017" s="222" t="s">
        <v>176</v>
      </c>
      <c r="R1017" s="222" t="s">
        <v>177</v>
      </c>
      <c r="S1017" s="222" t="s">
        <v>223</v>
      </c>
      <c r="T1017" s="235"/>
      <c r="U1017" s="235"/>
      <c r="V1017" s="236" t="s">
        <v>179</v>
      </c>
      <c r="W1017" s="236" t="s">
        <v>179</v>
      </c>
      <c r="X1017" s="236">
        <v>3</v>
      </c>
      <c r="Y1017" s="237" t="s">
        <v>5728</v>
      </c>
      <c r="Z1017" s="238"/>
      <c r="AA1017" s="238" t="s">
        <v>181</v>
      </c>
      <c r="AB1017" s="236"/>
      <c r="AC1017" s="239" t="s">
        <v>420</v>
      </c>
      <c r="AD1017" s="240" t="s">
        <v>183</v>
      </c>
      <c r="AE1017" s="240" t="s">
        <v>183</v>
      </c>
      <c r="AF1017" s="241"/>
      <c r="AG1017" s="242"/>
      <c r="AH1017" s="243"/>
      <c r="AI1017" s="243"/>
      <c r="AJ1017" s="244" t="s">
        <v>198</v>
      </c>
      <c r="AK1017" s="244" t="s">
        <v>185</v>
      </c>
      <c r="AL1017" s="244" t="s">
        <v>185</v>
      </c>
      <c r="AM1017" s="239" t="s">
        <v>5718</v>
      </c>
      <c r="AN1017" s="20">
        <v>182</v>
      </c>
      <c r="AO1017" s="20">
        <v>0</v>
      </c>
      <c r="AP1017" s="20">
        <v>0</v>
      </c>
      <c r="AQ1017" s="20">
        <v>0</v>
      </c>
      <c r="AR1017" s="20">
        <v>0</v>
      </c>
      <c r="AS1017" s="20">
        <v>7</v>
      </c>
      <c r="AT1017" s="20">
        <v>10</v>
      </c>
      <c r="AU1017" s="300">
        <f t="shared" si="166"/>
        <v>199</v>
      </c>
      <c r="AV1017" s="20">
        <v>190</v>
      </c>
      <c r="AW1017" s="20">
        <v>0</v>
      </c>
      <c r="AX1017" s="20">
        <v>0</v>
      </c>
      <c r="AY1017" s="20">
        <v>0</v>
      </c>
      <c r="AZ1017" s="20">
        <v>0</v>
      </c>
      <c r="BA1017" s="20">
        <v>7</v>
      </c>
      <c r="BB1017" s="20">
        <v>10</v>
      </c>
      <c r="BC1017" s="300">
        <f t="shared" si="167"/>
        <v>207</v>
      </c>
      <c r="BD1017" s="42">
        <f t="shared" si="168"/>
        <v>8</v>
      </c>
      <c r="BE1017" s="42">
        <f t="shared" si="169"/>
        <v>0</v>
      </c>
      <c r="BF1017" s="42">
        <f t="shared" si="170"/>
        <v>0</v>
      </c>
      <c r="BG1017" s="42">
        <f t="shared" si="171"/>
        <v>0</v>
      </c>
      <c r="BH1017" s="42">
        <f t="shared" si="172"/>
        <v>0</v>
      </c>
      <c r="BI1017" s="42">
        <f t="shared" si="173"/>
        <v>0</v>
      </c>
      <c r="BJ1017" s="42">
        <f t="shared" si="174"/>
        <v>0</v>
      </c>
      <c r="BK1017" s="42">
        <f t="shared" si="175"/>
        <v>8</v>
      </c>
    </row>
    <row r="1018" spans="1:63" ht="27" customHeight="1">
      <c r="A1018" s="222">
        <f t="shared" si="176"/>
        <v>1016</v>
      </c>
      <c r="B1018" s="223"/>
      <c r="C1018" s="223">
        <v>3450</v>
      </c>
      <c r="D1018" s="225" t="s">
        <v>5729</v>
      </c>
      <c r="E1018" s="226" t="s">
        <v>5730</v>
      </c>
      <c r="F1018" s="227" t="s">
        <v>5731</v>
      </c>
      <c r="G1018" s="228" t="s">
        <v>3205</v>
      </c>
      <c r="H1018" s="229" t="s">
        <v>5732</v>
      </c>
      <c r="I1018" s="230" t="s">
        <v>5733</v>
      </c>
      <c r="J1018" s="231" t="s">
        <v>173</v>
      </c>
      <c r="K1018" s="232">
        <v>31298</v>
      </c>
      <c r="L1018" s="233" t="s">
        <v>174</v>
      </c>
      <c r="M1018" s="234">
        <v>43788</v>
      </c>
      <c r="N1018" s="234"/>
      <c r="O1018" s="234" t="s">
        <v>3639</v>
      </c>
      <c r="P1018" s="234" t="s">
        <v>3532</v>
      </c>
      <c r="Q1018" s="222" t="s">
        <v>176</v>
      </c>
      <c r="R1018" s="222" t="s">
        <v>177</v>
      </c>
      <c r="S1018" s="222" t="s">
        <v>251</v>
      </c>
      <c r="T1018" s="235"/>
      <c r="U1018" s="235"/>
      <c r="V1018" s="236" t="s">
        <v>195</v>
      </c>
      <c r="W1018" s="236">
        <v>1055</v>
      </c>
      <c r="X1018" s="236">
        <v>5</v>
      </c>
      <c r="Y1018" s="237" t="s">
        <v>5734</v>
      </c>
      <c r="Z1018" s="238"/>
      <c r="AA1018" s="238" t="s">
        <v>181</v>
      </c>
      <c r="AB1018" s="236"/>
      <c r="AC1018" s="239"/>
      <c r="AD1018" s="240"/>
      <c r="AE1018" s="240"/>
      <c r="AF1018" s="241"/>
      <c r="AG1018" s="242"/>
      <c r="AH1018" s="243"/>
      <c r="AI1018" s="243"/>
      <c r="AJ1018" s="244" t="s">
        <v>198</v>
      </c>
      <c r="AK1018" s="244" t="s">
        <v>185</v>
      </c>
      <c r="AL1018" s="244" t="s">
        <v>185</v>
      </c>
      <c r="AM1018" s="239" t="s">
        <v>5735</v>
      </c>
      <c r="AN1018" s="20">
        <v>182</v>
      </c>
      <c r="AO1018" s="20">
        <v>0</v>
      </c>
      <c r="AP1018" s="20">
        <v>0</v>
      </c>
      <c r="AQ1018" s="20">
        <v>0</v>
      </c>
      <c r="AR1018" s="20">
        <v>0</v>
      </c>
      <c r="AS1018" s="20">
        <v>7</v>
      </c>
      <c r="AT1018" s="20">
        <v>10</v>
      </c>
      <c r="AU1018" s="300">
        <f t="shared" si="166"/>
        <v>199</v>
      </c>
      <c r="AV1018" s="20">
        <v>190</v>
      </c>
      <c r="AW1018" s="20">
        <v>0</v>
      </c>
      <c r="AX1018" s="20">
        <v>0</v>
      </c>
      <c r="AY1018" s="20">
        <v>0</v>
      </c>
      <c r="AZ1018" s="20">
        <v>0</v>
      </c>
      <c r="BA1018" s="20">
        <v>7</v>
      </c>
      <c r="BB1018" s="20">
        <v>10</v>
      </c>
      <c r="BC1018" s="300">
        <f t="shared" si="167"/>
        <v>207</v>
      </c>
      <c r="BD1018" s="42">
        <f t="shared" si="168"/>
        <v>8</v>
      </c>
      <c r="BE1018" s="42">
        <f t="shared" si="169"/>
        <v>0</v>
      </c>
      <c r="BF1018" s="42">
        <f t="shared" si="170"/>
        <v>0</v>
      </c>
      <c r="BG1018" s="42">
        <f t="shared" si="171"/>
        <v>0</v>
      </c>
      <c r="BH1018" s="42">
        <f t="shared" si="172"/>
        <v>0</v>
      </c>
      <c r="BI1018" s="42">
        <f t="shared" si="173"/>
        <v>0</v>
      </c>
      <c r="BJ1018" s="42">
        <f t="shared" si="174"/>
        <v>0</v>
      </c>
      <c r="BK1018" s="42">
        <f t="shared" si="175"/>
        <v>8</v>
      </c>
    </row>
    <row r="1019" spans="1:63" ht="27" customHeight="1">
      <c r="A1019" s="222">
        <f t="shared" si="176"/>
        <v>1017</v>
      </c>
      <c r="B1019" s="223"/>
      <c r="C1019" s="223">
        <v>3423</v>
      </c>
      <c r="D1019" s="225" t="s">
        <v>5736</v>
      </c>
      <c r="E1019" s="226" t="s">
        <v>5737</v>
      </c>
      <c r="F1019" s="227" t="s">
        <v>5738</v>
      </c>
      <c r="G1019" s="228" t="s">
        <v>5739</v>
      </c>
      <c r="H1019" s="229" t="s">
        <v>4607</v>
      </c>
      <c r="I1019" s="230" t="s">
        <v>5740</v>
      </c>
      <c r="J1019" s="231" t="s">
        <v>204</v>
      </c>
      <c r="K1019" s="232">
        <v>33640</v>
      </c>
      <c r="L1019" s="233" t="s">
        <v>174</v>
      </c>
      <c r="M1019" s="234">
        <v>43771</v>
      </c>
      <c r="N1019" s="234"/>
      <c r="O1019" s="234" t="s">
        <v>3532</v>
      </c>
      <c r="P1019" s="222" t="s">
        <v>32</v>
      </c>
      <c r="Q1019" s="222" t="s">
        <v>176</v>
      </c>
      <c r="R1019" s="222" t="s">
        <v>177</v>
      </c>
      <c r="S1019" s="222" t="s">
        <v>251</v>
      </c>
      <c r="T1019" s="235"/>
      <c r="U1019" s="235"/>
      <c r="V1019" s="236" t="s">
        <v>195</v>
      </c>
      <c r="W1019" s="236" t="s">
        <v>179</v>
      </c>
      <c r="X1019" s="236">
        <v>9</v>
      </c>
      <c r="Y1019" s="237" t="s">
        <v>5741</v>
      </c>
      <c r="Z1019" s="238" t="s">
        <v>181</v>
      </c>
      <c r="AA1019" s="238"/>
      <c r="AB1019" s="236"/>
      <c r="AC1019" s="239"/>
      <c r="AD1019" s="240"/>
      <c r="AE1019" s="240"/>
      <c r="AF1019" s="241"/>
      <c r="AG1019" s="242"/>
      <c r="AH1019" s="243"/>
      <c r="AI1019" s="243"/>
      <c r="AJ1019" s="244" t="s">
        <v>198</v>
      </c>
      <c r="AK1019" s="244" t="s">
        <v>185</v>
      </c>
      <c r="AL1019" s="244" t="s">
        <v>185</v>
      </c>
      <c r="AM1019" s="239" t="s">
        <v>5742</v>
      </c>
      <c r="AN1019" s="20">
        <v>177</v>
      </c>
      <c r="AO1019" s="20">
        <v>0</v>
      </c>
      <c r="AP1019" s="20">
        <v>0</v>
      </c>
      <c r="AQ1019" s="20">
        <v>0</v>
      </c>
      <c r="AR1019" s="20">
        <v>0</v>
      </c>
      <c r="AS1019" s="20">
        <v>7</v>
      </c>
      <c r="AT1019" s="20">
        <v>10</v>
      </c>
      <c r="AU1019" s="300">
        <f t="shared" si="166"/>
        <v>194</v>
      </c>
      <c r="AV1019" s="20">
        <v>185</v>
      </c>
      <c r="AW1019" s="20">
        <v>0</v>
      </c>
      <c r="AX1019" s="20">
        <v>0</v>
      </c>
      <c r="AY1019" s="20">
        <v>0</v>
      </c>
      <c r="AZ1019" s="20">
        <v>0</v>
      </c>
      <c r="BA1019" s="20">
        <v>7</v>
      </c>
      <c r="BB1019" s="20">
        <v>10</v>
      </c>
      <c r="BC1019" s="300">
        <f t="shared" si="167"/>
        <v>202</v>
      </c>
      <c r="BD1019" s="42">
        <f t="shared" si="168"/>
        <v>8</v>
      </c>
      <c r="BE1019" s="42">
        <f t="shared" si="169"/>
        <v>0</v>
      </c>
      <c r="BF1019" s="42">
        <f t="shared" si="170"/>
        <v>0</v>
      </c>
      <c r="BG1019" s="42">
        <f t="shared" si="171"/>
        <v>0</v>
      </c>
      <c r="BH1019" s="42">
        <f t="shared" si="172"/>
        <v>0</v>
      </c>
      <c r="BI1019" s="42">
        <f t="shared" si="173"/>
        <v>0</v>
      </c>
      <c r="BJ1019" s="42">
        <f t="shared" si="174"/>
        <v>0</v>
      </c>
      <c r="BK1019" s="42">
        <f t="shared" si="175"/>
        <v>8</v>
      </c>
    </row>
    <row r="1020" spans="1:63" ht="27" customHeight="1">
      <c r="A1020" s="222">
        <f t="shared" si="176"/>
        <v>1018</v>
      </c>
      <c r="B1020" s="223"/>
      <c r="C1020" s="223">
        <v>3426</v>
      </c>
      <c r="D1020" s="225" t="s">
        <v>5743</v>
      </c>
      <c r="E1020" s="226" t="s">
        <v>5744</v>
      </c>
      <c r="F1020" s="227" t="s">
        <v>4556</v>
      </c>
      <c r="G1020" s="228" t="s">
        <v>5745</v>
      </c>
      <c r="H1020" s="229" t="s">
        <v>3892</v>
      </c>
      <c r="I1020" s="230" t="s">
        <v>5746</v>
      </c>
      <c r="J1020" s="231" t="s">
        <v>204</v>
      </c>
      <c r="K1020" s="232">
        <v>34765</v>
      </c>
      <c r="L1020" s="233" t="s">
        <v>174</v>
      </c>
      <c r="M1020" s="234">
        <v>43771</v>
      </c>
      <c r="N1020" s="234"/>
      <c r="O1020" s="234" t="s">
        <v>3568</v>
      </c>
      <c r="P1020" s="222" t="s">
        <v>5747</v>
      </c>
      <c r="Q1020" s="222" t="s">
        <v>176</v>
      </c>
      <c r="R1020" s="222" t="s">
        <v>177</v>
      </c>
      <c r="S1020" s="222" t="s">
        <v>251</v>
      </c>
      <c r="T1020" s="235"/>
      <c r="U1020" s="235"/>
      <c r="V1020" s="236" t="s">
        <v>179</v>
      </c>
      <c r="W1020" s="236" t="s">
        <v>179</v>
      </c>
      <c r="X1020" s="236">
        <v>8</v>
      </c>
      <c r="Y1020" s="237" t="s">
        <v>5748</v>
      </c>
      <c r="Z1020" s="238" t="s">
        <v>181</v>
      </c>
      <c r="AA1020" s="238"/>
      <c r="AB1020" s="236"/>
      <c r="AC1020" s="239"/>
      <c r="AD1020" s="240"/>
      <c r="AE1020" s="240"/>
      <c r="AF1020" s="241"/>
      <c r="AG1020" s="242"/>
      <c r="AH1020" s="243"/>
      <c r="AI1020" s="243"/>
      <c r="AJ1020" s="244" t="s">
        <v>198</v>
      </c>
      <c r="AK1020" s="244" t="s">
        <v>185</v>
      </c>
      <c r="AL1020" s="244" t="s">
        <v>185</v>
      </c>
      <c r="AM1020" s="239" t="s">
        <v>5735</v>
      </c>
      <c r="AN1020" s="20">
        <v>177</v>
      </c>
      <c r="AO1020" s="20">
        <v>0</v>
      </c>
      <c r="AP1020" s="20">
        <v>0</v>
      </c>
      <c r="AQ1020" s="20">
        <v>0</v>
      </c>
      <c r="AR1020" s="20">
        <v>0</v>
      </c>
      <c r="AS1020" s="20">
        <v>7</v>
      </c>
      <c r="AT1020" s="20">
        <v>10</v>
      </c>
      <c r="AU1020" s="300">
        <f t="shared" si="166"/>
        <v>194</v>
      </c>
      <c r="AV1020" s="20">
        <v>185</v>
      </c>
      <c r="AW1020" s="20">
        <v>0</v>
      </c>
      <c r="AX1020" s="20">
        <v>0</v>
      </c>
      <c r="AY1020" s="20">
        <v>0</v>
      </c>
      <c r="AZ1020" s="20">
        <v>0</v>
      </c>
      <c r="BA1020" s="20">
        <v>7</v>
      </c>
      <c r="BB1020" s="20">
        <v>10</v>
      </c>
      <c r="BC1020" s="300">
        <f t="shared" si="167"/>
        <v>202</v>
      </c>
      <c r="BD1020" s="42">
        <f t="shared" si="168"/>
        <v>8</v>
      </c>
      <c r="BE1020" s="42">
        <f t="shared" si="169"/>
        <v>0</v>
      </c>
      <c r="BF1020" s="42">
        <f t="shared" si="170"/>
        <v>0</v>
      </c>
      <c r="BG1020" s="42">
        <f t="shared" si="171"/>
        <v>0</v>
      </c>
      <c r="BH1020" s="42">
        <f t="shared" si="172"/>
        <v>0</v>
      </c>
      <c r="BI1020" s="42">
        <f t="shared" si="173"/>
        <v>0</v>
      </c>
      <c r="BJ1020" s="42">
        <f t="shared" si="174"/>
        <v>0</v>
      </c>
      <c r="BK1020" s="42">
        <f t="shared" si="175"/>
        <v>8</v>
      </c>
    </row>
    <row r="1021" spans="1:63" ht="27" customHeight="1">
      <c r="A1021" s="222">
        <f t="shared" si="176"/>
        <v>1019</v>
      </c>
      <c r="B1021" s="223"/>
      <c r="C1021" s="223">
        <v>3439</v>
      </c>
      <c r="D1021" s="225" t="s">
        <v>5749</v>
      </c>
      <c r="E1021" s="226" t="s">
        <v>5750</v>
      </c>
      <c r="F1021" s="227" t="s">
        <v>5751</v>
      </c>
      <c r="G1021" s="228" t="s">
        <v>2280</v>
      </c>
      <c r="H1021" s="229" t="s">
        <v>5752</v>
      </c>
      <c r="I1021" s="230" t="s">
        <v>5753</v>
      </c>
      <c r="J1021" s="231" t="s">
        <v>173</v>
      </c>
      <c r="K1021" s="232">
        <v>36567</v>
      </c>
      <c r="L1021" s="233" t="s">
        <v>174</v>
      </c>
      <c r="M1021" s="234">
        <v>43785</v>
      </c>
      <c r="N1021" s="234"/>
      <c r="O1021" s="234" t="s">
        <v>5754</v>
      </c>
      <c r="P1021" s="222" t="s">
        <v>32</v>
      </c>
      <c r="Q1021" s="222" t="s">
        <v>176</v>
      </c>
      <c r="R1021" s="222" t="s">
        <v>177</v>
      </c>
      <c r="S1021" s="222" t="s">
        <v>206</v>
      </c>
      <c r="T1021" s="235"/>
      <c r="U1021" s="235"/>
      <c r="V1021" s="236" t="s">
        <v>179</v>
      </c>
      <c r="W1021" s="236" t="s">
        <v>179</v>
      </c>
      <c r="X1021" s="236">
        <v>8</v>
      </c>
      <c r="Y1021" s="237" t="s">
        <v>5755</v>
      </c>
      <c r="Z1021" s="238" t="s">
        <v>181</v>
      </c>
      <c r="AA1021" s="238"/>
      <c r="AB1021" s="236"/>
      <c r="AC1021" s="239"/>
      <c r="AD1021" s="240"/>
      <c r="AE1021" s="240"/>
      <c r="AF1021" s="241"/>
      <c r="AG1021" s="242"/>
      <c r="AH1021" s="243"/>
      <c r="AI1021" s="243"/>
      <c r="AJ1021" s="244" t="s">
        <v>198</v>
      </c>
      <c r="AK1021" s="244" t="s">
        <v>185</v>
      </c>
      <c r="AL1021" s="244" t="s">
        <v>185</v>
      </c>
      <c r="AM1021" s="239" t="s">
        <v>5742</v>
      </c>
      <c r="AN1021" s="20">
        <v>177</v>
      </c>
      <c r="AO1021" s="20">
        <v>0</v>
      </c>
      <c r="AP1021" s="20">
        <v>0</v>
      </c>
      <c r="AQ1021" s="20">
        <v>0</v>
      </c>
      <c r="AR1021" s="20">
        <v>0</v>
      </c>
      <c r="AS1021" s="20">
        <v>7</v>
      </c>
      <c r="AT1021" s="20">
        <v>10</v>
      </c>
      <c r="AU1021" s="300">
        <f t="shared" si="166"/>
        <v>194</v>
      </c>
      <c r="AV1021" s="20">
        <v>185</v>
      </c>
      <c r="AW1021" s="20">
        <v>0</v>
      </c>
      <c r="AX1021" s="20">
        <v>0</v>
      </c>
      <c r="AY1021" s="20">
        <v>0</v>
      </c>
      <c r="AZ1021" s="20">
        <v>0</v>
      </c>
      <c r="BA1021" s="20">
        <v>7</v>
      </c>
      <c r="BB1021" s="20">
        <v>10</v>
      </c>
      <c r="BC1021" s="300">
        <f t="shared" si="167"/>
        <v>202</v>
      </c>
      <c r="BD1021" s="42">
        <f t="shared" si="168"/>
        <v>8</v>
      </c>
      <c r="BE1021" s="42">
        <f t="shared" si="169"/>
        <v>0</v>
      </c>
      <c r="BF1021" s="42">
        <f t="shared" si="170"/>
        <v>0</v>
      </c>
      <c r="BG1021" s="42">
        <f t="shared" si="171"/>
        <v>0</v>
      </c>
      <c r="BH1021" s="42">
        <f t="shared" si="172"/>
        <v>0</v>
      </c>
      <c r="BI1021" s="42">
        <f t="shared" si="173"/>
        <v>0</v>
      </c>
      <c r="BJ1021" s="42">
        <f t="shared" si="174"/>
        <v>0</v>
      </c>
      <c r="BK1021" s="42">
        <f t="shared" si="175"/>
        <v>8</v>
      </c>
    </row>
    <row r="1022" spans="1:63" ht="27" customHeight="1">
      <c r="A1022" s="222">
        <f t="shared" si="176"/>
        <v>1020</v>
      </c>
      <c r="B1022" s="223"/>
      <c r="C1022" s="223">
        <v>3433</v>
      </c>
      <c r="D1022" s="225" t="s">
        <v>5756</v>
      </c>
      <c r="E1022" s="226" t="s">
        <v>5757</v>
      </c>
      <c r="F1022" s="227" t="s">
        <v>452</v>
      </c>
      <c r="G1022" s="228" t="s">
        <v>355</v>
      </c>
      <c r="H1022" s="229" t="s">
        <v>5758</v>
      </c>
      <c r="I1022" s="230" t="s">
        <v>576</v>
      </c>
      <c r="J1022" s="231" t="s">
        <v>173</v>
      </c>
      <c r="K1022" s="232">
        <v>30297</v>
      </c>
      <c r="L1022" s="233" t="s">
        <v>174</v>
      </c>
      <c r="M1022" s="234">
        <v>43774</v>
      </c>
      <c r="N1022" s="234"/>
      <c r="O1022" s="234" t="s">
        <v>5759</v>
      </c>
      <c r="P1022" s="222" t="s">
        <v>5759</v>
      </c>
      <c r="Q1022" s="222" t="s">
        <v>176</v>
      </c>
      <c r="R1022" s="222" t="s">
        <v>3955</v>
      </c>
      <c r="S1022" s="222" t="s">
        <v>223</v>
      </c>
      <c r="T1022" s="235"/>
      <c r="U1022" s="292">
        <v>43788</v>
      </c>
      <c r="V1022" s="236" t="s">
        <v>195</v>
      </c>
      <c r="W1022" s="236">
        <v>8888</v>
      </c>
      <c r="X1022" s="236">
        <v>3</v>
      </c>
      <c r="Y1022" s="237" t="s">
        <v>5760</v>
      </c>
      <c r="Z1022" s="238"/>
      <c r="AA1022" s="238" t="s">
        <v>181</v>
      </c>
      <c r="AB1022" s="236"/>
      <c r="AC1022" s="239"/>
      <c r="AD1022" s="240"/>
      <c r="AE1022" s="240"/>
      <c r="AF1022" s="241"/>
      <c r="AG1022" s="242"/>
      <c r="AH1022" s="243"/>
      <c r="AI1022" s="243"/>
      <c r="AJ1022" s="244" t="s">
        <v>198</v>
      </c>
      <c r="AK1022" s="244" t="s">
        <v>185</v>
      </c>
      <c r="AL1022" s="244" t="s">
        <v>185</v>
      </c>
      <c r="AM1022" s="239" t="s">
        <v>5761</v>
      </c>
      <c r="AN1022" s="20">
        <v>182</v>
      </c>
      <c r="AO1022" s="20">
        <v>0</v>
      </c>
      <c r="AP1022" s="20">
        <v>0</v>
      </c>
      <c r="AQ1022" s="20">
        <v>0</v>
      </c>
      <c r="AR1022" s="20">
        <v>0</v>
      </c>
      <c r="AS1022" s="20">
        <v>7</v>
      </c>
      <c r="AT1022" s="20">
        <v>10</v>
      </c>
      <c r="AU1022" s="300">
        <f t="shared" si="166"/>
        <v>199</v>
      </c>
      <c r="AV1022" s="20">
        <v>190</v>
      </c>
      <c r="AW1022" s="20">
        <v>0</v>
      </c>
      <c r="AX1022" s="20">
        <v>0</v>
      </c>
      <c r="AY1022" s="20">
        <v>0</v>
      </c>
      <c r="AZ1022" s="20">
        <v>0</v>
      </c>
      <c r="BA1022" s="20">
        <v>7</v>
      </c>
      <c r="BB1022" s="20">
        <v>10</v>
      </c>
      <c r="BC1022" s="300">
        <f t="shared" si="167"/>
        <v>207</v>
      </c>
      <c r="BD1022" s="42">
        <f t="shared" si="168"/>
        <v>8</v>
      </c>
      <c r="BE1022" s="42">
        <f t="shared" si="169"/>
        <v>0</v>
      </c>
      <c r="BF1022" s="42">
        <f t="shared" si="170"/>
        <v>0</v>
      </c>
      <c r="BG1022" s="42">
        <f t="shared" si="171"/>
        <v>0</v>
      </c>
      <c r="BH1022" s="42">
        <f t="shared" si="172"/>
        <v>0</v>
      </c>
      <c r="BI1022" s="42">
        <f t="shared" si="173"/>
        <v>0</v>
      </c>
      <c r="BJ1022" s="42">
        <f t="shared" si="174"/>
        <v>0</v>
      </c>
      <c r="BK1022" s="42">
        <f t="shared" si="175"/>
        <v>8</v>
      </c>
    </row>
    <row r="1023" spans="1:63" ht="27" customHeight="1">
      <c r="A1023" s="222">
        <f t="shared" si="176"/>
        <v>1021</v>
      </c>
      <c r="B1023" s="223"/>
      <c r="C1023" s="223">
        <v>3432</v>
      </c>
      <c r="D1023" s="225" t="s">
        <v>5762</v>
      </c>
      <c r="E1023" s="226" t="s">
        <v>5763</v>
      </c>
      <c r="F1023" s="227" t="s">
        <v>5764</v>
      </c>
      <c r="G1023" s="228" t="s">
        <v>2885</v>
      </c>
      <c r="H1023" s="229" t="s">
        <v>5382</v>
      </c>
      <c r="I1023" s="230" t="s">
        <v>5765</v>
      </c>
      <c r="J1023" s="231" t="s">
        <v>173</v>
      </c>
      <c r="K1023" s="232">
        <v>30323</v>
      </c>
      <c r="L1023" s="233" t="s">
        <v>174</v>
      </c>
      <c r="M1023" s="234">
        <v>43774</v>
      </c>
      <c r="N1023" s="234"/>
      <c r="O1023" s="234" t="s">
        <v>5759</v>
      </c>
      <c r="P1023" s="222" t="s">
        <v>5759</v>
      </c>
      <c r="Q1023" s="222" t="s">
        <v>176</v>
      </c>
      <c r="R1023" s="222" t="s">
        <v>177</v>
      </c>
      <c r="S1023" s="222" t="s">
        <v>223</v>
      </c>
      <c r="T1023" s="235"/>
      <c r="U1023" s="235"/>
      <c r="V1023" s="236" t="s">
        <v>195</v>
      </c>
      <c r="W1023" s="236">
        <v>592</v>
      </c>
      <c r="X1023" s="236">
        <v>8</v>
      </c>
      <c r="Y1023" s="237" t="s">
        <v>5766</v>
      </c>
      <c r="Z1023" s="238"/>
      <c r="AA1023" s="238" t="s">
        <v>181</v>
      </c>
      <c r="AB1023" s="236"/>
      <c r="AC1023" s="239"/>
      <c r="AD1023" s="240"/>
      <c r="AE1023" s="240"/>
      <c r="AF1023" s="241"/>
      <c r="AG1023" s="242"/>
      <c r="AH1023" s="243"/>
      <c r="AI1023" s="243"/>
      <c r="AJ1023" s="244" t="s">
        <v>198</v>
      </c>
      <c r="AK1023" s="244" t="s">
        <v>185</v>
      </c>
      <c r="AL1023" s="244" t="s">
        <v>185</v>
      </c>
      <c r="AM1023" s="239" t="s">
        <v>5761</v>
      </c>
      <c r="AN1023" s="20">
        <v>177</v>
      </c>
      <c r="AO1023" s="20">
        <v>0</v>
      </c>
      <c r="AP1023" s="20">
        <v>0</v>
      </c>
      <c r="AQ1023" s="20">
        <v>0</v>
      </c>
      <c r="AR1023" s="20">
        <v>0</v>
      </c>
      <c r="AS1023" s="20">
        <v>7</v>
      </c>
      <c r="AT1023" s="20">
        <v>10</v>
      </c>
      <c r="AU1023" s="300">
        <f t="shared" si="166"/>
        <v>194</v>
      </c>
      <c r="AV1023" s="20">
        <v>185</v>
      </c>
      <c r="AW1023" s="20">
        <v>0</v>
      </c>
      <c r="AX1023" s="20">
        <v>0</v>
      </c>
      <c r="AY1023" s="20">
        <v>0</v>
      </c>
      <c r="AZ1023" s="20">
        <v>0</v>
      </c>
      <c r="BA1023" s="20">
        <v>7</v>
      </c>
      <c r="BB1023" s="20">
        <v>10</v>
      </c>
      <c r="BC1023" s="300">
        <f t="shared" si="167"/>
        <v>202</v>
      </c>
      <c r="BD1023" s="42">
        <f t="shared" si="168"/>
        <v>8</v>
      </c>
      <c r="BE1023" s="42">
        <f t="shared" si="169"/>
        <v>0</v>
      </c>
      <c r="BF1023" s="42">
        <f t="shared" si="170"/>
        <v>0</v>
      </c>
      <c r="BG1023" s="42">
        <f t="shared" si="171"/>
        <v>0</v>
      </c>
      <c r="BH1023" s="42">
        <f t="shared" si="172"/>
        <v>0</v>
      </c>
      <c r="BI1023" s="42">
        <f t="shared" si="173"/>
        <v>0</v>
      </c>
      <c r="BJ1023" s="42">
        <f t="shared" si="174"/>
        <v>0</v>
      </c>
      <c r="BK1023" s="42">
        <f t="shared" si="175"/>
        <v>8</v>
      </c>
    </row>
    <row r="1024" spans="1:63" ht="27" customHeight="1">
      <c r="A1024" s="222">
        <f t="shared" si="176"/>
        <v>1022</v>
      </c>
      <c r="B1024" s="223"/>
      <c r="C1024" s="223">
        <v>3422</v>
      </c>
      <c r="D1024" s="225" t="s">
        <v>5767</v>
      </c>
      <c r="E1024" s="226" t="s">
        <v>291</v>
      </c>
      <c r="F1024" s="227" t="s">
        <v>535</v>
      </c>
      <c r="G1024" s="228" t="s">
        <v>2016</v>
      </c>
      <c r="H1024" s="229" t="s">
        <v>5010</v>
      </c>
      <c r="I1024" s="230" t="s">
        <v>902</v>
      </c>
      <c r="J1024" s="231" t="s">
        <v>173</v>
      </c>
      <c r="K1024" s="232">
        <v>28627</v>
      </c>
      <c r="L1024" s="233" t="s">
        <v>174</v>
      </c>
      <c r="M1024" s="234">
        <v>43771</v>
      </c>
      <c r="N1024" s="234"/>
      <c r="O1024" s="234" t="s">
        <v>3540</v>
      </c>
      <c r="P1024" s="222" t="s">
        <v>32</v>
      </c>
      <c r="Q1024" s="222" t="s">
        <v>176</v>
      </c>
      <c r="R1024" s="222" t="s">
        <v>177</v>
      </c>
      <c r="S1024" s="222" t="s">
        <v>722</v>
      </c>
      <c r="T1024" s="235"/>
      <c r="U1024" s="235"/>
      <c r="V1024" s="236" t="s">
        <v>179</v>
      </c>
      <c r="W1024" s="236">
        <v>1677</v>
      </c>
      <c r="X1024" s="236">
        <v>5</v>
      </c>
      <c r="Y1024" s="237" t="s">
        <v>5768</v>
      </c>
      <c r="Z1024" s="238"/>
      <c r="AA1024" s="238" t="s">
        <v>181</v>
      </c>
      <c r="AB1024" s="236"/>
      <c r="AC1024" s="239"/>
      <c r="AD1024" s="240"/>
      <c r="AE1024" s="240"/>
      <c r="AF1024" s="241"/>
      <c r="AG1024" s="242"/>
      <c r="AH1024" s="243"/>
      <c r="AI1024" s="243"/>
      <c r="AJ1024" s="244" t="s">
        <v>198</v>
      </c>
      <c r="AK1024" s="244" t="s">
        <v>185</v>
      </c>
      <c r="AL1024" s="244" t="s">
        <v>185</v>
      </c>
      <c r="AM1024" s="239" t="s">
        <v>5769</v>
      </c>
      <c r="AN1024" s="20">
        <v>177</v>
      </c>
      <c r="AO1024" s="20">
        <v>0</v>
      </c>
      <c r="AP1024" s="20">
        <v>0</v>
      </c>
      <c r="AQ1024" s="20">
        <v>0</v>
      </c>
      <c r="AR1024" s="20">
        <v>0</v>
      </c>
      <c r="AS1024" s="20">
        <v>7</v>
      </c>
      <c r="AT1024" s="20">
        <v>10</v>
      </c>
      <c r="AU1024" s="300">
        <f t="shared" si="166"/>
        <v>194</v>
      </c>
      <c r="AV1024" s="20">
        <v>185</v>
      </c>
      <c r="AW1024" s="20">
        <v>0</v>
      </c>
      <c r="AX1024" s="20">
        <v>0</v>
      </c>
      <c r="AY1024" s="20">
        <v>0</v>
      </c>
      <c r="AZ1024" s="20">
        <v>0</v>
      </c>
      <c r="BA1024" s="20">
        <v>7</v>
      </c>
      <c r="BB1024" s="20">
        <v>10</v>
      </c>
      <c r="BC1024" s="300">
        <f t="shared" si="167"/>
        <v>202</v>
      </c>
      <c r="BD1024" s="42">
        <f t="shared" si="168"/>
        <v>8</v>
      </c>
      <c r="BE1024" s="42">
        <f t="shared" si="169"/>
        <v>0</v>
      </c>
      <c r="BF1024" s="42">
        <f t="shared" si="170"/>
        <v>0</v>
      </c>
      <c r="BG1024" s="42">
        <f t="shared" si="171"/>
        <v>0</v>
      </c>
      <c r="BH1024" s="42">
        <f t="shared" si="172"/>
        <v>0</v>
      </c>
      <c r="BI1024" s="42">
        <f t="shared" si="173"/>
        <v>0</v>
      </c>
      <c r="BJ1024" s="42">
        <f t="shared" si="174"/>
        <v>0</v>
      </c>
      <c r="BK1024" s="42">
        <f t="shared" si="175"/>
        <v>8</v>
      </c>
    </row>
    <row r="1025" spans="1:63" ht="27" customHeight="1">
      <c r="A1025" s="222">
        <f t="shared" si="176"/>
        <v>1023</v>
      </c>
      <c r="B1025" s="223"/>
      <c r="C1025" s="223">
        <v>3429</v>
      </c>
      <c r="D1025" s="225">
        <v>0</v>
      </c>
      <c r="E1025" s="226" t="s">
        <v>5770</v>
      </c>
      <c r="F1025" s="227" t="s">
        <v>5771</v>
      </c>
      <c r="G1025" s="228" t="s">
        <v>5772</v>
      </c>
      <c r="H1025" s="229" t="s">
        <v>5773</v>
      </c>
      <c r="I1025" s="230" t="s">
        <v>5774</v>
      </c>
      <c r="J1025" s="231" t="s">
        <v>173</v>
      </c>
      <c r="K1025" s="232">
        <v>32883</v>
      </c>
      <c r="L1025" s="233" t="s">
        <v>174</v>
      </c>
      <c r="M1025" s="234">
        <v>43774</v>
      </c>
      <c r="N1025" s="234"/>
      <c r="O1025" s="234" t="s">
        <v>3580</v>
      </c>
      <c r="P1025" s="222" t="s">
        <v>32</v>
      </c>
      <c r="Q1025" s="222" t="s">
        <v>176</v>
      </c>
      <c r="R1025" s="222" t="s">
        <v>177</v>
      </c>
      <c r="S1025" s="222" t="s">
        <v>722</v>
      </c>
      <c r="T1025" s="235"/>
      <c r="U1025" s="235"/>
      <c r="V1025" s="236" t="s">
        <v>179</v>
      </c>
      <c r="W1025" s="236" t="s">
        <v>179</v>
      </c>
      <c r="X1025" s="236">
        <v>7</v>
      </c>
      <c r="Y1025" s="237" t="s">
        <v>5775</v>
      </c>
      <c r="Z1025" s="238"/>
      <c r="AA1025" s="238" t="s">
        <v>181</v>
      </c>
      <c r="AB1025" s="236"/>
      <c r="AC1025" s="239"/>
      <c r="AD1025" s="240"/>
      <c r="AE1025" s="240"/>
      <c r="AF1025" s="241"/>
      <c r="AG1025" s="242"/>
      <c r="AH1025" s="243"/>
      <c r="AI1025" s="243"/>
      <c r="AJ1025" s="244" t="s">
        <v>198</v>
      </c>
      <c r="AK1025" s="244" t="s">
        <v>185</v>
      </c>
      <c r="AL1025" s="244" t="s">
        <v>185</v>
      </c>
      <c r="AM1025" s="239" t="s">
        <v>5718</v>
      </c>
      <c r="AN1025" s="20">
        <v>177</v>
      </c>
      <c r="AO1025" s="20">
        <v>0</v>
      </c>
      <c r="AP1025" s="20">
        <v>0</v>
      </c>
      <c r="AQ1025" s="20">
        <v>0</v>
      </c>
      <c r="AR1025" s="20">
        <v>0</v>
      </c>
      <c r="AS1025" s="20">
        <v>7</v>
      </c>
      <c r="AT1025" s="20">
        <v>10</v>
      </c>
      <c r="AU1025" s="300">
        <f t="shared" si="166"/>
        <v>194</v>
      </c>
      <c r="AV1025" s="20">
        <v>185</v>
      </c>
      <c r="AW1025" s="20">
        <v>0</v>
      </c>
      <c r="AX1025" s="20">
        <v>0</v>
      </c>
      <c r="AY1025" s="20">
        <v>0</v>
      </c>
      <c r="AZ1025" s="20">
        <v>0</v>
      </c>
      <c r="BA1025" s="20">
        <v>7</v>
      </c>
      <c r="BB1025" s="20">
        <v>10</v>
      </c>
      <c r="BC1025" s="300">
        <f t="shared" si="167"/>
        <v>202</v>
      </c>
      <c r="BD1025" s="42">
        <f t="shared" si="168"/>
        <v>8</v>
      </c>
      <c r="BE1025" s="42">
        <f t="shared" si="169"/>
        <v>0</v>
      </c>
      <c r="BF1025" s="42">
        <f t="shared" si="170"/>
        <v>0</v>
      </c>
      <c r="BG1025" s="42">
        <f t="shared" si="171"/>
        <v>0</v>
      </c>
      <c r="BH1025" s="42">
        <f t="shared" si="172"/>
        <v>0</v>
      </c>
      <c r="BI1025" s="42">
        <f t="shared" si="173"/>
        <v>0</v>
      </c>
      <c r="BJ1025" s="42">
        <f t="shared" si="174"/>
        <v>0</v>
      </c>
      <c r="BK1025" s="42">
        <f t="shared" si="175"/>
        <v>8</v>
      </c>
    </row>
    <row r="1026" spans="1:63" ht="27" customHeight="1">
      <c r="A1026" s="222">
        <f t="shared" si="176"/>
        <v>1024</v>
      </c>
      <c r="B1026" s="223"/>
      <c r="C1026" s="223">
        <v>3428</v>
      </c>
      <c r="D1026" s="225" t="s">
        <v>5776</v>
      </c>
      <c r="E1026" s="226" t="s">
        <v>5777</v>
      </c>
      <c r="F1026" s="227" t="s">
        <v>2633</v>
      </c>
      <c r="G1026" s="228" t="s">
        <v>5778</v>
      </c>
      <c r="H1026" s="229" t="s">
        <v>5779</v>
      </c>
      <c r="I1026" s="230" t="s">
        <v>5780</v>
      </c>
      <c r="J1026" s="231" t="s">
        <v>173</v>
      </c>
      <c r="K1026" s="232">
        <v>32096</v>
      </c>
      <c r="L1026" s="285" t="s">
        <v>174</v>
      </c>
      <c r="M1026" s="234">
        <v>43774</v>
      </c>
      <c r="N1026" s="234"/>
      <c r="O1026" s="234" t="s">
        <v>5781</v>
      </c>
      <c r="P1026" s="222"/>
      <c r="Q1026" s="222" t="s">
        <v>176</v>
      </c>
      <c r="R1026" s="222" t="s">
        <v>177</v>
      </c>
      <c r="S1026" s="222" t="s">
        <v>251</v>
      </c>
      <c r="T1026" s="235"/>
      <c r="U1026" s="235"/>
      <c r="V1026" s="236" t="s">
        <v>195</v>
      </c>
      <c r="W1026" s="236">
        <v>1997</v>
      </c>
      <c r="X1026" s="236">
        <v>9</v>
      </c>
      <c r="Y1026" s="237" t="s">
        <v>5782</v>
      </c>
      <c r="Z1026" s="238"/>
      <c r="AA1026" s="238" t="s">
        <v>181</v>
      </c>
      <c r="AB1026" s="236"/>
      <c r="AC1026" s="239" t="s">
        <v>5783</v>
      </c>
      <c r="AD1026" s="240" t="s">
        <v>183</v>
      </c>
      <c r="AE1026" s="240"/>
      <c r="AF1026" s="241"/>
      <c r="AG1026" s="242"/>
      <c r="AH1026" s="243"/>
      <c r="AI1026" s="243"/>
      <c r="AJ1026" s="244" t="s">
        <v>198</v>
      </c>
      <c r="AK1026" s="244" t="s">
        <v>185</v>
      </c>
      <c r="AL1026" s="244" t="s">
        <v>185</v>
      </c>
      <c r="AM1026" s="239" t="s">
        <v>5784</v>
      </c>
      <c r="AN1026" s="20">
        <v>177</v>
      </c>
      <c r="AO1026" s="20">
        <v>0</v>
      </c>
      <c r="AP1026" s="20">
        <v>0</v>
      </c>
      <c r="AQ1026" s="20">
        <v>0</v>
      </c>
      <c r="AR1026" s="20">
        <v>0</v>
      </c>
      <c r="AS1026" s="20">
        <v>7</v>
      </c>
      <c r="AT1026" s="20">
        <v>10</v>
      </c>
      <c r="AU1026" s="300">
        <f t="shared" si="166"/>
        <v>194</v>
      </c>
      <c r="AV1026" s="20">
        <v>185</v>
      </c>
      <c r="AW1026" s="20">
        <v>0</v>
      </c>
      <c r="AX1026" s="20">
        <v>0</v>
      </c>
      <c r="AY1026" s="20">
        <v>0</v>
      </c>
      <c r="AZ1026" s="20">
        <v>0</v>
      </c>
      <c r="BA1026" s="20">
        <v>7</v>
      </c>
      <c r="BB1026" s="20">
        <v>10</v>
      </c>
      <c r="BC1026" s="300">
        <f t="shared" si="167"/>
        <v>202</v>
      </c>
      <c r="BD1026" s="42">
        <f t="shared" si="168"/>
        <v>8</v>
      </c>
      <c r="BE1026" s="42">
        <f t="shared" si="169"/>
        <v>0</v>
      </c>
      <c r="BF1026" s="42">
        <f t="shared" si="170"/>
        <v>0</v>
      </c>
      <c r="BG1026" s="42">
        <f t="shared" si="171"/>
        <v>0</v>
      </c>
      <c r="BH1026" s="42">
        <f t="shared" si="172"/>
        <v>0</v>
      </c>
      <c r="BI1026" s="42">
        <f t="shared" si="173"/>
        <v>0</v>
      </c>
      <c r="BJ1026" s="42">
        <f t="shared" si="174"/>
        <v>0</v>
      </c>
      <c r="BK1026" s="42">
        <f t="shared" si="175"/>
        <v>8</v>
      </c>
    </row>
    <row r="1027" spans="1:63" ht="27" customHeight="1">
      <c r="A1027" s="222">
        <f t="shared" si="176"/>
        <v>1025</v>
      </c>
      <c r="B1027" s="223"/>
      <c r="C1027" s="223">
        <v>3416</v>
      </c>
      <c r="D1027" s="225">
        <v>0</v>
      </c>
      <c r="E1027" s="226" t="s">
        <v>291</v>
      </c>
      <c r="F1027" s="227" t="s">
        <v>5785</v>
      </c>
      <c r="G1027" s="228" t="s">
        <v>1182</v>
      </c>
      <c r="H1027" s="229">
        <v>0</v>
      </c>
      <c r="I1027" s="230">
        <v>0</v>
      </c>
      <c r="J1027" s="231" t="s">
        <v>173</v>
      </c>
      <c r="K1027" s="232">
        <v>29254</v>
      </c>
      <c r="L1027" s="233" t="s">
        <v>174</v>
      </c>
      <c r="M1027" s="234">
        <v>43770</v>
      </c>
      <c r="N1027" s="234"/>
      <c r="O1027" s="234" t="s">
        <v>3540</v>
      </c>
      <c r="P1027" s="222" t="s">
        <v>32</v>
      </c>
      <c r="Q1027" s="222" t="s">
        <v>176</v>
      </c>
      <c r="R1027" s="222" t="s">
        <v>3955</v>
      </c>
      <c r="S1027" s="222" t="s">
        <v>214</v>
      </c>
      <c r="T1027" s="235" t="s">
        <v>5786</v>
      </c>
      <c r="U1027" s="293">
        <v>43790</v>
      </c>
      <c r="V1027" s="236" t="s">
        <v>179</v>
      </c>
      <c r="W1027" s="236" t="s">
        <v>179</v>
      </c>
      <c r="X1027" s="236">
        <v>9</v>
      </c>
      <c r="Y1027" s="237" t="s">
        <v>5787</v>
      </c>
      <c r="Z1027" s="238"/>
      <c r="AA1027" s="238" t="s">
        <v>181</v>
      </c>
      <c r="AB1027" s="236"/>
      <c r="AC1027" s="239" t="s">
        <v>5788</v>
      </c>
      <c r="AD1027" s="240" t="s">
        <v>3602</v>
      </c>
      <c r="AE1027" s="240" t="s">
        <v>3602</v>
      </c>
      <c r="AF1027" s="241"/>
      <c r="AG1027" s="242"/>
      <c r="AH1027" s="243"/>
      <c r="AI1027" s="243"/>
      <c r="AJ1027" s="244" t="s">
        <v>198</v>
      </c>
      <c r="AK1027" s="244" t="s">
        <v>185</v>
      </c>
      <c r="AL1027" s="244" t="s">
        <v>185</v>
      </c>
      <c r="AM1027" s="239" t="s">
        <v>5706</v>
      </c>
      <c r="AN1027" s="20">
        <v>182</v>
      </c>
      <c r="AO1027" s="20">
        <v>0</v>
      </c>
      <c r="AP1027" s="20">
        <v>0</v>
      </c>
      <c r="AQ1027" s="20">
        <v>0</v>
      </c>
      <c r="AR1027" s="20">
        <v>0</v>
      </c>
      <c r="AS1027" s="20">
        <v>7</v>
      </c>
      <c r="AT1027" s="20">
        <v>10</v>
      </c>
      <c r="AU1027" s="300">
        <f t="shared" si="166"/>
        <v>199</v>
      </c>
      <c r="AV1027" s="20">
        <v>190</v>
      </c>
      <c r="AW1027" s="20">
        <v>0</v>
      </c>
      <c r="AX1027" s="20">
        <v>0</v>
      </c>
      <c r="AY1027" s="20">
        <v>0</v>
      </c>
      <c r="AZ1027" s="20">
        <v>0</v>
      </c>
      <c r="BA1027" s="20">
        <v>7</v>
      </c>
      <c r="BB1027" s="20">
        <v>10</v>
      </c>
      <c r="BC1027" s="300">
        <f t="shared" si="167"/>
        <v>207</v>
      </c>
      <c r="BD1027" s="42">
        <f t="shared" si="168"/>
        <v>8</v>
      </c>
      <c r="BE1027" s="42">
        <f t="shared" si="169"/>
        <v>0</v>
      </c>
      <c r="BF1027" s="42">
        <f t="shared" si="170"/>
        <v>0</v>
      </c>
      <c r="BG1027" s="42">
        <f t="shared" si="171"/>
        <v>0</v>
      </c>
      <c r="BH1027" s="42">
        <f t="shared" si="172"/>
        <v>0</v>
      </c>
      <c r="BI1027" s="42">
        <f t="shared" si="173"/>
        <v>0</v>
      </c>
      <c r="BJ1027" s="42">
        <f t="shared" si="174"/>
        <v>0</v>
      </c>
      <c r="BK1027" s="42">
        <f t="shared" si="175"/>
        <v>8</v>
      </c>
    </row>
    <row r="1028" spans="1:63" ht="27" customHeight="1">
      <c r="A1028" s="222">
        <f t="shared" si="176"/>
        <v>1026</v>
      </c>
      <c r="B1028" s="223"/>
      <c r="C1028" s="223">
        <v>3430</v>
      </c>
      <c r="D1028" s="225">
        <v>0</v>
      </c>
      <c r="E1028" s="226" t="s">
        <v>5789</v>
      </c>
      <c r="F1028" s="227" t="s">
        <v>2224</v>
      </c>
      <c r="G1028" s="228" t="s">
        <v>2236</v>
      </c>
      <c r="H1028" s="229" t="s">
        <v>5790</v>
      </c>
      <c r="I1028" s="230" t="s">
        <v>5540</v>
      </c>
      <c r="J1028" s="231" t="s">
        <v>173</v>
      </c>
      <c r="K1028" s="232">
        <v>33161</v>
      </c>
      <c r="L1028" s="233" t="s">
        <v>174</v>
      </c>
      <c r="M1028" s="234">
        <v>43774</v>
      </c>
      <c r="N1028" s="234"/>
      <c r="O1028" s="234" t="s">
        <v>3554</v>
      </c>
      <c r="P1028" s="222" t="s">
        <v>5712</v>
      </c>
      <c r="Q1028" s="222" t="s">
        <v>176</v>
      </c>
      <c r="R1028" s="222" t="s">
        <v>177</v>
      </c>
      <c r="S1028" s="222" t="s">
        <v>722</v>
      </c>
      <c r="T1028" s="235"/>
      <c r="U1028" s="235"/>
      <c r="V1028" s="236" t="s">
        <v>179</v>
      </c>
      <c r="W1028" s="236" t="s">
        <v>179</v>
      </c>
      <c r="X1028" s="236">
        <v>7</v>
      </c>
      <c r="Y1028" s="237" t="s">
        <v>5791</v>
      </c>
      <c r="Z1028" s="238"/>
      <c r="AA1028" s="238" t="s">
        <v>181</v>
      </c>
      <c r="AB1028" s="236"/>
      <c r="AC1028" s="239"/>
      <c r="AD1028" s="240" t="s">
        <v>183</v>
      </c>
      <c r="AE1028" s="240" t="s">
        <v>3602</v>
      </c>
      <c r="AF1028" s="241"/>
      <c r="AG1028" s="242"/>
      <c r="AH1028" s="243"/>
      <c r="AI1028" s="243"/>
      <c r="AJ1028" s="244" t="s">
        <v>198</v>
      </c>
      <c r="AK1028" s="244" t="s">
        <v>185</v>
      </c>
      <c r="AL1028" s="244" t="s">
        <v>185</v>
      </c>
      <c r="AM1028" s="239" t="s">
        <v>5761</v>
      </c>
      <c r="AN1028" s="20">
        <v>177</v>
      </c>
      <c r="AO1028" s="20">
        <v>0</v>
      </c>
      <c r="AP1028" s="20">
        <v>0</v>
      </c>
      <c r="AQ1028" s="20">
        <v>0</v>
      </c>
      <c r="AR1028" s="20">
        <v>0</v>
      </c>
      <c r="AS1028" s="20">
        <v>7</v>
      </c>
      <c r="AT1028" s="20">
        <v>10</v>
      </c>
      <c r="AU1028" s="300">
        <f t="shared" ref="AU1028:AU1078" si="177">SUM(AN1028:AT1028)</f>
        <v>194</v>
      </c>
      <c r="AV1028" s="20">
        <v>185</v>
      </c>
      <c r="AW1028" s="20">
        <v>0</v>
      </c>
      <c r="AX1028" s="20">
        <v>0</v>
      </c>
      <c r="AY1028" s="20">
        <v>0</v>
      </c>
      <c r="AZ1028" s="20">
        <v>0</v>
      </c>
      <c r="BA1028" s="20">
        <v>7</v>
      </c>
      <c r="BB1028" s="20">
        <v>10</v>
      </c>
      <c r="BC1028" s="300">
        <f t="shared" ref="BC1028:BC1078" si="178">SUM(AV1028:BB1028)</f>
        <v>202</v>
      </c>
      <c r="BD1028" s="42">
        <f t="shared" ref="BD1028:BD1078" si="179">AV1028-AN1028</f>
        <v>8</v>
      </c>
      <c r="BE1028" s="42">
        <f t="shared" ref="BE1028:BE1078" si="180">AW1028-AO1028</f>
        <v>0</v>
      </c>
      <c r="BF1028" s="42">
        <f t="shared" ref="BF1028:BF1078" si="181">AX1028-AP1028</f>
        <v>0</v>
      </c>
      <c r="BG1028" s="42">
        <f t="shared" ref="BG1028:BG1078" si="182">AY1028-AQ1028</f>
        <v>0</v>
      </c>
      <c r="BH1028" s="42">
        <f t="shared" ref="BH1028:BH1078" si="183">AZ1028-AR1028</f>
        <v>0</v>
      </c>
      <c r="BI1028" s="42">
        <f t="shared" ref="BI1028:BI1078" si="184">BA1028-AS1028</f>
        <v>0</v>
      </c>
      <c r="BJ1028" s="42">
        <f t="shared" ref="BJ1028:BJ1078" si="185">BB1028-AT1028</f>
        <v>0</v>
      </c>
      <c r="BK1028" s="42">
        <f t="shared" ref="BK1028:BK1078" si="186">BC1028-AU1028</f>
        <v>8</v>
      </c>
    </row>
    <row r="1029" spans="1:63" ht="27" customHeight="1">
      <c r="A1029" s="222">
        <f t="shared" ref="A1029:A1078" si="187">1+A1028</f>
        <v>1027</v>
      </c>
      <c r="B1029" s="223"/>
      <c r="C1029" s="223">
        <v>3431</v>
      </c>
      <c r="D1029" s="225">
        <v>0</v>
      </c>
      <c r="E1029" s="226" t="s">
        <v>5792</v>
      </c>
      <c r="F1029" s="227" t="s">
        <v>1032</v>
      </c>
      <c r="G1029" s="228" t="s">
        <v>5793</v>
      </c>
      <c r="H1029" s="229" t="s">
        <v>1760</v>
      </c>
      <c r="I1029" s="230" t="s">
        <v>5794</v>
      </c>
      <c r="J1029" s="231" t="s">
        <v>173</v>
      </c>
      <c r="K1029" s="232">
        <v>30533</v>
      </c>
      <c r="L1029" s="233" t="s">
        <v>174</v>
      </c>
      <c r="M1029" s="234">
        <v>43774</v>
      </c>
      <c r="N1029" s="234"/>
      <c r="O1029" s="234" t="s">
        <v>3554</v>
      </c>
      <c r="P1029" s="222" t="s">
        <v>5712</v>
      </c>
      <c r="Q1029" s="222" t="s">
        <v>176</v>
      </c>
      <c r="R1029" s="222" t="s">
        <v>177</v>
      </c>
      <c r="S1029" s="222" t="s">
        <v>214</v>
      </c>
      <c r="T1029" s="235"/>
      <c r="U1029" s="235"/>
      <c r="V1029" s="236" t="s">
        <v>195</v>
      </c>
      <c r="W1029" s="236">
        <v>583</v>
      </c>
      <c r="X1029" s="236">
        <v>5</v>
      </c>
      <c r="Y1029" s="237" t="s">
        <v>5795</v>
      </c>
      <c r="Z1029" s="238" t="s">
        <v>181</v>
      </c>
      <c r="AA1029" s="238"/>
      <c r="AB1029" s="236"/>
      <c r="AC1029" s="239"/>
      <c r="AD1029" s="240"/>
      <c r="AE1029" s="240"/>
      <c r="AF1029" s="241"/>
      <c r="AG1029" s="242"/>
      <c r="AH1029" s="243"/>
      <c r="AI1029" s="243"/>
      <c r="AJ1029" s="244" t="s">
        <v>198</v>
      </c>
      <c r="AK1029" s="244" t="s">
        <v>185</v>
      </c>
      <c r="AL1029" s="244" t="s">
        <v>185</v>
      </c>
      <c r="AM1029" s="239" t="s">
        <v>5718</v>
      </c>
      <c r="AN1029" s="20">
        <v>177</v>
      </c>
      <c r="AO1029" s="20">
        <v>0</v>
      </c>
      <c r="AP1029" s="20">
        <v>0</v>
      </c>
      <c r="AQ1029" s="20">
        <v>0</v>
      </c>
      <c r="AR1029" s="20">
        <v>0</v>
      </c>
      <c r="AS1029" s="20">
        <v>7</v>
      </c>
      <c r="AT1029" s="20">
        <v>10</v>
      </c>
      <c r="AU1029" s="300">
        <f t="shared" si="177"/>
        <v>194</v>
      </c>
      <c r="AV1029" s="20">
        <v>185</v>
      </c>
      <c r="AW1029" s="20">
        <v>0</v>
      </c>
      <c r="AX1029" s="20">
        <v>0</v>
      </c>
      <c r="AY1029" s="20">
        <v>0</v>
      </c>
      <c r="AZ1029" s="20">
        <v>0</v>
      </c>
      <c r="BA1029" s="20">
        <v>7</v>
      </c>
      <c r="BB1029" s="20">
        <v>10</v>
      </c>
      <c r="BC1029" s="300">
        <f t="shared" si="178"/>
        <v>202</v>
      </c>
      <c r="BD1029" s="42">
        <f t="shared" si="179"/>
        <v>8</v>
      </c>
      <c r="BE1029" s="42">
        <f t="shared" si="180"/>
        <v>0</v>
      </c>
      <c r="BF1029" s="42">
        <f t="shared" si="181"/>
        <v>0</v>
      </c>
      <c r="BG1029" s="42">
        <f t="shared" si="182"/>
        <v>0</v>
      </c>
      <c r="BH1029" s="42">
        <f t="shared" si="183"/>
        <v>0</v>
      </c>
      <c r="BI1029" s="42">
        <f t="shared" si="184"/>
        <v>0</v>
      </c>
      <c r="BJ1029" s="42">
        <f t="shared" si="185"/>
        <v>0</v>
      </c>
      <c r="BK1029" s="42">
        <f t="shared" si="186"/>
        <v>8</v>
      </c>
    </row>
    <row r="1030" spans="1:63" ht="27" customHeight="1">
      <c r="A1030" s="222">
        <f t="shared" si="187"/>
        <v>1028</v>
      </c>
      <c r="B1030" s="223"/>
      <c r="C1030" s="223">
        <v>3427</v>
      </c>
      <c r="D1030" s="225" t="s">
        <v>5796</v>
      </c>
      <c r="E1030" s="226" t="s">
        <v>5797</v>
      </c>
      <c r="F1030" s="227" t="s">
        <v>2753</v>
      </c>
      <c r="G1030" s="228" t="s">
        <v>5798</v>
      </c>
      <c r="H1030" s="229" t="s">
        <v>5799</v>
      </c>
      <c r="I1030" s="230" t="s">
        <v>5800</v>
      </c>
      <c r="J1030" s="231" t="s">
        <v>173</v>
      </c>
      <c r="K1030" s="232">
        <v>33117</v>
      </c>
      <c r="L1030" s="233" t="s">
        <v>174</v>
      </c>
      <c r="M1030" s="234">
        <v>43771</v>
      </c>
      <c r="N1030" s="234"/>
      <c r="O1030" s="234" t="s">
        <v>3568</v>
      </c>
      <c r="P1030" s="222" t="s">
        <v>5801</v>
      </c>
      <c r="Q1030" s="222" t="s">
        <v>176</v>
      </c>
      <c r="R1030" s="222" t="s">
        <v>177</v>
      </c>
      <c r="S1030" s="222" t="s">
        <v>251</v>
      </c>
      <c r="T1030" s="235"/>
      <c r="U1030" s="235"/>
      <c r="V1030" s="236" t="s">
        <v>179</v>
      </c>
      <c r="W1030" s="236" t="s">
        <v>179</v>
      </c>
      <c r="X1030" s="236">
        <v>6</v>
      </c>
      <c r="Y1030" s="237" t="s">
        <v>5802</v>
      </c>
      <c r="Z1030" s="238"/>
      <c r="AA1030" s="238" t="s">
        <v>181</v>
      </c>
      <c r="AB1030" s="236"/>
      <c r="AC1030" s="239"/>
      <c r="AD1030" s="240" t="s">
        <v>3602</v>
      </c>
      <c r="AE1030" s="240"/>
      <c r="AF1030" s="241"/>
      <c r="AG1030" s="242"/>
      <c r="AH1030" s="243"/>
      <c r="AI1030" s="243"/>
      <c r="AJ1030" s="244" t="s">
        <v>198</v>
      </c>
      <c r="AK1030" s="244" t="s">
        <v>185</v>
      </c>
      <c r="AL1030" s="244" t="s">
        <v>185</v>
      </c>
      <c r="AM1030" s="239" t="s">
        <v>5718</v>
      </c>
      <c r="AN1030" s="20">
        <v>177</v>
      </c>
      <c r="AO1030" s="20">
        <v>0</v>
      </c>
      <c r="AP1030" s="20">
        <v>0</v>
      </c>
      <c r="AQ1030" s="20">
        <v>0</v>
      </c>
      <c r="AR1030" s="20">
        <v>0</v>
      </c>
      <c r="AS1030" s="20">
        <v>7</v>
      </c>
      <c r="AT1030" s="20">
        <v>10</v>
      </c>
      <c r="AU1030" s="300">
        <f t="shared" si="177"/>
        <v>194</v>
      </c>
      <c r="AV1030" s="20">
        <v>185</v>
      </c>
      <c r="AW1030" s="20">
        <v>0</v>
      </c>
      <c r="AX1030" s="20">
        <v>0</v>
      </c>
      <c r="AY1030" s="20">
        <v>0</v>
      </c>
      <c r="AZ1030" s="20">
        <v>0</v>
      </c>
      <c r="BA1030" s="20">
        <v>7</v>
      </c>
      <c r="BB1030" s="20">
        <v>10</v>
      </c>
      <c r="BC1030" s="300">
        <f t="shared" si="178"/>
        <v>202</v>
      </c>
      <c r="BD1030" s="42">
        <f t="shared" si="179"/>
        <v>8</v>
      </c>
      <c r="BE1030" s="42">
        <f t="shared" si="180"/>
        <v>0</v>
      </c>
      <c r="BF1030" s="42">
        <f t="shared" si="181"/>
        <v>0</v>
      </c>
      <c r="BG1030" s="42">
        <f t="shared" si="182"/>
        <v>0</v>
      </c>
      <c r="BH1030" s="42">
        <f t="shared" si="183"/>
        <v>0</v>
      </c>
      <c r="BI1030" s="42">
        <f t="shared" si="184"/>
        <v>0</v>
      </c>
      <c r="BJ1030" s="42">
        <f t="shared" si="185"/>
        <v>0</v>
      </c>
      <c r="BK1030" s="42">
        <f t="shared" si="186"/>
        <v>8</v>
      </c>
    </row>
    <row r="1031" spans="1:63" ht="27" customHeight="1">
      <c r="A1031" s="222">
        <f t="shared" si="187"/>
        <v>1029</v>
      </c>
      <c r="B1031" s="223"/>
      <c r="C1031" s="223">
        <v>3434</v>
      </c>
      <c r="D1031" s="225" t="s">
        <v>5803</v>
      </c>
      <c r="E1031" s="226" t="s">
        <v>5804</v>
      </c>
      <c r="F1031" s="227" t="s">
        <v>699</v>
      </c>
      <c r="G1031" s="228" t="s">
        <v>4190</v>
      </c>
      <c r="H1031" s="229" t="s">
        <v>14</v>
      </c>
      <c r="I1031" s="230" t="s">
        <v>5805</v>
      </c>
      <c r="J1031" s="231" t="s">
        <v>173</v>
      </c>
      <c r="K1031" s="232">
        <v>30756</v>
      </c>
      <c r="L1031" s="233" t="s">
        <v>174</v>
      </c>
      <c r="M1031" s="234">
        <v>43777</v>
      </c>
      <c r="N1031" s="234"/>
      <c r="O1031" s="234" t="s">
        <v>5754</v>
      </c>
      <c r="P1031" s="222" t="s">
        <v>32</v>
      </c>
      <c r="Q1031" s="222" t="s">
        <v>176</v>
      </c>
      <c r="R1031" s="222" t="s">
        <v>177</v>
      </c>
      <c r="S1031" s="222" t="s">
        <v>251</v>
      </c>
      <c r="T1031" s="235"/>
      <c r="U1031" s="235"/>
      <c r="V1031" s="236" t="s">
        <v>179</v>
      </c>
      <c r="W1031" s="236" t="s">
        <v>179</v>
      </c>
      <c r="X1031" s="236">
        <v>2</v>
      </c>
      <c r="Y1031" s="237" t="s">
        <v>5806</v>
      </c>
      <c r="Z1031" s="238"/>
      <c r="AA1031" s="238" t="s">
        <v>181</v>
      </c>
      <c r="AB1031" s="236"/>
      <c r="AC1031" s="239"/>
      <c r="AD1031" s="240"/>
      <c r="AE1031" s="240"/>
      <c r="AF1031" s="241"/>
      <c r="AG1031" s="242"/>
      <c r="AH1031" s="243"/>
      <c r="AI1031" s="243"/>
      <c r="AJ1031" s="244" t="s">
        <v>198</v>
      </c>
      <c r="AK1031" s="244" t="s">
        <v>185</v>
      </c>
      <c r="AL1031" s="244" t="s">
        <v>185</v>
      </c>
      <c r="AM1031" s="239" t="s">
        <v>5721</v>
      </c>
      <c r="AN1031" s="20">
        <v>177</v>
      </c>
      <c r="AO1031" s="20">
        <v>0</v>
      </c>
      <c r="AP1031" s="20">
        <v>0</v>
      </c>
      <c r="AQ1031" s="20">
        <v>0</v>
      </c>
      <c r="AR1031" s="20">
        <v>0</v>
      </c>
      <c r="AS1031" s="20">
        <v>7</v>
      </c>
      <c r="AT1031" s="20">
        <v>10</v>
      </c>
      <c r="AU1031" s="300">
        <f t="shared" si="177"/>
        <v>194</v>
      </c>
      <c r="AV1031" s="20">
        <v>185</v>
      </c>
      <c r="AW1031" s="20">
        <v>0</v>
      </c>
      <c r="AX1031" s="20">
        <v>0</v>
      </c>
      <c r="AY1031" s="20">
        <v>0</v>
      </c>
      <c r="AZ1031" s="20">
        <v>0</v>
      </c>
      <c r="BA1031" s="20">
        <v>7</v>
      </c>
      <c r="BB1031" s="20">
        <v>10</v>
      </c>
      <c r="BC1031" s="300">
        <f t="shared" si="178"/>
        <v>202</v>
      </c>
      <c r="BD1031" s="42">
        <f t="shared" si="179"/>
        <v>8</v>
      </c>
      <c r="BE1031" s="42">
        <f t="shared" si="180"/>
        <v>0</v>
      </c>
      <c r="BF1031" s="42">
        <f t="shared" si="181"/>
        <v>0</v>
      </c>
      <c r="BG1031" s="42">
        <f t="shared" si="182"/>
        <v>0</v>
      </c>
      <c r="BH1031" s="42">
        <f t="shared" si="183"/>
        <v>0</v>
      </c>
      <c r="BI1031" s="42">
        <f t="shared" si="184"/>
        <v>0</v>
      </c>
      <c r="BJ1031" s="42">
        <f t="shared" si="185"/>
        <v>0</v>
      </c>
      <c r="BK1031" s="42">
        <f t="shared" si="186"/>
        <v>8</v>
      </c>
    </row>
    <row r="1032" spans="1:63" ht="27" customHeight="1">
      <c r="A1032" s="222">
        <f t="shared" si="187"/>
        <v>1030</v>
      </c>
      <c r="B1032" s="223"/>
      <c r="C1032" s="223">
        <v>3437</v>
      </c>
      <c r="D1032" s="225" t="s">
        <v>5807</v>
      </c>
      <c r="E1032" s="226" t="s">
        <v>5808</v>
      </c>
      <c r="F1032" s="227" t="s">
        <v>1061</v>
      </c>
      <c r="G1032" s="228" t="s">
        <v>719</v>
      </c>
      <c r="H1032" s="229" t="s">
        <v>1063</v>
      </c>
      <c r="I1032" s="230" t="s">
        <v>721</v>
      </c>
      <c r="J1032" s="231" t="s">
        <v>173</v>
      </c>
      <c r="K1032" s="232">
        <v>31588</v>
      </c>
      <c r="L1032" s="233" t="s">
        <v>174</v>
      </c>
      <c r="M1032" s="234">
        <v>43783</v>
      </c>
      <c r="N1032" s="234"/>
      <c r="O1032" s="234" t="s">
        <v>5711</v>
      </c>
      <c r="P1032" s="222" t="s">
        <v>32</v>
      </c>
      <c r="Q1032" s="222" t="s">
        <v>176</v>
      </c>
      <c r="R1032" s="222" t="s">
        <v>177</v>
      </c>
      <c r="S1032" s="222" t="s">
        <v>326</v>
      </c>
      <c r="T1032" s="235"/>
      <c r="U1032" s="235"/>
      <c r="V1032" s="236" t="s">
        <v>179</v>
      </c>
      <c r="W1032" s="236" t="s">
        <v>179</v>
      </c>
      <c r="X1032" s="236">
        <v>5</v>
      </c>
      <c r="Y1032" s="237" t="s">
        <v>5809</v>
      </c>
      <c r="Z1032" s="238"/>
      <c r="AA1032" s="238" t="s">
        <v>181</v>
      </c>
      <c r="AB1032" s="236"/>
      <c r="AC1032" s="239"/>
      <c r="AD1032" s="240"/>
      <c r="AE1032" s="240"/>
      <c r="AF1032" s="241"/>
      <c r="AG1032" s="242"/>
      <c r="AH1032" s="243"/>
      <c r="AI1032" s="243"/>
      <c r="AJ1032" s="244" t="s">
        <v>198</v>
      </c>
      <c r="AK1032" s="244" t="s">
        <v>185</v>
      </c>
      <c r="AL1032" s="244" t="s">
        <v>185</v>
      </c>
      <c r="AM1032" s="239" t="s">
        <v>5721</v>
      </c>
      <c r="AN1032" s="20">
        <v>177</v>
      </c>
      <c r="AO1032" s="20">
        <v>0</v>
      </c>
      <c r="AP1032" s="20">
        <v>0</v>
      </c>
      <c r="AQ1032" s="20">
        <v>0</v>
      </c>
      <c r="AR1032" s="20">
        <v>0</v>
      </c>
      <c r="AS1032" s="20">
        <v>7</v>
      </c>
      <c r="AT1032" s="20">
        <v>10</v>
      </c>
      <c r="AU1032" s="300">
        <f t="shared" si="177"/>
        <v>194</v>
      </c>
      <c r="AV1032" s="20">
        <v>185</v>
      </c>
      <c r="AW1032" s="20">
        <v>0</v>
      </c>
      <c r="AX1032" s="20">
        <v>0</v>
      </c>
      <c r="AY1032" s="20">
        <v>0</v>
      </c>
      <c r="AZ1032" s="20">
        <v>0</v>
      </c>
      <c r="BA1032" s="20">
        <v>7</v>
      </c>
      <c r="BB1032" s="20">
        <v>10</v>
      </c>
      <c r="BC1032" s="300">
        <f t="shared" si="178"/>
        <v>202</v>
      </c>
      <c r="BD1032" s="42">
        <f t="shared" si="179"/>
        <v>8</v>
      </c>
      <c r="BE1032" s="42">
        <f t="shared" si="180"/>
        <v>0</v>
      </c>
      <c r="BF1032" s="42">
        <f t="shared" si="181"/>
        <v>0</v>
      </c>
      <c r="BG1032" s="42">
        <f t="shared" si="182"/>
        <v>0</v>
      </c>
      <c r="BH1032" s="42">
        <f t="shared" si="183"/>
        <v>0</v>
      </c>
      <c r="BI1032" s="42">
        <f t="shared" si="184"/>
        <v>0</v>
      </c>
      <c r="BJ1032" s="42">
        <f t="shared" si="185"/>
        <v>0</v>
      </c>
      <c r="BK1032" s="42">
        <f t="shared" si="186"/>
        <v>8</v>
      </c>
    </row>
    <row r="1033" spans="1:63" ht="27" customHeight="1">
      <c r="A1033" s="222">
        <f t="shared" si="187"/>
        <v>1031</v>
      </c>
      <c r="B1033" s="223"/>
      <c r="C1033" s="223">
        <v>3436</v>
      </c>
      <c r="D1033" s="225" t="s">
        <v>5810</v>
      </c>
      <c r="E1033" s="226" t="s">
        <v>5811</v>
      </c>
      <c r="F1033" s="227" t="s">
        <v>958</v>
      </c>
      <c r="G1033" s="228" t="s">
        <v>5812</v>
      </c>
      <c r="H1033" s="229" t="s">
        <v>959</v>
      </c>
      <c r="I1033" s="230" t="s">
        <v>5813</v>
      </c>
      <c r="J1033" s="231" t="s">
        <v>173</v>
      </c>
      <c r="K1033" s="232">
        <v>34398</v>
      </c>
      <c r="L1033" s="233" t="s">
        <v>174</v>
      </c>
      <c r="M1033" s="234">
        <v>43783</v>
      </c>
      <c r="N1033" s="234"/>
      <c r="O1033" s="234" t="s">
        <v>3639</v>
      </c>
      <c r="P1033" s="222" t="s">
        <v>32</v>
      </c>
      <c r="Q1033" s="222" t="s">
        <v>176</v>
      </c>
      <c r="R1033" s="222" t="s">
        <v>177</v>
      </c>
      <c r="S1033" s="222" t="s">
        <v>223</v>
      </c>
      <c r="T1033" s="235"/>
      <c r="U1033" s="235"/>
      <c r="V1033" s="236" t="s">
        <v>179</v>
      </c>
      <c r="W1033" s="236" t="s">
        <v>179</v>
      </c>
      <c r="X1033" s="236">
        <v>7</v>
      </c>
      <c r="Y1033" s="237" t="s">
        <v>5814</v>
      </c>
      <c r="Z1033" s="238"/>
      <c r="AA1033" s="238" t="s">
        <v>181</v>
      </c>
      <c r="AB1033" s="236"/>
      <c r="AC1033" s="239"/>
      <c r="AD1033" s="240" t="s">
        <v>3602</v>
      </c>
      <c r="AE1033" s="240" t="s">
        <v>3602</v>
      </c>
      <c r="AF1033" s="240" t="s">
        <v>3602</v>
      </c>
      <c r="AG1033" s="242"/>
      <c r="AH1033" s="243"/>
      <c r="AI1033" s="243"/>
      <c r="AJ1033" s="244" t="s">
        <v>198</v>
      </c>
      <c r="AK1033" s="244" t="s">
        <v>185</v>
      </c>
      <c r="AL1033" s="244" t="s">
        <v>185</v>
      </c>
      <c r="AM1033" s="239" t="s">
        <v>5718</v>
      </c>
      <c r="AN1033" s="20">
        <v>177</v>
      </c>
      <c r="AO1033" s="20">
        <v>0</v>
      </c>
      <c r="AP1033" s="20">
        <v>0</v>
      </c>
      <c r="AQ1033" s="20">
        <v>0</v>
      </c>
      <c r="AR1033" s="20">
        <v>0</v>
      </c>
      <c r="AS1033" s="20">
        <v>7</v>
      </c>
      <c r="AT1033" s="20">
        <v>10</v>
      </c>
      <c r="AU1033" s="300">
        <f t="shared" si="177"/>
        <v>194</v>
      </c>
      <c r="AV1033" s="20">
        <v>185</v>
      </c>
      <c r="AW1033" s="20">
        <v>0</v>
      </c>
      <c r="AX1033" s="20">
        <v>0</v>
      </c>
      <c r="AY1033" s="20">
        <v>0</v>
      </c>
      <c r="AZ1033" s="20">
        <v>0</v>
      </c>
      <c r="BA1033" s="20">
        <v>7</v>
      </c>
      <c r="BB1033" s="20">
        <v>10</v>
      </c>
      <c r="BC1033" s="300">
        <f t="shared" si="178"/>
        <v>202</v>
      </c>
      <c r="BD1033" s="42">
        <f t="shared" si="179"/>
        <v>8</v>
      </c>
      <c r="BE1033" s="42">
        <f t="shared" si="180"/>
        <v>0</v>
      </c>
      <c r="BF1033" s="42">
        <f t="shared" si="181"/>
        <v>0</v>
      </c>
      <c r="BG1033" s="42">
        <f t="shared" si="182"/>
        <v>0</v>
      </c>
      <c r="BH1033" s="42">
        <f t="shared" si="183"/>
        <v>0</v>
      </c>
      <c r="BI1033" s="42">
        <f t="shared" si="184"/>
        <v>0</v>
      </c>
      <c r="BJ1033" s="42">
        <f t="shared" si="185"/>
        <v>0</v>
      </c>
      <c r="BK1033" s="42">
        <f t="shared" si="186"/>
        <v>8</v>
      </c>
    </row>
    <row r="1034" spans="1:63" ht="27" customHeight="1">
      <c r="A1034" s="222">
        <f t="shared" si="187"/>
        <v>1032</v>
      </c>
      <c r="B1034" s="223"/>
      <c r="C1034" s="223">
        <v>3435</v>
      </c>
      <c r="D1034" s="225" t="s">
        <v>5815</v>
      </c>
      <c r="E1034" s="226" t="s">
        <v>5816</v>
      </c>
      <c r="F1034" s="227" t="s">
        <v>3589</v>
      </c>
      <c r="G1034" s="228" t="s">
        <v>2280</v>
      </c>
      <c r="H1034" s="229" t="s">
        <v>3590</v>
      </c>
      <c r="I1034" s="230" t="s">
        <v>2281</v>
      </c>
      <c r="J1034" s="231" t="s">
        <v>173</v>
      </c>
      <c r="K1034" s="232">
        <v>30869</v>
      </c>
      <c r="L1034" s="233" t="s">
        <v>174</v>
      </c>
      <c r="M1034" s="234">
        <v>43783</v>
      </c>
      <c r="N1034" s="234"/>
      <c r="O1034" s="234" t="s">
        <v>3568</v>
      </c>
      <c r="P1034" s="222" t="s">
        <v>32</v>
      </c>
      <c r="Q1034" s="222" t="s">
        <v>176</v>
      </c>
      <c r="R1034" s="222" t="s">
        <v>177</v>
      </c>
      <c r="S1034" s="222" t="s">
        <v>305</v>
      </c>
      <c r="T1034" s="235"/>
      <c r="U1034" s="235"/>
      <c r="V1034" s="236" t="s">
        <v>179</v>
      </c>
      <c r="W1034" s="236" t="s">
        <v>179</v>
      </c>
      <c r="X1034" s="236">
        <v>2</v>
      </c>
      <c r="Y1034" s="237" t="s">
        <v>5817</v>
      </c>
      <c r="Z1034" s="238"/>
      <c r="AA1034" s="238" t="s">
        <v>181</v>
      </c>
      <c r="AB1034" s="236"/>
      <c r="AC1034" s="239"/>
      <c r="AD1034" s="240"/>
      <c r="AE1034" s="240"/>
      <c r="AF1034" s="241"/>
      <c r="AG1034" s="242"/>
      <c r="AH1034" s="243"/>
      <c r="AI1034" s="243"/>
      <c r="AJ1034" s="244" t="s">
        <v>198</v>
      </c>
      <c r="AK1034" s="244" t="s">
        <v>185</v>
      </c>
      <c r="AL1034" s="244" t="s">
        <v>185</v>
      </c>
      <c r="AM1034" s="239" t="s">
        <v>251</v>
      </c>
      <c r="AN1034" s="20">
        <v>177</v>
      </c>
      <c r="AO1034" s="20">
        <v>0</v>
      </c>
      <c r="AP1034" s="20">
        <v>0</v>
      </c>
      <c r="AQ1034" s="20">
        <v>0</v>
      </c>
      <c r="AR1034" s="20">
        <v>0</v>
      </c>
      <c r="AS1034" s="20">
        <v>7</v>
      </c>
      <c r="AT1034" s="20">
        <v>10</v>
      </c>
      <c r="AU1034" s="300">
        <f t="shared" si="177"/>
        <v>194</v>
      </c>
      <c r="AV1034" s="20">
        <v>185</v>
      </c>
      <c r="AW1034" s="20">
        <v>0</v>
      </c>
      <c r="AX1034" s="20">
        <v>0</v>
      </c>
      <c r="AY1034" s="20">
        <v>0</v>
      </c>
      <c r="AZ1034" s="20">
        <v>0</v>
      </c>
      <c r="BA1034" s="20">
        <v>7</v>
      </c>
      <c r="BB1034" s="20">
        <v>10</v>
      </c>
      <c r="BC1034" s="300">
        <f t="shared" si="178"/>
        <v>202</v>
      </c>
      <c r="BD1034" s="42">
        <f t="shared" si="179"/>
        <v>8</v>
      </c>
      <c r="BE1034" s="42">
        <f t="shared" si="180"/>
        <v>0</v>
      </c>
      <c r="BF1034" s="42">
        <f t="shared" si="181"/>
        <v>0</v>
      </c>
      <c r="BG1034" s="42">
        <f t="shared" si="182"/>
        <v>0</v>
      </c>
      <c r="BH1034" s="42">
        <f t="shared" si="183"/>
        <v>0</v>
      </c>
      <c r="BI1034" s="42">
        <f t="shared" si="184"/>
        <v>0</v>
      </c>
      <c r="BJ1034" s="42">
        <f t="shared" si="185"/>
        <v>0</v>
      </c>
      <c r="BK1034" s="42">
        <f t="shared" si="186"/>
        <v>8</v>
      </c>
    </row>
    <row r="1035" spans="1:63" ht="27" customHeight="1">
      <c r="A1035" s="222">
        <f t="shared" si="187"/>
        <v>1033</v>
      </c>
      <c r="B1035" s="223"/>
      <c r="C1035" s="223">
        <v>3417</v>
      </c>
      <c r="D1035" s="225" t="s">
        <v>5818</v>
      </c>
      <c r="E1035" s="226" t="s">
        <v>5819</v>
      </c>
      <c r="F1035" s="227" t="s">
        <v>3789</v>
      </c>
      <c r="G1035" s="228" t="s">
        <v>504</v>
      </c>
      <c r="H1035" s="229" t="s">
        <v>5820</v>
      </c>
      <c r="I1035" s="230" t="s">
        <v>506</v>
      </c>
      <c r="J1035" s="231" t="s">
        <v>173</v>
      </c>
      <c r="K1035" s="232">
        <v>28995</v>
      </c>
      <c r="L1035" s="233" t="s">
        <v>174</v>
      </c>
      <c r="M1035" s="234">
        <v>43770</v>
      </c>
      <c r="N1035" s="234"/>
      <c r="O1035" s="234" t="s">
        <v>5754</v>
      </c>
      <c r="P1035" s="222" t="s">
        <v>5712</v>
      </c>
      <c r="Q1035" s="222" t="s">
        <v>176</v>
      </c>
      <c r="R1035" s="222" t="s">
        <v>177</v>
      </c>
      <c r="S1035" s="222" t="s">
        <v>251</v>
      </c>
      <c r="T1035" s="235"/>
      <c r="U1035" s="235"/>
      <c r="V1035" s="236" t="s">
        <v>179</v>
      </c>
      <c r="W1035" s="236" t="s">
        <v>179</v>
      </c>
      <c r="X1035" s="236">
        <v>8</v>
      </c>
      <c r="Y1035" s="237" t="s">
        <v>5821</v>
      </c>
      <c r="Z1035" s="238" t="s">
        <v>181</v>
      </c>
      <c r="AA1035" s="238"/>
      <c r="AB1035" s="236"/>
      <c r="AC1035" s="239"/>
      <c r="AD1035" s="240"/>
      <c r="AE1035" s="240"/>
      <c r="AF1035" s="241"/>
      <c r="AG1035" s="242"/>
      <c r="AH1035" s="243"/>
      <c r="AI1035" s="243"/>
      <c r="AJ1035" s="244" t="s">
        <v>198</v>
      </c>
      <c r="AK1035" s="244" t="s">
        <v>185</v>
      </c>
      <c r="AL1035" s="244" t="s">
        <v>185</v>
      </c>
      <c r="AM1035" s="239" t="s">
        <v>5822</v>
      </c>
      <c r="AN1035" s="20">
        <v>177</v>
      </c>
      <c r="AO1035" s="20">
        <v>0</v>
      </c>
      <c r="AP1035" s="20">
        <v>0</v>
      </c>
      <c r="AQ1035" s="20">
        <v>0</v>
      </c>
      <c r="AR1035" s="20">
        <v>0</v>
      </c>
      <c r="AS1035" s="20">
        <v>7</v>
      </c>
      <c r="AT1035" s="20">
        <v>10</v>
      </c>
      <c r="AU1035" s="300">
        <f t="shared" si="177"/>
        <v>194</v>
      </c>
      <c r="AV1035" s="20">
        <v>185</v>
      </c>
      <c r="AW1035" s="20">
        <v>0</v>
      </c>
      <c r="AX1035" s="20">
        <v>0</v>
      </c>
      <c r="AY1035" s="20">
        <v>0</v>
      </c>
      <c r="AZ1035" s="20">
        <v>0</v>
      </c>
      <c r="BA1035" s="20">
        <v>7</v>
      </c>
      <c r="BB1035" s="20">
        <v>10</v>
      </c>
      <c r="BC1035" s="300">
        <f t="shared" si="178"/>
        <v>202</v>
      </c>
      <c r="BD1035" s="42">
        <f t="shared" si="179"/>
        <v>8</v>
      </c>
      <c r="BE1035" s="42">
        <f t="shared" si="180"/>
        <v>0</v>
      </c>
      <c r="BF1035" s="42">
        <f t="shared" si="181"/>
        <v>0</v>
      </c>
      <c r="BG1035" s="42">
        <f t="shared" si="182"/>
        <v>0</v>
      </c>
      <c r="BH1035" s="42">
        <f t="shared" si="183"/>
        <v>0</v>
      </c>
      <c r="BI1035" s="42">
        <f t="shared" si="184"/>
        <v>0</v>
      </c>
      <c r="BJ1035" s="42">
        <f t="shared" si="185"/>
        <v>0</v>
      </c>
      <c r="BK1035" s="42">
        <f t="shared" si="186"/>
        <v>8</v>
      </c>
    </row>
    <row r="1036" spans="1:63" ht="27" customHeight="1">
      <c r="A1036" s="222">
        <f t="shared" si="187"/>
        <v>1034</v>
      </c>
      <c r="B1036" s="223"/>
      <c r="C1036" s="223">
        <v>3424</v>
      </c>
      <c r="D1036" s="225" t="s">
        <v>5823</v>
      </c>
      <c r="E1036" s="226" t="s">
        <v>5824</v>
      </c>
      <c r="F1036" s="227" t="s">
        <v>552</v>
      </c>
      <c r="G1036" s="228" t="s">
        <v>1687</v>
      </c>
      <c r="H1036" s="229" t="s">
        <v>554</v>
      </c>
      <c r="I1036" s="230" t="s">
        <v>98</v>
      </c>
      <c r="J1036" s="231" t="s">
        <v>173</v>
      </c>
      <c r="K1036" s="232">
        <v>33947</v>
      </c>
      <c r="L1036" s="233" t="s">
        <v>174</v>
      </c>
      <c r="M1036" s="234">
        <v>43770</v>
      </c>
      <c r="N1036" s="234"/>
      <c r="O1036" s="234" t="s">
        <v>3580</v>
      </c>
      <c r="P1036" s="222" t="s">
        <v>32</v>
      </c>
      <c r="Q1036" s="222" t="s">
        <v>176</v>
      </c>
      <c r="R1036" s="222" t="s">
        <v>177</v>
      </c>
      <c r="S1036" s="222" t="s">
        <v>251</v>
      </c>
      <c r="T1036" s="235"/>
      <c r="U1036" s="235"/>
      <c r="V1036" s="236" t="s">
        <v>195</v>
      </c>
      <c r="W1036" s="236">
        <v>10966</v>
      </c>
      <c r="X1036" s="236">
        <v>9</v>
      </c>
      <c r="Y1036" s="237" t="s">
        <v>5825</v>
      </c>
      <c r="Z1036" s="238" t="s">
        <v>181</v>
      </c>
      <c r="AA1036" s="238"/>
      <c r="AB1036" s="236"/>
      <c r="AC1036" s="239"/>
      <c r="AD1036" s="240"/>
      <c r="AE1036" s="240"/>
      <c r="AF1036" s="241"/>
      <c r="AG1036" s="242"/>
      <c r="AH1036" s="243"/>
      <c r="AI1036" s="243"/>
      <c r="AJ1036" s="244" t="s">
        <v>198</v>
      </c>
      <c r="AK1036" s="244" t="s">
        <v>185</v>
      </c>
      <c r="AL1036" s="244" t="s">
        <v>185</v>
      </c>
      <c r="AM1036" s="239" t="s">
        <v>5742</v>
      </c>
      <c r="AN1036" s="20">
        <v>177</v>
      </c>
      <c r="AO1036" s="20">
        <v>0</v>
      </c>
      <c r="AP1036" s="20">
        <v>0</v>
      </c>
      <c r="AQ1036" s="20">
        <v>0</v>
      </c>
      <c r="AR1036" s="20">
        <v>0</v>
      </c>
      <c r="AS1036" s="20">
        <v>7</v>
      </c>
      <c r="AT1036" s="20">
        <v>10</v>
      </c>
      <c r="AU1036" s="300">
        <f t="shared" si="177"/>
        <v>194</v>
      </c>
      <c r="AV1036" s="20">
        <v>185</v>
      </c>
      <c r="AW1036" s="20">
        <v>0</v>
      </c>
      <c r="AX1036" s="20">
        <v>0</v>
      </c>
      <c r="AY1036" s="20">
        <v>0</v>
      </c>
      <c r="AZ1036" s="20">
        <v>0</v>
      </c>
      <c r="BA1036" s="20">
        <v>7</v>
      </c>
      <c r="BB1036" s="20">
        <v>10</v>
      </c>
      <c r="BC1036" s="300">
        <f t="shared" si="178"/>
        <v>202</v>
      </c>
      <c r="BD1036" s="42">
        <f t="shared" si="179"/>
        <v>8</v>
      </c>
      <c r="BE1036" s="42">
        <f t="shared" si="180"/>
        <v>0</v>
      </c>
      <c r="BF1036" s="42">
        <f t="shared" si="181"/>
        <v>0</v>
      </c>
      <c r="BG1036" s="42">
        <f t="shared" si="182"/>
        <v>0</v>
      </c>
      <c r="BH1036" s="42">
        <f t="shared" si="183"/>
        <v>0</v>
      </c>
      <c r="BI1036" s="42">
        <f t="shared" si="184"/>
        <v>0</v>
      </c>
      <c r="BJ1036" s="42">
        <f t="shared" si="185"/>
        <v>0</v>
      </c>
      <c r="BK1036" s="42">
        <f t="shared" si="186"/>
        <v>8</v>
      </c>
    </row>
    <row r="1037" spans="1:63" ht="27" customHeight="1">
      <c r="A1037" s="222">
        <f t="shared" si="187"/>
        <v>1035</v>
      </c>
      <c r="B1037" s="223"/>
      <c r="C1037" s="223">
        <v>3419</v>
      </c>
      <c r="D1037" s="225" t="s">
        <v>5826</v>
      </c>
      <c r="E1037" s="226" t="s">
        <v>5827</v>
      </c>
      <c r="F1037" s="227" t="s">
        <v>1000</v>
      </c>
      <c r="G1037" s="228" t="s">
        <v>2921</v>
      </c>
      <c r="H1037" s="229" t="s">
        <v>1002</v>
      </c>
      <c r="I1037" s="230" t="s">
        <v>5495</v>
      </c>
      <c r="J1037" s="231" t="s">
        <v>173</v>
      </c>
      <c r="K1037" s="232">
        <v>33435</v>
      </c>
      <c r="L1037" s="233" t="s">
        <v>174</v>
      </c>
      <c r="M1037" s="234">
        <v>43770</v>
      </c>
      <c r="N1037" s="234"/>
      <c r="O1037" s="234" t="s">
        <v>5754</v>
      </c>
      <c r="P1037" s="222" t="s">
        <v>5712</v>
      </c>
      <c r="Q1037" s="222" t="s">
        <v>176</v>
      </c>
      <c r="R1037" s="222" t="s">
        <v>177</v>
      </c>
      <c r="S1037" s="222" t="s">
        <v>206</v>
      </c>
      <c r="T1037" s="235"/>
      <c r="U1037" s="235"/>
      <c r="V1037" s="236" t="s">
        <v>179</v>
      </c>
      <c r="W1037" s="236" t="s">
        <v>179</v>
      </c>
      <c r="X1037" s="236">
        <v>9</v>
      </c>
      <c r="Y1037" s="237" t="s">
        <v>5828</v>
      </c>
      <c r="Z1037" s="238" t="s">
        <v>181</v>
      </c>
      <c r="AA1037" s="238"/>
      <c r="AB1037" s="236"/>
      <c r="AC1037" s="239"/>
      <c r="AD1037" s="240"/>
      <c r="AE1037" s="240"/>
      <c r="AF1037" s="241"/>
      <c r="AG1037" s="242"/>
      <c r="AH1037" s="243"/>
      <c r="AI1037" s="243"/>
      <c r="AJ1037" s="244" t="s">
        <v>198</v>
      </c>
      <c r="AK1037" s="244" t="s">
        <v>185</v>
      </c>
      <c r="AL1037" s="244" t="s">
        <v>185</v>
      </c>
      <c r="AM1037" s="239" t="s">
        <v>5718</v>
      </c>
      <c r="AN1037" s="20">
        <v>177</v>
      </c>
      <c r="AO1037" s="20">
        <v>0</v>
      </c>
      <c r="AP1037" s="20">
        <v>0</v>
      </c>
      <c r="AQ1037" s="20">
        <v>0</v>
      </c>
      <c r="AR1037" s="20">
        <v>0</v>
      </c>
      <c r="AS1037" s="20">
        <v>7</v>
      </c>
      <c r="AT1037" s="20">
        <v>10</v>
      </c>
      <c r="AU1037" s="300">
        <f t="shared" si="177"/>
        <v>194</v>
      </c>
      <c r="AV1037" s="20">
        <v>185</v>
      </c>
      <c r="AW1037" s="20">
        <v>0</v>
      </c>
      <c r="AX1037" s="20">
        <v>0</v>
      </c>
      <c r="AY1037" s="20">
        <v>0</v>
      </c>
      <c r="AZ1037" s="20">
        <v>0</v>
      </c>
      <c r="BA1037" s="20">
        <v>7</v>
      </c>
      <c r="BB1037" s="20">
        <v>10</v>
      </c>
      <c r="BC1037" s="300">
        <f t="shared" si="178"/>
        <v>202</v>
      </c>
      <c r="BD1037" s="42">
        <f t="shared" si="179"/>
        <v>8</v>
      </c>
      <c r="BE1037" s="42">
        <f t="shared" si="180"/>
        <v>0</v>
      </c>
      <c r="BF1037" s="42">
        <f t="shared" si="181"/>
        <v>0</v>
      </c>
      <c r="BG1037" s="42">
        <f t="shared" si="182"/>
        <v>0</v>
      </c>
      <c r="BH1037" s="42">
        <f t="shared" si="183"/>
        <v>0</v>
      </c>
      <c r="BI1037" s="42">
        <f t="shared" si="184"/>
        <v>0</v>
      </c>
      <c r="BJ1037" s="42">
        <f t="shared" si="185"/>
        <v>0</v>
      </c>
      <c r="BK1037" s="42">
        <f t="shared" si="186"/>
        <v>8</v>
      </c>
    </row>
    <row r="1038" spans="1:63" ht="27" customHeight="1">
      <c r="A1038" s="222">
        <f t="shared" si="187"/>
        <v>1036</v>
      </c>
      <c r="B1038" s="223"/>
      <c r="C1038" s="223">
        <v>3418</v>
      </c>
      <c r="D1038" s="225" t="s">
        <v>5829</v>
      </c>
      <c r="E1038" s="226" t="s">
        <v>5830</v>
      </c>
      <c r="F1038" s="227" t="s">
        <v>2648</v>
      </c>
      <c r="G1038" s="228" t="s">
        <v>2921</v>
      </c>
      <c r="H1038" s="229" t="s">
        <v>4795</v>
      </c>
      <c r="I1038" s="230" t="s">
        <v>5495</v>
      </c>
      <c r="J1038" s="231" t="s">
        <v>173</v>
      </c>
      <c r="K1038" s="232">
        <v>27643</v>
      </c>
      <c r="L1038" s="233" t="s">
        <v>174</v>
      </c>
      <c r="M1038" s="234">
        <v>43770</v>
      </c>
      <c r="N1038" s="234"/>
      <c r="O1038" s="234" t="s">
        <v>5754</v>
      </c>
      <c r="P1038" s="222" t="s">
        <v>5712</v>
      </c>
      <c r="Q1038" s="222" t="s">
        <v>176</v>
      </c>
      <c r="R1038" s="222" t="s">
        <v>177</v>
      </c>
      <c r="S1038" s="222" t="s">
        <v>722</v>
      </c>
      <c r="T1038" s="235"/>
      <c r="U1038" s="235"/>
      <c r="V1038" s="236" t="s">
        <v>179</v>
      </c>
      <c r="W1038" s="236" t="s">
        <v>179</v>
      </c>
      <c r="X1038" s="236">
        <v>6</v>
      </c>
      <c r="Y1038" s="237" t="s">
        <v>5831</v>
      </c>
      <c r="Z1038" s="238"/>
      <c r="AA1038" s="238" t="s">
        <v>181</v>
      </c>
      <c r="AB1038" s="236"/>
      <c r="AC1038" s="239"/>
      <c r="AD1038" s="240"/>
      <c r="AE1038" s="240"/>
      <c r="AF1038" s="241"/>
      <c r="AG1038" s="242"/>
      <c r="AH1038" s="243"/>
      <c r="AI1038" s="243"/>
      <c r="AJ1038" s="244" t="s">
        <v>198</v>
      </c>
      <c r="AK1038" s="244" t="s">
        <v>185</v>
      </c>
      <c r="AL1038" s="244" t="s">
        <v>185</v>
      </c>
      <c r="AM1038" s="239" t="s">
        <v>5742</v>
      </c>
      <c r="AN1038" s="20">
        <v>177</v>
      </c>
      <c r="AO1038" s="20">
        <v>0</v>
      </c>
      <c r="AP1038" s="20">
        <v>0</v>
      </c>
      <c r="AQ1038" s="20">
        <v>0</v>
      </c>
      <c r="AR1038" s="20">
        <v>0</v>
      </c>
      <c r="AS1038" s="20">
        <v>7</v>
      </c>
      <c r="AT1038" s="20">
        <v>10</v>
      </c>
      <c r="AU1038" s="300">
        <f t="shared" si="177"/>
        <v>194</v>
      </c>
      <c r="AV1038" s="20">
        <v>185</v>
      </c>
      <c r="AW1038" s="20">
        <v>0</v>
      </c>
      <c r="AX1038" s="20">
        <v>0</v>
      </c>
      <c r="AY1038" s="20">
        <v>0</v>
      </c>
      <c r="AZ1038" s="20">
        <v>0</v>
      </c>
      <c r="BA1038" s="20">
        <v>7</v>
      </c>
      <c r="BB1038" s="20">
        <v>10</v>
      </c>
      <c r="BC1038" s="300">
        <f t="shared" si="178"/>
        <v>202</v>
      </c>
      <c r="BD1038" s="42">
        <f t="shared" si="179"/>
        <v>8</v>
      </c>
      <c r="BE1038" s="42">
        <f t="shared" si="180"/>
        <v>0</v>
      </c>
      <c r="BF1038" s="42">
        <f t="shared" si="181"/>
        <v>0</v>
      </c>
      <c r="BG1038" s="42">
        <f t="shared" si="182"/>
        <v>0</v>
      </c>
      <c r="BH1038" s="42">
        <f t="shared" si="183"/>
        <v>0</v>
      </c>
      <c r="BI1038" s="42">
        <f t="shared" si="184"/>
        <v>0</v>
      </c>
      <c r="BJ1038" s="42">
        <f t="shared" si="185"/>
        <v>0</v>
      </c>
      <c r="BK1038" s="42">
        <f t="shared" si="186"/>
        <v>8</v>
      </c>
    </row>
    <row r="1039" spans="1:63" ht="27" customHeight="1">
      <c r="A1039" s="222">
        <f t="shared" si="187"/>
        <v>1037</v>
      </c>
      <c r="B1039" s="223"/>
      <c r="C1039" s="223">
        <v>3443</v>
      </c>
      <c r="D1039" s="225">
        <v>0</v>
      </c>
      <c r="E1039" s="226" t="s">
        <v>291</v>
      </c>
      <c r="F1039" s="227" t="s">
        <v>5832</v>
      </c>
      <c r="G1039" s="228" t="s">
        <v>5833</v>
      </c>
      <c r="H1039" s="229">
        <v>0</v>
      </c>
      <c r="I1039" s="230">
        <v>0</v>
      </c>
      <c r="J1039" s="231" t="s">
        <v>204</v>
      </c>
      <c r="K1039" s="232">
        <v>29352</v>
      </c>
      <c r="L1039" s="233" t="s">
        <v>174</v>
      </c>
      <c r="M1039" s="234">
        <v>43787</v>
      </c>
      <c r="N1039" s="234"/>
      <c r="O1039" s="234" t="s">
        <v>3639</v>
      </c>
      <c r="P1039" s="222" t="s">
        <v>32</v>
      </c>
      <c r="Q1039" s="222" t="s">
        <v>176</v>
      </c>
      <c r="R1039" s="222" t="s">
        <v>177</v>
      </c>
      <c r="S1039" s="222" t="s">
        <v>305</v>
      </c>
      <c r="T1039" s="235"/>
      <c r="U1039" s="235"/>
      <c r="V1039" s="236" t="s">
        <v>179</v>
      </c>
      <c r="W1039" s="236" t="s">
        <v>179</v>
      </c>
      <c r="X1039" s="236">
        <v>7</v>
      </c>
      <c r="Y1039" s="237" t="s">
        <v>5834</v>
      </c>
      <c r="Z1039" s="238"/>
      <c r="AA1039" s="238" t="s">
        <v>181</v>
      </c>
      <c r="AB1039" s="236"/>
      <c r="AC1039" s="239"/>
      <c r="AD1039" s="240"/>
      <c r="AE1039" s="240"/>
      <c r="AF1039" s="241"/>
      <c r="AG1039" s="242"/>
      <c r="AH1039" s="243"/>
      <c r="AI1039" s="243"/>
      <c r="AJ1039" s="244" t="s">
        <v>198</v>
      </c>
      <c r="AK1039" s="244" t="s">
        <v>185</v>
      </c>
      <c r="AL1039" s="244" t="s">
        <v>185</v>
      </c>
      <c r="AM1039" s="239" t="s">
        <v>5718</v>
      </c>
      <c r="AN1039" s="20">
        <v>177</v>
      </c>
      <c r="AO1039" s="20">
        <v>0</v>
      </c>
      <c r="AP1039" s="20">
        <v>0</v>
      </c>
      <c r="AQ1039" s="20">
        <v>0</v>
      </c>
      <c r="AR1039" s="20">
        <v>0</v>
      </c>
      <c r="AS1039" s="20">
        <v>7</v>
      </c>
      <c r="AT1039" s="20">
        <v>10</v>
      </c>
      <c r="AU1039" s="300">
        <f t="shared" si="177"/>
        <v>194</v>
      </c>
      <c r="AV1039" s="20">
        <v>185</v>
      </c>
      <c r="AW1039" s="20">
        <v>0</v>
      </c>
      <c r="AX1039" s="20">
        <v>0</v>
      </c>
      <c r="AY1039" s="20">
        <v>0</v>
      </c>
      <c r="AZ1039" s="20">
        <v>0</v>
      </c>
      <c r="BA1039" s="20">
        <v>7</v>
      </c>
      <c r="BB1039" s="20">
        <v>10</v>
      </c>
      <c r="BC1039" s="300">
        <f t="shared" si="178"/>
        <v>202</v>
      </c>
      <c r="BD1039" s="42">
        <f t="shared" si="179"/>
        <v>8</v>
      </c>
      <c r="BE1039" s="42">
        <f t="shared" si="180"/>
        <v>0</v>
      </c>
      <c r="BF1039" s="42">
        <f t="shared" si="181"/>
        <v>0</v>
      </c>
      <c r="BG1039" s="42">
        <f t="shared" si="182"/>
        <v>0</v>
      </c>
      <c r="BH1039" s="42">
        <f t="shared" si="183"/>
        <v>0</v>
      </c>
      <c r="BI1039" s="42">
        <f t="shared" si="184"/>
        <v>0</v>
      </c>
      <c r="BJ1039" s="42">
        <f t="shared" si="185"/>
        <v>0</v>
      </c>
      <c r="BK1039" s="42">
        <f t="shared" si="186"/>
        <v>8</v>
      </c>
    </row>
    <row r="1040" spans="1:63" ht="27" customHeight="1">
      <c r="A1040" s="222">
        <f t="shared" si="187"/>
        <v>1038</v>
      </c>
      <c r="B1040" s="223"/>
      <c r="C1040" s="223">
        <v>3445</v>
      </c>
      <c r="D1040" s="225" t="s">
        <v>5835</v>
      </c>
      <c r="E1040" s="226" t="s">
        <v>5836</v>
      </c>
      <c r="F1040" s="227" t="s">
        <v>431</v>
      </c>
      <c r="G1040" s="228" t="s">
        <v>5837</v>
      </c>
      <c r="H1040" s="229" t="s">
        <v>1183</v>
      </c>
      <c r="I1040" s="230" t="s">
        <v>4352</v>
      </c>
      <c r="J1040" s="231" t="s">
        <v>173</v>
      </c>
      <c r="K1040" s="232">
        <v>29448</v>
      </c>
      <c r="L1040" s="233" t="s">
        <v>174</v>
      </c>
      <c r="M1040" s="234">
        <v>43788</v>
      </c>
      <c r="N1040" s="234"/>
      <c r="O1040" s="234" t="s">
        <v>3554</v>
      </c>
      <c r="P1040" s="222" t="s">
        <v>32</v>
      </c>
      <c r="Q1040" s="222" t="s">
        <v>176</v>
      </c>
      <c r="R1040" s="222" t="s">
        <v>177</v>
      </c>
      <c r="S1040" s="222" t="s">
        <v>206</v>
      </c>
      <c r="T1040" s="235"/>
      <c r="U1040" s="235"/>
      <c r="V1040" s="236" t="s">
        <v>179</v>
      </c>
      <c r="W1040" s="236" t="s">
        <v>179</v>
      </c>
      <c r="X1040" s="236">
        <v>3</v>
      </c>
      <c r="Y1040" s="237" t="s">
        <v>5838</v>
      </c>
      <c r="Z1040" s="238" t="s">
        <v>181</v>
      </c>
      <c r="AA1040" s="238"/>
      <c r="AB1040" s="236"/>
      <c r="AC1040" s="239"/>
      <c r="AD1040" s="240"/>
      <c r="AE1040" s="240"/>
      <c r="AF1040" s="241"/>
      <c r="AG1040" s="242"/>
      <c r="AH1040" s="243"/>
      <c r="AI1040" s="243"/>
      <c r="AJ1040" s="244" t="s">
        <v>198</v>
      </c>
      <c r="AK1040" s="244" t="s">
        <v>185</v>
      </c>
      <c r="AL1040" s="244" t="s">
        <v>185</v>
      </c>
      <c r="AM1040" s="239" t="s">
        <v>5742</v>
      </c>
      <c r="AN1040" s="20">
        <v>177</v>
      </c>
      <c r="AO1040" s="20">
        <v>0</v>
      </c>
      <c r="AP1040" s="20">
        <v>0</v>
      </c>
      <c r="AQ1040" s="20">
        <v>0</v>
      </c>
      <c r="AR1040" s="20">
        <v>0</v>
      </c>
      <c r="AS1040" s="20">
        <v>7</v>
      </c>
      <c r="AT1040" s="20">
        <v>10</v>
      </c>
      <c r="AU1040" s="300">
        <f t="shared" si="177"/>
        <v>194</v>
      </c>
      <c r="AV1040" s="20">
        <v>185</v>
      </c>
      <c r="AW1040" s="20">
        <v>0</v>
      </c>
      <c r="AX1040" s="20">
        <v>0</v>
      </c>
      <c r="AY1040" s="20">
        <v>0</v>
      </c>
      <c r="AZ1040" s="20">
        <v>0</v>
      </c>
      <c r="BA1040" s="20">
        <v>7</v>
      </c>
      <c r="BB1040" s="20">
        <v>10</v>
      </c>
      <c r="BC1040" s="300">
        <f t="shared" si="178"/>
        <v>202</v>
      </c>
      <c r="BD1040" s="42">
        <f t="shared" si="179"/>
        <v>8</v>
      </c>
      <c r="BE1040" s="42">
        <f t="shared" si="180"/>
        <v>0</v>
      </c>
      <c r="BF1040" s="42">
        <f t="shared" si="181"/>
        <v>0</v>
      </c>
      <c r="BG1040" s="42">
        <f t="shared" si="182"/>
        <v>0</v>
      </c>
      <c r="BH1040" s="42">
        <f t="shared" si="183"/>
        <v>0</v>
      </c>
      <c r="BI1040" s="42">
        <f t="shared" si="184"/>
        <v>0</v>
      </c>
      <c r="BJ1040" s="42">
        <f t="shared" si="185"/>
        <v>0</v>
      </c>
      <c r="BK1040" s="42">
        <f t="shared" si="186"/>
        <v>8</v>
      </c>
    </row>
    <row r="1041" spans="1:63" ht="27" customHeight="1">
      <c r="A1041" s="222">
        <f t="shared" si="187"/>
        <v>1039</v>
      </c>
      <c r="B1041" s="223"/>
      <c r="C1041" s="223">
        <v>3444</v>
      </c>
      <c r="D1041" s="225" t="s">
        <v>5839</v>
      </c>
      <c r="E1041" s="226" t="s">
        <v>5840</v>
      </c>
      <c r="F1041" s="227" t="s">
        <v>5841</v>
      </c>
      <c r="G1041" s="228" t="s">
        <v>5842</v>
      </c>
      <c r="H1041" s="229" t="s">
        <v>5843</v>
      </c>
      <c r="I1041" s="230" t="s">
        <v>5844</v>
      </c>
      <c r="J1041" s="231" t="s">
        <v>173</v>
      </c>
      <c r="K1041" s="232">
        <v>30046</v>
      </c>
      <c r="L1041" s="233" t="s">
        <v>174</v>
      </c>
      <c r="M1041" s="234">
        <v>43788</v>
      </c>
      <c r="N1041" s="234"/>
      <c r="O1041" s="234" t="s">
        <v>5716</v>
      </c>
      <c r="P1041" s="222" t="s">
        <v>32</v>
      </c>
      <c r="Q1041" s="222" t="s">
        <v>176</v>
      </c>
      <c r="R1041" s="222" t="s">
        <v>177</v>
      </c>
      <c r="S1041" s="222" t="s">
        <v>722</v>
      </c>
      <c r="T1041" s="235"/>
      <c r="U1041" s="235"/>
      <c r="V1041" s="236" t="s">
        <v>179</v>
      </c>
      <c r="W1041" s="236" t="s">
        <v>179</v>
      </c>
      <c r="X1041" s="236">
        <v>8</v>
      </c>
      <c r="Y1041" s="237" t="s">
        <v>5845</v>
      </c>
      <c r="Z1041" s="238"/>
      <c r="AA1041" s="238" t="s">
        <v>181</v>
      </c>
      <c r="AB1041" s="236"/>
      <c r="AC1041" s="239" t="s">
        <v>382</v>
      </c>
      <c r="AD1041" s="240" t="s">
        <v>183</v>
      </c>
      <c r="AE1041" s="240" t="s">
        <v>183</v>
      </c>
      <c r="AF1041" s="240" t="s">
        <v>183</v>
      </c>
      <c r="AG1041" s="242"/>
      <c r="AH1041" s="243"/>
      <c r="AI1041" s="243"/>
      <c r="AJ1041" s="244" t="s">
        <v>198</v>
      </c>
      <c r="AK1041" s="244" t="s">
        <v>185</v>
      </c>
      <c r="AL1041" s="244" t="s">
        <v>185</v>
      </c>
      <c r="AM1041" s="239" t="s">
        <v>5846</v>
      </c>
      <c r="AN1041" s="20">
        <v>177</v>
      </c>
      <c r="AO1041" s="20">
        <v>0</v>
      </c>
      <c r="AP1041" s="20">
        <v>0</v>
      </c>
      <c r="AQ1041" s="20">
        <v>0</v>
      </c>
      <c r="AR1041" s="20">
        <v>0</v>
      </c>
      <c r="AS1041" s="20">
        <v>7</v>
      </c>
      <c r="AT1041" s="20">
        <v>10</v>
      </c>
      <c r="AU1041" s="300">
        <f t="shared" si="177"/>
        <v>194</v>
      </c>
      <c r="AV1041" s="20">
        <v>185</v>
      </c>
      <c r="AW1041" s="20">
        <v>0</v>
      </c>
      <c r="AX1041" s="20">
        <v>0</v>
      </c>
      <c r="AY1041" s="20">
        <v>0</v>
      </c>
      <c r="AZ1041" s="20">
        <v>0</v>
      </c>
      <c r="BA1041" s="20">
        <v>7</v>
      </c>
      <c r="BB1041" s="20">
        <v>10</v>
      </c>
      <c r="BC1041" s="300">
        <f t="shared" si="178"/>
        <v>202</v>
      </c>
      <c r="BD1041" s="42">
        <f t="shared" si="179"/>
        <v>8</v>
      </c>
      <c r="BE1041" s="42">
        <f t="shared" si="180"/>
        <v>0</v>
      </c>
      <c r="BF1041" s="42">
        <f t="shared" si="181"/>
        <v>0</v>
      </c>
      <c r="BG1041" s="42">
        <f t="shared" si="182"/>
        <v>0</v>
      </c>
      <c r="BH1041" s="42">
        <f t="shared" si="183"/>
        <v>0</v>
      </c>
      <c r="BI1041" s="42">
        <f t="shared" si="184"/>
        <v>0</v>
      </c>
      <c r="BJ1041" s="42">
        <f t="shared" si="185"/>
        <v>0</v>
      </c>
      <c r="BK1041" s="42">
        <f t="shared" si="186"/>
        <v>8</v>
      </c>
    </row>
    <row r="1042" spans="1:63" ht="27" customHeight="1">
      <c r="A1042" s="222">
        <f t="shared" si="187"/>
        <v>1040</v>
      </c>
      <c r="B1042" s="223"/>
      <c r="C1042" s="223">
        <v>3442</v>
      </c>
      <c r="D1042" s="225">
        <v>0</v>
      </c>
      <c r="E1042" s="226" t="s">
        <v>5847</v>
      </c>
      <c r="F1042" s="227" t="s">
        <v>2224</v>
      </c>
      <c r="G1042" s="228" t="s">
        <v>1032</v>
      </c>
      <c r="H1042" s="229" t="s">
        <v>5790</v>
      </c>
      <c r="I1042" s="230" t="s">
        <v>1760</v>
      </c>
      <c r="J1042" s="231" t="s">
        <v>173</v>
      </c>
      <c r="K1042" s="232">
        <v>32714</v>
      </c>
      <c r="L1042" s="233" t="s">
        <v>174</v>
      </c>
      <c r="M1042" s="234">
        <v>43785</v>
      </c>
      <c r="N1042" s="234"/>
      <c r="O1042" s="234" t="s">
        <v>5754</v>
      </c>
      <c r="P1042" s="222" t="s">
        <v>32</v>
      </c>
      <c r="Q1042" s="222" t="s">
        <v>176</v>
      </c>
      <c r="R1042" s="222" t="s">
        <v>177</v>
      </c>
      <c r="S1042" s="222" t="s">
        <v>722</v>
      </c>
      <c r="T1042" s="235"/>
      <c r="U1042" s="235"/>
      <c r="V1042" s="236" t="s">
        <v>179</v>
      </c>
      <c r="W1042" s="236">
        <v>3416</v>
      </c>
      <c r="X1042" s="236">
        <v>7</v>
      </c>
      <c r="Y1042" s="237" t="s">
        <v>5848</v>
      </c>
      <c r="Z1042" s="238"/>
      <c r="AA1042" s="238" t="s">
        <v>181</v>
      </c>
      <c r="AB1042" s="236"/>
      <c r="AC1042" s="239"/>
      <c r="AD1042" s="240"/>
      <c r="AE1042" s="240"/>
      <c r="AF1042" s="241"/>
      <c r="AG1042" s="242"/>
      <c r="AH1042" s="243"/>
      <c r="AI1042" s="243"/>
      <c r="AJ1042" s="244" t="s">
        <v>198</v>
      </c>
      <c r="AK1042" s="244" t="s">
        <v>185</v>
      </c>
      <c r="AL1042" s="244" t="s">
        <v>185</v>
      </c>
      <c r="AM1042" s="239" t="s">
        <v>5846</v>
      </c>
      <c r="AN1042" s="20">
        <v>177</v>
      </c>
      <c r="AO1042" s="20">
        <v>0</v>
      </c>
      <c r="AP1042" s="20">
        <v>0</v>
      </c>
      <c r="AQ1042" s="20">
        <v>0</v>
      </c>
      <c r="AR1042" s="20">
        <v>0</v>
      </c>
      <c r="AS1042" s="20">
        <v>7</v>
      </c>
      <c r="AT1042" s="20">
        <v>10</v>
      </c>
      <c r="AU1042" s="300">
        <f t="shared" si="177"/>
        <v>194</v>
      </c>
      <c r="AV1042" s="20">
        <v>185</v>
      </c>
      <c r="AW1042" s="20">
        <v>0</v>
      </c>
      <c r="AX1042" s="20">
        <v>0</v>
      </c>
      <c r="AY1042" s="20">
        <v>0</v>
      </c>
      <c r="AZ1042" s="20">
        <v>0</v>
      </c>
      <c r="BA1042" s="20">
        <v>7</v>
      </c>
      <c r="BB1042" s="20">
        <v>10</v>
      </c>
      <c r="BC1042" s="300">
        <f t="shared" si="178"/>
        <v>202</v>
      </c>
      <c r="BD1042" s="42">
        <f t="shared" si="179"/>
        <v>8</v>
      </c>
      <c r="BE1042" s="42">
        <f t="shared" si="180"/>
        <v>0</v>
      </c>
      <c r="BF1042" s="42">
        <f t="shared" si="181"/>
        <v>0</v>
      </c>
      <c r="BG1042" s="42">
        <f t="shared" si="182"/>
        <v>0</v>
      </c>
      <c r="BH1042" s="42">
        <f t="shared" si="183"/>
        <v>0</v>
      </c>
      <c r="BI1042" s="42">
        <f t="shared" si="184"/>
        <v>0</v>
      </c>
      <c r="BJ1042" s="42">
        <f t="shared" si="185"/>
        <v>0</v>
      </c>
      <c r="BK1042" s="42">
        <f t="shared" si="186"/>
        <v>8</v>
      </c>
    </row>
    <row r="1043" spans="1:63" ht="27" customHeight="1">
      <c r="A1043" s="222">
        <f t="shared" si="187"/>
        <v>1041</v>
      </c>
      <c r="B1043" s="223"/>
      <c r="C1043" s="223">
        <v>3441</v>
      </c>
      <c r="D1043" s="225">
        <v>0</v>
      </c>
      <c r="E1043" s="226" t="s">
        <v>291</v>
      </c>
      <c r="F1043" s="227" t="s">
        <v>2586</v>
      </c>
      <c r="G1043" s="228" t="s">
        <v>5136</v>
      </c>
      <c r="H1043" s="229">
        <v>0</v>
      </c>
      <c r="I1043" s="230">
        <v>0</v>
      </c>
      <c r="J1043" s="231" t="s">
        <v>173</v>
      </c>
      <c r="K1043" s="232">
        <v>37079</v>
      </c>
      <c r="L1043" s="233" t="s">
        <v>174</v>
      </c>
      <c r="M1043" s="234">
        <v>43783</v>
      </c>
      <c r="N1043" s="234"/>
      <c r="O1043" s="234" t="s">
        <v>5849</v>
      </c>
      <c r="P1043" s="222"/>
      <c r="Q1043" s="222" t="s">
        <v>176</v>
      </c>
      <c r="R1043" s="222" t="s">
        <v>177</v>
      </c>
      <c r="S1043" s="222" t="s">
        <v>206</v>
      </c>
      <c r="T1043" s="235"/>
      <c r="U1043" s="235"/>
      <c r="V1043" s="236" t="s">
        <v>195</v>
      </c>
      <c r="W1043" s="236">
        <v>387</v>
      </c>
      <c r="X1043" s="236">
        <v>9</v>
      </c>
      <c r="Y1043" s="237" t="s">
        <v>5850</v>
      </c>
      <c r="Z1043" s="238" t="s">
        <v>181</v>
      </c>
      <c r="AA1043" s="238"/>
      <c r="AB1043" s="236"/>
      <c r="AC1043" s="239"/>
      <c r="AD1043" s="240"/>
      <c r="AE1043" s="240"/>
      <c r="AF1043" s="241"/>
      <c r="AG1043" s="242"/>
      <c r="AH1043" s="243"/>
      <c r="AI1043" s="243"/>
      <c r="AJ1043" s="244" t="s">
        <v>198</v>
      </c>
      <c r="AK1043" s="244" t="s">
        <v>185</v>
      </c>
      <c r="AL1043" s="244" t="s">
        <v>185</v>
      </c>
      <c r="AM1043" s="239" t="s">
        <v>5851</v>
      </c>
      <c r="AN1043" s="20">
        <v>177</v>
      </c>
      <c r="AO1043" s="20">
        <v>0</v>
      </c>
      <c r="AP1043" s="20">
        <v>0</v>
      </c>
      <c r="AQ1043" s="20">
        <v>0</v>
      </c>
      <c r="AR1043" s="20">
        <v>0</v>
      </c>
      <c r="AS1043" s="20">
        <v>7</v>
      </c>
      <c r="AT1043" s="20">
        <v>10</v>
      </c>
      <c r="AU1043" s="300">
        <f t="shared" si="177"/>
        <v>194</v>
      </c>
      <c r="AV1043" s="20">
        <v>185</v>
      </c>
      <c r="AW1043" s="20">
        <v>0</v>
      </c>
      <c r="AX1043" s="20">
        <v>0</v>
      </c>
      <c r="AY1043" s="20">
        <v>0</v>
      </c>
      <c r="AZ1043" s="20">
        <v>0</v>
      </c>
      <c r="BA1043" s="20">
        <v>7</v>
      </c>
      <c r="BB1043" s="20">
        <v>10</v>
      </c>
      <c r="BC1043" s="300">
        <f t="shared" si="178"/>
        <v>202</v>
      </c>
      <c r="BD1043" s="42">
        <f t="shared" si="179"/>
        <v>8</v>
      </c>
      <c r="BE1043" s="42">
        <f t="shared" si="180"/>
        <v>0</v>
      </c>
      <c r="BF1043" s="42">
        <f t="shared" si="181"/>
        <v>0</v>
      </c>
      <c r="BG1043" s="42">
        <f t="shared" si="182"/>
        <v>0</v>
      </c>
      <c r="BH1043" s="42">
        <f t="shared" si="183"/>
        <v>0</v>
      </c>
      <c r="BI1043" s="42">
        <f t="shared" si="184"/>
        <v>0</v>
      </c>
      <c r="BJ1043" s="42">
        <f t="shared" si="185"/>
        <v>0</v>
      </c>
      <c r="BK1043" s="42">
        <f t="shared" si="186"/>
        <v>8</v>
      </c>
    </row>
    <row r="1044" spans="1:63" ht="27" customHeight="1">
      <c r="A1044" s="222">
        <f t="shared" si="187"/>
        <v>1042</v>
      </c>
      <c r="B1044" s="223"/>
      <c r="C1044" s="223">
        <v>3440</v>
      </c>
      <c r="D1044" s="225">
        <v>0</v>
      </c>
      <c r="E1044" s="226" t="s">
        <v>5852</v>
      </c>
      <c r="F1044" s="227" t="s">
        <v>393</v>
      </c>
      <c r="G1044" s="228" t="s">
        <v>2016</v>
      </c>
      <c r="H1044" s="229" t="s">
        <v>5853</v>
      </c>
      <c r="I1044" s="230" t="s">
        <v>902</v>
      </c>
      <c r="J1044" s="231" t="s">
        <v>173</v>
      </c>
      <c r="K1044" s="232">
        <v>28963</v>
      </c>
      <c r="L1044" s="233" t="s">
        <v>174</v>
      </c>
      <c r="M1044" s="234">
        <v>43784</v>
      </c>
      <c r="N1044" s="234"/>
      <c r="O1044" s="234" t="s">
        <v>3580</v>
      </c>
      <c r="P1044" s="222" t="s">
        <v>32</v>
      </c>
      <c r="Q1044" s="222" t="s">
        <v>176</v>
      </c>
      <c r="R1044" s="222" t="s">
        <v>177</v>
      </c>
      <c r="S1044" s="222" t="s">
        <v>178</v>
      </c>
      <c r="T1044" s="235"/>
      <c r="U1044" s="235"/>
      <c r="V1044" s="236" t="s">
        <v>179</v>
      </c>
      <c r="W1044" s="236" t="s">
        <v>179</v>
      </c>
      <c r="X1044" s="236">
        <v>8</v>
      </c>
      <c r="Y1044" s="237" t="s">
        <v>5854</v>
      </c>
      <c r="Z1044" s="238"/>
      <c r="AA1044" s="238"/>
      <c r="AB1044" s="236"/>
      <c r="AC1044" s="239"/>
      <c r="AD1044" s="240"/>
      <c r="AE1044" s="240"/>
      <c r="AF1044" s="241"/>
      <c r="AG1044" s="242"/>
      <c r="AH1044" s="243"/>
      <c r="AI1044" s="243"/>
      <c r="AJ1044" s="244" t="s">
        <v>198</v>
      </c>
      <c r="AK1044" s="244" t="s">
        <v>185</v>
      </c>
      <c r="AL1044" s="244" t="s">
        <v>185</v>
      </c>
      <c r="AM1044" s="239" t="s">
        <v>5855</v>
      </c>
      <c r="AN1044" s="20">
        <v>182</v>
      </c>
      <c r="AO1044" s="20">
        <v>0</v>
      </c>
      <c r="AP1044" s="20">
        <v>0</v>
      </c>
      <c r="AQ1044" s="20">
        <v>0</v>
      </c>
      <c r="AR1044" s="20">
        <v>0</v>
      </c>
      <c r="AS1044" s="20">
        <v>7</v>
      </c>
      <c r="AT1044" s="20">
        <v>10</v>
      </c>
      <c r="AU1044" s="300">
        <f t="shared" si="177"/>
        <v>199</v>
      </c>
      <c r="AV1044" s="20">
        <v>190</v>
      </c>
      <c r="AW1044" s="20">
        <v>0</v>
      </c>
      <c r="AX1044" s="20">
        <v>0</v>
      </c>
      <c r="AY1044" s="20">
        <v>0</v>
      </c>
      <c r="AZ1044" s="20">
        <v>0</v>
      </c>
      <c r="BA1044" s="20">
        <v>7</v>
      </c>
      <c r="BB1044" s="20">
        <v>10</v>
      </c>
      <c r="BC1044" s="300">
        <f t="shared" si="178"/>
        <v>207</v>
      </c>
      <c r="BD1044" s="42">
        <f t="shared" si="179"/>
        <v>8</v>
      </c>
      <c r="BE1044" s="42">
        <f t="shared" si="180"/>
        <v>0</v>
      </c>
      <c r="BF1044" s="42">
        <f t="shared" si="181"/>
        <v>0</v>
      </c>
      <c r="BG1044" s="42">
        <f t="shared" si="182"/>
        <v>0</v>
      </c>
      <c r="BH1044" s="42">
        <f t="shared" si="183"/>
        <v>0</v>
      </c>
      <c r="BI1044" s="42">
        <f t="shared" si="184"/>
        <v>0</v>
      </c>
      <c r="BJ1044" s="42">
        <f t="shared" si="185"/>
        <v>0</v>
      </c>
      <c r="BK1044" s="42">
        <f t="shared" si="186"/>
        <v>8</v>
      </c>
    </row>
    <row r="1045" spans="1:63" ht="27" customHeight="1">
      <c r="A1045" s="222">
        <f t="shared" si="187"/>
        <v>1043</v>
      </c>
      <c r="B1045" s="223"/>
      <c r="C1045" s="223">
        <v>3339</v>
      </c>
      <c r="D1045" s="225" t="s">
        <v>5856</v>
      </c>
      <c r="E1045" s="226" t="s">
        <v>5857</v>
      </c>
      <c r="F1045" s="227" t="s">
        <v>5858</v>
      </c>
      <c r="G1045" s="228" t="s">
        <v>5859</v>
      </c>
      <c r="H1045" s="229" t="s">
        <v>5860</v>
      </c>
      <c r="I1045" s="230" t="s">
        <v>5861</v>
      </c>
      <c r="J1045" s="231" t="s">
        <v>173</v>
      </c>
      <c r="K1045" s="232">
        <v>28647</v>
      </c>
      <c r="L1045" s="233" t="s">
        <v>174</v>
      </c>
      <c r="M1045" s="234">
        <v>43749</v>
      </c>
      <c r="N1045" s="234"/>
      <c r="O1045" s="234" t="s">
        <v>3546</v>
      </c>
      <c r="P1045" s="222" t="s">
        <v>32</v>
      </c>
      <c r="Q1045" s="222" t="s">
        <v>244</v>
      </c>
      <c r="R1045" s="236" t="s">
        <v>3955</v>
      </c>
      <c r="S1045" s="222" t="s">
        <v>428</v>
      </c>
      <c r="T1045" s="235"/>
      <c r="U1045" s="292">
        <v>43788</v>
      </c>
      <c r="V1045" s="236" t="s">
        <v>195</v>
      </c>
      <c r="W1045" s="236">
        <v>2447</v>
      </c>
      <c r="X1045" s="236">
        <v>5</v>
      </c>
      <c r="Y1045" s="237" t="s">
        <v>5862</v>
      </c>
      <c r="Z1045" s="238"/>
      <c r="AA1045" s="238" t="s">
        <v>181</v>
      </c>
      <c r="AB1045" s="236"/>
      <c r="AC1045" s="239"/>
      <c r="AD1045" s="240" t="s">
        <v>183</v>
      </c>
      <c r="AE1045" s="240" t="s">
        <v>183</v>
      </c>
      <c r="AF1045" s="241" t="s">
        <v>3602</v>
      </c>
      <c r="AG1045" s="242"/>
      <c r="AH1045" s="243"/>
      <c r="AI1045" s="243"/>
      <c r="AJ1045" s="244" t="s">
        <v>198</v>
      </c>
      <c r="AK1045" s="244" t="s">
        <v>185</v>
      </c>
      <c r="AL1045" s="244" t="s">
        <v>185</v>
      </c>
      <c r="AM1045" s="239" t="s">
        <v>5718</v>
      </c>
      <c r="AN1045" s="20">
        <v>182</v>
      </c>
      <c r="AO1045" s="20">
        <v>0</v>
      </c>
      <c r="AP1045" s="20">
        <v>0</v>
      </c>
      <c r="AQ1045" s="20">
        <v>0</v>
      </c>
      <c r="AR1045" s="20">
        <v>0</v>
      </c>
      <c r="AS1045" s="20">
        <v>7</v>
      </c>
      <c r="AT1045" s="20">
        <v>10</v>
      </c>
      <c r="AU1045" s="300">
        <f t="shared" si="177"/>
        <v>199</v>
      </c>
      <c r="AV1045" s="20">
        <v>190</v>
      </c>
      <c r="AW1045" s="20">
        <v>0</v>
      </c>
      <c r="AX1045" s="20">
        <v>0</v>
      </c>
      <c r="AY1045" s="20">
        <v>0</v>
      </c>
      <c r="AZ1045" s="20">
        <v>0</v>
      </c>
      <c r="BA1045" s="20">
        <v>7</v>
      </c>
      <c r="BB1045" s="20">
        <v>10</v>
      </c>
      <c r="BC1045" s="300">
        <f t="shared" si="178"/>
        <v>207</v>
      </c>
      <c r="BD1045" s="42">
        <f t="shared" si="179"/>
        <v>8</v>
      </c>
      <c r="BE1045" s="42">
        <f t="shared" si="180"/>
        <v>0</v>
      </c>
      <c r="BF1045" s="42">
        <f t="shared" si="181"/>
        <v>0</v>
      </c>
      <c r="BG1045" s="42">
        <f t="shared" si="182"/>
        <v>0</v>
      </c>
      <c r="BH1045" s="42">
        <f t="shared" si="183"/>
        <v>0</v>
      </c>
      <c r="BI1045" s="42">
        <f t="shared" si="184"/>
        <v>0</v>
      </c>
      <c r="BJ1045" s="42">
        <f t="shared" si="185"/>
        <v>0</v>
      </c>
      <c r="BK1045" s="42">
        <f t="shared" si="186"/>
        <v>8</v>
      </c>
    </row>
    <row r="1046" spans="1:63" ht="27" customHeight="1">
      <c r="A1046" s="222">
        <f t="shared" si="187"/>
        <v>1044</v>
      </c>
      <c r="B1046" s="223"/>
      <c r="C1046" s="223">
        <v>3457</v>
      </c>
      <c r="D1046" s="225">
        <v>0</v>
      </c>
      <c r="E1046" s="226" t="s">
        <v>5863</v>
      </c>
      <c r="F1046" s="227" t="s">
        <v>5864</v>
      </c>
      <c r="G1046" s="228" t="s">
        <v>5865</v>
      </c>
      <c r="H1046" s="229" t="s">
        <v>5866</v>
      </c>
      <c r="I1046" s="230" t="s">
        <v>365</v>
      </c>
      <c r="J1046" s="231" t="s">
        <v>173</v>
      </c>
      <c r="K1046" s="232">
        <v>31445</v>
      </c>
      <c r="L1046" s="233" t="s">
        <v>174</v>
      </c>
      <c r="M1046" s="234">
        <v>43795</v>
      </c>
      <c r="N1046" s="234"/>
      <c r="O1046" s="234" t="s">
        <v>3639</v>
      </c>
      <c r="P1046" s="222" t="s">
        <v>3554</v>
      </c>
      <c r="Q1046" s="222" t="s">
        <v>176</v>
      </c>
      <c r="R1046" s="222" t="s">
        <v>177</v>
      </c>
      <c r="S1046" s="222" t="s">
        <v>223</v>
      </c>
      <c r="T1046" s="235"/>
      <c r="U1046" s="235"/>
      <c r="V1046" s="236" t="s">
        <v>179</v>
      </c>
      <c r="W1046" s="236" t="s">
        <v>179</v>
      </c>
      <c r="X1046" s="236">
        <v>7</v>
      </c>
      <c r="Y1046" s="237" t="s">
        <v>5867</v>
      </c>
      <c r="Z1046" s="238"/>
      <c r="AA1046" s="238" t="s">
        <v>181</v>
      </c>
      <c r="AB1046" s="236"/>
      <c r="AC1046" s="239"/>
      <c r="AD1046" s="240"/>
      <c r="AE1046" s="240"/>
      <c r="AF1046" s="241"/>
      <c r="AG1046" s="242"/>
      <c r="AH1046" s="243"/>
      <c r="AI1046" s="243"/>
      <c r="AJ1046" s="244" t="s">
        <v>198</v>
      </c>
      <c r="AK1046" s="244" t="s">
        <v>185</v>
      </c>
      <c r="AL1046" s="244" t="s">
        <v>185</v>
      </c>
      <c r="AM1046" s="239" t="s">
        <v>5868</v>
      </c>
      <c r="AN1046" s="20">
        <v>182</v>
      </c>
      <c r="AO1046" s="20">
        <v>0</v>
      </c>
      <c r="AP1046" s="20">
        <v>0</v>
      </c>
      <c r="AQ1046" s="20">
        <v>0</v>
      </c>
      <c r="AR1046" s="20">
        <v>0</v>
      </c>
      <c r="AS1046" s="20">
        <v>7</v>
      </c>
      <c r="AT1046" s="20">
        <v>10</v>
      </c>
      <c r="AU1046" s="300">
        <f t="shared" si="177"/>
        <v>199</v>
      </c>
      <c r="AV1046" s="20">
        <v>190</v>
      </c>
      <c r="AW1046" s="20">
        <v>0</v>
      </c>
      <c r="AX1046" s="20">
        <v>0</v>
      </c>
      <c r="AY1046" s="20">
        <v>0</v>
      </c>
      <c r="AZ1046" s="20">
        <v>0</v>
      </c>
      <c r="BA1046" s="20">
        <v>7</v>
      </c>
      <c r="BB1046" s="20">
        <v>10</v>
      </c>
      <c r="BC1046" s="300">
        <f t="shared" si="178"/>
        <v>207</v>
      </c>
      <c r="BD1046" s="42">
        <f t="shared" si="179"/>
        <v>8</v>
      </c>
      <c r="BE1046" s="42">
        <f t="shared" si="180"/>
        <v>0</v>
      </c>
      <c r="BF1046" s="42">
        <f t="shared" si="181"/>
        <v>0</v>
      </c>
      <c r="BG1046" s="42">
        <f t="shared" si="182"/>
        <v>0</v>
      </c>
      <c r="BH1046" s="42">
        <f t="shared" si="183"/>
        <v>0</v>
      </c>
      <c r="BI1046" s="42">
        <f t="shared" si="184"/>
        <v>0</v>
      </c>
      <c r="BJ1046" s="42">
        <f t="shared" si="185"/>
        <v>0</v>
      </c>
      <c r="BK1046" s="42">
        <f t="shared" si="186"/>
        <v>8</v>
      </c>
    </row>
    <row r="1047" spans="1:63" ht="27" customHeight="1">
      <c r="A1047" s="222">
        <f t="shared" si="187"/>
        <v>1045</v>
      </c>
      <c r="B1047" s="223"/>
      <c r="C1047" s="223">
        <v>3451</v>
      </c>
      <c r="D1047" s="225" t="s">
        <v>5869</v>
      </c>
      <c r="E1047" s="226" t="s">
        <v>5870</v>
      </c>
      <c r="F1047" s="227" t="s">
        <v>5871</v>
      </c>
      <c r="G1047" s="228" t="s">
        <v>5872</v>
      </c>
      <c r="H1047" s="229" t="s">
        <v>5873</v>
      </c>
      <c r="I1047" s="230" t="s">
        <v>5874</v>
      </c>
      <c r="J1047" s="231" t="s">
        <v>173</v>
      </c>
      <c r="K1047" s="232">
        <v>31780</v>
      </c>
      <c r="L1047" s="233" t="s">
        <v>174</v>
      </c>
      <c r="M1047" s="234">
        <v>43791</v>
      </c>
      <c r="N1047" s="234"/>
      <c r="O1047" s="234" t="s">
        <v>3639</v>
      </c>
      <c r="P1047" s="222" t="s">
        <v>3580</v>
      </c>
      <c r="Q1047" s="222" t="s">
        <v>176</v>
      </c>
      <c r="R1047" s="222" t="s">
        <v>177</v>
      </c>
      <c r="S1047" s="222" t="s">
        <v>251</v>
      </c>
      <c r="T1047" s="235"/>
      <c r="U1047" s="235"/>
      <c r="V1047" s="236" t="s">
        <v>195</v>
      </c>
      <c r="W1047" s="236" t="s">
        <v>179</v>
      </c>
      <c r="X1047" s="236">
        <v>7</v>
      </c>
      <c r="Y1047" s="237" t="s">
        <v>5875</v>
      </c>
      <c r="Z1047" s="238"/>
      <c r="AA1047" s="238" t="s">
        <v>181</v>
      </c>
      <c r="AB1047" s="236"/>
      <c r="AC1047" s="239"/>
      <c r="AD1047" s="240" t="s">
        <v>183</v>
      </c>
      <c r="AE1047" s="240" t="s">
        <v>183</v>
      </c>
      <c r="AF1047" s="241"/>
      <c r="AG1047" s="242"/>
      <c r="AH1047" s="243"/>
      <c r="AI1047" s="243"/>
      <c r="AJ1047" s="244" t="s">
        <v>198</v>
      </c>
      <c r="AK1047" s="244" t="s">
        <v>185</v>
      </c>
      <c r="AL1047" s="244" t="s">
        <v>185</v>
      </c>
      <c r="AM1047" s="239" t="s">
        <v>5846</v>
      </c>
      <c r="AN1047" s="20">
        <v>182</v>
      </c>
      <c r="AO1047" s="20">
        <v>0</v>
      </c>
      <c r="AP1047" s="20">
        <v>0</v>
      </c>
      <c r="AQ1047" s="20">
        <v>0</v>
      </c>
      <c r="AR1047" s="20">
        <v>0</v>
      </c>
      <c r="AS1047" s="20">
        <v>7</v>
      </c>
      <c r="AT1047" s="20">
        <v>10</v>
      </c>
      <c r="AU1047" s="300">
        <f t="shared" si="177"/>
        <v>199</v>
      </c>
      <c r="AV1047" s="20">
        <v>190</v>
      </c>
      <c r="AW1047" s="20">
        <v>0</v>
      </c>
      <c r="AX1047" s="20">
        <v>0</v>
      </c>
      <c r="AY1047" s="20">
        <v>0</v>
      </c>
      <c r="AZ1047" s="20">
        <v>0</v>
      </c>
      <c r="BA1047" s="20">
        <v>7</v>
      </c>
      <c r="BB1047" s="20">
        <v>10</v>
      </c>
      <c r="BC1047" s="300">
        <f t="shared" si="178"/>
        <v>207</v>
      </c>
      <c r="BD1047" s="42">
        <f t="shared" si="179"/>
        <v>8</v>
      </c>
      <c r="BE1047" s="42">
        <f t="shared" si="180"/>
        <v>0</v>
      </c>
      <c r="BF1047" s="42">
        <f t="shared" si="181"/>
        <v>0</v>
      </c>
      <c r="BG1047" s="42">
        <f t="shared" si="182"/>
        <v>0</v>
      </c>
      <c r="BH1047" s="42">
        <f t="shared" si="183"/>
        <v>0</v>
      </c>
      <c r="BI1047" s="42">
        <f t="shared" si="184"/>
        <v>0</v>
      </c>
      <c r="BJ1047" s="42">
        <f t="shared" si="185"/>
        <v>0</v>
      </c>
      <c r="BK1047" s="42">
        <f t="shared" si="186"/>
        <v>8</v>
      </c>
    </row>
    <row r="1048" spans="1:63" ht="27" customHeight="1">
      <c r="A1048" s="222">
        <f t="shared" si="187"/>
        <v>1046</v>
      </c>
      <c r="B1048" s="223"/>
      <c r="C1048" s="223">
        <v>3452</v>
      </c>
      <c r="D1048" s="225" t="s">
        <v>5876</v>
      </c>
      <c r="E1048" s="226" t="s">
        <v>5877</v>
      </c>
      <c r="F1048" s="227" t="s">
        <v>5878</v>
      </c>
      <c r="G1048" s="228" t="s">
        <v>2246</v>
      </c>
      <c r="H1048" s="229" t="s">
        <v>5879</v>
      </c>
      <c r="I1048" s="230" t="s">
        <v>5880</v>
      </c>
      <c r="J1048" s="231" t="s">
        <v>204</v>
      </c>
      <c r="K1048" s="232">
        <v>36162</v>
      </c>
      <c r="L1048" s="233" t="s">
        <v>174</v>
      </c>
      <c r="M1048" s="234">
        <v>43792</v>
      </c>
      <c r="N1048" s="234"/>
      <c r="O1048" s="234" t="s">
        <v>3639</v>
      </c>
      <c r="P1048" s="222" t="s">
        <v>5881</v>
      </c>
      <c r="Q1048" s="222" t="s">
        <v>176</v>
      </c>
      <c r="R1048" s="222" t="s">
        <v>177</v>
      </c>
      <c r="S1048" s="222" t="s">
        <v>214</v>
      </c>
      <c r="T1048" s="235"/>
      <c r="U1048" s="235"/>
      <c r="V1048" s="236" t="s">
        <v>179</v>
      </c>
      <c r="W1048" s="236" t="s">
        <v>179</v>
      </c>
      <c r="X1048" s="236">
        <v>11</v>
      </c>
      <c r="Y1048" s="237" t="s">
        <v>5882</v>
      </c>
      <c r="Z1048" s="238" t="s">
        <v>181</v>
      </c>
      <c r="AA1048" s="238"/>
      <c r="AB1048" s="236"/>
      <c r="AC1048" s="239"/>
      <c r="AD1048" s="240"/>
      <c r="AE1048" s="240"/>
      <c r="AF1048" s="241"/>
      <c r="AG1048" s="242"/>
      <c r="AH1048" s="243"/>
      <c r="AI1048" s="243"/>
      <c r="AJ1048" s="244" t="s">
        <v>198</v>
      </c>
      <c r="AK1048" s="244" t="s">
        <v>185</v>
      </c>
      <c r="AL1048" s="244" t="s">
        <v>185</v>
      </c>
      <c r="AM1048" s="239" t="s">
        <v>5718</v>
      </c>
      <c r="AN1048" s="20">
        <v>177</v>
      </c>
      <c r="AO1048" s="20">
        <v>0</v>
      </c>
      <c r="AP1048" s="20">
        <v>0</v>
      </c>
      <c r="AQ1048" s="20">
        <v>0</v>
      </c>
      <c r="AR1048" s="20">
        <v>0</v>
      </c>
      <c r="AS1048" s="20">
        <v>7</v>
      </c>
      <c r="AT1048" s="20">
        <v>10</v>
      </c>
      <c r="AU1048" s="300">
        <f t="shared" si="177"/>
        <v>194</v>
      </c>
      <c r="AV1048" s="20">
        <v>185</v>
      </c>
      <c r="AW1048" s="20">
        <v>0</v>
      </c>
      <c r="AX1048" s="20">
        <v>0</v>
      </c>
      <c r="AY1048" s="20">
        <v>0</v>
      </c>
      <c r="AZ1048" s="20">
        <v>0</v>
      </c>
      <c r="BA1048" s="20">
        <v>7</v>
      </c>
      <c r="BB1048" s="20">
        <v>10</v>
      </c>
      <c r="BC1048" s="300">
        <f t="shared" si="178"/>
        <v>202</v>
      </c>
      <c r="BD1048" s="42">
        <f t="shared" si="179"/>
        <v>8</v>
      </c>
      <c r="BE1048" s="42">
        <f t="shared" si="180"/>
        <v>0</v>
      </c>
      <c r="BF1048" s="42">
        <f t="shared" si="181"/>
        <v>0</v>
      </c>
      <c r="BG1048" s="42">
        <f t="shared" si="182"/>
        <v>0</v>
      </c>
      <c r="BH1048" s="42">
        <f t="shared" si="183"/>
        <v>0</v>
      </c>
      <c r="BI1048" s="42">
        <f t="shared" si="184"/>
        <v>0</v>
      </c>
      <c r="BJ1048" s="42">
        <f t="shared" si="185"/>
        <v>0</v>
      </c>
      <c r="BK1048" s="42">
        <f t="shared" si="186"/>
        <v>8</v>
      </c>
    </row>
    <row r="1049" spans="1:63" ht="27" customHeight="1">
      <c r="A1049" s="222">
        <f t="shared" si="187"/>
        <v>1047</v>
      </c>
      <c r="B1049" s="223"/>
      <c r="C1049" s="223">
        <v>3454</v>
      </c>
      <c r="D1049" s="225" t="s">
        <v>5883</v>
      </c>
      <c r="E1049" s="226" t="s">
        <v>5884</v>
      </c>
      <c r="F1049" s="227" t="s">
        <v>5885</v>
      </c>
      <c r="G1049" s="228" t="s">
        <v>5886</v>
      </c>
      <c r="H1049" s="229" t="s">
        <v>5887</v>
      </c>
      <c r="I1049" s="230" t="s">
        <v>5888</v>
      </c>
      <c r="J1049" s="231" t="s">
        <v>204</v>
      </c>
      <c r="K1049" s="232">
        <v>35175</v>
      </c>
      <c r="L1049" s="233" t="s">
        <v>174</v>
      </c>
      <c r="M1049" s="234">
        <v>43795</v>
      </c>
      <c r="N1049" s="234"/>
      <c r="O1049" s="234" t="s">
        <v>3639</v>
      </c>
      <c r="P1049" s="222" t="s">
        <v>5849</v>
      </c>
      <c r="Q1049" s="222" t="s">
        <v>176</v>
      </c>
      <c r="R1049" s="222" t="s">
        <v>177</v>
      </c>
      <c r="S1049" s="222" t="s">
        <v>178</v>
      </c>
      <c r="T1049" s="235"/>
      <c r="U1049" s="235"/>
      <c r="V1049" s="236" t="s">
        <v>179</v>
      </c>
      <c r="W1049" s="236" t="s">
        <v>179</v>
      </c>
      <c r="X1049" s="236">
        <v>5</v>
      </c>
      <c r="Y1049" s="237" t="s">
        <v>5889</v>
      </c>
      <c r="Z1049" s="238" t="s">
        <v>181</v>
      </c>
      <c r="AA1049" s="238"/>
      <c r="AB1049" s="236"/>
      <c r="AC1049" s="239"/>
      <c r="AD1049" s="240"/>
      <c r="AE1049" s="240"/>
      <c r="AF1049" s="241"/>
      <c r="AG1049" s="242"/>
      <c r="AH1049" s="243"/>
      <c r="AI1049" s="243"/>
      <c r="AJ1049" s="244" t="s">
        <v>198</v>
      </c>
      <c r="AK1049" s="244" t="s">
        <v>185</v>
      </c>
      <c r="AL1049" s="244" t="s">
        <v>185</v>
      </c>
      <c r="AM1049" s="239" t="s">
        <v>5718</v>
      </c>
      <c r="AN1049" s="20">
        <v>177</v>
      </c>
      <c r="AO1049" s="20">
        <v>0</v>
      </c>
      <c r="AP1049" s="20">
        <v>0</v>
      </c>
      <c r="AQ1049" s="20">
        <v>0</v>
      </c>
      <c r="AR1049" s="20">
        <v>0</v>
      </c>
      <c r="AS1049" s="20">
        <v>7</v>
      </c>
      <c r="AT1049" s="20">
        <v>10</v>
      </c>
      <c r="AU1049" s="300">
        <f t="shared" si="177"/>
        <v>194</v>
      </c>
      <c r="AV1049" s="20">
        <v>185</v>
      </c>
      <c r="AW1049" s="20">
        <v>0</v>
      </c>
      <c r="AX1049" s="20">
        <v>0</v>
      </c>
      <c r="AY1049" s="20">
        <v>0</v>
      </c>
      <c r="AZ1049" s="20">
        <v>0</v>
      </c>
      <c r="BA1049" s="20">
        <v>7</v>
      </c>
      <c r="BB1049" s="20">
        <v>10</v>
      </c>
      <c r="BC1049" s="300">
        <f t="shared" si="178"/>
        <v>202</v>
      </c>
      <c r="BD1049" s="42">
        <f t="shared" si="179"/>
        <v>8</v>
      </c>
      <c r="BE1049" s="42">
        <f t="shared" si="180"/>
        <v>0</v>
      </c>
      <c r="BF1049" s="42">
        <f t="shared" si="181"/>
        <v>0</v>
      </c>
      <c r="BG1049" s="42">
        <f t="shared" si="182"/>
        <v>0</v>
      </c>
      <c r="BH1049" s="42">
        <f t="shared" si="183"/>
        <v>0</v>
      </c>
      <c r="BI1049" s="42">
        <f t="shared" si="184"/>
        <v>0</v>
      </c>
      <c r="BJ1049" s="42">
        <f t="shared" si="185"/>
        <v>0</v>
      </c>
      <c r="BK1049" s="42">
        <f t="shared" si="186"/>
        <v>8</v>
      </c>
    </row>
    <row r="1050" spans="1:63" ht="27" customHeight="1">
      <c r="A1050" s="222">
        <f t="shared" si="187"/>
        <v>1048</v>
      </c>
      <c r="B1050" s="223"/>
      <c r="C1050" s="223">
        <v>3455</v>
      </c>
      <c r="D1050" s="225" t="s">
        <v>5890</v>
      </c>
      <c r="E1050" s="226" t="s">
        <v>5891</v>
      </c>
      <c r="F1050" s="227" t="s">
        <v>3345</v>
      </c>
      <c r="G1050" s="228" t="s">
        <v>1347</v>
      </c>
      <c r="H1050" s="229" t="s">
        <v>5892</v>
      </c>
      <c r="I1050" s="230" t="s">
        <v>5893</v>
      </c>
      <c r="J1050" s="231" t="s">
        <v>204</v>
      </c>
      <c r="K1050" s="232">
        <v>35053</v>
      </c>
      <c r="L1050" s="233" t="s">
        <v>174</v>
      </c>
      <c r="M1050" s="234">
        <v>43795</v>
      </c>
      <c r="N1050" s="234"/>
      <c r="O1050" s="234" t="s">
        <v>3639</v>
      </c>
      <c r="P1050" s="222" t="s">
        <v>5849</v>
      </c>
      <c r="Q1050" s="222" t="s">
        <v>176</v>
      </c>
      <c r="R1050" s="222" t="s">
        <v>177</v>
      </c>
      <c r="S1050" s="222" t="s">
        <v>178</v>
      </c>
      <c r="T1050" s="235"/>
      <c r="U1050" s="235"/>
      <c r="V1050" s="236" t="s">
        <v>179</v>
      </c>
      <c r="W1050" s="236" t="s">
        <v>179</v>
      </c>
      <c r="X1050" s="236">
        <v>9</v>
      </c>
      <c r="Y1050" s="237" t="s">
        <v>5894</v>
      </c>
      <c r="Z1050" s="238" t="s">
        <v>181</v>
      </c>
      <c r="AA1050" s="238"/>
      <c r="AB1050" s="236"/>
      <c r="AC1050" s="239"/>
      <c r="AD1050" s="240"/>
      <c r="AE1050" s="240"/>
      <c r="AF1050" s="241"/>
      <c r="AG1050" s="242"/>
      <c r="AH1050" s="243"/>
      <c r="AI1050" s="243"/>
      <c r="AJ1050" s="244" t="s">
        <v>198</v>
      </c>
      <c r="AK1050" s="244" t="s">
        <v>185</v>
      </c>
      <c r="AL1050" s="244" t="s">
        <v>185</v>
      </c>
      <c r="AM1050" s="239" t="s">
        <v>5718</v>
      </c>
      <c r="AN1050" s="20">
        <v>177</v>
      </c>
      <c r="AO1050" s="20">
        <v>0</v>
      </c>
      <c r="AP1050" s="20">
        <v>0</v>
      </c>
      <c r="AQ1050" s="20">
        <v>0</v>
      </c>
      <c r="AR1050" s="20">
        <v>0</v>
      </c>
      <c r="AS1050" s="20">
        <v>7</v>
      </c>
      <c r="AT1050" s="20">
        <v>10</v>
      </c>
      <c r="AU1050" s="300">
        <f t="shared" si="177"/>
        <v>194</v>
      </c>
      <c r="AV1050" s="20">
        <v>185</v>
      </c>
      <c r="AW1050" s="20">
        <v>0</v>
      </c>
      <c r="AX1050" s="20">
        <v>0</v>
      </c>
      <c r="AY1050" s="20">
        <v>0</v>
      </c>
      <c r="AZ1050" s="20">
        <v>0</v>
      </c>
      <c r="BA1050" s="20">
        <v>7</v>
      </c>
      <c r="BB1050" s="20">
        <v>10</v>
      </c>
      <c r="BC1050" s="300">
        <f t="shared" si="178"/>
        <v>202</v>
      </c>
      <c r="BD1050" s="42">
        <f t="shared" si="179"/>
        <v>8</v>
      </c>
      <c r="BE1050" s="42">
        <f t="shared" si="180"/>
        <v>0</v>
      </c>
      <c r="BF1050" s="42">
        <f t="shared" si="181"/>
        <v>0</v>
      </c>
      <c r="BG1050" s="42">
        <f t="shared" si="182"/>
        <v>0</v>
      </c>
      <c r="BH1050" s="42">
        <f t="shared" si="183"/>
        <v>0</v>
      </c>
      <c r="BI1050" s="42">
        <f t="shared" si="184"/>
        <v>0</v>
      </c>
      <c r="BJ1050" s="42">
        <f t="shared" si="185"/>
        <v>0</v>
      </c>
      <c r="BK1050" s="42">
        <f t="shared" si="186"/>
        <v>8</v>
      </c>
    </row>
    <row r="1051" spans="1:63" ht="27" customHeight="1">
      <c r="A1051" s="222">
        <f t="shared" si="187"/>
        <v>1049</v>
      </c>
      <c r="B1051" s="223"/>
      <c r="C1051" s="223">
        <v>3453</v>
      </c>
      <c r="D1051" s="225" t="s">
        <v>5895</v>
      </c>
      <c r="E1051" s="226" t="s">
        <v>5896</v>
      </c>
      <c r="F1051" s="227" t="s">
        <v>742</v>
      </c>
      <c r="G1051" s="228" t="s">
        <v>652</v>
      </c>
      <c r="H1051" s="229" t="s">
        <v>2027</v>
      </c>
      <c r="I1051" s="230" t="s">
        <v>5844</v>
      </c>
      <c r="J1051" s="231" t="s">
        <v>173</v>
      </c>
      <c r="K1051" s="232">
        <v>30155</v>
      </c>
      <c r="L1051" s="233" t="s">
        <v>174</v>
      </c>
      <c r="M1051" s="234">
        <v>43792</v>
      </c>
      <c r="N1051" s="234"/>
      <c r="O1051" s="234" t="s">
        <v>3639</v>
      </c>
      <c r="P1051" s="222" t="s">
        <v>3568</v>
      </c>
      <c r="Q1051" s="222" t="s">
        <v>176</v>
      </c>
      <c r="R1051" s="222" t="s">
        <v>177</v>
      </c>
      <c r="S1051" s="222" t="s">
        <v>722</v>
      </c>
      <c r="T1051" s="235"/>
      <c r="U1051" s="235"/>
      <c r="V1051" s="236" t="s">
        <v>179</v>
      </c>
      <c r="W1051" s="236" t="s">
        <v>179</v>
      </c>
      <c r="X1051" s="236">
        <v>6</v>
      </c>
      <c r="Y1051" s="237" t="s">
        <v>5897</v>
      </c>
      <c r="Z1051" s="238"/>
      <c r="AA1051" s="238" t="s">
        <v>181</v>
      </c>
      <c r="AB1051" s="236"/>
      <c r="AC1051" s="239"/>
      <c r="AD1051" s="240" t="s">
        <v>183</v>
      </c>
      <c r="AE1051" s="240"/>
      <c r="AF1051" s="241"/>
      <c r="AG1051" s="242"/>
      <c r="AH1051" s="243"/>
      <c r="AI1051" s="243"/>
      <c r="AJ1051" s="244" t="s">
        <v>198</v>
      </c>
      <c r="AK1051" s="244" t="s">
        <v>185</v>
      </c>
      <c r="AL1051" s="244" t="s">
        <v>185</v>
      </c>
      <c r="AM1051" s="239" t="s">
        <v>5721</v>
      </c>
      <c r="AN1051" s="20">
        <v>177</v>
      </c>
      <c r="AO1051" s="20">
        <v>0</v>
      </c>
      <c r="AP1051" s="20">
        <v>0</v>
      </c>
      <c r="AQ1051" s="20">
        <v>0</v>
      </c>
      <c r="AR1051" s="20">
        <v>0</v>
      </c>
      <c r="AS1051" s="20">
        <v>7</v>
      </c>
      <c r="AT1051" s="20">
        <v>10</v>
      </c>
      <c r="AU1051" s="300">
        <f t="shared" si="177"/>
        <v>194</v>
      </c>
      <c r="AV1051" s="20">
        <v>185</v>
      </c>
      <c r="AW1051" s="20">
        <v>0</v>
      </c>
      <c r="AX1051" s="20">
        <v>0</v>
      </c>
      <c r="AY1051" s="20">
        <v>0</v>
      </c>
      <c r="AZ1051" s="20">
        <v>0</v>
      </c>
      <c r="BA1051" s="20">
        <v>7</v>
      </c>
      <c r="BB1051" s="20">
        <v>10</v>
      </c>
      <c r="BC1051" s="300">
        <f t="shared" si="178"/>
        <v>202</v>
      </c>
      <c r="BD1051" s="42">
        <f t="shared" si="179"/>
        <v>8</v>
      </c>
      <c r="BE1051" s="42">
        <f t="shared" si="180"/>
        <v>0</v>
      </c>
      <c r="BF1051" s="42">
        <f t="shared" si="181"/>
        <v>0</v>
      </c>
      <c r="BG1051" s="42">
        <f t="shared" si="182"/>
        <v>0</v>
      </c>
      <c r="BH1051" s="42">
        <f t="shared" si="183"/>
        <v>0</v>
      </c>
      <c r="BI1051" s="42">
        <f t="shared" si="184"/>
        <v>0</v>
      </c>
      <c r="BJ1051" s="42">
        <f t="shared" si="185"/>
        <v>0</v>
      </c>
      <c r="BK1051" s="42">
        <f t="shared" si="186"/>
        <v>8</v>
      </c>
    </row>
    <row r="1052" spans="1:63" ht="27" customHeight="1">
      <c r="A1052" s="222">
        <f t="shared" si="187"/>
        <v>1050</v>
      </c>
      <c r="B1052" s="223"/>
      <c r="C1052" s="223">
        <v>3461</v>
      </c>
      <c r="D1052" s="225">
        <v>0</v>
      </c>
      <c r="E1052" s="226" t="s">
        <v>5898</v>
      </c>
      <c r="F1052" s="227" t="s">
        <v>2082</v>
      </c>
      <c r="G1052" s="228" t="s">
        <v>5899</v>
      </c>
      <c r="H1052" s="229" t="s">
        <v>4910</v>
      </c>
      <c r="I1052" s="230" t="s">
        <v>5900</v>
      </c>
      <c r="J1052" s="231" t="s">
        <v>173</v>
      </c>
      <c r="K1052" s="232">
        <v>29777</v>
      </c>
      <c r="L1052" s="233" t="s">
        <v>174</v>
      </c>
      <c r="M1052" s="234">
        <v>43797</v>
      </c>
      <c r="N1052" s="234"/>
      <c r="O1052" s="234" t="s">
        <v>3639</v>
      </c>
      <c r="P1052" s="222" t="s">
        <v>3554</v>
      </c>
      <c r="Q1052" s="222" t="s">
        <v>176</v>
      </c>
      <c r="R1052" s="222" t="s">
        <v>177</v>
      </c>
      <c r="S1052" s="222" t="s">
        <v>214</v>
      </c>
      <c r="T1052" s="235"/>
      <c r="U1052" s="235"/>
      <c r="V1052" s="236" t="s">
        <v>179</v>
      </c>
      <c r="W1052" s="236" t="s">
        <v>179</v>
      </c>
      <c r="X1052" s="236">
        <v>2</v>
      </c>
      <c r="Y1052" s="237" t="s">
        <v>5901</v>
      </c>
      <c r="Z1052" s="238"/>
      <c r="AA1052" s="238" t="s">
        <v>181</v>
      </c>
      <c r="AB1052" s="236"/>
      <c r="AC1052" s="239"/>
      <c r="AD1052" s="240" t="s">
        <v>3602</v>
      </c>
      <c r="AE1052" s="240" t="s">
        <v>3602</v>
      </c>
      <c r="AF1052" s="241"/>
      <c r="AG1052" s="242"/>
      <c r="AH1052" s="243"/>
      <c r="AI1052" s="243"/>
      <c r="AJ1052" s="244" t="s">
        <v>198</v>
      </c>
      <c r="AK1052" s="244" t="s">
        <v>185</v>
      </c>
      <c r="AL1052" s="244" t="s">
        <v>185</v>
      </c>
      <c r="AM1052" s="239" t="s">
        <v>5846</v>
      </c>
      <c r="AN1052" s="20">
        <v>182</v>
      </c>
      <c r="AO1052" s="20">
        <v>0</v>
      </c>
      <c r="AP1052" s="20">
        <v>0</v>
      </c>
      <c r="AQ1052" s="20">
        <v>0</v>
      </c>
      <c r="AR1052" s="20">
        <v>0</v>
      </c>
      <c r="AS1052" s="20">
        <v>7</v>
      </c>
      <c r="AT1052" s="20">
        <v>10</v>
      </c>
      <c r="AU1052" s="300">
        <f t="shared" si="177"/>
        <v>199</v>
      </c>
      <c r="AV1052" s="20">
        <v>190</v>
      </c>
      <c r="AW1052" s="20">
        <v>0</v>
      </c>
      <c r="AX1052" s="20">
        <v>0</v>
      </c>
      <c r="AY1052" s="20">
        <v>0</v>
      </c>
      <c r="AZ1052" s="20">
        <v>0</v>
      </c>
      <c r="BA1052" s="20">
        <v>7</v>
      </c>
      <c r="BB1052" s="20">
        <v>10</v>
      </c>
      <c r="BC1052" s="300">
        <f t="shared" si="178"/>
        <v>207</v>
      </c>
      <c r="BD1052" s="42">
        <f t="shared" si="179"/>
        <v>8</v>
      </c>
      <c r="BE1052" s="42">
        <f t="shared" si="180"/>
        <v>0</v>
      </c>
      <c r="BF1052" s="42">
        <f t="shared" si="181"/>
        <v>0</v>
      </c>
      <c r="BG1052" s="42">
        <f t="shared" si="182"/>
        <v>0</v>
      </c>
      <c r="BH1052" s="42">
        <f t="shared" si="183"/>
        <v>0</v>
      </c>
      <c r="BI1052" s="42">
        <f t="shared" si="184"/>
        <v>0</v>
      </c>
      <c r="BJ1052" s="42">
        <f t="shared" si="185"/>
        <v>0</v>
      </c>
      <c r="BK1052" s="42">
        <f t="shared" si="186"/>
        <v>8</v>
      </c>
    </row>
    <row r="1053" spans="1:63" ht="27" customHeight="1">
      <c r="A1053" s="222">
        <f t="shared" si="187"/>
        <v>1051</v>
      </c>
      <c r="B1053" s="223"/>
      <c r="C1053" s="223">
        <v>3458</v>
      </c>
      <c r="D1053" s="225" t="s">
        <v>5902</v>
      </c>
      <c r="E1053" s="226" t="s">
        <v>5903</v>
      </c>
      <c r="F1053" s="227" t="s">
        <v>5904</v>
      </c>
      <c r="G1053" s="228" t="s">
        <v>1893</v>
      </c>
      <c r="H1053" s="229" t="s">
        <v>5905</v>
      </c>
      <c r="I1053" s="230" t="s">
        <v>1895</v>
      </c>
      <c r="J1053" s="231" t="s">
        <v>173</v>
      </c>
      <c r="K1053" s="232">
        <v>34734</v>
      </c>
      <c r="L1053" s="233" t="s">
        <v>174</v>
      </c>
      <c r="M1053" s="234">
        <v>43792</v>
      </c>
      <c r="N1053" s="234"/>
      <c r="O1053" s="234" t="s">
        <v>3639</v>
      </c>
      <c r="P1053" s="222" t="s">
        <v>1338</v>
      </c>
      <c r="Q1053" s="222" t="s">
        <v>176</v>
      </c>
      <c r="R1053" s="222" t="s">
        <v>177</v>
      </c>
      <c r="S1053" s="222" t="s">
        <v>178</v>
      </c>
      <c r="T1053" s="235"/>
      <c r="U1053" s="235"/>
      <c r="V1053" s="236" t="s">
        <v>195</v>
      </c>
      <c r="W1053" s="236">
        <v>435</v>
      </c>
      <c r="X1053" s="236">
        <v>6</v>
      </c>
      <c r="Y1053" s="237" t="s">
        <v>5906</v>
      </c>
      <c r="Z1053" s="238"/>
      <c r="AA1053" s="238" t="s">
        <v>181</v>
      </c>
      <c r="AB1053" s="236"/>
      <c r="AC1053" s="239" t="s">
        <v>382</v>
      </c>
      <c r="AD1053" s="240" t="s">
        <v>183</v>
      </c>
      <c r="AE1053" s="240"/>
      <c r="AF1053" s="241"/>
      <c r="AG1053" s="242"/>
      <c r="AH1053" s="243"/>
      <c r="AI1053" s="243"/>
      <c r="AJ1053" s="244" t="s">
        <v>198</v>
      </c>
      <c r="AK1053" s="244" t="s">
        <v>185</v>
      </c>
      <c r="AL1053" s="244" t="s">
        <v>185</v>
      </c>
      <c r="AM1053" s="239" t="s">
        <v>5846</v>
      </c>
      <c r="AN1053" s="20">
        <v>177</v>
      </c>
      <c r="AO1053" s="20">
        <v>0</v>
      </c>
      <c r="AP1053" s="20">
        <v>0</v>
      </c>
      <c r="AQ1053" s="20">
        <v>0</v>
      </c>
      <c r="AR1053" s="20">
        <v>0</v>
      </c>
      <c r="AS1053" s="20">
        <v>7</v>
      </c>
      <c r="AT1053" s="20">
        <v>10</v>
      </c>
      <c r="AU1053" s="300">
        <f t="shared" si="177"/>
        <v>194</v>
      </c>
      <c r="AV1053" s="20">
        <v>185</v>
      </c>
      <c r="AW1053" s="20">
        <v>0</v>
      </c>
      <c r="AX1053" s="20">
        <v>0</v>
      </c>
      <c r="AY1053" s="20">
        <v>0</v>
      </c>
      <c r="AZ1053" s="20">
        <v>0</v>
      </c>
      <c r="BA1053" s="20">
        <v>7</v>
      </c>
      <c r="BB1053" s="20">
        <v>10</v>
      </c>
      <c r="BC1053" s="300">
        <f t="shared" si="178"/>
        <v>202</v>
      </c>
      <c r="BD1053" s="42">
        <f t="shared" si="179"/>
        <v>8</v>
      </c>
      <c r="BE1053" s="42">
        <f t="shared" si="180"/>
        <v>0</v>
      </c>
      <c r="BF1053" s="42">
        <f t="shared" si="181"/>
        <v>0</v>
      </c>
      <c r="BG1053" s="42">
        <f t="shared" si="182"/>
        <v>0</v>
      </c>
      <c r="BH1053" s="42">
        <f t="shared" si="183"/>
        <v>0</v>
      </c>
      <c r="BI1053" s="42">
        <f t="shared" si="184"/>
        <v>0</v>
      </c>
      <c r="BJ1053" s="42">
        <f t="shared" si="185"/>
        <v>0</v>
      </c>
      <c r="BK1053" s="42">
        <f t="shared" si="186"/>
        <v>8</v>
      </c>
    </row>
    <row r="1054" spans="1:63" ht="27" customHeight="1">
      <c r="A1054" s="222">
        <f t="shared" si="187"/>
        <v>1052</v>
      </c>
      <c r="B1054" s="223"/>
      <c r="C1054" s="223">
        <v>3459</v>
      </c>
      <c r="D1054" s="225">
        <v>0</v>
      </c>
      <c r="E1054" s="226" t="s">
        <v>291</v>
      </c>
      <c r="F1054" s="227" t="s">
        <v>2900</v>
      </c>
      <c r="G1054" s="228" t="s">
        <v>685</v>
      </c>
      <c r="H1054" s="229">
        <v>0</v>
      </c>
      <c r="I1054" s="230">
        <v>0</v>
      </c>
      <c r="J1054" s="231" t="s">
        <v>173</v>
      </c>
      <c r="K1054" s="232">
        <v>36758</v>
      </c>
      <c r="L1054" s="233" t="s">
        <v>174</v>
      </c>
      <c r="M1054" s="234">
        <v>43795</v>
      </c>
      <c r="N1054" s="234"/>
      <c r="O1054" s="234" t="s">
        <v>3639</v>
      </c>
      <c r="P1054" s="222" t="s">
        <v>5747</v>
      </c>
      <c r="Q1054" s="222" t="s">
        <v>176</v>
      </c>
      <c r="R1054" s="222" t="s">
        <v>177</v>
      </c>
      <c r="S1054" s="222" t="s">
        <v>251</v>
      </c>
      <c r="T1054" s="235"/>
      <c r="U1054" s="235"/>
      <c r="V1054" s="236" t="s">
        <v>195</v>
      </c>
      <c r="W1054" s="236">
        <v>5022</v>
      </c>
      <c r="X1054" s="236">
        <v>7</v>
      </c>
      <c r="Y1054" s="237" t="s">
        <v>5907</v>
      </c>
      <c r="Z1054" s="238" t="s">
        <v>181</v>
      </c>
      <c r="AA1054" s="238"/>
      <c r="AB1054" s="236"/>
      <c r="AC1054" s="239"/>
      <c r="AD1054" s="240"/>
      <c r="AE1054" s="240"/>
      <c r="AF1054" s="241"/>
      <c r="AG1054" s="242"/>
      <c r="AH1054" s="243"/>
      <c r="AI1054" s="243"/>
      <c r="AJ1054" s="244" t="s">
        <v>198</v>
      </c>
      <c r="AK1054" s="244" t="s">
        <v>185</v>
      </c>
      <c r="AL1054" s="244" t="s">
        <v>185</v>
      </c>
      <c r="AM1054" s="239" t="s">
        <v>5735</v>
      </c>
      <c r="AN1054" s="20">
        <v>177</v>
      </c>
      <c r="AO1054" s="20">
        <v>0</v>
      </c>
      <c r="AP1054" s="20">
        <v>0</v>
      </c>
      <c r="AQ1054" s="20">
        <v>0</v>
      </c>
      <c r="AR1054" s="20">
        <v>0</v>
      </c>
      <c r="AS1054" s="20">
        <v>7</v>
      </c>
      <c r="AT1054" s="20">
        <v>10</v>
      </c>
      <c r="AU1054" s="300">
        <f t="shared" si="177"/>
        <v>194</v>
      </c>
      <c r="AV1054" s="20">
        <v>185</v>
      </c>
      <c r="AW1054" s="20">
        <v>0</v>
      </c>
      <c r="AX1054" s="20">
        <v>0</v>
      </c>
      <c r="AY1054" s="20">
        <v>0</v>
      </c>
      <c r="AZ1054" s="20">
        <v>0</v>
      </c>
      <c r="BA1054" s="20">
        <v>7</v>
      </c>
      <c r="BB1054" s="20">
        <v>10</v>
      </c>
      <c r="BC1054" s="300">
        <f t="shared" si="178"/>
        <v>202</v>
      </c>
      <c r="BD1054" s="42">
        <f t="shared" si="179"/>
        <v>8</v>
      </c>
      <c r="BE1054" s="42">
        <f t="shared" si="180"/>
        <v>0</v>
      </c>
      <c r="BF1054" s="42">
        <f t="shared" si="181"/>
        <v>0</v>
      </c>
      <c r="BG1054" s="42">
        <f t="shared" si="182"/>
        <v>0</v>
      </c>
      <c r="BH1054" s="42">
        <f t="shared" si="183"/>
        <v>0</v>
      </c>
      <c r="BI1054" s="42">
        <f t="shared" si="184"/>
        <v>0</v>
      </c>
      <c r="BJ1054" s="42">
        <f t="shared" si="185"/>
        <v>0</v>
      </c>
      <c r="BK1054" s="42">
        <f t="shared" si="186"/>
        <v>8</v>
      </c>
    </row>
    <row r="1055" spans="1:63" ht="27" customHeight="1">
      <c r="A1055" s="222">
        <f t="shared" si="187"/>
        <v>1053</v>
      </c>
      <c r="B1055" s="223"/>
      <c r="C1055" s="223">
        <v>3425</v>
      </c>
      <c r="D1055" s="225" t="s">
        <v>5908</v>
      </c>
      <c r="E1055" s="226" t="s">
        <v>5909</v>
      </c>
      <c r="F1055" s="227" t="s">
        <v>3526</v>
      </c>
      <c r="G1055" s="228" t="s">
        <v>5910</v>
      </c>
      <c r="H1055" s="229" t="s">
        <v>3527</v>
      </c>
      <c r="I1055" s="230" t="s">
        <v>5911</v>
      </c>
      <c r="J1055" s="231" t="s">
        <v>173</v>
      </c>
      <c r="K1055" s="232">
        <v>31929</v>
      </c>
      <c r="L1055" s="233" t="s">
        <v>174</v>
      </c>
      <c r="M1055" s="234">
        <v>43770</v>
      </c>
      <c r="N1055" s="234"/>
      <c r="O1055" s="234" t="s">
        <v>3639</v>
      </c>
      <c r="P1055" s="222" t="s">
        <v>3532</v>
      </c>
      <c r="Q1055" s="222" t="s">
        <v>176</v>
      </c>
      <c r="R1055" s="222" t="s">
        <v>177</v>
      </c>
      <c r="S1055" s="222" t="s">
        <v>178</v>
      </c>
      <c r="T1055" s="235"/>
      <c r="U1055" s="235"/>
      <c r="V1055" s="236" t="s">
        <v>195</v>
      </c>
      <c r="W1055" s="236">
        <v>921</v>
      </c>
      <c r="X1055" s="236">
        <v>6</v>
      </c>
      <c r="Y1055" s="237" t="s">
        <v>5912</v>
      </c>
      <c r="Z1055" s="238"/>
      <c r="AA1055" s="238" t="s">
        <v>181</v>
      </c>
      <c r="AB1055" s="236"/>
      <c r="AC1055" s="239"/>
      <c r="AD1055" s="240" t="s">
        <v>183</v>
      </c>
      <c r="AE1055" s="240" t="s">
        <v>183</v>
      </c>
      <c r="AF1055" s="241"/>
      <c r="AG1055" s="242"/>
      <c r="AH1055" s="243"/>
      <c r="AI1055" s="243"/>
      <c r="AJ1055" s="244" t="s">
        <v>198</v>
      </c>
      <c r="AK1055" s="244" t="s">
        <v>185</v>
      </c>
      <c r="AL1055" s="244" t="s">
        <v>185</v>
      </c>
      <c r="AM1055" s="239" t="s">
        <v>1534</v>
      </c>
      <c r="AN1055" s="20">
        <v>182</v>
      </c>
      <c r="AO1055" s="20">
        <v>0</v>
      </c>
      <c r="AP1055" s="20">
        <v>0</v>
      </c>
      <c r="AQ1055" s="20">
        <v>0</v>
      </c>
      <c r="AR1055" s="20">
        <v>0</v>
      </c>
      <c r="AS1055" s="20">
        <v>7</v>
      </c>
      <c r="AT1055" s="20">
        <v>10</v>
      </c>
      <c r="AU1055" s="300">
        <f t="shared" si="177"/>
        <v>199</v>
      </c>
      <c r="AV1055" s="20">
        <v>190</v>
      </c>
      <c r="AW1055" s="20">
        <v>0</v>
      </c>
      <c r="AX1055" s="20">
        <v>0</v>
      </c>
      <c r="AY1055" s="20">
        <v>0</v>
      </c>
      <c r="AZ1055" s="20">
        <v>0</v>
      </c>
      <c r="BA1055" s="20">
        <v>7</v>
      </c>
      <c r="BB1055" s="20">
        <v>10</v>
      </c>
      <c r="BC1055" s="300">
        <f t="shared" si="178"/>
        <v>207</v>
      </c>
      <c r="BD1055" s="42">
        <f t="shared" si="179"/>
        <v>8</v>
      </c>
      <c r="BE1055" s="42">
        <f t="shared" si="180"/>
        <v>0</v>
      </c>
      <c r="BF1055" s="42">
        <f t="shared" si="181"/>
        <v>0</v>
      </c>
      <c r="BG1055" s="42">
        <f t="shared" si="182"/>
        <v>0</v>
      </c>
      <c r="BH1055" s="42">
        <f t="shared" si="183"/>
        <v>0</v>
      </c>
      <c r="BI1055" s="42">
        <f t="shared" si="184"/>
        <v>0</v>
      </c>
      <c r="BJ1055" s="42">
        <f t="shared" si="185"/>
        <v>0</v>
      </c>
      <c r="BK1055" s="42">
        <f t="shared" si="186"/>
        <v>8</v>
      </c>
    </row>
    <row r="1056" spans="1:63" ht="27" customHeight="1">
      <c r="A1056" s="222">
        <f t="shared" si="187"/>
        <v>1054</v>
      </c>
      <c r="B1056" s="223"/>
      <c r="C1056" s="223">
        <v>3421</v>
      </c>
      <c r="D1056" s="225" t="s">
        <v>5913</v>
      </c>
      <c r="E1056" s="226" t="s">
        <v>5914</v>
      </c>
      <c r="F1056" s="227" t="s">
        <v>2060</v>
      </c>
      <c r="G1056" s="228" t="s">
        <v>2100</v>
      </c>
      <c r="H1056" s="229" t="s">
        <v>29</v>
      </c>
      <c r="I1056" s="230" t="s">
        <v>5915</v>
      </c>
      <c r="J1056" s="231" t="s">
        <v>173</v>
      </c>
      <c r="K1056" s="232">
        <v>32528</v>
      </c>
      <c r="L1056" s="233" t="s">
        <v>174</v>
      </c>
      <c r="M1056" s="234">
        <v>43771</v>
      </c>
      <c r="N1056" s="234"/>
      <c r="O1056" s="234" t="s">
        <v>3639</v>
      </c>
      <c r="P1056" s="222" t="s">
        <v>3532</v>
      </c>
      <c r="Q1056" s="222" t="s">
        <v>176</v>
      </c>
      <c r="R1056" s="222" t="s">
        <v>177</v>
      </c>
      <c r="S1056" s="222" t="s">
        <v>178</v>
      </c>
      <c r="T1056" s="235"/>
      <c r="U1056" s="235"/>
      <c r="V1056" s="236" t="s">
        <v>179</v>
      </c>
      <c r="W1056" s="236" t="s">
        <v>179</v>
      </c>
      <c r="X1056" s="236">
        <v>7</v>
      </c>
      <c r="Y1056" s="237" t="s">
        <v>5916</v>
      </c>
      <c r="Z1056" s="238"/>
      <c r="AA1056" s="238" t="s">
        <v>181</v>
      </c>
      <c r="AB1056" s="236"/>
      <c r="AC1056" s="239"/>
      <c r="AD1056" s="240"/>
      <c r="AE1056" s="240"/>
      <c r="AF1056" s="241"/>
      <c r="AG1056" s="242"/>
      <c r="AH1056" s="243"/>
      <c r="AI1056" s="243"/>
      <c r="AJ1056" s="244" t="s">
        <v>198</v>
      </c>
      <c r="AK1056" s="244" t="s">
        <v>185</v>
      </c>
      <c r="AL1056" s="244" t="s">
        <v>185</v>
      </c>
      <c r="AM1056" s="239" t="s">
        <v>1534</v>
      </c>
      <c r="AN1056" s="20">
        <v>182</v>
      </c>
      <c r="AO1056" s="20">
        <v>0</v>
      </c>
      <c r="AP1056" s="20">
        <v>0</v>
      </c>
      <c r="AQ1056" s="20">
        <v>0</v>
      </c>
      <c r="AR1056" s="20">
        <v>0</v>
      </c>
      <c r="AS1056" s="20">
        <v>7</v>
      </c>
      <c r="AT1056" s="20">
        <v>10</v>
      </c>
      <c r="AU1056" s="300">
        <f t="shared" si="177"/>
        <v>199</v>
      </c>
      <c r="AV1056" s="20">
        <v>190</v>
      </c>
      <c r="AW1056" s="20">
        <v>0</v>
      </c>
      <c r="AX1056" s="20">
        <v>0</v>
      </c>
      <c r="AY1056" s="20">
        <v>0</v>
      </c>
      <c r="AZ1056" s="20">
        <v>0</v>
      </c>
      <c r="BA1056" s="20">
        <v>7</v>
      </c>
      <c r="BB1056" s="20">
        <v>10</v>
      </c>
      <c r="BC1056" s="300">
        <f t="shared" si="178"/>
        <v>207</v>
      </c>
      <c r="BD1056" s="42">
        <f t="shared" si="179"/>
        <v>8</v>
      </c>
      <c r="BE1056" s="42">
        <f t="shared" si="180"/>
        <v>0</v>
      </c>
      <c r="BF1056" s="42">
        <f t="shared" si="181"/>
        <v>0</v>
      </c>
      <c r="BG1056" s="42">
        <f t="shared" si="182"/>
        <v>0</v>
      </c>
      <c r="BH1056" s="42">
        <f t="shared" si="183"/>
        <v>0</v>
      </c>
      <c r="BI1056" s="42">
        <f t="shared" si="184"/>
        <v>0</v>
      </c>
      <c r="BJ1056" s="42">
        <f t="shared" si="185"/>
        <v>0</v>
      </c>
      <c r="BK1056" s="42">
        <f t="shared" si="186"/>
        <v>8</v>
      </c>
    </row>
    <row r="1057" spans="1:63" ht="27" customHeight="1">
      <c r="A1057" s="222">
        <f t="shared" si="187"/>
        <v>1055</v>
      </c>
      <c r="B1057" s="223"/>
      <c r="C1057" s="223">
        <v>3456</v>
      </c>
      <c r="D1057" s="225" t="s">
        <v>5917</v>
      </c>
      <c r="E1057" s="226" t="s">
        <v>5918</v>
      </c>
      <c r="F1057" s="227" t="s">
        <v>2758</v>
      </c>
      <c r="G1057" s="228" t="s">
        <v>787</v>
      </c>
      <c r="H1057" s="229" t="s">
        <v>5919</v>
      </c>
      <c r="I1057" s="230" t="s">
        <v>5920</v>
      </c>
      <c r="J1057" s="231" t="s">
        <v>173</v>
      </c>
      <c r="K1057" s="232">
        <v>31869</v>
      </c>
      <c r="L1057" s="233" t="s">
        <v>174</v>
      </c>
      <c r="M1057" s="234">
        <v>43795</v>
      </c>
      <c r="N1057" s="234"/>
      <c r="O1057" s="234" t="s">
        <v>3639</v>
      </c>
      <c r="P1057" s="222" t="s">
        <v>5921</v>
      </c>
      <c r="Q1057" s="222" t="s">
        <v>176</v>
      </c>
      <c r="R1057" s="222" t="s">
        <v>177</v>
      </c>
      <c r="S1057" s="222" t="s">
        <v>223</v>
      </c>
      <c r="T1057" s="235"/>
      <c r="U1057" s="235"/>
      <c r="V1057" s="236" t="s">
        <v>179</v>
      </c>
      <c r="W1057" s="236" t="s">
        <v>179</v>
      </c>
      <c r="X1057" s="236">
        <v>5</v>
      </c>
      <c r="Y1057" s="237"/>
      <c r="Z1057" s="238"/>
      <c r="AA1057" s="238" t="s">
        <v>181</v>
      </c>
      <c r="AB1057" s="236"/>
      <c r="AC1057" s="239"/>
      <c r="AD1057" s="240"/>
      <c r="AE1057" s="240"/>
      <c r="AF1057" s="241"/>
      <c r="AG1057" s="242"/>
      <c r="AH1057" s="243"/>
      <c r="AI1057" s="243"/>
      <c r="AJ1057" s="244" t="s">
        <v>198</v>
      </c>
      <c r="AK1057" s="244" t="s">
        <v>185</v>
      </c>
      <c r="AL1057" s="244" t="s">
        <v>185</v>
      </c>
      <c r="AM1057" s="239" t="s">
        <v>1541</v>
      </c>
      <c r="AN1057" s="20">
        <v>177</v>
      </c>
      <c r="AO1057" s="20">
        <v>0</v>
      </c>
      <c r="AP1057" s="20">
        <v>0</v>
      </c>
      <c r="AQ1057" s="20">
        <v>0</v>
      </c>
      <c r="AR1057" s="20">
        <v>0</v>
      </c>
      <c r="AS1057" s="20">
        <v>7</v>
      </c>
      <c r="AT1057" s="20">
        <v>10</v>
      </c>
      <c r="AU1057" s="300">
        <f t="shared" si="177"/>
        <v>194</v>
      </c>
      <c r="AV1057" s="20">
        <v>185</v>
      </c>
      <c r="AW1057" s="20">
        <v>0</v>
      </c>
      <c r="AX1057" s="20">
        <v>0</v>
      </c>
      <c r="AY1057" s="20">
        <v>0</v>
      </c>
      <c r="AZ1057" s="20">
        <v>0</v>
      </c>
      <c r="BA1057" s="20">
        <v>7</v>
      </c>
      <c r="BB1057" s="20">
        <v>10</v>
      </c>
      <c r="BC1057" s="300">
        <f t="shared" si="178"/>
        <v>202</v>
      </c>
      <c r="BD1057" s="42">
        <f t="shared" si="179"/>
        <v>8</v>
      </c>
      <c r="BE1057" s="42">
        <f t="shared" si="180"/>
        <v>0</v>
      </c>
      <c r="BF1057" s="42">
        <f t="shared" si="181"/>
        <v>0</v>
      </c>
      <c r="BG1057" s="42">
        <f t="shared" si="182"/>
        <v>0</v>
      </c>
      <c r="BH1057" s="42">
        <f t="shared" si="183"/>
        <v>0</v>
      </c>
      <c r="BI1057" s="42">
        <f t="shared" si="184"/>
        <v>0</v>
      </c>
      <c r="BJ1057" s="42">
        <f t="shared" si="185"/>
        <v>0</v>
      </c>
      <c r="BK1057" s="42">
        <f t="shared" si="186"/>
        <v>8</v>
      </c>
    </row>
    <row r="1058" spans="1:63" ht="27" customHeight="1">
      <c r="A1058" s="222">
        <f t="shared" si="187"/>
        <v>1056</v>
      </c>
      <c r="B1058" s="294"/>
      <c r="C1058" s="223">
        <v>3172</v>
      </c>
      <c r="D1058" s="225" t="s">
        <v>5922</v>
      </c>
      <c r="E1058" s="226" t="s">
        <v>5923</v>
      </c>
      <c r="F1058" s="227" t="s">
        <v>5226</v>
      </c>
      <c r="G1058" s="228" t="s">
        <v>5924</v>
      </c>
      <c r="H1058" s="229" t="s">
        <v>5228</v>
      </c>
      <c r="I1058" s="230" t="s">
        <v>5925</v>
      </c>
      <c r="J1058" s="231" t="s">
        <v>173</v>
      </c>
      <c r="K1058" s="232">
        <v>36321</v>
      </c>
      <c r="L1058" s="233" t="s">
        <v>174</v>
      </c>
      <c r="M1058" s="234">
        <v>43740</v>
      </c>
      <c r="N1058" s="234"/>
      <c r="O1058" s="234" t="s">
        <v>3639</v>
      </c>
      <c r="P1058" s="222" t="s">
        <v>5712</v>
      </c>
      <c r="Q1058" s="222" t="s">
        <v>244</v>
      </c>
      <c r="R1058" s="222" t="s">
        <v>3955</v>
      </c>
      <c r="S1058" s="222" t="s">
        <v>5926</v>
      </c>
      <c r="T1058" s="235"/>
      <c r="U1058" s="292">
        <v>43788</v>
      </c>
      <c r="V1058" s="236" t="s">
        <v>179</v>
      </c>
      <c r="W1058" s="236" t="s">
        <v>179</v>
      </c>
      <c r="X1058" s="236">
        <v>6</v>
      </c>
      <c r="Y1058" s="237" t="s">
        <v>5927</v>
      </c>
      <c r="Z1058" s="238"/>
      <c r="AA1058" s="261" t="s">
        <v>181</v>
      </c>
      <c r="AB1058" s="236"/>
      <c r="AC1058" s="239"/>
      <c r="AD1058" s="240"/>
      <c r="AE1058" s="240"/>
      <c r="AF1058" s="241"/>
      <c r="AG1058" s="242"/>
      <c r="AH1058" s="243"/>
      <c r="AI1058" s="243"/>
      <c r="AJ1058" s="258" t="s">
        <v>198</v>
      </c>
      <c r="AK1058" s="258" t="s">
        <v>185</v>
      </c>
      <c r="AL1058" s="258" t="s">
        <v>185</v>
      </c>
      <c r="AM1058" s="244" t="s">
        <v>3854</v>
      </c>
      <c r="AN1058" s="20">
        <v>182</v>
      </c>
      <c r="AO1058" s="20">
        <v>0</v>
      </c>
      <c r="AP1058" s="20">
        <v>0</v>
      </c>
      <c r="AQ1058" s="20">
        <v>0</v>
      </c>
      <c r="AR1058" s="20">
        <v>0</v>
      </c>
      <c r="AS1058" s="20">
        <v>7</v>
      </c>
      <c r="AT1058" s="20">
        <v>10</v>
      </c>
      <c r="AU1058" s="300">
        <f t="shared" si="177"/>
        <v>199</v>
      </c>
      <c r="AV1058" s="20">
        <v>190</v>
      </c>
      <c r="AW1058" s="20">
        <v>0</v>
      </c>
      <c r="AX1058" s="20">
        <v>0</v>
      </c>
      <c r="AY1058" s="20">
        <v>0</v>
      </c>
      <c r="AZ1058" s="20">
        <v>0</v>
      </c>
      <c r="BA1058" s="20">
        <v>7</v>
      </c>
      <c r="BB1058" s="20">
        <v>10</v>
      </c>
      <c r="BC1058" s="300">
        <f t="shared" si="178"/>
        <v>207</v>
      </c>
      <c r="BD1058" s="42">
        <f t="shared" si="179"/>
        <v>8</v>
      </c>
      <c r="BE1058" s="42">
        <f t="shared" si="180"/>
        <v>0</v>
      </c>
      <c r="BF1058" s="42">
        <f t="shared" si="181"/>
        <v>0</v>
      </c>
      <c r="BG1058" s="42">
        <f t="shared" si="182"/>
        <v>0</v>
      </c>
      <c r="BH1058" s="42">
        <f t="shared" si="183"/>
        <v>0</v>
      </c>
      <c r="BI1058" s="42">
        <f t="shared" si="184"/>
        <v>0</v>
      </c>
      <c r="BJ1058" s="42">
        <f t="shared" si="185"/>
        <v>0</v>
      </c>
      <c r="BK1058" s="42">
        <f t="shared" si="186"/>
        <v>8</v>
      </c>
    </row>
    <row r="1059" spans="1:63" ht="27" customHeight="1">
      <c r="A1059" s="222">
        <f t="shared" si="187"/>
        <v>1057</v>
      </c>
      <c r="B1059" s="294"/>
      <c r="C1059" s="223">
        <v>3248</v>
      </c>
      <c r="D1059" s="225" t="s">
        <v>5928</v>
      </c>
      <c r="E1059" s="226" t="s">
        <v>5929</v>
      </c>
      <c r="F1059" s="227" t="s">
        <v>5930</v>
      </c>
      <c r="G1059" s="228" t="s">
        <v>5931</v>
      </c>
      <c r="H1059" s="229" t="s">
        <v>4652</v>
      </c>
      <c r="I1059" s="230" t="s">
        <v>5932</v>
      </c>
      <c r="J1059" s="231" t="s">
        <v>204</v>
      </c>
      <c r="K1059" s="232">
        <v>34792</v>
      </c>
      <c r="L1059" s="233" t="s">
        <v>174</v>
      </c>
      <c r="M1059" s="234">
        <v>43746</v>
      </c>
      <c r="N1059" s="234"/>
      <c r="O1059" s="234" t="s">
        <v>3639</v>
      </c>
      <c r="P1059" s="222" t="s">
        <v>5712</v>
      </c>
      <c r="Q1059" s="222" t="s">
        <v>244</v>
      </c>
      <c r="R1059" s="222" t="s">
        <v>177</v>
      </c>
      <c r="S1059" s="222" t="s">
        <v>223</v>
      </c>
      <c r="T1059" s="235"/>
      <c r="U1059" s="291"/>
      <c r="V1059" s="236" t="s">
        <v>179</v>
      </c>
      <c r="W1059" s="236">
        <v>2356</v>
      </c>
      <c r="X1059" s="236">
        <v>0</v>
      </c>
      <c r="Y1059" s="237" t="s">
        <v>5933</v>
      </c>
      <c r="Z1059" s="261" t="s">
        <v>181</v>
      </c>
      <c r="AA1059" s="238"/>
      <c r="AB1059" s="236"/>
      <c r="AC1059" s="239"/>
      <c r="AD1059" s="240"/>
      <c r="AE1059" s="240"/>
      <c r="AF1059" s="241"/>
      <c r="AG1059" s="242"/>
      <c r="AH1059" s="243"/>
      <c r="AI1059" s="243"/>
      <c r="AJ1059" s="258" t="s">
        <v>198</v>
      </c>
      <c r="AK1059" s="258" t="s">
        <v>185</v>
      </c>
      <c r="AL1059" s="258" t="s">
        <v>185</v>
      </c>
      <c r="AM1059" s="244" t="s">
        <v>3854</v>
      </c>
      <c r="AN1059" s="20">
        <v>182</v>
      </c>
      <c r="AO1059" s="20">
        <v>0</v>
      </c>
      <c r="AP1059" s="20">
        <v>0</v>
      </c>
      <c r="AQ1059" s="20">
        <v>0</v>
      </c>
      <c r="AR1059" s="20">
        <v>0</v>
      </c>
      <c r="AS1059" s="20">
        <v>7</v>
      </c>
      <c r="AT1059" s="20">
        <v>10</v>
      </c>
      <c r="AU1059" s="300">
        <f t="shared" si="177"/>
        <v>199</v>
      </c>
      <c r="AV1059" s="20">
        <v>190</v>
      </c>
      <c r="AW1059" s="20">
        <v>0</v>
      </c>
      <c r="AX1059" s="20">
        <v>0</v>
      </c>
      <c r="AY1059" s="20">
        <v>0</v>
      </c>
      <c r="AZ1059" s="20">
        <v>0</v>
      </c>
      <c r="BA1059" s="20">
        <v>7</v>
      </c>
      <c r="BB1059" s="20">
        <v>10</v>
      </c>
      <c r="BC1059" s="300">
        <f t="shared" si="178"/>
        <v>207</v>
      </c>
      <c r="BD1059" s="42">
        <f t="shared" si="179"/>
        <v>8</v>
      </c>
      <c r="BE1059" s="42">
        <f t="shared" si="180"/>
        <v>0</v>
      </c>
      <c r="BF1059" s="42">
        <f t="shared" si="181"/>
        <v>0</v>
      </c>
      <c r="BG1059" s="42">
        <f t="shared" si="182"/>
        <v>0</v>
      </c>
      <c r="BH1059" s="42">
        <f t="shared" si="183"/>
        <v>0</v>
      </c>
      <c r="BI1059" s="42">
        <f t="shared" si="184"/>
        <v>0</v>
      </c>
      <c r="BJ1059" s="42">
        <f t="shared" si="185"/>
        <v>0</v>
      </c>
      <c r="BK1059" s="42">
        <f t="shared" si="186"/>
        <v>8</v>
      </c>
    </row>
    <row r="1060" spans="1:63" ht="27" customHeight="1">
      <c r="A1060" s="222">
        <f t="shared" si="187"/>
        <v>1058</v>
      </c>
      <c r="B1060" s="223"/>
      <c r="C1060" s="223">
        <v>3620</v>
      </c>
      <c r="D1060" s="225" t="s">
        <v>5934</v>
      </c>
      <c r="E1060" s="226" t="s">
        <v>291</v>
      </c>
      <c r="F1060" s="227" t="s">
        <v>2422</v>
      </c>
      <c r="G1060" s="228" t="s">
        <v>2477</v>
      </c>
      <c r="H1060" s="229" t="s">
        <v>4513</v>
      </c>
      <c r="I1060" s="230" t="s">
        <v>5935</v>
      </c>
      <c r="J1060" s="231" t="s">
        <v>204</v>
      </c>
      <c r="K1060" s="232">
        <v>34223</v>
      </c>
      <c r="L1060" s="233" t="s">
        <v>174</v>
      </c>
      <c r="M1060" s="234">
        <v>43750</v>
      </c>
      <c r="N1060" s="234"/>
      <c r="O1060" s="234" t="s">
        <v>3639</v>
      </c>
      <c r="P1060" s="222" t="s">
        <v>5712</v>
      </c>
      <c r="Q1060" s="222" t="s">
        <v>244</v>
      </c>
      <c r="R1060" s="222" t="s">
        <v>177</v>
      </c>
      <c r="S1060" s="222" t="s">
        <v>2500</v>
      </c>
      <c r="T1060" s="235"/>
      <c r="U1060" s="291"/>
      <c r="V1060" s="236" t="s">
        <v>179</v>
      </c>
      <c r="W1060" s="236" t="s">
        <v>179</v>
      </c>
      <c r="X1060" s="236">
        <v>0</v>
      </c>
      <c r="Y1060" s="237" t="s">
        <v>5936</v>
      </c>
      <c r="Z1060" s="238"/>
      <c r="AA1060" s="238"/>
      <c r="AB1060" s="236"/>
      <c r="AC1060" s="239"/>
      <c r="AD1060" s="240"/>
      <c r="AE1060" s="240"/>
      <c r="AF1060" s="241"/>
      <c r="AG1060" s="242"/>
      <c r="AH1060" s="243"/>
      <c r="AI1060" s="243"/>
      <c r="AJ1060" s="244" t="s">
        <v>198</v>
      </c>
      <c r="AK1060" s="258" t="s">
        <v>185</v>
      </c>
      <c r="AL1060" s="258" t="s">
        <v>185</v>
      </c>
      <c r="AM1060" s="244" t="s">
        <v>3854</v>
      </c>
      <c r="AN1060" s="20">
        <v>182</v>
      </c>
      <c r="AO1060" s="20">
        <v>0</v>
      </c>
      <c r="AP1060" s="20">
        <v>20</v>
      </c>
      <c r="AQ1060" s="20">
        <v>10</v>
      </c>
      <c r="AR1060" s="20">
        <v>0</v>
      </c>
      <c r="AS1060" s="20">
        <v>7</v>
      </c>
      <c r="AT1060" s="20">
        <v>10</v>
      </c>
      <c r="AU1060" s="300">
        <f t="shared" si="177"/>
        <v>229</v>
      </c>
      <c r="AV1060" s="20">
        <v>190</v>
      </c>
      <c r="AW1060" s="20">
        <v>0</v>
      </c>
      <c r="AX1060" s="20">
        <v>20</v>
      </c>
      <c r="AY1060" s="20">
        <v>10</v>
      </c>
      <c r="AZ1060" s="20">
        <v>0</v>
      </c>
      <c r="BA1060" s="20">
        <v>7</v>
      </c>
      <c r="BB1060" s="20">
        <v>10</v>
      </c>
      <c r="BC1060" s="300">
        <f t="shared" si="178"/>
        <v>237</v>
      </c>
      <c r="BD1060" s="42">
        <f t="shared" si="179"/>
        <v>8</v>
      </c>
      <c r="BE1060" s="42">
        <f t="shared" si="180"/>
        <v>0</v>
      </c>
      <c r="BF1060" s="42">
        <f t="shared" si="181"/>
        <v>0</v>
      </c>
      <c r="BG1060" s="42">
        <f t="shared" si="182"/>
        <v>0</v>
      </c>
      <c r="BH1060" s="42">
        <f t="shared" si="183"/>
        <v>0</v>
      </c>
      <c r="BI1060" s="42">
        <f t="shared" si="184"/>
        <v>0</v>
      </c>
      <c r="BJ1060" s="42">
        <f t="shared" si="185"/>
        <v>0</v>
      </c>
      <c r="BK1060" s="42">
        <f t="shared" si="186"/>
        <v>8</v>
      </c>
    </row>
    <row r="1061" spans="1:63" ht="27" customHeight="1">
      <c r="A1061" s="222">
        <f t="shared" si="187"/>
        <v>1059</v>
      </c>
      <c r="B1061" s="223"/>
      <c r="C1061" s="223">
        <v>3627</v>
      </c>
      <c r="D1061" s="225" t="s">
        <v>5937</v>
      </c>
      <c r="E1061" s="226" t="s">
        <v>5938</v>
      </c>
      <c r="F1061" s="227" t="s">
        <v>330</v>
      </c>
      <c r="G1061" s="228" t="s">
        <v>316</v>
      </c>
      <c r="H1061" s="229" t="s">
        <v>1215</v>
      </c>
      <c r="I1061" s="230" t="s">
        <v>1159</v>
      </c>
      <c r="J1061" s="231" t="s">
        <v>173</v>
      </c>
      <c r="K1061" s="232">
        <v>36012</v>
      </c>
      <c r="L1061" s="233" t="s">
        <v>174</v>
      </c>
      <c r="M1061" s="234">
        <v>43750</v>
      </c>
      <c r="N1061" s="234"/>
      <c r="O1061" s="234" t="s">
        <v>3639</v>
      </c>
      <c r="P1061" s="222" t="s">
        <v>5712</v>
      </c>
      <c r="Q1061" s="222" t="s">
        <v>244</v>
      </c>
      <c r="R1061" s="222" t="s">
        <v>177</v>
      </c>
      <c r="S1061" s="222" t="s">
        <v>223</v>
      </c>
      <c r="T1061" s="235"/>
      <c r="U1061" s="291"/>
      <c r="V1061" s="236" t="s">
        <v>179</v>
      </c>
      <c r="W1061" s="236" t="s">
        <v>179</v>
      </c>
      <c r="X1061" s="236">
        <v>10</v>
      </c>
      <c r="Y1061" s="237" t="s">
        <v>5939</v>
      </c>
      <c r="Z1061" s="261" t="s">
        <v>181</v>
      </c>
      <c r="AA1061" s="238"/>
      <c r="AB1061" s="236"/>
      <c r="AC1061" s="239"/>
      <c r="AD1061" s="240"/>
      <c r="AE1061" s="240"/>
      <c r="AF1061" s="241"/>
      <c r="AG1061" s="242"/>
      <c r="AH1061" s="243"/>
      <c r="AI1061" s="243"/>
      <c r="AJ1061" s="244" t="s">
        <v>198</v>
      </c>
      <c r="AK1061" s="258" t="s">
        <v>185</v>
      </c>
      <c r="AL1061" s="258" t="s">
        <v>185</v>
      </c>
      <c r="AM1061" s="244" t="s">
        <v>3854</v>
      </c>
      <c r="AN1061" s="20">
        <v>182</v>
      </c>
      <c r="AO1061" s="20">
        <v>0</v>
      </c>
      <c r="AP1061" s="20">
        <v>20</v>
      </c>
      <c r="AQ1061" s="20">
        <v>0</v>
      </c>
      <c r="AR1061" s="20">
        <v>0</v>
      </c>
      <c r="AS1061" s="20">
        <v>7</v>
      </c>
      <c r="AT1061" s="20">
        <v>10</v>
      </c>
      <c r="AU1061" s="300">
        <f t="shared" si="177"/>
        <v>219</v>
      </c>
      <c r="AV1061" s="20">
        <v>190</v>
      </c>
      <c r="AW1061" s="20">
        <v>0</v>
      </c>
      <c r="AX1061" s="20">
        <v>20</v>
      </c>
      <c r="AY1061" s="20">
        <v>0</v>
      </c>
      <c r="AZ1061" s="20">
        <v>0</v>
      </c>
      <c r="BA1061" s="20">
        <v>7</v>
      </c>
      <c r="BB1061" s="20">
        <v>10</v>
      </c>
      <c r="BC1061" s="300">
        <f t="shared" si="178"/>
        <v>227</v>
      </c>
      <c r="BD1061" s="42">
        <f t="shared" si="179"/>
        <v>8</v>
      </c>
      <c r="BE1061" s="42">
        <f t="shared" si="180"/>
        <v>0</v>
      </c>
      <c r="BF1061" s="42">
        <f t="shared" si="181"/>
        <v>0</v>
      </c>
      <c r="BG1061" s="42">
        <f t="shared" si="182"/>
        <v>0</v>
      </c>
      <c r="BH1061" s="42">
        <f t="shared" si="183"/>
        <v>0</v>
      </c>
      <c r="BI1061" s="42">
        <f t="shared" si="184"/>
        <v>0</v>
      </c>
      <c r="BJ1061" s="42">
        <f t="shared" si="185"/>
        <v>0</v>
      </c>
      <c r="BK1061" s="42">
        <f t="shared" si="186"/>
        <v>8</v>
      </c>
    </row>
    <row r="1062" spans="1:63" ht="27" customHeight="1">
      <c r="A1062" s="222">
        <f t="shared" si="187"/>
        <v>1060</v>
      </c>
      <c r="B1062" s="223"/>
      <c r="C1062" s="223">
        <v>3647</v>
      </c>
      <c r="D1062" s="225" t="s">
        <v>5940</v>
      </c>
      <c r="E1062" s="226" t="s">
        <v>5941</v>
      </c>
      <c r="F1062" s="227" t="s">
        <v>891</v>
      </c>
      <c r="G1062" s="228" t="s">
        <v>5003</v>
      </c>
      <c r="H1062" s="229" t="s">
        <v>893</v>
      </c>
      <c r="I1062" s="230" t="s">
        <v>5004</v>
      </c>
      <c r="J1062" s="231" t="s">
        <v>204</v>
      </c>
      <c r="K1062" s="232">
        <v>32782</v>
      </c>
      <c r="L1062" s="233" t="s">
        <v>174</v>
      </c>
      <c r="M1062" s="234">
        <v>43754</v>
      </c>
      <c r="N1062" s="234"/>
      <c r="O1062" s="234" t="s">
        <v>3639</v>
      </c>
      <c r="P1062" s="222" t="s">
        <v>5712</v>
      </c>
      <c r="Q1062" s="222" t="s">
        <v>244</v>
      </c>
      <c r="R1062" s="222" t="s">
        <v>177</v>
      </c>
      <c r="S1062" s="222" t="s">
        <v>326</v>
      </c>
      <c r="T1062" s="235"/>
      <c r="U1062" s="291"/>
      <c r="V1062" s="236" t="s">
        <v>179</v>
      </c>
      <c r="W1062" s="236" t="s">
        <v>179</v>
      </c>
      <c r="X1062" s="236">
        <v>5</v>
      </c>
      <c r="Y1062" s="237" t="s">
        <v>5942</v>
      </c>
      <c r="Z1062" s="238"/>
      <c r="AA1062" s="238"/>
      <c r="AB1062" s="236"/>
      <c r="AC1062" s="239"/>
      <c r="AD1062" s="240"/>
      <c r="AE1062" s="240"/>
      <c r="AF1062" s="241"/>
      <c r="AG1062" s="242"/>
      <c r="AH1062" s="243"/>
      <c r="AI1062" s="243"/>
      <c r="AJ1062" s="258" t="s">
        <v>198</v>
      </c>
      <c r="AK1062" s="258" t="s">
        <v>185</v>
      </c>
      <c r="AL1062" s="258" t="s">
        <v>185</v>
      </c>
      <c r="AM1062" s="244" t="s">
        <v>3911</v>
      </c>
      <c r="AN1062" s="20">
        <v>177</v>
      </c>
      <c r="AO1062" s="20">
        <v>0</v>
      </c>
      <c r="AP1062" s="20">
        <v>20</v>
      </c>
      <c r="AQ1062" s="20">
        <v>0</v>
      </c>
      <c r="AR1062" s="20">
        <v>0</v>
      </c>
      <c r="AS1062" s="20">
        <v>7</v>
      </c>
      <c r="AT1062" s="20">
        <v>10</v>
      </c>
      <c r="AU1062" s="300">
        <f t="shared" si="177"/>
        <v>214</v>
      </c>
      <c r="AV1062" s="20">
        <v>185</v>
      </c>
      <c r="AW1062" s="20">
        <v>0</v>
      </c>
      <c r="AX1062" s="20">
        <v>20</v>
      </c>
      <c r="AY1062" s="20">
        <v>0</v>
      </c>
      <c r="AZ1062" s="20">
        <v>0</v>
      </c>
      <c r="BA1062" s="20">
        <v>7</v>
      </c>
      <c r="BB1062" s="20">
        <v>10</v>
      </c>
      <c r="BC1062" s="300">
        <f t="shared" si="178"/>
        <v>222</v>
      </c>
      <c r="BD1062" s="42">
        <f t="shared" si="179"/>
        <v>8</v>
      </c>
      <c r="BE1062" s="42">
        <f t="shared" si="180"/>
        <v>0</v>
      </c>
      <c r="BF1062" s="42">
        <f t="shared" si="181"/>
        <v>0</v>
      </c>
      <c r="BG1062" s="42">
        <f t="shared" si="182"/>
        <v>0</v>
      </c>
      <c r="BH1062" s="42">
        <f t="shared" si="183"/>
        <v>0</v>
      </c>
      <c r="BI1062" s="42">
        <f t="shared" si="184"/>
        <v>0</v>
      </c>
      <c r="BJ1062" s="42">
        <f t="shared" si="185"/>
        <v>0</v>
      </c>
      <c r="BK1062" s="42">
        <f t="shared" si="186"/>
        <v>8</v>
      </c>
    </row>
    <row r="1063" spans="1:63" ht="27" customHeight="1">
      <c r="A1063" s="222">
        <f t="shared" si="187"/>
        <v>1061</v>
      </c>
      <c r="B1063" s="223"/>
      <c r="C1063" s="223">
        <v>3292</v>
      </c>
      <c r="D1063" s="225" t="s">
        <v>5943</v>
      </c>
      <c r="E1063" s="226" t="s">
        <v>5944</v>
      </c>
      <c r="F1063" s="227" t="s">
        <v>1809</v>
      </c>
      <c r="G1063" s="228" t="s">
        <v>1158</v>
      </c>
      <c r="H1063" s="229" t="s">
        <v>1811</v>
      </c>
      <c r="I1063" s="230" t="s">
        <v>1160</v>
      </c>
      <c r="J1063" s="231" t="s">
        <v>173</v>
      </c>
      <c r="K1063" s="232">
        <v>32066</v>
      </c>
      <c r="L1063" s="233" t="s">
        <v>174</v>
      </c>
      <c r="M1063" s="234">
        <v>43746</v>
      </c>
      <c r="N1063" s="234"/>
      <c r="O1063" s="234" t="s">
        <v>3639</v>
      </c>
      <c r="P1063" s="222" t="s">
        <v>5712</v>
      </c>
      <c r="Q1063" s="222" t="s">
        <v>244</v>
      </c>
      <c r="R1063" s="222" t="s">
        <v>177</v>
      </c>
      <c r="S1063" s="222" t="s">
        <v>5945</v>
      </c>
      <c r="T1063" s="235"/>
      <c r="U1063" s="291"/>
      <c r="V1063" s="236" t="s">
        <v>179</v>
      </c>
      <c r="W1063" s="236" t="s">
        <v>179</v>
      </c>
      <c r="X1063" s="236">
        <v>4</v>
      </c>
      <c r="Y1063" s="237" t="s">
        <v>5946</v>
      </c>
      <c r="Z1063" s="261"/>
      <c r="AA1063" s="261" t="s">
        <v>181</v>
      </c>
      <c r="AB1063" s="236"/>
      <c r="AC1063" s="239"/>
      <c r="AD1063" s="240" t="s">
        <v>183</v>
      </c>
      <c r="AE1063" s="240" t="s">
        <v>183</v>
      </c>
      <c r="AF1063" s="240" t="s">
        <v>183</v>
      </c>
      <c r="AG1063" s="242"/>
      <c r="AH1063" s="243"/>
      <c r="AI1063" s="243"/>
      <c r="AJ1063" s="258" t="s">
        <v>198</v>
      </c>
      <c r="AK1063" s="258" t="s">
        <v>185</v>
      </c>
      <c r="AL1063" s="258" t="s">
        <v>185</v>
      </c>
      <c r="AM1063" s="244" t="s">
        <v>3854</v>
      </c>
      <c r="AN1063" s="20">
        <v>182</v>
      </c>
      <c r="AO1063" s="20">
        <v>0</v>
      </c>
      <c r="AP1063" s="20">
        <v>0</v>
      </c>
      <c r="AQ1063" s="20">
        <v>0</v>
      </c>
      <c r="AR1063" s="20">
        <v>0</v>
      </c>
      <c r="AS1063" s="20">
        <v>7</v>
      </c>
      <c r="AT1063" s="20">
        <v>10</v>
      </c>
      <c r="AU1063" s="300">
        <f t="shared" si="177"/>
        <v>199</v>
      </c>
      <c r="AV1063" s="20">
        <v>190</v>
      </c>
      <c r="AW1063" s="20">
        <v>0</v>
      </c>
      <c r="AX1063" s="20">
        <v>0</v>
      </c>
      <c r="AY1063" s="20">
        <v>0</v>
      </c>
      <c r="AZ1063" s="20">
        <v>0</v>
      </c>
      <c r="BA1063" s="20">
        <v>7</v>
      </c>
      <c r="BB1063" s="20">
        <v>10</v>
      </c>
      <c r="BC1063" s="300">
        <f t="shared" si="178"/>
        <v>207</v>
      </c>
      <c r="BD1063" s="42">
        <f t="shared" si="179"/>
        <v>8</v>
      </c>
      <c r="BE1063" s="42">
        <f t="shared" si="180"/>
        <v>0</v>
      </c>
      <c r="BF1063" s="42">
        <f t="shared" si="181"/>
        <v>0</v>
      </c>
      <c r="BG1063" s="42">
        <f t="shared" si="182"/>
        <v>0</v>
      </c>
      <c r="BH1063" s="42">
        <f t="shared" si="183"/>
        <v>0</v>
      </c>
      <c r="BI1063" s="42">
        <f t="shared" si="184"/>
        <v>0</v>
      </c>
      <c r="BJ1063" s="42">
        <f t="shared" si="185"/>
        <v>0</v>
      </c>
      <c r="BK1063" s="42">
        <f t="shared" si="186"/>
        <v>8</v>
      </c>
    </row>
    <row r="1064" spans="1:63" ht="27" customHeight="1">
      <c r="A1064" s="222">
        <f t="shared" si="187"/>
        <v>1062</v>
      </c>
      <c r="B1064" s="223"/>
      <c r="C1064" s="223">
        <v>3499</v>
      </c>
      <c r="D1064" s="225">
        <v>0</v>
      </c>
      <c r="E1064" s="226" t="s">
        <v>291</v>
      </c>
      <c r="F1064" s="227" t="s">
        <v>718</v>
      </c>
      <c r="G1064" s="228" t="s">
        <v>5947</v>
      </c>
      <c r="H1064" s="229">
        <v>0</v>
      </c>
      <c r="I1064" s="230">
        <v>0</v>
      </c>
      <c r="J1064" s="231" t="s">
        <v>173</v>
      </c>
      <c r="K1064" s="232">
        <v>35904</v>
      </c>
      <c r="L1064" s="233" t="s">
        <v>174</v>
      </c>
      <c r="M1064" s="234">
        <v>43746</v>
      </c>
      <c r="N1064" s="234"/>
      <c r="O1064" s="234" t="s">
        <v>3639</v>
      </c>
      <c r="P1064" s="222" t="s">
        <v>5712</v>
      </c>
      <c r="Q1064" s="222" t="s">
        <v>244</v>
      </c>
      <c r="R1064" s="222" t="s">
        <v>177</v>
      </c>
      <c r="S1064" s="222" t="s">
        <v>1201</v>
      </c>
      <c r="T1064" s="235"/>
      <c r="U1064" s="291"/>
      <c r="V1064" s="236" t="s">
        <v>179</v>
      </c>
      <c r="W1064" s="236" t="s">
        <v>179</v>
      </c>
      <c r="X1064" s="236">
        <v>0</v>
      </c>
      <c r="Y1064" s="237" t="s">
        <v>5948</v>
      </c>
      <c r="Z1064" s="238"/>
      <c r="AA1064" s="261" t="s">
        <v>181</v>
      </c>
      <c r="AB1064" s="236"/>
      <c r="AC1064" s="239"/>
      <c r="AD1064" s="240"/>
      <c r="AE1064" s="240"/>
      <c r="AF1064" s="241"/>
      <c r="AG1064" s="242"/>
      <c r="AH1064" s="243"/>
      <c r="AI1064" s="243"/>
      <c r="AJ1064" s="244" t="s">
        <v>185</v>
      </c>
      <c r="AK1064" s="258" t="s">
        <v>185</v>
      </c>
      <c r="AL1064" s="258" t="s">
        <v>185</v>
      </c>
      <c r="AM1064" s="239" t="s">
        <v>3962</v>
      </c>
      <c r="AN1064" s="20">
        <v>182</v>
      </c>
      <c r="AO1064" s="20">
        <v>0</v>
      </c>
      <c r="AP1064" s="20">
        <v>0</v>
      </c>
      <c r="AQ1064" s="20">
        <v>0</v>
      </c>
      <c r="AR1064" s="20">
        <v>0</v>
      </c>
      <c r="AS1064" s="20">
        <v>7</v>
      </c>
      <c r="AT1064" s="20">
        <v>10</v>
      </c>
      <c r="AU1064" s="300">
        <f t="shared" si="177"/>
        <v>199</v>
      </c>
      <c r="AV1064" s="20">
        <v>190</v>
      </c>
      <c r="AW1064" s="20">
        <v>0</v>
      </c>
      <c r="AX1064" s="20">
        <v>0</v>
      </c>
      <c r="AY1064" s="20">
        <v>0</v>
      </c>
      <c r="AZ1064" s="20">
        <v>0</v>
      </c>
      <c r="BA1064" s="20">
        <v>7</v>
      </c>
      <c r="BB1064" s="20">
        <v>10</v>
      </c>
      <c r="BC1064" s="300">
        <f t="shared" si="178"/>
        <v>207</v>
      </c>
      <c r="BD1064" s="42">
        <f t="shared" si="179"/>
        <v>8</v>
      </c>
      <c r="BE1064" s="42">
        <f t="shared" si="180"/>
        <v>0</v>
      </c>
      <c r="BF1064" s="42">
        <f t="shared" si="181"/>
        <v>0</v>
      </c>
      <c r="BG1064" s="42">
        <f t="shared" si="182"/>
        <v>0</v>
      </c>
      <c r="BH1064" s="42">
        <f t="shared" si="183"/>
        <v>0</v>
      </c>
      <c r="BI1064" s="42">
        <f t="shared" si="184"/>
        <v>0</v>
      </c>
      <c r="BJ1064" s="42">
        <f t="shared" si="185"/>
        <v>0</v>
      </c>
      <c r="BK1064" s="42">
        <f t="shared" si="186"/>
        <v>8</v>
      </c>
    </row>
    <row r="1065" spans="1:63" ht="27" customHeight="1">
      <c r="A1065" s="222">
        <f t="shared" si="187"/>
        <v>1063</v>
      </c>
      <c r="B1065" s="223"/>
      <c r="C1065" s="223">
        <v>3551</v>
      </c>
      <c r="D1065" s="225" t="s">
        <v>5949</v>
      </c>
      <c r="E1065" s="226" t="s">
        <v>5950</v>
      </c>
      <c r="F1065" s="227" t="s">
        <v>5951</v>
      </c>
      <c r="G1065" s="228" t="s">
        <v>1823</v>
      </c>
      <c r="H1065" s="229" t="s">
        <v>5952</v>
      </c>
      <c r="I1065" s="230" t="s">
        <v>1824</v>
      </c>
      <c r="J1065" s="231" t="s">
        <v>204</v>
      </c>
      <c r="K1065" s="232">
        <v>35449</v>
      </c>
      <c r="L1065" s="233" t="s">
        <v>174</v>
      </c>
      <c r="M1065" s="234">
        <v>43747</v>
      </c>
      <c r="N1065" s="234"/>
      <c r="O1065" s="234" t="s">
        <v>3639</v>
      </c>
      <c r="P1065" s="222" t="s">
        <v>5712</v>
      </c>
      <c r="Q1065" s="222" t="s">
        <v>244</v>
      </c>
      <c r="R1065" s="222" t="s">
        <v>177</v>
      </c>
      <c r="S1065" s="222" t="s">
        <v>178</v>
      </c>
      <c r="T1065" s="235"/>
      <c r="U1065" s="291"/>
      <c r="V1065" s="236" t="s">
        <v>179</v>
      </c>
      <c r="W1065" s="236" t="s">
        <v>179</v>
      </c>
      <c r="X1065" s="236">
        <v>2</v>
      </c>
      <c r="Y1065" s="237" t="s">
        <v>291</v>
      </c>
      <c r="Z1065" s="261" t="s">
        <v>181</v>
      </c>
      <c r="AA1065" s="238"/>
      <c r="AB1065" s="236"/>
      <c r="AC1065" s="239"/>
      <c r="AD1065" s="240"/>
      <c r="AE1065" s="240"/>
      <c r="AF1065" s="241"/>
      <c r="AG1065" s="242"/>
      <c r="AH1065" s="243"/>
      <c r="AI1065" s="243"/>
      <c r="AJ1065" s="244" t="s">
        <v>185</v>
      </c>
      <c r="AK1065" s="258" t="s">
        <v>185</v>
      </c>
      <c r="AL1065" s="258" t="s">
        <v>185</v>
      </c>
      <c r="AM1065" s="239" t="s">
        <v>3962</v>
      </c>
      <c r="AN1065" s="20">
        <v>182</v>
      </c>
      <c r="AO1065" s="20">
        <v>0</v>
      </c>
      <c r="AP1065" s="20">
        <v>20</v>
      </c>
      <c r="AQ1065" s="20">
        <v>0</v>
      </c>
      <c r="AR1065" s="20">
        <v>0</v>
      </c>
      <c r="AS1065" s="20">
        <v>7</v>
      </c>
      <c r="AT1065" s="20">
        <v>10</v>
      </c>
      <c r="AU1065" s="300">
        <f t="shared" si="177"/>
        <v>219</v>
      </c>
      <c r="AV1065" s="20">
        <v>190</v>
      </c>
      <c r="AW1065" s="20">
        <v>0</v>
      </c>
      <c r="AX1065" s="20">
        <v>20</v>
      </c>
      <c r="AY1065" s="20">
        <v>0</v>
      </c>
      <c r="AZ1065" s="20">
        <v>0</v>
      </c>
      <c r="BA1065" s="20">
        <v>7</v>
      </c>
      <c r="BB1065" s="20">
        <v>10</v>
      </c>
      <c r="BC1065" s="300">
        <f t="shared" si="178"/>
        <v>227</v>
      </c>
      <c r="BD1065" s="42">
        <f t="shared" si="179"/>
        <v>8</v>
      </c>
      <c r="BE1065" s="42">
        <f t="shared" si="180"/>
        <v>0</v>
      </c>
      <c r="BF1065" s="42">
        <f t="shared" si="181"/>
        <v>0</v>
      </c>
      <c r="BG1065" s="42">
        <f t="shared" si="182"/>
        <v>0</v>
      </c>
      <c r="BH1065" s="42">
        <f t="shared" si="183"/>
        <v>0</v>
      </c>
      <c r="BI1065" s="42">
        <f t="shared" si="184"/>
        <v>0</v>
      </c>
      <c r="BJ1065" s="42">
        <f t="shared" si="185"/>
        <v>0</v>
      </c>
      <c r="BK1065" s="42">
        <f t="shared" si="186"/>
        <v>8</v>
      </c>
    </row>
    <row r="1066" spans="1:63" ht="27" customHeight="1">
      <c r="A1066" s="222">
        <f t="shared" si="187"/>
        <v>1064</v>
      </c>
      <c r="B1066" s="223"/>
      <c r="C1066" s="223">
        <v>3253</v>
      </c>
      <c r="D1066" s="225" t="s">
        <v>5953</v>
      </c>
      <c r="E1066" s="226" t="s">
        <v>291</v>
      </c>
      <c r="F1066" s="227" t="s">
        <v>5954</v>
      </c>
      <c r="G1066" s="228" t="s">
        <v>5955</v>
      </c>
      <c r="H1066" s="229" t="s">
        <v>5956</v>
      </c>
      <c r="I1066" s="230" t="s">
        <v>5957</v>
      </c>
      <c r="J1066" s="231" t="s">
        <v>204</v>
      </c>
      <c r="K1066" s="232">
        <v>33060</v>
      </c>
      <c r="L1066" s="233" t="s">
        <v>174</v>
      </c>
      <c r="M1066" s="234">
        <v>43746</v>
      </c>
      <c r="N1066" s="234"/>
      <c r="O1066" s="234" t="s">
        <v>3639</v>
      </c>
      <c r="P1066" s="222" t="s">
        <v>5712</v>
      </c>
      <c r="Q1066" s="222" t="s">
        <v>244</v>
      </c>
      <c r="R1066" s="222" t="s">
        <v>177</v>
      </c>
      <c r="S1066" s="222" t="s">
        <v>251</v>
      </c>
      <c r="T1066" s="235"/>
      <c r="U1066" s="291"/>
      <c r="V1066" s="236" t="s">
        <v>179</v>
      </c>
      <c r="W1066" s="236">
        <v>5507</v>
      </c>
      <c r="X1066" s="236">
        <v>12</v>
      </c>
      <c r="Y1066" s="237" t="s">
        <v>5958</v>
      </c>
      <c r="Z1066" s="238"/>
      <c r="AA1066" s="238"/>
      <c r="AB1066" s="236"/>
      <c r="AC1066" s="239"/>
      <c r="AD1066" s="240"/>
      <c r="AE1066" s="240"/>
      <c r="AF1066" s="241"/>
      <c r="AG1066" s="242"/>
      <c r="AH1066" s="243"/>
      <c r="AI1066" s="243"/>
      <c r="AJ1066" s="244" t="s">
        <v>198</v>
      </c>
      <c r="AK1066" s="258" t="s">
        <v>185</v>
      </c>
      <c r="AL1066" s="258" t="s">
        <v>185</v>
      </c>
      <c r="AM1066" s="244" t="s">
        <v>383</v>
      </c>
      <c r="AN1066" s="20">
        <v>182</v>
      </c>
      <c r="AO1066" s="20">
        <v>0</v>
      </c>
      <c r="AP1066" s="20">
        <v>20</v>
      </c>
      <c r="AQ1066" s="20">
        <v>0</v>
      </c>
      <c r="AR1066" s="20">
        <v>0</v>
      </c>
      <c r="AS1066" s="20">
        <v>7</v>
      </c>
      <c r="AT1066" s="20">
        <v>10</v>
      </c>
      <c r="AU1066" s="300">
        <f t="shared" si="177"/>
        <v>219</v>
      </c>
      <c r="AV1066" s="20">
        <v>190</v>
      </c>
      <c r="AW1066" s="20">
        <v>0</v>
      </c>
      <c r="AX1066" s="20">
        <v>20</v>
      </c>
      <c r="AY1066" s="20">
        <v>0</v>
      </c>
      <c r="AZ1066" s="20">
        <v>0</v>
      </c>
      <c r="BA1066" s="20">
        <v>7</v>
      </c>
      <c r="BB1066" s="20">
        <v>10</v>
      </c>
      <c r="BC1066" s="300">
        <f t="shared" si="178"/>
        <v>227</v>
      </c>
      <c r="BD1066" s="42">
        <f t="shared" si="179"/>
        <v>8</v>
      </c>
      <c r="BE1066" s="42">
        <f t="shared" si="180"/>
        <v>0</v>
      </c>
      <c r="BF1066" s="42">
        <f t="shared" si="181"/>
        <v>0</v>
      </c>
      <c r="BG1066" s="42">
        <f t="shared" si="182"/>
        <v>0</v>
      </c>
      <c r="BH1066" s="42">
        <f t="shared" si="183"/>
        <v>0</v>
      </c>
      <c r="BI1066" s="42">
        <f t="shared" si="184"/>
        <v>0</v>
      </c>
      <c r="BJ1066" s="42">
        <f t="shared" si="185"/>
        <v>0</v>
      </c>
      <c r="BK1066" s="42">
        <f t="shared" si="186"/>
        <v>8</v>
      </c>
    </row>
    <row r="1067" spans="1:63" ht="27" customHeight="1">
      <c r="A1067" s="222">
        <f t="shared" si="187"/>
        <v>1065</v>
      </c>
      <c r="B1067" s="223"/>
      <c r="C1067" s="223">
        <v>3757</v>
      </c>
      <c r="D1067" s="225">
        <v>0</v>
      </c>
      <c r="E1067" s="226" t="s">
        <v>5959</v>
      </c>
      <c r="F1067" s="227" t="s">
        <v>1232</v>
      </c>
      <c r="G1067" s="228" t="s">
        <v>5960</v>
      </c>
      <c r="H1067" s="229" t="s">
        <v>1234</v>
      </c>
      <c r="I1067" s="230" t="s">
        <v>5961</v>
      </c>
      <c r="J1067" s="231" t="s">
        <v>204</v>
      </c>
      <c r="K1067" s="232">
        <v>29440</v>
      </c>
      <c r="L1067" s="233" t="s">
        <v>174</v>
      </c>
      <c r="M1067" s="234">
        <v>43759</v>
      </c>
      <c r="N1067" s="234"/>
      <c r="O1067" s="234" t="s">
        <v>3639</v>
      </c>
      <c r="P1067" s="222" t="s">
        <v>5712</v>
      </c>
      <c r="Q1067" s="222" t="s">
        <v>244</v>
      </c>
      <c r="R1067" s="222" t="s">
        <v>177</v>
      </c>
      <c r="S1067" s="222" t="s">
        <v>206</v>
      </c>
      <c r="T1067" s="235"/>
      <c r="U1067" s="291"/>
      <c r="V1067" s="236" t="s">
        <v>179</v>
      </c>
      <c r="W1067" s="236" t="s">
        <v>179</v>
      </c>
      <c r="X1067" s="236">
        <v>6</v>
      </c>
      <c r="Y1067" s="237" t="s">
        <v>5962</v>
      </c>
      <c r="Z1067" s="261" t="s">
        <v>181</v>
      </c>
      <c r="AA1067" s="238"/>
      <c r="AB1067" s="236"/>
      <c r="AC1067" s="239"/>
      <c r="AD1067" s="240"/>
      <c r="AE1067" s="240"/>
      <c r="AF1067" s="241"/>
      <c r="AG1067" s="242"/>
      <c r="AH1067" s="243"/>
      <c r="AI1067" s="243"/>
      <c r="AJ1067" s="244" t="s">
        <v>198</v>
      </c>
      <c r="AK1067" s="258" t="s">
        <v>185</v>
      </c>
      <c r="AL1067" s="258" t="s">
        <v>185</v>
      </c>
      <c r="AM1067" s="244" t="s">
        <v>3854</v>
      </c>
      <c r="AN1067" s="20">
        <v>177</v>
      </c>
      <c r="AO1067" s="20">
        <v>0</v>
      </c>
      <c r="AP1067" s="20">
        <v>20</v>
      </c>
      <c r="AQ1067" s="20">
        <v>0</v>
      </c>
      <c r="AR1067" s="20">
        <v>0</v>
      </c>
      <c r="AS1067" s="20">
        <v>7</v>
      </c>
      <c r="AT1067" s="20">
        <v>10</v>
      </c>
      <c r="AU1067" s="300">
        <f t="shared" si="177"/>
        <v>214</v>
      </c>
      <c r="AV1067" s="20">
        <v>185</v>
      </c>
      <c r="AW1067" s="20">
        <v>0</v>
      </c>
      <c r="AX1067" s="20">
        <v>20</v>
      </c>
      <c r="AY1067" s="20">
        <v>0</v>
      </c>
      <c r="AZ1067" s="20">
        <v>0</v>
      </c>
      <c r="BA1067" s="20">
        <v>7</v>
      </c>
      <c r="BB1067" s="20">
        <v>10</v>
      </c>
      <c r="BC1067" s="300">
        <f t="shared" si="178"/>
        <v>222</v>
      </c>
      <c r="BD1067" s="42">
        <f t="shared" si="179"/>
        <v>8</v>
      </c>
      <c r="BE1067" s="42">
        <f t="shared" si="180"/>
        <v>0</v>
      </c>
      <c r="BF1067" s="42">
        <f t="shared" si="181"/>
        <v>0</v>
      </c>
      <c r="BG1067" s="42">
        <f t="shared" si="182"/>
        <v>0</v>
      </c>
      <c r="BH1067" s="42">
        <f t="shared" si="183"/>
        <v>0</v>
      </c>
      <c r="BI1067" s="42">
        <f t="shared" si="184"/>
        <v>0</v>
      </c>
      <c r="BJ1067" s="42">
        <f t="shared" si="185"/>
        <v>0</v>
      </c>
      <c r="BK1067" s="42">
        <f t="shared" si="186"/>
        <v>8</v>
      </c>
    </row>
    <row r="1068" spans="1:63" ht="27" customHeight="1">
      <c r="A1068" s="222">
        <f t="shared" si="187"/>
        <v>1066</v>
      </c>
      <c r="B1068" s="223"/>
      <c r="C1068" s="223">
        <v>3177</v>
      </c>
      <c r="D1068" s="225" t="s">
        <v>5963</v>
      </c>
      <c r="E1068" s="226" t="s">
        <v>5964</v>
      </c>
      <c r="F1068" s="227" t="s">
        <v>5056</v>
      </c>
      <c r="G1068" s="228" t="s">
        <v>5965</v>
      </c>
      <c r="H1068" s="229" t="s">
        <v>5057</v>
      </c>
      <c r="I1068" s="230" t="s">
        <v>5966</v>
      </c>
      <c r="J1068" s="231" t="s">
        <v>204</v>
      </c>
      <c r="K1068" s="232">
        <v>33704</v>
      </c>
      <c r="L1068" s="233" t="s">
        <v>174</v>
      </c>
      <c r="M1068" s="234">
        <v>43740</v>
      </c>
      <c r="N1068" s="234"/>
      <c r="O1068" s="234" t="s">
        <v>3639</v>
      </c>
      <c r="P1068" s="222" t="s">
        <v>5712</v>
      </c>
      <c r="Q1068" s="222" t="s">
        <v>244</v>
      </c>
      <c r="R1068" s="222" t="s">
        <v>177</v>
      </c>
      <c r="S1068" s="222" t="s">
        <v>428</v>
      </c>
      <c r="T1068" s="235"/>
      <c r="U1068" s="291"/>
      <c r="V1068" s="236" t="s">
        <v>179</v>
      </c>
      <c r="W1068" s="236" t="s">
        <v>179</v>
      </c>
      <c r="X1068" s="236">
        <v>6</v>
      </c>
      <c r="Y1068" s="237" t="s">
        <v>4554</v>
      </c>
      <c r="Z1068" s="238"/>
      <c r="AA1068" s="261" t="s">
        <v>181</v>
      </c>
      <c r="AB1068" s="236"/>
      <c r="AC1068" s="239"/>
      <c r="AD1068" s="240"/>
      <c r="AE1068" s="240"/>
      <c r="AF1068" s="241"/>
      <c r="AG1068" s="242"/>
      <c r="AH1068" s="243"/>
      <c r="AI1068" s="243"/>
      <c r="AJ1068" s="244" t="s">
        <v>198</v>
      </c>
      <c r="AK1068" s="258" t="s">
        <v>185</v>
      </c>
      <c r="AL1068" s="258" t="s">
        <v>185</v>
      </c>
      <c r="AM1068" s="239" t="s">
        <v>3962</v>
      </c>
      <c r="AN1068" s="20">
        <v>182</v>
      </c>
      <c r="AO1068" s="20">
        <v>0</v>
      </c>
      <c r="AP1068" s="20">
        <v>20</v>
      </c>
      <c r="AQ1068" s="20">
        <v>0</v>
      </c>
      <c r="AR1068" s="20">
        <v>0</v>
      </c>
      <c r="AS1068" s="20">
        <v>7</v>
      </c>
      <c r="AT1068" s="20">
        <v>10</v>
      </c>
      <c r="AU1068" s="300">
        <f t="shared" si="177"/>
        <v>219</v>
      </c>
      <c r="AV1068" s="20">
        <v>190</v>
      </c>
      <c r="AW1068" s="20">
        <v>0</v>
      </c>
      <c r="AX1068" s="20">
        <v>20</v>
      </c>
      <c r="AY1068" s="20">
        <v>0</v>
      </c>
      <c r="AZ1068" s="20">
        <v>0</v>
      </c>
      <c r="BA1068" s="20">
        <v>7</v>
      </c>
      <c r="BB1068" s="20">
        <v>10</v>
      </c>
      <c r="BC1068" s="300">
        <f t="shared" si="178"/>
        <v>227</v>
      </c>
      <c r="BD1068" s="42">
        <f t="shared" si="179"/>
        <v>8</v>
      </c>
      <c r="BE1068" s="42">
        <f t="shared" si="180"/>
        <v>0</v>
      </c>
      <c r="BF1068" s="42">
        <f t="shared" si="181"/>
        <v>0</v>
      </c>
      <c r="BG1068" s="42">
        <f t="shared" si="182"/>
        <v>0</v>
      </c>
      <c r="BH1068" s="42">
        <f t="shared" si="183"/>
        <v>0</v>
      </c>
      <c r="BI1068" s="42">
        <f t="shared" si="184"/>
        <v>0</v>
      </c>
      <c r="BJ1068" s="42">
        <f t="shared" si="185"/>
        <v>0</v>
      </c>
      <c r="BK1068" s="42">
        <f t="shared" si="186"/>
        <v>8</v>
      </c>
    </row>
    <row r="1069" spans="1:63" ht="27" customHeight="1">
      <c r="A1069" s="222">
        <f t="shared" si="187"/>
        <v>1067</v>
      </c>
      <c r="B1069" s="223"/>
      <c r="C1069" s="223">
        <v>3608</v>
      </c>
      <c r="D1069" s="225" t="s">
        <v>5967</v>
      </c>
      <c r="E1069" s="226" t="s">
        <v>5968</v>
      </c>
      <c r="F1069" s="227" t="s">
        <v>1454</v>
      </c>
      <c r="G1069" s="228" t="s">
        <v>1347</v>
      </c>
      <c r="H1069" s="229" t="s">
        <v>1886</v>
      </c>
      <c r="I1069" s="230" t="s">
        <v>5969</v>
      </c>
      <c r="J1069" s="231" t="s">
        <v>173</v>
      </c>
      <c r="K1069" s="232">
        <v>28224</v>
      </c>
      <c r="L1069" s="233" t="s">
        <v>174</v>
      </c>
      <c r="M1069" s="234">
        <v>43750</v>
      </c>
      <c r="N1069" s="234"/>
      <c r="O1069" s="234" t="s">
        <v>3639</v>
      </c>
      <c r="P1069" s="222" t="s">
        <v>5712</v>
      </c>
      <c r="Q1069" s="222" t="s">
        <v>244</v>
      </c>
      <c r="R1069" s="222" t="s">
        <v>177</v>
      </c>
      <c r="S1069" s="222" t="s">
        <v>223</v>
      </c>
      <c r="T1069" s="235"/>
      <c r="U1069" s="291"/>
      <c r="V1069" s="236" t="s">
        <v>179</v>
      </c>
      <c r="W1069" s="236" t="s">
        <v>179</v>
      </c>
      <c r="X1069" s="236">
        <v>5</v>
      </c>
      <c r="Y1069" s="237" t="s">
        <v>5970</v>
      </c>
      <c r="Z1069" s="238"/>
      <c r="AA1069" s="261" t="s">
        <v>181</v>
      </c>
      <c r="AB1069" s="236"/>
      <c r="AC1069" s="239"/>
      <c r="AD1069" s="240"/>
      <c r="AE1069" s="240"/>
      <c r="AF1069" s="241"/>
      <c r="AG1069" s="242"/>
      <c r="AH1069" s="243"/>
      <c r="AI1069" s="243"/>
      <c r="AJ1069" s="244" t="s">
        <v>198</v>
      </c>
      <c r="AK1069" s="258" t="s">
        <v>185</v>
      </c>
      <c r="AL1069" s="258" t="s">
        <v>185</v>
      </c>
      <c r="AM1069" s="244" t="s">
        <v>236</v>
      </c>
      <c r="AN1069" s="20">
        <v>182</v>
      </c>
      <c r="AO1069" s="20">
        <v>0</v>
      </c>
      <c r="AP1069" s="20">
        <v>20</v>
      </c>
      <c r="AQ1069" s="20">
        <v>0</v>
      </c>
      <c r="AR1069" s="20">
        <v>0</v>
      </c>
      <c r="AS1069" s="20">
        <v>7</v>
      </c>
      <c r="AT1069" s="20">
        <v>10</v>
      </c>
      <c r="AU1069" s="300">
        <f t="shared" si="177"/>
        <v>219</v>
      </c>
      <c r="AV1069" s="20">
        <v>190</v>
      </c>
      <c r="AW1069" s="20">
        <v>0</v>
      </c>
      <c r="AX1069" s="20">
        <v>20</v>
      </c>
      <c r="AY1069" s="20">
        <v>0</v>
      </c>
      <c r="AZ1069" s="20">
        <v>0</v>
      </c>
      <c r="BA1069" s="20">
        <v>7</v>
      </c>
      <c r="BB1069" s="20">
        <v>10</v>
      </c>
      <c r="BC1069" s="300">
        <f t="shared" si="178"/>
        <v>227</v>
      </c>
      <c r="BD1069" s="42">
        <f t="shared" si="179"/>
        <v>8</v>
      </c>
      <c r="BE1069" s="42">
        <f t="shared" si="180"/>
        <v>0</v>
      </c>
      <c r="BF1069" s="42">
        <f t="shared" si="181"/>
        <v>0</v>
      </c>
      <c r="BG1069" s="42">
        <f t="shared" si="182"/>
        <v>0</v>
      </c>
      <c r="BH1069" s="42">
        <f t="shared" si="183"/>
        <v>0</v>
      </c>
      <c r="BI1069" s="42">
        <f t="shared" si="184"/>
        <v>0</v>
      </c>
      <c r="BJ1069" s="42">
        <f t="shared" si="185"/>
        <v>0</v>
      </c>
      <c r="BK1069" s="42">
        <f t="shared" si="186"/>
        <v>8</v>
      </c>
    </row>
    <row r="1070" spans="1:63" ht="27" customHeight="1">
      <c r="A1070" s="222">
        <f t="shared" si="187"/>
        <v>1068</v>
      </c>
      <c r="B1070" s="223"/>
      <c r="C1070" s="223">
        <v>3827</v>
      </c>
      <c r="D1070" s="225" t="s">
        <v>5971</v>
      </c>
      <c r="E1070" s="226" t="s">
        <v>291</v>
      </c>
      <c r="F1070" s="227" t="s">
        <v>2341</v>
      </c>
      <c r="G1070" s="228" t="s">
        <v>2016</v>
      </c>
      <c r="H1070" s="229" t="s">
        <v>4973</v>
      </c>
      <c r="I1070" s="230" t="s">
        <v>902</v>
      </c>
      <c r="J1070" s="231" t="s">
        <v>173</v>
      </c>
      <c r="K1070" s="232">
        <v>30080</v>
      </c>
      <c r="L1070" s="233" t="s">
        <v>174</v>
      </c>
      <c r="M1070" s="234">
        <v>43787</v>
      </c>
      <c r="N1070" s="234"/>
      <c r="O1070" s="234" t="s">
        <v>3639</v>
      </c>
      <c r="P1070" s="222" t="s">
        <v>5712</v>
      </c>
      <c r="Q1070" s="222" t="s">
        <v>244</v>
      </c>
      <c r="R1070" s="222" t="s">
        <v>177</v>
      </c>
      <c r="S1070" s="222" t="s">
        <v>528</v>
      </c>
      <c r="T1070" s="235"/>
      <c r="U1070" s="291"/>
      <c r="V1070" s="236" t="s">
        <v>179</v>
      </c>
      <c r="W1070" s="236">
        <v>10</v>
      </c>
      <c r="X1070" s="236">
        <v>5</v>
      </c>
      <c r="Y1070" s="237" t="s">
        <v>5972</v>
      </c>
      <c r="Z1070" s="238"/>
      <c r="AA1070" s="261" t="s">
        <v>181</v>
      </c>
      <c r="AB1070" s="236"/>
      <c r="AC1070" s="239"/>
      <c r="AD1070" s="240" t="s">
        <v>183</v>
      </c>
      <c r="AE1070" s="240" t="s">
        <v>183</v>
      </c>
      <c r="AF1070" s="241"/>
      <c r="AG1070" s="242"/>
      <c r="AH1070" s="243"/>
      <c r="AI1070" s="243"/>
      <c r="AJ1070" s="244" t="s">
        <v>198</v>
      </c>
      <c r="AK1070" s="258" t="s">
        <v>185</v>
      </c>
      <c r="AL1070" s="258" t="s">
        <v>185</v>
      </c>
      <c r="AM1070" s="244" t="s">
        <v>5580</v>
      </c>
      <c r="AN1070" s="20">
        <v>182</v>
      </c>
      <c r="AO1070" s="20">
        <v>0</v>
      </c>
      <c r="AP1070" s="20">
        <v>20</v>
      </c>
      <c r="AQ1070" s="20">
        <v>0</v>
      </c>
      <c r="AR1070" s="20">
        <v>0</v>
      </c>
      <c r="AS1070" s="20">
        <v>7</v>
      </c>
      <c r="AT1070" s="20">
        <v>10</v>
      </c>
      <c r="AU1070" s="300">
        <f t="shared" si="177"/>
        <v>219</v>
      </c>
      <c r="AV1070" s="20">
        <v>190</v>
      </c>
      <c r="AW1070" s="20">
        <v>0</v>
      </c>
      <c r="AX1070" s="20">
        <v>20</v>
      </c>
      <c r="AY1070" s="20">
        <v>0</v>
      </c>
      <c r="AZ1070" s="20">
        <v>0</v>
      </c>
      <c r="BA1070" s="20">
        <v>7</v>
      </c>
      <c r="BB1070" s="20">
        <v>10</v>
      </c>
      <c r="BC1070" s="300">
        <f t="shared" si="178"/>
        <v>227</v>
      </c>
      <c r="BD1070" s="42">
        <f t="shared" si="179"/>
        <v>8</v>
      </c>
      <c r="BE1070" s="42">
        <f t="shared" si="180"/>
        <v>0</v>
      </c>
      <c r="BF1070" s="42">
        <f t="shared" si="181"/>
        <v>0</v>
      </c>
      <c r="BG1070" s="42">
        <f t="shared" si="182"/>
        <v>0</v>
      </c>
      <c r="BH1070" s="42">
        <f t="shared" si="183"/>
        <v>0</v>
      </c>
      <c r="BI1070" s="42">
        <f t="shared" si="184"/>
        <v>0</v>
      </c>
      <c r="BJ1070" s="42">
        <f t="shared" si="185"/>
        <v>0</v>
      </c>
      <c r="BK1070" s="42">
        <f t="shared" si="186"/>
        <v>8</v>
      </c>
    </row>
    <row r="1071" spans="1:63" ht="27" customHeight="1">
      <c r="A1071" s="222">
        <f t="shared" si="187"/>
        <v>1069</v>
      </c>
      <c r="B1071" s="223"/>
      <c r="C1071" s="223">
        <v>3855</v>
      </c>
      <c r="D1071" s="225" t="s">
        <v>5973</v>
      </c>
      <c r="E1071" s="226" t="s">
        <v>5974</v>
      </c>
      <c r="F1071" s="227" t="s">
        <v>5975</v>
      </c>
      <c r="G1071" s="228" t="s">
        <v>5976</v>
      </c>
      <c r="H1071" s="229" t="s">
        <v>4285</v>
      </c>
      <c r="I1071" s="230" t="s">
        <v>5977</v>
      </c>
      <c r="J1071" s="231" t="s">
        <v>173</v>
      </c>
      <c r="K1071" s="232">
        <v>35856</v>
      </c>
      <c r="L1071" s="233" t="s">
        <v>174</v>
      </c>
      <c r="M1071" s="234">
        <v>43795</v>
      </c>
      <c r="N1071" s="234"/>
      <c r="O1071" s="234" t="s">
        <v>3639</v>
      </c>
      <c r="P1071" s="222" t="s">
        <v>24</v>
      </c>
      <c r="Q1071" s="222" t="s">
        <v>244</v>
      </c>
      <c r="R1071" s="222" t="s">
        <v>177</v>
      </c>
      <c r="S1071" s="222" t="s">
        <v>206</v>
      </c>
      <c r="T1071" s="235"/>
      <c r="U1071" s="291"/>
      <c r="V1071" s="236" t="s">
        <v>179</v>
      </c>
      <c r="W1071" s="236" t="s">
        <v>179</v>
      </c>
      <c r="X1071" s="236">
        <v>10</v>
      </c>
      <c r="Y1071" s="237" t="s">
        <v>5978</v>
      </c>
      <c r="Z1071" s="238"/>
      <c r="AA1071" s="261" t="s">
        <v>181</v>
      </c>
      <c r="AB1071" s="236"/>
      <c r="AC1071" s="239"/>
      <c r="AD1071" s="240" t="s">
        <v>3602</v>
      </c>
      <c r="AE1071" s="240"/>
      <c r="AF1071" s="241"/>
      <c r="AG1071" s="242"/>
      <c r="AH1071" s="243"/>
      <c r="AI1071" s="243"/>
      <c r="AJ1071" s="244" t="s">
        <v>198</v>
      </c>
      <c r="AK1071" s="258" t="s">
        <v>185</v>
      </c>
      <c r="AL1071" s="258" t="s">
        <v>185</v>
      </c>
      <c r="AM1071" s="244" t="s">
        <v>3854</v>
      </c>
      <c r="AN1071" s="20">
        <v>177</v>
      </c>
      <c r="AO1071" s="20">
        <v>0</v>
      </c>
      <c r="AP1071" s="20">
        <v>20</v>
      </c>
      <c r="AQ1071" s="20">
        <v>0</v>
      </c>
      <c r="AR1071" s="20">
        <v>0</v>
      </c>
      <c r="AS1071" s="20">
        <v>7</v>
      </c>
      <c r="AT1071" s="20">
        <v>10</v>
      </c>
      <c r="AU1071" s="300">
        <f t="shared" si="177"/>
        <v>214</v>
      </c>
      <c r="AV1071" s="20">
        <v>185</v>
      </c>
      <c r="AW1071" s="20">
        <v>0</v>
      </c>
      <c r="AX1071" s="20">
        <v>20</v>
      </c>
      <c r="AY1071" s="20">
        <v>0</v>
      </c>
      <c r="AZ1071" s="20">
        <v>0</v>
      </c>
      <c r="BA1071" s="20">
        <v>7</v>
      </c>
      <c r="BB1071" s="20">
        <v>10</v>
      </c>
      <c r="BC1071" s="300">
        <f t="shared" si="178"/>
        <v>222</v>
      </c>
      <c r="BD1071" s="42">
        <f t="shared" si="179"/>
        <v>8</v>
      </c>
      <c r="BE1071" s="42">
        <f t="shared" si="180"/>
        <v>0</v>
      </c>
      <c r="BF1071" s="42">
        <f t="shared" si="181"/>
        <v>0</v>
      </c>
      <c r="BG1071" s="42">
        <f t="shared" si="182"/>
        <v>0</v>
      </c>
      <c r="BH1071" s="42">
        <f t="shared" si="183"/>
        <v>0</v>
      </c>
      <c r="BI1071" s="42">
        <f t="shared" si="184"/>
        <v>0</v>
      </c>
      <c r="BJ1071" s="42">
        <f t="shared" si="185"/>
        <v>0</v>
      </c>
      <c r="BK1071" s="42">
        <f t="shared" si="186"/>
        <v>8</v>
      </c>
    </row>
    <row r="1072" spans="1:63" ht="27" customHeight="1">
      <c r="A1072" s="222">
        <f t="shared" si="187"/>
        <v>1070</v>
      </c>
      <c r="B1072" s="223"/>
      <c r="C1072" s="223">
        <v>3854</v>
      </c>
      <c r="D1072" s="225" t="s">
        <v>5979</v>
      </c>
      <c r="E1072" s="226" t="s">
        <v>5980</v>
      </c>
      <c r="F1072" s="227" t="s">
        <v>4444</v>
      </c>
      <c r="G1072" s="228" t="s">
        <v>5981</v>
      </c>
      <c r="H1072" s="229" t="s">
        <v>4445</v>
      </c>
      <c r="I1072" s="230" t="s">
        <v>5982</v>
      </c>
      <c r="J1072" s="231" t="s">
        <v>173</v>
      </c>
      <c r="K1072" s="232">
        <v>34364</v>
      </c>
      <c r="L1072" s="233" t="s">
        <v>174</v>
      </c>
      <c r="M1072" s="234">
        <v>43795</v>
      </c>
      <c r="N1072" s="234"/>
      <c r="O1072" s="234" t="s">
        <v>3639</v>
      </c>
      <c r="P1072" s="222" t="s">
        <v>4147</v>
      </c>
      <c r="Q1072" s="222" t="s">
        <v>244</v>
      </c>
      <c r="R1072" s="222" t="s">
        <v>177</v>
      </c>
      <c r="S1072" s="222" t="s">
        <v>223</v>
      </c>
      <c r="T1072" s="235"/>
      <c r="U1072" s="291"/>
      <c r="V1072" s="236" t="s">
        <v>179</v>
      </c>
      <c r="W1072" s="236" t="s">
        <v>179</v>
      </c>
      <c r="X1072" s="236">
        <v>8</v>
      </c>
      <c r="Y1072" s="237" t="s">
        <v>5983</v>
      </c>
      <c r="Z1072" s="238"/>
      <c r="AA1072" s="261" t="s">
        <v>181</v>
      </c>
      <c r="AB1072" s="236"/>
      <c r="AC1072" s="239" t="s">
        <v>197</v>
      </c>
      <c r="AD1072" s="240" t="s">
        <v>183</v>
      </c>
      <c r="AE1072" s="240"/>
      <c r="AF1072" s="241"/>
      <c r="AG1072" s="242"/>
      <c r="AH1072" s="243"/>
      <c r="AI1072" s="243"/>
      <c r="AJ1072" s="244" t="s">
        <v>198</v>
      </c>
      <c r="AK1072" s="258" t="s">
        <v>185</v>
      </c>
      <c r="AL1072" s="258" t="s">
        <v>185</v>
      </c>
      <c r="AM1072" s="244" t="s">
        <v>3854</v>
      </c>
      <c r="AN1072" s="20">
        <v>182</v>
      </c>
      <c r="AO1072" s="20">
        <v>0</v>
      </c>
      <c r="AP1072" s="20">
        <v>20</v>
      </c>
      <c r="AQ1072" s="20">
        <v>0</v>
      </c>
      <c r="AR1072" s="20">
        <v>0</v>
      </c>
      <c r="AS1072" s="20">
        <v>7</v>
      </c>
      <c r="AT1072" s="20">
        <v>10</v>
      </c>
      <c r="AU1072" s="300">
        <f t="shared" si="177"/>
        <v>219</v>
      </c>
      <c r="AV1072" s="20">
        <v>190</v>
      </c>
      <c r="AW1072" s="20">
        <v>0</v>
      </c>
      <c r="AX1072" s="20">
        <v>20</v>
      </c>
      <c r="AY1072" s="20">
        <v>0</v>
      </c>
      <c r="AZ1072" s="20">
        <v>0</v>
      </c>
      <c r="BA1072" s="20">
        <v>7</v>
      </c>
      <c r="BB1072" s="20">
        <v>10</v>
      </c>
      <c r="BC1072" s="300">
        <f t="shared" si="178"/>
        <v>227</v>
      </c>
      <c r="BD1072" s="42">
        <f t="shared" si="179"/>
        <v>8</v>
      </c>
      <c r="BE1072" s="42">
        <f t="shared" si="180"/>
        <v>0</v>
      </c>
      <c r="BF1072" s="42">
        <f t="shared" si="181"/>
        <v>0</v>
      </c>
      <c r="BG1072" s="42">
        <f t="shared" si="182"/>
        <v>0</v>
      </c>
      <c r="BH1072" s="42">
        <f t="shared" si="183"/>
        <v>0</v>
      </c>
      <c r="BI1072" s="42">
        <f t="shared" si="184"/>
        <v>0</v>
      </c>
      <c r="BJ1072" s="42">
        <f t="shared" si="185"/>
        <v>0</v>
      </c>
      <c r="BK1072" s="42">
        <f t="shared" si="186"/>
        <v>8</v>
      </c>
    </row>
    <row r="1073" spans="1:63" ht="27" customHeight="1">
      <c r="A1073" s="222">
        <f t="shared" si="187"/>
        <v>1071</v>
      </c>
      <c r="B1073" s="223"/>
      <c r="C1073" s="223">
        <v>3853</v>
      </c>
      <c r="D1073" s="225" t="s">
        <v>5984</v>
      </c>
      <c r="E1073" s="226" t="s">
        <v>5985</v>
      </c>
      <c r="F1073" s="227" t="s">
        <v>477</v>
      </c>
      <c r="G1073" s="228" t="s">
        <v>971</v>
      </c>
      <c r="H1073" s="229" t="s">
        <v>913</v>
      </c>
      <c r="I1073" s="230" t="s">
        <v>972</v>
      </c>
      <c r="J1073" s="231" t="s">
        <v>173</v>
      </c>
      <c r="K1073" s="232">
        <v>34821</v>
      </c>
      <c r="L1073" s="233" t="s">
        <v>174</v>
      </c>
      <c r="M1073" s="234">
        <v>43794</v>
      </c>
      <c r="N1073" s="234"/>
      <c r="O1073" s="234" t="s">
        <v>3639</v>
      </c>
      <c r="P1073" s="222" t="s">
        <v>4147</v>
      </c>
      <c r="Q1073" s="222" t="s">
        <v>244</v>
      </c>
      <c r="R1073" s="222" t="s">
        <v>177</v>
      </c>
      <c r="S1073" s="222" t="s">
        <v>223</v>
      </c>
      <c r="T1073" s="235"/>
      <c r="U1073" s="291"/>
      <c r="V1073" s="236" t="s">
        <v>179</v>
      </c>
      <c r="W1073" s="236" t="s">
        <v>179</v>
      </c>
      <c r="X1073" s="236">
        <v>6</v>
      </c>
      <c r="Y1073" s="237" t="s">
        <v>5986</v>
      </c>
      <c r="Z1073" s="238"/>
      <c r="AA1073" s="261" t="s">
        <v>181</v>
      </c>
      <c r="AB1073" s="236"/>
      <c r="AC1073" s="239"/>
      <c r="AD1073" s="240" t="s">
        <v>183</v>
      </c>
      <c r="AE1073" s="240"/>
      <c r="AF1073" s="241"/>
      <c r="AG1073" s="242"/>
      <c r="AH1073" s="243"/>
      <c r="AI1073" s="243"/>
      <c r="AJ1073" s="244" t="s">
        <v>198</v>
      </c>
      <c r="AK1073" s="258" t="s">
        <v>185</v>
      </c>
      <c r="AL1073" s="258" t="s">
        <v>185</v>
      </c>
      <c r="AM1073" s="244" t="s">
        <v>3854</v>
      </c>
      <c r="AN1073" s="20">
        <v>182</v>
      </c>
      <c r="AO1073" s="20">
        <v>0</v>
      </c>
      <c r="AP1073" s="20">
        <v>20</v>
      </c>
      <c r="AQ1073" s="20">
        <v>0</v>
      </c>
      <c r="AR1073" s="20">
        <v>0</v>
      </c>
      <c r="AS1073" s="20">
        <v>7</v>
      </c>
      <c r="AT1073" s="20">
        <v>10</v>
      </c>
      <c r="AU1073" s="300">
        <f t="shared" si="177"/>
        <v>219</v>
      </c>
      <c r="AV1073" s="20">
        <v>190</v>
      </c>
      <c r="AW1073" s="20">
        <v>0</v>
      </c>
      <c r="AX1073" s="20">
        <v>20</v>
      </c>
      <c r="AY1073" s="20">
        <v>0</v>
      </c>
      <c r="AZ1073" s="20">
        <v>0</v>
      </c>
      <c r="BA1073" s="20">
        <v>7</v>
      </c>
      <c r="BB1073" s="20">
        <v>10</v>
      </c>
      <c r="BC1073" s="300">
        <f t="shared" si="178"/>
        <v>227</v>
      </c>
      <c r="BD1073" s="42">
        <f t="shared" si="179"/>
        <v>8</v>
      </c>
      <c r="BE1073" s="42">
        <f t="shared" si="180"/>
        <v>0</v>
      </c>
      <c r="BF1073" s="42">
        <f t="shared" si="181"/>
        <v>0</v>
      </c>
      <c r="BG1073" s="42">
        <f t="shared" si="182"/>
        <v>0</v>
      </c>
      <c r="BH1073" s="42">
        <f t="shared" si="183"/>
        <v>0</v>
      </c>
      <c r="BI1073" s="42">
        <f t="shared" si="184"/>
        <v>0</v>
      </c>
      <c r="BJ1073" s="42">
        <f t="shared" si="185"/>
        <v>0</v>
      </c>
      <c r="BK1073" s="42">
        <f t="shared" si="186"/>
        <v>8</v>
      </c>
    </row>
    <row r="1074" spans="1:63" ht="27" customHeight="1">
      <c r="A1074" s="222">
        <f t="shared" si="187"/>
        <v>1072</v>
      </c>
      <c r="B1074" s="223"/>
      <c r="C1074" s="250">
        <v>3604</v>
      </c>
      <c r="D1074" s="225" t="s">
        <v>5987</v>
      </c>
      <c r="E1074" s="251" t="s">
        <v>5988</v>
      </c>
      <c r="F1074" s="252" t="s">
        <v>4282</v>
      </c>
      <c r="G1074" s="253" t="s">
        <v>5989</v>
      </c>
      <c r="H1074" s="229" t="s">
        <v>4374</v>
      </c>
      <c r="I1074" s="230" t="s">
        <v>5629</v>
      </c>
      <c r="J1074" s="254" t="s">
        <v>204</v>
      </c>
      <c r="K1074" s="255">
        <v>34370</v>
      </c>
      <c r="L1074" s="233" t="s">
        <v>174</v>
      </c>
      <c r="M1074" s="256">
        <v>43753</v>
      </c>
      <c r="N1074" s="256"/>
      <c r="O1074" s="224"/>
      <c r="P1074" s="224"/>
      <c r="Q1074" s="222" t="s">
        <v>244</v>
      </c>
      <c r="R1074" s="224" t="s">
        <v>177</v>
      </c>
      <c r="S1074" s="224" t="s">
        <v>223</v>
      </c>
      <c r="T1074" s="235"/>
      <c r="U1074" s="257"/>
      <c r="V1074" s="258" t="s">
        <v>179</v>
      </c>
      <c r="W1074" s="258" t="s">
        <v>179</v>
      </c>
      <c r="X1074" s="266">
        <v>5</v>
      </c>
      <c r="Y1074" s="251" t="s">
        <v>5990</v>
      </c>
      <c r="Z1074" s="258"/>
      <c r="AA1074" s="261" t="s">
        <v>181</v>
      </c>
      <c r="AB1074" s="260"/>
      <c r="AC1074" s="258" t="s">
        <v>366</v>
      </c>
      <c r="AD1074" s="259" t="s">
        <v>182</v>
      </c>
      <c r="AE1074" s="259" t="s">
        <v>5991</v>
      </c>
      <c r="AF1074" s="259" t="s">
        <v>183</v>
      </c>
      <c r="AG1074" s="259"/>
      <c r="AH1074" s="260"/>
      <c r="AI1074" s="260"/>
      <c r="AJ1074" s="258" t="s">
        <v>185</v>
      </c>
      <c r="AK1074" s="258" t="s">
        <v>185</v>
      </c>
      <c r="AL1074" s="258" t="s">
        <v>185</v>
      </c>
      <c r="AM1074" s="244" t="s">
        <v>3854</v>
      </c>
      <c r="AN1074" s="20">
        <v>182</v>
      </c>
      <c r="AO1074" s="20">
        <v>0</v>
      </c>
      <c r="AP1074" s="20">
        <v>20</v>
      </c>
      <c r="AQ1074" s="20">
        <v>0</v>
      </c>
      <c r="AR1074" s="20">
        <v>0</v>
      </c>
      <c r="AS1074" s="20">
        <v>7</v>
      </c>
      <c r="AT1074" s="20">
        <v>10</v>
      </c>
      <c r="AU1074" s="300">
        <f t="shared" si="177"/>
        <v>219</v>
      </c>
      <c r="AV1074" s="20">
        <v>190</v>
      </c>
      <c r="AW1074" s="20">
        <v>0</v>
      </c>
      <c r="AX1074" s="20">
        <v>20</v>
      </c>
      <c r="AY1074" s="20">
        <v>0</v>
      </c>
      <c r="AZ1074" s="20">
        <v>0</v>
      </c>
      <c r="BA1074" s="20">
        <v>7</v>
      </c>
      <c r="BB1074" s="20">
        <v>10</v>
      </c>
      <c r="BC1074" s="300">
        <f t="shared" si="178"/>
        <v>227</v>
      </c>
      <c r="BD1074" s="42">
        <f t="shared" si="179"/>
        <v>8</v>
      </c>
      <c r="BE1074" s="42">
        <f t="shared" si="180"/>
        <v>0</v>
      </c>
      <c r="BF1074" s="42">
        <f t="shared" si="181"/>
        <v>0</v>
      </c>
      <c r="BG1074" s="42">
        <f t="shared" si="182"/>
        <v>0</v>
      </c>
      <c r="BH1074" s="42">
        <f t="shared" si="183"/>
        <v>0</v>
      </c>
      <c r="BI1074" s="42">
        <f t="shared" si="184"/>
        <v>0</v>
      </c>
      <c r="BJ1074" s="42">
        <f t="shared" si="185"/>
        <v>0</v>
      </c>
      <c r="BK1074" s="42">
        <f t="shared" si="186"/>
        <v>8</v>
      </c>
    </row>
    <row r="1075" spans="1:63" ht="27" customHeight="1">
      <c r="A1075" s="222">
        <f t="shared" si="187"/>
        <v>1073</v>
      </c>
      <c r="B1075" s="223"/>
      <c r="C1075" s="250">
        <v>3603</v>
      </c>
      <c r="D1075" s="264" t="s">
        <v>5992</v>
      </c>
      <c r="E1075" s="251" t="s">
        <v>5993</v>
      </c>
      <c r="F1075" s="252" t="s">
        <v>5994</v>
      </c>
      <c r="G1075" s="253" t="s">
        <v>4063</v>
      </c>
      <c r="H1075" s="229" t="s">
        <v>5995</v>
      </c>
      <c r="I1075" s="230" t="s">
        <v>5996</v>
      </c>
      <c r="J1075" s="254" t="s">
        <v>204</v>
      </c>
      <c r="K1075" s="255">
        <v>34552</v>
      </c>
      <c r="L1075" s="233" t="s">
        <v>174</v>
      </c>
      <c r="M1075" s="256">
        <v>43743</v>
      </c>
      <c r="N1075" s="256"/>
      <c r="O1075" s="224"/>
      <c r="P1075" s="224"/>
      <c r="Q1075" s="222" t="s">
        <v>244</v>
      </c>
      <c r="R1075" s="224" t="s">
        <v>177</v>
      </c>
      <c r="S1075" s="224" t="s">
        <v>251</v>
      </c>
      <c r="T1075" s="235"/>
      <c r="U1075" s="257"/>
      <c r="V1075" s="258" t="s">
        <v>179</v>
      </c>
      <c r="W1075" s="258" t="s">
        <v>179</v>
      </c>
      <c r="X1075" s="266">
        <v>4</v>
      </c>
      <c r="Y1075" s="251" t="s">
        <v>5997</v>
      </c>
      <c r="Z1075" s="258"/>
      <c r="AA1075" s="261" t="s">
        <v>181</v>
      </c>
      <c r="AB1075" s="260"/>
      <c r="AC1075" s="258" t="s">
        <v>3883</v>
      </c>
      <c r="AD1075" s="258" t="s">
        <v>3883</v>
      </c>
      <c r="AE1075" s="258" t="s">
        <v>3883</v>
      </c>
      <c r="AF1075" s="258" t="s">
        <v>3883</v>
      </c>
      <c r="AG1075" s="258" t="s">
        <v>3883</v>
      </c>
      <c r="AH1075" s="258" t="s">
        <v>3883</v>
      </c>
      <c r="AI1075" s="260"/>
      <c r="AJ1075" s="258" t="s">
        <v>185</v>
      </c>
      <c r="AK1075" s="258" t="s">
        <v>185</v>
      </c>
      <c r="AL1075" s="258" t="s">
        <v>185</v>
      </c>
      <c r="AM1075" s="244" t="s">
        <v>3854</v>
      </c>
      <c r="AN1075" s="20">
        <v>182</v>
      </c>
      <c r="AO1075" s="20">
        <v>0</v>
      </c>
      <c r="AP1075" s="20">
        <v>20</v>
      </c>
      <c r="AQ1075" s="20">
        <v>0</v>
      </c>
      <c r="AR1075" s="20">
        <v>0</v>
      </c>
      <c r="AS1075" s="20">
        <v>7</v>
      </c>
      <c r="AT1075" s="20">
        <v>10</v>
      </c>
      <c r="AU1075" s="300">
        <f t="shared" si="177"/>
        <v>219</v>
      </c>
      <c r="AV1075" s="20">
        <v>190</v>
      </c>
      <c r="AW1075" s="20">
        <v>0</v>
      </c>
      <c r="AX1075" s="20">
        <v>20</v>
      </c>
      <c r="AY1075" s="20">
        <v>0</v>
      </c>
      <c r="AZ1075" s="20">
        <v>0</v>
      </c>
      <c r="BA1075" s="20">
        <v>7</v>
      </c>
      <c r="BB1075" s="20">
        <v>10</v>
      </c>
      <c r="BC1075" s="300">
        <f t="shared" si="178"/>
        <v>227</v>
      </c>
      <c r="BD1075" s="42">
        <f t="shared" si="179"/>
        <v>8</v>
      </c>
      <c r="BE1075" s="42">
        <f t="shared" si="180"/>
        <v>0</v>
      </c>
      <c r="BF1075" s="42">
        <f t="shared" si="181"/>
        <v>0</v>
      </c>
      <c r="BG1075" s="42">
        <f t="shared" si="182"/>
        <v>0</v>
      </c>
      <c r="BH1075" s="42">
        <f t="shared" si="183"/>
        <v>0</v>
      </c>
      <c r="BI1075" s="42">
        <f t="shared" si="184"/>
        <v>0</v>
      </c>
      <c r="BJ1075" s="42">
        <f t="shared" si="185"/>
        <v>0</v>
      </c>
      <c r="BK1075" s="42">
        <f t="shared" si="186"/>
        <v>8</v>
      </c>
    </row>
    <row r="1076" spans="1:63" ht="27" customHeight="1">
      <c r="A1076" s="222">
        <f t="shared" si="187"/>
        <v>1074</v>
      </c>
      <c r="B1076" s="223"/>
      <c r="C1076" s="250">
        <v>3764</v>
      </c>
      <c r="D1076" s="225" t="s">
        <v>5998</v>
      </c>
      <c r="E1076" s="286" t="s">
        <v>5999</v>
      </c>
      <c r="F1076" s="252" t="s">
        <v>5044</v>
      </c>
      <c r="G1076" s="253" t="s">
        <v>5981</v>
      </c>
      <c r="H1076" s="229" t="s">
        <v>1386</v>
      </c>
      <c r="I1076" s="230" t="s">
        <v>5982</v>
      </c>
      <c r="J1076" s="254" t="s">
        <v>173</v>
      </c>
      <c r="K1076" s="255">
        <v>34395</v>
      </c>
      <c r="L1076" s="233" t="s">
        <v>174</v>
      </c>
      <c r="M1076" s="256">
        <v>43762</v>
      </c>
      <c r="N1076" s="256"/>
      <c r="O1076" s="224"/>
      <c r="P1076" s="224"/>
      <c r="Q1076" s="222" t="s">
        <v>244</v>
      </c>
      <c r="R1076" s="224" t="s">
        <v>177</v>
      </c>
      <c r="S1076" s="224" t="s">
        <v>206</v>
      </c>
      <c r="T1076" s="235"/>
      <c r="U1076" s="257"/>
      <c r="V1076" s="258" t="s">
        <v>179</v>
      </c>
      <c r="W1076" s="258" t="s">
        <v>179</v>
      </c>
      <c r="X1076" s="259">
        <v>6</v>
      </c>
      <c r="Y1076" s="251" t="s">
        <v>6000</v>
      </c>
      <c r="Z1076" s="289"/>
      <c r="AA1076" s="261" t="s">
        <v>181</v>
      </c>
      <c r="AB1076" s="244"/>
      <c r="AC1076" s="280"/>
      <c r="AD1076" s="280"/>
      <c r="AE1076" s="280"/>
      <c r="AF1076" s="280"/>
      <c r="AG1076" s="280"/>
      <c r="AH1076" s="280"/>
      <c r="AI1076" s="280"/>
      <c r="AJ1076" s="244" t="s">
        <v>198</v>
      </c>
      <c r="AK1076" s="244" t="s">
        <v>185</v>
      </c>
      <c r="AL1076" s="244" t="s">
        <v>185</v>
      </c>
      <c r="AM1076" s="244" t="s">
        <v>3854</v>
      </c>
      <c r="AN1076" s="20">
        <v>182</v>
      </c>
      <c r="AO1076" s="20">
        <v>0</v>
      </c>
      <c r="AP1076" s="20">
        <v>20</v>
      </c>
      <c r="AQ1076" s="20">
        <v>0</v>
      </c>
      <c r="AR1076" s="20">
        <v>0</v>
      </c>
      <c r="AS1076" s="20">
        <v>7</v>
      </c>
      <c r="AT1076" s="20">
        <v>10</v>
      </c>
      <c r="AU1076" s="300">
        <f t="shared" si="177"/>
        <v>219</v>
      </c>
      <c r="AV1076" s="20">
        <v>190</v>
      </c>
      <c r="AW1076" s="20">
        <v>0</v>
      </c>
      <c r="AX1076" s="20">
        <v>20</v>
      </c>
      <c r="AY1076" s="20">
        <v>0</v>
      </c>
      <c r="AZ1076" s="20">
        <v>0</v>
      </c>
      <c r="BA1076" s="20">
        <v>7</v>
      </c>
      <c r="BB1076" s="20">
        <v>10</v>
      </c>
      <c r="BC1076" s="300">
        <f t="shared" si="178"/>
        <v>227</v>
      </c>
      <c r="BD1076" s="42">
        <f t="shared" si="179"/>
        <v>8</v>
      </c>
      <c r="BE1076" s="42">
        <f t="shared" si="180"/>
        <v>0</v>
      </c>
      <c r="BF1076" s="42">
        <f t="shared" si="181"/>
        <v>0</v>
      </c>
      <c r="BG1076" s="42">
        <f t="shared" si="182"/>
        <v>0</v>
      </c>
      <c r="BH1076" s="42">
        <f t="shared" si="183"/>
        <v>0</v>
      </c>
      <c r="BI1076" s="42">
        <f t="shared" si="184"/>
        <v>0</v>
      </c>
      <c r="BJ1076" s="42">
        <f t="shared" si="185"/>
        <v>0</v>
      </c>
      <c r="BK1076" s="42">
        <f t="shared" si="186"/>
        <v>8</v>
      </c>
    </row>
    <row r="1077" spans="1:63" ht="27" customHeight="1">
      <c r="A1077" s="222">
        <f t="shared" si="187"/>
        <v>1075</v>
      </c>
      <c r="B1077" s="43"/>
      <c r="C1077" s="8">
        <v>26</v>
      </c>
      <c r="D1077" s="60" t="s">
        <v>6002</v>
      </c>
      <c r="E1077" s="61">
        <v>130051748</v>
      </c>
      <c r="F1077" s="218" t="s">
        <v>3048</v>
      </c>
      <c r="G1077" s="219" t="s">
        <v>301</v>
      </c>
      <c r="H1077" s="24" t="s">
        <v>3050</v>
      </c>
      <c r="I1077" s="25" t="s">
        <v>303</v>
      </c>
      <c r="J1077" s="82" t="s">
        <v>204</v>
      </c>
      <c r="K1077" s="83">
        <v>30171</v>
      </c>
      <c r="L1077" s="66" t="s">
        <v>174</v>
      </c>
      <c r="M1077" s="67">
        <v>41568</v>
      </c>
      <c r="N1077" s="67"/>
      <c r="O1077" s="15" t="s">
        <v>79</v>
      </c>
      <c r="P1077" s="295" t="s">
        <v>6003</v>
      </c>
      <c r="Q1077" s="16" t="s">
        <v>176</v>
      </c>
      <c r="R1077" s="15" t="s">
        <v>177</v>
      </c>
      <c r="S1077" s="17" t="s">
        <v>251</v>
      </c>
      <c r="T1077" s="296"/>
      <c r="U1077" s="296"/>
      <c r="V1077" s="19" t="s">
        <v>179</v>
      </c>
      <c r="W1077" s="19">
        <v>1464</v>
      </c>
      <c r="X1077" s="19">
        <v>6</v>
      </c>
      <c r="Y1077" s="61" t="s">
        <v>6004</v>
      </c>
      <c r="Z1077" s="43"/>
      <c r="AA1077" s="70"/>
      <c r="AB1077" s="70" t="s">
        <v>181</v>
      </c>
      <c r="AC1077" s="107"/>
      <c r="AD1077" s="72" t="s">
        <v>183</v>
      </c>
      <c r="AE1077" s="72" t="s">
        <v>183</v>
      </c>
      <c r="AF1077" s="203"/>
      <c r="AG1077" s="204"/>
      <c r="AH1077" s="205"/>
      <c r="AI1077" s="205"/>
      <c r="AJ1077" s="81" t="s">
        <v>198</v>
      </c>
      <c r="AK1077" s="81" t="s">
        <v>185</v>
      </c>
      <c r="AL1077" s="81" t="s">
        <v>185</v>
      </c>
      <c r="AM1077" s="107" t="s">
        <v>6001</v>
      </c>
      <c r="AN1077" s="20">
        <v>182</v>
      </c>
      <c r="AO1077" s="20">
        <v>7</v>
      </c>
      <c r="AP1077" s="20">
        <v>60</v>
      </c>
      <c r="AQ1077" s="20">
        <v>384</v>
      </c>
      <c r="AR1077" s="20">
        <v>0</v>
      </c>
      <c r="AS1077" s="20">
        <v>7</v>
      </c>
      <c r="AT1077" s="20">
        <v>10</v>
      </c>
      <c r="AU1077" s="300">
        <f t="shared" si="177"/>
        <v>650</v>
      </c>
      <c r="AV1077" s="20">
        <v>190</v>
      </c>
      <c r="AW1077" s="20">
        <v>7</v>
      </c>
      <c r="AX1077" s="20">
        <v>60</v>
      </c>
      <c r="AY1077" s="20">
        <v>384</v>
      </c>
      <c r="AZ1077" s="20">
        <v>0</v>
      </c>
      <c r="BA1077" s="20">
        <v>7</v>
      </c>
      <c r="BB1077" s="20">
        <v>10</v>
      </c>
      <c r="BC1077" s="300">
        <f t="shared" si="178"/>
        <v>658</v>
      </c>
      <c r="BD1077" s="42">
        <f t="shared" si="179"/>
        <v>8</v>
      </c>
      <c r="BE1077" s="42">
        <f t="shared" si="180"/>
        <v>0</v>
      </c>
      <c r="BF1077" s="42">
        <f t="shared" si="181"/>
        <v>0</v>
      </c>
      <c r="BG1077" s="42">
        <f t="shared" si="182"/>
        <v>0</v>
      </c>
      <c r="BH1077" s="42">
        <f t="shared" si="183"/>
        <v>0</v>
      </c>
      <c r="BI1077" s="42">
        <f t="shared" si="184"/>
        <v>0</v>
      </c>
      <c r="BJ1077" s="42">
        <f t="shared" si="185"/>
        <v>0</v>
      </c>
      <c r="BK1077" s="42">
        <f t="shared" si="186"/>
        <v>8</v>
      </c>
    </row>
    <row r="1078" spans="1:63" ht="27" customHeight="1">
      <c r="A1078" s="222">
        <f t="shared" si="187"/>
        <v>1076</v>
      </c>
      <c r="B1078" s="43"/>
      <c r="C1078" s="8">
        <v>200</v>
      </c>
      <c r="D1078" s="60" t="s">
        <v>6005</v>
      </c>
      <c r="E1078" s="61"/>
      <c r="F1078" s="218" t="s">
        <v>1334</v>
      </c>
      <c r="G1078" s="219" t="s">
        <v>1687</v>
      </c>
      <c r="H1078" s="24" t="s">
        <v>6006</v>
      </c>
      <c r="I1078" s="25" t="s">
        <v>98</v>
      </c>
      <c r="J1078" s="82" t="s">
        <v>204</v>
      </c>
      <c r="K1078" s="83">
        <v>29800</v>
      </c>
      <c r="L1078" s="66" t="s">
        <v>174</v>
      </c>
      <c r="M1078" s="67">
        <v>41694</v>
      </c>
      <c r="N1078" s="67"/>
      <c r="O1078" s="15" t="s">
        <v>32</v>
      </c>
      <c r="P1078" s="295" t="s">
        <v>6007</v>
      </c>
      <c r="Q1078" s="16" t="s">
        <v>176</v>
      </c>
      <c r="R1078" s="15" t="s">
        <v>177</v>
      </c>
      <c r="S1078" s="15" t="s">
        <v>326</v>
      </c>
      <c r="T1078" s="296"/>
      <c r="U1078" s="296"/>
      <c r="V1078" s="19"/>
      <c r="W1078" s="19"/>
      <c r="X1078" s="19">
        <v>10</v>
      </c>
      <c r="Y1078" s="61">
        <v>975162111</v>
      </c>
      <c r="Z1078" s="43"/>
      <c r="AA1078" s="70" t="s">
        <v>181</v>
      </c>
      <c r="AB1078" s="43"/>
      <c r="AC1078" s="72" t="s">
        <v>208</v>
      </c>
      <c r="AD1078" s="72" t="s">
        <v>183</v>
      </c>
      <c r="AE1078" s="72" t="s">
        <v>184</v>
      </c>
      <c r="AF1078" s="297"/>
      <c r="AG1078" s="220"/>
      <c r="AH1078" s="220"/>
      <c r="AI1078" s="220"/>
      <c r="AJ1078" s="81" t="s">
        <v>198</v>
      </c>
      <c r="AK1078" s="81" t="s">
        <v>185</v>
      </c>
      <c r="AL1078" s="81" t="s">
        <v>185</v>
      </c>
      <c r="AM1078" s="72" t="s">
        <v>6008</v>
      </c>
      <c r="AN1078" s="20">
        <v>182</v>
      </c>
      <c r="AO1078" s="20">
        <v>6</v>
      </c>
      <c r="AP1078" s="20">
        <v>0</v>
      </c>
      <c r="AQ1078" s="20">
        <v>270</v>
      </c>
      <c r="AR1078" s="20">
        <v>0</v>
      </c>
      <c r="AS1078" s="20">
        <v>7</v>
      </c>
      <c r="AT1078" s="20">
        <v>10</v>
      </c>
      <c r="AU1078" s="300">
        <f t="shared" si="177"/>
        <v>475</v>
      </c>
      <c r="AV1078" s="20">
        <v>190</v>
      </c>
      <c r="AW1078" s="20">
        <v>6</v>
      </c>
      <c r="AX1078" s="20">
        <v>0</v>
      </c>
      <c r="AY1078" s="20">
        <v>270</v>
      </c>
      <c r="AZ1078" s="20">
        <v>0</v>
      </c>
      <c r="BA1078" s="20">
        <v>7</v>
      </c>
      <c r="BB1078" s="20">
        <v>10</v>
      </c>
      <c r="BC1078" s="300">
        <f t="shared" si="178"/>
        <v>483</v>
      </c>
      <c r="BD1078" s="42">
        <f t="shared" si="179"/>
        <v>8</v>
      </c>
      <c r="BE1078" s="42">
        <f t="shared" si="180"/>
        <v>0</v>
      </c>
      <c r="BF1078" s="42">
        <f t="shared" si="181"/>
        <v>0</v>
      </c>
      <c r="BG1078" s="42">
        <f t="shared" si="182"/>
        <v>0</v>
      </c>
      <c r="BH1078" s="42">
        <f t="shared" si="183"/>
        <v>0</v>
      </c>
      <c r="BI1078" s="42">
        <f t="shared" si="184"/>
        <v>0</v>
      </c>
      <c r="BJ1078" s="42">
        <f t="shared" si="185"/>
        <v>0</v>
      </c>
      <c r="BK1078" s="42">
        <f t="shared" si="186"/>
        <v>8</v>
      </c>
    </row>
    <row r="1079" spans="1:63" ht="27" customHeight="1">
      <c r="AU1079" s="306">
        <f>SUM(AU3:AU1078)</f>
        <v>232186</v>
      </c>
      <c r="BC1079" s="306">
        <f>SUM(BC3:BC1078)</f>
        <v>240770</v>
      </c>
      <c r="BD1079" s="42">
        <f>SUM(BD3:BD1078)</f>
        <v>8584</v>
      </c>
      <c r="BE1079" s="42"/>
      <c r="BF1079" s="42"/>
      <c r="BG1079" s="42"/>
      <c r="BH1079" s="42"/>
      <c r="BI1079" s="42"/>
      <c r="BJ1079" s="42"/>
      <c r="BK1079" s="42">
        <f t="shared" ref="BK1079" si="188">SUM(BK3:BK1078)</f>
        <v>8584</v>
      </c>
    </row>
  </sheetData>
  <autoFilter ref="C1:C1078"/>
  <mergeCells count="13">
    <mergeCell ref="Y1:Y2"/>
    <mergeCell ref="T1:T2"/>
    <mergeCell ref="U1:U2"/>
    <mergeCell ref="V1:V2"/>
    <mergeCell ref="W1:W2"/>
    <mergeCell ref="X1:X2"/>
    <mergeCell ref="AV1:BC1"/>
    <mergeCell ref="Z1:AI1"/>
    <mergeCell ref="AJ1:AJ2"/>
    <mergeCell ref="AK1:AK2"/>
    <mergeCell ref="AL1:AL2"/>
    <mergeCell ref="AM1:AM2"/>
    <mergeCell ref="AN1:AU1"/>
  </mergeCells>
  <phoneticPr fontId="8" type="noConversion"/>
  <conditionalFormatting sqref="B119">
    <cfRule type="duplicateValues" dxfId="462" priority="547"/>
  </conditionalFormatting>
  <conditionalFormatting sqref="B119">
    <cfRule type="duplicateValues" dxfId="461" priority="546"/>
  </conditionalFormatting>
  <conditionalFormatting sqref="B120">
    <cfRule type="duplicateValues" dxfId="460" priority="545"/>
  </conditionalFormatting>
  <conditionalFormatting sqref="B120">
    <cfRule type="duplicateValues" dxfId="459" priority="544"/>
  </conditionalFormatting>
  <conditionalFormatting sqref="B121">
    <cfRule type="duplicateValues" dxfId="458" priority="543"/>
  </conditionalFormatting>
  <conditionalFormatting sqref="B121">
    <cfRule type="duplicateValues" dxfId="457" priority="542"/>
  </conditionalFormatting>
  <conditionalFormatting sqref="B122">
    <cfRule type="duplicateValues" dxfId="456" priority="541"/>
  </conditionalFormatting>
  <conditionalFormatting sqref="B122">
    <cfRule type="duplicateValues" dxfId="455" priority="540"/>
  </conditionalFormatting>
  <conditionalFormatting sqref="B123">
    <cfRule type="duplicateValues" dxfId="454" priority="539"/>
  </conditionalFormatting>
  <conditionalFormatting sqref="B123">
    <cfRule type="duplicateValues" dxfId="453" priority="538"/>
  </conditionalFormatting>
  <conditionalFormatting sqref="B124">
    <cfRule type="duplicateValues" dxfId="452" priority="537"/>
  </conditionalFormatting>
  <conditionalFormatting sqref="B124">
    <cfRule type="duplicateValues" dxfId="451" priority="536"/>
  </conditionalFormatting>
  <conditionalFormatting sqref="B125">
    <cfRule type="duplicateValues" dxfId="450" priority="535"/>
  </conditionalFormatting>
  <conditionalFormatting sqref="B125">
    <cfRule type="duplicateValues" dxfId="449" priority="534"/>
  </conditionalFormatting>
  <conditionalFormatting sqref="B128">
    <cfRule type="duplicateValues" dxfId="448" priority="533"/>
  </conditionalFormatting>
  <conditionalFormatting sqref="B128">
    <cfRule type="duplicateValues" dxfId="447" priority="532"/>
  </conditionalFormatting>
  <conditionalFormatting sqref="B129">
    <cfRule type="duplicateValues" dxfId="446" priority="531"/>
  </conditionalFormatting>
  <conditionalFormatting sqref="B129">
    <cfRule type="duplicateValues" dxfId="445" priority="530"/>
  </conditionalFormatting>
  <conditionalFormatting sqref="B130">
    <cfRule type="duplicateValues" dxfId="444" priority="529"/>
  </conditionalFormatting>
  <conditionalFormatting sqref="B130">
    <cfRule type="duplicateValues" dxfId="443" priority="528"/>
  </conditionalFormatting>
  <conditionalFormatting sqref="B131">
    <cfRule type="duplicateValues" dxfId="442" priority="527"/>
  </conditionalFormatting>
  <conditionalFormatting sqref="B131">
    <cfRule type="duplicateValues" dxfId="441" priority="526"/>
  </conditionalFormatting>
  <conditionalFormatting sqref="B132">
    <cfRule type="duplicateValues" dxfId="440" priority="525"/>
  </conditionalFormatting>
  <conditionalFormatting sqref="B132">
    <cfRule type="duplicateValues" dxfId="439" priority="524"/>
  </conditionalFormatting>
  <conditionalFormatting sqref="B133">
    <cfRule type="duplicateValues" dxfId="438" priority="523"/>
  </conditionalFormatting>
  <conditionalFormatting sqref="B133">
    <cfRule type="duplicateValues" dxfId="437" priority="522"/>
  </conditionalFormatting>
  <conditionalFormatting sqref="B135">
    <cfRule type="duplicateValues" dxfId="436" priority="521"/>
  </conditionalFormatting>
  <conditionalFormatting sqref="B135">
    <cfRule type="duplicateValues" dxfId="435" priority="520"/>
  </conditionalFormatting>
  <conditionalFormatting sqref="B136:B137">
    <cfRule type="duplicateValues" dxfId="434" priority="519"/>
  </conditionalFormatting>
  <conditionalFormatting sqref="B136:B137">
    <cfRule type="duplicateValues" dxfId="433" priority="518"/>
  </conditionalFormatting>
  <conditionalFormatting sqref="B152">
    <cfRule type="duplicateValues" dxfId="432" priority="517"/>
  </conditionalFormatting>
  <conditionalFormatting sqref="B152">
    <cfRule type="duplicateValues" dxfId="431" priority="516"/>
  </conditionalFormatting>
  <conditionalFormatting sqref="B153">
    <cfRule type="duplicateValues" dxfId="430" priority="515"/>
  </conditionalFormatting>
  <conditionalFormatting sqref="B153">
    <cfRule type="duplicateValues" dxfId="429" priority="514"/>
  </conditionalFormatting>
  <conditionalFormatting sqref="B149">
    <cfRule type="duplicateValues" dxfId="428" priority="513"/>
  </conditionalFormatting>
  <conditionalFormatting sqref="B149">
    <cfRule type="duplicateValues" dxfId="427" priority="512"/>
  </conditionalFormatting>
  <conditionalFormatting sqref="B150">
    <cfRule type="duplicateValues" dxfId="426" priority="511"/>
  </conditionalFormatting>
  <conditionalFormatting sqref="B150">
    <cfRule type="duplicateValues" dxfId="425" priority="510"/>
  </conditionalFormatting>
  <conditionalFormatting sqref="B151">
    <cfRule type="duplicateValues" dxfId="424" priority="509"/>
  </conditionalFormatting>
  <conditionalFormatting sqref="B151">
    <cfRule type="duplicateValues" dxfId="423" priority="508"/>
  </conditionalFormatting>
  <conditionalFormatting sqref="B165">
    <cfRule type="duplicateValues" dxfId="422" priority="507"/>
  </conditionalFormatting>
  <conditionalFormatting sqref="B165">
    <cfRule type="duplicateValues" dxfId="421" priority="506"/>
  </conditionalFormatting>
  <conditionalFormatting sqref="B166">
    <cfRule type="duplicateValues" dxfId="420" priority="505"/>
  </conditionalFormatting>
  <conditionalFormatting sqref="B166">
    <cfRule type="duplicateValues" dxfId="419" priority="504"/>
  </conditionalFormatting>
  <conditionalFormatting sqref="B168">
    <cfRule type="duplicateValues" dxfId="418" priority="503"/>
  </conditionalFormatting>
  <conditionalFormatting sqref="B168">
    <cfRule type="duplicateValues" dxfId="417" priority="502"/>
  </conditionalFormatting>
  <conditionalFormatting sqref="B169">
    <cfRule type="duplicateValues" dxfId="416" priority="501"/>
  </conditionalFormatting>
  <conditionalFormatting sqref="B169">
    <cfRule type="duplicateValues" dxfId="415" priority="500"/>
  </conditionalFormatting>
  <conditionalFormatting sqref="B170">
    <cfRule type="duplicateValues" dxfId="414" priority="499"/>
  </conditionalFormatting>
  <conditionalFormatting sqref="B170">
    <cfRule type="duplicateValues" dxfId="413" priority="498"/>
  </conditionalFormatting>
  <conditionalFormatting sqref="B171">
    <cfRule type="duplicateValues" dxfId="412" priority="497"/>
  </conditionalFormatting>
  <conditionalFormatting sqref="B171">
    <cfRule type="duplicateValues" dxfId="411" priority="496"/>
  </conditionalFormatting>
  <conditionalFormatting sqref="B172">
    <cfRule type="duplicateValues" dxfId="410" priority="495"/>
  </conditionalFormatting>
  <conditionalFormatting sqref="B172">
    <cfRule type="duplicateValues" dxfId="409" priority="494"/>
  </conditionalFormatting>
  <conditionalFormatting sqref="B173">
    <cfRule type="duplicateValues" dxfId="408" priority="493"/>
  </conditionalFormatting>
  <conditionalFormatting sqref="B173">
    <cfRule type="duplicateValues" dxfId="407" priority="492"/>
  </conditionalFormatting>
  <conditionalFormatting sqref="B174">
    <cfRule type="duplicateValues" dxfId="406" priority="491"/>
  </conditionalFormatting>
  <conditionalFormatting sqref="B174">
    <cfRule type="duplicateValues" dxfId="405" priority="490"/>
  </conditionalFormatting>
  <conditionalFormatting sqref="B213">
    <cfRule type="duplicateValues" dxfId="404" priority="489"/>
  </conditionalFormatting>
  <conditionalFormatting sqref="B213">
    <cfRule type="duplicateValues" dxfId="403" priority="488"/>
  </conditionalFormatting>
  <conditionalFormatting sqref="B214">
    <cfRule type="duplicateValues" dxfId="402" priority="487"/>
  </conditionalFormatting>
  <conditionalFormatting sqref="B214">
    <cfRule type="duplicateValues" dxfId="401" priority="486"/>
  </conditionalFormatting>
  <conditionalFormatting sqref="B216">
    <cfRule type="duplicateValues" dxfId="400" priority="485"/>
  </conditionalFormatting>
  <conditionalFormatting sqref="B216">
    <cfRule type="duplicateValues" dxfId="399" priority="484"/>
  </conditionalFormatting>
  <conditionalFormatting sqref="B217">
    <cfRule type="duplicateValues" dxfId="398" priority="483"/>
  </conditionalFormatting>
  <conditionalFormatting sqref="B217">
    <cfRule type="duplicateValues" dxfId="397" priority="482"/>
  </conditionalFormatting>
  <conditionalFormatting sqref="B218">
    <cfRule type="duplicateValues" dxfId="396" priority="481"/>
  </conditionalFormatting>
  <conditionalFormatting sqref="B218">
    <cfRule type="duplicateValues" dxfId="395" priority="480"/>
  </conditionalFormatting>
  <conditionalFormatting sqref="B219">
    <cfRule type="duplicateValues" dxfId="394" priority="479"/>
  </conditionalFormatting>
  <conditionalFormatting sqref="B219">
    <cfRule type="duplicateValues" dxfId="393" priority="478"/>
  </conditionalFormatting>
  <conditionalFormatting sqref="B220">
    <cfRule type="duplicateValues" dxfId="392" priority="477"/>
  </conditionalFormatting>
  <conditionalFormatting sqref="B220">
    <cfRule type="duplicateValues" dxfId="391" priority="476"/>
  </conditionalFormatting>
  <conditionalFormatting sqref="B221">
    <cfRule type="duplicateValues" dxfId="390" priority="475"/>
  </conditionalFormatting>
  <conditionalFormatting sqref="B221">
    <cfRule type="duplicateValues" dxfId="389" priority="474"/>
  </conditionalFormatting>
  <conditionalFormatting sqref="B81">
    <cfRule type="duplicateValues" dxfId="388" priority="473"/>
  </conditionalFormatting>
  <conditionalFormatting sqref="B81">
    <cfRule type="duplicateValues" dxfId="387" priority="472"/>
  </conditionalFormatting>
  <conditionalFormatting sqref="B317:B329 B310:B315 B1:B166 B168:B297">
    <cfRule type="duplicateValues" dxfId="386" priority="471"/>
  </conditionalFormatting>
  <conditionalFormatting sqref="B215">
    <cfRule type="duplicateValues" dxfId="385" priority="470"/>
  </conditionalFormatting>
  <conditionalFormatting sqref="B215">
    <cfRule type="duplicateValues" dxfId="384" priority="469"/>
  </conditionalFormatting>
  <conditionalFormatting sqref="B127">
    <cfRule type="duplicateValues" dxfId="383" priority="468"/>
  </conditionalFormatting>
  <conditionalFormatting sqref="B127">
    <cfRule type="duplicateValues" dxfId="382" priority="467"/>
  </conditionalFormatting>
  <conditionalFormatting sqref="B126">
    <cfRule type="duplicateValues" dxfId="381" priority="466"/>
  </conditionalFormatting>
  <conditionalFormatting sqref="B126">
    <cfRule type="duplicateValues" dxfId="380" priority="465"/>
  </conditionalFormatting>
  <conditionalFormatting sqref="B134">
    <cfRule type="duplicateValues" dxfId="379" priority="464"/>
  </conditionalFormatting>
  <conditionalFormatting sqref="B134">
    <cfRule type="duplicateValues" dxfId="378" priority="463"/>
  </conditionalFormatting>
  <conditionalFormatting sqref="B303">
    <cfRule type="duplicateValues" dxfId="377" priority="462"/>
  </conditionalFormatting>
  <conditionalFormatting sqref="D303">
    <cfRule type="duplicateValues" dxfId="376" priority="461"/>
  </conditionalFormatting>
  <conditionalFormatting sqref="B303">
    <cfRule type="duplicateValues" dxfId="375" priority="460"/>
  </conditionalFormatting>
  <conditionalFormatting sqref="B303">
    <cfRule type="duplicateValues" dxfId="374" priority="459"/>
  </conditionalFormatting>
  <conditionalFormatting sqref="G60">
    <cfRule type="duplicateValues" dxfId="373" priority="458"/>
  </conditionalFormatting>
  <conditionalFormatting sqref="M316">
    <cfRule type="cellIs" dxfId="372" priority="457" operator="between">
      <formula>41487</formula>
      <formula>41517</formula>
    </cfRule>
  </conditionalFormatting>
  <conditionalFormatting sqref="B316">
    <cfRule type="duplicateValues" dxfId="371" priority="456"/>
  </conditionalFormatting>
  <conditionalFormatting sqref="B316">
    <cfRule type="duplicateValues" dxfId="370" priority="455"/>
  </conditionalFormatting>
  <conditionalFormatting sqref="M317">
    <cfRule type="cellIs" dxfId="369" priority="454" operator="between">
      <formula>41487</formula>
      <formula>41517</formula>
    </cfRule>
  </conditionalFormatting>
  <conditionalFormatting sqref="D311 D313:D315 D318:D329 D1:D166 D168:D297">
    <cfRule type="duplicateValues" dxfId="368" priority="453"/>
  </conditionalFormatting>
  <conditionalFormatting sqref="B1:B166 B168:B329">
    <cfRule type="duplicateValues" dxfId="367" priority="452"/>
  </conditionalFormatting>
  <conditionalFormatting sqref="D323">
    <cfRule type="duplicateValues" dxfId="366" priority="451"/>
  </conditionalFormatting>
  <conditionalFormatting sqref="D323">
    <cfRule type="duplicateValues" dxfId="365" priority="450"/>
  </conditionalFormatting>
  <conditionalFormatting sqref="D323">
    <cfRule type="duplicateValues" dxfId="364" priority="449"/>
  </conditionalFormatting>
  <conditionalFormatting sqref="D323">
    <cfRule type="duplicateValues" dxfId="363" priority="447"/>
    <cfRule type="duplicateValues" dxfId="362" priority="448"/>
  </conditionalFormatting>
  <conditionalFormatting sqref="D323">
    <cfRule type="duplicateValues" dxfId="361" priority="443"/>
    <cfRule type="duplicateValues" dxfId="360" priority="444"/>
    <cfRule type="duplicateValues" dxfId="359" priority="445"/>
    <cfRule type="duplicateValues" dxfId="358" priority="446"/>
  </conditionalFormatting>
  <conditionalFormatting sqref="D323">
    <cfRule type="duplicateValues" dxfId="357" priority="442"/>
  </conditionalFormatting>
  <conditionalFormatting sqref="D323">
    <cfRule type="duplicateValues" dxfId="356" priority="437"/>
    <cfRule type="duplicateValues" dxfId="355" priority="438"/>
    <cfRule type="duplicateValues" dxfId="354" priority="439"/>
    <cfRule type="duplicateValues" dxfId="353" priority="440"/>
    <cfRule type="duplicateValues" dxfId="352" priority="441"/>
  </conditionalFormatting>
  <conditionalFormatting sqref="D323">
    <cfRule type="duplicateValues" dxfId="351" priority="436"/>
  </conditionalFormatting>
  <conditionalFormatting sqref="D323">
    <cfRule type="duplicateValues" dxfId="350" priority="435"/>
  </conditionalFormatting>
  <conditionalFormatting sqref="D323">
    <cfRule type="duplicateValues" dxfId="349" priority="433"/>
    <cfRule type="duplicateValues" dxfId="348" priority="434"/>
  </conditionalFormatting>
  <conditionalFormatting sqref="D323">
    <cfRule type="duplicateValues" dxfId="347" priority="428"/>
    <cfRule type="duplicateValues" dxfId="346" priority="429"/>
    <cfRule type="duplicateValues" dxfId="345" priority="430"/>
    <cfRule type="duplicateValues" dxfId="344" priority="431"/>
    <cfRule type="duplicateValues" dxfId="343" priority="432"/>
  </conditionalFormatting>
  <conditionalFormatting sqref="D323">
    <cfRule type="duplicateValues" dxfId="342" priority="427"/>
  </conditionalFormatting>
  <conditionalFormatting sqref="D323">
    <cfRule type="duplicateValues" dxfId="341" priority="426"/>
  </conditionalFormatting>
  <conditionalFormatting sqref="D323">
    <cfRule type="duplicateValues" dxfId="340" priority="425"/>
  </conditionalFormatting>
  <conditionalFormatting sqref="B1077:B1078">
    <cfRule type="duplicateValues" dxfId="339" priority="424"/>
  </conditionalFormatting>
  <conditionalFormatting sqref="N316">
    <cfRule type="cellIs" dxfId="338" priority="422" operator="between">
      <formula>41487</formula>
      <formula>41517</formula>
    </cfRule>
  </conditionalFormatting>
  <conditionalFormatting sqref="N317">
    <cfRule type="cellIs" dxfId="337" priority="421" operator="between">
      <formula>41487</formula>
      <formula>41517</formula>
    </cfRule>
  </conditionalFormatting>
  <conditionalFormatting sqref="D422">
    <cfRule type="duplicateValues" dxfId="336" priority="420"/>
  </conditionalFormatting>
  <conditionalFormatting sqref="B422">
    <cfRule type="duplicateValues" dxfId="335" priority="419"/>
  </conditionalFormatting>
  <conditionalFormatting sqref="B422">
    <cfRule type="duplicateValues" dxfId="334" priority="418"/>
  </conditionalFormatting>
  <conditionalFormatting sqref="B422">
    <cfRule type="duplicateValues" dxfId="333" priority="417"/>
  </conditionalFormatting>
  <conditionalFormatting sqref="B233:B242">
    <cfRule type="duplicateValues" dxfId="332" priority="416"/>
  </conditionalFormatting>
  <conditionalFormatting sqref="B233:B242">
    <cfRule type="duplicateValues" dxfId="331" priority="415"/>
  </conditionalFormatting>
  <conditionalFormatting sqref="B167">
    <cfRule type="duplicateValues" dxfId="330" priority="414"/>
  </conditionalFormatting>
  <conditionalFormatting sqref="B167">
    <cfRule type="duplicateValues" dxfId="329" priority="413"/>
  </conditionalFormatting>
  <conditionalFormatting sqref="B167">
    <cfRule type="duplicateValues" dxfId="328" priority="412"/>
  </conditionalFormatting>
  <conditionalFormatting sqref="M167:N167">
    <cfRule type="cellIs" dxfId="327" priority="411" operator="between">
      <formula>41487</formula>
      <formula>41517</formula>
    </cfRule>
  </conditionalFormatting>
  <conditionalFormatting sqref="M775:N775">
    <cfRule type="cellIs" dxfId="326" priority="408" operator="between">
      <formula>41487</formula>
      <formula>41517</formula>
    </cfRule>
  </conditionalFormatting>
  <conditionalFormatting sqref="D662">
    <cfRule type="duplicateValues" dxfId="325" priority="407"/>
  </conditionalFormatting>
  <conditionalFormatting sqref="D662">
    <cfRule type="duplicateValues" dxfId="324" priority="406"/>
  </conditionalFormatting>
  <conditionalFormatting sqref="D662">
    <cfRule type="duplicateValues" dxfId="323" priority="405"/>
  </conditionalFormatting>
  <conditionalFormatting sqref="D662">
    <cfRule type="duplicateValues" dxfId="322" priority="404"/>
  </conditionalFormatting>
  <conditionalFormatting sqref="D662">
    <cfRule type="duplicateValues" dxfId="321" priority="402"/>
    <cfRule type="duplicateValues" dxfId="320" priority="403"/>
  </conditionalFormatting>
  <conditionalFormatting sqref="D662">
    <cfRule type="duplicateValues" dxfId="319" priority="398"/>
    <cfRule type="duplicateValues" dxfId="318" priority="399"/>
    <cfRule type="duplicateValues" dxfId="317" priority="400"/>
    <cfRule type="duplicateValues" dxfId="316" priority="401"/>
  </conditionalFormatting>
  <conditionalFormatting sqref="D662">
    <cfRule type="duplicateValues" dxfId="315" priority="393"/>
    <cfRule type="duplicateValues" dxfId="314" priority="394"/>
    <cfRule type="duplicateValues" dxfId="313" priority="395"/>
    <cfRule type="duplicateValues" dxfId="312" priority="396"/>
    <cfRule type="duplicateValues" dxfId="311" priority="397"/>
  </conditionalFormatting>
  <conditionalFormatting sqref="D662">
    <cfRule type="duplicateValues" dxfId="310" priority="391"/>
    <cfRule type="duplicateValues" dxfId="309" priority="392"/>
  </conditionalFormatting>
  <conditionalFormatting sqref="D662">
    <cfRule type="duplicateValues" dxfId="308" priority="390"/>
  </conditionalFormatting>
  <conditionalFormatting sqref="D662">
    <cfRule type="duplicateValues" dxfId="307" priority="388"/>
    <cfRule type="duplicateValues" dxfId="306" priority="389"/>
  </conditionalFormatting>
  <conditionalFormatting sqref="D662">
    <cfRule type="duplicateValues" dxfId="305" priority="384"/>
    <cfRule type="duplicateValues" dxfId="304" priority="385"/>
    <cfRule type="duplicateValues" dxfId="303" priority="386"/>
    <cfRule type="duplicateValues" dxfId="302" priority="387"/>
  </conditionalFormatting>
  <conditionalFormatting sqref="D662">
    <cfRule type="duplicateValues" dxfId="301" priority="379"/>
    <cfRule type="duplicateValues" dxfId="300" priority="380"/>
    <cfRule type="duplicateValues" dxfId="299" priority="381"/>
    <cfRule type="duplicateValues" dxfId="298" priority="382"/>
    <cfRule type="duplicateValues" dxfId="297" priority="383"/>
  </conditionalFormatting>
  <conditionalFormatting sqref="D642">
    <cfRule type="duplicateValues" dxfId="296" priority="378"/>
  </conditionalFormatting>
  <conditionalFormatting sqref="D729">
    <cfRule type="duplicateValues" dxfId="295" priority="377"/>
  </conditionalFormatting>
  <conditionalFormatting sqref="D729">
    <cfRule type="duplicateValues" dxfId="294" priority="376"/>
  </conditionalFormatting>
  <conditionalFormatting sqref="D729">
    <cfRule type="duplicateValues" dxfId="293" priority="375"/>
  </conditionalFormatting>
  <conditionalFormatting sqref="D729">
    <cfRule type="duplicateValues" dxfId="292" priority="374"/>
  </conditionalFormatting>
  <conditionalFormatting sqref="D729">
    <cfRule type="duplicateValues" dxfId="291" priority="372"/>
    <cfRule type="duplicateValues" dxfId="290" priority="373"/>
  </conditionalFormatting>
  <conditionalFormatting sqref="D729">
    <cfRule type="duplicateValues" dxfId="289" priority="368"/>
    <cfRule type="duplicateValues" dxfId="288" priority="369"/>
    <cfRule type="duplicateValues" dxfId="287" priority="370"/>
    <cfRule type="duplicateValues" dxfId="286" priority="371"/>
  </conditionalFormatting>
  <conditionalFormatting sqref="D729">
    <cfRule type="duplicateValues" dxfId="285" priority="363"/>
    <cfRule type="duplicateValues" dxfId="284" priority="364"/>
    <cfRule type="duplicateValues" dxfId="283" priority="365"/>
    <cfRule type="duplicateValues" dxfId="282" priority="366"/>
    <cfRule type="duplicateValues" dxfId="281" priority="367"/>
  </conditionalFormatting>
  <conditionalFormatting sqref="D729">
    <cfRule type="duplicateValues" dxfId="280" priority="361"/>
    <cfRule type="duplicateValues" dxfId="279" priority="362"/>
  </conditionalFormatting>
  <conditionalFormatting sqref="D729">
    <cfRule type="duplicateValues" dxfId="278" priority="360"/>
  </conditionalFormatting>
  <conditionalFormatting sqref="D729">
    <cfRule type="duplicateValues" dxfId="277" priority="358"/>
    <cfRule type="duplicateValues" dxfId="276" priority="359"/>
  </conditionalFormatting>
  <conditionalFormatting sqref="D729">
    <cfRule type="duplicateValues" dxfId="275" priority="354"/>
    <cfRule type="duplicateValues" dxfId="274" priority="355"/>
    <cfRule type="duplicateValues" dxfId="273" priority="356"/>
    <cfRule type="duplicateValues" dxfId="272" priority="357"/>
  </conditionalFormatting>
  <conditionalFormatting sqref="D729">
    <cfRule type="duplicateValues" dxfId="271" priority="349"/>
    <cfRule type="duplicateValues" dxfId="270" priority="350"/>
    <cfRule type="duplicateValues" dxfId="269" priority="351"/>
    <cfRule type="duplicateValues" dxfId="268" priority="352"/>
    <cfRule type="duplicateValues" dxfId="267" priority="353"/>
  </conditionalFormatting>
  <conditionalFormatting sqref="D850">
    <cfRule type="duplicateValues" dxfId="266" priority="348"/>
  </conditionalFormatting>
  <conditionalFormatting sqref="D850">
    <cfRule type="duplicateValues" dxfId="265" priority="347"/>
  </conditionalFormatting>
  <conditionalFormatting sqref="D850">
    <cfRule type="duplicateValues" dxfId="264" priority="346"/>
  </conditionalFormatting>
  <conditionalFormatting sqref="D850">
    <cfRule type="duplicateValues" dxfId="263" priority="345"/>
  </conditionalFormatting>
  <conditionalFormatting sqref="D850">
    <cfRule type="duplicateValues" dxfId="262" priority="343"/>
    <cfRule type="duplicateValues" dxfId="261" priority="344"/>
  </conditionalFormatting>
  <conditionalFormatting sqref="D850">
    <cfRule type="duplicateValues" dxfId="260" priority="339"/>
    <cfRule type="duplicateValues" dxfId="259" priority="340"/>
    <cfRule type="duplicateValues" dxfId="258" priority="341"/>
    <cfRule type="duplicateValues" dxfId="257" priority="342"/>
  </conditionalFormatting>
  <conditionalFormatting sqref="D850">
    <cfRule type="duplicateValues" dxfId="256" priority="338"/>
  </conditionalFormatting>
  <conditionalFormatting sqref="D850">
    <cfRule type="duplicateValues" dxfId="255" priority="333"/>
    <cfRule type="duplicateValues" dxfId="254" priority="334"/>
    <cfRule type="duplicateValues" dxfId="253" priority="335"/>
    <cfRule type="duplicateValues" dxfId="252" priority="336"/>
    <cfRule type="duplicateValues" dxfId="251" priority="337"/>
  </conditionalFormatting>
  <conditionalFormatting sqref="D850">
    <cfRule type="duplicateValues" dxfId="250" priority="331"/>
    <cfRule type="duplicateValues" dxfId="249" priority="332"/>
  </conditionalFormatting>
  <conditionalFormatting sqref="D850">
    <cfRule type="duplicateValues" dxfId="248" priority="326"/>
    <cfRule type="duplicateValues" dxfId="247" priority="327"/>
    <cfRule type="duplicateValues" dxfId="246" priority="328"/>
    <cfRule type="duplicateValues" dxfId="245" priority="329"/>
    <cfRule type="duplicateValues" dxfId="244" priority="330"/>
  </conditionalFormatting>
  <conditionalFormatting sqref="D850">
    <cfRule type="duplicateValues" dxfId="243" priority="325"/>
  </conditionalFormatting>
  <conditionalFormatting sqref="D850">
    <cfRule type="duplicateValues" dxfId="242" priority="323"/>
    <cfRule type="duplicateValues" dxfId="241" priority="324"/>
  </conditionalFormatting>
  <conditionalFormatting sqref="D850">
    <cfRule type="duplicateValues" dxfId="240" priority="319"/>
    <cfRule type="duplicateValues" dxfId="239" priority="320"/>
    <cfRule type="duplicateValues" dxfId="238" priority="321"/>
    <cfRule type="duplicateValues" dxfId="237" priority="322"/>
  </conditionalFormatting>
  <conditionalFormatting sqref="D850">
    <cfRule type="duplicateValues" dxfId="236" priority="314"/>
    <cfRule type="duplicateValues" dxfId="235" priority="315"/>
    <cfRule type="duplicateValues" dxfId="234" priority="316"/>
    <cfRule type="duplicateValues" dxfId="233" priority="317"/>
    <cfRule type="duplicateValues" dxfId="232" priority="318"/>
  </conditionalFormatting>
  <conditionalFormatting sqref="D890">
    <cfRule type="duplicateValues" dxfId="231" priority="313"/>
  </conditionalFormatting>
  <conditionalFormatting sqref="B82:B118 B3:B80">
    <cfRule type="duplicateValues" dxfId="230" priority="311"/>
  </conditionalFormatting>
  <conditionalFormatting sqref="B138:B148">
    <cfRule type="duplicateValues" dxfId="229" priority="310"/>
  </conditionalFormatting>
  <conditionalFormatting sqref="B138:B148">
    <cfRule type="duplicateValues" dxfId="228" priority="309"/>
  </conditionalFormatting>
  <conditionalFormatting sqref="B154:B164">
    <cfRule type="duplicateValues" dxfId="227" priority="308"/>
  </conditionalFormatting>
  <conditionalFormatting sqref="B154:B164">
    <cfRule type="duplicateValues" dxfId="226" priority="307"/>
  </conditionalFormatting>
  <conditionalFormatting sqref="B175:B212">
    <cfRule type="duplicateValues" dxfId="225" priority="306"/>
  </conditionalFormatting>
  <conditionalFormatting sqref="B175:B212">
    <cfRule type="duplicateValues" dxfId="224" priority="305"/>
  </conditionalFormatting>
  <conditionalFormatting sqref="B168:B212 B82:B166 B3:B80">
    <cfRule type="duplicateValues" dxfId="223" priority="304"/>
  </conditionalFormatting>
  <conditionalFormatting sqref="B222:B232">
    <cfRule type="duplicateValues" dxfId="222" priority="303"/>
  </conditionalFormatting>
  <conditionalFormatting sqref="B222:B232">
    <cfRule type="duplicateValues" dxfId="221" priority="302"/>
  </conditionalFormatting>
  <conditionalFormatting sqref="B243:B280">
    <cfRule type="duplicateValues" dxfId="220" priority="301"/>
  </conditionalFormatting>
  <conditionalFormatting sqref="B243:B280">
    <cfRule type="duplicateValues" dxfId="219" priority="300"/>
  </conditionalFormatting>
  <conditionalFormatting sqref="B304:B309 B298:B302">
    <cfRule type="duplicateValues" dxfId="218" priority="299"/>
  </conditionalFormatting>
  <conditionalFormatting sqref="D304:D309 D298:D302">
    <cfRule type="duplicateValues" dxfId="217" priority="298"/>
  </conditionalFormatting>
  <conditionalFormatting sqref="B304:B309 B298:B302">
    <cfRule type="duplicateValues" dxfId="216" priority="297"/>
  </conditionalFormatting>
  <conditionalFormatting sqref="B317:B329 B310:B315 B281:B297">
    <cfRule type="duplicateValues" dxfId="215" priority="296"/>
  </conditionalFormatting>
  <conditionalFormatting sqref="B317:B329 B310:B315 B281:B297">
    <cfRule type="duplicateValues" dxfId="214" priority="295"/>
  </conditionalFormatting>
  <conditionalFormatting sqref="D472:D474">
    <cfRule type="duplicateValues" dxfId="213" priority="294"/>
  </conditionalFormatting>
  <conditionalFormatting sqref="B472:B474">
    <cfRule type="duplicateValues" dxfId="212" priority="293"/>
  </conditionalFormatting>
  <conditionalFormatting sqref="B472:B474">
    <cfRule type="duplicateValues" dxfId="211" priority="292"/>
  </conditionalFormatting>
  <conditionalFormatting sqref="D557:D577">
    <cfRule type="duplicateValues" dxfId="210" priority="291"/>
  </conditionalFormatting>
  <conditionalFormatting sqref="B557:B577">
    <cfRule type="duplicateValues" dxfId="209" priority="290"/>
  </conditionalFormatting>
  <conditionalFormatting sqref="B557:B577">
    <cfRule type="duplicateValues" dxfId="208" priority="289"/>
  </conditionalFormatting>
  <conditionalFormatting sqref="D621:D622">
    <cfRule type="duplicateValues" dxfId="207" priority="288"/>
  </conditionalFormatting>
  <conditionalFormatting sqref="D776:D887 D624 D626:D641 D643:D774">
    <cfRule type="duplicateValues" dxfId="206" priority="287"/>
  </conditionalFormatting>
  <conditionalFormatting sqref="D891:D929 D888:D889">
    <cfRule type="duplicateValues" dxfId="205" priority="286"/>
  </conditionalFormatting>
  <conditionalFormatting sqref="C1013:D1054 C1056:D1057">
    <cfRule type="duplicateValues" dxfId="204" priority="281"/>
  </conditionalFormatting>
  <conditionalFormatting sqref="C1013:C1054 C1056:C1057">
    <cfRule type="duplicateValues" dxfId="203" priority="277"/>
    <cfRule type="duplicateValues" dxfId="202" priority="278"/>
    <cfRule type="duplicateValues" dxfId="201" priority="279"/>
    <cfRule type="duplicateValues" dxfId="200" priority="280"/>
  </conditionalFormatting>
  <conditionalFormatting sqref="C1013:C1054 C1056:C1057">
    <cfRule type="duplicateValues" dxfId="199" priority="276"/>
  </conditionalFormatting>
  <conditionalFormatting sqref="C1013:C1054 C1056:C1057">
    <cfRule type="duplicateValues" dxfId="198" priority="275"/>
  </conditionalFormatting>
  <conditionalFormatting sqref="C1013:C1054 C1056:C1057">
    <cfRule type="duplicateValues" dxfId="197" priority="270"/>
    <cfRule type="duplicateValues" dxfId="196" priority="271"/>
    <cfRule type="duplicateValues" dxfId="195" priority="272"/>
    <cfRule type="duplicateValues" dxfId="194" priority="273"/>
    <cfRule type="duplicateValues" dxfId="193" priority="274"/>
  </conditionalFormatting>
  <conditionalFormatting sqref="C1013:C1054 C1056:C1057">
    <cfRule type="duplicateValues" dxfId="192" priority="269"/>
  </conditionalFormatting>
  <conditionalFormatting sqref="C1013:C1054 C1056:C1057">
    <cfRule type="duplicateValues" dxfId="191" priority="268"/>
  </conditionalFormatting>
  <conditionalFormatting sqref="C1013:C1054 C1056:C1057">
    <cfRule type="duplicateValues" dxfId="190" priority="267"/>
  </conditionalFormatting>
  <conditionalFormatting sqref="C1013:C1054 C1056:C1057">
    <cfRule type="duplicateValues" dxfId="189" priority="265"/>
    <cfRule type="duplicateValues" dxfId="188" priority="266"/>
  </conditionalFormatting>
  <conditionalFormatting sqref="D1013:D1054 D1056:D1057">
    <cfRule type="duplicateValues" dxfId="187" priority="264"/>
  </conditionalFormatting>
  <conditionalFormatting sqref="C1013:C1054 C1056:C1057">
    <cfRule type="duplicateValues" dxfId="186" priority="263"/>
  </conditionalFormatting>
  <conditionalFormatting sqref="C1013:C1054 C1056:C1057">
    <cfRule type="duplicateValues" dxfId="185" priority="262"/>
  </conditionalFormatting>
  <conditionalFormatting sqref="C1013:C1054 C1056:C1057">
    <cfRule type="duplicateValues" dxfId="184" priority="261"/>
  </conditionalFormatting>
  <conditionalFormatting sqref="C1013:C1054 C1056:C1057">
    <cfRule type="duplicateValues" dxfId="183" priority="260"/>
  </conditionalFormatting>
  <conditionalFormatting sqref="C1013:C1054 C1056:C1057">
    <cfRule type="duplicateValues" dxfId="182" priority="259"/>
  </conditionalFormatting>
  <conditionalFormatting sqref="C1013:C1054 C1056:C1057">
    <cfRule type="duplicateValues" dxfId="181" priority="258"/>
  </conditionalFormatting>
  <conditionalFormatting sqref="C1013:C1054 C1056:C1057">
    <cfRule type="duplicateValues" dxfId="180" priority="256"/>
    <cfRule type="duplicateValues" dxfId="179" priority="257"/>
  </conditionalFormatting>
  <conditionalFormatting sqref="C1013:C1054 C1056:C1057">
    <cfRule type="duplicateValues" dxfId="178" priority="252"/>
    <cfRule type="duplicateValues" dxfId="177" priority="253"/>
    <cfRule type="duplicateValues" dxfId="176" priority="254"/>
    <cfRule type="duplicateValues" dxfId="175" priority="255"/>
  </conditionalFormatting>
  <conditionalFormatting sqref="C1013:C1054 C1056:C1057">
    <cfRule type="duplicateValues" dxfId="174" priority="247"/>
    <cfRule type="duplicateValues" dxfId="173" priority="248"/>
    <cfRule type="duplicateValues" dxfId="172" priority="249"/>
    <cfRule type="duplicateValues" dxfId="171" priority="250"/>
    <cfRule type="duplicateValues" dxfId="170" priority="251"/>
  </conditionalFormatting>
  <conditionalFormatting sqref="C1013:C1054 C1056:C1057">
    <cfRule type="duplicateValues" dxfId="169" priority="246"/>
  </conditionalFormatting>
  <conditionalFormatting sqref="C1013:C1054 C1056:C1057">
    <cfRule type="duplicateValues" dxfId="168" priority="245"/>
  </conditionalFormatting>
  <conditionalFormatting sqref="B1013:B1054 B1056:B1057">
    <cfRule type="duplicateValues" dxfId="167" priority="244"/>
  </conditionalFormatting>
  <conditionalFormatting sqref="B1013:B1054 B1056:B1057">
    <cfRule type="duplicateValues" dxfId="166" priority="243"/>
  </conditionalFormatting>
  <conditionalFormatting sqref="B1013:B1054 B1056:B1057">
    <cfRule type="duplicateValues" dxfId="165" priority="242"/>
  </conditionalFormatting>
  <conditionalFormatting sqref="B1013:B1054 B1056:B1057">
    <cfRule type="duplicateValues" dxfId="164" priority="241"/>
  </conditionalFormatting>
  <conditionalFormatting sqref="C1055:D1055">
    <cfRule type="duplicateValues" dxfId="163" priority="240"/>
  </conditionalFormatting>
  <conditionalFormatting sqref="C1055">
    <cfRule type="duplicateValues" dxfId="162" priority="236"/>
    <cfRule type="duplicateValues" dxfId="161" priority="237"/>
    <cfRule type="duplicateValues" dxfId="160" priority="238"/>
    <cfRule type="duplicateValues" dxfId="159" priority="239"/>
  </conditionalFormatting>
  <conditionalFormatting sqref="C1055">
    <cfRule type="duplicateValues" dxfId="158" priority="235"/>
  </conditionalFormatting>
  <conditionalFormatting sqref="C1055">
    <cfRule type="duplicateValues" dxfId="157" priority="234"/>
  </conditionalFormatting>
  <conditionalFormatting sqref="C1055">
    <cfRule type="duplicateValues" dxfId="156" priority="229"/>
    <cfRule type="duplicateValues" dxfId="155" priority="230"/>
    <cfRule type="duplicateValues" dxfId="154" priority="231"/>
    <cfRule type="duplicateValues" dxfId="153" priority="232"/>
    <cfRule type="duplicateValues" dxfId="152" priority="233"/>
  </conditionalFormatting>
  <conditionalFormatting sqref="C1055">
    <cfRule type="duplicateValues" dxfId="151" priority="228"/>
  </conditionalFormatting>
  <conditionalFormatting sqref="C1055">
    <cfRule type="duplicateValues" dxfId="150" priority="227"/>
  </conditionalFormatting>
  <conditionalFormatting sqref="C1055">
    <cfRule type="duplicateValues" dxfId="149" priority="226"/>
  </conditionalFormatting>
  <conditionalFormatting sqref="C1055">
    <cfRule type="duplicateValues" dxfId="148" priority="224"/>
    <cfRule type="duplicateValues" dxfId="147" priority="225"/>
  </conditionalFormatting>
  <conditionalFormatting sqref="D1055">
    <cfRule type="duplicateValues" dxfId="146" priority="223"/>
  </conditionalFormatting>
  <conditionalFormatting sqref="C1055">
    <cfRule type="duplicateValues" dxfId="145" priority="222"/>
  </conditionalFormatting>
  <conditionalFormatting sqref="C1055">
    <cfRule type="duplicateValues" dxfId="144" priority="221"/>
  </conditionalFormatting>
  <conditionalFormatting sqref="C1055">
    <cfRule type="duplicateValues" dxfId="143" priority="220"/>
  </conditionalFormatting>
  <conditionalFormatting sqref="C1055">
    <cfRule type="duplicateValues" dxfId="142" priority="219"/>
  </conditionalFormatting>
  <conditionalFormatting sqref="C1055">
    <cfRule type="duplicateValues" dxfId="141" priority="218"/>
  </conditionalFormatting>
  <conditionalFormatting sqref="C1055">
    <cfRule type="duplicateValues" dxfId="140" priority="217"/>
  </conditionalFormatting>
  <conditionalFormatting sqref="C1055">
    <cfRule type="duplicateValues" dxfId="139" priority="215"/>
    <cfRule type="duplicateValues" dxfId="138" priority="216"/>
  </conditionalFormatting>
  <conditionalFormatting sqref="C1055">
    <cfRule type="duplicateValues" dxfId="137" priority="211"/>
    <cfRule type="duplicateValues" dxfId="136" priority="212"/>
    <cfRule type="duplicateValues" dxfId="135" priority="213"/>
    <cfRule type="duplicateValues" dxfId="134" priority="214"/>
  </conditionalFormatting>
  <conditionalFormatting sqref="C1055">
    <cfRule type="duplicateValues" dxfId="133" priority="206"/>
    <cfRule type="duplicateValues" dxfId="132" priority="207"/>
    <cfRule type="duplicateValues" dxfId="131" priority="208"/>
    <cfRule type="duplicateValues" dxfId="130" priority="209"/>
    <cfRule type="duplicateValues" dxfId="129" priority="210"/>
  </conditionalFormatting>
  <conditionalFormatting sqref="C1055">
    <cfRule type="duplicateValues" dxfId="128" priority="205"/>
  </conditionalFormatting>
  <conditionalFormatting sqref="C1055">
    <cfRule type="duplicateValues" dxfId="127" priority="204"/>
  </conditionalFormatting>
  <conditionalFormatting sqref="B1055">
    <cfRule type="duplicateValues" dxfId="126" priority="203"/>
  </conditionalFormatting>
  <conditionalFormatting sqref="B1055">
    <cfRule type="duplicateValues" dxfId="125" priority="202"/>
  </conditionalFormatting>
  <conditionalFormatting sqref="B1055">
    <cfRule type="duplicateValues" dxfId="124" priority="201"/>
  </conditionalFormatting>
  <conditionalFormatting sqref="B1055">
    <cfRule type="duplicateValues" dxfId="123" priority="200"/>
  </conditionalFormatting>
  <conditionalFormatting sqref="C1058:D1073">
    <cfRule type="duplicateValues" dxfId="122" priority="198"/>
  </conditionalFormatting>
  <conditionalFormatting sqref="C1058:C1073">
    <cfRule type="duplicateValues" dxfId="121" priority="194"/>
    <cfRule type="duplicateValues" dxfId="120" priority="195"/>
    <cfRule type="duplicateValues" dxfId="119" priority="196"/>
    <cfRule type="duplicateValues" dxfId="118" priority="197"/>
  </conditionalFormatting>
  <conditionalFormatting sqref="C1058:C1073">
    <cfRule type="duplicateValues" dxfId="117" priority="193"/>
  </conditionalFormatting>
  <conditionalFormatting sqref="C1058:C1073">
    <cfRule type="duplicateValues" dxfId="116" priority="188"/>
    <cfRule type="duplicateValues" dxfId="115" priority="189"/>
    <cfRule type="duplicateValues" dxfId="114" priority="190"/>
    <cfRule type="duplicateValues" dxfId="113" priority="191"/>
    <cfRule type="duplicateValues" dxfId="112" priority="192"/>
  </conditionalFormatting>
  <conditionalFormatting sqref="C1058:C1073">
    <cfRule type="duplicateValues" dxfId="111" priority="186"/>
    <cfRule type="duplicateValues" dxfId="110" priority="187"/>
  </conditionalFormatting>
  <conditionalFormatting sqref="D1058:D1073">
    <cfRule type="duplicateValues" dxfId="109" priority="185"/>
  </conditionalFormatting>
  <conditionalFormatting sqref="C1058:C1073">
    <cfRule type="duplicateValues" dxfId="108" priority="184"/>
  </conditionalFormatting>
  <conditionalFormatting sqref="C1058:C1073">
    <cfRule type="duplicateValues" dxfId="107" priority="183"/>
  </conditionalFormatting>
  <conditionalFormatting sqref="B1058:B1073">
    <cfRule type="duplicateValues" dxfId="106" priority="182"/>
  </conditionalFormatting>
  <conditionalFormatting sqref="B1058:B1073">
    <cfRule type="duplicateValues" dxfId="105" priority="181"/>
  </conditionalFormatting>
  <conditionalFormatting sqref="B1058:B1073">
    <cfRule type="duplicateValues" dxfId="104" priority="180"/>
  </conditionalFormatting>
  <conditionalFormatting sqref="C1074">
    <cfRule type="duplicateValues" dxfId="103" priority="179"/>
  </conditionalFormatting>
  <conditionalFormatting sqref="C1074">
    <cfRule type="duplicateValues" dxfId="102" priority="178"/>
  </conditionalFormatting>
  <conditionalFormatting sqref="C1074">
    <cfRule type="duplicateValues" dxfId="101" priority="176"/>
    <cfRule type="duplicateValues" dxfId="100" priority="177"/>
  </conditionalFormatting>
  <conditionalFormatting sqref="C1074:D1074">
    <cfRule type="duplicateValues" dxfId="99" priority="175"/>
  </conditionalFormatting>
  <conditionalFormatting sqref="C1074">
    <cfRule type="duplicateValues" dxfId="98" priority="171"/>
    <cfRule type="duplicateValues" dxfId="97" priority="172"/>
    <cfRule type="duplicateValues" dxfId="96" priority="173"/>
    <cfRule type="duplicateValues" dxfId="95" priority="174"/>
  </conditionalFormatting>
  <conditionalFormatting sqref="C1074">
    <cfRule type="duplicateValues" dxfId="94" priority="166"/>
    <cfRule type="duplicateValues" dxfId="93" priority="167"/>
    <cfRule type="duplicateValues" dxfId="92" priority="168"/>
    <cfRule type="duplicateValues" dxfId="91" priority="169"/>
    <cfRule type="duplicateValues" dxfId="90" priority="170"/>
  </conditionalFormatting>
  <conditionalFormatting sqref="C1074">
    <cfRule type="duplicateValues" dxfId="89" priority="164"/>
    <cfRule type="duplicateValues" dxfId="88" priority="165"/>
  </conditionalFormatting>
  <conditionalFormatting sqref="C1074">
    <cfRule type="duplicateValues" dxfId="87" priority="163"/>
  </conditionalFormatting>
  <conditionalFormatting sqref="C1074">
    <cfRule type="duplicateValues" dxfId="86" priority="162"/>
  </conditionalFormatting>
  <conditionalFormatting sqref="C1074">
    <cfRule type="duplicateValues" dxfId="85" priority="161"/>
  </conditionalFormatting>
  <conditionalFormatting sqref="B1074">
    <cfRule type="duplicateValues" dxfId="84" priority="160"/>
  </conditionalFormatting>
  <conditionalFormatting sqref="B1074">
    <cfRule type="duplicateValues" dxfId="83" priority="159"/>
  </conditionalFormatting>
  <conditionalFormatting sqref="B1074">
    <cfRule type="duplicateValues" dxfId="82" priority="158"/>
  </conditionalFormatting>
  <conditionalFormatting sqref="B1074">
    <cfRule type="duplicateValues" dxfId="81" priority="157"/>
  </conditionalFormatting>
  <conditionalFormatting sqref="C1075">
    <cfRule type="duplicateValues" dxfId="80" priority="156"/>
  </conditionalFormatting>
  <conditionalFormatting sqref="C1075">
    <cfRule type="duplicateValues" dxfId="79" priority="155"/>
  </conditionalFormatting>
  <conditionalFormatting sqref="C1075">
    <cfRule type="duplicateValues" dxfId="78" priority="153"/>
    <cfRule type="duplicateValues" dxfId="77" priority="154"/>
  </conditionalFormatting>
  <conditionalFormatting sqref="C1075:D1075">
    <cfRule type="duplicateValues" dxfId="76" priority="152"/>
  </conditionalFormatting>
  <conditionalFormatting sqref="C1075">
    <cfRule type="duplicateValues" dxfId="75" priority="148"/>
    <cfRule type="duplicateValues" dxfId="74" priority="149"/>
    <cfRule type="duplicateValues" dxfId="73" priority="150"/>
    <cfRule type="duplicateValues" dxfId="72" priority="151"/>
  </conditionalFormatting>
  <conditionalFormatting sqref="C1075">
    <cfRule type="duplicateValues" dxfId="71" priority="143"/>
    <cfRule type="duplicateValues" dxfId="70" priority="144"/>
    <cfRule type="duplicateValues" dxfId="69" priority="145"/>
    <cfRule type="duplicateValues" dxfId="68" priority="146"/>
    <cfRule type="duplicateValues" dxfId="67" priority="147"/>
  </conditionalFormatting>
  <conditionalFormatting sqref="C1075">
    <cfRule type="duplicateValues" dxfId="66" priority="141"/>
    <cfRule type="duplicateValues" dxfId="65" priority="142"/>
  </conditionalFormatting>
  <conditionalFormatting sqref="C1075">
    <cfRule type="duplicateValues" dxfId="64" priority="140"/>
  </conditionalFormatting>
  <conditionalFormatting sqref="C1075">
    <cfRule type="duplicateValues" dxfId="63" priority="139"/>
  </conditionalFormatting>
  <conditionalFormatting sqref="C1075">
    <cfRule type="duplicateValues" dxfId="62" priority="138"/>
  </conditionalFormatting>
  <conditionalFormatting sqref="B1075">
    <cfRule type="duplicateValues" dxfId="61" priority="137"/>
  </conditionalFormatting>
  <conditionalFormatting sqref="B1075">
    <cfRule type="duplicateValues" dxfId="60" priority="136"/>
  </conditionalFormatting>
  <conditionalFormatting sqref="B1075">
    <cfRule type="duplicateValues" dxfId="59" priority="135"/>
  </conditionalFormatting>
  <conditionalFormatting sqref="B1075">
    <cfRule type="duplicateValues" dxfId="58" priority="134"/>
  </conditionalFormatting>
  <conditionalFormatting sqref="C1076">
    <cfRule type="duplicateValues" dxfId="57" priority="133"/>
  </conditionalFormatting>
  <conditionalFormatting sqref="C1076">
    <cfRule type="duplicateValues" dxfId="56" priority="132"/>
  </conditionalFormatting>
  <conditionalFormatting sqref="C1076">
    <cfRule type="duplicateValues" dxfId="55" priority="131"/>
  </conditionalFormatting>
  <conditionalFormatting sqref="C1076">
    <cfRule type="duplicateValues" dxfId="54" priority="130"/>
  </conditionalFormatting>
  <conditionalFormatting sqref="C1076">
    <cfRule type="duplicateValues" dxfId="53" priority="128"/>
    <cfRule type="duplicateValues" dxfId="52" priority="129"/>
  </conditionalFormatting>
  <conditionalFormatting sqref="C1076:D1076">
    <cfRule type="duplicateValues" dxfId="51" priority="127"/>
  </conditionalFormatting>
  <conditionalFormatting sqref="C1076">
    <cfRule type="duplicateValues" dxfId="50" priority="123"/>
    <cfRule type="duplicateValues" dxfId="49" priority="124"/>
    <cfRule type="duplicateValues" dxfId="48" priority="125"/>
    <cfRule type="duplicateValues" dxfId="47" priority="126"/>
  </conditionalFormatting>
  <conditionalFormatting sqref="C1076">
    <cfRule type="duplicateValues" dxfId="46" priority="122"/>
  </conditionalFormatting>
  <conditionalFormatting sqref="C1076">
    <cfRule type="duplicateValues" dxfId="45" priority="117"/>
    <cfRule type="duplicateValues" dxfId="44" priority="118"/>
    <cfRule type="duplicateValues" dxfId="43" priority="119"/>
    <cfRule type="duplicateValues" dxfId="42" priority="120"/>
    <cfRule type="duplicateValues" dxfId="41" priority="121"/>
  </conditionalFormatting>
  <conditionalFormatting sqref="C1076">
    <cfRule type="duplicateValues" dxfId="40" priority="115"/>
    <cfRule type="duplicateValues" dxfId="39" priority="116"/>
  </conditionalFormatting>
  <conditionalFormatting sqref="C1076">
    <cfRule type="duplicateValues" dxfId="38" priority="110"/>
    <cfRule type="duplicateValues" dxfId="37" priority="111"/>
    <cfRule type="duplicateValues" dxfId="36" priority="112"/>
    <cfRule type="duplicateValues" dxfId="35" priority="113"/>
    <cfRule type="duplicateValues" dxfId="34" priority="114"/>
  </conditionalFormatting>
  <conditionalFormatting sqref="C1076">
    <cfRule type="duplicateValues" dxfId="33" priority="109"/>
  </conditionalFormatting>
  <conditionalFormatting sqref="C1076">
    <cfRule type="duplicateValues" dxfId="32" priority="107"/>
    <cfRule type="duplicateValues" dxfId="31" priority="108"/>
  </conditionalFormatting>
  <conditionalFormatting sqref="C1076">
    <cfRule type="duplicateValues" dxfId="30" priority="103"/>
    <cfRule type="duplicateValues" dxfId="29" priority="104"/>
    <cfRule type="duplicateValues" dxfId="28" priority="105"/>
    <cfRule type="duplicateValues" dxfId="27" priority="106"/>
  </conditionalFormatting>
  <conditionalFormatting sqref="C1076">
    <cfRule type="duplicateValues" dxfId="26" priority="98"/>
    <cfRule type="duplicateValues" dxfId="25" priority="99"/>
    <cfRule type="duplicateValues" dxfId="24" priority="100"/>
    <cfRule type="duplicateValues" dxfId="23" priority="101"/>
    <cfRule type="duplicateValues" dxfId="22" priority="102"/>
  </conditionalFormatting>
  <conditionalFormatting sqref="C1076">
    <cfRule type="duplicateValues" dxfId="21" priority="97"/>
  </conditionalFormatting>
  <conditionalFormatting sqref="C1076">
    <cfRule type="duplicateValues" dxfId="20" priority="96"/>
  </conditionalFormatting>
  <conditionalFormatting sqref="B1076">
    <cfRule type="duplicateValues" dxfId="19" priority="95"/>
  </conditionalFormatting>
  <conditionalFormatting sqref="B1076">
    <cfRule type="duplicateValues" dxfId="18" priority="94"/>
  </conditionalFormatting>
  <conditionalFormatting sqref="B1076">
    <cfRule type="duplicateValues" dxfId="17" priority="93"/>
  </conditionalFormatting>
  <conditionalFormatting sqref="B1076">
    <cfRule type="duplicateValues" dxfId="16" priority="92"/>
  </conditionalFormatting>
  <conditionalFormatting sqref="D1077:D1078 D330:D421 D475:D556 D423:D471 D578:D620 D623 D930:D1012">
    <cfRule type="duplicateValues" dxfId="15" priority="641"/>
  </conditionalFormatting>
  <conditionalFormatting sqref="D1077:D1078 D930:D1012 D1:D556 D578:D620 D623">
    <cfRule type="duplicateValues" dxfId="14" priority="648"/>
  </conditionalFormatting>
  <conditionalFormatting sqref="B578:B1012 B1:B556 B1077:B1078">
    <cfRule type="duplicateValues" dxfId="13" priority="653"/>
  </conditionalFormatting>
  <conditionalFormatting sqref="C1077:C1078 C1:C1012">
    <cfRule type="duplicateValues" dxfId="12" priority="656"/>
  </conditionalFormatting>
  <conditionalFormatting sqref="B1077:B1078 B578:B1012 B475:B556 B423:B471 B330:B421">
    <cfRule type="duplicateValues" dxfId="11" priority="658"/>
  </conditionalFormatting>
  <conditionalFormatting sqref="B578:B1012 B475:B556 B423:B471 B330:B421">
    <cfRule type="duplicateValues" dxfId="10" priority="663"/>
  </conditionalFormatting>
  <conditionalFormatting sqref="B578:B1012 B475:B556 B423:B471 B330:B421">
    <cfRule type="duplicateValues" dxfId="9" priority="667"/>
  </conditionalFormatting>
  <conditionalFormatting sqref="C1:C1012 C1077:C1078">
    <cfRule type="duplicateValues" dxfId="8" priority="671"/>
  </conditionalFormatting>
  <conditionalFormatting sqref="C1077:C1078 C1:C1073">
    <cfRule type="duplicateValues" dxfId="7" priority="673"/>
  </conditionalFormatting>
  <conditionalFormatting sqref="C1:C1078">
    <cfRule type="duplicateValues" dxfId="6" priority="675"/>
  </conditionalFormatting>
  <conditionalFormatting sqref="C1:C1048576">
    <cfRule type="duplicateValues" dxfId="5" priority="7503"/>
  </conditionalFormatting>
  <conditionalFormatting sqref="C1:C1048576">
    <cfRule type="duplicateValues" dxfId="4" priority="7669"/>
  </conditionalFormatting>
  <conditionalFormatting sqref="C1:C1048576">
    <cfRule type="duplicateValues" dxfId="3" priority="7692"/>
  </conditionalFormatting>
  <conditionalFormatting sqref="BD3:BK1078">
    <cfRule type="cellIs" dxfId="2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X19"/>
  <sheetViews>
    <sheetView showGridLines="0" tabSelected="1" workbookViewId="0">
      <selection activeCell="P11" sqref="P11"/>
    </sheetView>
  </sheetViews>
  <sheetFormatPr defaultRowHeight="15"/>
  <cols>
    <col min="1" max="1" width="3.140625" customWidth="1"/>
    <col min="2" max="2" width="17.85546875" customWidth="1"/>
    <col min="3" max="3" width="9.28515625" style="2" customWidth="1"/>
    <col min="4" max="4" width="13.7109375" bestFit="1" customWidth="1"/>
    <col min="5" max="5" width="13.85546875" bestFit="1" customWidth="1"/>
    <col min="6" max="6" width="11.42578125" customWidth="1"/>
    <col min="7" max="8" width="9.7109375" customWidth="1"/>
    <col min="9" max="9" width="9.140625" hidden="1" customWidth="1"/>
    <col min="10" max="11" width="9.140625" customWidth="1"/>
    <col min="12" max="13" width="0" hidden="1" customWidth="1"/>
    <col min="15" max="15" width="8.140625" bestFit="1" customWidth="1"/>
    <col min="16" max="18" width="4.28515625" style="2" customWidth="1"/>
    <col min="19" max="19" width="4.140625" customWidth="1"/>
    <col min="20" max="20" width="10.85546875" customWidth="1"/>
    <col min="21" max="21" width="4.5703125" style="2" customWidth="1"/>
    <col min="22" max="22" width="5.42578125" style="2" customWidth="1"/>
    <col min="23" max="23" width="4" customWidth="1"/>
  </cols>
  <sheetData>
    <row r="2" spans="2:24" ht="15.75" thickBot="1"/>
    <row r="3" spans="2:24" ht="15.75" thickBot="1">
      <c r="D3" s="736" t="s">
        <v>6021</v>
      </c>
      <c r="E3" s="737"/>
      <c r="F3" s="329"/>
      <c r="G3" s="746" t="s">
        <v>6020</v>
      </c>
      <c r="H3" s="747"/>
      <c r="J3" s="748" t="s">
        <v>6019</v>
      </c>
      <c r="K3" s="749"/>
      <c r="O3" s="744" t="s">
        <v>6610</v>
      </c>
      <c r="P3" s="738" t="s">
        <v>6569</v>
      </c>
      <c r="Q3" s="738"/>
      <c r="R3" s="739"/>
      <c r="T3" s="742" t="s">
        <v>6611</v>
      </c>
      <c r="U3" s="740" t="s">
        <v>6569</v>
      </c>
      <c r="V3" s="741"/>
    </row>
    <row r="4" spans="2:24" s="2" customFormat="1" ht="15.75" thickBot="1">
      <c r="B4" s="326" t="s">
        <v>6011</v>
      </c>
      <c r="C4" s="415" t="s">
        <v>6012</v>
      </c>
      <c r="D4" s="327">
        <v>2021</v>
      </c>
      <c r="E4" s="328">
        <v>2022</v>
      </c>
      <c r="F4" s="422" t="s">
        <v>6013</v>
      </c>
      <c r="G4" s="327">
        <v>2021</v>
      </c>
      <c r="H4" s="328">
        <v>2022</v>
      </c>
      <c r="J4" s="323">
        <v>2021</v>
      </c>
      <c r="K4" s="324">
        <v>2022</v>
      </c>
      <c r="O4" s="745"/>
      <c r="P4" s="524">
        <v>5</v>
      </c>
      <c r="Q4" s="525">
        <v>10</v>
      </c>
      <c r="R4" s="526">
        <v>15</v>
      </c>
      <c r="S4"/>
      <c r="T4" s="743"/>
      <c r="U4" s="525">
        <v>30</v>
      </c>
      <c r="V4" s="526">
        <v>40</v>
      </c>
      <c r="W4"/>
    </row>
    <row r="5" spans="2:24" ht="15" customHeight="1">
      <c r="B5" s="489" t="s">
        <v>6014</v>
      </c>
      <c r="C5" s="416">
        <f>COUNT('WH F&amp;L'!B4:B18)</f>
        <v>11</v>
      </c>
      <c r="D5" s="412">
        <f>'WH F&amp;L'!T16</f>
        <v>2402</v>
      </c>
      <c r="E5" s="419">
        <f>'WH F&amp;L'!AG16</f>
        <v>2424</v>
      </c>
      <c r="F5" s="334"/>
      <c r="G5" s="332">
        <f>D5/C5</f>
        <v>218.36363636363637</v>
      </c>
      <c r="H5" s="333">
        <f>E5/C5</f>
        <v>220.36363636363637</v>
      </c>
      <c r="I5" s="42" t="e">
        <f>#REF!-F5</f>
        <v>#REF!</v>
      </c>
      <c r="J5" s="321">
        <f>D5/$D$13</f>
        <v>1.8216842616187355E-2</v>
      </c>
      <c r="K5" s="322">
        <f>E5/$E$13</f>
        <v>1.8082939820513396E-2</v>
      </c>
      <c r="L5" s="307"/>
      <c r="M5" s="42">
        <f>H5-G5</f>
        <v>2</v>
      </c>
      <c r="O5" s="527" t="s">
        <v>6570</v>
      </c>
      <c r="P5" s="528">
        <v>1</v>
      </c>
      <c r="Q5" s="471"/>
      <c r="R5" s="529">
        <v>3</v>
      </c>
      <c r="T5" s="527" t="s">
        <v>6570</v>
      </c>
      <c r="U5" s="528"/>
      <c r="V5" s="529"/>
    </row>
    <row r="6" spans="2:24">
      <c r="B6" s="490" t="s">
        <v>6015</v>
      </c>
      <c r="C6" s="417">
        <f>COUNT('WH Trims'!B4:B18)</f>
        <v>9</v>
      </c>
      <c r="D6" s="413">
        <f>'WH Trims'!T14</f>
        <v>1922</v>
      </c>
      <c r="E6" s="420">
        <f>'WH Trims'!AG14</f>
        <v>1940</v>
      </c>
      <c r="F6" s="319"/>
      <c r="G6" s="311">
        <f t="shared" ref="G6:G11" si="0">D6/C6</f>
        <v>213.55555555555554</v>
      </c>
      <c r="H6" s="312">
        <f t="shared" ref="H6:H11" si="1">E6/C6</f>
        <v>215.55555555555554</v>
      </c>
      <c r="I6" s="42" t="e">
        <f>#REF!-F6</f>
        <v>#REF!</v>
      </c>
      <c r="J6" s="315">
        <f>D6/$D$13</f>
        <v>1.4576507705375561E-2</v>
      </c>
      <c r="K6" s="316">
        <f>E6/$E$13</f>
        <v>1.4472319823348179E-2</v>
      </c>
      <c r="L6" s="307"/>
      <c r="M6" s="42">
        <f t="shared" ref="M6:M11" si="2">H6-G6</f>
        <v>2</v>
      </c>
      <c r="O6" s="531" t="s">
        <v>6571</v>
      </c>
      <c r="P6" s="530">
        <v>1</v>
      </c>
      <c r="Q6" s="1"/>
      <c r="R6" s="532">
        <v>3</v>
      </c>
      <c r="T6" s="531" t="s">
        <v>6571</v>
      </c>
      <c r="U6" s="530"/>
      <c r="V6" s="532"/>
    </row>
    <row r="7" spans="2:24">
      <c r="B7" s="490" t="s">
        <v>6016</v>
      </c>
      <c r="C7" s="417">
        <v>23</v>
      </c>
      <c r="D7" s="413">
        <f>Cutting!T29</f>
        <v>5136</v>
      </c>
      <c r="E7" s="420">
        <f>Cutting!AG29</f>
        <v>5182</v>
      </c>
      <c r="F7" s="319"/>
      <c r="G7" s="311">
        <f t="shared" si="0"/>
        <v>223.30434782608697</v>
      </c>
      <c r="H7" s="312">
        <f t="shared" si="1"/>
        <v>225.30434782608697</v>
      </c>
      <c r="I7" s="42" t="e">
        <f>#REF!-F7</f>
        <v>#REF!</v>
      </c>
      <c r="J7" s="315">
        <f>D7/$D$13</f>
        <v>3.8951583545686203E-2</v>
      </c>
      <c r="K7" s="316">
        <f>E7/$E$13</f>
        <v>3.8657505837417658E-2</v>
      </c>
      <c r="L7" s="307"/>
      <c r="M7" s="42">
        <f t="shared" si="2"/>
        <v>2</v>
      </c>
      <c r="O7" s="533" t="s">
        <v>6572</v>
      </c>
      <c r="P7" s="530">
        <v>13</v>
      </c>
      <c r="Q7" s="1"/>
      <c r="R7" s="532">
        <v>15</v>
      </c>
      <c r="T7" s="533" t="s">
        <v>6572</v>
      </c>
      <c r="U7" s="530">
        <v>4</v>
      </c>
      <c r="V7" s="532"/>
    </row>
    <row r="8" spans="2:24">
      <c r="B8" s="490" t="s">
        <v>6018</v>
      </c>
      <c r="C8" s="417">
        <f>COUNT(Production!$B$4:$B$8838)</f>
        <v>464</v>
      </c>
      <c r="D8" s="413">
        <f>Production!T469</f>
        <v>101469</v>
      </c>
      <c r="E8" s="420">
        <f>Production!AG469</f>
        <v>102587</v>
      </c>
      <c r="F8" s="319"/>
      <c r="G8" s="311">
        <f t="shared" si="0"/>
        <v>218.68318965517241</v>
      </c>
      <c r="H8" s="312">
        <f t="shared" si="1"/>
        <v>221.09267241379311</v>
      </c>
      <c r="I8" s="42" t="e">
        <f>#REF!-F8</f>
        <v>#REF!</v>
      </c>
      <c r="J8" s="315">
        <f t="shared" ref="J8:J10" si="3">D8/$D$13</f>
        <v>0.76954404805242083</v>
      </c>
      <c r="K8" s="316">
        <f t="shared" ref="K8:K10" si="4">E8/$E$13</f>
        <v>0.76529478026691733</v>
      </c>
      <c r="L8" s="307"/>
      <c r="M8" s="42">
        <f t="shared" si="2"/>
        <v>2.4094827586206975</v>
      </c>
      <c r="O8" s="534" t="s">
        <v>6573</v>
      </c>
      <c r="P8" s="530">
        <v>1</v>
      </c>
      <c r="Q8" s="1"/>
      <c r="R8" s="532">
        <v>4</v>
      </c>
      <c r="T8" s="534" t="s">
        <v>6573</v>
      </c>
      <c r="U8" s="530"/>
      <c r="V8" s="532"/>
    </row>
    <row r="9" spans="2:24">
      <c r="B9" s="490" t="s">
        <v>6017</v>
      </c>
      <c r="C9" s="417">
        <f>'Machine on line'!A9</f>
        <v>6</v>
      </c>
      <c r="D9" s="413">
        <f>'Machine on line'!T11</f>
        <v>2200</v>
      </c>
      <c r="E9" s="420">
        <f>'Machine on line'!AG11</f>
        <v>2212</v>
      </c>
      <c r="F9" s="319"/>
      <c r="G9" s="311">
        <f>D9/C9</f>
        <v>366.66666666666669</v>
      </c>
      <c r="H9" s="312">
        <f>E9/C9</f>
        <v>368.66666666666669</v>
      </c>
      <c r="I9" s="697" t="e">
        <f>#REF!-F9</f>
        <v>#REF!</v>
      </c>
      <c r="J9" s="315">
        <f>D9/$D$13</f>
        <v>1.6684868341220727E-2</v>
      </c>
      <c r="K9" s="316">
        <f>E9/$E$13</f>
        <v>1.6501428582085656E-2</v>
      </c>
      <c r="L9" s="307"/>
      <c r="M9" s="42">
        <f>H9-G9</f>
        <v>2</v>
      </c>
      <c r="O9" s="536" t="s">
        <v>6575</v>
      </c>
      <c r="P9" s="537">
        <v>1</v>
      </c>
      <c r="Q9" s="538"/>
      <c r="R9" s="539">
        <v>1</v>
      </c>
      <c r="T9" s="536" t="s">
        <v>6575</v>
      </c>
      <c r="U9" s="537"/>
      <c r="V9" s="539">
        <v>1</v>
      </c>
    </row>
    <row r="10" spans="2:24">
      <c r="B10" s="519" t="s">
        <v>6562</v>
      </c>
      <c r="C10" s="695">
        <f>COUNT('Leader&amp; Supervisor'!B5:B57)</f>
        <v>53</v>
      </c>
      <c r="D10" s="414">
        <f>'Leader&amp; Supervisor'!T58</f>
        <v>15386</v>
      </c>
      <c r="E10" s="421">
        <f>'Leader&amp; Supervisor'!AG58</f>
        <v>16140</v>
      </c>
      <c r="F10" s="696">
        <f>'Leader&amp; Supervisor'!U58</f>
        <v>650</v>
      </c>
      <c r="G10" s="309">
        <v>265.29032258064518</v>
      </c>
      <c r="H10" s="310">
        <v>273.29032258064518</v>
      </c>
      <c r="I10" s="42">
        <v>0</v>
      </c>
      <c r="J10" s="321">
        <f t="shared" si="3"/>
        <v>0.11668790195364641</v>
      </c>
      <c r="K10" s="322">
        <f t="shared" si="4"/>
        <v>0.12040373296331938</v>
      </c>
      <c r="L10" s="307"/>
      <c r="M10" s="42">
        <f t="shared" si="2"/>
        <v>8</v>
      </c>
      <c r="O10" s="535" t="s">
        <v>6574</v>
      </c>
      <c r="P10" s="530">
        <v>2</v>
      </c>
      <c r="Q10" s="1"/>
      <c r="R10" s="532">
        <v>2</v>
      </c>
      <c r="T10" s="535" t="s">
        <v>6613</v>
      </c>
      <c r="U10" s="530"/>
      <c r="V10" s="532">
        <v>1</v>
      </c>
    </row>
    <row r="11" spans="2:24" ht="15.75" thickBot="1">
      <c r="B11" s="520" t="s">
        <v>6568</v>
      </c>
      <c r="C11" s="418">
        <f>COUNT(Office!B4:B27)</f>
        <v>9</v>
      </c>
      <c r="D11" s="314">
        <f>Office!T14</f>
        <v>3341</v>
      </c>
      <c r="E11" s="314">
        <f>Office!AG14</f>
        <v>3564</v>
      </c>
      <c r="F11" s="320">
        <f>Office!U14</f>
        <v>205</v>
      </c>
      <c r="G11" s="313">
        <f t="shared" si="0"/>
        <v>371.22222222222223</v>
      </c>
      <c r="H11" s="314">
        <f t="shared" si="1"/>
        <v>396</v>
      </c>
      <c r="I11" s="42"/>
      <c r="J11" s="317">
        <f>D11/$D$13</f>
        <v>2.5338247785462929E-2</v>
      </c>
      <c r="K11" s="318">
        <f>E11/$E$13</f>
        <v>2.6587292706398407E-2</v>
      </c>
      <c r="L11" s="307"/>
      <c r="M11" s="42">
        <f t="shared" si="2"/>
        <v>24.777777777777771</v>
      </c>
      <c r="O11" s="533" t="s">
        <v>6576</v>
      </c>
      <c r="P11" s="530"/>
      <c r="Q11" s="1"/>
      <c r="R11" s="532">
        <v>1</v>
      </c>
      <c r="T11" s="533" t="s">
        <v>6612</v>
      </c>
      <c r="U11" s="530">
        <v>1</v>
      </c>
      <c r="V11" s="532"/>
    </row>
    <row r="12" spans="2:24">
      <c r="O12" s="533" t="s">
        <v>6614</v>
      </c>
      <c r="P12" s="530"/>
      <c r="Q12" s="1"/>
      <c r="R12" s="532">
        <v>2</v>
      </c>
      <c r="T12" s="533" t="s">
        <v>9</v>
      </c>
      <c r="U12" s="530">
        <v>1</v>
      </c>
      <c r="V12" s="532"/>
    </row>
    <row r="13" spans="2:24" ht="15.75" thickBot="1">
      <c r="C13" s="694">
        <f>SUM(C5:C12)</f>
        <v>575</v>
      </c>
      <c r="D13" s="42">
        <f>SUM(D5:D12)</f>
        <v>131856</v>
      </c>
      <c r="E13" s="42">
        <f>SUM(E5:E12)</f>
        <v>134049</v>
      </c>
      <c r="F13" s="42">
        <f>SUM(F5:F12)</f>
        <v>855</v>
      </c>
      <c r="G13" s="42">
        <f>AVERAGE(G5:G12)</f>
        <v>268.15513440999791</v>
      </c>
      <c r="H13" s="42">
        <f>AVERAGE(H5:H12)</f>
        <v>274.32474305805482</v>
      </c>
      <c r="J13" s="308">
        <f>SUM(J5:J11)</f>
        <v>1</v>
      </c>
      <c r="K13" s="308">
        <f>SUM(K5:K11)</f>
        <v>1</v>
      </c>
      <c r="O13" s="690" t="s">
        <v>6312</v>
      </c>
      <c r="P13" s="691"/>
      <c r="Q13" s="692">
        <v>2</v>
      </c>
      <c r="R13" s="693">
        <v>1</v>
      </c>
      <c r="T13" s="690" t="s">
        <v>6312</v>
      </c>
      <c r="U13" s="691"/>
      <c r="V13" s="693"/>
    </row>
    <row r="14" spans="2:24">
      <c r="W14" s="583">
        <f>V16+R16</f>
        <v>61</v>
      </c>
      <c r="X14" t="s">
        <v>6615</v>
      </c>
    </row>
    <row r="15" spans="2:24">
      <c r="B15" s="42"/>
      <c r="C15" s="330"/>
      <c r="D15" s="307"/>
      <c r="E15" s="42">
        <f>E13-D13</f>
        <v>2193</v>
      </c>
      <c r="F15" s="307"/>
      <c r="G15" s="307"/>
      <c r="H15" s="42">
        <f>H13-G13</f>
        <v>6.1696086480569079</v>
      </c>
      <c r="J15" s="308"/>
      <c r="K15" s="308"/>
      <c r="P15" s="2">
        <f>SUM(P5:P13)</f>
        <v>19</v>
      </c>
      <c r="Q15" s="2">
        <f>SUM(Q5:Q13)</f>
        <v>2</v>
      </c>
      <c r="R15" s="2">
        <f>SUM(R5:R13)</f>
        <v>32</v>
      </c>
      <c r="S15" s="2"/>
      <c r="T15" s="2"/>
      <c r="U15" s="2">
        <f>SUM(U5:U13)</f>
        <v>6</v>
      </c>
      <c r="V15" s="2">
        <f>SUM(V5:V13)</f>
        <v>2</v>
      </c>
    </row>
    <row r="16" spans="2:24">
      <c r="B16" s="325"/>
      <c r="C16" s="330"/>
      <c r="D16" s="307"/>
      <c r="F16" s="42"/>
      <c r="G16" s="307"/>
      <c r="H16" s="42"/>
      <c r="J16" s="308"/>
      <c r="K16" s="308"/>
      <c r="O16" t="s">
        <v>6577</v>
      </c>
      <c r="R16" s="2">
        <f>SUM(P15:R15)</f>
        <v>53</v>
      </c>
      <c r="V16" s="2">
        <f>SUM(U15:V15)</f>
        <v>8</v>
      </c>
    </row>
    <row r="17" spans="3:24">
      <c r="C17" s="331"/>
      <c r="D17" s="42"/>
      <c r="E17" s="42"/>
      <c r="F17" s="42"/>
      <c r="W17" s="708">
        <f>SUM(P19:V19)</f>
        <v>855</v>
      </c>
      <c r="X17" t="s">
        <v>6616</v>
      </c>
    </row>
    <row r="18" spans="3:24">
      <c r="P18" s="2">
        <f>P15*P4</f>
        <v>95</v>
      </c>
      <c r="Q18" s="2">
        <f>Q15*Q4</f>
        <v>20</v>
      </c>
      <c r="R18" s="2">
        <f>R15*R4</f>
        <v>480</v>
      </c>
      <c r="S18" s="2"/>
      <c r="T18" s="2"/>
      <c r="U18" s="2">
        <f>U15*U4</f>
        <v>180</v>
      </c>
      <c r="V18" s="2">
        <f>V15*V4</f>
        <v>80</v>
      </c>
    </row>
    <row r="19" spans="3:24">
      <c r="O19" t="s">
        <v>6578</v>
      </c>
      <c r="R19" s="2">
        <f>SUM(P18:R18)</f>
        <v>595</v>
      </c>
      <c r="V19" s="2">
        <f>SUM(U18:V18)</f>
        <v>260</v>
      </c>
    </row>
  </sheetData>
  <mergeCells count="7">
    <mergeCell ref="D3:E3"/>
    <mergeCell ref="P3:R3"/>
    <mergeCell ref="U3:V3"/>
    <mergeCell ref="T3:T4"/>
    <mergeCell ref="O3:O4"/>
    <mergeCell ref="G3:H3"/>
    <mergeCell ref="J3:K3"/>
  </mergeCells>
  <phoneticPr fontId="8" type="noConversion"/>
  <conditionalFormatting sqref="P5:R13 U9:V13">
    <cfRule type="cellIs" dxfId="1" priority="3" operator="greaterThan">
      <formula>0</formula>
    </cfRule>
  </conditionalFormatting>
  <conditionalFormatting sqref="U5:V8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已命名的範圍</vt:lpstr>
      </vt:variant>
      <vt:variant>
        <vt:i4>3</vt:i4>
      </vt:variant>
    </vt:vector>
  </HeadingPairs>
  <TitlesOfParts>
    <vt:vector size="13" baseType="lpstr">
      <vt:lpstr>All</vt:lpstr>
      <vt:lpstr>Office</vt:lpstr>
      <vt:lpstr>WH F&amp;L</vt:lpstr>
      <vt:lpstr>WH Trims</vt:lpstr>
      <vt:lpstr>Cutting</vt:lpstr>
      <vt:lpstr>Machine on line</vt:lpstr>
      <vt:lpstr>Leader&amp; Supervisor</vt:lpstr>
      <vt:lpstr>Production</vt:lpstr>
      <vt:lpstr>All staff</vt:lpstr>
      <vt:lpstr>general</vt:lpstr>
      <vt:lpstr>Cutting!Print_Area</vt:lpstr>
      <vt:lpstr>'WH Trims'!Print_Area</vt:lpstr>
      <vt:lpstr>'Leader&amp; Supervisor'!Print_Titles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Fenny</dc:creator>
  <cp:lastModifiedBy>Saintdou Weng</cp:lastModifiedBy>
  <cp:lastPrinted>2021-12-11T02:23:36Z</cp:lastPrinted>
  <dcterms:created xsi:type="dcterms:W3CDTF">2018-01-25T06:11:04Z</dcterms:created>
  <dcterms:modified xsi:type="dcterms:W3CDTF">2021-12-15T09:03:43Z</dcterms:modified>
</cp:coreProperties>
</file>